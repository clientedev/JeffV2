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abriel Eduardo\Documents\"/>
    </mc:Choice>
  </mc:AlternateContent>
  <xr:revisionPtr revIDLastSave="0" documentId="8_{48DF907C-AD8E-495E-9AB8-1DBA5A765B9D}" xr6:coauthVersionLast="47" xr6:coauthVersionMax="47" xr10:uidLastSave="{00000000-0000-0000-0000-000000000000}"/>
  <bookViews>
    <workbookView xWindow="-110" yWindow="-110" windowWidth="19420" windowHeight="10420" xr2:uid="{B0B753D7-0EFC-46D6-AEF4-B621512B42F6}"/>
  </bookViews>
  <sheets>
    <sheet name="Planilha1" sheetId="1" r:id="rId1"/>
  </sheets>
  <externalReferences>
    <externalReference r:id="rId2"/>
    <externalReference r:id="rId3"/>
  </externalReferences>
  <definedNames>
    <definedName name="_56F9DC9755BA473782653E2940F9FormId">"3qZIQdENBE2kxXjjdOT21uCttFIlwEBNpDj9Qc3OutRUM0ZOR1BUUDVLNUZLR0EwT01BUFhTVVZaUS4u"</definedName>
    <definedName name="_56F9DC9755BA473782653E2940F9ResponseSheet">"Form1"</definedName>
    <definedName name="_56F9DC9755BA473782653E2940F9SourceDocId">"{07254bc2-afa9-489a-bd61-c09fe08c1eee}"</definedName>
    <definedName name="CANCELAMENTO">#REF!</definedName>
    <definedName name="PESQ.">#REF!</definedName>
    <definedName name="PESQUISA">#REF!</definedName>
    <definedName name="PRODUTIVIDADE">#REF!</definedName>
    <definedName name="X">#REF!</definedName>
    <definedName name="x__GoBack">[2]Contatos!#REF!</definedName>
    <definedName name="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2" i="1" l="1"/>
  <c r="BR2" i="1"/>
  <c r="BS2" i="1"/>
  <c r="BV2" i="1"/>
  <c r="BW2" i="1"/>
  <c r="BX2" i="1"/>
  <c r="BY2" i="1"/>
  <c r="BZ2" i="1"/>
  <c r="CA2" i="1"/>
  <c r="CB2" i="1"/>
  <c r="CC2" i="1"/>
  <c r="CD2" i="1"/>
  <c r="CE2" i="1"/>
  <c r="CF2" i="1"/>
  <c r="CG2" i="1"/>
  <c r="CH2" i="1"/>
  <c r="CI2" i="1"/>
  <c r="CJ2" i="1"/>
  <c r="CK2" i="1"/>
  <c r="CL2" i="1"/>
  <c r="CM2" i="1"/>
  <c r="CN2" i="1"/>
  <c r="CO2" i="1"/>
  <c r="CP2" i="1"/>
  <c r="CQ2" i="1"/>
  <c r="CR2" i="1"/>
  <c r="CS2" i="1"/>
  <c r="CT2" i="1"/>
  <c r="CU2" i="1"/>
  <c r="CV2" i="1"/>
  <c r="BQ3" i="1"/>
  <c r="BR3" i="1"/>
  <c r="BS3" i="1"/>
  <c r="BV3" i="1"/>
  <c r="BW3" i="1"/>
  <c r="BX3" i="1"/>
  <c r="BY3" i="1"/>
  <c r="BZ3" i="1"/>
  <c r="CA3" i="1"/>
  <c r="CB3" i="1"/>
  <c r="CC3" i="1"/>
  <c r="CD3" i="1"/>
  <c r="CE3" i="1"/>
  <c r="CF3" i="1"/>
  <c r="CG3" i="1"/>
  <c r="CH3" i="1"/>
  <c r="CI3" i="1"/>
  <c r="CJ3" i="1"/>
  <c r="CK3" i="1"/>
  <c r="CL3" i="1"/>
  <c r="CM3" i="1"/>
  <c r="CN3" i="1"/>
  <c r="CO3" i="1"/>
  <c r="CP3" i="1"/>
  <c r="CQ3" i="1"/>
  <c r="CR3" i="1"/>
  <c r="CS3" i="1"/>
  <c r="CT3" i="1"/>
  <c r="CU3" i="1"/>
  <c r="CV3" i="1"/>
  <c r="BQ4" i="1"/>
  <c r="BR4" i="1"/>
  <c r="BS4" i="1"/>
  <c r="BV4" i="1"/>
  <c r="BW4" i="1"/>
  <c r="BX4" i="1"/>
  <c r="BY4" i="1"/>
  <c r="BZ4" i="1"/>
  <c r="CA4" i="1"/>
  <c r="CB4" i="1"/>
  <c r="CC4" i="1"/>
  <c r="CD4" i="1"/>
  <c r="CE4" i="1"/>
  <c r="CF4" i="1"/>
  <c r="CG4" i="1"/>
  <c r="CH4" i="1"/>
  <c r="CI4" i="1"/>
  <c r="CJ4" i="1"/>
  <c r="CK4" i="1"/>
  <c r="CL4" i="1"/>
  <c r="CM4" i="1"/>
  <c r="CN4" i="1"/>
  <c r="CO4" i="1"/>
  <c r="CP4" i="1"/>
  <c r="CQ4" i="1"/>
  <c r="CR4" i="1"/>
  <c r="CS4" i="1"/>
  <c r="CT4" i="1"/>
  <c r="CU4" i="1"/>
  <c r="CV4" i="1"/>
  <c r="BQ5" i="1"/>
  <c r="BR5" i="1"/>
  <c r="BS5" i="1"/>
  <c r="BV5" i="1"/>
  <c r="BW5" i="1"/>
  <c r="BX5" i="1"/>
  <c r="BY5" i="1"/>
  <c r="BZ5" i="1"/>
  <c r="CA5" i="1"/>
  <c r="CB5" i="1"/>
  <c r="CC5" i="1"/>
  <c r="CD5" i="1"/>
  <c r="CE5" i="1"/>
  <c r="CF5" i="1"/>
  <c r="CG5" i="1"/>
  <c r="CH5" i="1"/>
  <c r="CI5" i="1"/>
  <c r="CJ5" i="1"/>
  <c r="CK5" i="1"/>
  <c r="CL5" i="1"/>
  <c r="CM5" i="1"/>
  <c r="CN5" i="1"/>
  <c r="CO5" i="1"/>
  <c r="CP5" i="1"/>
  <c r="CQ5" i="1"/>
  <c r="CR5" i="1"/>
  <c r="CS5" i="1"/>
  <c r="CT5" i="1"/>
  <c r="CU5" i="1"/>
  <c r="CV5" i="1"/>
  <c r="BQ6" i="1"/>
  <c r="BR6" i="1"/>
  <c r="BS6" i="1"/>
  <c r="BV6" i="1"/>
  <c r="BW6" i="1"/>
  <c r="BX6" i="1"/>
  <c r="BY6" i="1"/>
  <c r="BZ6" i="1"/>
  <c r="CA6" i="1"/>
  <c r="CB6" i="1"/>
  <c r="CC6" i="1"/>
  <c r="CD6" i="1"/>
  <c r="CE6" i="1"/>
  <c r="CF6" i="1"/>
  <c r="CG6" i="1"/>
  <c r="CH6" i="1"/>
  <c r="CI6" i="1"/>
  <c r="CJ6" i="1"/>
  <c r="CK6" i="1"/>
  <c r="CL6" i="1"/>
  <c r="CM6" i="1"/>
  <c r="CN6" i="1"/>
  <c r="CO6" i="1"/>
  <c r="CP6" i="1"/>
  <c r="CQ6" i="1"/>
  <c r="CR6" i="1"/>
  <c r="CS6" i="1"/>
  <c r="CT6" i="1"/>
  <c r="CU6" i="1"/>
  <c r="CV6" i="1"/>
  <c r="BQ7" i="1"/>
  <c r="BR7" i="1"/>
  <c r="BS7" i="1"/>
  <c r="BV7" i="1"/>
  <c r="BW7" i="1"/>
  <c r="BX7" i="1"/>
  <c r="BY7" i="1"/>
  <c r="BZ7" i="1"/>
  <c r="CA7" i="1"/>
  <c r="CB7" i="1"/>
  <c r="CC7" i="1"/>
  <c r="CD7" i="1"/>
  <c r="CE7" i="1"/>
  <c r="CF7" i="1"/>
  <c r="CG7" i="1"/>
  <c r="CH7" i="1"/>
  <c r="CI7" i="1"/>
  <c r="CJ7" i="1"/>
  <c r="CK7" i="1"/>
  <c r="CL7" i="1"/>
  <c r="CM7" i="1"/>
  <c r="CN7" i="1"/>
  <c r="CO7" i="1"/>
  <c r="CP7" i="1"/>
  <c r="CQ7" i="1"/>
  <c r="CR7" i="1"/>
  <c r="CS7" i="1"/>
  <c r="CT7" i="1"/>
  <c r="CU7" i="1"/>
  <c r="CV7" i="1"/>
  <c r="BQ8" i="1"/>
  <c r="BR8" i="1"/>
  <c r="BS8" i="1"/>
  <c r="BV8" i="1"/>
  <c r="BW8" i="1"/>
  <c r="BX8" i="1"/>
  <c r="BY8" i="1"/>
  <c r="BZ8" i="1"/>
  <c r="CA8" i="1"/>
  <c r="CB8" i="1"/>
  <c r="CC8" i="1"/>
  <c r="CD8" i="1"/>
  <c r="CE8" i="1"/>
  <c r="CF8" i="1"/>
  <c r="CG8" i="1"/>
  <c r="CH8" i="1"/>
  <c r="CI8" i="1"/>
  <c r="CJ8" i="1"/>
  <c r="CK8" i="1"/>
  <c r="CL8" i="1"/>
  <c r="CM8" i="1"/>
  <c r="CN8" i="1"/>
  <c r="CO8" i="1"/>
  <c r="CP8" i="1"/>
  <c r="CQ8" i="1"/>
  <c r="CR8" i="1"/>
  <c r="CS8" i="1"/>
  <c r="CT8" i="1"/>
  <c r="CU8" i="1"/>
  <c r="CV8" i="1"/>
  <c r="BQ9" i="1"/>
  <c r="BR9" i="1"/>
  <c r="BS9" i="1"/>
  <c r="BV9" i="1"/>
  <c r="BW9" i="1"/>
  <c r="BX9" i="1"/>
  <c r="BY9" i="1"/>
  <c r="BZ9" i="1"/>
  <c r="CA9" i="1"/>
  <c r="CB9" i="1"/>
  <c r="CC9" i="1"/>
  <c r="CD9" i="1"/>
  <c r="CE9" i="1"/>
  <c r="CF9" i="1"/>
  <c r="CG9" i="1"/>
  <c r="CH9" i="1"/>
  <c r="CI9" i="1"/>
  <c r="CJ9" i="1"/>
  <c r="CK9" i="1"/>
  <c r="CL9" i="1"/>
  <c r="CM9" i="1"/>
  <c r="CN9" i="1"/>
  <c r="CO9" i="1"/>
  <c r="CP9" i="1"/>
  <c r="CQ9" i="1"/>
  <c r="CR9" i="1"/>
  <c r="CS9" i="1"/>
  <c r="CT9" i="1"/>
  <c r="CU9" i="1"/>
  <c r="CV9" i="1"/>
  <c r="BQ10" i="1"/>
  <c r="BR10" i="1"/>
  <c r="BS10" i="1"/>
  <c r="BV10" i="1"/>
  <c r="BW10" i="1"/>
  <c r="BX10" i="1"/>
  <c r="BY10" i="1"/>
  <c r="BZ10" i="1"/>
  <c r="CA10" i="1"/>
  <c r="CB10" i="1"/>
  <c r="CC10" i="1"/>
  <c r="CD10" i="1"/>
  <c r="CE10" i="1"/>
  <c r="CF10" i="1"/>
  <c r="CG10" i="1"/>
  <c r="CH10" i="1"/>
  <c r="CI10" i="1"/>
  <c r="CJ10" i="1"/>
  <c r="CK10" i="1"/>
  <c r="CL10" i="1"/>
  <c r="CM10" i="1"/>
  <c r="CN10" i="1"/>
  <c r="CO10" i="1"/>
  <c r="CP10" i="1"/>
  <c r="CQ10" i="1"/>
  <c r="CR10" i="1"/>
  <c r="CS10" i="1"/>
  <c r="CT10" i="1"/>
  <c r="CU10" i="1"/>
  <c r="CV10" i="1"/>
  <c r="AI11" i="1"/>
  <c r="BQ11" i="1"/>
  <c r="BR11" i="1"/>
  <c r="BS11" i="1"/>
  <c r="BV11" i="1"/>
  <c r="BW11" i="1"/>
  <c r="BX11" i="1"/>
  <c r="BY11" i="1"/>
  <c r="BZ11" i="1"/>
  <c r="CA11" i="1"/>
  <c r="CB11" i="1"/>
  <c r="CC11" i="1"/>
  <c r="CD11" i="1"/>
  <c r="CE11" i="1"/>
  <c r="CF11" i="1"/>
  <c r="CG11" i="1"/>
  <c r="CH11" i="1"/>
  <c r="CI11" i="1"/>
  <c r="CJ11" i="1"/>
  <c r="CK11" i="1"/>
  <c r="CL11" i="1"/>
  <c r="CM11" i="1"/>
  <c r="CN11" i="1"/>
  <c r="CO11" i="1"/>
  <c r="CP11" i="1"/>
  <c r="CQ11" i="1"/>
  <c r="CR11" i="1"/>
  <c r="CS11" i="1"/>
  <c r="CT11" i="1"/>
  <c r="CU11" i="1"/>
  <c r="CV11" i="1"/>
  <c r="BQ12" i="1"/>
  <c r="BR12" i="1"/>
  <c r="BS12" i="1"/>
  <c r="BV12" i="1"/>
  <c r="BW12" i="1"/>
  <c r="BX12" i="1"/>
  <c r="BY12" i="1"/>
  <c r="BZ12" i="1"/>
  <c r="CA12" i="1"/>
  <c r="CB12" i="1"/>
  <c r="CC12" i="1"/>
  <c r="CD12" i="1"/>
  <c r="CE12" i="1"/>
  <c r="CF12" i="1"/>
  <c r="CG12" i="1"/>
  <c r="CH12" i="1"/>
  <c r="CI12" i="1"/>
  <c r="CJ12" i="1"/>
  <c r="CK12" i="1"/>
  <c r="CL12" i="1"/>
  <c r="CM12" i="1"/>
  <c r="CN12" i="1"/>
  <c r="CO12" i="1"/>
  <c r="CP12" i="1"/>
  <c r="CQ12" i="1"/>
  <c r="CR12" i="1"/>
  <c r="CS12" i="1"/>
  <c r="CT12" i="1"/>
  <c r="CU12" i="1"/>
  <c r="CV12" i="1"/>
  <c r="BQ13" i="1"/>
  <c r="BR13" i="1"/>
  <c r="BS13" i="1"/>
  <c r="BV13" i="1"/>
  <c r="BW13" i="1"/>
  <c r="BX13" i="1"/>
  <c r="BY13" i="1"/>
  <c r="BZ13" i="1"/>
  <c r="CA13" i="1"/>
  <c r="CB13" i="1"/>
  <c r="CC13" i="1"/>
  <c r="CD13" i="1"/>
  <c r="CE13" i="1"/>
  <c r="CF13" i="1"/>
  <c r="CG13" i="1"/>
  <c r="CH13" i="1"/>
  <c r="CI13" i="1"/>
  <c r="CJ13" i="1"/>
  <c r="CK13" i="1"/>
  <c r="CL13" i="1"/>
  <c r="CM13" i="1"/>
  <c r="CN13" i="1"/>
  <c r="CO13" i="1"/>
  <c r="CP13" i="1"/>
  <c r="CQ13" i="1"/>
  <c r="CR13" i="1"/>
  <c r="CS13" i="1"/>
  <c r="CT13" i="1"/>
  <c r="CU13" i="1"/>
  <c r="CV13" i="1"/>
  <c r="BQ14" i="1"/>
  <c r="BR14" i="1"/>
  <c r="BS14" i="1"/>
  <c r="BV14" i="1"/>
  <c r="BW14" i="1"/>
  <c r="BX14" i="1"/>
  <c r="BY14" i="1"/>
  <c r="BZ14" i="1"/>
  <c r="CA14" i="1"/>
  <c r="CB14" i="1"/>
  <c r="CC14" i="1"/>
  <c r="CD14" i="1"/>
  <c r="CE14" i="1"/>
  <c r="CF14" i="1"/>
  <c r="CG14" i="1"/>
  <c r="CH14" i="1"/>
  <c r="CI14" i="1"/>
  <c r="CJ14" i="1"/>
  <c r="CK14" i="1"/>
  <c r="CL14" i="1"/>
  <c r="CM14" i="1"/>
  <c r="CN14" i="1"/>
  <c r="CO14" i="1"/>
  <c r="CP14" i="1"/>
  <c r="CQ14" i="1"/>
  <c r="CR14" i="1"/>
  <c r="CS14" i="1"/>
  <c r="CT14" i="1"/>
  <c r="CU14" i="1"/>
  <c r="CV14" i="1"/>
  <c r="BQ15" i="1"/>
  <c r="BR15" i="1"/>
  <c r="BS15" i="1"/>
  <c r="BV15" i="1"/>
  <c r="BW15" i="1"/>
  <c r="BX15" i="1"/>
  <c r="BY15" i="1"/>
  <c r="BZ15" i="1"/>
  <c r="CA15" i="1"/>
  <c r="CB15" i="1"/>
  <c r="CC15" i="1"/>
  <c r="CD15" i="1"/>
  <c r="CE15" i="1"/>
  <c r="CF15" i="1"/>
  <c r="CG15" i="1"/>
  <c r="CH15" i="1"/>
  <c r="CI15" i="1"/>
  <c r="CJ15" i="1"/>
  <c r="CK15" i="1"/>
  <c r="CL15" i="1"/>
  <c r="CM15" i="1"/>
  <c r="CN15" i="1"/>
  <c r="CO15" i="1"/>
  <c r="CP15" i="1"/>
  <c r="CQ15" i="1"/>
  <c r="CR15" i="1"/>
  <c r="CS15" i="1"/>
  <c r="CT15" i="1"/>
  <c r="CU15" i="1"/>
  <c r="CV15" i="1"/>
  <c r="BQ16" i="1"/>
  <c r="BR16" i="1"/>
  <c r="BS16" i="1"/>
  <c r="BV16" i="1"/>
  <c r="BW16" i="1"/>
  <c r="BX16" i="1"/>
  <c r="BY16" i="1"/>
  <c r="BZ16" i="1"/>
  <c r="CA16" i="1"/>
  <c r="CB16" i="1"/>
  <c r="CC16" i="1"/>
  <c r="CD16" i="1"/>
  <c r="CE16" i="1"/>
  <c r="CF16" i="1"/>
  <c r="CG16" i="1"/>
  <c r="CH16" i="1"/>
  <c r="CI16" i="1"/>
  <c r="CJ16" i="1"/>
  <c r="CK16" i="1"/>
  <c r="CL16" i="1"/>
  <c r="CM16" i="1"/>
  <c r="CN16" i="1"/>
  <c r="CO16" i="1"/>
  <c r="CP16" i="1"/>
  <c r="CQ16" i="1"/>
  <c r="CR16" i="1"/>
  <c r="CS16" i="1"/>
  <c r="CT16" i="1"/>
  <c r="CU16" i="1"/>
  <c r="CV16" i="1"/>
  <c r="BQ17" i="1"/>
  <c r="BR17" i="1"/>
  <c r="BS17" i="1"/>
  <c r="BV17" i="1"/>
  <c r="BW17" i="1"/>
  <c r="BX17" i="1"/>
  <c r="BY17" i="1"/>
  <c r="BZ17" i="1"/>
  <c r="CA17" i="1"/>
  <c r="CB17" i="1"/>
  <c r="CC17" i="1"/>
  <c r="CD17" i="1"/>
  <c r="CE17" i="1"/>
  <c r="CF17" i="1"/>
  <c r="CG17" i="1"/>
  <c r="CH17" i="1"/>
  <c r="CI17" i="1"/>
  <c r="CJ17" i="1"/>
  <c r="CK17" i="1"/>
  <c r="CL17" i="1"/>
  <c r="CM17" i="1"/>
  <c r="CN17" i="1"/>
  <c r="CO17" i="1"/>
  <c r="CP17" i="1"/>
  <c r="CQ17" i="1"/>
  <c r="CR17" i="1"/>
  <c r="CS17" i="1"/>
  <c r="CT17" i="1"/>
  <c r="CU17" i="1"/>
  <c r="CV17" i="1"/>
  <c r="BQ18" i="1"/>
  <c r="BR18" i="1"/>
  <c r="BS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BQ19" i="1"/>
  <c r="BR19" i="1"/>
  <c r="BS19" i="1"/>
  <c r="BV19" i="1"/>
  <c r="BW19" i="1"/>
  <c r="BX19" i="1"/>
  <c r="BY19" i="1"/>
  <c r="BZ19" i="1"/>
  <c r="CA19" i="1"/>
  <c r="CB19" i="1"/>
  <c r="CC19" i="1"/>
  <c r="CD19" i="1"/>
  <c r="CE19" i="1"/>
  <c r="CF19" i="1"/>
  <c r="CG19" i="1"/>
  <c r="CH19" i="1"/>
  <c r="CI19" i="1"/>
  <c r="CJ19" i="1"/>
  <c r="CK19" i="1"/>
  <c r="CL19" i="1"/>
  <c r="CM19" i="1"/>
  <c r="CN19" i="1"/>
  <c r="CO19" i="1"/>
  <c r="CP19" i="1"/>
  <c r="CQ19" i="1"/>
  <c r="CR19" i="1"/>
  <c r="CS19" i="1"/>
  <c r="CT19" i="1"/>
  <c r="CU19" i="1"/>
  <c r="CV19" i="1"/>
  <c r="BQ20" i="1"/>
  <c r="BR20" i="1"/>
  <c r="BS20" i="1"/>
  <c r="BV20" i="1"/>
  <c r="BW20" i="1"/>
  <c r="BX20" i="1"/>
  <c r="BY20" i="1"/>
  <c r="BZ20" i="1"/>
  <c r="CA20" i="1"/>
  <c r="CB20" i="1"/>
  <c r="CC20" i="1"/>
  <c r="CD20" i="1"/>
  <c r="CE20" i="1"/>
  <c r="CF20" i="1"/>
  <c r="CG20" i="1"/>
  <c r="CH20" i="1"/>
  <c r="CI20" i="1"/>
  <c r="CJ20" i="1"/>
  <c r="CK20" i="1"/>
  <c r="CL20" i="1"/>
  <c r="CM20" i="1"/>
  <c r="CN20" i="1"/>
  <c r="CO20" i="1"/>
  <c r="CP20" i="1"/>
  <c r="CQ20" i="1"/>
  <c r="CR20" i="1"/>
  <c r="CS20" i="1"/>
  <c r="CT20" i="1"/>
  <c r="CU20" i="1"/>
  <c r="CV20" i="1"/>
  <c r="AI21" i="1"/>
  <c r="BQ21" i="1"/>
  <c r="BR21" i="1"/>
  <c r="BS21" i="1"/>
  <c r="BV21" i="1"/>
  <c r="BW21" i="1"/>
  <c r="BX21" i="1"/>
  <c r="BY21" i="1"/>
  <c r="BZ21" i="1"/>
  <c r="CA21" i="1"/>
  <c r="CB21" i="1"/>
  <c r="CC21" i="1"/>
  <c r="CD21" i="1"/>
  <c r="CE21" i="1"/>
  <c r="CF21" i="1"/>
  <c r="CG21" i="1"/>
  <c r="CH21" i="1"/>
  <c r="CI21" i="1"/>
  <c r="CJ21" i="1"/>
  <c r="CK21" i="1"/>
  <c r="CL21" i="1"/>
  <c r="CM21" i="1"/>
  <c r="CN21" i="1"/>
  <c r="CO21" i="1"/>
  <c r="CP21" i="1"/>
  <c r="CQ21" i="1"/>
  <c r="CR21" i="1"/>
  <c r="CS21" i="1"/>
  <c r="CT21" i="1"/>
  <c r="CU21" i="1"/>
  <c r="CV21" i="1"/>
  <c r="BQ22" i="1"/>
  <c r="BR22" i="1"/>
  <c r="BS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BQ23" i="1"/>
  <c r="BR23" i="1"/>
  <c r="BS23" i="1"/>
  <c r="BV23" i="1"/>
  <c r="BW23" i="1"/>
  <c r="BX23" i="1"/>
  <c r="BY23" i="1"/>
  <c r="BZ23" i="1"/>
  <c r="CA23" i="1"/>
  <c r="CB23" i="1"/>
  <c r="CC23" i="1"/>
  <c r="CD23" i="1"/>
  <c r="CE23" i="1"/>
  <c r="CF23" i="1"/>
  <c r="CG23" i="1"/>
  <c r="CH23" i="1"/>
  <c r="CI23" i="1"/>
  <c r="CJ23" i="1"/>
  <c r="CK23" i="1"/>
  <c r="CL23" i="1"/>
  <c r="CM23" i="1"/>
  <c r="CN23" i="1"/>
  <c r="CO23" i="1"/>
  <c r="CP23" i="1"/>
  <c r="CQ23" i="1"/>
  <c r="CR23" i="1"/>
  <c r="CS23" i="1"/>
  <c r="CT23" i="1"/>
  <c r="CU23" i="1"/>
  <c r="CV23" i="1"/>
  <c r="BQ24" i="1"/>
  <c r="BR24" i="1"/>
  <c r="BS24" i="1"/>
  <c r="BV24" i="1"/>
  <c r="BW24" i="1"/>
  <c r="BX24" i="1"/>
  <c r="BY24" i="1"/>
  <c r="BZ24" i="1"/>
  <c r="CA24" i="1"/>
  <c r="CB24" i="1"/>
  <c r="CC24" i="1"/>
  <c r="CD24" i="1"/>
  <c r="CE24" i="1"/>
  <c r="CF24" i="1"/>
  <c r="CG24" i="1"/>
  <c r="CH24" i="1"/>
  <c r="CI24" i="1"/>
  <c r="CJ24" i="1"/>
  <c r="CK24" i="1"/>
  <c r="CL24" i="1"/>
  <c r="CM24" i="1"/>
  <c r="CN24" i="1"/>
  <c r="CO24" i="1"/>
  <c r="CP24" i="1"/>
  <c r="CQ24" i="1"/>
  <c r="CR24" i="1"/>
  <c r="CS24" i="1"/>
  <c r="CT24" i="1"/>
  <c r="CU24" i="1"/>
  <c r="CV24" i="1"/>
  <c r="BQ25" i="1"/>
  <c r="BR25" i="1"/>
  <c r="BS25" i="1"/>
  <c r="BV25" i="1"/>
  <c r="BW25" i="1"/>
  <c r="BX25" i="1"/>
  <c r="BY25" i="1"/>
  <c r="BZ25" i="1"/>
  <c r="CA25" i="1"/>
  <c r="CB25" i="1"/>
  <c r="CC25" i="1"/>
  <c r="CD25" i="1"/>
  <c r="CE25" i="1"/>
  <c r="CF25" i="1"/>
  <c r="CG25" i="1"/>
  <c r="CH25" i="1"/>
  <c r="CI25" i="1"/>
  <c r="CJ25" i="1"/>
  <c r="CK25" i="1"/>
  <c r="CL25" i="1"/>
  <c r="CM25" i="1"/>
  <c r="CN25" i="1"/>
  <c r="CO25" i="1"/>
  <c r="CP25" i="1"/>
  <c r="CQ25" i="1"/>
  <c r="CR25" i="1"/>
  <c r="CS25" i="1"/>
  <c r="CT25" i="1"/>
  <c r="CU25" i="1"/>
  <c r="CV25" i="1"/>
  <c r="BQ26" i="1"/>
  <c r="BR26" i="1"/>
  <c r="BS26" i="1"/>
  <c r="BV26" i="1"/>
  <c r="BW26" i="1"/>
  <c r="BX26" i="1"/>
  <c r="BY26" i="1"/>
  <c r="BZ26" i="1"/>
  <c r="CA26" i="1"/>
  <c r="CB26" i="1"/>
  <c r="CC26" i="1"/>
  <c r="CD26" i="1"/>
  <c r="CE26" i="1"/>
  <c r="CF26" i="1"/>
  <c r="CG26" i="1"/>
  <c r="CH26" i="1"/>
  <c r="CI26" i="1"/>
  <c r="CJ26" i="1"/>
  <c r="CK26" i="1"/>
  <c r="CL26" i="1"/>
  <c r="CM26" i="1"/>
  <c r="CN26" i="1"/>
  <c r="CO26" i="1"/>
  <c r="CP26" i="1"/>
  <c r="CQ26" i="1"/>
  <c r="CR26" i="1"/>
  <c r="CS26" i="1"/>
  <c r="CT26" i="1"/>
  <c r="CU26" i="1"/>
  <c r="CV26" i="1"/>
  <c r="BQ27" i="1"/>
  <c r="BR27" i="1"/>
  <c r="BS27" i="1"/>
  <c r="BV27" i="1"/>
  <c r="BW27" i="1"/>
  <c r="BX27" i="1"/>
  <c r="BY27" i="1"/>
  <c r="BZ27" i="1"/>
  <c r="CA27" i="1"/>
  <c r="CB27" i="1"/>
  <c r="CC27" i="1"/>
  <c r="CD27" i="1"/>
  <c r="CE27" i="1"/>
  <c r="CF27" i="1"/>
  <c r="CG27" i="1"/>
  <c r="CH27" i="1"/>
  <c r="CI27" i="1"/>
  <c r="CJ27" i="1"/>
  <c r="CK27" i="1"/>
  <c r="CL27" i="1"/>
  <c r="CM27" i="1"/>
  <c r="CN27" i="1"/>
  <c r="CO27" i="1"/>
  <c r="CP27" i="1"/>
  <c r="CQ27" i="1"/>
  <c r="CR27" i="1"/>
  <c r="CS27" i="1"/>
  <c r="CT27" i="1"/>
  <c r="CU27" i="1"/>
  <c r="CV27" i="1"/>
  <c r="BQ28" i="1"/>
  <c r="BR28" i="1"/>
  <c r="BS28" i="1"/>
  <c r="BV28" i="1"/>
  <c r="BW28" i="1"/>
  <c r="BX28" i="1"/>
  <c r="BY28" i="1"/>
  <c r="BZ28" i="1"/>
  <c r="CA28" i="1"/>
  <c r="CB28" i="1"/>
  <c r="CC28" i="1"/>
  <c r="CD28" i="1"/>
  <c r="CE28" i="1"/>
  <c r="CF28" i="1"/>
  <c r="CG28" i="1"/>
  <c r="CH28" i="1"/>
  <c r="CI28" i="1"/>
  <c r="CJ28" i="1"/>
  <c r="CK28" i="1"/>
  <c r="CL28" i="1"/>
  <c r="CM28" i="1"/>
  <c r="CN28" i="1"/>
  <c r="CO28" i="1"/>
  <c r="CP28" i="1"/>
  <c r="CQ28" i="1"/>
  <c r="CR28" i="1"/>
  <c r="CS28" i="1"/>
  <c r="CT28" i="1"/>
  <c r="CU28" i="1"/>
  <c r="CV28" i="1"/>
  <c r="BQ29" i="1"/>
  <c r="BR29" i="1"/>
  <c r="BS29" i="1"/>
  <c r="BV29" i="1"/>
  <c r="BW29" i="1"/>
  <c r="BX29" i="1"/>
  <c r="BY29" i="1"/>
  <c r="BZ29" i="1"/>
  <c r="CA29" i="1"/>
  <c r="CB29" i="1"/>
  <c r="CC29" i="1"/>
  <c r="CD29" i="1"/>
  <c r="CE29" i="1"/>
  <c r="CF29" i="1"/>
  <c r="CG29" i="1"/>
  <c r="CH29" i="1"/>
  <c r="CI29" i="1"/>
  <c r="CJ29" i="1"/>
  <c r="CK29" i="1"/>
  <c r="CL29" i="1"/>
  <c r="CM29" i="1"/>
  <c r="CN29" i="1"/>
  <c r="CO29" i="1"/>
  <c r="CP29" i="1"/>
  <c r="CQ29" i="1"/>
  <c r="CR29" i="1"/>
  <c r="CS29" i="1"/>
  <c r="CT29" i="1"/>
  <c r="CU29" i="1"/>
  <c r="CV29" i="1"/>
  <c r="BQ30" i="1"/>
  <c r="BR30" i="1"/>
  <c r="BS30" i="1"/>
  <c r="BV30" i="1"/>
  <c r="BW30" i="1"/>
  <c r="BX30" i="1"/>
  <c r="BY30" i="1"/>
  <c r="BZ30" i="1"/>
  <c r="CA30" i="1"/>
  <c r="CB30" i="1"/>
  <c r="CC30" i="1"/>
  <c r="CD30" i="1"/>
  <c r="CE30" i="1"/>
  <c r="CF30" i="1"/>
  <c r="CG30" i="1"/>
  <c r="CH30" i="1"/>
  <c r="CI30" i="1"/>
  <c r="CJ30" i="1"/>
  <c r="CK30" i="1"/>
  <c r="CL30" i="1"/>
  <c r="CM30" i="1"/>
  <c r="CN30" i="1"/>
  <c r="CO30" i="1"/>
  <c r="CP30" i="1"/>
  <c r="CQ30" i="1"/>
  <c r="CR30" i="1"/>
  <c r="CS30" i="1"/>
  <c r="CT30" i="1"/>
  <c r="CU30" i="1"/>
  <c r="CV30" i="1"/>
  <c r="AI31" i="1"/>
  <c r="BQ31" i="1"/>
  <c r="BR31" i="1"/>
  <c r="BS31" i="1"/>
  <c r="BV31" i="1"/>
  <c r="BW31" i="1"/>
  <c r="BX31" i="1"/>
  <c r="BY31" i="1"/>
  <c r="BZ31" i="1"/>
  <c r="CA31" i="1"/>
  <c r="CB31" i="1"/>
  <c r="CC31" i="1"/>
  <c r="CD31" i="1"/>
  <c r="CE31" i="1"/>
  <c r="CF31" i="1"/>
  <c r="CG31" i="1"/>
  <c r="CH31" i="1"/>
  <c r="CI31" i="1"/>
  <c r="CJ31" i="1"/>
  <c r="CK31" i="1"/>
  <c r="CL31" i="1"/>
  <c r="CM31" i="1"/>
  <c r="CN31" i="1"/>
  <c r="CO31" i="1"/>
  <c r="CP31" i="1"/>
  <c r="CQ31" i="1"/>
  <c r="CR31" i="1"/>
  <c r="CS31" i="1"/>
  <c r="CT31" i="1"/>
  <c r="CU31" i="1"/>
  <c r="CV31" i="1"/>
  <c r="BQ32" i="1"/>
  <c r="BR32" i="1"/>
  <c r="BS32" i="1"/>
  <c r="BV32" i="1"/>
  <c r="BW32" i="1"/>
  <c r="BX32" i="1"/>
  <c r="BY32" i="1"/>
  <c r="BZ32" i="1"/>
  <c r="CA32" i="1"/>
  <c r="CB32" i="1"/>
  <c r="CC32" i="1"/>
  <c r="CD32" i="1"/>
  <c r="CE32" i="1"/>
  <c r="CF32" i="1"/>
  <c r="CG32" i="1"/>
  <c r="CH32" i="1"/>
  <c r="CI32" i="1"/>
  <c r="CJ32" i="1"/>
  <c r="CK32" i="1"/>
  <c r="CL32" i="1"/>
  <c r="CM32" i="1"/>
  <c r="CN32" i="1"/>
  <c r="CO32" i="1"/>
  <c r="CP32" i="1"/>
  <c r="CQ32" i="1"/>
  <c r="CR32" i="1"/>
  <c r="CS32" i="1"/>
  <c r="CT32" i="1"/>
  <c r="CU32" i="1"/>
  <c r="CV32" i="1"/>
  <c r="BQ33" i="1"/>
  <c r="BR33" i="1"/>
  <c r="BS33" i="1"/>
  <c r="BV33" i="1"/>
  <c r="BW33" i="1"/>
  <c r="BX33" i="1"/>
  <c r="BY33" i="1"/>
  <c r="BZ33" i="1"/>
  <c r="CA33" i="1"/>
  <c r="CB33" i="1"/>
  <c r="CC33" i="1"/>
  <c r="CD33" i="1"/>
  <c r="CE33" i="1"/>
  <c r="CF33" i="1"/>
  <c r="CG33" i="1"/>
  <c r="CH33" i="1"/>
  <c r="CI33" i="1"/>
  <c r="CJ33" i="1"/>
  <c r="CK33" i="1"/>
  <c r="CL33" i="1"/>
  <c r="CM33" i="1"/>
  <c r="CN33" i="1"/>
  <c r="CO33" i="1"/>
  <c r="CP33" i="1"/>
  <c r="CQ33" i="1"/>
  <c r="CR33" i="1"/>
  <c r="CS33" i="1"/>
  <c r="CT33" i="1"/>
  <c r="CU33" i="1"/>
  <c r="CV33" i="1"/>
  <c r="BQ34" i="1"/>
  <c r="BR34" i="1"/>
  <c r="BS34" i="1"/>
  <c r="BV34" i="1"/>
  <c r="BW34" i="1"/>
  <c r="BX34" i="1"/>
  <c r="BY34" i="1"/>
  <c r="BZ34" i="1"/>
  <c r="CA34" i="1"/>
  <c r="CB34" i="1"/>
  <c r="CC34" i="1"/>
  <c r="CD34" i="1"/>
  <c r="CE34" i="1"/>
  <c r="CF34" i="1"/>
  <c r="CG34" i="1"/>
  <c r="CH34" i="1"/>
  <c r="CI34" i="1"/>
  <c r="CJ34" i="1"/>
  <c r="CK34" i="1"/>
  <c r="CL34" i="1"/>
  <c r="CM34" i="1"/>
  <c r="CN34" i="1"/>
  <c r="CO34" i="1"/>
  <c r="CP34" i="1"/>
  <c r="CQ34" i="1"/>
  <c r="CR34" i="1"/>
  <c r="CS34" i="1"/>
  <c r="CT34" i="1"/>
  <c r="CU34" i="1"/>
  <c r="CV34" i="1"/>
  <c r="AI35" i="1"/>
  <c r="BQ35" i="1"/>
  <c r="BR35" i="1"/>
  <c r="BS35" i="1"/>
  <c r="BV35" i="1"/>
  <c r="BW35" i="1"/>
  <c r="BX35" i="1"/>
  <c r="BY35" i="1"/>
  <c r="BZ35" i="1"/>
  <c r="CA35" i="1"/>
  <c r="CB35" i="1"/>
  <c r="CC35" i="1"/>
  <c r="CD35" i="1"/>
  <c r="CE35" i="1"/>
  <c r="CF35" i="1"/>
  <c r="CG35" i="1"/>
  <c r="CH35" i="1"/>
  <c r="CI35" i="1"/>
  <c r="CJ35" i="1"/>
  <c r="CK35" i="1"/>
  <c r="CL35" i="1"/>
  <c r="CM35" i="1"/>
  <c r="CN35" i="1"/>
  <c r="CO35" i="1"/>
  <c r="CP35" i="1"/>
  <c r="CQ35" i="1"/>
  <c r="CR35" i="1"/>
  <c r="CS35" i="1"/>
  <c r="CT35" i="1"/>
  <c r="CU35" i="1"/>
  <c r="CV35" i="1"/>
  <c r="BQ36" i="1"/>
  <c r="BR36" i="1"/>
  <c r="BS36" i="1"/>
  <c r="BV36" i="1"/>
  <c r="BW36" i="1"/>
  <c r="BX36" i="1"/>
  <c r="BY36" i="1"/>
  <c r="BZ36" i="1"/>
  <c r="CA36" i="1"/>
  <c r="CB36" i="1"/>
  <c r="CC36" i="1"/>
  <c r="CD36" i="1"/>
  <c r="CE36" i="1"/>
  <c r="CF36" i="1"/>
  <c r="CG36" i="1"/>
  <c r="CH36" i="1"/>
  <c r="CI36" i="1"/>
  <c r="CJ36" i="1"/>
  <c r="CK36" i="1"/>
  <c r="CL36" i="1"/>
  <c r="CM36" i="1"/>
  <c r="CN36" i="1"/>
  <c r="CO36" i="1"/>
  <c r="CP36" i="1"/>
  <c r="CQ36" i="1"/>
  <c r="CR36" i="1"/>
  <c r="CS36" i="1"/>
  <c r="CT36" i="1"/>
  <c r="CU36" i="1"/>
  <c r="CV36" i="1"/>
  <c r="BQ37" i="1"/>
  <c r="BR37" i="1"/>
  <c r="BS37" i="1"/>
  <c r="BV37" i="1"/>
  <c r="BW37" i="1"/>
  <c r="BX37" i="1"/>
  <c r="BY37" i="1"/>
  <c r="BZ37" i="1"/>
  <c r="CA37" i="1"/>
  <c r="CB37" i="1"/>
  <c r="CC37" i="1"/>
  <c r="CD37" i="1"/>
  <c r="CE37" i="1"/>
  <c r="CF37" i="1"/>
  <c r="CG37" i="1"/>
  <c r="CH37" i="1"/>
  <c r="CI37" i="1"/>
  <c r="CJ37" i="1"/>
  <c r="CK37" i="1"/>
  <c r="CL37" i="1"/>
  <c r="CM37" i="1"/>
  <c r="CN37" i="1"/>
  <c r="CO37" i="1"/>
  <c r="CP37" i="1"/>
  <c r="CQ37" i="1"/>
  <c r="CR37" i="1"/>
  <c r="CS37" i="1"/>
  <c r="CT37" i="1"/>
  <c r="CU37" i="1"/>
  <c r="CV37" i="1"/>
  <c r="BQ38" i="1"/>
  <c r="BR38" i="1"/>
  <c r="BS38" i="1"/>
  <c r="BV38" i="1"/>
  <c r="BW38" i="1"/>
  <c r="BX38" i="1"/>
  <c r="BY38" i="1"/>
  <c r="BZ38" i="1"/>
  <c r="CA38" i="1"/>
  <c r="CB38" i="1"/>
  <c r="CC38" i="1"/>
  <c r="CD38" i="1"/>
  <c r="CE38" i="1"/>
  <c r="CF38" i="1"/>
  <c r="CG38" i="1"/>
  <c r="CH38" i="1"/>
  <c r="CI38" i="1"/>
  <c r="CJ38" i="1"/>
  <c r="CK38" i="1"/>
  <c r="CL38" i="1"/>
  <c r="CM38" i="1"/>
  <c r="CN38" i="1"/>
  <c r="CO38" i="1"/>
  <c r="CP38" i="1"/>
  <c r="CQ38" i="1"/>
  <c r="CR38" i="1"/>
  <c r="CS38" i="1"/>
  <c r="CT38" i="1"/>
  <c r="CU38" i="1"/>
  <c r="CV38" i="1"/>
  <c r="BQ39" i="1"/>
  <c r="BR39" i="1"/>
  <c r="BS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BQ40" i="1"/>
  <c r="BR40" i="1"/>
  <c r="BS40" i="1"/>
  <c r="BV40" i="1"/>
  <c r="BW40" i="1"/>
  <c r="BX40" i="1"/>
  <c r="BY40" i="1"/>
  <c r="BZ40" i="1"/>
  <c r="CA40" i="1"/>
  <c r="CB40" i="1"/>
  <c r="CC40" i="1"/>
  <c r="CD40" i="1"/>
  <c r="CE40" i="1"/>
  <c r="CF40" i="1"/>
  <c r="CG40" i="1"/>
  <c r="CH40" i="1"/>
  <c r="CI40" i="1"/>
  <c r="CJ40" i="1"/>
  <c r="CK40" i="1"/>
  <c r="CL40" i="1"/>
  <c r="CM40" i="1"/>
  <c r="CN40" i="1"/>
  <c r="CO40" i="1"/>
  <c r="CP40" i="1"/>
  <c r="CQ40" i="1"/>
  <c r="CR40" i="1"/>
  <c r="CS40" i="1"/>
  <c r="CT40" i="1"/>
  <c r="CU40" i="1"/>
  <c r="CV40" i="1"/>
  <c r="BQ41" i="1"/>
  <c r="BR41" i="1"/>
  <c r="BS41" i="1"/>
  <c r="BV41" i="1"/>
  <c r="BW41" i="1"/>
  <c r="BX41" i="1"/>
  <c r="BY41" i="1"/>
  <c r="BZ41" i="1"/>
  <c r="CA41" i="1"/>
  <c r="CB41" i="1"/>
  <c r="CC41" i="1"/>
  <c r="CD41" i="1"/>
  <c r="CE41" i="1"/>
  <c r="CF41" i="1"/>
  <c r="CG41" i="1"/>
  <c r="CH41" i="1"/>
  <c r="CI41" i="1"/>
  <c r="CJ41" i="1"/>
  <c r="CK41" i="1"/>
  <c r="CL41" i="1"/>
  <c r="CM41" i="1"/>
  <c r="CN41" i="1"/>
  <c r="CO41" i="1"/>
  <c r="CP41" i="1"/>
  <c r="CQ41" i="1"/>
  <c r="CR41" i="1"/>
  <c r="CS41" i="1"/>
  <c r="CT41" i="1"/>
  <c r="CU41" i="1"/>
  <c r="CV41" i="1"/>
  <c r="BQ42" i="1"/>
  <c r="BR42" i="1"/>
  <c r="BS42" i="1"/>
  <c r="BV42" i="1"/>
  <c r="BW42" i="1"/>
  <c r="BX42" i="1"/>
  <c r="BY42" i="1"/>
  <c r="BZ42" i="1"/>
  <c r="CA42" i="1"/>
  <c r="CB42" i="1"/>
  <c r="CC42" i="1"/>
  <c r="CD42" i="1"/>
  <c r="CE42" i="1"/>
  <c r="CF42" i="1"/>
  <c r="CG42" i="1"/>
  <c r="CH42" i="1"/>
  <c r="CI42" i="1"/>
  <c r="CJ42" i="1"/>
  <c r="CK42" i="1"/>
  <c r="CL42" i="1"/>
  <c r="CM42" i="1"/>
  <c r="CN42" i="1"/>
  <c r="CO42" i="1"/>
  <c r="CP42" i="1"/>
  <c r="CQ42" i="1"/>
  <c r="CR42" i="1"/>
  <c r="CS42" i="1"/>
  <c r="CT42" i="1"/>
  <c r="CU42" i="1"/>
  <c r="CV42" i="1"/>
  <c r="BQ43" i="1"/>
  <c r="BR43" i="1"/>
  <c r="BS43" i="1"/>
  <c r="BV43" i="1"/>
  <c r="BW43" i="1"/>
  <c r="BX43" i="1"/>
  <c r="BY43" i="1"/>
  <c r="BZ43" i="1"/>
  <c r="CA43" i="1"/>
  <c r="CB43" i="1"/>
  <c r="CC43" i="1"/>
  <c r="CD43" i="1"/>
  <c r="CE43" i="1"/>
  <c r="CF43" i="1"/>
  <c r="CG43" i="1"/>
  <c r="CH43" i="1"/>
  <c r="CI43" i="1"/>
  <c r="CJ43" i="1"/>
  <c r="CK43" i="1"/>
  <c r="CL43" i="1"/>
  <c r="CM43" i="1"/>
  <c r="CN43" i="1"/>
  <c r="CO43" i="1"/>
  <c r="CP43" i="1"/>
  <c r="CQ43" i="1"/>
  <c r="CR43" i="1"/>
  <c r="CS43" i="1"/>
  <c r="CT43" i="1"/>
  <c r="CU43" i="1"/>
  <c r="CV43" i="1"/>
  <c r="BQ44" i="1"/>
  <c r="BR44" i="1"/>
  <c r="BS44" i="1"/>
  <c r="BV44" i="1"/>
  <c r="BW44" i="1"/>
  <c r="BX44" i="1"/>
  <c r="BY44" i="1"/>
  <c r="BZ44" i="1"/>
  <c r="CA44" i="1"/>
  <c r="CB44" i="1"/>
  <c r="CC44" i="1"/>
  <c r="CD44" i="1"/>
  <c r="CE44" i="1"/>
  <c r="CF44" i="1"/>
  <c r="CG44" i="1"/>
  <c r="CH44" i="1"/>
  <c r="CI44" i="1"/>
  <c r="CJ44" i="1"/>
  <c r="CK44" i="1"/>
  <c r="CL44" i="1"/>
  <c r="CM44" i="1"/>
  <c r="CN44" i="1"/>
  <c r="CO44" i="1"/>
  <c r="CP44" i="1"/>
  <c r="CQ44" i="1"/>
  <c r="CR44" i="1"/>
  <c r="CS44" i="1"/>
  <c r="CT44" i="1"/>
  <c r="CU44" i="1"/>
  <c r="CV44" i="1"/>
  <c r="BQ45" i="1"/>
  <c r="BR45" i="1"/>
  <c r="BS45" i="1"/>
  <c r="BV45" i="1"/>
  <c r="BW45" i="1"/>
  <c r="BX45" i="1"/>
  <c r="BY45" i="1"/>
  <c r="BZ45" i="1"/>
  <c r="CA45" i="1"/>
  <c r="CB45" i="1"/>
  <c r="CC45" i="1"/>
  <c r="CD45" i="1"/>
  <c r="CE45" i="1"/>
  <c r="CF45" i="1"/>
  <c r="CG45" i="1"/>
  <c r="CH45" i="1"/>
  <c r="CI45" i="1"/>
  <c r="CJ45" i="1"/>
  <c r="CK45" i="1"/>
  <c r="CL45" i="1"/>
  <c r="CM45" i="1"/>
  <c r="CN45" i="1"/>
  <c r="CO45" i="1"/>
  <c r="CP45" i="1"/>
  <c r="CQ45" i="1"/>
  <c r="CR45" i="1"/>
  <c r="CS45" i="1"/>
  <c r="CT45" i="1"/>
  <c r="CU45" i="1"/>
  <c r="CV45" i="1"/>
  <c r="BQ46" i="1"/>
  <c r="BR46" i="1"/>
  <c r="BS46" i="1"/>
  <c r="BV46" i="1"/>
  <c r="BW46" i="1"/>
  <c r="BX46" i="1"/>
  <c r="BY46" i="1"/>
  <c r="BZ46" i="1"/>
  <c r="CA46" i="1"/>
  <c r="CB46" i="1"/>
  <c r="CC46" i="1"/>
  <c r="CD46" i="1"/>
  <c r="CE46" i="1"/>
  <c r="CF46" i="1"/>
  <c r="CG46" i="1"/>
  <c r="CH46" i="1"/>
  <c r="CI46" i="1"/>
  <c r="CJ46" i="1"/>
  <c r="CK46" i="1"/>
  <c r="CL46" i="1"/>
  <c r="CM46" i="1"/>
  <c r="CN46" i="1"/>
  <c r="CO46" i="1"/>
  <c r="CP46" i="1"/>
  <c r="CQ46" i="1"/>
  <c r="CR46" i="1"/>
  <c r="CS46" i="1"/>
  <c r="CT46" i="1"/>
  <c r="CU46" i="1"/>
  <c r="CV46" i="1"/>
  <c r="BQ47" i="1"/>
  <c r="BR47" i="1"/>
  <c r="BS47" i="1"/>
  <c r="BV47" i="1"/>
  <c r="BW47" i="1"/>
  <c r="BX47" i="1"/>
  <c r="BY47" i="1"/>
  <c r="BZ47" i="1"/>
  <c r="CA47" i="1"/>
  <c r="CB47" i="1"/>
  <c r="CC47" i="1"/>
  <c r="CD47" i="1"/>
  <c r="CE47" i="1"/>
  <c r="CF47" i="1"/>
  <c r="CG47" i="1"/>
  <c r="CH47" i="1"/>
  <c r="CI47" i="1"/>
  <c r="CJ47" i="1"/>
  <c r="CK47" i="1"/>
  <c r="CL47" i="1"/>
  <c r="CM47" i="1"/>
  <c r="CN47" i="1"/>
  <c r="CO47" i="1"/>
  <c r="CP47" i="1"/>
  <c r="CQ47" i="1"/>
  <c r="CR47" i="1"/>
  <c r="CS47" i="1"/>
  <c r="CT47" i="1"/>
  <c r="CU47" i="1"/>
  <c r="CV47" i="1"/>
  <c r="BQ48" i="1"/>
  <c r="BR48" i="1"/>
  <c r="BS48" i="1"/>
  <c r="BV48" i="1"/>
  <c r="BW48" i="1"/>
  <c r="BX48" i="1"/>
  <c r="BY48" i="1"/>
  <c r="BZ48" i="1"/>
  <c r="CA48" i="1"/>
  <c r="CB48" i="1"/>
  <c r="CC48" i="1"/>
  <c r="CD48" i="1"/>
  <c r="CE48" i="1"/>
  <c r="CF48" i="1"/>
  <c r="CG48" i="1"/>
  <c r="CH48" i="1"/>
  <c r="CI48" i="1"/>
  <c r="CJ48" i="1"/>
  <c r="CK48" i="1"/>
  <c r="CL48" i="1"/>
  <c r="CM48" i="1"/>
  <c r="CN48" i="1"/>
  <c r="CO48" i="1"/>
  <c r="CP48" i="1"/>
  <c r="CQ48" i="1"/>
  <c r="CR48" i="1"/>
  <c r="CS48" i="1"/>
  <c r="CT48" i="1"/>
  <c r="CU48" i="1"/>
  <c r="CV48" i="1"/>
  <c r="BQ49" i="1"/>
  <c r="BR49" i="1"/>
  <c r="BS49" i="1"/>
  <c r="BV49" i="1"/>
  <c r="BW49" i="1"/>
  <c r="BX49" i="1"/>
  <c r="BY49" i="1"/>
  <c r="BZ49" i="1"/>
  <c r="CA49" i="1"/>
  <c r="CB49" i="1"/>
  <c r="CC49" i="1"/>
  <c r="CD49" i="1"/>
  <c r="CE49" i="1"/>
  <c r="CF49" i="1"/>
  <c r="CG49" i="1"/>
  <c r="CH49" i="1"/>
  <c r="CI49" i="1"/>
  <c r="CJ49" i="1"/>
  <c r="CK49" i="1"/>
  <c r="CL49" i="1"/>
  <c r="CM49" i="1"/>
  <c r="CN49" i="1"/>
  <c r="CO49" i="1"/>
  <c r="CP49" i="1"/>
  <c r="CQ49" i="1"/>
  <c r="CR49" i="1"/>
  <c r="CS49" i="1"/>
  <c r="CT49" i="1"/>
  <c r="CU49" i="1"/>
  <c r="CV49" i="1"/>
  <c r="BQ50" i="1"/>
  <c r="BR50" i="1"/>
  <c r="BS50" i="1"/>
  <c r="BV50" i="1"/>
  <c r="BW50" i="1"/>
  <c r="BX50" i="1"/>
  <c r="BY50" i="1"/>
  <c r="BZ50" i="1"/>
  <c r="CA50" i="1"/>
  <c r="CB50" i="1"/>
  <c r="CC50" i="1"/>
  <c r="CD50" i="1"/>
  <c r="CE50" i="1"/>
  <c r="CF50" i="1"/>
  <c r="CG50" i="1"/>
  <c r="CH50" i="1"/>
  <c r="CI50" i="1"/>
  <c r="CJ50" i="1"/>
  <c r="CK50" i="1"/>
  <c r="CL50" i="1"/>
  <c r="CM50" i="1"/>
  <c r="CN50" i="1"/>
  <c r="CO50" i="1"/>
  <c r="CP50" i="1"/>
  <c r="CQ50" i="1"/>
  <c r="CR50" i="1"/>
  <c r="CS50" i="1"/>
  <c r="CT50" i="1"/>
  <c r="CU50" i="1"/>
  <c r="CV50" i="1"/>
  <c r="BQ51" i="1"/>
  <c r="BR51" i="1"/>
  <c r="BS51" i="1"/>
  <c r="BV51" i="1"/>
  <c r="BW51" i="1"/>
  <c r="BX51" i="1"/>
  <c r="BY51" i="1"/>
  <c r="BZ51" i="1"/>
  <c r="CA51" i="1"/>
  <c r="CB51" i="1"/>
  <c r="CC51" i="1"/>
  <c r="CD51" i="1"/>
  <c r="CE51" i="1"/>
  <c r="CF51" i="1"/>
  <c r="CG51" i="1"/>
  <c r="CH51" i="1"/>
  <c r="CI51" i="1"/>
  <c r="CJ51" i="1"/>
  <c r="CK51" i="1"/>
  <c r="CL51" i="1"/>
  <c r="CM51" i="1"/>
  <c r="CN51" i="1"/>
  <c r="CO51" i="1"/>
  <c r="CP51" i="1"/>
  <c r="CQ51" i="1"/>
  <c r="CR51" i="1"/>
  <c r="CS51" i="1"/>
  <c r="CT51" i="1"/>
  <c r="CU51" i="1"/>
  <c r="CV51" i="1"/>
  <c r="BQ52" i="1"/>
  <c r="BR52" i="1"/>
  <c r="BS52" i="1"/>
  <c r="BV52" i="1"/>
  <c r="BW52" i="1"/>
  <c r="BX52" i="1"/>
  <c r="BY52" i="1"/>
  <c r="BZ52" i="1"/>
  <c r="CA52" i="1"/>
  <c r="CB52" i="1"/>
  <c r="CC52" i="1"/>
  <c r="CD52" i="1"/>
  <c r="CE52" i="1"/>
  <c r="CF52" i="1"/>
  <c r="CG52" i="1"/>
  <c r="CH52" i="1"/>
  <c r="CI52" i="1"/>
  <c r="CJ52" i="1"/>
  <c r="CK52" i="1"/>
  <c r="CL52" i="1"/>
  <c r="CM52" i="1"/>
  <c r="CN52" i="1"/>
  <c r="CO52" i="1"/>
  <c r="CP52" i="1"/>
  <c r="CQ52" i="1"/>
  <c r="CR52" i="1"/>
  <c r="CS52" i="1"/>
  <c r="CT52" i="1"/>
  <c r="CU52" i="1"/>
  <c r="CV52" i="1"/>
  <c r="BQ53" i="1"/>
  <c r="BR53" i="1"/>
  <c r="BS53" i="1"/>
  <c r="BV53" i="1"/>
  <c r="BW53" i="1"/>
  <c r="BX53" i="1"/>
  <c r="BY53" i="1"/>
  <c r="BZ53" i="1"/>
  <c r="CA53" i="1"/>
  <c r="CB53" i="1"/>
  <c r="CC53" i="1"/>
  <c r="CD53" i="1"/>
  <c r="CE53" i="1"/>
  <c r="CF53" i="1"/>
  <c r="CG53" i="1"/>
  <c r="CH53" i="1"/>
  <c r="CI53" i="1"/>
  <c r="CJ53" i="1"/>
  <c r="CK53" i="1"/>
  <c r="CL53" i="1"/>
  <c r="CM53" i="1"/>
  <c r="CN53" i="1"/>
  <c r="CO53" i="1"/>
  <c r="CP53" i="1"/>
  <c r="CQ53" i="1"/>
  <c r="CR53" i="1"/>
  <c r="CS53" i="1"/>
  <c r="CT53" i="1"/>
  <c r="CU53" i="1"/>
  <c r="CV53" i="1"/>
  <c r="BQ54" i="1"/>
  <c r="BR54" i="1"/>
  <c r="BS54" i="1"/>
  <c r="BV54" i="1"/>
  <c r="BW54" i="1"/>
  <c r="BX54" i="1"/>
  <c r="BY54" i="1"/>
  <c r="BZ54" i="1"/>
  <c r="CA54" i="1"/>
  <c r="CB54" i="1"/>
  <c r="CC54" i="1"/>
  <c r="CD54" i="1"/>
  <c r="CE54" i="1"/>
  <c r="CF54" i="1"/>
  <c r="CG54" i="1"/>
  <c r="CH54" i="1"/>
  <c r="CI54" i="1"/>
  <c r="CJ54" i="1"/>
  <c r="CK54" i="1"/>
  <c r="CL54" i="1"/>
  <c r="CM54" i="1"/>
  <c r="CN54" i="1"/>
  <c r="CO54" i="1"/>
  <c r="CP54" i="1"/>
  <c r="CQ54" i="1"/>
  <c r="CR54" i="1"/>
  <c r="CS54" i="1"/>
  <c r="CT54" i="1"/>
  <c r="CU54" i="1"/>
  <c r="CV54" i="1"/>
  <c r="BQ55" i="1"/>
  <c r="BR55" i="1"/>
  <c r="BS55" i="1"/>
  <c r="BV55" i="1"/>
  <c r="BW55" i="1"/>
  <c r="BX55" i="1"/>
  <c r="BY55" i="1"/>
  <c r="BZ55" i="1"/>
  <c r="CA55" i="1"/>
  <c r="CB55" i="1"/>
  <c r="CC55" i="1"/>
  <c r="CD55" i="1"/>
  <c r="CE55" i="1"/>
  <c r="CF55" i="1"/>
  <c r="CG55" i="1"/>
  <c r="CH55" i="1"/>
  <c r="CI55" i="1"/>
  <c r="CJ55" i="1"/>
  <c r="CK55" i="1"/>
  <c r="CL55" i="1"/>
  <c r="CM55" i="1"/>
  <c r="CN55" i="1"/>
  <c r="CO55" i="1"/>
  <c r="CP55" i="1"/>
  <c r="CQ55" i="1"/>
  <c r="CR55" i="1"/>
  <c r="CS55" i="1"/>
  <c r="CT55" i="1"/>
  <c r="CU55" i="1"/>
  <c r="CV55" i="1"/>
  <c r="BQ56" i="1"/>
  <c r="BR56" i="1"/>
  <c r="BS56" i="1"/>
  <c r="BV56" i="1"/>
  <c r="BW56" i="1"/>
  <c r="BX56" i="1"/>
  <c r="BY56" i="1"/>
  <c r="BZ56" i="1"/>
  <c r="CA56" i="1"/>
  <c r="CB56" i="1"/>
  <c r="CC56" i="1"/>
  <c r="CD56" i="1"/>
  <c r="CE56" i="1"/>
  <c r="CF56" i="1"/>
  <c r="CG56" i="1"/>
  <c r="CH56" i="1"/>
  <c r="CI56" i="1"/>
  <c r="CJ56" i="1"/>
  <c r="CK56" i="1"/>
  <c r="CL56" i="1"/>
  <c r="CM56" i="1"/>
  <c r="CN56" i="1"/>
  <c r="CO56" i="1"/>
  <c r="CP56" i="1"/>
  <c r="CQ56" i="1"/>
  <c r="CR56" i="1"/>
  <c r="CS56" i="1"/>
  <c r="CT56" i="1"/>
  <c r="CU56" i="1"/>
  <c r="CV56" i="1"/>
  <c r="BQ57" i="1"/>
  <c r="BR57" i="1"/>
  <c r="BS57" i="1"/>
  <c r="BV57" i="1"/>
  <c r="BW57" i="1"/>
  <c r="BX57" i="1"/>
  <c r="BY57" i="1"/>
  <c r="BZ57" i="1"/>
  <c r="CA57" i="1"/>
  <c r="CB57" i="1"/>
  <c r="CC57" i="1"/>
  <c r="CD57" i="1"/>
  <c r="CE57" i="1"/>
  <c r="CF57" i="1"/>
  <c r="CG57" i="1"/>
  <c r="CH57" i="1"/>
  <c r="CI57" i="1"/>
  <c r="CJ57" i="1"/>
  <c r="CK57" i="1"/>
  <c r="CL57" i="1"/>
  <c r="CM57" i="1"/>
  <c r="CN57" i="1"/>
  <c r="CO57" i="1"/>
  <c r="CP57" i="1"/>
  <c r="CQ57" i="1"/>
  <c r="CR57" i="1"/>
  <c r="CS57" i="1"/>
  <c r="CT57" i="1"/>
  <c r="CU57" i="1"/>
  <c r="CV57" i="1"/>
  <c r="BQ58" i="1"/>
  <c r="BR58" i="1"/>
  <c r="BS58" i="1"/>
  <c r="BV58" i="1"/>
  <c r="BW58" i="1"/>
  <c r="BX58" i="1"/>
  <c r="BY58" i="1"/>
  <c r="BZ58" i="1"/>
  <c r="CA58" i="1"/>
  <c r="CB58" i="1"/>
  <c r="CC58" i="1"/>
  <c r="CD58" i="1"/>
  <c r="CE58" i="1"/>
  <c r="CF58" i="1"/>
  <c r="CG58" i="1"/>
  <c r="CH58" i="1"/>
  <c r="CI58" i="1"/>
  <c r="CJ58" i="1"/>
  <c r="CK58" i="1"/>
  <c r="CL58" i="1"/>
  <c r="CM58" i="1"/>
  <c r="CN58" i="1"/>
  <c r="CO58" i="1"/>
  <c r="CP58" i="1"/>
  <c r="CQ58" i="1"/>
  <c r="CR58" i="1"/>
  <c r="CS58" i="1"/>
  <c r="CT58" i="1"/>
  <c r="CU58" i="1"/>
  <c r="CV58" i="1"/>
  <c r="BQ59" i="1"/>
  <c r="BR59" i="1"/>
  <c r="BS59" i="1"/>
  <c r="BV59" i="1"/>
  <c r="BW59" i="1"/>
  <c r="BX59" i="1"/>
  <c r="BY59" i="1"/>
  <c r="BZ59" i="1"/>
  <c r="CA59" i="1"/>
  <c r="CB59" i="1"/>
  <c r="CC59" i="1"/>
  <c r="CD59" i="1"/>
  <c r="CE59" i="1"/>
  <c r="CF59" i="1"/>
  <c r="CG59" i="1"/>
  <c r="CH59" i="1"/>
  <c r="CI59" i="1"/>
  <c r="CJ59" i="1"/>
  <c r="CK59" i="1"/>
  <c r="CL59" i="1"/>
  <c r="CM59" i="1"/>
  <c r="CN59" i="1"/>
  <c r="CO59" i="1"/>
  <c r="CP59" i="1"/>
  <c r="CQ59" i="1"/>
  <c r="CR59" i="1"/>
  <c r="CS59" i="1"/>
  <c r="CT59" i="1"/>
  <c r="CU59" i="1"/>
  <c r="CV59" i="1"/>
  <c r="BQ60" i="1"/>
  <c r="BR60" i="1"/>
  <c r="BS60" i="1"/>
  <c r="BV60" i="1"/>
  <c r="BW60" i="1"/>
  <c r="BX60" i="1"/>
  <c r="BY60" i="1"/>
  <c r="BZ60" i="1"/>
  <c r="CA60" i="1"/>
  <c r="CB60" i="1"/>
  <c r="CC60" i="1"/>
  <c r="CD60" i="1"/>
  <c r="CE60" i="1"/>
  <c r="CF60" i="1"/>
  <c r="CG60" i="1"/>
  <c r="CH60" i="1"/>
  <c r="CI60" i="1"/>
  <c r="CJ60" i="1"/>
  <c r="CK60" i="1"/>
  <c r="CL60" i="1"/>
  <c r="CM60" i="1"/>
  <c r="CN60" i="1"/>
  <c r="CO60" i="1"/>
  <c r="CP60" i="1"/>
  <c r="CQ60" i="1"/>
  <c r="CR60" i="1"/>
  <c r="CS60" i="1"/>
  <c r="CT60" i="1"/>
  <c r="CU60" i="1"/>
  <c r="CV60" i="1"/>
  <c r="BQ61" i="1"/>
  <c r="BR61" i="1"/>
  <c r="BS61" i="1"/>
  <c r="BV61" i="1"/>
  <c r="BW61" i="1"/>
  <c r="BX61" i="1"/>
  <c r="BY61" i="1"/>
  <c r="BZ61" i="1"/>
  <c r="CA61" i="1"/>
  <c r="CB61" i="1"/>
  <c r="CC61" i="1"/>
  <c r="CD61" i="1"/>
  <c r="CE61" i="1"/>
  <c r="CF61" i="1"/>
  <c r="CG61" i="1"/>
  <c r="CH61" i="1"/>
  <c r="CI61" i="1"/>
  <c r="CJ61" i="1"/>
  <c r="CK61" i="1"/>
  <c r="CL61" i="1"/>
  <c r="CM61" i="1"/>
  <c r="CN61" i="1"/>
  <c r="CO61" i="1"/>
  <c r="CP61" i="1"/>
  <c r="CQ61" i="1"/>
  <c r="CR61" i="1"/>
  <c r="CS61" i="1"/>
  <c r="CT61" i="1"/>
  <c r="CU61" i="1"/>
  <c r="CV61" i="1"/>
  <c r="BQ62" i="1"/>
  <c r="BR62" i="1"/>
  <c r="BS62" i="1"/>
  <c r="BV62" i="1"/>
  <c r="BW62" i="1"/>
  <c r="BX62" i="1"/>
  <c r="BY62" i="1"/>
  <c r="BZ62" i="1"/>
  <c r="CA62" i="1"/>
  <c r="CB62" i="1"/>
  <c r="CC62" i="1"/>
  <c r="CD62" i="1"/>
  <c r="CE62" i="1"/>
  <c r="CF62" i="1"/>
  <c r="CG62" i="1"/>
  <c r="CH62" i="1"/>
  <c r="CI62" i="1"/>
  <c r="CJ62" i="1"/>
  <c r="CK62" i="1"/>
  <c r="CL62" i="1"/>
  <c r="CM62" i="1"/>
  <c r="CN62" i="1"/>
  <c r="CO62" i="1"/>
  <c r="CP62" i="1"/>
  <c r="CQ62" i="1"/>
  <c r="CR62" i="1"/>
  <c r="CS62" i="1"/>
  <c r="CT62" i="1"/>
  <c r="CU62" i="1"/>
  <c r="CV62" i="1"/>
  <c r="BQ63" i="1"/>
  <c r="BR63" i="1"/>
  <c r="BS63" i="1"/>
  <c r="BV63" i="1"/>
  <c r="BW63" i="1"/>
  <c r="BX63" i="1"/>
  <c r="BY63" i="1"/>
  <c r="BZ63" i="1"/>
  <c r="CA63" i="1"/>
  <c r="CB63" i="1"/>
  <c r="CC63" i="1"/>
  <c r="CD63" i="1"/>
  <c r="CE63" i="1"/>
  <c r="CF63" i="1"/>
  <c r="CG63" i="1"/>
  <c r="CH63" i="1"/>
  <c r="CI63" i="1"/>
  <c r="CJ63" i="1"/>
  <c r="CK63" i="1"/>
  <c r="CL63" i="1"/>
  <c r="CM63" i="1"/>
  <c r="CN63" i="1"/>
  <c r="CO63" i="1"/>
  <c r="CP63" i="1"/>
  <c r="CQ63" i="1"/>
  <c r="CR63" i="1"/>
  <c r="CS63" i="1"/>
  <c r="CT63" i="1"/>
  <c r="CU63" i="1"/>
  <c r="CV63" i="1"/>
  <c r="BQ64" i="1"/>
  <c r="BR64" i="1"/>
  <c r="BS64" i="1"/>
  <c r="BV64" i="1"/>
  <c r="BW64" i="1"/>
  <c r="BX64" i="1"/>
  <c r="BY64" i="1"/>
  <c r="BZ64" i="1"/>
  <c r="CA64" i="1"/>
  <c r="CB64" i="1"/>
  <c r="CC64" i="1"/>
  <c r="CD64" i="1"/>
  <c r="CE64" i="1"/>
  <c r="CF64" i="1"/>
  <c r="CG64" i="1"/>
  <c r="CH64" i="1"/>
  <c r="CI64" i="1"/>
  <c r="CJ64" i="1"/>
  <c r="CK64" i="1"/>
  <c r="CL64" i="1"/>
  <c r="CM64" i="1"/>
  <c r="CN64" i="1"/>
  <c r="CO64" i="1"/>
  <c r="CP64" i="1"/>
  <c r="CQ64" i="1"/>
  <c r="CR64" i="1"/>
  <c r="CS64" i="1"/>
  <c r="CT64" i="1"/>
  <c r="CU64" i="1"/>
  <c r="CV64" i="1"/>
  <c r="BQ65" i="1"/>
  <c r="BR65" i="1"/>
  <c r="BS65" i="1"/>
  <c r="BV65" i="1"/>
  <c r="BW65" i="1"/>
  <c r="BX65" i="1"/>
  <c r="BY65" i="1"/>
  <c r="BZ65" i="1"/>
  <c r="CA65" i="1"/>
  <c r="CB65" i="1"/>
  <c r="CC65" i="1"/>
  <c r="CD65" i="1"/>
  <c r="CE65" i="1"/>
  <c r="CF65" i="1"/>
  <c r="CG65" i="1"/>
  <c r="CH65" i="1"/>
  <c r="CI65" i="1"/>
  <c r="CJ65" i="1"/>
  <c r="CK65" i="1"/>
  <c r="CL65" i="1"/>
  <c r="CM65" i="1"/>
  <c r="CN65" i="1"/>
  <c r="CO65" i="1"/>
  <c r="CP65" i="1"/>
  <c r="CQ65" i="1"/>
  <c r="CR65" i="1"/>
  <c r="CS65" i="1"/>
  <c r="CT65" i="1"/>
  <c r="CU65" i="1"/>
  <c r="CV65" i="1"/>
  <c r="BQ66" i="1"/>
  <c r="BR66" i="1"/>
  <c r="BS66" i="1"/>
  <c r="BV66" i="1"/>
  <c r="BW66" i="1"/>
  <c r="BX66" i="1"/>
  <c r="BY66" i="1"/>
  <c r="BZ66" i="1"/>
  <c r="CA66" i="1"/>
  <c r="CB66" i="1"/>
  <c r="CC66" i="1"/>
  <c r="CD66" i="1"/>
  <c r="CE66" i="1"/>
  <c r="CF66" i="1"/>
  <c r="CG66" i="1"/>
  <c r="CH66" i="1"/>
  <c r="CI66" i="1"/>
  <c r="CJ66" i="1"/>
  <c r="CK66" i="1"/>
  <c r="CL66" i="1"/>
  <c r="CM66" i="1"/>
  <c r="CN66" i="1"/>
  <c r="CO66" i="1"/>
  <c r="CP66" i="1"/>
  <c r="CQ66" i="1"/>
  <c r="CR66" i="1"/>
  <c r="CS66" i="1"/>
  <c r="CT66" i="1"/>
  <c r="CU66" i="1"/>
  <c r="CV66" i="1"/>
  <c r="BQ67" i="1"/>
  <c r="BR67" i="1"/>
  <c r="BS67" i="1"/>
  <c r="BV67" i="1"/>
  <c r="BW67" i="1"/>
  <c r="BX67" i="1"/>
  <c r="BY67" i="1"/>
  <c r="BZ67" i="1"/>
  <c r="CA67" i="1"/>
  <c r="CB67" i="1"/>
  <c r="CC67" i="1"/>
  <c r="CD67" i="1"/>
  <c r="CE67" i="1"/>
  <c r="CF67" i="1"/>
  <c r="CG67" i="1"/>
  <c r="CH67" i="1"/>
  <c r="CI67" i="1"/>
  <c r="CJ67" i="1"/>
  <c r="CK67" i="1"/>
  <c r="CL67" i="1"/>
  <c r="CM67" i="1"/>
  <c r="CN67" i="1"/>
  <c r="CO67" i="1"/>
  <c r="CP67" i="1"/>
  <c r="CQ67" i="1"/>
  <c r="CR67" i="1"/>
  <c r="CS67" i="1"/>
  <c r="CT67" i="1"/>
  <c r="CU67" i="1"/>
  <c r="CV67" i="1"/>
  <c r="BQ68" i="1"/>
  <c r="BR68" i="1"/>
  <c r="BS68" i="1"/>
  <c r="BV68" i="1"/>
  <c r="BW68" i="1"/>
  <c r="BX68" i="1"/>
  <c r="BY68" i="1"/>
  <c r="BZ68" i="1"/>
  <c r="CA68" i="1"/>
  <c r="CB68" i="1"/>
  <c r="CC68" i="1"/>
  <c r="CD68" i="1"/>
  <c r="CE68" i="1"/>
  <c r="CF68" i="1"/>
  <c r="CG68" i="1"/>
  <c r="CH68" i="1"/>
  <c r="CI68" i="1"/>
  <c r="CJ68" i="1"/>
  <c r="CK68" i="1"/>
  <c r="CL68" i="1"/>
  <c r="CM68" i="1"/>
  <c r="CN68" i="1"/>
  <c r="CO68" i="1"/>
  <c r="CP68" i="1"/>
  <c r="CQ68" i="1"/>
  <c r="CR68" i="1"/>
  <c r="CS68" i="1"/>
  <c r="CT68" i="1"/>
  <c r="CU68" i="1"/>
  <c r="CV68" i="1"/>
  <c r="BQ69" i="1"/>
  <c r="BR69" i="1"/>
  <c r="BS69" i="1"/>
  <c r="BV69" i="1"/>
  <c r="BW69" i="1"/>
  <c r="BX69" i="1"/>
  <c r="BY69" i="1"/>
  <c r="BZ69" i="1"/>
  <c r="CA69" i="1"/>
  <c r="CB69" i="1"/>
  <c r="CC69" i="1"/>
  <c r="CD69" i="1"/>
  <c r="CE69" i="1"/>
  <c r="CF69" i="1"/>
  <c r="CG69" i="1"/>
  <c r="CH69" i="1"/>
  <c r="CI69" i="1"/>
  <c r="CJ69" i="1"/>
  <c r="CK69" i="1"/>
  <c r="CL69" i="1"/>
  <c r="CM69" i="1"/>
  <c r="CN69" i="1"/>
  <c r="CO69" i="1"/>
  <c r="CP69" i="1"/>
  <c r="CQ69" i="1"/>
  <c r="CR69" i="1"/>
  <c r="CS69" i="1"/>
  <c r="CT69" i="1"/>
  <c r="CU69" i="1"/>
  <c r="CV69" i="1"/>
  <c r="BQ70" i="1"/>
  <c r="BR70" i="1"/>
  <c r="BS70" i="1"/>
  <c r="BV70" i="1"/>
  <c r="BW70" i="1"/>
  <c r="BX70" i="1"/>
  <c r="BY70" i="1"/>
  <c r="BZ70" i="1"/>
  <c r="CA70" i="1"/>
  <c r="CB70" i="1"/>
  <c r="CC70" i="1"/>
  <c r="CD70" i="1"/>
  <c r="CE70" i="1"/>
  <c r="CF70" i="1"/>
  <c r="CG70" i="1"/>
  <c r="CH70" i="1"/>
  <c r="CI70" i="1"/>
  <c r="CJ70" i="1"/>
  <c r="CK70" i="1"/>
  <c r="CL70" i="1"/>
  <c r="CM70" i="1"/>
  <c r="CN70" i="1"/>
  <c r="CO70" i="1"/>
  <c r="CP70" i="1"/>
  <c r="CQ70" i="1"/>
  <c r="CR70" i="1"/>
  <c r="CS70" i="1"/>
  <c r="CT70" i="1"/>
  <c r="CU70" i="1"/>
  <c r="CV70" i="1"/>
  <c r="AI71" i="1"/>
  <c r="BQ71" i="1"/>
  <c r="BR71" i="1"/>
  <c r="BS71" i="1"/>
  <c r="BV71" i="1"/>
  <c r="BW71" i="1"/>
  <c r="BX71" i="1"/>
  <c r="BY71" i="1"/>
  <c r="BZ71" i="1"/>
  <c r="CA71" i="1"/>
  <c r="CB71" i="1"/>
  <c r="CC71" i="1"/>
  <c r="CD71" i="1"/>
  <c r="CE71" i="1"/>
  <c r="CF71" i="1"/>
  <c r="CG71" i="1"/>
  <c r="CH71" i="1"/>
  <c r="CI71" i="1"/>
  <c r="CJ71" i="1"/>
  <c r="CK71" i="1"/>
  <c r="CL71" i="1"/>
  <c r="CM71" i="1"/>
  <c r="CN71" i="1"/>
  <c r="CO71" i="1"/>
  <c r="CP71" i="1"/>
  <c r="CQ71" i="1"/>
  <c r="CR71" i="1"/>
  <c r="CS71" i="1"/>
  <c r="CT71" i="1"/>
  <c r="CU71" i="1"/>
  <c r="CV71" i="1"/>
  <c r="BQ72" i="1"/>
  <c r="BR72" i="1"/>
  <c r="BS72" i="1"/>
  <c r="BV72" i="1"/>
  <c r="BW72" i="1"/>
  <c r="BX72" i="1"/>
  <c r="BY72" i="1"/>
  <c r="BZ72" i="1"/>
  <c r="CA72" i="1"/>
  <c r="CB72" i="1"/>
  <c r="CC72" i="1"/>
  <c r="CD72" i="1"/>
  <c r="CE72" i="1"/>
  <c r="CF72" i="1"/>
  <c r="CG72" i="1"/>
  <c r="CH72" i="1"/>
  <c r="CI72" i="1"/>
  <c r="CJ72" i="1"/>
  <c r="CK72" i="1"/>
  <c r="CL72" i="1"/>
  <c r="CM72" i="1"/>
  <c r="CN72" i="1"/>
  <c r="CO72" i="1"/>
  <c r="CP72" i="1"/>
  <c r="CQ72" i="1"/>
  <c r="CR72" i="1"/>
  <c r="CS72" i="1"/>
  <c r="CT72" i="1"/>
  <c r="CU72" i="1"/>
  <c r="CV72" i="1"/>
  <c r="BQ73" i="1"/>
  <c r="BR73" i="1"/>
  <c r="BS73" i="1"/>
  <c r="BV73" i="1"/>
  <c r="BW73" i="1"/>
  <c r="BX73" i="1"/>
  <c r="BY73" i="1"/>
  <c r="BZ73" i="1"/>
  <c r="CA73" i="1"/>
  <c r="CB73" i="1"/>
  <c r="CC73" i="1"/>
  <c r="CD73" i="1"/>
  <c r="CE73" i="1"/>
  <c r="CF73" i="1"/>
  <c r="CG73" i="1"/>
  <c r="CH73" i="1"/>
  <c r="CI73" i="1"/>
  <c r="CJ73" i="1"/>
  <c r="CK73" i="1"/>
  <c r="CL73" i="1"/>
  <c r="CM73" i="1"/>
  <c r="CN73" i="1"/>
  <c r="CO73" i="1"/>
  <c r="CP73" i="1"/>
  <c r="CQ73" i="1"/>
  <c r="CR73" i="1"/>
  <c r="CS73" i="1"/>
  <c r="CT73" i="1"/>
  <c r="CU73" i="1"/>
  <c r="CV73" i="1"/>
  <c r="BQ74" i="1"/>
  <c r="BR74" i="1"/>
  <c r="BS74" i="1"/>
  <c r="BV74" i="1"/>
  <c r="BW74" i="1"/>
  <c r="BX74" i="1"/>
  <c r="BY74" i="1"/>
  <c r="BZ74" i="1"/>
  <c r="CA74" i="1"/>
  <c r="CB74" i="1"/>
  <c r="CC74" i="1"/>
  <c r="CD74" i="1"/>
  <c r="CE74" i="1"/>
  <c r="CF74" i="1"/>
  <c r="CG74" i="1"/>
  <c r="CH74" i="1"/>
  <c r="CI74" i="1"/>
  <c r="CJ74" i="1"/>
  <c r="CK74" i="1"/>
  <c r="CL74" i="1"/>
  <c r="CM74" i="1"/>
  <c r="CN74" i="1"/>
  <c r="CO74" i="1"/>
  <c r="CP74" i="1"/>
  <c r="CQ74" i="1"/>
  <c r="CR74" i="1"/>
  <c r="CS74" i="1"/>
  <c r="CT74" i="1"/>
  <c r="CU74" i="1"/>
  <c r="CV74" i="1"/>
  <c r="BQ75" i="1"/>
  <c r="BR75" i="1"/>
  <c r="BS75" i="1"/>
  <c r="BV75" i="1"/>
  <c r="BW75" i="1"/>
  <c r="BX75" i="1"/>
  <c r="BY75" i="1"/>
  <c r="BZ75" i="1"/>
  <c r="CA75" i="1"/>
  <c r="CB75" i="1"/>
  <c r="CC75" i="1"/>
  <c r="CD75" i="1"/>
  <c r="CE75" i="1"/>
  <c r="CF75" i="1"/>
  <c r="CG75" i="1"/>
  <c r="CH75" i="1"/>
  <c r="CI75" i="1"/>
  <c r="CJ75" i="1"/>
  <c r="CK75" i="1"/>
  <c r="CL75" i="1"/>
  <c r="CM75" i="1"/>
  <c r="CN75" i="1"/>
  <c r="CO75" i="1"/>
  <c r="CP75" i="1"/>
  <c r="CQ75" i="1"/>
  <c r="CR75" i="1"/>
  <c r="CS75" i="1"/>
  <c r="CT75" i="1"/>
  <c r="CU75" i="1"/>
  <c r="CV75" i="1"/>
  <c r="BQ76" i="1"/>
  <c r="BR76" i="1"/>
  <c r="BS76" i="1"/>
  <c r="BV76" i="1"/>
  <c r="BW76" i="1"/>
  <c r="BX76" i="1"/>
  <c r="BY76" i="1"/>
  <c r="BZ76" i="1"/>
  <c r="CA76" i="1"/>
  <c r="CB76" i="1"/>
  <c r="CC76" i="1"/>
  <c r="CD76" i="1"/>
  <c r="CE76" i="1"/>
  <c r="CF76" i="1"/>
  <c r="CG76" i="1"/>
  <c r="CH76" i="1"/>
  <c r="CI76" i="1"/>
  <c r="CJ76" i="1"/>
  <c r="CK76" i="1"/>
  <c r="CL76" i="1"/>
  <c r="CM76" i="1"/>
  <c r="CN76" i="1"/>
  <c r="CO76" i="1"/>
  <c r="CP76" i="1"/>
  <c r="CQ76" i="1"/>
  <c r="CR76" i="1"/>
  <c r="CS76" i="1"/>
  <c r="CT76" i="1"/>
  <c r="CU76" i="1"/>
  <c r="CV76" i="1"/>
  <c r="BQ77" i="1"/>
  <c r="BR77" i="1"/>
  <c r="BS77" i="1"/>
  <c r="BV77" i="1"/>
  <c r="BW77" i="1"/>
  <c r="BX77" i="1"/>
  <c r="BY77" i="1"/>
  <c r="BZ77" i="1"/>
  <c r="CA77" i="1"/>
  <c r="CB77" i="1"/>
  <c r="CC77" i="1"/>
  <c r="CD77" i="1"/>
  <c r="CE77" i="1"/>
  <c r="CF77" i="1"/>
  <c r="CG77" i="1"/>
  <c r="CH77" i="1"/>
  <c r="CI77" i="1"/>
  <c r="CJ77" i="1"/>
  <c r="CK77" i="1"/>
  <c r="CL77" i="1"/>
  <c r="CM77" i="1"/>
  <c r="CN77" i="1"/>
  <c r="CO77" i="1"/>
  <c r="CP77" i="1"/>
  <c r="CQ77" i="1"/>
  <c r="CR77" i="1"/>
  <c r="CS77" i="1"/>
  <c r="CT77" i="1"/>
  <c r="CU77" i="1"/>
  <c r="CV77" i="1"/>
  <c r="BQ78" i="1"/>
  <c r="BR78" i="1"/>
  <c r="BS78" i="1"/>
  <c r="BV78" i="1"/>
  <c r="BW78" i="1"/>
  <c r="BX78" i="1"/>
  <c r="BY78" i="1"/>
  <c r="BZ78" i="1"/>
  <c r="CA78" i="1"/>
  <c r="CB78" i="1"/>
  <c r="CC78" i="1"/>
  <c r="CD78" i="1"/>
  <c r="CE78" i="1"/>
  <c r="CF78" i="1"/>
  <c r="CG78" i="1"/>
  <c r="CH78" i="1"/>
  <c r="CI78" i="1"/>
  <c r="CJ78" i="1"/>
  <c r="CK78" i="1"/>
  <c r="CL78" i="1"/>
  <c r="CM78" i="1"/>
  <c r="CN78" i="1"/>
  <c r="CO78" i="1"/>
  <c r="CP78" i="1"/>
  <c r="CQ78" i="1"/>
  <c r="CR78" i="1"/>
  <c r="CS78" i="1"/>
  <c r="CT78" i="1"/>
  <c r="CU78" i="1"/>
  <c r="CV78" i="1"/>
  <c r="BQ79" i="1"/>
  <c r="BR79" i="1"/>
  <c r="BS79" i="1"/>
  <c r="BV79" i="1"/>
  <c r="BW79" i="1"/>
  <c r="BX79" i="1"/>
  <c r="BY79" i="1"/>
  <c r="BZ79" i="1"/>
  <c r="CA79" i="1"/>
  <c r="CB79" i="1"/>
  <c r="CC79" i="1"/>
  <c r="CD79" i="1"/>
  <c r="CE79" i="1"/>
  <c r="CF79" i="1"/>
  <c r="CG79" i="1"/>
  <c r="CH79" i="1"/>
  <c r="CI79" i="1"/>
  <c r="CJ79" i="1"/>
  <c r="CK79" i="1"/>
  <c r="CL79" i="1"/>
  <c r="CM79" i="1"/>
  <c r="CN79" i="1"/>
  <c r="CO79" i="1"/>
  <c r="CP79" i="1"/>
  <c r="CQ79" i="1"/>
  <c r="CR79" i="1"/>
  <c r="CS79" i="1"/>
  <c r="CT79" i="1"/>
  <c r="CU79" i="1"/>
  <c r="CV79" i="1"/>
  <c r="BQ80" i="1"/>
  <c r="BR80" i="1"/>
  <c r="BS80" i="1"/>
  <c r="BV80" i="1"/>
  <c r="BW80" i="1"/>
  <c r="BX80" i="1"/>
  <c r="BY80" i="1"/>
  <c r="BZ80" i="1"/>
  <c r="CA80" i="1"/>
  <c r="CB80" i="1"/>
  <c r="CC80" i="1"/>
  <c r="CD80" i="1"/>
  <c r="CE80" i="1"/>
  <c r="CF80" i="1"/>
  <c r="CG80" i="1"/>
  <c r="CH80" i="1"/>
  <c r="CI80" i="1"/>
  <c r="CJ80" i="1"/>
  <c r="CK80" i="1"/>
  <c r="CL80" i="1"/>
  <c r="CM80" i="1"/>
  <c r="CN80" i="1"/>
  <c r="CO80" i="1"/>
  <c r="CP80" i="1"/>
  <c r="CQ80" i="1"/>
  <c r="CR80" i="1"/>
  <c r="CS80" i="1"/>
  <c r="CT80" i="1"/>
  <c r="CU80" i="1"/>
  <c r="CV80" i="1"/>
  <c r="BQ81" i="1"/>
  <c r="BR81" i="1"/>
  <c r="BS81" i="1"/>
  <c r="BV81" i="1"/>
  <c r="BW81" i="1"/>
  <c r="BX81" i="1"/>
  <c r="BY81" i="1"/>
  <c r="BZ81" i="1"/>
  <c r="CA81" i="1"/>
  <c r="CB81" i="1"/>
  <c r="CC81" i="1"/>
  <c r="CD81" i="1"/>
  <c r="CE81" i="1"/>
  <c r="CF81" i="1"/>
  <c r="CG81" i="1"/>
  <c r="CH81" i="1"/>
  <c r="CI81" i="1"/>
  <c r="CJ81" i="1"/>
  <c r="CK81" i="1"/>
  <c r="CL81" i="1"/>
  <c r="CM81" i="1"/>
  <c r="CN81" i="1"/>
  <c r="CO81" i="1"/>
  <c r="CP81" i="1"/>
  <c r="CQ81" i="1"/>
  <c r="CR81" i="1"/>
  <c r="CS81" i="1"/>
  <c r="CT81" i="1"/>
  <c r="CU81" i="1"/>
  <c r="CV81" i="1"/>
  <c r="BQ82" i="1"/>
  <c r="BR82" i="1"/>
  <c r="BS82" i="1"/>
  <c r="BV82" i="1"/>
  <c r="BW82" i="1"/>
  <c r="BX82" i="1"/>
  <c r="BY82" i="1"/>
  <c r="BZ82" i="1"/>
  <c r="CA82" i="1"/>
  <c r="CB82" i="1"/>
  <c r="CC82" i="1"/>
  <c r="CD82" i="1"/>
  <c r="CE82" i="1"/>
  <c r="CF82" i="1"/>
  <c r="CG82" i="1"/>
  <c r="CH82" i="1"/>
  <c r="CI82" i="1"/>
  <c r="CJ82" i="1"/>
  <c r="CK82" i="1"/>
  <c r="CL82" i="1"/>
  <c r="CM82" i="1"/>
  <c r="CN82" i="1"/>
  <c r="CO82" i="1"/>
  <c r="CP82" i="1"/>
  <c r="CQ82" i="1"/>
  <c r="CR82" i="1"/>
  <c r="CS82" i="1"/>
  <c r="CT82" i="1"/>
  <c r="CU82" i="1"/>
  <c r="CV82" i="1"/>
  <c r="BQ83" i="1"/>
  <c r="BR83" i="1"/>
  <c r="BS83" i="1"/>
  <c r="BV83" i="1"/>
  <c r="BW83" i="1"/>
  <c r="BX83" i="1"/>
  <c r="BY83" i="1"/>
  <c r="BZ83" i="1"/>
  <c r="CA83" i="1"/>
  <c r="CB83" i="1"/>
  <c r="CC83" i="1"/>
  <c r="CD83" i="1"/>
  <c r="CE83" i="1"/>
  <c r="CF83" i="1"/>
  <c r="CG83" i="1"/>
  <c r="CH83" i="1"/>
  <c r="CI83" i="1"/>
  <c r="CJ83" i="1"/>
  <c r="CK83" i="1"/>
  <c r="CL83" i="1"/>
  <c r="CM83" i="1"/>
  <c r="CN83" i="1"/>
  <c r="CO83" i="1"/>
  <c r="CP83" i="1"/>
  <c r="CQ83" i="1"/>
  <c r="CR83" i="1"/>
  <c r="CS83" i="1"/>
  <c r="CT83" i="1"/>
  <c r="CU83" i="1"/>
  <c r="CV83" i="1"/>
  <c r="BQ84" i="1"/>
  <c r="BR84" i="1"/>
  <c r="BS84" i="1"/>
  <c r="BV84" i="1"/>
  <c r="BW84" i="1"/>
  <c r="BX84" i="1"/>
  <c r="BY84" i="1"/>
  <c r="BZ84" i="1"/>
  <c r="CA84" i="1"/>
  <c r="CB84" i="1"/>
  <c r="CC84" i="1"/>
  <c r="CD84" i="1"/>
  <c r="CE84" i="1"/>
  <c r="CF84" i="1"/>
  <c r="CG84" i="1"/>
  <c r="CH84" i="1"/>
  <c r="CI84" i="1"/>
  <c r="CJ84" i="1"/>
  <c r="CK84" i="1"/>
  <c r="CL84" i="1"/>
  <c r="CM84" i="1"/>
  <c r="CN84" i="1"/>
  <c r="CO84" i="1"/>
  <c r="CP84" i="1"/>
  <c r="CQ84" i="1"/>
  <c r="CR84" i="1"/>
  <c r="CS84" i="1"/>
  <c r="CT84" i="1"/>
  <c r="CU84" i="1"/>
  <c r="CV84" i="1"/>
  <c r="BQ85" i="1"/>
  <c r="BR85" i="1"/>
  <c r="BS85" i="1"/>
  <c r="BV85" i="1"/>
  <c r="BW85" i="1"/>
  <c r="BX85" i="1"/>
  <c r="BY85" i="1"/>
  <c r="BZ85" i="1"/>
  <c r="CA85" i="1"/>
  <c r="CB85" i="1"/>
  <c r="CC85" i="1"/>
  <c r="CD85" i="1"/>
  <c r="CE85" i="1"/>
  <c r="CF85" i="1"/>
  <c r="CG85" i="1"/>
  <c r="CH85" i="1"/>
  <c r="CI85" i="1"/>
  <c r="CJ85" i="1"/>
  <c r="CK85" i="1"/>
  <c r="CL85" i="1"/>
  <c r="CM85" i="1"/>
  <c r="CN85" i="1"/>
  <c r="CO85" i="1"/>
  <c r="CP85" i="1"/>
  <c r="CQ85" i="1"/>
  <c r="CR85" i="1"/>
  <c r="CS85" i="1"/>
  <c r="CT85" i="1"/>
  <c r="CU85" i="1"/>
  <c r="CV85" i="1"/>
  <c r="BQ86" i="1"/>
  <c r="BR86" i="1"/>
  <c r="BS86" i="1"/>
  <c r="BV86" i="1"/>
  <c r="BW86" i="1"/>
  <c r="BX86" i="1"/>
  <c r="BY86" i="1"/>
  <c r="BZ86" i="1"/>
  <c r="CA86" i="1"/>
  <c r="CB86" i="1"/>
  <c r="CC86" i="1"/>
  <c r="CD86" i="1"/>
  <c r="CE86" i="1"/>
  <c r="CF86" i="1"/>
  <c r="CG86" i="1"/>
  <c r="CH86" i="1"/>
  <c r="CI86" i="1"/>
  <c r="CJ86" i="1"/>
  <c r="CK86" i="1"/>
  <c r="CL86" i="1"/>
  <c r="CM86" i="1"/>
  <c r="CN86" i="1"/>
  <c r="CO86" i="1"/>
  <c r="CP86" i="1"/>
  <c r="CQ86" i="1"/>
  <c r="CR86" i="1"/>
  <c r="CS86" i="1"/>
  <c r="CT86" i="1"/>
  <c r="CU86" i="1"/>
  <c r="CV86" i="1"/>
  <c r="BQ87" i="1"/>
  <c r="BR87" i="1"/>
  <c r="BS87" i="1"/>
  <c r="BV87" i="1"/>
  <c r="BW87" i="1"/>
  <c r="BX87" i="1"/>
  <c r="BY87" i="1"/>
  <c r="BZ87" i="1"/>
  <c r="CA87" i="1"/>
  <c r="CB87" i="1"/>
  <c r="CC87" i="1"/>
  <c r="CD87" i="1"/>
  <c r="CE87" i="1"/>
  <c r="CF87" i="1"/>
  <c r="CG87" i="1"/>
  <c r="CH87" i="1"/>
  <c r="CI87" i="1"/>
  <c r="CJ87" i="1"/>
  <c r="CK87" i="1"/>
  <c r="CL87" i="1"/>
  <c r="CM87" i="1"/>
  <c r="CN87" i="1"/>
  <c r="CO87" i="1"/>
  <c r="CP87" i="1"/>
  <c r="CQ87" i="1"/>
  <c r="CR87" i="1"/>
  <c r="CS87" i="1"/>
  <c r="CT87" i="1"/>
  <c r="CU87" i="1"/>
  <c r="CV87" i="1"/>
  <c r="BQ88" i="1"/>
  <c r="BR88" i="1"/>
  <c r="BS88" i="1"/>
  <c r="BV88" i="1"/>
  <c r="BW88" i="1"/>
  <c r="BX88" i="1"/>
  <c r="BY88" i="1"/>
  <c r="BZ88" i="1"/>
  <c r="CA88" i="1"/>
  <c r="CB88" i="1"/>
  <c r="CC88" i="1"/>
  <c r="CD88" i="1"/>
  <c r="CE88" i="1"/>
  <c r="CF88" i="1"/>
  <c r="CG88" i="1"/>
  <c r="CH88" i="1"/>
  <c r="CI88" i="1"/>
  <c r="CJ88" i="1"/>
  <c r="CK88" i="1"/>
  <c r="CL88" i="1"/>
  <c r="CM88" i="1"/>
  <c r="CN88" i="1"/>
  <c r="CO88" i="1"/>
  <c r="CP88" i="1"/>
  <c r="CQ88" i="1"/>
  <c r="CR88" i="1"/>
  <c r="CS88" i="1"/>
  <c r="CT88" i="1"/>
  <c r="CU88" i="1"/>
  <c r="CV88" i="1"/>
  <c r="BQ89" i="1"/>
  <c r="BR89" i="1"/>
  <c r="BS89" i="1"/>
  <c r="BV89" i="1"/>
  <c r="BW89" i="1"/>
  <c r="BX89" i="1"/>
  <c r="BY89" i="1"/>
  <c r="BZ89" i="1"/>
  <c r="CA89" i="1"/>
  <c r="CB89" i="1"/>
  <c r="CC89" i="1"/>
  <c r="CD89" i="1"/>
  <c r="CE89" i="1"/>
  <c r="CF89" i="1"/>
  <c r="CG89" i="1"/>
  <c r="CH89" i="1"/>
  <c r="CI89" i="1"/>
  <c r="CJ89" i="1"/>
  <c r="CK89" i="1"/>
  <c r="CL89" i="1"/>
  <c r="CM89" i="1"/>
  <c r="CN89" i="1"/>
  <c r="CO89" i="1"/>
  <c r="CP89" i="1"/>
  <c r="CQ89" i="1"/>
  <c r="CR89" i="1"/>
  <c r="CS89" i="1"/>
  <c r="CT89" i="1"/>
  <c r="CU89" i="1"/>
  <c r="CV89" i="1"/>
  <c r="BQ90" i="1"/>
  <c r="BR90" i="1"/>
  <c r="BS90" i="1"/>
  <c r="BV90" i="1"/>
  <c r="BW90" i="1"/>
  <c r="BX90" i="1"/>
  <c r="BY90" i="1"/>
  <c r="BZ90" i="1"/>
  <c r="CA90" i="1"/>
  <c r="CB90" i="1"/>
  <c r="CC90" i="1"/>
  <c r="CD90" i="1"/>
  <c r="CE90" i="1"/>
  <c r="CF90" i="1"/>
  <c r="CG90" i="1"/>
  <c r="CH90" i="1"/>
  <c r="CI90" i="1"/>
  <c r="CJ90" i="1"/>
  <c r="CK90" i="1"/>
  <c r="CL90" i="1"/>
  <c r="CM90" i="1"/>
  <c r="CN90" i="1"/>
  <c r="CO90" i="1"/>
  <c r="CP90" i="1"/>
  <c r="CQ90" i="1"/>
  <c r="CR90" i="1"/>
  <c r="CS90" i="1"/>
  <c r="CT90" i="1"/>
  <c r="CU90" i="1"/>
  <c r="CV90" i="1"/>
  <c r="BQ91" i="1"/>
  <c r="BR91" i="1"/>
  <c r="BS91" i="1"/>
  <c r="BV91" i="1"/>
  <c r="BW91" i="1"/>
  <c r="BX91" i="1"/>
  <c r="BY91" i="1"/>
  <c r="BZ91" i="1"/>
  <c r="CA91" i="1"/>
  <c r="CB91" i="1"/>
  <c r="CC91" i="1"/>
  <c r="CD91" i="1"/>
  <c r="CE91" i="1"/>
  <c r="CF91" i="1"/>
  <c r="CG91" i="1"/>
  <c r="CH91" i="1"/>
  <c r="CI91" i="1"/>
  <c r="CJ91" i="1"/>
  <c r="CK91" i="1"/>
  <c r="CL91" i="1"/>
  <c r="CM91" i="1"/>
  <c r="CN91" i="1"/>
  <c r="CO91" i="1"/>
  <c r="CP91" i="1"/>
  <c r="CQ91" i="1"/>
  <c r="CR91" i="1"/>
  <c r="CS91" i="1"/>
  <c r="CT91" i="1"/>
  <c r="CU91" i="1"/>
  <c r="CV91" i="1"/>
  <c r="BQ92" i="1"/>
  <c r="BR92" i="1"/>
  <c r="BS92" i="1"/>
  <c r="BV92" i="1"/>
  <c r="BW92" i="1"/>
  <c r="BX92" i="1"/>
  <c r="BY92" i="1"/>
  <c r="BZ92" i="1"/>
  <c r="CA92" i="1"/>
  <c r="CB92" i="1"/>
  <c r="CC92" i="1"/>
  <c r="CD92" i="1"/>
  <c r="CE92" i="1"/>
  <c r="CF92" i="1"/>
  <c r="CG92" i="1"/>
  <c r="CH92" i="1"/>
  <c r="CI92" i="1"/>
  <c r="CJ92" i="1"/>
  <c r="CK92" i="1"/>
  <c r="CL92" i="1"/>
  <c r="CM92" i="1"/>
  <c r="CN92" i="1"/>
  <c r="CO92" i="1"/>
  <c r="CP92" i="1"/>
  <c r="CQ92" i="1"/>
  <c r="CR92" i="1"/>
  <c r="CS92" i="1"/>
  <c r="CT92" i="1"/>
  <c r="CU92" i="1"/>
  <c r="CV92" i="1"/>
  <c r="BQ93" i="1"/>
  <c r="BR93" i="1"/>
  <c r="BS93" i="1"/>
  <c r="BV93" i="1"/>
  <c r="BW93" i="1"/>
  <c r="BX93" i="1"/>
  <c r="BY93" i="1"/>
  <c r="BZ93" i="1"/>
  <c r="CA93" i="1"/>
  <c r="CB93" i="1"/>
  <c r="CC93" i="1"/>
  <c r="CD93" i="1"/>
  <c r="CE93" i="1"/>
  <c r="CF93" i="1"/>
  <c r="CG93" i="1"/>
  <c r="CH93" i="1"/>
  <c r="CI93" i="1"/>
  <c r="CJ93" i="1"/>
  <c r="CK93" i="1"/>
  <c r="CL93" i="1"/>
  <c r="CM93" i="1"/>
  <c r="CN93" i="1"/>
  <c r="CO93" i="1"/>
  <c r="CP93" i="1"/>
  <c r="CQ93" i="1"/>
  <c r="CR93" i="1"/>
  <c r="CS93" i="1"/>
  <c r="CT93" i="1"/>
  <c r="CU93" i="1"/>
  <c r="CV93" i="1"/>
  <c r="BQ94" i="1"/>
  <c r="BR94" i="1"/>
  <c r="BS94" i="1"/>
  <c r="BV94" i="1"/>
  <c r="BW94" i="1"/>
  <c r="BX94" i="1"/>
  <c r="BY94" i="1"/>
  <c r="BZ94" i="1"/>
  <c r="CA94" i="1"/>
  <c r="CB94" i="1"/>
  <c r="CC94" i="1"/>
  <c r="CD94" i="1"/>
  <c r="CE94" i="1"/>
  <c r="CF94" i="1"/>
  <c r="CG94" i="1"/>
  <c r="CH94" i="1"/>
  <c r="CI94" i="1"/>
  <c r="CJ94" i="1"/>
  <c r="CK94" i="1"/>
  <c r="CL94" i="1"/>
  <c r="CM94" i="1"/>
  <c r="CN94" i="1"/>
  <c r="CO94" i="1"/>
  <c r="CP94" i="1"/>
  <c r="CQ94" i="1"/>
  <c r="CR94" i="1"/>
  <c r="CS94" i="1"/>
  <c r="CT94" i="1"/>
  <c r="CU94" i="1"/>
  <c r="CV94" i="1"/>
  <c r="BQ95" i="1"/>
  <c r="BR95" i="1"/>
  <c r="BS95" i="1"/>
  <c r="BV95" i="1"/>
  <c r="BW95" i="1"/>
  <c r="BX95" i="1"/>
  <c r="BY95" i="1"/>
  <c r="BZ95" i="1"/>
  <c r="CA95" i="1"/>
  <c r="CB95" i="1"/>
  <c r="CC95" i="1"/>
  <c r="CD95" i="1"/>
  <c r="CE95" i="1"/>
  <c r="CF95" i="1"/>
  <c r="CG95" i="1"/>
  <c r="CH95" i="1"/>
  <c r="CI95" i="1"/>
  <c r="CJ95" i="1"/>
  <c r="CK95" i="1"/>
  <c r="CL95" i="1"/>
  <c r="CM95" i="1"/>
  <c r="CN95" i="1"/>
  <c r="CO95" i="1"/>
  <c r="CP95" i="1"/>
  <c r="CQ95" i="1"/>
  <c r="CR95" i="1"/>
  <c r="CS95" i="1"/>
  <c r="CT95" i="1"/>
  <c r="CU95" i="1"/>
  <c r="CV95" i="1"/>
  <c r="BQ96" i="1"/>
  <c r="BR96" i="1"/>
  <c r="BS96" i="1"/>
  <c r="BV96" i="1"/>
  <c r="BW96" i="1"/>
  <c r="BX96" i="1"/>
  <c r="BY96" i="1"/>
  <c r="BZ96" i="1"/>
  <c r="CA96" i="1"/>
  <c r="CB96" i="1"/>
  <c r="CC96" i="1"/>
  <c r="CD96" i="1"/>
  <c r="CE96" i="1"/>
  <c r="CF96" i="1"/>
  <c r="CG96" i="1"/>
  <c r="CH96" i="1"/>
  <c r="CI96" i="1"/>
  <c r="CJ96" i="1"/>
  <c r="CK96" i="1"/>
  <c r="CL96" i="1"/>
  <c r="CM96" i="1"/>
  <c r="CN96" i="1"/>
  <c r="CO96" i="1"/>
  <c r="CP96" i="1"/>
  <c r="CQ96" i="1"/>
  <c r="CR96" i="1"/>
  <c r="CS96" i="1"/>
  <c r="CT96" i="1"/>
  <c r="CU96" i="1"/>
  <c r="CV96" i="1"/>
  <c r="BQ97" i="1"/>
  <c r="BR97" i="1"/>
  <c r="BS97" i="1"/>
  <c r="BV97" i="1"/>
  <c r="BW97" i="1"/>
  <c r="BX97" i="1"/>
  <c r="BY97" i="1"/>
  <c r="BZ97" i="1"/>
  <c r="CA97" i="1"/>
  <c r="CB97" i="1"/>
  <c r="CC97" i="1"/>
  <c r="CD97" i="1"/>
  <c r="CE97" i="1"/>
  <c r="CF97" i="1"/>
  <c r="CG97" i="1"/>
  <c r="CH97" i="1"/>
  <c r="CI97" i="1"/>
  <c r="CJ97" i="1"/>
  <c r="CK97" i="1"/>
  <c r="CL97" i="1"/>
  <c r="CM97" i="1"/>
  <c r="CN97" i="1"/>
  <c r="CO97" i="1"/>
  <c r="CP97" i="1"/>
  <c r="CQ97" i="1"/>
  <c r="CR97" i="1"/>
  <c r="CS97" i="1"/>
  <c r="CT97" i="1"/>
  <c r="CU97" i="1"/>
  <c r="CV97" i="1"/>
  <c r="BQ98" i="1"/>
  <c r="BR98" i="1"/>
  <c r="BS98" i="1"/>
  <c r="BV98" i="1"/>
  <c r="BW98" i="1"/>
  <c r="BX98" i="1"/>
  <c r="BY98" i="1"/>
  <c r="BZ98" i="1"/>
  <c r="CA98" i="1"/>
  <c r="CB98" i="1"/>
  <c r="CC98" i="1"/>
  <c r="CD98" i="1"/>
  <c r="CE98" i="1"/>
  <c r="CF98" i="1"/>
  <c r="CG98" i="1"/>
  <c r="CH98" i="1"/>
  <c r="CI98" i="1"/>
  <c r="CJ98" i="1"/>
  <c r="CK98" i="1"/>
  <c r="CL98" i="1"/>
  <c r="CM98" i="1"/>
  <c r="CN98" i="1"/>
  <c r="CO98" i="1"/>
  <c r="CP98" i="1"/>
  <c r="CQ98" i="1"/>
  <c r="CR98" i="1"/>
  <c r="CS98" i="1"/>
  <c r="CT98" i="1"/>
  <c r="CU98" i="1"/>
  <c r="CV98" i="1"/>
  <c r="BQ99" i="1"/>
  <c r="BR99" i="1"/>
  <c r="BS99" i="1"/>
  <c r="BV99" i="1"/>
  <c r="BW99" i="1"/>
  <c r="BX99" i="1"/>
  <c r="BY99" i="1"/>
  <c r="BZ99" i="1"/>
  <c r="CA99" i="1"/>
  <c r="CB99" i="1"/>
  <c r="CC99" i="1"/>
  <c r="CD99" i="1"/>
  <c r="CE99" i="1"/>
  <c r="CF99" i="1"/>
  <c r="CG99" i="1"/>
  <c r="CH99" i="1"/>
  <c r="CI99" i="1"/>
  <c r="CJ99" i="1"/>
  <c r="CK99" i="1"/>
  <c r="CL99" i="1"/>
  <c r="CM99" i="1"/>
  <c r="CN99" i="1"/>
  <c r="CO99" i="1"/>
  <c r="CP99" i="1"/>
  <c r="CQ99" i="1"/>
  <c r="CR99" i="1"/>
  <c r="CS99" i="1"/>
  <c r="CT99" i="1"/>
  <c r="CU99" i="1"/>
  <c r="CV99" i="1"/>
  <c r="BQ100" i="1"/>
  <c r="BR100" i="1"/>
  <c r="BS100" i="1"/>
  <c r="BV100" i="1"/>
  <c r="BW100" i="1"/>
  <c r="BX100" i="1"/>
  <c r="BY100" i="1"/>
  <c r="BZ100" i="1"/>
  <c r="CA100" i="1"/>
  <c r="CB100" i="1"/>
  <c r="CC100" i="1"/>
  <c r="CD100" i="1"/>
  <c r="CE100" i="1"/>
  <c r="CF100" i="1"/>
  <c r="CG100" i="1"/>
  <c r="CH100" i="1"/>
  <c r="CI100" i="1"/>
  <c r="CJ100" i="1"/>
  <c r="CK100" i="1"/>
  <c r="CL100" i="1"/>
  <c r="CM100" i="1"/>
  <c r="CN100" i="1"/>
  <c r="CO100" i="1"/>
  <c r="CP100" i="1"/>
  <c r="CQ100" i="1"/>
  <c r="CR100" i="1"/>
  <c r="CS100" i="1"/>
  <c r="CT100" i="1"/>
  <c r="CU100" i="1"/>
  <c r="CV100" i="1"/>
  <c r="BQ101" i="1"/>
  <c r="BR101" i="1"/>
  <c r="BS101" i="1"/>
  <c r="BV101" i="1"/>
  <c r="BW101" i="1"/>
  <c r="BX101" i="1"/>
  <c r="BY101" i="1"/>
  <c r="BZ101" i="1"/>
  <c r="CA101" i="1"/>
  <c r="CB101" i="1"/>
  <c r="CC101" i="1"/>
  <c r="CD101" i="1"/>
  <c r="CE101" i="1"/>
  <c r="CF101" i="1"/>
  <c r="CG101" i="1"/>
  <c r="CH101" i="1"/>
  <c r="CI101" i="1"/>
  <c r="CJ101" i="1"/>
  <c r="CK101" i="1"/>
  <c r="CL101" i="1"/>
  <c r="CM101" i="1"/>
  <c r="CN101" i="1"/>
  <c r="CO101" i="1"/>
  <c r="CP101" i="1"/>
  <c r="CQ101" i="1"/>
  <c r="CR101" i="1"/>
  <c r="CS101" i="1"/>
  <c r="CT101" i="1"/>
  <c r="CU101" i="1"/>
  <c r="CV101" i="1"/>
  <c r="BQ102" i="1"/>
  <c r="BR102" i="1"/>
  <c r="BS102" i="1"/>
  <c r="BV102" i="1"/>
  <c r="BW102" i="1"/>
  <c r="BX102" i="1"/>
  <c r="BY102" i="1"/>
  <c r="BZ102" i="1"/>
  <c r="CA102" i="1"/>
  <c r="CB102" i="1"/>
  <c r="CC102" i="1"/>
  <c r="CD102" i="1"/>
  <c r="CE102" i="1"/>
  <c r="CF102" i="1"/>
  <c r="CG102" i="1"/>
  <c r="CH102" i="1"/>
  <c r="CI102" i="1"/>
  <c r="CJ102" i="1"/>
  <c r="CK102" i="1"/>
  <c r="CL102" i="1"/>
  <c r="CM102" i="1"/>
  <c r="CN102" i="1"/>
  <c r="CO102" i="1"/>
  <c r="CP102" i="1"/>
  <c r="CQ102" i="1"/>
  <c r="CR102" i="1"/>
  <c r="CS102" i="1"/>
  <c r="CT102" i="1"/>
  <c r="CU102" i="1"/>
  <c r="CV102" i="1"/>
  <c r="BQ103" i="1"/>
  <c r="BR103" i="1"/>
  <c r="BS103" i="1"/>
  <c r="BV103" i="1"/>
  <c r="BW103" i="1"/>
  <c r="BX103" i="1"/>
  <c r="BY103" i="1"/>
  <c r="BZ103" i="1"/>
  <c r="CA103" i="1"/>
  <c r="CB103" i="1"/>
  <c r="CC103" i="1"/>
  <c r="CD103" i="1"/>
  <c r="CE103" i="1"/>
  <c r="CF103" i="1"/>
  <c r="CG103" i="1"/>
  <c r="CH103" i="1"/>
  <c r="CI103" i="1"/>
  <c r="CJ103" i="1"/>
  <c r="CK103" i="1"/>
  <c r="CL103" i="1"/>
  <c r="CM103" i="1"/>
  <c r="CN103" i="1"/>
  <c r="CO103" i="1"/>
  <c r="CP103" i="1"/>
  <c r="CQ103" i="1"/>
  <c r="CR103" i="1"/>
  <c r="CS103" i="1"/>
  <c r="CT103" i="1"/>
  <c r="CU103" i="1"/>
  <c r="CV103" i="1"/>
  <c r="BQ104" i="1"/>
  <c r="BR104" i="1"/>
  <c r="BS104" i="1"/>
  <c r="BV104" i="1"/>
  <c r="BW104" i="1"/>
  <c r="BX104" i="1"/>
  <c r="BY104" i="1"/>
  <c r="BZ104" i="1"/>
  <c r="CA104" i="1"/>
  <c r="CB104" i="1"/>
  <c r="CC104" i="1"/>
  <c r="CD104" i="1"/>
  <c r="CE104" i="1"/>
  <c r="CF104" i="1"/>
  <c r="CG104" i="1"/>
  <c r="CH104" i="1"/>
  <c r="CI104" i="1"/>
  <c r="CJ104" i="1"/>
  <c r="CK104" i="1"/>
  <c r="CL104" i="1"/>
  <c r="CM104" i="1"/>
  <c r="CN104" i="1"/>
  <c r="CO104" i="1"/>
  <c r="CP104" i="1"/>
  <c r="CQ104" i="1"/>
  <c r="CR104" i="1"/>
  <c r="CS104" i="1"/>
  <c r="CT104" i="1"/>
  <c r="CU104" i="1"/>
  <c r="CV104" i="1"/>
  <c r="BQ105" i="1"/>
  <c r="BR105" i="1"/>
  <c r="BS105" i="1"/>
  <c r="BV105" i="1"/>
  <c r="BW105" i="1"/>
  <c r="BX105" i="1"/>
  <c r="BY105" i="1"/>
  <c r="BZ105" i="1"/>
  <c r="CA105" i="1"/>
  <c r="CB105" i="1"/>
  <c r="CC105" i="1"/>
  <c r="CD105" i="1"/>
  <c r="CE105" i="1"/>
  <c r="CF105" i="1"/>
  <c r="CG105" i="1"/>
  <c r="CH105" i="1"/>
  <c r="CI105" i="1"/>
  <c r="CJ105" i="1"/>
  <c r="CK105" i="1"/>
  <c r="CL105" i="1"/>
  <c r="CM105" i="1"/>
  <c r="CN105" i="1"/>
  <c r="CO105" i="1"/>
  <c r="CP105" i="1"/>
  <c r="CQ105" i="1"/>
  <c r="CR105" i="1"/>
  <c r="CS105" i="1"/>
  <c r="CT105" i="1"/>
  <c r="CU105" i="1"/>
  <c r="CV105" i="1"/>
  <c r="BQ106" i="1"/>
  <c r="BR106" i="1"/>
  <c r="BS106" i="1"/>
  <c r="BV106" i="1"/>
  <c r="BW106" i="1"/>
  <c r="BX106" i="1"/>
  <c r="BY106" i="1"/>
  <c r="BZ106" i="1"/>
  <c r="CA106" i="1"/>
  <c r="CB106" i="1"/>
  <c r="CC106" i="1"/>
  <c r="CD106" i="1"/>
  <c r="CE106" i="1"/>
  <c r="CF106" i="1"/>
  <c r="CG106" i="1"/>
  <c r="CH106" i="1"/>
  <c r="CI106" i="1"/>
  <c r="CJ106" i="1"/>
  <c r="CK106" i="1"/>
  <c r="CL106" i="1"/>
  <c r="CM106" i="1"/>
  <c r="CN106" i="1"/>
  <c r="CO106" i="1"/>
  <c r="CP106" i="1"/>
  <c r="CQ106" i="1"/>
  <c r="CR106" i="1"/>
  <c r="CS106" i="1"/>
  <c r="CT106" i="1"/>
  <c r="CU106" i="1"/>
  <c r="CV106" i="1"/>
  <c r="BQ107" i="1"/>
  <c r="BR107" i="1"/>
  <c r="BS107" i="1"/>
  <c r="BV107" i="1"/>
  <c r="BW107" i="1"/>
  <c r="BX107" i="1"/>
  <c r="BY107" i="1"/>
  <c r="BZ107" i="1"/>
  <c r="CA107" i="1"/>
  <c r="CB107" i="1"/>
  <c r="CC107" i="1"/>
  <c r="CD107" i="1"/>
  <c r="CE107" i="1"/>
  <c r="CF107" i="1"/>
  <c r="CG107" i="1"/>
  <c r="CH107" i="1"/>
  <c r="CI107" i="1"/>
  <c r="CJ107" i="1"/>
  <c r="CK107" i="1"/>
  <c r="CL107" i="1"/>
  <c r="CM107" i="1"/>
  <c r="CN107" i="1"/>
  <c r="CO107" i="1"/>
  <c r="CP107" i="1"/>
  <c r="CQ107" i="1"/>
  <c r="CR107" i="1"/>
  <c r="CS107" i="1"/>
  <c r="CT107" i="1"/>
  <c r="CU107" i="1"/>
  <c r="CV107" i="1"/>
  <c r="BQ108" i="1"/>
  <c r="BR108" i="1"/>
  <c r="BS108" i="1"/>
  <c r="BV108" i="1"/>
  <c r="BW108" i="1"/>
  <c r="BX108" i="1"/>
  <c r="BY108" i="1"/>
  <c r="BZ108" i="1"/>
  <c r="CA108" i="1"/>
  <c r="CB108" i="1"/>
  <c r="CC108" i="1"/>
  <c r="CD108" i="1"/>
  <c r="CE108" i="1"/>
  <c r="CF108" i="1"/>
  <c r="CG108" i="1"/>
  <c r="CH108" i="1"/>
  <c r="CI108" i="1"/>
  <c r="CJ108" i="1"/>
  <c r="CK108" i="1"/>
  <c r="CL108" i="1"/>
  <c r="CM108" i="1"/>
  <c r="CN108" i="1"/>
  <c r="CO108" i="1"/>
  <c r="CP108" i="1"/>
  <c r="CQ108" i="1"/>
  <c r="CR108" i="1"/>
  <c r="CS108" i="1"/>
  <c r="CT108" i="1"/>
  <c r="CU108" i="1"/>
  <c r="CV108" i="1"/>
  <c r="BQ109" i="1"/>
  <c r="BR109" i="1"/>
  <c r="BS109" i="1"/>
  <c r="BV109" i="1"/>
  <c r="BW109" i="1"/>
  <c r="BX109" i="1"/>
  <c r="BY109" i="1"/>
  <c r="BZ109" i="1"/>
  <c r="CA109" i="1"/>
  <c r="CB109" i="1"/>
  <c r="CC109" i="1"/>
  <c r="CD109" i="1"/>
  <c r="CE109" i="1"/>
  <c r="CF109" i="1"/>
  <c r="CG109" i="1"/>
  <c r="CH109" i="1"/>
  <c r="CI109" i="1"/>
  <c r="CJ109" i="1"/>
  <c r="CK109" i="1"/>
  <c r="CL109" i="1"/>
  <c r="CM109" i="1"/>
  <c r="CN109" i="1"/>
  <c r="CO109" i="1"/>
  <c r="CP109" i="1"/>
  <c r="CQ109" i="1"/>
  <c r="CR109" i="1"/>
  <c r="CS109" i="1"/>
  <c r="CT109" i="1"/>
  <c r="CU109" i="1"/>
  <c r="CV109" i="1"/>
  <c r="BQ110" i="1"/>
  <c r="BR110" i="1"/>
  <c r="BS110" i="1"/>
  <c r="BV110" i="1"/>
  <c r="BW110" i="1"/>
  <c r="BX110" i="1"/>
  <c r="BY110" i="1"/>
  <c r="BZ110" i="1"/>
  <c r="CA110" i="1"/>
  <c r="CB110" i="1"/>
  <c r="CC110" i="1"/>
  <c r="CD110" i="1"/>
  <c r="CE110" i="1"/>
  <c r="CF110" i="1"/>
  <c r="CG110" i="1"/>
  <c r="CH110" i="1"/>
  <c r="CI110" i="1"/>
  <c r="CJ110" i="1"/>
  <c r="CK110" i="1"/>
  <c r="CL110" i="1"/>
  <c r="CM110" i="1"/>
  <c r="CN110" i="1"/>
  <c r="CO110" i="1"/>
  <c r="CP110" i="1"/>
  <c r="CQ110" i="1"/>
  <c r="CR110" i="1"/>
  <c r="CS110" i="1"/>
  <c r="CT110" i="1"/>
  <c r="CU110" i="1"/>
  <c r="CV110" i="1"/>
  <c r="BQ111" i="1"/>
  <c r="BR111" i="1"/>
  <c r="BS111" i="1"/>
  <c r="BV111" i="1"/>
  <c r="BW111" i="1"/>
  <c r="BX111" i="1"/>
  <c r="BY111" i="1"/>
  <c r="BZ111" i="1"/>
  <c r="CA111" i="1"/>
  <c r="CB111" i="1"/>
  <c r="CC111" i="1"/>
  <c r="CD111" i="1"/>
  <c r="CE111" i="1"/>
  <c r="CF111" i="1"/>
  <c r="CG111" i="1"/>
  <c r="CH111" i="1"/>
  <c r="CI111" i="1"/>
  <c r="CJ111" i="1"/>
  <c r="CK111" i="1"/>
  <c r="CL111" i="1"/>
  <c r="CM111" i="1"/>
  <c r="CN111" i="1"/>
  <c r="CO111" i="1"/>
  <c r="CP111" i="1"/>
  <c r="CQ111" i="1"/>
  <c r="CR111" i="1"/>
  <c r="CS111" i="1"/>
  <c r="CT111" i="1"/>
  <c r="CU111" i="1"/>
  <c r="CV111" i="1"/>
  <c r="BQ112" i="1"/>
  <c r="BR112" i="1"/>
  <c r="BS112" i="1"/>
  <c r="BV112" i="1"/>
  <c r="BW112" i="1"/>
  <c r="BX112" i="1"/>
  <c r="BY112" i="1"/>
  <c r="BZ112" i="1"/>
  <c r="CA112" i="1"/>
  <c r="CB112" i="1"/>
  <c r="CC112" i="1"/>
  <c r="CD112" i="1"/>
  <c r="CE112" i="1"/>
  <c r="CF112" i="1"/>
  <c r="CG112" i="1"/>
  <c r="CH112" i="1"/>
  <c r="CI112" i="1"/>
  <c r="CJ112" i="1"/>
  <c r="CK112" i="1"/>
  <c r="CL112" i="1"/>
  <c r="CM112" i="1"/>
  <c r="CN112" i="1"/>
  <c r="CO112" i="1"/>
  <c r="CP112" i="1"/>
  <c r="CQ112" i="1"/>
  <c r="CR112" i="1"/>
  <c r="CS112" i="1"/>
  <c r="CT112" i="1"/>
  <c r="CU112" i="1"/>
  <c r="CV112" i="1"/>
  <c r="BQ113" i="1"/>
  <c r="BR113" i="1"/>
  <c r="BS113" i="1"/>
  <c r="BV113" i="1"/>
  <c r="BW113" i="1"/>
  <c r="BX113" i="1"/>
  <c r="BY113" i="1"/>
  <c r="BZ113" i="1"/>
  <c r="CA113" i="1"/>
  <c r="CB113" i="1"/>
  <c r="CC113" i="1"/>
  <c r="CD113" i="1"/>
  <c r="CE113" i="1"/>
  <c r="CF113" i="1"/>
  <c r="CG113" i="1"/>
  <c r="CH113" i="1"/>
  <c r="CI113" i="1"/>
  <c r="CJ113" i="1"/>
  <c r="CK113" i="1"/>
  <c r="CL113" i="1"/>
  <c r="CM113" i="1"/>
  <c r="CN113" i="1"/>
  <c r="CO113" i="1"/>
  <c r="CP113" i="1"/>
  <c r="CQ113" i="1"/>
  <c r="CR113" i="1"/>
  <c r="CS113" i="1"/>
  <c r="CT113" i="1"/>
  <c r="CU113" i="1"/>
  <c r="CV113" i="1"/>
  <c r="BQ114" i="1"/>
  <c r="BR114" i="1"/>
  <c r="BS114" i="1"/>
  <c r="BV114" i="1"/>
  <c r="BW114" i="1"/>
  <c r="BX114" i="1"/>
  <c r="BY114" i="1"/>
  <c r="BZ114" i="1"/>
  <c r="CA114" i="1"/>
  <c r="CB114" i="1"/>
  <c r="CC114" i="1"/>
  <c r="CD114" i="1"/>
  <c r="CE114" i="1"/>
  <c r="CF114" i="1"/>
  <c r="CG114" i="1"/>
  <c r="CH114" i="1"/>
  <c r="CI114" i="1"/>
  <c r="CJ114" i="1"/>
  <c r="CK114" i="1"/>
  <c r="CL114" i="1"/>
  <c r="CM114" i="1"/>
  <c r="CN114" i="1"/>
  <c r="CO114" i="1"/>
  <c r="CP114" i="1"/>
  <c r="CQ114" i="1"/>
  <c r="CR114" i="1"/>
  <c r="CS114" i="1"/>
  <c r="CT114" i="1"/>
  <c r="CU114" i="1"/>
  <c r="CV114" i="1"/>
  <c r="BQ115" i="1"/>
  <c r="BR115" i="1"/>
  <c r="BS115" i="1"/>
  <c r="BV115" i="1"/>
  <c r="BW115" i="1"/>
  <c r="BX115" i="1"/>
  <c r="BY115" i="1"/>
  <c r="BZ115" i="1"/>
  <c r="CA115" i="1"/>
  <c r="CB115" i="1"/>
  <c r="CC115" i="1"/>
  <c r="CD115" i="1"/>
  <c r="CE115" i="1"/>
  <c r="CF115" i="1"/>
  <c r="CG115" i="1"/>
  <c r="CH115" i="1"/>
  <c r="CI115" i="1"/>
  <c r="CJ115" i="1"/>
  <c r="CK115" i="1"/>
  <c r="CL115" i="1"/>
  <c r="CM115" i="1"/>
  <c r="CN115" i="1"/>
  <c r="CO115" i="1"/>
  <c r="CP115" i="1"/>
  <c r="CQ115" i="1"/>
  <c r="CR115" i="1"/>
  <c r="CS115" i="1"/>
  <c r="CT115" i="1"/>
  <c r="CU115" i="1"/>
  <c r="CV115" i="1"/>
  <c r="BQ116" i="1"/>
  <c r="BR116" i="1"/>
  <c r="BS116" i="1"/>
  <c r="BV116" i="1"/>
  <c r="BW116" i="1"/>
  <c r="BX116" i="1"/>
  <c r="BY116" i="1"/>
  <c r="BZ116" i="1"/>
  <c r="CA116" i="1"/>
  <c r="CB116" i="1"/>
  <c r="CC116" i="1"/>
  <c r="CD116" i="1"/>
  <c r="CE116" i="1"/>
  <c r="CF116" i="1"/>
  <c r="CG116" i="1"/>
  <c r="CH116" i="1"/>
  <c r="CI116" i="1"/>
  <c r="CJ116" i="1"/>
  <c r="CK116" i="1"/>
  <c r="CL116" i="1"/>
  <c r="CM116" i="1"/>
  <c r="CN116" i="1"/>
  <c r="CO116" i="1"/>
  <c r="CP116" i="1"/>
  <c r="CQ116" i="1"/>
  <c r="CR116" i="1"/>
  <c r="CS116" i="1"/>
  <c r="CT116" i="1"/>
  <c r="CU116" i="1"/>
  <c r="CV116" i="1"/>
  <c r="BQ117" i="1"/>
  <c r="BR117" i="1"/>
  <c r="BS117" i="1"/>
  <c r="BV117" i="1"/>
  <c r="BW117" i="1"/>
  <c r="BX117" i="1"/>
  <c r="BY117" i="1"/>
  <c r="BZ117" i="1"/>
  <c r="CA117" i="1"/>
  <c r="CB117" i="1"/>
  <c r="CC117" i="1"/>
  <c r="CD117" i="1"/>
  <c r="CE117" i="1"/>
  <c r="CF117" i="1"/>
  <c r="CG117" i="1"/>
  <c r="CH117" i="1"/>
  <c r="CI117" i="1"/>
  <c r="CJ117" i="1"/>
  <c r="CK117" i="1"/>
  <c r="CL117" i="1"/>
  <c r="CM117" i="1"/>
  <c r="CN117" i="1"/>
  <c r="CO117" i="1"/>
  <c r="CP117" i="1"/>
  <c r="CQ117" i="1"/>
  <c r="CR117" i="1"/>
  <c r="CS117" i="1"/>
  <c r="CT117" i="1"/>
  <c r="CU117" i="1"/>
  <c r="CV117" i="1"/>
  <c r="BQ118" i="1"/>
  <c r="BR118" i="1"/>
  <c r="BS118" i="1"/>
  <c r="BV118" i="1"/>
  <c r="BW118" i="1"/>
  <c r="BX118" i="1"/>
  <c r="BY118" i="1"/>
  <c r="BZ118" i="1"/>
  <c r="CA118" i="1"/>
  <c r="CB118" i="1"/>
  <c r="CC118" i="1"/>
  <c r="CD118" i="1"/>
  <c r="CE118" i="1"/>
  <c r="CF118" i="1"/>
  <c r="CG118" i="1"/>
  <c r="CH118" i="1"/>
  <c r="CI118" i="1"/>
  <c r="CJ118" i="1"/>
  <c r="CK118" i="1"/>
  <c r="CL118" i="1"/>
  <c r="CM118" i="1"/>
  <c r="CN118" i="1"/>
  <c r="CO118" i="1"/>
  <c r="CP118" i="1"/>
  <c r="CQ118" i="1"/>
  <c r="CR118" i="1"/>
  <c r="CS118" i="1"/>
  <c r="CT118" i="1"/>
  <c r="CU118" i="1"/>
  <c r="CV118" i="1"/>
  <c r="BQ119" i="1"/>
  <c r="BR119" i="1"/>
  <c r="BS119" i="1"/>
  <c r="BV119" i="1"/>
  <c r="BW119" i="1"/>
  <c r="BX119" i="1"/>
  <c r="BY119" i="1"/>
  <c r="BZ119" i="1"/>
  <c r="CA119" i="1"/>
  <c r="CB119" i="1"/>
  <c r="CC119" i="1"/>
  <c r="CD119" i="1"/>
  <c r="CE119" i="1"/>
  <c r="CF119" i="1"/>
  <c r="CG119" i="1"/>
  <c r="CH119" i="1"/>
  <c r="CI119" i="1"/>
  <c r="CJ119" i="1"/>
  <c r="CK119" i="1"/>
  <c r="CL119" i="1"/>
  <c r="CM119" i="1"/>
  <c r="CN119" i="1"/>
  <c r="CO119" i="1"/>
  <c r="CP119" i="1"/>
  <c r="CQ119" i="1"/>
  <c r="CR119" i="1"/>
  <c r="CS119" i="1"/>
  <c r="CT119" i="1"/>
  <c r="CU119" i="1"/>
  <c r="CV119" i="1"/>
  <c r="BQ120" i="1"/>
  <c r="BR120" i="1"/>
  <c r="BS120" i="1"/>
  <c r="BV120" i="1"/>
  <c r="BW120" i="1"/>
  <c r="BX120" i="1"/>
  <c r="BY120" i="1"/>
  <c r="BZ120" i="1"/>
  <c r="CA120" i="1"/>
  <c r="CB120" i="1"/>
  <c r="CC120" i="1"/>
  <c r="CD120" i="1"/>
  <c r="CE120" i="1"/>
  <c r="CF120" i="1"/>
  <c r="CG120" i="1"/>
  <c r="CH120" i="1"/>
  <c r="CI120" i="1"/>
  <c r="CJ120" i="1"/>
  <c r="CK120" i="1"/>
  <c r="CL120" i="1"/>
  <c r="CM120" i="1"/>
  <c r="CN120" i="1"/>
  <c r="CO120" i="1"/>
  <c r="CP120" i="1"/>
  <c r="CQ120" i="1"/>
  <c r="CR120" i="1"/>
  <c r="CS120" i="1"/>
  <c r="CT120" i="1"/>
  <c r="CU120" i="1"/>
  <c r="CV120" i="1"/>
  <c r="BQ121" i="1"/>
  <c r="BR121" i="1"/>
  <c r="BS121" i="1"/>
  <c r="BV121" i="1"/>
  <c r="BW121" i="1"/>
  <c r="BX121" i="1"/>
  <c r="BY121" i="1"/>
  <c r="BZ121" i="1"/>
  <c r="CA121" i="1"/>
  <c r="CB121" i="1"/>
  <c r="CC121" i="1"/>
  <c r="CD121" i="1"/>
  <c r="CE121" i="1"/>
  <c r="CF121" i="1"/>
  <c r="CG121" i="1"/>
  <c r="CH121" i="1"/>
  <c r="CI121" i="1"/>
  <c r="CJ121" i="1"/>
  <c r="CK121" i="1"/>
  <c r="CL121" i="1"/>
  <c r="CM121" i="1"/>
  <c r="CN121" i="1"/>
  <c r="CO121" i="1"/>
  <c r="CP121" i="1"/>
  <c r="CQ121" i="1"/>
  <c r="CR121" i="1"/>
  <c r="CS121" i="1"/>
  <c r="CT121" i="1"/>
  <c r="CU121" i="1"/>
  <c r="CV121" i="1"/>
  <c r="BQ122" i="1"/>
  <c r="BR122" i="1"/>
  <c r="BS122" i="1"/>
  <c r="BV122" i="1"/>
  <c r="BW122" i="1"/>
  <c r="BX122" i="1"/>
  <c r="BY122" i="1"/>
  <c r="BZ122" i="1"/>
  <c r="CA122" i="1"/>
  <c r="CB122" i="1"/>
  <c r="CC122" i="1"/>
  <c r="CD122" i="1"/>
  <c r="CE122" i="1"/>
  <c r="CF122" i="1"/>
  <c r="CG122" i="1"/>
  <c r="CH122" i="1"/>
  <c r="CI122" i="1"/>
  <c r="CJ122" i="1"/>
  <c r="CK122" i="1"/>
  <c r="CL122" i="1"/>
  <c r="CM122" i="1"/>
  <c r="CN122" i="1"/>
  <c r="CO122" i="1"/>
  <c r="CP122" i="1"/>
  <c r="CQ122" i="1"/>
  <c r="CR122" i="1"/>
  <c r="CS122" i="1"/>
  <c r="CT122" i="1"/>
  <c r="CU122" i="1"/>
  <c r="CV122" i="1"/>
  <c r="BQ123" i="1"/>
  <c r="BR123" i="1"/>
  <c r="BS123" i="1"/>
  <c r="BV123" i="1"/>
  <c r="BW123" i="1"/>
  <c r="BX123" i="1"/>
  <c r="BY123" i="1"/>
  <c r="BZ123" i="1"/>
  <c r="CA123" i="1"/>
  <c r="CB123" i="1"/>
  <c r="CC123" i="1"/>
  <c r="CD123" i="1"/>
  <c r="CE123" i="1"/>
  <c r="CF123" i="1"/>
  <c r="CG123" i="1"/>
  <c r="CH123" i="1"/>
  <c r="CI123" i="1"/>
  <c r="CJ123" i="1"/>
  <c r="CK123" i="1"/>
  <c r="CL123" i="1"/>
  <c r="CM123" i="1"/>
  <c r="CN123" i="1"/>
  <c r="CO123" i="1"/>
  <c r="CP123" i="1"/>
  <c r="CQ123" i="1"/>
  <c r="CR123" i="1"/>
  <c r="CS123" i="1"/>
  <c r="CT123" i="1"/>
  <c r="CU123" i="1"/>
  <c r="CV123" i="1"/>
  <c r="BQ124" i="1"/>
  <c r="BR124" i="1"/>
  <c r="BS124" i="1"/>
  <c r="BV124" i="1"/>
  <c r="BW124" i="1"/>
  <c r="BX124" i="1"/>
  <c r="BY124" i="1"/>
  <c r="BZ124" i="1"/>
  <c r="CA124" i="1"/>
  <c r="CB124" i="1"/>
  <c r="CC124" i="1"/>
  <c r="CD124" i="1"/>
  <c r="CE124" i="1"/>
  <c r="CF124" i="1"/>
  <c r="CG124" i="1"/>
  <c r="CH124" i="1"/>
  <c r="CI124" i="1"/>
  <c r="CJ124" i="1"/>
  <c r="CK124" i="1"/>
  <c r="CL124" i="1"/>
  <c r="CM124" i="1"/>
  <c r="CN124" i="1"/>
  <c r="CO124" i="1"/>
  <c r="CP124" i="1"/>
  <c r="CQ124" i="1"/>
  <c r="CR124" i="1"/>
  <c r="CS124" i="1"/>
  <c r="CT124" i="1"/>
  <c r="CU124" i="1"/>
  <c r="CV124" i="1"/>
  <c r="BQ125" i="1"/>
  <c r="BR125" i="1"/>
  <c r="BS125" i="1"/>
  <c r="BV125" i="1"/>
  <c r="BW125" i="1"/>
  <c r="BX125" i="1"/>
  <c r="BY125" i="1"/>
  <c r="BZ125" i="1"/>
  <c r="CA125" i="1"/>
  <c r="CB125" i="1"/>
  <c r="CC125" i="1"/>
  <c r="CD125" i="1"/>
  <c r="CE125" i="1"/>
  <c r="CF125" i="1"/>
  <c r="CG125" i="1"/>
  <c r="CH125" i="1"/>
  <c r="CI125" i="1"/>
  <c r="CJ125" i="1"/>
  <c r="CK125" i="1"/>
  <c r="CL125" i="1"/>
  <c r="CM125" i="1"/>
  <c r="CN125" i="1"/>
  <c r="CO125" i="1"/>
  <c r="CP125" i="1"/>
  <c r="CQ125" i="1"/>
  <c r="CR125" i="1"/>
  <c r="CS125" i="1"/>
  <c r="CT125" i="1"/>
  <c r="CU125" i="1"/>
  <c r="CV125" i="1"/>
  <c r="BQ126" i="1"/>
  <c r="BR126" i="1"/>
  <c r="BS126" i="1"/>
  <c r="BV126" i="1"/>
  <c r="BW126" i="1"/>
  <c r="BX126" i="1"/>
  <c r="BY126" i="1"/>
  <c r="BZ126" i="1"/>
  <c r="CA126" i="1"/>
  <c r="CB126" i="1"/>
  <c r="CC126" i="1"/>
  <c r="CD126" i="1"/>
  <c r="CE126" i="1"/>
  <c r="CF126" i="1"/>
  <c r="CG126" i="1"/>
  <c r="CH126" i="1"/>
  <c r="CI126" i="1"/>
  <c r="CJ126" i="1"/>
  <c r="CK126" i="1"/>
  <c r="CL126" i="1"/>
  <c r="CM126" i="1"/>
  <c r="CN126" i="1"/>
  <c r="CO126" i="1"/>
  <c r="CP126" i="1"/>
  <c r="CQ126" i="1"/>
  <c r="CR126" i="1"/>
  <c r="CS126" i="1"/>
  <c r="CT126" i="1"/>
  <c r="CU126" i="1"/>
  <c r="CV126" i="1"/>
  <c r="BQ127" i="1"/>
  <c r="BR127" i="1"/>
  <c r="BS127" i="1"/>
  <c r="BV127" i="1"/>
  <c r="BW127" i="1"/>
  <c r="BX127" i="1"/>
  <c r="BY127" i="1"/>
  <c r="BZ127" i="1"/>
  <c r="CA127" i="1"/>
  <c r="CB127" i="1"/>
  <c r="CC127" i="1"/>
  <c r="CD127" i="1"/>
  <c r="CE127" i="1"/>
  <c r="CF127" i="1"/>
  <c r="CG127" i="1"/>
  <c r="CH127" i="1"/>
  <c r="CI127" i="1"/>
  <c r="CJ127" i="1"/>
  <c r="CK127" i="1"/>
  <c r="CL127" i="1"/>
  <c r="CM127" i="1"/>
  <c r="CN127" i="1"/>
  <c r="CO127" i="1"/>
  <c r="CP127" i="1"/>
  <c r="CQ127" i="1"/>
  <c r="CR127" i="1"/>
  <c r="CS127" i="1"/>
  <c r="CT127" i="1"/>
  <c r="CU127" i="1"/>
  <c r="CV127" i="1"/>
  <c r="BQ128" i="1"/>
  <c r="BR128" i="1"/>
  <c r="BS128" i="1"/>
  <c r="BV128" i="1"/>
  <c r="BW128" i="1"/>
  <c r="BX128" i="1"/>
  <c r="BY128" i="1"/>
  <c r="BZ128" i="1"/>
  <c r="CA128" i="1"/>
  <c r="CB128" i="1"/>
  <c r="CC128" i="1"/>
  <c r="CD128" i="1"/>
  <c r="CE128" i="1"/>
  <c r="CF128" i="1"/>
  <c r="CG128" i="1"/>
  <c r="CH128" i="1"/>
  <c r="CI128" i="1"/>
  <c r="CJ128" i="1"/>
  <c r="CK128" i="1"/>
  <c r="CL128" i="1"/>
  <c r="CM128" i="1"/>
  <c r="CN128" i="1"/>
  <c r="CO128" i="1"/>
  <c r="CP128" i="1"/>
  <c r="CQ128" i="1"/>
  <c r="CR128" i="1"/>
  <c r="CS128" i="1"/>
  <c r="CT128" i="1"/>
  <c r="CU128" i="1"/>
  <c r="CV128" i="1"/>
  <c r="BQ129" i="1"/>
  <c r="BR129" i="1"/>
  <c r="BS129" i="1"/>
  <c r="BV129" i="1"/>
  <c r="BW129" i="1"/>
  <c r="BX129" i="1"/>
  <c r="BY129" i="1"/>
  <c r="BZ129" i="1"/>
  <c r="CA129" i="1"/>
  <c r="CB129" i="1"/>
  <c r="CC129" i="1"/>
  <c r="CD129" i="1"/>
  <c r="CE129" i="1"/>
  <c r="CF129" i="1"/>
  <c r="CG129" i="1"/>
  <c r="CH129" i="1"/>
  <c r="CI129" i="1"/>
  <c r="CJ129" i="1"/>
  <c r="CK129" i="1"/>
  <c r="CL129" i="1"/>
  <c r="CM129" i="1"/>
  <c r="CN129" i="1"/>
  <c r="CO129" i="1"/>
  <c r="CP129" i="1"/>
  <c r="CQ129" i="1"/>
  <c r="CR129" i="1"/>
  <c r="CS129" i="1"/>
  <c r="CT129" i="1"/>
  <c r="CU129" i="1"/>
  <c r="CV129" i="1"/>
  <c r="BQ130" i="1"/>
  <c r="BR130" i="1"/>
  <c r="BS130" i="1"/>
  <c r="BV130" i="1"/>
  <c r="BW130" i="1"/>
  <c r="BX130" i="1"/>
  <c r="BY130" i="1"/>
  <c r="BZ130" i="1"/>
  <c r="CA130" i="1"/>
  <c r="CB130" i="1"/>
  <c r="CC130" i="1"/>
  <c r="CD130" i="1"/>
  <c r="CE130" i="1"/>
  <c r="CF130" i="1"/>
  <c r="CG130" i="1"/>
  <c r="CH130" i="1"/>
  <c r="CI130" i="1"/>
  <c r="CJ130" i="1"/>
  <c r="CK130" i="1"/>
  <c r="CL130" i="1"/>
  <c r="CM130" i="1"/>
  <c r="CN130" i="1"/>
  <c r="CO130" i="1"/>
  <c r="CP130" i="1"/>
  <c r="CQ130" i="1"/>
  <c r="CR130" i="1"/>
  <c r="CS130" i="1"/>
  <c r="CT130" i="1"/>
  <c r="CU130" i="1"/>
  <c r="CV130" i="1"/>
  <c r="BQ131" i="1"/>
  <c r="BR131" i="1"/>
  <c r="BS131" i="1"/>
  <c r="BV131" i="1"/>
  <c r="BW131" i="1"/>
  <c r="BX131" i="1"/>
  <c r="BY131" i="1"/>
  <c r="BZ131" i="1"/>
  <c r="CA131" i="1"/>
  <c r="CB131" i="1"/>
  <c r="CC131" i="1"/>
  <c r="CD131" i="1"/>
  <c r="CE131" i="1"/>
  <c r="CF131" i="1"/>
  <c r="CG131" i="1"/>
  <c r="CH131" i="1"/>
  <c r="CI131" i="1"/>
  <c r="CJ131" i="1"/>
  <c r="CK131" i="1"/>
  <c r="CL131" i="1"/>
  <c r="CM131" i="1"/>
  <c r="CN131" i="1"/>
  <c r="CO131" i="1"/>
  <c r="CP131" i="1"/>
  <c r="CQ131" i="1"/>
  <c r="CR131" i="1"/>
  <c r="CS131" i="1"/>
  <c r="CT131" i="1"/>
  <c r="CU131" i="1"/>
  <c r="CV131" i="1"/>
  <c r="BQ132" i="1"/>
  <c r="BR132" i="1"/>
  <c r="BS132" i="1"/>
  <c r="BV132" i="1"/>
  <c r="BW132" i="1"/>
  <c r="BX132" i="1"/>
  <c r="BY132" i="1"/>
  <c r="BZ132" i="1"/>
  <c r="CA132" i="1"/>
  <c r="CB132" i="1"/>
  <c r="CC132" i="1"/>
  <c r="CD132" i="1"/>
  <c r="CE132" i="1"/>
  <c r="CF132" i="1"/>
  <c r="CG132" i="1"/>
  <c r="CH132" i="1"/>
  <c r="CI132" i="1"/>
  <c r="CJ132" i="1"/>
  <c r="CK132" i="1"/>
  <c r="CL132" i="1"/>
  <c r="CM132" i="1"/>
  <c r="CN132" i="1"/>
  <c r="CO132" i="1"/>
  <c r="CP132" i="1"/>
  <c r="CQ132" i="1"/>
  <c r="CR132" i="1"/>
  <c r="CS132" i="1"/>
  <c r="CT132" i="1"/>
  <c r="CU132" i="1"/>
  <c r="CV132" i="1"/>
  <c r="BQ133" i="1"/>
  <c r="BR133" i="1"/>
  <c r="BS133" i="1"/>
  <c r="BV133" i="1"/>
  <c r="BW133" i="1"/>
  <c r="BX133" i="1"/>
  <c r="BY133" i="1"/>
  <c r="BZ133" i="1"/>
  <c r="CA133" i="1"/>
  <c r="CB133" i="1"/>
  <c r="CC133" i="1"/>
  <c r="CD133" i="1"/>
  <c r="CE133" i="1"/>
  <c r="CF133" i="1"/>
  <c r="CG133" i="1"/>
  <c r="CH133" i="1"/>
  <c r="CI133" i="1"/>
  <c r="CJ133" i="1"/>
  <c r="CK133" i="1"/>
  <c r="CL133" i="1"/>
  <c r="CM133" i="1"/>
  <c r="CN133" i="1"/>
  <c r="CO133" i="1"/>
  <c r="CP133" i="1"/>
  <c r="CQ133" i="1"/>
  <c r="CR133" i="1"/>
  <c r="CS133" i="1"/>
  <c r="CT133" i="1"/>
  <c r="CU133" i="1"/>
  <c r="CV133" i="1"/>
  <c r="BQ134" i="1"/>
  <c r="BR134" i="1"/>
  <c r="BS134" i="1"/>
  <c r="BV134" i="1"/>
  <c r="BW134" i="1"/>
  <c r="BX134" i="1"/>
  <c r="BY134" i="1"/>
  <c r="BZ134" i="1"/>
  <c r="CA134" i="1"/>
  <c r="CB134" i="1"/>
  <c r="CC134" i="1"/>
  <c r="CD134" i="1"/>
  <c r="CE134" i="1"/>
  <c r="CF134" i="1"/>
  <c r="CG134" i="1"/>
  <c r="CH134" i="1"/>
  <c r="CI134" i="1"/>
  <c r="CJ134" i="1"/>
  <c r="CK134" i="1"/>
  <c r="CL134" i="1"/>
  <c r="CM134" i="1"/>
  <c r="CN134" i="1"/>
  <c r="CO134" i="1"/>
  <c r="CP134" i="1"/>
  <c r="CQ134" i="1"/>
  <c r="CR134" i="1"/>
  <c r="CS134" i="1"/>
  <c r="CT134" i="1"/>
  <c r="CU134" i="1"/>
  <c r="CV134" i="1"/>
  <c r="BQ135" i="1"/>
  <c r="BR135" i="1"/>
  <c r="BS135" i="1"/>
  <c r="BV135" i="1"/>
  <c r="BW135" i="1"/>
  <c r="BX135" i="1"/>
  <c r="BY135" i="1"/>
  <c r="BZ135" i="1"/>
  <c r="CA135" i="1"/>
  <c r="CB135" i="1"/>
  <c r="CC135" i="1"/>
  <c r="CD135" i="1"/>
  <c r="CE135" i="1"/>
  <c r="CF135" i="1"/>
  <c r="CG135" i="1"/>
  <c r="CH135" i="1"/>
  <c r="CI135" i="1"/>
  <c r="CJ135" i="1"/>
  <c r="CK135" i="1"/>
  <c r="CL135" i="1"/>
  <c r="CM135" i="1"/>
  <c r="CN135" i="1"/>
  <c r="CO135" i="1"/>
  <c r="CP135" i="1"/>
  <c r="CQ135" i="1"/>
  <c r="CR135" i="1"/>
  <c r="CS135" i="1"/>
  <c r="CT135" i="1"/>
  <c r="CU135" i="1"/>
  <c r="CV135" i="1"/>
  <c r="BQ136" i="1"/>
  <c r="BR136" i="1"/>
  <c r="BS136" i="1"/>
  <c r="BV136" i="1"/>
  <c r="BW136" i="1"/>
  <c r="BX136" i="1"/>
  <c r="BY136" i="1"/>
  <c r="BZ136" i="1"/>
  <c r="CA136" i="1"/>
  <c r="CB136" i="1"/>
  <c r="CC136" i="1"/>
  <c r="CD136" i="1"/>
  <c r="CE136" i="1"/>
  <c r="CF136" i="1"/>
  <c r="CG136" i="1"/>
  <c r="CH136" i="1"/>
  <c r="CI136" i="1"/>
  <c r="CJ136" i="1"/>
  <c r="CK136" i="1"/>
  <c r="CL136" i="1"/>
  <c r="CM136" i="1"/>
  <c r="CN136" i="1"/>
  <c r="CO136" i="1"/>
  <c r="CP136" i="1"/>
  <c r="CQ136" i="1"/>
  <c r="CR136" i="1"/>
  <c r="CS136" i="1"/>
  <c r="CT136" i="1"/>
  <c r="CU136" i="1"/>
  <c r="CV136" i="1"/>
  <c r="BQ137" i="1"/>
  <c r="BR137" i="1"/>
  <c r="BS137" i="1"/>
  <c r="BV137" i="1"/>
  <c r="BW137" i="1"/>
  <c r="BX137" i="1"/>
  <c r="BY137" i="1"/>
  <c r="BZ137" i="1"/>
  <c r="CA137" i="1"/>
  <c r="CB137" i="1"/>
  <c r="CC137" i="1"/>
  <c r="CD137" i="1"/>
  <c r="CE137" i="1"/>
  <c r="CF137" i="1"/>
  <c r="CG137" i="1"/>
  <c r="CH137" i="1"/>
  <c r="CI137" i="1"/>
  <c r="CJ137" i="1"/>
  <c r="CK137" i="1"/>
  <c r="CL137" i="1"/>
  <c r="CM137" i="1"/>
  <c r="CN137" i="1"/>
  <c r="CO137" i="1"/>
  <c r="CP137" i="1"/>
  <c r="CQ137" i="1"/>
  <c r="CR137" i="1"/>
  <c r="CS137" i="1"/>
  <c r="CT137" i="1"/>
  <c r="CU137" i="1"/>
  <c r="CV137" i="1"/>
  <c r="BQ138" i="1"/>
  <c r="BR138" i="1"/>
  <c r="BS138" i="1"/>
  <c r="BV138" i="1"/>
  <c r="BW138" i="1"/>
  <c r="BX138" i="1"/>
  <c r="BY138" i="1"/>
  <c r="BZ138" i="1"/>
  <c r="CA138" i="1"/>
  <c r="CB138" i="1"/>
  <c r="CC138" i="1"/>
  <c r="CD138" i="1"/>
  <c r="CE138" i="1"/>
  <c r="CF138" i="1"/>
  <c r="CG138" i="1"/>
  <c r="CH138" i="1"/>
  <c r="CI138" i="1"/>
  <c r="CJ138" i="1"/>
  <c r="CK138" i="1"/>
  <c r="CL138" i="1"/>
  <c r="CM138" i="1"/>
  <c r="CN138" i="1"/>
  <c r="CO138" i="1"/>
  <c r="CP138" i="1"/>
  <c r="CQ138" i="1"/>
  <c r="CR138" i="1"/>
  <c r="CS138" i="1"/>
  <c r="CT138" i="1"/>
  <c r="CU138" i="1"/>
  <c r="CV138" i="1"/>
  <c r="BQ139" i="1"/>
  <c r="BR139" i="1"/>
  <c r="BS139" i="1"/>
  <c r="BV139" i="1"/>
  <c r="BW139" i="1"/>
  <c r="BX139" i="1"/>
  <c r="BY139" i="1"/>
  <c r="BZ139" i="1"/>
  <c r="CA139" i="1"/>
  <c r="CB139" i="1"/>
  <c r="CC139" i="1"/>
  <c r="CD139" i="1"/>
  <c r="CE139" i="1"/>
  <c r="CF139" i="1"/>
  <c r="CG139" i="1"/>
  <c r="CH139" i="1"/>
  <c r="CI139" i="1"/>
  <c r="CJ139" i="1"/>
  <c r="CK139" i="1"/>
  <c r="CL139" i="1"/>
  <c r="CM139" i="1"/>
  <c r="CN139" i="1"/>
  <c r="CO139" i="1"/>
  <c r="CP139" i="1"/>
  <c r="CQ139" i="1"/>
  <c r="CR139" i="1"/>
  <c r="CS139" i="1"/>
  <c r="CT139" i="1"/>
  <c r="CU139" i="1"/>
  <c r="CV139" i="1"/>
  <c r="BQ140" i="1"/>
  <c r="BR140" i="1"/>
  <c r="BS140" i="1"/>
  <c r="BV140" i="1"/>
  <c r="BW140" i="1"/>
  <c r="BX140" i="1"/>
  <c r="BY140" i="1"/>
  <c r="BZ140" i="1"/>
  <c r="CA140" i="1"/>
  <c r="CB140" i="1"/>
  <c r="CC140" i="1"/>
  <c r="CD140" i="1"/>
  <c r="CE140" i="1"/>
  <c r="CF140" i="1"/>
  <c r="CG140" i="1"/>
  <c r="CH140" i="1"/>
  <c r="CI140" i="1"/>
  <c r="CJ140" i="1"/>
  <c r="CK140" i="1"/>
  <c r="CL140" i="1"/>
  <c r="CM140" i="1"/>
  <c r="CN140" i="1"/>
  <c r="CO140" i="1"/>
  <c r="CP140" i="1"/>
  <c r="CQ140" i="1"/>
  <c r="CR140" i="1"/>
  <c r="CS140" i="1"/>
  <c r="CT140" i="1"/>
  <c r="CU140" i="1"/>
  <c r="CV140" i="1"/>
  <c r="BQ141" i="1"/>
  <c r="BR141" i="1"/>
  <c r="BS141" i="1"/>
  <c r="BV141" i="1"/>
  <c r="BW141" i="1"/>
  <c r="BX141" i="1"/>
  <c r="BY141" i="1"/>
  <c r="BZ141" i="1"/>
  <c r="CA141" i="1"/>
  <c r="CB141" i="1"/>
  <c r="CC141" i="1"/>
  <c r="CD141" i="1"/>
  <c r="CE141" i="1"/>
  <c r="CF141" i="1"/>
  <c r="CG141" i="1"/>
  <c r="CH141" i="1"/>
  <c r="CI141" i="1"/>
  <c r="CJ141" i="1"/>
  <c r="CK141" i="1"/>
  <c r="CL141" i="1"/>
  <c r="CM141" i="1"/>
  <c r="CN141" i="1"/>
  <c r="CO141" i="1"/>
  <c r="CP141" i="1"/>
  <c r="CQ141" i="1"/>
  <c r="CR141" i="1"/>
  <c r="CS141" i="1"/>
  <c r="CT141" i="1"/>
  <c r="CU141" i="1"/>
  <c r="CV141" i="1"/>
  <c r="BQ142" i="1"/>
  <c r="BR142" i="1"/>
  <c r="BS142" i="1"/>
  <c r="BV142" i="1"/>
  <c r="BW142" i="1"/>
  <c r="BX142" i="1"/>
  <c r="BY142" i="1"/>
  <c r="BZ142" i="1"/>
  <c r="CA142" i="1"/>
  <c r="CB142" i="1"/>
  <c r="CC142" i="1"/>
  <c r="CD142" i="1"/>
  <c r="CE142" i="1"/>
  <c r="CF142" i="1"/>
  <c r="CG142" i="1"/>
  <c r="CH142" i="1"/>
  <c r="CI142" i="1"/>
  <c r="CJ142" i="1"/>
  <c r="CK142" i="1"/>
  <c r="CL142" i="1"/>
  <c r="CM142" i="1"/>
  <c r="CN142" i="1"/>
  <c r="CO142" i="1"/>
  <c r="CP142" i="1"/>
  <c r="CQ142" i="1"/>
  <c r="CR142" i="1"/>
  <c r="CS142" i="1"/>
  <c r="CT142" i="1"/>
  <c r="CU142" i="1"/>
  <c r="CV142" i="1"/>
  <c r="BQ143" i="1"/>
  <c r="BR143" i="1"/>
  <c r="BS143" i="1"/>
  <c r="BV143" i="1"/>
  <c r="BW143" i="1"/>
  <c r="BX143" i="1"/>
  <c r="BY143" i="1"/>
  <c r="BZ143" i="1"/>
  <c r="CA143" i="1"/>
  <c r="CB143" i="1"/>
  <c r="CC143" i="1"/>
  <c r="CD143" i="1"/>
  <c r="CE143" i="1"/>
  <c r="CF143" i="1"/>
  <c r="CG143" i="1"/>
  <c r="CH143" i="1"/>
  <c r="CI143" i="1"/>
  <c r="CJ143" i="1"/>
  <c r="CK143" i="1"/>
  <c r="CL143" i="1"/>
  <c r="CM143" i="1"/>
  <c r="CN143" i="1"/>
  <c r="CO143" i="1"/>
  <c r="CP143" i="1"/>
  <c r="CQ143" i="1"/>
  <c r="CR143" i="1"/>
  <c r="CS143" i="1"/>
  <c r="CT143" i="1"/>
  <c r="CU143" i="1"/>
  <c r="CV143" i="1"/>
  <c r="BQ144" i="1"/>
  <c r="BR144" i="1"/>
  <c r="BS144" i="1"/>
  <c r="BV144" i="1"/>
  <c r="BW144" i="1"/>
  <c r="BX144" i="1"/>
  <c r="BY144" i="1"/>
  <c r="BZ144" i="1"/>
  <c r="CA144" i="1"/>
  <c r="CB144" i="1"/>
  <c r="CC144" i="1"/>
  <c r="CD144" i="1"/>
  <c r="CE144" i="1"/>
  <c r="CF144" i="1"/>
  <c r="CG144" i="1"/>
  <c r="CH144" i="1"/>
  <c r="CI144" i="1"/>
  <c r="CJ144" i="1"/>
  <c r="CK144" i="1"/>
  <c r="CL144" i="1"/>
  <c r="CM144" i="1"/>
  <c r="CN144" i="1"/>
  <c r="CO144" i="1"/>
  <c r="CP144" i="1"/>
  <c r="CQ144" i="1"/>
  <c r="CR144" i="1"/>
  <c r="CS144" i="1"/>
  <c r="CT144" i="1"/>
  <c r="CU144" i="1"/>
  <c r="CV144" i="1"/>
  <c r="BQ145" i="1"/>
  <c r="BR145" i="1"/>
  <c r="BS145" i="1"/>
  <c r="BV145" i="1"/>
  <c r="BW145" i="1"/>
  <c r="BX145" i="1"/>
  <c r="BY145" i="1"/>
  <c r="BZ145" i="1"/>
  <c r="CA145" i="1"/>
  <c r="CB145" i="1"/>
  <c r="CC145" i="1"/>
  <c r="CD145" i="1"/>
  <c r="CE145" i="1"/>
  <c r="CF145" i="1"/>
  <c r="CG145" i="1"/>
  <c r="CH145" i="1"/>
  <c r="CI145" i="1"/>
  <c r="CJ145" i="1"/>
  <c r="CK145" i="1"/>
  <c r="CL145" i="1"/>
  <c r="CM145" i="1"/>
  <c r="CN145" i="1"/>
  <c r="CO145" i="1"/>
  <c r="CP145" i="1"/>
  <c r="CQ145" i="1"/>
  <c r="CR145" i="1"/>
  <c r="CS145" i="1"/>
  <c r="CT145" i="1"/>
  <c r="CU145" i="1"/>
  <c r="CV145" i="1"/>
  <c r="BQ146" i="1"/>
  <c r="BR146" i="1"/>
  <c r="BS146" i="1"/>
  <c r="BV146" i="1"/>
  <c r="BW146" i="1"/>
  <c r="BX146" i="1"/>
  <c r="BY146" i="1"/>
  <c r="BZ146" i="1"/>
  <c r="CA146" i="1"/>
  <c r="CB146" i="1"/>
  <c r="CC146" i="1"/>
  <c r="CD146" i="1"/>
  <c r="CE146" i="1"/>
  <c r="CF146" i="1"/>
  <c r="CG146" i="1"/>
  <c r="CH146" i="1"/>
  <c r="CI146" i="1"/>
  <c r="CJ146" i="1"/>
  <c r="CK146" i="1"/>
  <c r="CL146" i="1"/>
  <c r="CM146" i="1"/>
  <c r="CN146" i="1"/>
  <c r="CO146" i="1"/>
  <c r="CP146" i="1"/>
  <c r="CQ146" i="1"/>
  <c r="CR146" i="1"/>
  <c r="CS146" i="1"/>
  <c r="CT146" i="1"/>
  <c r="CU146" i="1"/>
  <c r="CV146" i="1"/>
  <c r="BQ147" i="1"/>
  <c r="BR147" i="1"/>
  <c r="BS147" i="1"/>
  <c r="BV147" i="1"/>
  <c r="BW147" i="1"/>
  <c r="BX147" i="1"/>
  <c r="BY147" i="1"/>
  <c r="BZ147" i="1"/>
  <c r="CA147" i="1"/>
  <c r="CB147" i="1"/>
  <c r="CC147" i="1"/>
  <c r="CD147" i="1"/>
  <c r="CE147" i="1"/>
  <c r="CF147" i="1"/>
  <c r="CG147" i="1"/>
  <c r="CH147" i="1"/>
  <c r="CI147" i="1"/>
  <c r="CJ147" i="1"/>
  <c r="CK147" i="1"/>
  <c r="CL147" i="1"/>
  <c r="CM147" i="1"/>
  <c r="CN147" i="1"/>
  <c r="CO147" i="1"/>
  <c r="CP147" i="1"/>
  <c r="CQ147" i="1"/>
  <c r="CR147" i="1"/>
  <c r="CS147" i="1"/>
  <c r="CT147" i="1"/>
  <c r="CU147" i="1"/>
  <c r="CV147" i="1"/>
  <c r="BQ148" i="1"/>
  <c r="BR148" i="1"/>
  <c r="BS148" i="1"/>
  <c r="BV148" i="1"/>
  <c r="BW148" i="1"/>
  <c r="BX148" i="1"/>
  <c r="BY148" i="1"/>
  <c r="BZ148" i="1"/>
  <c r="CA148" i="1"/>
  <c r="CB148" i="1"/>
  <c r="CC148" i="1"/>
  <c r="CD148" i="1"/>
  <c r="CE148" i="1"/>
  <c r="CF148" i="1"/>
  <c r="CG148" i="1"/>
  <c r="CH148" i="1"/>
  <c r="CI148" i="1"/>
  <c r="CJ148" i="1"/>
  <c r="CK148" i="1"/>
  <c r="CL148" i="1"/>
  <c r="CM148" i="1"/>
  <c r="CN148" i="1"/>
  <c r="CO148" i="1"/>
  <c r="CP148" i="1"/>
  <c r="CQ148" i="1"/>
  <c r="CR148" i="1"/>
  <c r="CS148" i="1"/>
  <c r="CT148" i="1"/>
  <c r="CU148" i="1"/>
  <c r="CV148" i="1"/>
  <c r="BQ149" i="1"/>
  <c r="BR149" i="1"/>
  <c r="BS149" i="1"/>
  <c r="BV149" i="1"/>
  <c r="BW149" i="1"/>
  <c r="BX149" i="1"/>
  <c r="BY149" i="1"/>
  <c r="BZ149" i="1"/>
  <c r="CA149" i="1"/>
  <c r="CB149" i="1"/>
  <c r="CC149" i="1"/>
  <c r="CD149" i="1"/>
  <c r="CE149" i="1"/>
  <c r="CF149" i="1"/>
  <c r="CG149" i="1"/>
  <c r="CH149" i="1"/>
  <c r="CI149" i="1"/>
  <c r="CJ149" i="1"/>
  <c r="CK149" i="1"/>
  <c r="CL149" i="1"/>
  <c r="CM149" i="1"/>
  <c r="CN149" i="1"/>
  <c r="CO149" i="1"/>
  <c r="CP149" i="1"/>
  <c r="CQ149" i="1"/>
  <c r="CR149" i="1"/>
  <c r="CS149" i="1"/>
  <c r="CT149" i="1"/>
  <c r="CU149" i="1"/>
  <c r="CV149" i="1"/>
  <c r="BQ150" i="1"/>
  <c r="BR150" i="1"/>
  <c r="BS150" i="1"/>
  <c r="BV150" i="1"/>
  <c r="BW150" i="1"/>
  <c r="BX150" i="1"/>
  <c r="BY150" i="1"/>
  <c r="BZ150" i="1"/>
  <c r="CA150" i="1"/>
  <c r="CB150" i="1"/>
  <c r="CC150" i="1"/>
  <c r="CD150" i="1"/>
  <c r="CE150" i="1"/>
  <c r="CF150" i="1"/>
  <c r="CG150" i="1"/>
  <c r="CH150" i="1"/>
  <c r="CI150" i="1"/>
  <c r="CJ150" i="1"/>
  <c r="CK150" i="1"/>
  <c r="CL150" i="1"/>
  <c r="CM150" i="1"/>
  <c r="CN150" i="1"/>
  <c r="CO150" i="1"/>
  <c r="CP150" i="1"/>
  <c r="CQ150" i="1"/>
  <c r="CR150" i="1"/>
  <c r="CS150" i="1"/>
  <c r="CT150" i="1"/>
  <c r="CU150" i="1"/>
  <c r="CV150" i="1"/>
  <c r="BQ151" i="1"/>
  <c r="BR151" i="1"/>
  <c r="BS151" i="1"/>
  <c r="BV151" i="1"/>
  <c r="BW151" i="1"/>
  <c r="BX151" i="1"/>
  <c r="BY151" i="1"/>
  <c r="BZ151" i="1"/>
  <c r="CA151" i="1"/>
  <c r="CB151" i="1"/>
  <c r="CC151" i="1"/>
  <c r="CD151" i="1"/>
  <c r="CE151" i="1"/>
  <c r="CF151" i="1"/>
  <c r="CG151" i="1"/>
  <c r="CH151" i="1"/>
  <c r="CI151" i="1"/>
  <c r="CJ151" i="1"/>
  <c r="CK151" i="1"/>
  <c r="CL151" i="1"/>
  <c r="CM151" i="1"/>
  <c r="CN151" i="1"/>
  <c r="CO151" i="1"/>
  <c r="CP151" i="1"/>
  <c r="CQ151" i="1"/>
  <c r="CR151" i="1"/>
  <c r="CS151" i="1"/>
  <c r="CT151" i="1"/>
  <c r="CU151" i="1"/>
  <c r="CV151" i="1"/>
  <c r="BQ152" i="1"/>
  <c r="BR152" i="1"/>
  <c r="BS152" i="1"/>
  <c r="BV152" i="1"/>
  <c r="BW152" i="1"/>
  <c r="BX152" i="1"/>
  <c r="BY152" i="1"/>
  <c r="BZ152" i="1"/>
  <c r="CA152" i="1"/>
  <c r="CB152" i="1"/>
  <c r="CC152" i="1"/>
  <c r="CD152" i="1"/>
  <c r="CE152" i="1"/>
  <c r="CF152" i="1"/>
  <c r="CG152" i="1"/>
  <c r="CH152" i="1"/>
  <c r="CI152" i="1"/>
  <c r="CJ152" i="1"/>
  <c r="CK152" i="1"/>
  <c r="CL152" i="1"/>
  <c r="CM152" i="1"/>
  <c r="CN152" i="1"/>
  <c r="CO152" i="1"/>
  <c r="CP152" i="1"/>
  <c r="CQ152" i="1"/>
  <c r="CR152" i="1"/>
  <c r="CS152" i="1"/>
  <c r="CT152" i="1"/>
  <c r="CU152" i="1"/>
  <c r="CV152" i="1"/>
  <c r="BQ153" i="1"/>
  <c r="BR153" i="1"/>
  <c r="BS153" i="1"/>
  <c r="BV153" i="1"/>
  <c r="BW153" i="1"/>
  <c r="BX153" i="1"/>
  <c r="BY153" i="1"/>
  <c r="BZ153" i="1"/>
  <c r="CA153" i="1"/>
  <c r="CB153" i="1"/>
  <c r="CC153" i="1"/>
  <c r="CD153" i="1"/>
  <c r="CE153" i="1"/>
  <c r="CF153" i="1"/>
  <c r="CG153" i="1"/>
  <c r="CH153" i="1"/>
  <c r="CI153" i="1"/>
  <c r="CJ153" i="1"/>
  <c r="CK153" i="1"/>
  <c r="CL153" i="1"/>
  <c r="CM153" i="1"/>
  <c r="CN153" i="1"/>
  <c r="CO153" i="1"/>
  <c r="CP153" i="1"/>
  <c r="CQ153" i="1"/>
  <c r="CR153" i="1"/>
  <c r="CS153" i="1"/>
  <c r="CT153" i="1"/>
  <c r="CU153" i="1"/>
  <c r="CV153" i="1"/>
  <c r="BQ154" i="1"/>
  <c r="BR154" i="1"/>
  <c r="BS154" i="1"/>
  <c r="BV154" i="1"/>
  <c r="BW154" i="1"/>
  <c r="BX154" i="1"/>
  <c r="BY154" i="1"/>
  <c r="BZ154" i="1"/>
  <c r="CA154" i="1"/>
  <c r="CB154" i="1"/>
  <c r="CC154" i="1"/>
  <c r="CD154" i="1"/>
  <c r="CE154" i="1"/>
  <c r="CF154" i="1"/>
  <c r="CG154" i="1"/>
  <c r="CH154" i="1"/>
  <c r="CI154" i="1"/>
  <c r="CJ154" i="1"/>
  <c r="CK154" i="1"/>
  <c r="CL154" i="1"/>
  <c r="CM154" i="1"/>
  <c r="CN154" i="1"/>
  <c r="CO154" i="1"/>
  <c r="CP154" i="1"/>
  <c r="CQ154" i="1"/>
  <c r="CR154" i="1"/>
  <c r="CS154" i="1"/>
  <c r="CT154" i="1"/>
  <c r="CU154" i="1"/>
  <c r="CV154" i="1"/>
  <c r="BQ155" i="1"/>
  <c r="BR155" i="1"/>
  <c r="BS155" i="1"/>
  <c r="BV155" i="1"/>
  <c r="BW155" i="1"/>
  <c r="BX155" i="1"/>
  <c r="BY155" i="1"/>
  <c r="BZ155" i="1"/>
  <c r="CA155" i="1"/>
  <c r="CB155" i="1"/>
  <c r="CC155" i="1"/>
  <c r="CD155" i="1"/>
  <c r="CE155" i="1"/>
  <c r="CF155" i="1"/>
  <c r="CG155" i="1"/>
  <c r="CH155" i="1"/>
  <c r="CI155" i="1"/>
  <c r="CJ155" i="1"/>
  <c r="CK155" i="1"/>
  <c r="CL155" i="1"/>
  <c r="CM155" i="1"/>
  <c r="CN155" i="1"/>
  <c r="CO155" i="1"/>
  <c r="CP155" i="1"/>
  <c r="CQ155" i="1"/>
  <c r="CR155" i="1"/>
  <c r="CS155" i="1"/>
  <c r="CT155" i="1"/>
  <c r="CU155" i="1"/>
  <c r="CV155" i="1"/>
  <c r="BQ156" i="1"/>
  <c r="BR156" i="1"/>
  <c r="BS156" i="1"/>
  <c r="BV156" i="1"/>
  <c r="BW156" i="1"/>
  <c r="BX156" i="1"/>
  <c r="BY156" i="1"/>
  <c r="BZ156" i="1"/>
  <c r="CA156" i="1"/>
  <c r="CB156" i="1"/>
  <c r="CC156" i="1"/>
  <c r="CD156" i="1"/>
  <c r="CE156" i="1"/>
  <c r="CF156" i="1"/>
  <c r="CG156" i="1"/>
  <c r="CH156" i="1"/>
  <c r="CI156" i="1"/>
  <c r="CJ156" i="1"/>
  <c r="CK156" i="1"/>
  <c r="CL156" i="1"/>
  <c r="CM156" i="1"/>
  <c r="CN156" i="1"/>
  <c r="CO156" i="1"/>
  <c r="CP156" i="1"/>
  <c r="CQ156" i="1"/>
  <c r="CR156" i="1"/>
  <c r="CS156" i="1"/>
  <c r="CT156" i="1"/>
  <c r="CU156" i="1"/>
  <c r="CV156" i="1"/>
  <c r="BQ157" i="1"/>
  <c r="BR157" i="1"/>
  <c r="BS157" i="1"/>
  <c r="BV157" i="1"/>
  <c r="BW157" i="1"/>
  <c r="BX157" i="1"/>
  <c r="BY157" i="1"/>
  <c r="BZ157" i="1"/>
  <c r="CA157" i="1"/>
  <c r="CB157" i="1"/>
  <c r="CC157" i="1"/>
  <c r="CD157" i="1"/>
  <c r="CE157" i="1"/>
  <c r="CF157" i="1"/>
  <c r="CG157" i="1"/>
  <c r="CH157" i="1"/>
  <c r="CI157" i="1"/>
  <c r="CJ157" i="1"/>
  <c r="CK157" i="1"/>
  <c r="CL157" i="1"/>
  <c r="CM157" i="1"/>
  <c r="CN157" i="1"/>
  <c r="CO157" i="1"/>
  <c r="CP157" i="1"/>
  <c r="CQ157" i="1"/>
  <c r="CR157" i="1"/>
  <c r="CS157" i="1"/>
  <c r="CT157" i="1"/>
  <c r="CU157" i="1"/>
  <c r="CV157" i="1"/>
  <c r="BQ158" i="1"/>
  <c r="BR158" i="1"/>
  <c r="BS158" i="1"/>
  <c r="BV158" i="1"/>
  <c r="BW158" i="1"/>
  <c r="BX158" i="1"/>
  <c r="BY158" i="1"/>
  <c r="BZ158" i="1"/>
  <c r="CA158" i="1"/>
  <c r="CB158" i="1"/>
  <c r="CC158" i="1"/>
  <c r="CD158" i="1"/>
  <c r="CE158" i="1"/>
  <c r="CF158" i="1"/>
  <c r="CG158" i="1"/>
  <c r="CH158" i="1"/>
  <c r="CI158" i="1"/>
  <c r="CJ158" i="1"/>
  <c r="CK158" i="1"/>
  <c r="CL158" i="1"/>
  <c r="CM158" i="1"/>
  <c r="CN158" i="1"/>
  <c r="CO158" i="1"/>
  <c r="CP158" i="1"/>
  <c r="CQ158" i="1"/>
  <c r="CR158" i="1"/>
  <c r="CS158" i="1"/>
  <c r="CT158" i="1"/>
  <c r="CU158" i="1"/>
  <c r="CV158" i="1"/>
  <c r="BQ159" i="1"/>
  <c r="BR159" i="1"/>
  <c r="BS159" i="1"/>
  <c r="BV159" i="1"/>
  <c r="BW159" i="1"/>
  <c r="BX159" i="1"/>
  <c r="BY159" i="1"/>
  <c r="BZ159" i="1"/>
  <c r="CA159" i="1"/>
  <c r="CB159" i="1"/>
  <c r="CC159" i="1"/>
  <c r="CD159" i="1"/>
  <c r="CE159" i="1"/>
  <c r="CF159" i="1"/>
  <c r="CG159" i="1"/>
  <c r="CH159" i="1"/>
  <c r="CI159" i="1"/>
  <c r="CJ159" i="1"/>
  <c r="CK159" i="1"/>
  <c r="CL159" i="1"/>
  <c r="CM159" i="1"/>
  <c r="CN159" i="1"/>
  <c r="CO159" i="1"/>
  <c r="CP159" i="1"/>
  <c r="CQ159" i="1"/>
  <c r="CR159" i="1"/>
  <c r="CS159" i="1"/>
  <c r="CT159" i="1"/>
  <c r="CU159" i="1"/>
  <c r="CV159" i="1"/>
  <c r="BQ160" i="1"/>
  <c r="BR160" i="1"/>
  <c r="BS160" i="1"/>
  <c r="BV160" i="1"/>
  <c r="BW160" i="1"/>
  <c r="BX160" i="1"/>
  <c r="BY160" i="1"/>
  <c r="BZ160" i="1"/>
  <c r="CA160" i="1"/>
  <c r="CB160" i="1"/>
  <c r="CC160" i="1"/>
  <c r="CD160" i="1"/>
  <c r="CE160" i="1"/>
  <c r="CF160" i="1"/>
  <c r="CG160" i="1"/>
  <c r="CH160" i="1"/>
  <c r="CI160" i="1"/>
  <c r="CJ160" i="1"/>
  <c r="CK160" i="1"/>
  <c r="CL160" i="1"/>
  <c r="CM160" i="1"/>
  <c r="CN160" i="1"/>
  <c r="CO160" i="1"/>
  <c r="CP160" i="1"/>
  <c r="CQ160" i="1"/>
  <c r="CR160" i="1"/>
  <c r="CS160" i="1"/>
  <c r="CT160" i="1"/>
  <c r="CU160" i="1"/>
  <c r="CV160" i="1"/>
  <c r="BQ161" i="1"/>
  <c r="BR161" i="1"/>
  <c r="BS161" i="1"/>
  <c r="BV161" i="1"/>
  <c r="BW161" i="1"/>
  <c r="BX161" i="1"/>
  <c r="BY161" i="1"/>
  <c r="BZ161" i="1"/>
  <c r="CA161" i="1"/>
  <c r="CB161" i="1"/>
  <c r="CC161" i="1"/>
  <c r="CD161" i="1"/>
  <c r="CE161" i="1"/>
  <c r="CF161" i="1"/>
  <c r="CG161" i="1"/>
  <c r="CH161" i="1"/>
  <c r="CI161" i="1"/>
  <c r="CJ161" i="1"/>
  <c r="CK161" i="1"/>
  <c r="CL161" i="1"/>
  <c r="CM161" i="1"/>
  <c r="CN161" i="1"/>
  <c r="CO161" i="1"/>
  <c r="CP161" i="1"/>
  <c r="CQ161" i="1"/>
  <c r="CR161" i="1"/>
  <c r="CS161" i="1"/>
  <c r="CT161" i="1"/>
  <c r="CU161" i="1"/>
  <c r="CV161" i="1"/>
  <c r="BQ162" i="1"/>
  <c r="BR162" i="1"/>
  <c r="BS162" i="1"/>
  <c r="BV162" i="1"/>
  <c r="BW162" i="1"/>
  <c r="BX162" i="1"/>
  <c r="BY162" i="1"/>
  <c r="BZ162" i="1"/>
  <c r="CA162" i="1"/>
  <c r="CB162" i="1"/>
  <c r="CC162" i="1"/>
  <c r="CD162" i="1"/>
  <c r="CE162" i="1"/>
  <c r="CF162" i="1"/>
  <c r="CG162" i="1"/>
  <c r="CH162" i="1"/>
  <c r="CI162" i="1"/>
  <c r="CJ162" i="1"/>
  <c r="CK162" i="1"/>
  <c r="CL162" i="1"/>
  <c r="CM162" i="1"/>
  <c r="CN162" i="1"/>
  <c r="CO162" i="1"/>
  <c r="CP162" i="1"/>
  <c r="CQ162" i="1"/>
  <c r="CR162" i="1"/>
  <c r="CS162" i="1"/>
  <c r="CT162" i="1"/>
  <c r="CU162" i="1"/>
  <c r="CV162" i="1"/>
  <c r="BQ163" i="1"/>
  <c r="BR163" i="1"/>
  <c r="BS163" i="1"/>
  <c r="BV163" i="1"/>
  <c r="BW163" i="1"/>
  <c r="BX163" i="1"/>
  <c r="BY163" i="1"/>
  <c r="BZ163" i="1"/>
  <c r="CA163" i="1"/>
  <c r="CB163" i="1"/>
  <c r="CC163" i="1"/>
  <c r="CD163" i="1"/>
  <c r="CE163" i="1"/>
  <c r="CF163" i="1"/>
  <c r="CG163" i="1"/>
  <c r="CH163" i="1"/>
  <c r="CI163" i="1"/>
  <c r="CJ163" i="1"/>
  <c r="CK163" i="1"/>
  <c r="CL163" i="1"/>
  <c r="CM163" i="1"/>
  <c r="CN163" i="1"/>
  <c r="CO163" i="1"/>
  <c r="CP163" i="1"/>
  <c r="CQ163" i="1"/>
  <c r="CR163" i="1"/>
  <c r="CS163" i="1"/>
  <c r="CT163" i="1"/>
  <c r="CU163" i="1"/>
  <c r="CV163" i="1"/>
  <c r="BQ164" i="1"/>
  <c r="BR164" i="1"/>
  <c r="BS164" i="1"/>
  <c r="BV164" i="1"/>
  <c r="BW164" i="1"/>
  <c r="BX164" i="1"/>
  <c r="BY164" i="1"/>
  <c r="BZ164" i="1"/>
  <c r="CA164" i="1"/>
  <c r="CB164" i="1"/>
  <c r="CC164" i="1"/>
  <c r="CD164" i="1"/>
  <c r="CE164" i="1"/>
  <c r="CF164" i="1"/>
  <c r="CG164" i="1"/>
  <c r="CH164" i="1"/>
  <c r="CI164" i="1"/>
  <c r="CJ164" i="1"/>
  <c r="CK164" i="1"/>
  <c r="CL164" i="1"/>
  <c r="CM164" i="1"/>
  <c r="CN164" i="1"/>
  <c r="CO164" i="1"/>
  <c r="CP164" i="1"/>
  <c r="CQ164" i="1"/>
  <c r="CR164" i="1"/>
  <c r="CS164" i="1"/>
  <c r="CT164" i="1"/>
  <c r="CU164" i="1"/>
  <c r="CV164" i="1"/>
  <c r="BQ165" i="1"/>
  <c r="BR165" i="1"/>
  <c r="BS165" i="1"/>
  <c r="BV165" i="1"/>
  <c r="BW165" i="1"/>
  <c r="BX165" i="1"/>
  <c r="BY165" i="1"/>
  <c r="BZ165" i="1"/>
  <c r="CA165" i="1"/>
  <c r="CB165" i="1"/>
  <c r="CC165" i="1"/>
  <c r="CD165" i="1"/>
  <c r="CE165" i="1"/>
  <c r="CF165" i="1"/>
  <c r="CG165" i="1"/>
  <c r="CH165" i="1"/>
  <c r="CI165" i="1"/>
  <c r="CJ165" i="1"/>
  <c r="CK165" i="1"/>
  <c r="CL165" i="1"/>
  <c r="CM165" i="1"/>
  <c r="CN165" i="1"/>
  <c r="CO165" i="1"/>
  <c r="CP165" i="1"/>
  <c r="CQ165" i="1"/>
  <c r="CR165" i="1"/>
  <c r="CS165" i="1"/>
  <c r="CT165" i="1"/>
  <c r="CU165" i="1"/>
  <c r="CV165" i="1"/>
  <c r="BQ166" i="1"/>
  <c r="BR166" i="1"/>
  <c r="BS166" i="1"/>
  <c r="BV166" i="1"/>
  <c r="BW166" i="1"/>
  <c r="BX166" i="1"/>
  <c r="BY166" i="1"/>
  <c r="BZ166" i="1"/>
  <c r="CA166" i="1"/>
  <c r="CB166" i="1"/>
  <c r="CC166" i="1"/>
  <c r="CD166" i="1"/>
  <c r="CE166" i="1"/>
  <c r="CF166" i="1"/>
  <c r="CG166" i="1"/>
  <c r="CH166" i="1"/>
  <c r="CI166" i="1"/>
  <c r="CJ166" i="1"/>
  <c r="CK166" i="1"/>
  <c r="CL166" i="1"/>
  <c r="CM166" i="1"/>
  <c r="CN166" i="1"/>
  <c r="CO166" i="1"/>
  <c r="CP166" i="1"/>
  <c r="CQ166" i="1"/>
  <c r="CR166" i="1"/>
  <c r="CS166" i="1"/>
  <c r="CT166" i="1"/>
  <c r="CU166" i="1"/>
  <c r="CV166" i="1"/>
  <c r="BQ167" i="1"/>
  <c r="BR167" i="1"/>
  <c r="BS167" i="1"/>
  <c r="BV167" i="1"/>
  <c r="BW167" i="1"/>
  <c r="BX167" i="1"/>
  <c r="BY167" i="1"/>
  <c r="BZ167" i="1"/>
  <c r="CA167" i="1"/>
  <c r="CB167" i="1"/>
  <c r="CC167" i="1"/>
  <c r="CD167" i="1"/>
  <c r="CE167" i="1"/>
  <c r="CF167" i="1"/>
  <c r="CG167" i="1"/>
  <c r="CH167" i="1"/>
  <c r="CI167" i="1"/>
  <c r="CJ167" i="1"/>
  <c r="CK167" i="1"/>
  <c r="CL167" i="1"/>
  <c r="CM167" i="1"/>
  <c r="CN167" i="1"/>
  <c r="CO167" i="1"/>
  <c r="CP167" i="1"/>
  <c r="CQ167" i="1"/>
  <c r="CR167" i="1"/>
  <c r="CS167" i="1"/>
  <c r="CT167" i="1"/>
  <c r="CU167" i="1"/>
  <c r="CV167" i="1"/>
  <c r="BQ168" i="1"/>
  <c r="BR168" i="1"/>
  <c r="BS168" i="1"/>
  <c r="BV168" i="1"/>
  <c r="BW168" i="1"/>
  <c r="BX168" i="1"/>
  <c r="BY168" i="1"/>
  <c r="BZ168" i="1"/>
  <c r="CA168" i="1"/>
  <c r="CB168" i="1"/>
  <c r="CC168" i="1"/>
  <c r="CD168" i="1"/>
  <c r="CE168" i="1"/>
  <c r="CF168" i="1"/>
  <c r="CG168" i="1"/>
  <c r="CH168" i="1"/>
  <c r="CI168" i="1"/>
  <c r="CJ168" i="1"/>
  <c r="CK168" i="1"/>
  <c r="CL168" i="1"/>
  <c r="CM168" i="1"/>
  <c r="CN168" i="1"/>
  <c r="CO168" i="1"/>
  <c r="CP168" i="1"/>
  <c r="CQ168" i="1"/>
  <c r="CR168" i="1"/>
  <c r="CS168" i="1"/>
  <c r="CT168" i="1"/>
  <c r="CU168" i="1"/>
  <c r="CV168" i="1"/>
  <c r="BQ169" i="1"/>
  <c r="BR169" i="1"/>
  <c r="BS169" i="1"/>
  <c r="BV169" i="1"/>
  <c r="BW169" i="1"/>
  <c r="BX169" i="1"/>
  <c r="BY169" i="1"/>
  <c r="BZ169" i="1"/>
  <c r="CA169" i="1"/>
  <c r="CB169" i="1"/>
  <c r="CC169" i="1"/>
  <c r="CD169" i="1"/>
  <c r="CE169" i="1"/>
  <c r="CF169" i="1"/>
  <c r="CG169" i="1"/>
  <c r="CH169" i="1"/>
  <c r="CI169" i="1"/>
  <c r="CJ169" i="1"/>
  <c r="CK169" i="1"/>
  <c r="CL169" i="1"/>
  <c r="CM169" i="1"/>
  <c r="CN169" i="1"/>
  <c r="CO169" i="1"/>
  <c r="CP169" i="1"/>
  <c r="CQ169" i="1"/>
  <c r="CR169" i="1"/>
  <c r="CS169" i="1"/>
  <c r="CT169" i="1"/>
  <c r="CU169" i="1"/>
  <c r="CV169" i="1"/>
  <c r="BQ170" i="1"/>
  <c r="BR170" i="1"/>
  <c r="BS170" i="1"/>
  <c r="BV170" i="1"/>
  <c r="BW170" i="1"/>
  <c r="BX170" i="1"/>
  <c r="BY170" i="1"/>
  <c r="BZ170" i="1"/>
  <c r="CA170" i="1"/>
  <c r="CB170" i="1"/>
  <c r="CC170" i="1"/>
  <c r="CD170" i="1"/>
  <c r="CE170" i="1"/>
  <c r="CF170" i="1"/>
  <c r="CG170" i="1"/>
  <c r="CH170" i="1"/>
  <c r="CI170" i="1"/>
  <c r="CJ170" i="1"/>
  <c r="CK170" i="1"/>
  <c r="CL170" i="1"/>
  <c r="CM170" i="1"/>
  <c r="CN170" i="1"/>
  <c r="CO170" i="1"/>
  <c r="CP170" i="1"/>
  <c r="CQ170" i="1"/>
  <c r="CR170" i="1"/>
  <c r="CS170" i="1"/>
  <c r="CT170" i="1"/>
  <c r="CU170" i="1"/>
  <c r="CV170" i="1"/>
  <c r="BQ171" i="1"/>
  <c r="BR171" i="1"/>
  <c r="BS171" i="1"/>
  <c r="BV171" i="1"/>
  <c r="BW171" i="1"/>
  <c r="BX171" i="1"/>
  <c r="BY171" i="1"/>
  <c r="BZ171" i="1"/>
  <c r="CA171" i="1"/>
  <c r="CB171" i="1"/>
  <c r="CC171" i="1"/>
  <c r="CD171" i="1"/>
  <c r="CE171" i="1"/>
  <c r="CF171" i="1"/>
  <c r="CG171" i="1"/>
  <c r="CH171" i="1"/>
  <c r="CI171" i="1"/>
  <c r="CJ171" i="1"/>
  <c r="CK171" i="1"/>
  <c r="CL171" i="1"/>
  <c r="CM171" i="1"/>
  <c r="CN171" i="1"/>
  <c r="CO171" i="1"/>
  <c r="CP171" i="1"/>
  <c r="CQ171" i="1"/>
  <c r="CR171" i="1"/>
  <c r="CS171" i="1"/>
  <c r="CT171" i="1"/>
  <c r="CU171" i="1"/>
  <c r="CV171" i="1"/>
  <c r="BQ172" i="1"/>
  <c r="BR172" i="1"/>
  <c r="BS172" i="1"/>
  <c r="BV172" i="1"/>
  <c r="BW172" i="1"/>
  <c r="BX172" i="1"/>
  <c r="BY172" i="1"/>
  <c r="BZ172" i="1"/>
  <c r="CA172" i="1"/>
  <c r="CB172" i="1"/>
  <c r="CC172" i="1"/>
  <c r="CD172" i="1"/>
  <c r="CE172" i="1"/>
  <c r="CF172" i="1"/>
  <c r="CG172" i="1"/>
  <c r="CH172" i="1"/>
  <c r="CI172" i="1"/>
  <c r="CJ172" i="1"/>
  <c r="CK172" i="1"/>
  <c r="CL172" i="1"/>
  <c r="CM172" i="1"/>
  <c r="CN172" i="1"/>
  <c r="CO172" i="1"/>
  <c r="CP172" i="1"/>
  <c r="CQ172" i="1"/>
  <c r="CR172" i="1"/>
  <c r="CS172" i="1"/>
  <c r="CT172" i="1"/>
  <c r="CU172" i="1"/>
  <c r="CV172" i="1"/>
  <c r="BQ173" i="1"/>
  <c r="BR173" i="1"/>
  <c r="BS173" i="1"/>
  <c r="BV173" i="1"/>
  <c r="BW173" i="1"/>
  <c r="BX173" i="1"/>
  <c r="BY173" i="1"/>
  <c r="BZ173" i="1"/>
  <c r="CA173" i="1"/>
  <c r="CB173" i="1"/>
  <c r="CC173" i="1"/>
  <c r="CD173" i="1"/>
  <c r="CE173" i="1"/>
  <c r="CF173" i="1"/>
  <c r="CG173" i="1"/>
  <c r="CH173" i="1"/>
  <c r="CI173" i="1"/>
  <c r="CJ173" i="1"/>
  <c r="CK173" i="1"/>
  <c r="CL173" i="1"/>
  <c r="CM173" i="1"/>
  <c r="CN173" i="1"/>
  <c r="CO173" i="1"/>
  <c r="CP173" i="1"/>
  <c r="CQ173" i="1"/>
  <c r="CR173" i="1"/>
  <c r="CS173" i="1"/>
  <c r="CT173" i="1"/>
  <c r="CU173" i="1"/>
  <c r="CV173" i="1"/>
  <c r="BQ174" i="1"/>
  <c r="BR174" i="1"/>
  <c r="BS174" i="1"/>
  <c r="BV174" i="1"/>
  <c r="BW174" i="1"/>
  <c r="BX174" i="1"/>
  <c r="BY174" i="1"/>
  <c r="BZ174" i="1"/>
  <c r="CA174" i="1"/>
  <c r="CB174" i="1"/>
  <c r="CC174" i="1"/>
  <c r="CD174" i="1"/>
  <c r="CE174" i="1"/>
  <c r="CF174" i="1"/>
  <c r="CG174" i="1"/>
  <c r="CH174" i="1"/>
  <c r="CI174" i="1"/>
  <c r="CJ174" i="1"/>
  <c r="CK174" i="1"/>
  <c r="CL174" i="1"/>
  <c r="CM174" i="1"/>
  <c r="CN174" i="1"/>
  <c r="CO174" i="1"/>
  <c r="CP174" i="1"/>
  <c r="CQ174" i="1"/>
  <c r="CR174" i="1"/>
  <c r="CS174" i="1"/>
  <c r="CT174" i="1"/>
  <c r="CU174" i="1"/>
  <c r="CV174" i="1"/>
  <c r="BQ175" i="1"/>
  <c r="BR175" i="1"/>
  <c r="BS175" i="1"/>
  <c r="BV175" i="1"/>
  <c r="BW175" i="1"/>
  <c r="BX175" i="1"/>
  <c r="BY175" i="1"/>
  <c r="BZ175" i="1"/>
  <c r="CA175" i="1"/>
  <c r="CB175" i="1"/>
  <c r="CC175" i="1"/>
  <c r="CD175" i="1"/>
  <c r="CE175" i="1"/>
  <c r="CF175" i="1"/>
  <c r="CG175" i="1"/>
  <c r="CH175" i="1"/>
  <c r="CI175" i="1"/>
  <c r="CJ175" i="1"/>
  <c r="CK175" i="1"/>
  <c r="CL175" i="1"/>
  <c r="CM175" i="1"/>
  <c r="CN175" i="1"/>
  <c r="CO175" i="1"/>
  <c r="CP175" i="1"/>
  <c r="CQ175" i="1"/>
  <c r="CR175" i="1"/>
  <c r="CS175" i="1"/>
  <c r="CT175" i="1"/>
  <c r="CU175" i="1"/>
  <c r="CV175" i="1"/>
  <c r="BQ176" i="1"/>
  <c r="BR176" i="1"/>
  <c r="BS176" i="1"/>
  <c r="BV176" i="1"/>
  <c r="BW176" i="1"/>
  <c r="BX176" i="1"/>
  <c r="BY176" i="1"/>
  <c r="BZ176" i="1"/>
  <c r="CA176" i="1"/>
  <c r="CB176" i="1"/>
  <c r="CC176" i="1"/>
  <c r="CD176" i="1"/>
  <c r="CE176" i="1"/>
  <c r="CF176" i="1"/>
  <c r="CG176" i="1"/>
  <c r="CH176" i="1"/>
  <c r="CI176" i="1"/>
  <c r="CJ176" i="1"/>
  <c r="CK176" i="1"/>
  <c r="CL176" i="1"/>
  <c r="CM176" i="1"/>
  <c r="CN176" i="1"/>
  <c r="CO176" i="1"/>
  <c r="CP176" i="1"/>
  <c r="CQ176" i="1"/>
  <c r="CR176" i="1"/>
  <c r="CS176" i="1"/>
  <c r="CT176" i="1"/>
  <c r="CU176" i="1"/>
  <c r="CV176" i="1"/>
  <c r="BQ177" i="1"/>
  <c r="BR177" i="1"/>
  <c r="BS177" i="1"/>
  <c r="BV177" i="1"/>
  <c r="BW177" i="1"/>
  <c r="BX177" i="1"/>
  <c r="BY177" i="1"/>
  <c r="BZ177" i="1"/>
  <c r="CA177" i="1"/>
  <c r="CB177" i="1"/>
  <c r="CC177" i="1"/>
  <c r="CD177" i="1"/>
  <c r="CE177" i="1"/>
  <c r="CF177" i="1"/>
  <c r="CG177" i="1"/>
  <c r="CH177" i="1"/>
  <c r="CI177" i="1"/>
  <c r="CJ177" i="1"/>
  <c r="CK177" i="1"/>
  <c r="CL177" i="1"/>
  <c r="CM177" i="1"/>
  <c r="CN177" i="1"/>
  <c r="CO177" i="1"/>
  <c r="CP177" i="1"/>
  <c r="CQ177" i="1"/>
  <c r="CR177" i="1"/>
  <c r="CS177" i="1"/>
  <c r="CT177" i="1"/>
  <c r="CU177" i="1"/>
  <c r="CV177" i="1"/>
  <c r="BQ178" i="1"/>
  <c r="BR178" i="1"/>
  <c r="BS178" i="1"/>
  <c r="BV178" i="1"/>
  <c r="BW178" i="1"/>
  <c r="BX178" i="1"/>
  <c r="BY178" i="1"/>
  <c r="BZ178" i="1"/>
  <c r="CA178" i="1"/>
  <c r="CB178" i="1"/>
  <c r="CC178" i="1"/>
  <c r="CD178" i="1"/>
  <c r="CE178" i="1"/>
  <c r="CF178" i="1"/>
  <c r="CG178" i="1"/>
  <c r="CH178" i="1"/>
  <c r="CI178" i="1"/>
  <c r="CJ178" i="1"/>
  <c r="CK178" i="1"/>
  <c r="CL178" i="1"/>
  <c r="CM178" i="1"/>
  <c r="CN178" i="1"/>
  <c r="CO178" i="1"/>
  <c r="CP178" i="1"/>
  <c r="CQ178" i="1"/>
  <c r="CR178" i="1"/>
  <c r="CS178" i="1"/>
  <c r="CT178" i="1"/>
  <c r="CU178" i="1"/>
  <c r="CV178" i="1"/>
  <c r="BQ179" i="1"/>
  <c r="BR179" i="1"/>
  <c r="BS179" i="1"/>
  <c r="BV179" i="1"/>
  <c r="BW179" i="1"/>
  <c r="BX179" i="1"/>
  <c r="BY179" i="1"/>
  <c r="BZ179" i="1"/>
  <c r="CA179" i="1"/>
  <c r="CB179" i="1"/>
  <c r="CC179" i="1"/>
  <c r="CD179" i="1"/>
  <c r="CE179" i="1"/>
  <c r="CF179" i="1"/>
  <c r="CG179" i="1"/>
  <c r="CH179" i="1"/>
  <c r="CI179" i="1"/>
  <c r="CJ179" i="1"/>
  <c r="CK179" i="1"/>
  <c r="CL179" i="1"/>
  <c r="CM179" i="1"/>
  <c r="CN179" i="1"/>
  <c r="CO179" i="1"/>
  <c r="CP179" i="1"/>
  <c r="CQ179" i="1"/>
  <c r="CR179" i="1"/>
  <c r="CS179" i="1"/>
  <c r="CT179" i="1"/>
  <c r="CU179" i="1"/>
  <c r="CV179" i="1"/>
  <c r="BQ180" i="1"/>
  <c r="BR180" i="1"/>
  <c r="BS180" i="1"/>
  <c r="BV180" i="1"/>
  <c r="BW180" i="1"/>
  <c r="BX180" i="1"/>
  <c r="BY180" i="1"/>
  <c r="BZ180" i="1"/>
  <c r="CA180" i="1"/>
  <c r="CB180" i="1"/>
  <c r="CC180" i="1"/>
  <c r="CD180" i="1"/>
  <c r="CE180" i="1"/>
  <c r="CF180" i="1"/>
  <c r="CG180" i="1"/>
  <c r="CH180" i="1"/>
  <c r="CI180" i="1"/>
  <c r="CJ180" i="1"/>
  <c r="CK180" i="1"/>
  <c r="CL180" i="1"/>
  <c r="CM180" i="1"/>
  <c r="CN180" i="1"/>
  <c r="CO180" i="1"/>
  <c r="CP180" i="1"/>
  <c r="CQ180" i="1"/>
  <c r="CR180" i="1"/>
  <c r="CS180" i="1"/>
  <c r="CT180" i="1"/>
  <c r="CU180" i="1"/>
  <c r="CV180" i="1"/>
  <c r="BQ181" i="1"/>
  <c r="BR181" i="1"/>
  <c r="BS181" i="1"/>
  <c r="BV181" i="1"/>
  <c r="BW181" i="1"/>
  <c r="BX181" i="1"/>
  <c r="BY181" i="1"/>
  <c r="BZ181" i="1"/>
  <c r="CA181" i="1"/>
  <c r="CB181" i="1"/>
  <c r="CC181" i="1"/>
  <c r="CD181" i="1"/>
  <c r="CE181" i="1"/>
  <c r="CF181" i="1"/>
  <c r="CG181" i="1"/>
  <c r="CH181" i="1"/>
  <c r="CI181" i="1"/>
  <c r="CJ181" i="1"/>
  <c r="CK181" i="1"/>
  <c r="CL181" i="1"/>
  <c r="CM181" i="1"/>
  <c r="CN181" i="1"/>
  <c r="CO181" i="1"/>
  <c r="CP181" i="1"/>
  <c r="CQ181" i="1"/>
  <c r="CR181" i="1"/>
  <c r="CS181" i="1"/>
  <c r="CT181" i="1"/>
  <c r="CU181" i="1"/>
  <c r="CV181" i="1"/>
  <c r="BQ182" i="1"/>
  <c r="BR182" i="1"/>
  <c r="BS182" i="1"/>
  <c r="BV182" i="1"/>
  <c r="BW182" i="1"/>
  <c r="BX182" i="1"/>
  <c r="BY182" i="1"/>
  <c r="BZ182" i="1"/>
  <c r="CA182" i="1"/>
  <c r="CB182" i="1"/>
  <c r="CC182" i="1"/>
  <c r="CD182" i="1"/>
  <c r="CE182" i="1"/>
  <c r="CF182" i="1"/>
  <c r="CG182" i="1"/>
  <c r="CH182" i="1"/>
  <c r="CI182" i="1"/>
  <c r="CJ182" i="1"/>
  <c r="CK182" i="1"/>
  <c r="CL182" i="1"/>
  <c r="CM182" i="1"/>
  <c r="CN182" i="1"/>
  <c r="CO182" i="1"/>
  <c r="CP182" i="1"/>
  <c r="CQ182" i="1"/>
  <c r="CR182" i="1"/>
  <c r="CS182" i="1"/>
  <c r="CT182" i="1"/>
  <c r="CU182" i="1"/>
  <c r="CV182" i="1"/>
  <c r="BQ183" i="1"/>
  <c r="BR183" i="1"/>
  <c r="BS183" i="1"/>
  <c r="BV183" i="1"/>
  <c r="BW183" i="1"/>
  <c r="BX183" i="1"/>
  <c r="BY183" i="1"/>
  <c r="BZ183" i="1"/>
  <c r="CA183" i="1"/>
  <c r="CB183" i="1"/>
  <c r="CC183" i="1"/>
  <c r="CD183" i="1"/>
  <c r="CE183" i="1"/>
  <c r="CF183" i="1"/>
  <c r="CG183" i="1"/>
  <c r="CH183" i="1"/>
  <c r="CI183" i="1"/>
  <c r="CJ183" i="1"/>
  <c r="CK183" i="1"/>
  <c r="CL183" i="1"/>
  <c r="CM183" i="1"/>
  <c r="CN183" i="1"/>
  <c r="CO183" i="1"/>
  <c r="CP183" i="1"/>
  <c r="CQ183" i="1"/>
  <c r="CR183" i="1"/>
  <c r="CS183" i="1"/>
  <c r="CT183" i="1"/>
  <c r="CU183" i="1"/>
  <c r="CV183" i="1"/>
  <c r="BQ184" i="1"/>
  <c r="BR184" i="1"/>
  <c r="BS184" i="1"/>
  <c r="BV184" i="1"/>
  <c r="BW184" i="1"/>
  <c r="BX184" i="1"/>
  <c r="BY184" i="1"/>
  <c r="BZ184" i="1"/>
  <c r="CA184" i="1"/>
  <c r="CB184" i="1"/>
  <c r="CC184" i="1"/>
  <c r="CD184" i="1"/>
  <c r="CE184" i="1"/>
  <c r="CF184" i="1"/>
  <c r="CG184" i="1"/>
  <c r="CH184" i="1"/>
  <c r="CI184" i="1"/>
  <c r="CJ184" i="1"/>
  <c r="CK184" i="1"/>
  <c r="CL184" i="1"/>
  <c r="CM184" i="1"/>
  <c r="CN184" i="1"/>
  <c r="CO184" i="1"/>
  <c r="CP184" i="1"/>
  <c r="CQ184" i="1"/>
  <c r="CR184" i="1"/>
  <c r="CS184" i="1"/>
  <c r="CT184" i="1"/>
  <c r="CU184" i="1"/>
  <c r="CV184" i="1"/>
  <c r="BQ185" i="1"/>
  <c r="BR185" i="1"/>
  <c r="BS185" i="1"/>
  <c r="BV185" i="1"/>
  <c r="BW185" i="1"/>
  <c r="BX185" i="1"/>
  <c r="BY185" i="1"/>
  <c r="BZ185" i="1"/>
  <c r="CA185" i="1"/>
  <c r="CB185" i="1"/>
  <c r="CC185" i="1"/>
  <c r="CD185" i="1"/>
  <c r="CE185" i="1"/>
  <c r="CF185" i="1"/>
  <c r="CG185" i="1"/>
  <c r="CH185" i="1"/>
  <c r="CI185" i="1"/>
  <c r="CJ185" i="1"/>
  <c r="CK185" i="1"/>
  <c r="CL185" i="1"/>
  <c r="CM185" i="1"/>
  <c r="CN185" i="1"/>
  <c r="CO185" i="1"/>
  <c r="CP185" i="1"/>
  <c r="CQ185" i="1"/>
  <c r="CR185" i="1"/>
  <c r="CS185" i="1"/>
  <c r="CT185" i="1"/>
  <c r="CU185" i="1"/>
  <c r="CV185" i="1"/>
  <c r="BQ186" i="1"/>
  <c r="BR186" i="1"/>
  <c r="BS186" i="1"/>
  <c r="BV186" i="1"/>
  <c r="BW186" i="1"/>
  <c r="BX186" i="1"/>
  <c r="BY186" i="1"/>
  <c r="BZ186" i="1"/>
  <c r="CA186" i="1"/>
  <c r="CB186" i="1"/>
  <c r="CC186" i="1"/>
  <c r="CD186" i="1"/>
  <c r="CE186" i="1"/>
  <c r="CF186" i="1"/>
  <c r="CG186" i="1"/>
  <c r="CH186" i="1"/>
  <c r="CI186" i="1"/>
  <c r="CJ186" i="1"/>
  <c r="CK186" i="1"/>
  <c r="CL186" i="1"/>
  <c r="CM186" i="1"/>
  <c r="CN186" i="1"/>
  <c r="CO186" i="1"/>
  <c r="CP186" i="1"/>
  <c r="CQ186" i="1"/>
  <c r="CR186" i="1"/>
  <c r="CS186" i="1"/>
  <c r="CT186" i="1"/>
  <c r="CU186" i="1"/>
  <c r="CV186" i="1"/>
  <c r="BQ187" i="1"/>
  <c r="BR187" i="1"/>
  <c r="BS187" i="1"/>
  <c r="BV187" i="1"/>
  <c r="BW187" i="1"/>
  <c r="BX187" i="1"/>
  <c r="BY187" i="1"/>
  <c r="BZ187" i="1"/>
  <c r="CA187" i="1"/>
  <c r="CB187" i="1"/>
  <c r="CC187" i="1"/>
  <c r="CD187" i="1"/>
  <c r="CE187" i="1"/>
  <c r="CF187" i="1"/>
  <c r="CG187" i="1"/>
  <c r="CH187" i="1"/>
  <c r="CI187" i="1"/>
  <c r="CJ187" i="1"/>
  <c r="CK187" i="1"/>
  <c r="CL187" i="1"/>
  <c r="CM187" i="1"/>
  <c r="CN187" i="1"/>
  <c r="CO187" i="1"/>
  <c r="CP187" i="1"/>
  <c r="CQ187" i="1"/>
  <c r="CR187" i="1"/>
  <c r="CS187" i="1"/>
  <c r="CT187" i="1"/>
  <c r="CU187" i="1"/>
  <c r="CV187" i="1"/>
  <c r="BQ188" i="1"/>
  <c r="BR188" i="1"/>
  <c r="BS188" i="1"/>
  <c r="BV188" i="1"/>
  <c r="BW188" i="1"/>
  <c r="BX188" i="1"/>
  <c r="BY188" i="1"/>
  <c r="BZ188" i="1"/>
  <c r="CA188" i="1"/>
  <c r="CB188" i="1"/>
  <c r="CC188" i="1"/>
  <c r="CD188" i="1"/>
  <c r="CE188" i="1"/>
  <c r="CF188" i="1"/>
  <c r="CG188" i="1"/>
  <c r="CH188" i="1"/>
  <c r="CI188" i="1"/>
  <c r="CJ188" i="1"/>
  <c r="CK188" i="1"/>
  <c r="CL188" i="1"/>
  <c r="CM188" i="1"/>
  <c r="CN188" i="1"/>
  <c r="CO188" i="1"/>
  <c r="CP188" i="1"/>
  <c r="CQ188" i="1"/>
  <c r="CR188" i="1"/>
  <c r="CS188" i="1"/>
  <c r="CT188" i="1"/>
  <c r="CU188" i="1"/>
  <c r="CV188" i="1"/>
  <c r="BQ189" i="1"/>
  <c r="BR189" i="1"/>
  <c r="BS189" i="1"/>
  <c r="BV189" i="1"/>
  <c r="BW189" i="1"/>
  <c r="BX189" i="1"/>
  <c r="BY189" i="1"/>
  <c r="BZ189" i="1"/>
  <c r="CA189" i="1"/>
  <c r="CB189" i="1"/>
  <c r="CC189" i="1"/>
  <c r="CD189" i="1"/>
  <c r="CE189" i="1"/>
  <c r="CF189" i="1"/>
  <c r="CG189" i="1"/>
  <c r="CH189" i="1"/>
  <c r="CI189" i="1"/>
  <c r="CJ189" i="1"/>
  <c r="CK189" i="1"/>
  <c r="CL189" i="1"/>
  <c r="CM189" i="1"/>
  <c r="CN189" i="1"/>
  <c r="CO189" i="1"/>
  <c r="CP189" i="1"/>
  <c r="CQ189" i="1"/>
  <c r="CR189" i="1"/>
  <c r="CS189" i="1"/>
  <c r="CT189" i="1"/>
  <c r="CU189" i="1"/>
  <c r="CV189" i="1"/>
  <c r="BQ190" i="1"/>
  <c r="BR190" i="1"/>
  <c r="BS190" i="1"/>
  <c r="BV190" i="1"/>
  <c r="BW190" i="1"/>
  <c r="BX190" i="1"/>
  <c r="BY190" i="1"/>
  <c r="BZ190" i="1"/>
  <c r="CA190" i="1"/>
  <c r="CB190" i="1"/>
  <c r="CC190" i="1"/>
  <c r="CD190" i="1"/>
  <c r="CE190" i="1"/>
  <c r="CF190" i="1"/>
  <c r="CG190" i="1"/>
  <c r="CH190" i="1"/>
  <c r="CI190" i="1"/>
  <c r="CJ190" i="1"/>
  <c r="CK190" i="1"/>
  <c r="CL190" i="1"/>
  <c r="CM190" i="1"/>
  <c r="CN190" i="1"/>
  <c r="CO190" i="1"/>
  <c r="CP190" i="1"/>
  <c r="CQ190" i="1"/>
  <c r="CR190" i="1"/>
  <c r="CS190" i="1"/>
  <c r="CT190" i="1"/>
  <c r="CU190" i="1"/>
  <c r="CV190" i="1"/>
  <c r="BQ191" i="1"/>
  <c r="BR191" i="1"/>
  <c r="BS191" i="1"/>
  <c r="BV191" i="1"/>
  <c r="BW191" i="1"/>
  <c r="BX191" i="1"/>
  <c r="BY191" i="1"/>
  <c r="BZ191" i="1"/>
  <c r="CA191" i="1"/>
  <c r="CB191" i="1"/>
  <c r="CC191" i="1"/>
  <c r="CD191" i="1"/>
  <c r="CE191" i="1"/>
  <c r="CF191" i="1"/>
  <c r="CG191" i="1"/>
  <c r="CH191" i="1"/>
  <c r="CI191" i="1"/>
  <c r="CJ191" i="1"/>
  <c r="CK191" i="1"/>
  <c r="CL191" i="1"/>
  <c r="CM191" i="1"/>
  <c r="CN191" i="1"/>
  <c r="CO191" i="1"/>
  <c r="CP191" i="1"/>
  <c r="CQ191" i="1"/>
  <c r="CR191" i="1"/>
  <c r="CS191" i="1"/>
  <c r="CT191" i="1"/>
  <c r="CU191" i="1"/>
  <c r="CV191" i="1"/>
  <c r="BQ192" i="1"/>
  <c r="BR192" i="1"/>
  <c r="BS192" i="1"/>
  <c r="BV192" i="1"/>
  <c r="BW192" i="1"/>
  <c r="BX192" i="1"/>
  <c r="BY192" i="1"/>
  <c r="BZ192" i="1"/>
  <c r="CA192" i="1"/>
  <c r="CB192" i="1"/>
  <c r="CC192" i="1"/>
  <c r="CD192" i="1"/>
  <c r="CE192" i="1"/>
  <c r="CF192" i="1"/>
  <c r="CG192" i="1"/>
  <c r="CH192" i="1"/>
  <c r="CI192" i="1"/>
  <c r="CJ192" i="1"/>
  <c r="CK192" i="1"/>
  <c r="CL192" i="1"/>
  <c r="CM192" i="1"/>
  <c r="CN192" i="1"/>
  <c r="CO192" i="1"/>
  <c r="CP192" i="1"/>
  <c r="CQ192" i="1"/>
  <c r="CR192" i="1"/>
  <c r="CS192" i="1"/>
  <c r="CT192" i="1"/>
  <c r="CU192" i="1"/>
  <c r="CV192" i="1"/>
  <c r="BQ193" i="1"/>
  <c r="BR193" i="1"/>
  <c r="BS193" i="1"/>
  <c r="BV193" i="1"/>
  <c r="BW193" i="1"/>
  <c r="BX193" i="1"/>
  <c r="BY193" i="1"/>
  <c r="BZ193" i="1"/>
  <c r="CA193" i="1"/>
  <c r="CB193" i="1"/>
  <c r="CC193" i="1"/>
  <c r="CD193" i="1"/>
  <c r="CE193" i="1"/>
  <c r="CF193" i="1"/>
  <c r="CG193" i="1"/>
  <c r="CH193" i="1"/>
  <c r="CI193" i="1"/>
  <c r="CJ193" i="1"/>
  <c r="CK193" i="1"/>
  <c r="CL193" i="1"/>
  <c r="CM193" i="1"/>
  <c r="CN193" i="1"/>
  <c r="CO193" i="1"/>
  <c r="CP193" i="1"/>
  <c r="CQ193" i="1"/>
  <c r="CR193" i="1"/>
  <c r="CS193" i="1"/>
  <c r="CT193" i="1"/>
  <c r="CU193" i="1"/>
  <c r="CV193" i="1"/>
  <c r="BQ194" i="1"/>
  <c r="BR194" i="1"/>
  <c r="BS194" i="1"/>
  <c r="BV194" i="1"/>
  <c r="BW194" i="1"/>
  <c r="BX194" i="1"/>
  <c r="BY194" i="1"/>
  <c r="BZ194" i="1"/>
  <c r="CA194" i="1"/>
  <c r="CB194" i="1"/>
  <c r="CC194" i="1"/>
  <c r="CD194" i="1"/>
  <c r="CE194" i="1"/>
  <c r="CF194" i="1"/>
  <c r="CG194" i="1"/>
  <c r="CH194" i="1"/>
  <c r="CI194" i="1"/>
  <c r="CJ194" i="1"/>
  <c r="CK194" i="1"/>
  <c r="CL194" i="1"/>
  <c r="CM194" i="1"/>
  <c r="CN194" i="1"/>
  <c r="CO194" i="1"/>
  <c r="CP194" i="1"/>
  <c r="CQ194" i="1"/>
  <c r="CR194" i="1"/>
  <c r="CS194" i="1"/>
  <c r="CT194" i="1"/>
  <c r="CU194" i="1"/>
  <c r="CV194" i="1"/>
  <c r="BQ195" i="1"/>
  <c r="BR195" i="1"/>
  <c r="BS195" i="1"/>
  <c r="BV195" i="1"/>
  <c r="BW195" i="1"/>
  <c r="BX195" i="1"/>
  <c r="BY195" i="1"/>
  <c r="BZ195" i="1"/>
  <c r="CA195" i="1"/>
  <c r="CB195" i="1"/>
  <c r="CC195" i="1"/>
  <c r="CD195" i="1"/>
  <c r="CE195" i="1"/>
  <c r="CF195" i="1"/>
  <c r="CG195" i="1"/>
  <c r="CH195" i="1"/>
  <c r="CI195" i="1"/>
  <c r="CJ195" i="1"/>
  <c r="CK195" i="1"/>
  <c r="CL195" i="1"/>
  <c r="CM195" i="1"/>
  <c r="CN195" i="1"/>
  <c r="CO195" i="1"/>
  <c r="CP195" i="1"/>
  <c r="CQ195" i="1"/>
  <c r="CR195" i="1"/>
  <c r="CS195" i="1"/>
  <c r="CT195" i="1"/>
  <c r="CU195" i="1"/>
  <c r="CV195" i="1"/>
  <c r="BQ196" i="1"/>
  <c r="BR196" i="1"/>
  <c r="BS196" i="1"/>
  <c r="BV196" i="1"/>
  <c r="BW196" i="1"/>
  <c r="BX196" i="1"/>
  <c r="BY196" i="1"/>
  <c r="BZ196" i="1"/>
  <c r="CA196" i="1"/>
  <c r="CB196" i="1"/>
  <c r="CC196" i="1"/>
  <c r="CD196" i="1"/>
  <c r="CE196" i="1"/>
  <c r="CF196" i="1"/>
  <c r="CG196" i="1"/>
  <c r="CH196" i="1"/>
  <c r="CI196" i="1"/>
  <c r="CJ196" i="1"/>
  <c r="CK196" i="1"/>
  <c r="CL196" i="1"/>
  <c r="CM196" i="1"/>
  <c r="CN196" i="1"/>
  <c r="CO196" i="1"/>
  <c r="CP196" i="1"/>
  <c r="CQ196" i="1"/>
  <c r="CR196" i="1"/>
  <c r="CS196" i="1"/>
  <c r="CT196" i="1"/>
  <c r="CU196" i="1"/>
  <c r="CV196" i="1"/>
  <c r="BQ197" i="1"/>
  <c r="BR197" i="1"/>
  <c r="BS197" i="1"/>
  <c r="BV197" i="1"/>
  <c r="BW197" i="1"/>
  <c r="BX197" i="1"/>
  <c r="BY197" i="1"/>
  <c r="BZ197" i="1"/>
  <c r="CA197" i="1"/>
  <c r="CB197" i="1"/>
  <c r="CC197" i="1"/>
  <c r="CD197" i="1"/>
  <c r="CE197" i="1"/>
  <c r="CF197" i="1"/>
  <c r="CG197" i="1"/>
  <c r="CH197" i="1"/>
  <c r="CI197" i="1"/>
  <c r="CJ197" i="1"/>
  <c r="CK197" i="1"/>
  <c r="CL197" i="1"/>
  <c r="CM197" i="1"/>
  <c r="CN197" i="1"/>
  <c r="CO197" i="1"/>
  <c r="CP197" i="1"/>
  <c r="CQ197" i="1"/>
  <c r="CR197" i="1"/>
  <c r="CS197" i="1"/>
  <c r="CT197" i="1"/>
  <c r="CU197" i="1"/>
  <c r="CV197" i="1"/>
  <c r="BQ198" i="1"/>
  <c r="BR198" i="1"/>
  <c r="BS198" i="1"/>
  <c r="BV198" i="1"/>
  <c r="BW198" i="1"/>
  <c r="BX198" i="1"/>
  <c r="BY198" i="1"/>
  <c r="BZ198" i="1"/>
  <c r="CA198" i="1"/>
  <c r="CB198" i="1"/>
  <c r="CC198" i="1"/>
  <c r="CD198" i="1"/>
  <c r="CE198" i="1"/>
  <c r="CF198" i="1"/>
  <c r="CG198" i="1"/>
  <c r="CH198" i="1"/>
  <c r="CI198" i="1"/>
  <c r="CJ198" i="1"/>
  <c r="CK198" i="1"/>
  <c r="CL198" i="1"/>
  <c r="CM198" i="1"/>
  <c r="CN198" i="1"/>
  <c r="CO198" i="1"/>
  <c r="CP198" i="1"/>
  <c r="CQ198" i="1"/>
  <c r="CR198" i="1"/>
  <c r="CS198" i="1"/>
  <c r="CT198" i="1"/>
  <c r="CU198" i="1"/>
  <c r="CV198" i="1"/>
  <c r="BQ199" i="1"/>
  <c r="BR199" i="1"/>
  <c r="BS199" i="1"/>
  <c r="BV199" i="1"/>
  <c r="BW199" i="1"/>
  <c r="BX199" i="1"/>
  <c r="BY199" i="1"/>
  <c r="BZ199" i="1"/>
  <c r="CA199" i="1"/>
  <c r="CB199" i="1"/>
  <c r="CC199" i="1"/>
  <c r="CD199" i="1"/>
  <c r="CE199" i="1"/>
  <c r="CF199" i="1"/>
  <c r="CG199" i="1"/>
  <c r="CH199" i="1"/>
  <c r="CI199" i="1"/>
  <c r="CJ199" i="1"/>
  <c r="CK199" i="1"/>
  <c r="CL199" i="1"/>
  <c r="CM199" i="1"/>
  <c r="CN199" i="1"/>
  <c r="CO199" i="1"/>
  <c r="CP199" i="1"/>
  <c r="CQ199" i="1"/>
  <c r="CR199" i="1"/>
  <c r="CS199" i="1"/>
  <c r="CT199" i="1"/>
  <c r="CU199" i="1"/>
  <c r="CV199" i="1"/>
  <c r="BQ200" i="1"/>
  <c r="BR200" i="1"/>
  <c r="BS200" i="1"/>
  <c r="BV200" i="1"/>
  <c r="BW200" i="1"/>
  <c r="BX200" i="1"/>
  <c r="BY200" i="1"/>
  <c r="BZ200" i="1"/>
  <c r="CA200" i="1"/>
  <c r="CB200" i="1"/>
  <c r="CC200" i="1"/>
  <c r="CD200" i="1"/>
  <c r="CE200" i="1"/>
  <c r="CF200" i="1"/>
  <c r="CG200" i="1"/>
  <c r="CH200" i="1"/>
  <c r="CI200" i="1"/>
  <c r="CJ200" i="1"/>
  <c r="CK200" i="1"/>
  <c r="CL200" i="1"/>
  <c r="CM200" i="1"/>
  <c r="CN200" i="1"/>
  <c r="CO200" i="1"/>
  <c r="CP200" i="1"/>
  <c r="CQ200" i="1"/>
  <c r="CR200" i="1"/>
  <c r="CS200" i="1"/>
  <c r="CT200" i="1"/>
  <c r="CU200" i="1"/>
  <c r="CV200" i="1"/>
  <c r="BQ201" i="1"/>
  <c r="BR201" i="1"/>
  <c r="BS201" i="1"/>
  <c r="BV201" i="1"/>
  <c r="BW201" i="1"/>
  <c r="BX201" i="1"/>
  <c r="BY201" i="1"/>
  <c r="BZ201" i="1"/>
  <c r="CA201" i="1"/>
  <c r="CB201" i="1"/>
  <c r="CC201" i="1"/>
  <c r="CD201" i="1"/>
  <c r="CE201" i="1"/>
  <c r="CF201" i="1"/>
  <c r="CG201" i="1"/>
  <c r="CH201" i="1"/>
  <c r="CI201" i="1"/>
  <c r="CJ201" i="1"/>
  <c r="CK201" i="1"/>
  <c r="CL201" i="1"/>
  <c r="CM201" i="1"/>
  <c r="CN201" i="1"/>
  <c r="CO201" i="1"/>
  <c r="CP201" i="1"/>
  <c r="CQ201" i="1"/>
  <c r="CR201" i="1"/>
  <c r="CS201" i="1"/>
  <c r="CT201" i="1"/>
  <c r="CU201" i="1"/>
  <c r="CV201" i="1"/>
  <c r="BQ202" i="1"/>
  <c r="BR202" i="1"/>
  <c r="BS202" i="1"/>
  <c r="BV202" i="1"/>
  <c r="BW202" i="1"/>
  <c r="BX202" i="1"/>
  <c r="BY202" i="1"/>
  <c r="BZ202" i="1"/>
  <c r="CA202" i="1"/>
  <c r="CB202" i="1"/>
  <c r="CC202" i="1"/>
  <c r="CD202" i="1"/>
  <c r="CE202" i="1"/>
  <c r="CF202" i="1"/>
  <c r="CG202" i="1"/>
  <c r="CH202" i="1"/>
  <c r="CI202" i="1"/>
  <c r="CJ202" i="1"/>
  <c r="CK202" i="1"/>
  <c r="CL202" i="1"/>
  <c r="CM202" i="1"/>
  <c r="CN202" i="1"/>
  <c r="CO202" i="1"/>
  <c r="CP202" i="1"/>
  <c r="CQ202" i="1"/>
  <c r="CR202" i="1"/>
  <c r="CS202" i="1"/>
  <c r="CT202" i="1"/>
  <c r="CU202" i="1"/>
  <c r="CV202" i="1"/>
  <c r="BQ203" i="1"/>
  <c r="BR203" i="1"/>
  <c r="BS203" i="1"/>
  <c r="BV203" i="1"/>
  <c r="BW203" i="1"/>
  <c r="BX203" i="1"/>
  <c r="BY203" i="1"/>
  <c r="BZ203" i="1"/>
  <c r="CA203" i="1"/>
  <c r="CB203" i="1"/>
  <c r="CC203" i="1"/>
  <c r="CD203" i="1"/>
  <c r="CE203" i="1"/>
  <c r="CF203" i="1"/>
  <c r="CG203" i="1"/>
  <c r="CH203" i="1"/>
  <c r="CI203" i="1"/>
  <c r="CJ203" i="1"/>
  <c r="CK203" i="1"/>
  <c r="CL203" i="1"/>
  <c r="CM203" i="1"/>
  <c r="CN203" i="1"/>
  <c r="CO203" i="1"/>
  <c r="CP203" i="1"/>
  <c r="CQ203" i="1"/>
  <c r="CR203" i="1"/>
  <c r="CS203" i="1"/>
  <c r="CT203" i="1"/>
  <c r="CU203" i="1"/>
  <c r="CV203" i="1"/>
  <c r="BQ204" i="1"/>
  <c r="BR204" i="1"/>
  <c r="BS204" i="1"/>
  <c r="BV204" i="1"/>
  <c r="BW204" i="1"/>
  <c r="BX204" i="1"/>
  <c r="BY204" i="1"/>
  <c r="BZ204" i="1"/>
  <c r="CA204" i="1"/>
  <c r="CB204" i="1"/>
  <c r="CC204" i="1"/>
  <c r="CD204" i="1"/>
  <c r="CE204" i="1"/>
  <c r="CF204" i="1"/>
  <c r="CG204" i="1"/>
  <c r="CH204" i="1"/>
  <c r="CI204" i="1"/>
  <c r="CJ204" i="1"/>
  <c r="CK204" i="1"/>
  <c r="CL204" i="1"/>
  <c r="CM204" i="1"/>
  <c r="CN204" i="1"/>
  <c r="CO204" i="1"/>
  <c r="CP204" i="1"/>
  <c r="CQ204" i="1"/>
  <c r="CR204" i="1"/>
  <c r="CS204" i="1"/>
  <c r="CT204" i="1"/>
  <c r="CU204" i="1"/>
  <c r="CV204" i="1"/>
  <c r="BQ205" i="1"/>
  <c r="BR205" i="1"/>
  <c r="BS205" i="1"/>
  <c r="BV205" i="1"/>
  <c r="BW205" i="1"/>
  <c r="BX205" i="1"/>
  <c r="BY205" i="1"/>
  <c r="BZ205" i="1"/>
  <c r="CA205" i="1"/>
  <c r="CB205" i="1"/>
  <c r="CC205" i="1"/>
  <c r="CD205" i="1"/>
  <c r="CE205" i="1"/>
  <c r="CF205" i="1"/>
  <c r="CG205" i="1"/>
  <c r="CH205" i="1"/>
  <c r="CI205" i="1"/>
  <c r="CJ205" i="1"/>
  <c r="CK205" i="1"/>
  <c r="CL205" i="1"/>
  <c r="CM205" i="1"/>
  <c r="CN205" i="1"/>
  <c r="CO205" i="1"/>
  <c r="CP205" i="1"/>
  <c r="CQ205" i="1"/>
  <c r="CR205" i="1"/>
  <c r="CS205" i="1"/>
  <c r="CT205" i="1"/>
  <c r="CU205" i="1"/>
  <c r="CV205" i="1"/>
  <c r="BQ206" i="1"/>
  <c r="BR206" i="1"/>
  <c r="BS206" i="1"/>
  <c r="BV206" i="1"/>
  <c r="BW206" i="1"/>
  <c r="BX206" i="1"/>
  <c r="BY206" i="1"/>
  <c r="BZ206" i="1"/>
  <c r="CA206" i="1"/>
  <c r="CB206" i="1"/>
  <c r="CC206" i="1"/>
  <c r="CD206" i="1"/>
  <c r="CE206" i="1"/>
  <c r="CF206" i="1"/>
  <c r="CG206" i="1"/>
  <c r="CH206" i="1"/>
  <c r="CI206" i="1"/>
  <c r="CJ206" i="1"/>
  <c r="CK206" i="1"/>
  <c r="CL206" i="1"/>
  <c r="CM206" i="1"/>
  <c r="CN206" i="1"/>
  <c r="CO206" i="1"/>
  <c r="CP206" i="1"/>
  <c r="CQ206" i="1"/>
  <c r="CR206" i="1"/>
  <c r="CS206" i="1"/>
  <c r="CT206" i="1"/>
  <c r="CU206" i="1"/>
  <c r="CV206" i="1"/>
  <c r="BQ207" i="1"/>
  <c r="BR207" i="1"/>
  <c r="BS207" i="1"/>
  <c r="BV207" i="1"/>
  <c r="BW207" i="1"/>
  <c r="BX207" i="1"/>
  <c r="BY207" i="1"/>
  <c r="BZ207" i="1"/>
  <c r="CA207" i="1"/>
  <c r="CB207" i="1"/>
  <c r="CC207" i="1"/>
  <c r="CD207" i="1"/>
  <c r="CE207" i="1"/>
  <c r="CF207" i="1"/>
  <c r="CG207" i="1"/>
  <c r="CH207" i="1"/>
  <c r="CI207" i="1"/>
  <c r="CJ207" i="1"/>
  <c r="CK207" i="1"/>
  <c r="CL207" i="1"/>
  <c r="CM207" i="1"/>
  <c r="CN207" i="1"/>
  <c r="CO207" i="1"/>
  <c r="CP207" i="1"/>
  <c r="CQ207" i="1"/>
  <c r="CR207" i="1"/>
  <c r="CS207" i="1"/>
  <c r="CT207" i="1"/>
  <c r="CU207" i="1"/>
  <c r="CV207" i="1"/>
  <c r="CN208" i="1"/>
  <c r="CO208" i="1"/>
  <c r="CP208" i="1"/>
  <c r="CQ208" i="1"/>
  <c r="CR208" i="1"/>
  <c r="CS208" i="1"/>
  <c r="CT208" i="1"/>
  <c r="CU208" i="1"/>
  <c r="CV208" i="1"/>
  <c r="BQ209" i="1"/>
  <c r="BR209" i="1"/>
  <c r="BS209" i="1"/>
  <c r="BV209" i="1"/>
  <c r="BW209" i="1"/>
  <c r="BX209" i="1"/>
  <c r="BY209" i="1"/>
  <c r="BZ209" i="1"/>
  <c r="CA209" i="1"/>
  <c r="CB209" i="1"/>
  <c r="CC209" i="1"/>
  <c r="CD209" i="1"/>
  <c r="CE209" i="1"/>
  <c r="CF209" i="1"/>
  <c r="CG209" i="1"/>
  <c r="CH209" i="1"/>
  <c r="CI209" i="1"/>
  <c r="CJ209" i="1"/>
  <c r="CK209" i="1"/>
  <c r="CL209" i="1"/>
  <c r="CM209" i="1"/>
  <c r="CN209" i="1"/>
  <c r="CO209" i="1"/>
  <c r="CP209" i="1"/>
  <c r="CQ209" i="1"/>
  <c r="CR209" i="1"/>
  <c r="CS209" i="1"/>
  <c r="CT209" i="1"/>
  <c r="CU209" i="1"/>
  <c r="CV209" i="1"/>
  <c r="BQ210" i="1"/>
  <c r="BR210" i="1"/>
  <c r="BS210" i="1"/>
  <c r="BV210" i="1"/>
  <c r="BW210" i="1"/>
  <c r="BX210" i="1"/>
  <c r="BY210" i="1"/>
  <c r="BZ210" i="1"/>
  <c r="CA210" i="1"/>
  <c r="CB210" i="1"/>
  <c r="CC210" i="1"/>
  <c r="CD210" i="1"/>
  <c r="CE210" i="1"/>
  <c r="CF210" i="1"/>
  <c r="CG210" i="1"/>
  <c r="CH210" i="1"/>
  <c r="CI210" i="1"/>
  <c r="CJ210" i="1"/>
  <c r="CK210" i="1"/>
  <c r="CL210" i="1"/>
  <c r="CM210" i="1"/>
  <c r="CN210" i="1"/>
  <c r="CO210" i="1"/>
  <c r="CP210" i="1"/>
  <c r="CQ210" i="1"/>
  <c r="CR210" i="1"/>
  <c r="CS210" i="1"/>
  <c r="CT210" i="1"/>
  <c r="CU210" i="1"/>
  <c r="CV210" i="1"/>
  <c r="BQ211" i="1"/>
  <c r="BR211" i="1"/>
  <c r="BS211" i="1"/>
  <c r="BV211" i="1"/>
  <c r="BW211" i="1"/>
  <c r="BX211" i="1"/>
  <c r="BY211" i="1"/>
  <c r="BZ211" i="1"/>
  <c r="CA211" i="1"/>
  <c r="CB211" i="1"/>
  <c r="CC211" i="1"/>
  <c r="CD211" i="1"/>
  <c r="CE211" i="1"/>
  <c r="CF211" i="1"/>
  <c r="CG211" i="1"/>
  <c r="CH211" i="1"/>
  <c r="CI211" i="1"/>
  <c r="CJ211" i="1"/>
  <c r="CK211" i="1"/>
  <c r="CL211" i="1"/>
  <c r="CM211" i="1"/>
  <c r="CN211" i="1"/>
  <c r="CO211" i="1"/>
  <c r="CP211" i="1"/>
  <c r="CQ211" i="1"/>
  <c r="CR211" i="1"/>
  <c r="CS211" i="1"/>
  <c r="CT211" i="1"/>
  <c r="CU211" i="1"/>
  <c r="CV211" i="1"/>
  <c r="BQ212" i="1"/>
  <c r="BR212" i="1"/>
  <c r="BS212" i="1"/>
  <c r="BV212" i="1"/>
  <c r="BW212" i="1"/>
  <c r="BX212" i="1"/>
  <c r="BY212" i="1"/>
  <c r="BZ212" i="1"/>
  <c r="CA212" i="1"/>
  <c r="CB212" i="1"/>
  <c r="CC212" i="1"/>
  <c r="CD212" i="1"/>
  <c r="CE212" i="1"/>
  <c r="CF212" i="1"/>
  <c r="CG212" i="1"/>
  <c r="CH212" i="1"/>
  <c r="CI212" i="1"/>
  <c r="CJ212" i="1"/>
  <c r="CK212" i="1"/>
  <c r="CL212" i="1"/>
  <c r="CM212" i="1"/>
  <c r="CN212" i="1"/>
  <c r="CO212" i="1"/>
  <c r="CP212" i="1"/>
  <c r="CQ212" i="1"/>
  <c r="CR212" i="1"/>
  <c r="CS212" i="1"/>
  <c r="CT212" i="1"/>
  <c r="CU212" i="1"/>
  <c r="CV212" i="1"/>
  <c r="BQ213" i="1"/>
  <c r="BR213" i="1"/>
  <c r="BS213" i="1"/>
  <c r="BV213" i="1"/>
  <c r="BW213" i="1"/>
  <c r="BX213" i="1"/>
  <c r="BY213" i="1"/>
  <c r="BZ213" i="1"/>
  <c r="CA213" i="1"/>
  <c r="CB213" i="1"/>
  <c r="CC213" i="1"/>
  <c r="CD213" i="1"/>
  <c r="CE213" i="1"/>
  <c r="CF213" i="1"/>
  <c r="CG213" i="1"/>
  <c r="CH213" i="1"/>
  <c r="CI213" i="1"/>
  <c r="CJ213" i="1"/>
  <c r="CK213" i="1"/>
  <c r="CL213" i="1"/>
  <c r="CM213" i="1"/>
  <c r="CN213" i="1"/>
  <c r="CO213" i="1"/>
  <c r="CP213" i="1"/>
  <c r="CQ213" i="1"/>
  <c r="CR213" i="1"/>
  <c r="CS213" i="1"/>
  <c r="CT213" i="1"/>
  <c r="CU213" i="1"/>
  <c r="CV213" i="1"/>
  <c r="BQ214" i="1"/>
  <c r="BR214" i="1"/>
  <c r="BS214" i="1"/>
  <c r="BV214" i="1"/>
  <c r="BW214" i="1"/>
  <c r="BX214" i="1"/>
  <c r="BY214" i="1"/>
  <c r="BZ214" i="1"/>
  <c r="CA214" i="1"/>
  <c r="CB214" i="1"/>
  <c r="CC214" i="1"/>
  <c r="CD214" i="1"/>
  <c r="CE214" i="1"/>
  <c r="CF214" i="1"/>
  <c r="CG214" i="1"/>
  <c r="CH214" i="1"/>
  <c r="CI214" i="1"/>
  <c r="CJ214" i="1"/>
  <c r="CK214" i="1"/>
  <c r="CL214" i="1"/>
  <c r="CM214" i="1"/>
  <c r="CN214" i="1"/>
  <c r="CO214" i="1"/>
  <c r="CP214" i="1"/>
  <c r="CQ214" i="1"/>
  <c r="CR214" i="1"/>
  <c r="CS214" i="1"/>
  <c r="CT214" i="1"/>
  <c r="CU214" i="1"/>
  <c r="CV214" i="1"/>
  <c r="BQ215" i="1"/>
  <c r="BR215" i="1"/>
  <c r="BS215" i="1"/>
  <c r="BV215" i="1"/>
  <c r="BW215" i="1"/>
  <c r="BX215" i="1"/>
  <c r="BY215" i="1"/>
  <c r="BZ215" i="1"/>
  <c r="CA215" i="1"/>
  <c r="CB215" i="1"/>
  <c r="CC215" i="1"/>
  <c r="CD215" i="1"/>
  <c r="CE215" i="1"/>
  <c r="CF215" i="1"/>
  <c r="CG215" i="1"/>
  <c r="CH215" i="1"/>
  <c r="CI215" i="1"/>
  <c r="CJ215" i="1"/>
  <c r="CK215" i="1"/>
  <c r="CL215" i="1"/>
  <c r="CM215" i="1"/>
  <c r="CN215" i="1"/>
  <c r="CO215" i="1"/>
  <c r="CP215" i="1"/>
  <c r="CQ215" i="1"/>
  <c r="CR215" i="1"/>
  <c r="CS215" i="1"/>
  <c r="CT215" i="1"/>
  <c r="CU215" i="1"/>
  <c r="CV215" i="1"/>
  <c r="BQ216" i="1"/>
  <c r="BR216" i="1"/>
  <c r="BS216" i="1"/>
  <c r="BV216" i="1"/>
  <c r="BW216" i="1"/>
  <c r="BX216" i="1"/>
  <c r="BY216" i="1"/>
  <c r="BZ216" i="1"/>
  <c r="CA216" i="1"/>
  <c r="CB216" i="1"/>
  <c r="CC216" i="1"/>
  <c r="CD216" i="1"/>
  <c r="CE216" i="1"/>
  <c r="CF216" i="1"/>
  <c r="CG216" i="1"/>
  <c r="CH216" i="1"/>
  <c r="CI216" i="1"/>
  <c r="CJ216" i="1"/>
  <c r="CK216" i="1"/>
  <c r="CL216" i="1"/>
  <c r="CM216" i="1"/>
  <c r="CN216" i="1"/>
  <c r="CO216" i="1"/>
  <c r="CP216" i="1"/>
  <c r="CQ216" i="1"/>
  <c r="CR216" i="1"/>
  <c r="CS216" i="1"/>
  <c r="CT216" i="1"/>
  <c r="CU216" i="1"/>
  <c r="CV216" i="1"/>
  <c r="BQ217" i="1"/>
  <c r="BR217" i="1"/>
  <c r="BS217" i="1"/>
  <c r="BV217" i="1"/>
  <c r="BW217" i="1"/>
  <c r="BX217" i="1"/>
  <c r="BY217" i="1"/>
  <c r="BZ217" i="1"/>
  <c r="CA217" i="1"/>
  <c r="CB217" i="1"/>
  <c r="CC217" i="1"/>
  <c r="CD217" i="1"/>
  <c r="CE217" i="1"/>
  <c r="CF217" i="1"/>
  <c r="CG217" i="1"/>
  <c r="CH217" i="1"/>
  <c r="CI217" i="1"/>
  <c r="CJ217" i="1"/>
  <c r="CK217" i="1"/>
  <c r="CL217" i="1"/>
  <c r="CM217" i="1"/>
  <c r="CN217" i="1"/>
  <c r="CO217" i="1"/>
  <c r="CP217" i="1"/>
  <c r="CQ217" i="1"/>
  <c r="CR217" i="1"/>
  <c r="CS217" i="1"/>
  <c r="CT217" i="1"/>
  <c r="CU217" i="1"/>
  <c r="CV217" i="1"/>
  <c r="BQ218" i="1"/>
  <c r="BR218" i="1"/>
  <c r="BS218" i="1"/>
  <c r="BV218" i="1"/>
  <c r="BW218" i="1"/>
  <c r="BX218" i="1"/>
  <c r="BY218" i="1"/>
  <c r="BZ218" i="1"/>
  <c r="CA218" i="1"/>
  <c r="CB218" i="1"/>
  <c r="CC218" i="1"/>
  <c r="CD218" i="1"/>
  <c r="CE218" i="1"/>
  <c r="CF218" i="1"/>
  <c r="CG218" i="1"/>
  <c r="CH218" i="1"/>
  <c r="CI218" i="1"/>
  <c r="CJ218" i="1"/>
  <c r="CK218" i="1"/>
  <c r="CL218" i="1"/>
  <c r="CM218" i="1"/>
  <c r="CN218" i="1"/>
  <c r="CO218" i="1"/>
  <c r="CP218" i="1"/>
  <c r="CQ218" i="1"/>
  <c r="CR218" i="1"/>
  <c r="CS218" i="1"/>
  <c r="CT218" i="1"/>
  <c r="CU218" i="1"/>
  <c r="CV218" i="1"/>
  <c r="BQ219" i="1"/>
  <c r="BR219" i="1"/>
  <c r="BS219" i="1"/>
  <c r="BV219" i="1"/>
  <c r="BW219" i="1"/>
  <c r="BX219" i="1"/>
  <c r="BY219" i="1"/>
  <c r="BZ219" i="1"/>
  <c r="CA219" i="1"/>
  <c r="CB219" i="1"/>
  <c r="CC219" i="1"/>
  <c r="CD219" i="1"/>
  <c r="CE219" i="1"/>
  <c r="CF219" i="1"/>
  <c r="CG219" i="1"/>
  <c r="CH219" i="1"/>
  <c r="CI219" i="1"/>
  <c r="CJ219" i="1"/>
  <c r="CK219" i="1"/>
  <c r="CL219" i="1"/>
  <c r="CM219" i="1"/>
  <c r="CN219" i="1"/>
  <c r="CO219" i="1"/>
  <c r="CP219" i="1"/>
  <c r="CQ219" i="1"/>
  <c r="CR219" i="1"/>
  <c r="CS219" i="1"/>
  <c r="CT219" i="1"/>
  <c r="CU219" i="1"/>
  <c r="CV219" i="1"/>
  <c r="BQ220" i="1"/>
  <c r="BR220" i="1"/>
  <c r="BS220" i="1"/>
  <c r="BV220" i="1"/>
  <c r="BW220" i="1"/>
  <c r="BX220" i="1"/>
  <c r="BY220" i="1"/>
  <c r="BZ220" i="1"/>
  <c r="CA220" i="1"/>
  <c r="CB220" i="1"/>
  <c r="CC220" i="1"/>
  <c r="CD220" i="1"/>
  <c r="CE220" i="1"/>
  <c r="CF220" i="1"/>
  <c r="CG220" i="1"/>
  <c r="CH220" i="1"/>
  <c r="CI220" i="1"/>
  <c r="CJ220" i="1"/>
  <c r="CK220" i="1"/>
  <c r="CL220" i="1"/>
  <c r="CM220" i="1"/>
  <c r="CN220" i="1"/>
  <c r="CO220" i="1"/>
  <c r="CP220" i="1"/>
  <c r="CQ220" i="1"/>
  <c r="CR220" i="1"/>
  <c r="CS220" i="1"/>
  <c r="CT220" i="1"/>
  <c r="CU220" i="1"/>
  <c r="CV220" i="1"/>
  <c r="BQ221" i="1"/>
  <c r="BR221" i="1"/>
  <c r="BS221" i="1"/>
  <c r="BV221" i="1"/>
  <c r="BW221" i="1"/>
  <c r="BX221" i="1"/>
  <c r="BY221" i="1"/>
  <c r="BZ221" i="1"/>
  <c r="CA221" i="1"/>
  <c r="CB221" i="1"/>
  <c r="CC221" i="1"/>
  <c r="CD221" i="1"/>
  <c r="CE221" i="1"/>
  <c r="CF221" i="1"/>
  <c r="CG221" i="1"/>
  <c r="CH221" i="1"/>
  <c r="CI221" i="1"/>
  <c r="CJ221" i="1"/>
  <c r="CK221" i="1"/>
  <c r="CL221" i="1"/>
  <c r="CM221" i="1"/>
  <c r="CN221" i="1"/>
  <c r="CO221" i="1"/>
  <c r="CP221" i="1"/>
  <c r="CQ221" i="1"/>
  <c r="CR221" i="1"/>
  <c r="CS221" i="1"/>
  <c r="CT221" i="1"/>
  <c r="CU221" i="1"/>
  <c r="CV221" i="1"/>
  <c r="BQ222" i="1"/>
  <c r="BR222" i="1"/>
  <c r="BS222" i="1"/>
  <c r="BV222" i="1"/>
  <c r="BW222" i="1"/>
  <c r="BX222" i="1"/>
  <c r="BY222" i="1"/>
  <c r="BZ222" i="1"/>
  <c r="CA222" i="1"/>
  <c r="CB222" i="1"/>
  <c r="CC222" i="1"/>
  <c r="CD222" i="1"/>
  <c r="CE222" i="1"/>
  <c r="CF222" i="1"/>
  <c r="CG222" i="1"/>
  <c r="CH222" i="1"/>
  <c r="CI222" i="1"/>
  <c r="CJ222" i="1"/>
  <c r="CK222" i="1"/>
  <c r="CL222" i="1"/>
  <c r="CM222" i="1"/>
  <c r="CN222" i="1"/>
  <c r="CO222" i="1"/>
  <c r="CP222" i="1"/>
  <c r="CQ222" i="1"/>
  <c r="CR222" i="1"/>
  <c r="CS222" i="1"/>
  <c r="CT222" i="1"/>
  <c r="CU222" i="1"/>
  <c r="CV222" i="1"/>
  <c r="BQ223" i="1"/>
  <c r="BR223" i="1"/>
  <c r="BS223" i="1"/>
  <c r="BV223" i="1"/>
  <c r="BW223" i="1"/>
  <c r="BX223" i="1"/>
  <c r="BY223" i="1"/>
  <c r="BZ223" i="1"/>
  <c r="CA223" i="1"/>
  <c r="CB223" i="1"/>
  <c r="CC223" i="1"/>
  <c r="CD223" i="1"/>
  <c r="CE223" i="1"/>
  <c r="CF223" i="1"/>
  <c r="CG223" i="1"/>
  <c r="CH223" i="1"/>
  <c r="CI223" i="1"/>
  <c r="CJ223" i="1"/>
  <c r="CK223" i="1"/>
  <c r="CL223" i="1"/>
  <c r="CM223" i="1"/>
  <c r="CN223" i="1"/>
  <c r="CO223" i="1"/>
  <c r="CP223" i="1"/>
  <c r="CQ223" i="1"/>
  <c r="CR223" i="1"/>
  <c r="CS223" i="1"/>
  <c r="CT223" i="1"/>
  <c r="CU223" i="1"/>
  <c r="CV223" i="1"/>
  <c r="BQ224" i="1"/>
  <c r="BR224" i="1"/>
  <c r="BS224" i="1"/>
  <c r="BV224" i="1"/>
  <c r="BW224" i="1"/>
  <c r="BX224" i="1"/>
  <c r="BY224" i="1"/>
  <c r="BZ224" i="1"/>
  <c r="CA224" i="1"/>
  <c r="CB224" i="1"/>
  <c r="CC224" i="1"/>
  <c r="CD224" i="1"/>
  <c r="CE224" i="1"/>
  <c r="CF224" i="1"/>
  <c r="CG224" i="1"/>
  <c r="CH224" i="1"/>
  <c r="CI224" i="1"/>
  <c r="CJ224" i="1"/>
  <c r="CK224" i="1"/>
  <c r="CL224" i="1"/>
  <c r="CM224" i="1"/>
  <c r="CN224" i="1"/>
  <c r="CO224" i="1"/>
  <c r="CP224" i="1"/>
  <c r="CQ224" i="1"/>
  <c r="CR224" i="1"/>
  <c r="CS224" i="1"/>
  <c r="CT224" i="1"/>
  <c r="CU224" i="1"/>
  <c r="CV224" i="1"/>
  <c r="BQ225" i="1"/>
  <c r="BR225" i="1"/>
  <c r="BS225" i="1"/>
  <c r="BV225" i="1"/>
  <c r="BW225" i="1"/>
  <c r="BX225" i="1"/>
  <c r="BY225" i="1"/>
  <c r="BZ225" i="1"/>
  <c r="CA225" i="1"/>
  <c r="CB225" i="1"/>
  <c r="CC225" i="1"/>
  <c r="CD225" i="1"/>
  <c r="CE225" i="1"/>
  <c r="CF225" i="1"/>
  <c r="CG225" i="1"/>
  <c r="CH225" i="1"/>
  <c r="CI225" i="1"/>
  <c r="CJ225" i="1"/>
  <c r="CK225" i="1"/>
  <c r="CL225" i="1"/>
  <c r="CM225" i="1"/>
  <c r="CN225" i="1"/>
  <c r="CO225" i="1"/>
  <c r="CP225" i="1"/>
  <c r="CQ225" i="1"/>
  <c r="CR225" i="1"/>
  <c r="CS225" i="1"/>
  <c r="CT225" i="1"/>
  <c r="CU225" i="1"/>
  <c r="CV225" i="1"/>
  <c r="BQ226" i="1"/>
  <c r="BR226" i="1"/>
  <c r="BS226" i="1"/>
  <c r="BV226" i="1"/>
  <c r="BW226" i="1"/>
  <c r="BX226" i="1"/>
  <c r="BY226" i="1"/>
  <c r="BZ226" i="1"/>
  <c r="CA226" i="1"/>
  <c r="CB226" i="1"/>
  <c r="CC226" i="1"/>
  <c r="CD226" i="1"/>
  <c r="CE226" i="1"/>
  <c r="CF226" i="1"/>
  <c r="CG226" i="1"/>
  <c r="CH226" i="1"/>
  <c r="CI226" i="1"/>
  <c r="CJ226" i="1"/>
  <c r="CK226" i="1"/>
  <c r="CL226" i="1"/>
  <c r="CM226" i="1"/>
  <c r="CN226" i="1"/>
  <c r="CO226" i="1"/>
  <c r="CP226" i="1"/>
  <c r="CQ226" i="1"/>
  <c r="CR226" i="1"/>
  <c r="CS226" i="1"/>
  <c r="CT226" i="1"/>
  <c r="CU226" i="1"/>
  <c r="CV226" i="1"/>
  <c r="BQ227" i="1"/>
  <c r="BR227" i="1"/>
  <c r="BS227" i="1"/>
  <c r="BV227" i="1"/>
  <c r="BW227" i="1"/>
  <c r="BX227" i="1"/>
  <c r="BY227" i="1"/>
  <c r="BZ227" i="1"/>
  <c r="CA227" i="1"/>
  <c r="CB227" i="1"/>
  <c r="CC227" i="1"/>
  <c r="CD227" i="1"/>
  <c r="CE227" i="1"/>
  <c r="CF227" i="1"/>
  <c r="CG227" i="1"/>
  <c r="CH227" i="1"/>
  <c r="CI227" i="1"/>
  <c r="CJ227" i="1"/>
  <c r="CK227" i="1"/>
  <c r="CL227" i="1"/>
  <c r="CM227" i="1"/>
  <c r="CN227" i="1"/>
  <c r="CO227" i="1"/>
  <c r="CP227" i="1"/>
  <c r="CQ227" i="1"/>
  <c r="CR227" i="1"/>
  <c r="CS227" i="1"/>
  <c r="CT227" i="1"/>
  <c r="CU227" i="1"/>
  <c r="CV227" i="1"/>
  <c r="BQ228" i="1"/>
  <c r="BR228" i="1"/>
  <c r="BS228" i="1"/>
  <c r="BV228" i="1"/>
  <c r="BW228" i="1"/>
  <c r="BX228" i="1"/>
  <c r="BY228" i="1"/>
  <c r="BZ228" i="1"/>
  <c r="CA228" i="1"/>
  <c r="CB228" i="1"/>
  <c r="CC228" i="1"/>
  <c r="CD228" i="1"/>
  <c r="CE228" i="1"/>
  <c r="CF228" i="1"/>
  <c r="CG228" i="1"/>
  <c r="CH228" i="1"/>
  <c r="CI228" i="1"/>
  <c r="CJ228" i="1"/>
  <c r="CK228" i="1"/>
  <c r="CL228" i="1"/>
  <c r="CM228" i="1"/>
  <c r="CN228" i="1"/>
  <c r="CO228" i="1"/>
  <c r="CP228" i="1"/>
  <c r="CQ228" i="1"/>
  <c r="CR228" i="1"/>
  <c r="CS228" i="1"/>
  <c r="CT228" i="1"/>
  <c r="CU228" i="1"/>
  <c r="CV228" i="1"/>
  <c r="BQ229" i="1"/>
  <c r="BR229" i="1"/>
  <c r="BS229" i="1"/>
  <c r="BV229" i="1"/>
  <c r="BW229" i="1"/>
  <c r="BX229" i="1"/>
  <c r="BY229" i="1"/>
  <c r="BZ229" i="1"/>
  <c r="CA229" i="1"/>
  <c r="CB229" i="1"/>
  <c r="CC229" i="1"/>
  <c r="CD229" i="1"/>
  <c r="CE229" i="1"/>
  <c r="CF229" i="1"/>
  <c r="CG229" i="1"/>
  <c r="CH229" i="1"/>
  <c r="CI229" i="1"/>
  <c r="CJ229" i="1"/>
  <c r="CK229" i="1"/>
  <c r="CL229" i="1"/>
  <c r="CM229" i="1"/>
  <c r="CN229" i="1"/>
  <c r="CO229" i="1"/>
  <c r="CP229" i="1"/>
  <c r="CQ229" i="1"/>
  <c r="CR229" i="1"/>
  <c r="CS229" i="1"/>
  <c r="CT229" i="1"/>
  <c r="CU229" i="1"/>
  <c r="CV229" i="1"/>
  <c r="BQ230" i="1"/>
  <c r="BR230" i="1"/>
  <c r="BS230" i="1"/>
  <c r="BV230" i="1"/>
  <c r="BW230" i="1"/>
  <c r="BX230" i="1"/>
  <c r="BY230" i="1"/>
  <c r="BZ230" i="1"/>
  <c r="CA230" i="1"/>
  <c r="CB230" i="1"/>
  <c r="CC230" i="1"/>
  <c r="CD230" i="1"/>
  <c r="CE230" i="1"/>
  <c r="CF230" i="1"/>
  <c r="CG230" i="1"/>
  <c r="CH230" i="1"/>
  <c r="CI230" i="1"/>
  <c r="CJ230" i="1"/>
  <c r="CK230" i="1"/>
  <c r="CL230" i="1"/>
  <c r="CM230" i="1"/>
  <c r="CN230" i="1"/>
  <c r="CO230" i="1"/>
  <c r="CP230" i="1"/>
  <c r="CQ230" i="1"/>
  <c r="CR230" i="1"/>
  <c r="CS230" i="1"/>
  <c r="CT230" i="1"/>
  <c r="CU230" i="1"/>
  <c r="CV230" i="1"/>
  <c r="BQ231" i="1"/>
  <c r="BR231" i="1"/>
  <c r="BS231" i="1"/>
  <c r="BV231" i="1"/>
  <c r="BW231" i="1"/>
  <c r="BX231" i="1"/>
  <c r="BY231" i="1"/>
  <c r="BZ231" i="1"/>
  <c r="CA231" i="1"/>
  <c r="CB231" i="1"/>
  <c r="CC231" i="1"/>
  <c r="CD231" i="1"/>
  <c r="CE231" i="1"/>
  <c r="CF231" i="1"/>
  <c r="CG231" i="1"/>
  <c r="CH231" i="1"/>
  <c r="CI231" i="1"/>
  <c r="CJ231" i="1"/>
  <c r="CK231" i="1"/>
  <c r="CL231" i="1"/>
  <c r="CM231" i="1"/>
  <c r="CN231" i="1"/>
  <c r="CO231" i="1"/>
  <c r="CP231" i="1"/>
  <c r="CQ231" i="1"/>
  <c r="CR231" i="1"/>
  <c r="CS231" i="1"/>
  <c r="CT231" i="1"/>
  <c r="CU231" i="1"/>
  <c r="CV231" i="1"/>
  <c r="BQ232" i="1"/>
  <c r="BR232" i="1"/>
  <c r="BS232" i="1"/>
  <c r="BV232" i="1"/>
  <c r="BW232" i="1"/>
  <c r="BX232" i="1"/>
  <c r="BY232" i="1"/>
  <c r="BZ232" i="1"/>
  <c r="CA232" i="1"/>
  <c r="CB232" i="1"/>
  <c r="CC232" i="1"/>
  <c r="CD232" i="1"/>
  <c r="CE232" i="1"/>
  <c r="CF232" i="1"/>
  <c r="CG232" i="1"/>
  <c r="CH232" i="1"/>
  <c r="CI232" i="1"/>
  <c r="CJ232" i="1"/>
  <c r="CK232" i="1"/>
  <c r="CL232" i="1"/>
  <c r="CM232" i="1"/>
  <c r="CN232" i="1"/>
  <c r="CO232" i="1"/>
  <c r="CP232" i="1"/>
  <c r="CQ232" i="1"/>
  <c r="CR232" i="1"/>
  <c r="CS232" i="1"/>
  <c r="CT232" i="1"/>
  <c r="CU232" i="1"/>
  <c r="CV232" i="1"/>
  <c r="BQ233" i="1"/>
  <c r="BR233" i="1"/>
  <c r="BS233" i="1"/>
  <c r="BV233" i="1"/>
  <c r="BW233" i="1"/>
  <c r="BX233" i="1"/>
  <c r="BY233" i="1"/>
  <c r="BZ233" i="1"/>
  <c r="CA233" i="1"/>
  <c r="CB233" i="1"/>
  <c r="CC233" i="1"/>
  <c r="CD233" i="1"/>
  <c r="CE233" i="1"/>
  <c r="CF233" i="1"/>
  <c r="CG233" i="1"/>
  <c r="CH233" i="1"/>
  <c r="CI233" i="1"/>
  <c r="CJ233" i="1"/>
  <c r="CK233" i="1"/>
  <c r="CL233" i="1"/>
  <c r="CM233" i="1"/>
  <c r="CN233" i="1"/>
  <c r="CO233" i="1"/>
  <c r="CP233" i="1"/>
  <c r="CQ233" i="1"/>
  <c r="CR233" i="1"/>
  <c r="CS233" i="1"/>
  <c r="CT233" i="1"/>
  <c r="CU233" i="1"/>
  <c r="CV233" i="1"/>
  <c r="BQ234" i="1"/>
  <c r="BR234" i="1"/>
  <c r="BS234" i="1"/>
  <c r="BV234" i="1"/>
  <c r="BW234" i="1"/>
  <c r="BX234" i="1"/>
  <c r="BY234" i="1"/>
  <c r="BZ234" i="1"/>
  <c r="CA234" i="1"/>
  <c r="CB234" i="1"/>
  <c r="CC234" i="1"/>
  <c r="CD234" i="1"/>
  <c r="CE234" i="1"/>
  <c r="CF234" i="1"/>
  <c r="CG234" i="1"/>
  <c r="CH234" i="1"/>
  <c r="CI234" i="1"/>
  <c r="CJ234" i="1"/>
  <c r="CK234" i="1"/>
  <c r="CL234" i="1"/>
  <c r="CM234" i="1"/>
  <c r="CN234" i="1"/>
  <c r="CO234" i="1"/>
  <c r="CP234" i="1"/>
  <c r="CQ234" i="1"/>
  <c r="CR234" i="1"/>
  <c r="CS234" i="1"/>
  <c r="CT234" i="1"/>
  <c r="CU234" i="1"/>
  <c r="CV234" i="1"/>
  <c r="BQ235" i="1"/>
  <c r="BR235" i="1"/>
  <c r="BS235" i="1"/>
  <c r="BV235" i="1"/>
  <c r="BW235" i="1"/>
  <c r="BX235" i="1"/>
  <c r="BY235" i="1"/>
  <c r="BZ235" i="1"/>
  <c r="CA235" i="1"/>
  <c r="CB235" i="1"/>
  <c r="CC235" i="1"/>
  <c r="CD235" i="1"/>
  <c r="CE235" i="1"/>
  <c r="CF235" i="1"/>
  <c r="CG235" i="1"/>
  <c r="CH235" i="1"/>
  <c r="CI235" i="1"/>
  <c r="CJ235" i="1"/>
  <c r="CK235" i="1"/>
  <c r="CL235" i="1"/>
  <c r="CM235" i="1"/>
  <c r="CN235" i="1"/>
  <c r="CO235" i="1"/>
  <c r="CP235" i="1"/>
  <c r="CQ235" i="1"/>
  <c r="CR235" i="1"/>
  <c r="CS235" i="1"/>
  <c r="CT235" i="1"/>
  <c r="CU235" i="1"/>
  <c r="CV235" i="1"/>
  <c r="BQ236" i="1"/>
  <c r="BR236" i="1"/>
  <c r="BS236" i="1"/>
  <c r="BV236" i="1"/>
  <c r="BW236" i="1"/>
  <c r="BX236" i="1"/>
  <c r="BY236" i="1"/>
  <c r="BZ236" i="1"/>
  <c r="CA236" i="1"/>
  <c r="CB236" i="1"/>
  <c r="CC236" i="1"/>
  <c r="CD236" i="1"/>
  <c r="CE236" i="1"/>
  <c r="CF236" i="1"/>
  <c r="CG236" i="1"/>
  <c r="CH236" i="1"/>
  <c r="CI236" i="1"/>
  <c r="CJ236" i="1"/>
  <c r="CK236" i="1"/>
  <c r="CL236" i="1"/>
  <c r="CM236" i="1"/>
  <c r="CN236" i="1"/>
  <c r="CO236" i="1"/>
  <c r="CP236" i="1"/>
  <c r="CQ236" i="1"/>
  <c r="CR236" i="1"/>
  <c r="CS236" i="1"/>
  <c r="CT236" i="1"/>
  <c r="CU236" i="1"/>
  <c r="CV236" i="1"/>
  <c r="BQ237" i="1"/>
  <c r="BR237" i="1"/>
  <c r="BS237" i="1"/>
  <c r="BV237" i="1"/>
  <c r="BW237" i="1"/>
  <c r="BX237" i="1"/>
  <c r="BY237" i="1"/>
  <c r="BZ237" i="1"/>
  <c r="CA237" i="1"/>
  <c r="CB237" i="1"/>
  <c r="CC237" i="1"/>
  <c r="CD237" i="1"/>
  <c r="CE237" i="1"/>
  <c r="CF237" i="1"/>
  <c r="CG237" i="1"/>
  <c r="CH237" i="1"/>
  <c r="CI237" i="1"/>
  <c r="CJ237" i="1"/>
  <c r="CK237" i="1"/>
  <c r="CL237" i="1"/>
  <c r="CM237" i="1"/>
  <c r="CN237" i="1"/>
  <c r="CO237" i="1"/>
  <c r="CP237" i="1"/>
  <c r="CQ237" i="1"/>
  <c r="CR237" i="1"/>
  <c r="CS237" i="1"/>
  <c r="CT237" i="1"/>
  <c r="CU237" i="1"/>
  <c r="CV237" i="1"/>
  <c r="BQ238" i="1"/>
  <c r="BR238" i="1"/>
  <c r="BS238" i="1"/>
  <c r="BV238" i="1"/>
  <c r="BW238" i="1"/>
  <c r="BX238" i="1"/>
  <c r="BY238" i="1"/>
  <c r="BZ238" i="1"/>
  <c r="CA238" i="1"/>
  <c r="CB238" i="1"/>
  <c r="CC238" i="1"/>
  <c r="CD238" i="1"/>
  <c r="CE238" i="1"/>
  <c r="CF238" i="1"/>
  <c r="CG238" i="1"/>
  <c r="CH238" i="1"/>
  <c r="CI238" i="1"/>
  <c r="CJ238" i="1"/>
  <c r="CK238" i="1"/>
  <c r="CL238" i="1"/>
  <c r="CM238" i="1"/>
  <c r="CN238" i="1"/>
  <c r="CO238" i="1"/>
  <c r="CP238" i="1"/>
  <c r="CQ238" i="1"/>
  <c r="CR238" i="1"/>
  <c r="CS238" i="1"/>
  <c r="CT238" i="1"/>
  <c r="CU238" i="1"/>
  <c r="CV238" i="1"/>
  <c r="BQ239" i="1"/>
  <c r="BR239" i="1"/>
  <c r="BS239" i="1"/>
  <c r="BV239" i="1"/>
  <c r="BW239" i="1"/>
  <c r="BX239" i="1"/>
  <c r="BY239" i="1"/>
  <c r="BZ239" i="1"/>
  <c r="CA239" i="1"/>
  <c r="CB239" i="1"/>
  <c r="CC239" i="1"/>
  <c r="CD239" i="1"/>
  <c r="CE239" i="1"/>
  <c r="CF239" i="1"/>
  <c r="CG239" i="1"/>
  <c r="CH239" i="1"/>
  <c r="CI239" i="1"/>
  <c r="CJ239" i="1"/>
  <c r="CK239" i="1"/>
  <c r="CL239" i="1"/>
  <c r="CM239" i="1"/>
  <c r="CN239" i="1"/>
  <c r="CO239" i="1"/>
  <c r="CP239" i="1"/>
  <c r="CQ239" i="1"/>
  <c r="CR239" i="1"/>
  <c r="CS239" i="1"/>
  <c r="CT239" i="1"/>
  <c r="CU239" i="1"/>
  <c r="CV239" i="1"/>
  <c r="BQ240" i="1"/>
  <c r="BR240" i="1"/>
  <c r="BS240" i="1"/>
  <c r="BV240" i="1"/>
  <c r="BW240" i="1"/>
  <c r="BX240" i="1"/>
  <c r="BY240" i="1"/>
  <c r="BZ240" i="1"/>
  <c r="CA240" i="1"/>
  <c r="CB240" i="1"/>
  <c r="CC240" i="1"/>
  <c r="CD240" i="1"/>
  <c r="CE240" i="1"/>
  <c r="CF240" i="1"/>
  <c r="CG240" i="1"/>
  <c r="CH240" i="1"/>
  <c r="CI240" i="1"/>
  <c r="CJ240" i="1"/>
  <c r="CK240" i="1"/>
  <c r="CL240" i="1"/>
  <c r="CM240" i="1"/>
  <c r="CN240" i="1"/>
  <c r="CO240" i="1"/>
  <c r="CP240" i="1"/>
  <c r="CQ240" i="1"/>
  <c r="CR240" i="1"/>
  <c r="CS240" i="1"/>
  <c r="CT240" i="1"/>
  <c r="CU240" i="1"/>
  <c r="CV240" i="1"/>
  <c r="BQ241" i="1"/>
  <c r="BR241" i="1"/>
  <c r="BS241" i="1"/>
  <c r="BV241" i="1"/>
  <c r="BW241" i="1"/>
  <c r="BX241" i="1"/>
  <c r="BY241" i="1"/>
  <c r="BZ241" i="1"/>
  <c r="CA241" i="1"/>
  <c r="CB241" i="1"/>
  <c r="CC241" i="1"/>
  <c r="CD241" i="1"/>
  <c r="CE241" i="1"/>
  <c r="CF241" i="1"/>
  <c r="CG241" i="1"/>
  <c r="CH241" i="1"/>
  <c r="CI241" i="1"/>
  <c r="CJ241" i="1"/>
  <c r="CK241" i="1"/>
  <c r="CL241" i="1"/>
  <c r="CM241" i="1"/>
  <c r="CN241" i="1"/>
  <c r="CO241" i="1"/>
  <c r="CP241" i="1"/>
  <c r="CQ241" i="1"/>
  <c r="CR241" i="1"/>
  <c r="CS241" i="1"/>
  <c r="CT241" i="1"/>
  <c r="CU241" i="1"/>
  <c r="CV241" i="1"/>
  <c r="BQ242" i="1"/>
  <c r="BR242" i="1"/>
  <c r="BS242" i="1"/>
  <c r="BV242" i="1"/>
  <c r="BW242" i="1"/>
  <c r="BX242" i="1"/>
  <c r="BY242" i="1"/>
  <c r="BZ242" i="1"/>
  <c r="CA242" i="1"/>
  <c r="CB242" i="1"/>
  <c r="CC242" i="1"/>
  <c r="CD242" i="1"/>
  <c r="CE242" i="1"/>
  <c r="CF242" i="1"/>
  <c r="CG242" i="1"/>
  <c r="CH242" i="1"/>
  <c r="CI242" i="1"/>
  <c r="CJ242" i="1"/>
  <c r="CK242" i="1"/>
  <c r="CL242" i="1"/>
  <c r="CM242" i="1"/>
  <c r="CN242" i="1"/>
  <c r="CO242" i="1"/>
  <c r="CP242" i="1"/>
  <c r="CQ242" i="1"/>
  <c r="CR242" i="1"/>
  <c r="CS242" i="1"/>
  <c r="CT242" i="1"/>
  <c r="CU242" i="1"/>
  <c r="CV242" i="1"/>
  <c r="BQ243" i="1"/>
  <c r="BR243" i="1"/>
  <c r="BS243" i="1"/>
  <c r="BV243" i="1"/>
  <c r="BW243" i="1"/>
  <c r="BX243" i="1"/>
  <c r="BY243" i="1"/>
  <c r="BZ243" i="1"/>
  <c r="CA243" i="1"/>
  <c r="CB243" i="1"/>
  <c r="CC243" i="1"/>
  <c r="CD243" i="1"/>
  <c r="CE243" i="1"/>
  <c r="CF243" i="1"/>
  <c r="CG243" i="1"/>
  <c r="CH243" i="1"/>
  <c r="CI243" i="1"/>
  <c r="CJ243" i="1"/>
  <c r="CK243" i="1"/>
  <c r="CL243" i="1"/>
  <c r="CM243" i="1"/>
  <c r="CN243" i="1"/>
  <c r="CO243" i="1"/>
  <c r="CP243" i="1"/>
  <c r="CQ243" i="1"/>
  <c r="CR243" i="1"/>
  <c r="CS243" i="1"/>
  <c r="CT243" i="1"/>
  <c r="CU243" i="1"/>
  <c r="CV243" i="1"/>
  <c r="BQ244" i="1"/>
  <c r="BR244" i="1"/>
  <c r="BS244" i="1"/>
  <c r="BV244" i="1"/>
  <c r="BW244" i="1"/>
  <c r="BX244" i="1"/>
  <c r="BY244" i="1"/>
  <c r="BZ244" i="1"/>
  <c r="CA244" i="1"/>
  <c r="CB244" i="1"/>
  <c r="CC244" i="1"/>
  <c r="CD244" i="1"/>
  <c r="CE244" i="1"/>
  <c r="CF244" i="1"/>
  <c r="CG244" i="1"/>
  <c r="CH244" i="1"/>
  <c r="CI244" i="1"/>
  <c r="CJ244" i="1"/>
  <c r="CK244" i="1"/>
  <c r="CL244" i="1"/>
  <c r="CM244" i="1"/>
  <c r="CN244" i="1"/>
  <c r="CO244" i="1"/>
  <c r="CP244" i="1"/>
  <c r="CQ244" i="1"/>
  <c r="CR244" i="1"/>
  <c r="CS244" i="1"/>
  <c r="CT244" i="1"/>
  <c r="CU244" i="1"/>
  <c r="CV244" i="1"/>
  <c r="BQ245" i="1"/>
  <c r="BR245" i="1"/>
  <c r="BS245" i="1"/>
  <c r="BV245" i="1"/>
  <c r="BW245" i="1"/>
  <c r="BX245" i="1"/>
  <c r="BY245" i="1"/>
  <c r="BZ245" i="1"/>
  <c r="CA245" i="1"/>
  <c r="CB245" i="1"/>
  <c r="CC245" i="1"/>
  <c r="CD245" i="1"/>
  <c r="CE245" i="1"/>
  <c r="CF245" i="1"/>
  <c r="CG245" i="1"/>
  <c r="CH245" i="1"/>
  <c r="CI245" i="1"/>
  <c r="CJ245" i="1"/>
  <c r="CK245" i="1"/>
  <c r="CL245" i="1"/>
  <c r="CM245" i="1"/>
  <c r="CN245" i="1"/>
  <c r="CO245" i="1"/>
  <c r="CP245" i="1"/>
  <c r="CQ245" i="1"/>
  <c r="CR245" i="1"/>
  <c r="CS245" i="1"/>
  <c r="CT245" i="1"/>
  <c r="CU245" i="1"/>
  <c r="CV245" i="1"/>
  <c r="BQ246" i="1"/>
  <c r="BR246" i="1"/>
  <c r="BS246" i="1"/>
  <c r="BV246" i="1"/>
  <c r="BW246" i="1"/>
  <c r="BX246" i="1"/>
  <c r="BY246" i="1"/>
  <c r="BZ246" i="1"/>
  <c r="CA246" i="1"/>
  <c r="CB246" i="1"/>
  <c r="CC246" i="1"/>
  <c r="CD246" i="1"/>
  <c r="CE246" i="1"/>
  <c r="CF246" i="1"/>
  <c r="CG246" i="1"/>
  <c r="CH246" i="1"/>
  <c r="CI246" i="1"/>
  <c r="CJ246" i="1"/>
  <c r="CK246" i="1"/>
  <c r="CL246" i="1"/>
  <c r="CM246" i="1"/>
  <c r="CN246" i="1"/>
  <c r="CO246" i="1"/>
  <c r="CP246" i="1"/>
  <c r="CQ246" i="1"/>
  <c r="CR246" i="1"/>
  <c r="CS246" i="1"/>
  <c r="CT246" i="1"/>
  <c r="CU246" i="1"/>
  <c r="CV246" i="1"/>
  <c r="BQ247" i="1"/>
  <c r="BR247" i="1"/>
  <c r="BS247" i="1"/>
  <c r="BV247" i="1"/>
  <c r="BW247" i="1"/>
  <c r="BX247" i="1"/>
  <c r="BY247" i="1"/>
  <c r="BZ247" i="1"/>
  <c r="CA247" i="1"/>
  <c r="CB247" i="1"/>
  <c r="CC247" i="1"/>
  <c r="CD247" i="1"/>
  <c r="CE247" i="1"/>
  <c r="CF247" i="1"/>
  <c r="CG247" i="1"/>
  <c r="CH247" i="1"/>
  <c r="CI247" i="1"/>
  <c r="CJ247" i="1"/>
  <c r="CK247" i="1"/>
  <c r="CL247" i="1"/>
  <c r="CM247" i="1"/>
  <c r="CN247" i="1"/>
  <c r="CO247" i="1"/>
  <c r="CP247" i="1"/>
  <c r="CQ247" i="1"/>
  <c r="CR247" i="1"/>
  <c r="CS247" i="1"/>
  <c r="CT247" i="1"/>
  <c r="CU247" i="1"/>
  <c r="CV247" i="1"/>
  <c r="BQ248" i="1"/>
  <c r="BR248" i="1"/>
  <c r="BS248" i="1"/>
  <c r="BV248" i="1"/>
  <c r="BW248" i="1"/>
  <c r="BX248" i="1"/>
  <c r="BY248" i="1"/>
  <c r="BZ248" i="1"/>
  <c r="CA248" i="1"/>
  <c r="CB248" i="1"/>
  <c r="CC248" i="1"/>
  <c r="CD248" i="1"/>
  <c r="CE248" i="1"/>
  <c r="CF248" i="1"/>
  <c r="CG248" i="1"/>
  <c r="CH248" i="1"/>
  <c r="CI248" i="1"/>
  <c r="CJ248" i="1"/>
  <c r="CK248" i="1"/>
  <c r="CL248" i="1"/>
  <c r="CM248" i="1"/>
  <c r="CN248" i="1"/>
  <c r="CO248" i="1"/>
  <c r="CP248" i="1"/>
  <c r="CQ248" i="1"/>
  <c r="CR248" i="1"/>
  <c r="CS248" i="1"/>
  <c r="CT248" i="1"/>
  <c r="CU248" i="1"/>
  <c r="CV248" i="1"/>
  <c r="BQ249" i="1"/>
  <c r="BR249" i="1"/>
  <c r="BS249" i="1"/>
  <c r="BV249" i="1"/>
  <c r="BW249" i="1"/>
  <c r="BX249" i="1"/>
  <c r="BY249" i="1"/>
  <c r="BZ249" i="1"/>
  <c r="CA249" i="1"/>
  <c r="CB249" i="1"/>
  <c r="CC249" i="1"/>
  <c r="CD249" i="1"/>
  <c r="CE249" i="1"/>
  <c r="CF249" i="1"/>
  <c r="CG249" i="1"/>
  <c r="CH249" i="1"/>
  <c r="CI249" i="1"/>
  <c r="CJ249" i="1"/>
  <c r="CK249" i="1"/>
  <c r="CL249" i="1"/>
  <c r="CM249" i="1"/>
  <c r="CN249" i="1"/>
  <c r="CO249" i="1"/>
  <c r="CP249" i="1"/>
  <c r="CQ249" i="1"/>
  <c r="CR249" i="1"/>
  <c r="CS249" i="1"/>
  <c r="CT249" i="1"/>
  <c r="CU249" i="1"/>
  <c r="CV249" i="1"/>
  <c r="BQ250" i="1"/>
  <c r="BR250" i="1"/>
  <c r="BS250" i="1"/>
  <c r="BV250" i="1"/>
  <c r="BW250" i="1"/>
  <c r="BX250" i="1"/>
  <c r="BY250" i="1"/>
  <c r="BZ250" i="1"/>
  <c r="CA250" i="1"/>
  <c r="CB250" i="1"/>
  <c r="CC250" i="1"/>
  <c r="CD250" i="1"/>
  <c r="CE250" i="1"/>
  <c r="CF250" i="1"/>
  <c r="CG250" i="1"/>
  <c r="CH250" i="1"/>
  <c r="CI250" i="1"/>
  <c r="CJ250" i="1"/>
  <c r="CK250" i="1"/>
  <c r="CL250" i="1"/>
  <c r="CM250" i="1"/>
  <c r="CN250" i="1"/>
  <c r="CO250" i="1"/>
  <c r="CP250" i="1"/>
  <c r="CQ250" i="1"/>
  <c r="CR250" i="1"/>
  <c r="CS250" i="1"/>
  <c r="CT250" i="1"/>
  <c r="CU250" i="1"/>
  <c r="CV250" i="1"/>
  <c r="BQ251" i="1"/>
  <c r="BR251" i="1"/>
  <c r="BS251" i="1"/>
  <c r="BV251" i="1"/>
  <c r="BW251" i="1"/>
  <c r="BX251" i="1"/>
  <c r="BY251" i="1"/>
  <c r="BZ251" i="1"/>
  <c r="CA251" i="1"/>
  <c r="CB251" i="1"/>
  <c r="CC251" i="1"/>
  <c r="CD251" i="1"/>
  <c r="CE251" i="1"/>
  <c r="CF251" i="1"/>
  <c r="CG251" i="1"/>
  <c r="CH251" i="1"/>
  <c r="CI251" i="1"/>
  <c r="CJ251" i="1"/>
  <c r="CK251" i="1"/>
  <c r="CL251" i="1"/>
  <c r="CM251" i="1"/>
  <c r="CN251" i="1"/>
  <c r="CO251" i="1"/>
  <c r="CP251" i="1"/>
  <c r="CQ251" i="1"/>
  <c r="CR251" i="1"/>
  <c r="CS251" i="1"/>
  <c r="CT251" i="1"/>
  <c r="CU251" i="1"/>
  <c r="CV251" i="1"/>
  <c r="BQ252" i="1"/>
  <c r="BR252" i="1"/>
  <c r="BS252" i="1"/>
  <c r="BV252" i="1"/>
  <c r="BW252" i="1"/>
  <c r="BX252" i="1"/>
  <c r="BY252" i="1"/>
  <c r="BZ252" i="1"/>
  <c r="CA252" i="1"/>
  <c r="CB252" i="1"/>
  <c r="CC252" i="1"/>
  <c r="CD252" i="1"/>
  <c r="CE252" i="1"/>
  <c r="CF252" i="1"/>
  <c r="CG252" i="1"/>
  <c r="CH252" i="1"/>
  <c r="CI252" i="1"/>
  <c r="CJ252" i="1"/>
  <c r="CK252" i="1"/>
  <c r="CL252" i="1"/>
  <c r="CM252" i="1"/>
  <c r="CN252" i="1"/>
  <c r="CO252" i="1"/>
  <c r="CP252" i="1"/>
  <c r="CQ252" i="1"/>
  <c r="CR252" i="1"/>
  <c r="CS252" i="1"/>
  <c r="CT252" i="1"/>
  <c r="CU252" i="1"/>
  <c r="CV252" i="1"/>
  <c r="BQ253" i="1"/>
  <c r="BR253" i="1"/>
  <c r="BS253" i="1"/>
  <c r="BV253" i="1"/>
  <c r="BW253" i="1"/>
  <c r="BX253" i="1"/>
  <c r="BY253" i="1"/>
  <c r="BZ253" i="1"/>
  <c r="CA253" i="1"/>
  <c r="CB253" i="1"/>
  <c r="CC253" i="1"/>
  <c r="CD253" i="1"/>
  <c r="CE253" i="1"/>
  <c r="CF253" i="1"/>
  <c r="CG253" i="1"/>
  <c r="CH253" i="1"/>
  <c r="CI253" i="1"/>
  <c r="CJ253" i="1"/>
  <c r="CK253" i="1"/>
  <c r="CL253" i="1"/>
  <c r="CM253" i="1"/>
  <c r="CN253" i="1"/>
  <c r="CO253" i="1"/>
  <c r="CP253" i="1"/>
  <c r="CQ253" i="1"/>
  <c r="CR253" i="1"/>
  <c r="CS253" i="1"/>
  <c r="CT253" i="1"/>
  <c r="CU253" i="1"/>
  <c r="CV253" i="1"/>
  <c r="BQ254" i="1"/>
  <c r="BR254" i="1"/>
  <c r="BS254" i="1"/>
  <c r="BV254" i="1"/>
  <c r="BW254" i="1"/>
  <c r="BX254" i="1"/>
  <c r="BY254" i="1"/>
  <c r="BZ254" i="1"/>
  <c r="CA254" i="1"/>
  <c r="CB254" i="1"/>
  <c r="CC254" i="1"/>
  <c r="CD254" i="1"/>
  <c r="CE254" i="1"/>
  <c r="CF254" i="1"/>
  <c r="CG254" i="1"/>
  <c r="CH254" i="1"/>
  <c r="CI254" i="1"/>
  <c r="CJ254" i="1"/>
  <c r="CK254" i="1"/>
  <c r="CL254" i="1"/>
  <c r="CM254" i="1"/>
  <c r="CN254" i="1"/>
  <c r="CO254" i="1"/>
  <c r="CP254" i="1"/>
  <c r="CQ254" i="1"/>
  <c r="CR254" i="1"/>
  <c r="CS254" i="1"/>
  <c r="CT254" i="1"/>
  <c r="CU254" i="1"/>
  <c r="CV254" i="1"/>
  <c r="BQ255" i="1"/>
  <c r="BR255" i="1"/>
  <c r="BS255" i="1"/>
  <c r="BV255" i="1"/>
  <c r="BW255" i="1"/>
  <c r="BX255" i="1"/>
  <c r="BY255" i="1"/>
  <c r="BZ255" i="1"/>
  <c r="CA255" i="1"/>
  <c r="CB255" i="1"/>
  <c r="CC255" i="1"/>
  <c r="CD255" i="1"/>
  <c r="CE255" i="1"/>
  <c r="CF255" i="1"/>
  <c r="CG255" i="1"/>
  <c r="CH255" i="1"/>
  <c r="CI255" i="1"/>
  <c r="CJ255" i="1"/>
  <c r="CK255" i="1"/>
  <c r="CL255" i="1"/>
  <c r="CM255" i="1"/>
  <c r="CN255" i="1"/>
  <c r="CO255" i="1"/>
  <c r="CP255" i="1"/>
  <c r="CQ255" i="1"/>
  <c r="CR255" i="1"/>
  <c r="CS255" i="1"/>
  <c r="CT255" i="1"/>
  <c r="CU255" i="1"/>
  <c r="CV255" i="1"/>
  <c r="BQ256" i="1"/>
  <c r="BR256" i="1"/>
  <c r="BS256" i="1"/>
  <c r="BV256" i="1"/>
  <c r="BW256" i="1"/>
  <c r="BX256" i="1"/>
  <c r="BY256" i="1"/>
  <c r="BZ256" i="1"/>
  <c r="CA256" i="1"/>
  <c r="CB256" i="1"/>
  <c r="CC256" i="1"/>
  <c r="CD256" i="1"/>
  <c r="CE256" i="1"/>
  <c r="CF256" i="1"/>
  <c r="CG256" i="1"/>
  <c r="CH256" i="1"/>
  <c r="CI256" i="1"/>
  <c r="CJ256" i="1"/>
  <c r="CK256" i="1"/>
  <c r="CL256" i="1"/>
  <c r="CM256" i="1"/>
  <c r="CN256" i="1"/>
  <c r="CO256" i="1"/>
  <c r="CP256" i="1"/>
  <c r="CQ256" i="1"/>
  <c r="CR256" i="1"/>
  <c r="CS256" i="1"/>
  <c r="CT256" i="1"/>
  <c r="CU256" i="1"/>
  <c r="CV256" i="1"/>
  <c r="BQ257" i="1"/>
  <c r="BR257" i="1"/>
  <c r="BS257" i="1"/>
  <c r="BV257" i="1"/>
  <c r="BW257" i="1"/>
  <c r="BX257" i="1"/>
  <c r="BY257" i="1"/>
  <c r="BZ257" i="1"/>
  <c r="CA257" i="1"/>
  <c r="CB257" i="1"/>
  <c r="CC257" i="1"/>
  <c r="CD257" i="1"/>
  <c r="CE257" i="1"/>
  <c r="CF257" i="1"/>
  <c r="CG257" i="1"/>
  <c r="CH257" i="1"/>
  <c r="CI257" i="1"/>
  <c r="CJ257" i="1"/>
  <c r="CK257" i="1"/>
  <c r="CL257" i="1"/>
  <c r="CM257" i="1"/>
  <c r="CN257" i="1"/>
  <c r="CO257" i="1"/>
  <c r="CP257" i="1"/>
  <c r="CQ257" i="1"/>
  <c r="CR257" i="1"/>
  <c r="CS257" i="1"/>
  <c r="CT257" i="1"/>
  <c r="CU257" i="1"/>
  <c r="CV257" i="1"/>
  <c r="BQ258" i="1"/>
  <c r="BR258" i="1"/>
  <c r="BS258" i="1"/>
  <c r="BV258" i="1"/>
  <c r="BW258" i="1"/>
  <c r="BX258" i="1"/>
  <c r="BY258" i="1"/>
  <c r="BZ258" i="1"/>
  <c r="CA258" i="1"/>
  <c r="CB258" i="1"/>
  <c r="CC258" i="1"/>
  <c r="CD258" i="1"/>
  <c r="CE258" i="1"/>
  <c r="CF258" i="1"/>
  <c r="CG258" i="1"/>
  <c r="CH258" i="1"/>
  <c r="CI258" i="1"/>
  <c r="CJ258" i="1"/>
  <c r="CK258" i="1"/>
  <c r="CL258" i="1"/>
  <c r="CM258" i="1"/>
  <c r="CN258" i="1"/>
  <c r="CO258" i="1"/>
  <c r="CP258" i="1"/>
  <c r="CQ258" i="1"/>
  <c r="CR258" i="1"/>
  <c r="CS258" i="1"/>
  <c r="CT258" i="1"/>
  <c r="CU258" i="1"/>
  <c r="CV258" i="1"/>
  <c r="BQ259" i="1"/>
  <c r="BR259" i="1"/>
  <c r="BS259" i="1"/>
  <c r="BV259" i="1"/>
  <c r="BW259" i="1"/>
  <c r="BX259" i="1"/>
  <c r="BY259" i="1"/>
  <c r="BZ259" i="1"/>
  <c r="CA259" i="1"/>
  <c r="CB259" i="1"/>
  <c r="CC259" i="1"/>
  <c r="CD259" i="1"/>
  <c r="CE259" i="1"/>
  <c r="CF259" i="1"/>
  <c r="CG259" i="1"/>
  <c r="CH259" i="1"/>
  <c r="CI259" i="1"/>
  <c r="CJ259" i="1"/>
  <c r="CK259" i="1"/>
  <c r="CL259" i="1"/>
  <c r="CM259" i="1"/>
  <c r="CN259" i="1"/>
  <c r="CO259" i="1"/>
  <c r="CP259" i="1"/>
  <c r="CQ259" i="1"/>
  <c r="CR259" i="1"/>
  <c r="CS259" i="1"/>
  <c r="CT259" i="1"/>
  <c r="CU259" i="1"/>
  <c r="CV259" i="1"/>
  <c r="BQ260" i="1"/>
  <c r="BR260" i="1"/>
  <c r="BS260" i="1"/>
  <c r="BV260" i="1"/>
  <c r="BW260" i="1"/>
  <c r="BX260" i="1"/>
  <c r="BY260" i="1"/>
  <c r="BZ260" i="1"/>
  <c r="CA260" i="1"/>
  <c r="CB260" i="1"/>
  <c r="CC260" i="1"/>
  <c r="CD260" i="1"/>
  <c r="CE260" i="1"/>
  <c r="CF260" i="1"/>
  <c r="CG260" i="1"/>
  <c r="CH260" i="1"/>
  <c r="CI260" i="1"/>
  <c r="CJ260" i="1"/>
  <c r="CK260" i="1"/>
  <c r="CL260" i="1"/>
  <c r="CM260" i="1"/>
  <c r="CN260" i="1"/>
  <c r="CO260" i="1"/>
  <c r="CP260" i="1"/>
  <c r="CQ260" i="1"/>
  <c r="CR260" i="1"/>
  <c r="CS260" i="1"/>
  <c r="CT260" i="1"/>
  <c r="CU260" i="1"/>
  <c r="CV260" i="1"/>
  <c r="BQ261" i="1"/>
  <c r="BR261" i="1"/>
  <c r="BS261" i="1"/>
  <c r="BV261" i="1"/>
  <c r="BW261" i="1"/>
  <c r="BX261" i="1"/>
  <c r="BY261" i="1"/>
  <c r="BZ261" i="1"/>
  <c r="CA261" i="1"/>
  <c r="CB261" i="1"/>
  <c r="CC261" i="1"/>
  <c r="CD261" i="1"/>
  <c r="CE261" i="1"/>
  <c r="CF261" i="1"/>
  <c r="CG261" i="1"/>
  <c r="CH261" i="1"/>
  <c r="CI261" i="1"/>
  <c r="CJ261" i="1"/>
  <c r="CK261" i="1"/>
  <c r="CL261" i="1"/>
  <c r="CM261" i="1"/>
  <c r="CN261" i="1"/>
  <c r="CO261" i="1"/>
  <c r="CP261" i="1"/>
  <c r="CQ261" i="1"/>
  <c r="CR261" i="1"/>
  <c r="CS261" i="1"/>
  <c r="CT261" i="1"/>
  <c r="CU261" i="1"/>
  <c r="CV261" i="1"/>
  <c r="BQ262" i="1"/>
  <c r="BR262" i="1"/>
  <c r="BS262" i="1"/>
  <c r="BV262" i="1"/>
  <c r="BW262" i="1"/>
  <c r="BX262" i="1"/>
  <c r="BY262" i="1"/>
  <c r="BZ262" i="1"/>
  <c r="CA262" i="1"/>
  <c r="CB262" i="1"/>
  <c r="CC262" i="1"/>
  <c r="CD262" i="1"/>
  <c r="CE262" i="1"/>
  <c r="CF262" i="1"/>
  <c r="CG262" i="1"/>
  <c r="CH262" i="1"/>
  <c r="CI262" i="1"/>
  <c r="CJ262" i="1"/>
  <c r="CK262" i="1"/>
  <c r="CL262" i="1"/>
  <c r="CM262" i="1"/>
  <c r="CN262" i="1"/>
  <c r="CO262" i="1"/>
  <c r="CP262" i="1"/>
  <c r="CQ262" i="1"/>
  <c r="CR262" i="1"/>
  <c r="CS262" i="1"/>
  <c r="CT262" i="1"/>
  <c r="CU262" i="1"/>
  <c r="CV262" i="1"/>
  <c r="BQ263" i="1"/>
  <c r="BR263" i="1"/>
  <c r="BS263" i="1"/>
  <c r="BV263" i="1"/>
  <c r="BW263" i="1"/>
  <c r="BX263" i="1"/>
  <c r="BY263" i="1"/>
  <c r="BZ263" i="1"/>
  <c r="CA263" i="1"/>
  <c r="CB263" i="1"/>
  <c r="CC263" i="1"/>
  <c r="CD263" i="1"/>
  <c r="CE263" i="1"/>
  <c r="CF263" i="1"/>
  <c r="CG263" i="1"/>
  <c r="CH263" i="1"/>
  <c r="CI263" i="1"/>
  <c r="CJ263" i="1"/>
  <c r="CK263" i="1"/>
  <c r="CL263" i="1"/>
  <c r="CM263" i="1"/>
  <c r="CN263" i="1"/>
  <c r="CO263" i="1"/>
  <c r="CP263" i="1"/>
  <c r="CQ263" i="1"/>
  <c r="CR263" i="1"/>
  <c r="CS263" i="1"/>
  <c r="CT263" i="1"/>
  <c r="CU263" i="1"/>
  <c r="CV263" i="1"/>
  <c r="BQ264" i="1"/>
  <c r="BR264" i="1"/>
  <c r="BS264" i="1"/>
  <c r="BV264" i="1"/>
  <c r="BW264" i="1"/>
  <c r="BX264" i="1"/>
  <c r="BY264" i="1"/>
  <c r="BZ264" i="1"/>
  <c r="CA264" i="1"/>
  <c r="CB264" i="1"/>
  <c r="CC264" i="1"/>
  <c r="CD264" i="1"/>
  <c r="CE264" i="1"/>
  <c r="CF264" i="1"/>
  <c r="CG264" i="1"/>
  <c r="CH264" i="1"/>
  <c r="CI264" i="1"/>
  <c r="CJ264" i="1"/>
  <c r="CK264" i="1"/>
  <c r="CL264" i="1"/>
  <c r="CM264" i="1"/>
  <c r="CN264" i="1"/>
  <c r="CO264" i="1"/>
  <c r="CP264" i="1"/>
  <c r="CQ264" i="1"/>
  <c r="CR264" i="1"/>
  <c r="CS264" i="1"/>
  <c r="CT264" i="1"/>
  <c r="CU264" i="1"/>
  <c r="CV264" i="1"/>
  <c r="BQ265" i="1"/>
  <c r="BR265" i="1"/>
  <c r="BS265" i="1"/>
  <c r="BV265" i="1"/>
  <c r="BW265" i="1"/>
  <c r="BX265" i="1"/>
  <c r="BY265" i="1"/>
  <c r="BZ265" i="1"/>
  <c r="CA265" i="1"/>
  <c r="CB265" i="1"/>
  <c r="CC265" i="1"/>
  <c r="CD265" i="1"/>
  <c r="CE265" i="1"/>
  <c r="CF265" i="1"/>
  <c r="CG265" i="1"/>
  <c r="CH265" i="1"/>
  <c r="CI265" i="1"/>
  <c r="CJ265" i="1"/>
  <c r="CK265" i="1"/>
  <c r="CL265" i="1"/>
  <c r="CM265" i="1"/>
  <c r="CN265" i="1"/>
  <c r="CO265" i="1"/>
  <c r="CP265" i="1"/>
  <c r="CQ265" i="1"/>
  <c r="CR265" i="1"/>
  <c r="CS265" i="1"/>
  <c r="CT265" i="1"/>
  <c r="CU265" i="1"/>
  <c r="CV265" i="1"/>
  <c r="BQ266" i="1"/>
  <c r="BR266" i="1"/>
  <c r="BS266" i="1"/>
  <c r="BV266" i="1"/>
  <c r="BW266" i="1"/>
  <c r="BX266" i="1"/>
  <c r="BY266" i="1"/>
  <c r="BZ266" i="1"/>
  <c r="CA266" i="1"/>
  <c r="CB266" i="1"/>
  <c r="CC266" i="1"/>
  <c r="CD266" i="1"/>
  <c r="CE266" i="1"/>
  <c r="CF266" i="1"/>
  <c r="CG266" i="1"/>
  <c r="CH266" i="1"/>
  <c r="CI266" i="1"/>
  <c r="CJ266" i="1"/>
  <c r="CK266" i="1"/>
  <c r="CL266" i="1"/>
  <c r="CM266" i="1"/>
  <c r="CN266" i="1"/>
  <c r="CO266" i="1"/>
  <c r="CP266" i="1"/>
  <c r="CQ266" i="1"/>
  <c r="CR266" i="1"/>
  <c r="CS266" i="1"/>
  <c r="CT266" i="1"/>
  <c r="CU266" i="1"/>
  <c r="CV266" i="1"/>
  <c r="BQ267" i="1"/>
  <c r="BR267" i="1"/>
  <c r="BS267" i="1"/>
  <c r="BV267" i="1"/>
  <c r="BW267" i="1"/>
  <c r="BX267" i="1"/>
  <c r="BY267" i="1"/>
  <c r="BZ267" i="1"/>
  <c r="CA267" i="1"/>
  <c r="CB267" i="1"/>
  <c r="CC267" i="1"/>
  <c r="CD267" i="1"/>
  <c r="CE267" i="1"/>
  <c r="CF267" i="1"/>
  <c r="CG267" i="1"/>
  <c r="CH267" i="1"/>
  <c r="CI267" i="1"/>
  <c r="CJ267" i="1"/>
  <c r="CK267" i="1"/>
  <c r="CL267" i="1"/>
  <c r="CM267" i="1"/>
  <c r="CN267" i="1"/>
  <c r="CO267" i="1"/>
  <c r="CP267" i="1"/>
  <c r="CQ267" i="1"/>
  <c r="CR267" i="1"/>
  <c r="CS267" i="1"/>
  <c r="CT267" i="1"/>
  <c r="CU267" i="1"/>
  <c r="CV267" i="1"/>
  <c r="BQ268" i="1"/>
  <c r="BR268" i="1"/>
  <c r="BS268" i="1"/>
  <c r="BV268" i="1"/>
  <c r="BW268" i="1"/>
  <c r="BX268" i="1"/>
  <c r="BY268" i="1"/>
  <c r="BZ268" i="1"/>
  <c r="CA268" i="1"/>
  <c r="CB268" i="1"/>
  <c r="CC268" i="1"/>
  <c r="CD268" i="1"/>
  <c r="CE268" i="1"/>
  <c r="CF268" i="1"/>
  <c r="CG268" i="1"/>
  <c r="CH268" i="1"/>
  <c r="CI268" i="1"/>
  <c r="CJ268" i="1"/>
  <c r="CK268" i="1"/>
  <c r="CL268" i="1"/>
  <c r="CM268" i="1"/>
  <c r="CN268" i="1"/>
  <c r="CO268" i="1"/>
  <c r="CP268" i="1"/>
  <c r="CQ268" i="1"/>
  <c r="CR268" i="1"/>
  <c r="CS268" i="1"/>
  <c r="CT268" i="1"/>
  <c r="CU268" i="1"/>
  <c r="CV268" i="1"/>
  <c r="BQ269" i="1"/>
  <c r="BR269" i="1"/>
  <c r="BS269" i="1"/>
  <c r="BV269" i="1"/>
  <c r="BW269" i="1"/>
  <c r="BX269" i="1"/>
  <c r="BY269" i="1"/>
  <c r="BZ269" i="1"/>
  <c r="CA269" i="1"/>
  <c r="CB269" i="1"/>
  <c r="CC269" i="1"/>
  <c r="CD269" i="1"/>
  <c r="CE269" i="1"/>
  <c r="CF269" i="1"/>
  <c r="CG269" i="1"/>
  <c r="CH269" i="1"/>
  <c r="CI269" i="1"/>
  <c r="CJ269" i="1"/>
  <c r="CK269" i="1"/>
  <c r="CL269" i="1"/>
  <c r="CM269" i="1"/>
  <c r="CN269" i="1"/>
  <c r="CO269" i="1"/>
  <c r="CP269" i="1"/>
  <c r="CQ269" i="1"/>
  <c r="CR269" i="1"/>
  <c r="CS269" i="1"/>
  <c r="CT269" i="1"/>
  <c r="CU269" i="1"/>
  <c r="CV269" i="1"/>
  <c r="BQ270" i="1"/>
  <c r="BR270" i="1"/>
  <c r="BS270" i="1"/>
  <c r="BV270" i="1"/>
  <c r="BW270" i="1"/>
  <c r="BX270" i="1"/>
  <c r="BY270" i="1"/>
  <c r="BZ270" i="1"/>
  <c r="CA270" i="1"/>
  <c r="CB270" i="1"/>
  <c r="CC270" i="1"/>
  <c r="CD270" i="1"/>
  <c r="CE270" i="1"/>
  <c r="CF270" i="1"/>
  <c r="CG270" i="1"/>
  <c r="CH270" i="1"/>
  <c r="CI270" i="1"/>
  <c r="CJ270" i="1"/>
  <c r="CK270" i="1"/>
  <c r="CL270" i="1"/>
  <c r="CM270" i="1"/>
  <c r="CN270" i="1"/>
  <c r="CO270" i="1"/>
  <c r="CP270" i="1"/>
  <c r="CQ270" i="1"/>
  <c r="CR270" i="1"/>
  <c r="CS270" i="1"/>
  <c r="CT270" i="1"/>
  <c r="CU270" i="1"/>
  <c r="CV270" i="1"/>
  <c r="BQ271" i="1"/>
  <c r="BR271" i="1"/>
  <c r="BS271" i="1"/>
  <c r="BV271" i="1"/>
  <c r="BW271" i="1"/>
  <c r="BX271" i="1"/>
  <c r="BY271" i="1"/>
  <c r="BZ271" i="1"/>
  <c r="CA271" i="1"/>
  <c r="CB271" i="1"/>
  <c r="CC271" i="1"/>
  <c r="CD271" i="1"/>
  <c r="CE271" i="1"/>
  <c r="CF271" i="1"/>
  <c r="CG271" i="1"/>
  <c r="CH271" i="1"/>
  <c r="CI271" i="1"/>
  <c r="CJ271" i="1"/>
  <c r="CK271" i="1"/>
  <c r="CL271" i="1"/>
  <c r="CM271" i="1"/>
  <c r="CN271" i="1"/>
  <c r="CO271" i="1"/>
  <c r="CP271" i="1"/>
  <c r="CQ271" i="1"/>
  <c r="CR271" i="1"/>
  <c r="CS271" i="1"/>
  <c r="CT271" i="1"/>
  <c r="CU271" i="1"/>
  <c r="CV271" i="1"/>
  <c r="BQ272" i="1"/>
  <c r="BR272" i="1"/>
  <c r="BS272" i="1"/>
  <c r="BV272" i="1"/>
  <c r="BW272" i="1"/>
  <c r="BX272" i="1"/>
  <c r="BY272" i="1"/>
  <c r="BZ272" i="1"/>
  <c r="CA272" i="1"/>
  <c r="CB272" i="1"/>
  <c r="CC272" i="1"/>
  <c r="CD272" i="1"/>
  <c r="CE272" i="1"/>
  <c r="CF272" i="1"/>
  <c r="CG272" i="1"/>
  <c r="CH272" i="1"/>
  <c r="CI272" i="1"/>
  <c r="CJ272" i="1"/>
  <c r="CK272" i="1"/>
  <c r="CL272" i="1"/>
  <c r="CM272" i="1"/>
  <c r="CN272" i="1"/>
  <c r="CO272" i="1"/>
  <c r="CP272" i="1"/>
  <c r="CQ272" i="1"/>
  <c r="CR272" i="1"/>
  <c r="CS272" i="1"/>
  <c r="CT272" i="1"/>
  <c r="CU272" i="1"/>
  <c r="CV272" i="1"/>
  <c r="BQ273" i="1"/>
  <c r="BR273" i="1"/>
  <c r="BS273" i="1"/>
  <c r="BV273" i="1"/>
  <c r="BW273" i="1"/>
  <c r="BX273" i="1"/>
  <c r="BY273" i="1"/>
  <c r="BZ273" i="1"/>
  <c r="CA273" i="1"/>
  <c r="CB273" i="1"/>
  <c r="CC273" i="1"/>
  <c r="CD273" i="1"/>
  <c r="CE273" i="1"/>
  <c r="CF273" i="1"/>
  <c r="CG273" i="1"/>
  <c r="CH273" i="1"/>
  <c r="CI273" i="1"/>
  <c r="CJ273" i="1"/>
  <c r="CK273" i="1"/>
  <c r="CL273" i="1"/>
  <c r="CM273" i="1"/>
  <c r="CN273" i="1"/>
  <c r="CO273" i="1"/>
  <c r="CP273" i="1"/>
  <c r="CQ273" i="1"/>
  <c r="CR273" i="1"/>
  <c r="CS273" i="1"/>
  <c r="CT273" i="1"/>
  <c r="CU273" i="1"/>
  <c r="CV273" i="1"/>
  <c r="BQ274" i="1"/>
  <c r="BR274" i="1"/>
  <c r="BS274" i="1"/>
  <c r="BV274" i="1"/>
  <c r="BW274" i="1"/>
  <c r="BX274" i="1"/>
  <c r="BY274" i="1"/>
  <c r="BZ274" i="1"/>
  <c r="CA274" i="1"/>
  <c r="CB274" i="1"/>
  <c r="CC274" i="1"/>
  <c r="CD274" i="1"/>
  <c r="CE274" i="1"/>
  <c r="CF274" i="1"/>
  <c r="CG274" i="1"/>
  <c r="CH274" i="1"/>
  <c r="CI274" i="1"/>
  <c r="CJ274" i="1"/>
  <c r="CK274" i="1"/>
  <c r="CL274" i="1"/>
  <c r="CM274" i="1"/>
  <c r="CN274" i="1"/>
  <c r="CO274" i="1"/>
  <c r="CP274" i="1"/>
  <c r="CQ274" i="1"/>
  <c r="CR274" i="1"/>
  <c r="CS274" i="1"/>
  <c r="CT274" i="1"/>
  <c r="CU274" i="1"/>
  <c r="CV274" i="1"/>
  <c r="BQ275" i="1"/>
  <c r="BR275" i="1"/>
  <c r="BS275" i="1"/>
  <c r="BV275" i="1"/>
  <c r="BW275" i="1"/>
  <c r="BX275" i="1"/>
  <c r="BY275" i="1"/>
  <c r="BZ275" i="1"/>
  <c r="CA275" i="1"/>
  <c r="CB275" i="1"/>
  <c r="CC275" i="1"/>
  <c r="CD275" i="1"/>
  <c r="CE275" i="1"/>
  <c r="CF275" i="1"/>
  <c r="CG275" i="1"/>
  <c r="CH275" i="1"/>
  <c r="CI275" i="1"/>
  <c r="CJ275" i="1"/>
  <c r="CK275" i="1"/>
  <c r="CL275" i="1"/>
  <c r="CM275" i="1"/>
  <c r="CN275" i="1"/>
  <c r="CO275" i="1"/>
  <c r="CP275" i="1"/>
  <c r="CQ275" i="1"/>
  <c r="CR275" i="1"/>
  <c r="CS275" i="1"/>
  <c r="CT275" i="1"/>
  <c r="CU275" i="1"/>
  <c r="CV275" i="1"/>
  <c r="BQ276" i="1"/>
  <c r="BR276" i="1"/>
  <c r="BS276" i="1"/>
  <c r="BV276" i="1"/>
  <c r="BW276" i="1"/>
  <c r="BX276" i="1"/>
  <c r="BY276" i="1"/>
  <c r="BZ276" i="1"/>
  <c r="CA276" i="1"/>
  <c r="CB276" i="1"/>
  <c r="CC276" i="1"/>
  <c r="CD276" i="1"/>
  <c r="CE276" i="1"/>
  <c r="CF276" i="1"/>
  <c r="CG276" i="1"/>
  <c r="CH276" i="1"/>
  <c r="CI276" i="1"/>
  <c r="CJ276" i="1"/>
  <c r="CK276" i="1"/>
  <c r="CL276" i="1"/>
  <c r="CM276" i="1"/>
  <c r="CN276" i="1"/>
  <c r="CO276" i="1"/>
  <c r="CP276" i="1"/>
  <c r="CQ276" i="1"/>
  <c r="CR276" i="1"/>
  <c r="CS276" i="1"/>
  <c r="CT276" i="1"/>
  <c r="CU276" i="1"/>
  <c r="CV276" i="1"/>
  <c r="BQ277" i="1"/>
  <c r="BR277" i="1"/>
  <c r="BS277" i="1"/>
  <c r="BV277" i="1"/>
  <c r="BW277" i="1"/>
  <c r="BX277" i="1"/>
  <c r="BY277" i="1"/>
  <c r="BZ277" i="1"/>
  <c r="CA277" i="1"/>
  <c r="CB277" i="1"/>
  <c r="CC277" i="1"/>
  <c r="CD277" i="1"/>
  <c r="CE277" i="1"/>
  <c r="CF277" i="1"/>
  <c r="CG277" i="1"/>
  <c r="CH277" i="1"/>
  <c r="CI277" i="1"/>
  <c r="CJ277" i="1"/>
  <c r="CK277" i="1"/>
  <c r="CL277" i="1"/>
  <c r="CM277" i="1"/>
  <c r="CN277" i="1"/>
  <c r="CO277" i="1"/>
  <c r="CP277" i="1"/>
  <c r="CQ277" i="1"/>
  <c r="CR277" i="1"/>
  <c r="CS277" i="1"/>
  <c r="CT277" i="1"/>
  <c r="CU277" i="1"/>
  <c r="CV277" i="1"/>
  <c r="BQ278" i="1"/>
  <c r="BR278" i="1"/>
  <c r="BS278" i="1"/>
  <c r="BV278" i="1"/>
  <c r="BW278" i="1"/>
  <c r="BX278" i="1"/>
  <c r="BY278" i="1"/>
  <c r="BZ278" i="1"/>
  <c r="CA278" i="1"/>
  <c r="CB278" i="1"/>
  <c r="CC278" i="1"/>
  <c r="CD278" i="1"/>
  <c r="CE278" i="1"/>
  <c r="CF278" i="1"/>
  <c r="CG278" i="1"/>
  <c r="CH278" i="1"/>
  <c r="CI278" i="1"/>
  <c r="CJ278" i="1"/>
  <c r="CK278" i="1"/>
  <c r="CL278" i="1"/>
  <c r="CM278" i="1"/>
  <c r="CN278" i="1"/>
  <c r="CO278" i="1"/>
  <c r="CP278" i="1"/>
  <c r="CQ278" i="1"/>
  <c r="CR278" i="1"/>
  <c r="CS278" i="1"/>
  <c r="CT278" i="1"/>
  <c r="CU278" i="1"/>
  <c r="CV278" i="1"/>
  <c r="BQ279" i="1"/>
  <c r="BR279" i="1"/>
  <c r="BS279" i="1"/>
  <c r="BV279" i="1"/>
  <c r="BW279" i="1"/>
  <c r="BX279" i="1"/>
  <c r="BY279" i="1"/>
  <c r="BZ279" i="1"/>
  <c r="CA279" i="1"/>
  <c r="CB279" i="1"/>
  <c r="CC279" i="1"/>
  <c r="CD279" i="1"/>
  <c r="CE279" i="1"/>
  <c r="CF279" i="1"/>
  <c r="CG279" i="1"/>
  <c r="CH279" i="1"/>
  <c r="CI279" i="1"/>
  <c r="CJ279" i="1"/>
  <c r="CK279" i="1"/>
  <c r="CL279" i="1"/>
  <c r="CM279" i="1"/>
  <c r="CN279" i="1"/>
  <c r="CO279" i="1"/>
  <c r="CP279" i="1"/>
  <c r="CQ279" i="1"/>
  <c r="CR279" i="1"/>
  <c r="CS279" i="1"/>
  <c r="CT279" i="1"/>
  <c r="CU279" i="1"/>
  <c r="CV279" i="1"/>
  <c r="BQ280" i="1"/>
  <c r="BR280" i="1"/>
  <c r="BS280" i="1"/>
  <c r="BV280" i="1"/>
  <c r="BW280" i="1"/>
  <c r="BX280" i="1"/>
  <c r="BY280" i="1"/>
  <c r="BZ280" i="1"/>
  <c r="CA280" i="1"/>
  <c r="CB280" i="1"/>
  <c r="CC280" i="1"/>
  <c r="CD280" i="1"/>
  <c r="CE280" i="1"/>
  <c r="CF280" i="1"/>
  <c r="CG280" i="1"/>
  <c r="CH280" i="1"/>
  <c r="CI280" i="1"/>
  <c r="CJ280" i="1"/>
  <c r="CK280" i="1"/>
  <c r="CL280" i="1"/>
  <c r="CM280" i="1"/>
  <c r="CN280" i="1"/>
  <c r="CO280" i="1"/>
  <c r="CP280" i="1"/>
  <c r="CQ280" i="1"/>
  <c r="CR280" i="1"/>
  <c r="CS280" i="1"/>
  <c r="CT280" i="1"/>
  <c r="CU280" i="1"/>
  <c r="CV280" i="1"/>
  <c r="BQ281" i="1"/>
  <c r="BR281" i="1"/>
  <c r="BS281" i="1"/>
  <c r="BV281" i="1"/>
  <c r="BW281" i="1"/>
  <c r="BX281" i="1"/>
  <c r="BY281" i="1"/>
  <c r="BZ281" i="1"/>
  <c r="CA281" i="1"/>
  <c r="CB281" i="1"/>
  <c r="CC281" i="1"/>
  <c r="CD281" i="1"/>
  <c r="CE281" i="1"/>
  <c r="CF281" i="1"/>
  <c r="CG281" i="1"/>
  <c r="CH281" i="1"/>
  <c r="CI281" i="1"/>
  <c r="CJ281" i="1"/>
  <c r="CK281" i="1"/>
  <c r="CL281" i="1"/>
  <c r="CM281" i="1"/>
  <c r="CN281" i="1"/>
  <c r="CO281" i="1"/>
  <c r="CP281" i="1"/>
  <c r="CQ281" i="1"/>
  <c r="CR281" i="1"/>
  <c r="CS281" i="1"/>
  <c r="CT281" i="1"/>
  <c r="CU281" i="1"/>
  <c r="CV281" i="1"/>
  <c r="BQ282" i="1"/>
  <c r="BR282" i="1"/>
  <c r="BS282" i="1"/>
  <c r="BV282" i="1"/>
  <c r="BW282" i="1"/>
  <c r="BX282" i="1"/>
  <c r="BY282" i="1"/>
  <c r="BZ282" i="1"/>
  <c r="CA282" i="1"/>
  <c r="CB282" i="1"/>
  <c r="CC282" i="1"/>
  <c r="CD282" i="1"/>
  <c r="CE282" i="1"/>
  <c r="CF282" i="1"/>
  <c r="CG282" i="1"/>
  <c r="CH282" i="1"/>
  <c r="CI282" i="1"/>
  <c r="CJ282" i="1"/>
  <c r="CK282" i="1"/>
  <c r="CL282" i="1"/>
  <c r="CM282" i="1"/>
  <c r="CN282" i="1"/>
  <c r="CO282" i="1"/>
  <c r="CP282" i="1"/>
  <c r="CQ282" i="1"/>
  <c r="CR282" i="1"/>
  <c r="CS282" i="1"/>
  <c r="CT282" i="1"/>
  <c r="CU282" i="1"/>
  <c r="CV282" i="1"/>
  <c r="BQ283" i="1"/>
  <c r="BR283" i="1"/>
  <c r="BS283" i="1"/>
  <c r="BV283" i="1"/>
  <c r="BW283" i="1"/>
  <c r="BX283" i="1"/>
  <c r="BY283" i="1"/>
  <c r="BZ283" i="1"/>
  <c r="CA283" i="1"/>
  <c r="CB283" i="1"/>
  <c r="CC283" i="1"/>
  <c r="CD283" i="1"/>
  <c r="CE283" i="1"/>
  <c r="CF283" i="1"/>
  <c r="CG283" i="1"/>
  <c r="CH283" i="1"/>
  <c r="CI283" i="1"/>
  <c r="CJ283" i="1"/>
  <c r="CK283" i="1"/>
  <c r="CL283" i="1"/>
  <c r="CM283" i="1"/>
  <c r="CN283" i="1"/>
  <c r="CO283" i="1"/>
  <c r="CP283" i="1"/>
  <c r="CQ283" i="1"/>
  <c r="CR283" i="1"/>
  <c r="CS283" i="1"/>
  <c r="CT283" i="1"/>
  <c r="CU283" i="1"/>
  <c r="CV283" i="1"/>
  <c r="BQ284" i="1"/>
  <c r="BR284" i="1"/>
  <c r="BS284" i="1"/>
  <c r="BV284" i="1"/>
  <c r="BW284" i="1"/>
  <c r="BX284" i="1"/>
  <c r="BY284" i="1"/>
  <c r="BZ284" i="1"/>
  <c r="CA284" i="1"/>
  <c r="CB284" i="1"/>
  <c r="CC284" i="1"/>
  <c r="CD284" i="1"/>
  <c r="CE284" i="1"/>
  <c r="CF284" i="1"/>
  <c r="CG284" i="1"/>
  <c r="CH284" i="1"/>
  <c r="CI284" i="1"/>
  <c r="CJ284" i="1"/>
  <c r="CK284" i="1"/>
  <c r="CL284" i="1"/>
  <c r="CM284" i="1"/>
  <c r="CN284" i="1"/>
  <c r="CO284" i="1"/>
  <c r="CP284" i="1"/>
  <c r="CQ284" i="1"/>
  <c r="CR284" i="1"/>
  <c r="CS284" i="1"/>
  <c r="CT284" i="1"/>
  <c r="CU284" i="1"/>
  <c r="CV284" i="1"/>
  <c r="BQ285" i="1"/>
  <c r="BR285" i="1"/>
  <c r="BS285" i="1"/>
  <c r="BV285" i="1"/>
  <c r="BW285" i="1"/>
  <c r="BX285" i="1"/>
  <c r="BY285" i="1"/>
  <c r="BZ285" i="1"/>
  <c r="CA285" i="1"/>
  <c r="CB285" i="1"/>
  <c r="CC285" i="1"/>
  <c r="CD285" i="1"/>
  <c r="CE285" i="1"/>
  <c r="CF285" i="1"/>
  <c r="CG285" i="1"/>
  <c r="CH285" i="1"/>
  <c r="CI285" i="1"/>
  <c r="CJ285" i="1"/>
  <c r="CK285" i="1"/>
  <c r="CL285" i="1"/>
  <c r="CM285" i="1"/>
  <c r="CN285" i="1"/>
  <c r="CO285" i="1"/>
  <c r="CP285" i="1"/>
  <c r="CQ285" i="1"/>
  <c r="CR285" i="1"/>
  <c r="CS285" i="1"/>
  <c r="CT285" i="1"/>
  <c r="CU285" i="1"/>
  <c r="CV285" i="1"/>
  <c r="BQ286" i="1"/>
  <c r="BR286" i="1"/>
  <c r="BS286" i="1"/>
  <c r="BV286" i="1"/>
  <c r="BW286" i="1"/>
  <c r="BX286" i="1"/>
  <c r="BY286" i="1"/>
  <c r="BZ286" i="1"/>
  <c r="CA286" i="1"/>
  <c r="CB286" i="1"/>
  <c r="CC286" i="1"/>
  <c r="CD286" i="1"/>
  <c r="CE286" i="1"/>
  <c r="CF286" i="1"/>
  <c r="CG286" i="1"/>
  <c r="CH286" i="1"/>
  <c r="CI286" i="1"/>
  <c r="CJ286" i="1"/>
  <c r="CK286" i="1"/>
  <c r="CL286" i="1"/>
  <c r="CM286" i="1"/>
  <c r="CN286" i="1"/>
  <c r="CO286" i="1"/>
  <c r="CP286" i="1"/>
  <c r="CQ286" i="1"/>
  <c r="CR286" i="1"/>
  <c r="CS286" i="1"/>
  <c r="CT286" i="1"/>
  <c r="CU286" i="1"/>
  <c r="CV286" i="1"/>
  <c r="BQ287" i="1"/>
  <c r="BR287" i="1"/>
  <c r="BS287" i="1"/>
  <c r="BV287" i="1"/>
  <c r="BW287" i="1"/>
  <c r="BX287" i="1"/>
  <c r="BY287" i="1"/>
  <c r="BZ287" i="1"/>
  <c r="CA287" i="1"/>
  <c r="CB287" i="1"/>
  <c r="CC287" i="1"/>
  <c r="CD287" i="1"/>
  <c r="CE287" i="1"/>
  <c r="CF287" i="1"/>
  <c r="CG287" i="1"/>
  <c r="CH287" i="1"/>
  <c r="CI287" i="1"/>
  <c r="CJ287" i="1"/>
  <c r="CK287" i="1"/>
  <c r="CL287" i="1"/>
  <c r="CM287" i="1"/>
  <c r="CN287" i="1"/>
  <c r="CO287" i="1"/>
  <c r="CP287" i="1"/>
  <c r="CQ287" i="1"/>
  <c r="CR287" i="1"/>
  <c r="CS287" i="1"/>
  <c r="CT287" i="1"/>
  <c r="CU287" i="1"/>
  <c r="CV287" i="1"/>
  <c r="BQ288" i="1"/>
  <c r="BR288" i="1"/>
  <c r="BS288" i="1"/>
  <c r="BV288" i="1"/>
  <c r="BW288" i="1"/>
  <c r="BX288" i="1"/>
  <c r="BY288" i="1"/>
  <c r="BZ288" i="1"/>
  <c r="CA288" i="1"/>
  <c r="CB288" i="1"/>
  <c r="CC288" i="1"/>
  <c r="CD288" i="1"/>
  <c r="CE288" i="1"/>
  <c r="CF288" i="1"/>
  <c r="CG288" i="1"/>
  <c r="CH288" i="1"/>
  <c r="CI288" i="1"/>
  <c r="CJ288" i="1"/>
  <c r="CK288" i="1"/>
  <c r="CL288" i="1"/>
  <c r="CM288" i="1"/>
  <c r="CN288" i="1"/>
  <c r="CO288" i="1"/>
  <c r="CP288" i="1"/>
  <c r="CQ288" i="1"/>
  <c r="CR288" i="1"/>
  <c r="CS288" i="1"/>
  <c r="CT288" i="1"/>
  <c r="CU288" i="1"/>
  <c r="CV288" i="1"/>
  <c r="BQ289" i="1"/>
  <c r="BR289" i="1"/>
  <c r="BS289" i="1"/>
  <c r="BV289" i="1"/>
  <c r="BW289" i="1"/>
  <c r="BX289" i="1"/>
  <c r="BY289" i="1"/>
  <c r="BZ289" i="1"/>
  <c r="CA289" i="1"/>
  <c r="CB289" i="1"/>
  <c r="CC289" i="1"/>
  <c r="CD289" i="1"/>
  <c r="CE289" i="1"/>
  <c r="CF289" i="1"/>
  <c r="CG289" i="1"/>
  <c r="CH289" i="1"/>
  <c r="CI289" i="1"/>
  <c r="CJ289" i="1"/>
  <c r="CK289" i="1"/>
  <c r="CL289" i="1"/>
  <c r="CM289" i="1"/>
  <c r="CN289" i="1"/>
  <c r="CO289" i="1"/>
  <c r="CP289" i="1"/>
  <c r="CQ289" i="1"/>
  <c r="CR289" i="1"/>
  <c r="CS289" i="1"/>
  <c r="CT289" i="1"/>
  <c r="CU289" i="1"/>
  <c r="CV289" i="1"/>
  <c r="BQ290" i="1"/>
  <c r="BR290" i="1"/>
  <c r="BS290" i="1"/>
  <c r="BV290" i="1"/>
  <c r="BW290" i="1"/>
  <c r="BX290" i="1"/>
  <c r="BY290" i="1"/>
  <c r="BZ290" i="1"/>
  <c r="CA290" i="1"/>
  <c r="CB290" i="1"/>
  <c r="CC290" i="1"/>
  <c r="CD290" i="1"/>
  <c r="CE290" i="1"/>
  <c r="CF290" i="1"/>
  <c r="CG290" i="1"/>
  <c r="CH290" i="1"/>
  <c r="CI290" i="1"/>
  <c r="CJ290" i="1"/>
  <c r="CK290" i="1"/>
  <c r="CL290" i="1"/>
  <c r="CM290" i="1"/>
  <c r="CN290" i="1"/>
  <c r="CO290" i="1"/>
  <c r="CP290" i="1"/>
  <c r="CQ290" i="1"/>
  <c r="CR290" i="1"/>
  <c r="CS290" i="1"/>
  <c r="CT290" i="1"/>
  <c r="CU290" i="1"/>
  <c r="CV290" i="1"/>
  <c r="BQ291" i="1"/>
  <c r="BR291" i="1"/>
  <c r="BS291" i="1"/>
  <c r="BV291" i="1"/>
  <c r="BW291" i="1"/>
  <c r="BX291" i="1"/>
  <c r="BY291" i="1"/>
  <c r="BZ291" i="1"/>
  <c r="CA291" i="1"/>
  <c r="CB291" i="1"/>
  <c r="CC291" i="1"/>
  <c r="CD291" i="1"/>
  <c r="CE291" i="1"/>
  <c r="CF291" i="1"/>
  <c r="CG291" i="1"/>
  <c r="CH291" i="1"/>
  <c r="CI291" i="1"/>
  <c r="CJ291" i="1"/>
  <c r="CK291" i="1"/>
  <c r="CL291" i="1"/>
  <c r="CM291" i="1"/>
  <c r="CN291" i="1"/>
  <c r="CO291" i="1"/>
  <c r="CP291" i="1"/>
  <c r="CQ291" i="1"/>
  <c r="CR291" i="1"/>
  <c r="CS291" i="1"/>
  <c r="CT291" i="1"/>
  <c r="CU291" i="1"/>
  <c r="CV291" i="1"/>
  <c r="BQ292" i="1"/>
  <c r="BR292" i="1"/>
  <c r="BS292" i="1"/>
  <c r="BV292" i="1"/>
  <c r="BW292" i="1"/>
  <c r="BX292" i="1"/>
  <c r="BY292" i="1"/>
  <c r="BZ292" i="1"/>
  <c r="CA292" i="1"/>
  <c r="CB292" i="1"/>
  <c r="CC292" i="1"/>
  <c r="CD292" i="1"/>
  <c r="CE292" i="1"/>
  <c r="CF292" i="1"/>
  <c r="CG292" i="1"/>
  <c r="CH292" i="1"/>
  <c r="CI292" i="1"/>
  <c r="CJ292" i="1"/>
  <c r="CK292" i="1"/>
  <c r="CL292" i="1"/>
  <c r="CM292" i="1"/>
  <c r="CN292" i="1"/>
  <c r="CO292" i="1"/>
  <c r="CP292" i="1"/>
  <c r="CQ292" i="1"/>
  <c r="CR292" i="1"/>
  <c r="CS292" i="1"/>
  <c r="CT292" i="1"/>
  <c r="CU292" i="1"/>
  <c r="CV292" i="1"/>
  <c r="BQ293" i="1"/>
  <c r="BR293" i="1"/>
  <c r="BS293" i="1"/>
  <c r="BV293" i="1"/>
  <c r="BW293" i="1"/>
  <c r="BX293" i="1"/>
  <c r="BY293" i="1"/>
  <c r="BZ293" i="1"/>
  <c r="CA293" i="1"/>
  <c r="CB293" i="1"/>
  <c r="CC293" i="1"/>
  <c r="CD293" i="1"/>
  <c r="CE293" i="1"/>
  <c r="CF293" i="1"/>
  <c r="CG293" i="1"/>
  <c r="CH293" i="1"/>
  <c r="CI293" i="1"/>
  <c r="CJ293" i="1"/>
  <c r="CK293" i="1"/>
  <c r="CL293" i="1"/>
  <c r="CM293" i="1"/>
  <c r="CN293" i="1"/>
  <c r="CO293" i="1"/>
  <c r="CP293" i="1"/>
  <c r="CQ293" i="1"/>
  <c r="CR293" i="1"/>
  <c r="CS293" i="1"/>
  <c r="CT293" i="1"/>
  <c r="CU293" i="1"/>
  <c r="CV293" i="1"/>
  <c r="BQ294" i="1"/>
  <c r="BR294" i="1"/>
  <c r="BS294" i="1"/>
  <c r="BV294" i="1"/>
  <c r="BW294" i="1"/>
  <c r="BX294" i="1"/>
  <c r="BY294" i="1"/>
  <c r="BZ294" i="1"/>
  <c r="CA294" i="1"/>
  <c r="CB294" i="1"/>
  <c r="CC294" i="1"/>
  <c r="CD294" i="1"/>
  <c r="CE294" i="1"/>
  <c r="CF294" i="1"/>
  <c r="CG294" i="1"/>
  <c r="CH294" i="1"/>
  <c r="CI294" i="1"/>
  <c r="CJ294" i="1"/>
  <c r="CK294" i="1"/>
  <c r="CL294" i="1"/>
  <c r="CM294" i="1"/>
  <c r="CN294" i="1"/>
  <c r="CO294" i="1"/>
  <c r="CP294" i="1"/>
  <c r="CQ294" i="1"/>
  <c r="CR294" i="1"/>
  <c r="CS294" i="1"/>
  <c r="CT294" i="1"/>
  <c r="CU294" i="1"/>
  <c r="CV294" i="1"/>
  <c r="BQ295" i="1"/>
  <c r="BR295" i="1"/>
  <c r="BS295" i="1"/>
  <c r="BV295" i="1"/>
  <c r="BW295" i="1"/>
  <c r="BX295" i="1"/>
  <c r="BY295" i="1"/>
  <c r="BZ295" i="1"/>
  <c r="CA295" i="1"/>
  <c r="CB295" i="1"/>
  <c r="CC295" i="1"/>
  <c r="CD295" i="1"/>
  <c r="CE295" i="1"/>
  <c r="CF295" i="1"/>
  <c r="CG295" i="1"/>
  <c r="CH295" i="1"/>
  <c r="CI295" i="1"/>
  <c r="CJ295" i="1"/>
  <c r="CK295" i="1"/>
  <c r="CL295" i="1"/>
  <c r="CM295" i="1"/>
  <c r="CN295" i="1"/>
  <c r="CO295" i="1"/>
  <c r="CP295" i="1"/>
  <c r="CQ295" i="1"/>
  <c r="CR295" i="1"/>
  <c r="CS295" i="1"/>
  <c r="CT295" i="1"/>
  <c r="CU295" i="1"/>
  <c r="CV295" i="1"/>
  <c r="BQ296" i="1"/>
  <c r="BR296" i="1"/>
  <c r="BS296" i="1"/>
  <c r="BV296" i="1"/>
  <c r="BW296" i="1"/>
  <c r="BX296" i="1"/>
  <c r="BY296" i="1"/>
  <c r="BZ296" i="1"/>
  <c r="CA296" i="1"/>
  <c r="CB296" i="1"/>
  <c r="CC296" i="1"/>
  <c r="CD296" i="1"/>
  <c r="CE296" i="1"/>
  <c r="CF296" i="1"/>
  <c r="CG296" i="1"/>
  <c r="CH296" i="1"/>
  <c r="CI296" i="1"/>
  <c r="CJ296" i="1"/>
  <c r="CK296" i="1"/>
  <c r="CL296" i="1"/>
  <c r="CM296" i="1"/>
  <c r="CN296" i="1"/>
  <c r="CO296" i="1"/>
  <c r="CP296" i="1"/>
  <c r="CQ296" i="1"/>
  <c r="CR296" i="1"/>
  <c r="CS296" i="1"/>
  <c r="CT296" i="1"/>
  <c r="CU296" i="1"/>
  <c r="CV296" i="1"/>
  <c r="BQ297" i="1"/>
  <c r="BR297" i="1"/>
  <c r="BS297" i="1"/>
  <c r="BV297" i="1"/>
  <c r="BW297" i="1"/>
  <c r="BX297" i="1"/>
  <c r="BY297" i="1"/>
  <c r="BZ297" i="1"/>
  <c r="CA297" i="1"/>
  <c r="CB297" i="1"/>
  <c r="CC297" i="1"/>
  <c r="CD297" i="1"/>
  <c r="CE297" i="1"/>
  <c r="CF297" i="1"/>
  <c r="CG297" i="1"/>
  <c r="CH297" i="1"/>
  <c r="CI297" i="1"/>
  <c r="CJ297" i="1"/>
  <c r="CK297" i="1"/>
  <c r="CL297" i="1"/>
  <c r="CM297" i="1"/>
  <c r="CN297" i="1"/>
  <c r="CO297" i="1"/>
  <c r="CP297" i="1"/>
  <c r="CQ297" i="1"/>
  <c r="CR297" i="1"/>
  <c r="CS297" i="1"/>
  <c r="CT297" i="1"/>
  <c r="CU297" i="1"/>
  <c r="CV297" i="1"/>
  <c r="BQ298" i="1"/>
  <c r="BR298" i="1"/>
  <c r="BS298" i="1"/>
  <c r="BV298" i="1"/>
  <c r="BW298" i="1"/>
  <c r="BX298" i="1"/>
  <c r="BY298" i="1"/>
  <c r="BZ298" i="1"/>
  <c r="CA298" i="1"/>
  <c r="CB298" i="1"/>
  <c r="CC298" i="1"/>
  <c r="CD298" i="1"/>
  <c r="CE298" i="1"/>
  <c r="CF298" i="1"/>
  <c r="CG298" i="1"/>
  <c r="CH298" i="1"/>
  <c r="CI298" i="1"/>
  <c r="CJ298" i="1"/>
  <c r="CK298" i="1"/>
  <c r="CL298" i="1"/>
  <c r="CM298" i="1"/>
  <c r="CN298" i="1"/>
  <c r="CO298" i="1"/>
  <c r="CP298" i="1"/>
  <c r="CQ298" i="1"/>
  <c r="CR298" i="1"/>
  <c r="CS298" i="1"/>
  <c r="CT298" i="1"/>
  <c r="CU298" i="1"/>
  <c r="CV298" i="1"/>
  <c r="BQ299" i="1"/>
  <c r="BR299" i="1"/>
  <c r="BS299" i="1"/>
  <c r="BV299" i="1"/>
  <c r="BW299" i="1"/>
  <c r="BX299" i="1"/>
  <c r="BY299" i="1"/>
  <c r="BZ299" i="1"/>
  <c r="CA299" i="1"/>
  <c r="CB299" i="1"/>
  <c r="CC299" i="1"/>
  <c r="CD299" i="1"/>
  <c r="CE299" i="1"/>
  <c r="CF299" i="1"/>
  <c r="CG299" i="1"/>
  <c r="CH299" i="1"/>
  <c r="CI299" i="1"/>
  <c r="CJ299" i="1"/>
  <c r="CK299" i="1"/>
  <c r="CL299" i="1"/>
  <c r="CM299" i="1"/>
  <c r="CN299" i="1"/>
  <c r="CO299" i="1"/>
  <c r="CP299" i="1"/>
  <c r="CQ299" i="1"/>
  <c r="CR299" i="1"/>
  <c r="CS299" i="1"/>
  <c r="CT299" i="1"/>
  <c r="CU299" i="1"/>
  <c r="CV299" i="1"/>
  <c r="BQ300" i="1"/>
  <c r="BR300" i="1"/>
  <c r="BS300" i="1"/>
  <c r="BV300" i="1"/>
  <c r="BW300" i="1"/>
  <c r="BX300" i="1"/>
  <c r="BY300" i="1"/>
  <c r="BZ300" i="1"/>
  <c r="CA300" i="1"/>
  <c r="CB300" i="1"/>
  <c r="CC300" i="1"/>
  <c r="CD300" i="1"/>
  <c r="CE300" i="1"/>
  <c r="CF300" i="1"/>
  <c r="CG300" i="1"/>
  <c r="CH300" i="1"/>
  <c r="CI300" i="1"/>
  <c r="CJ300" i="1"/>
  <c r="CK300" i="1"/>
  <c r="CL300" i="1"/>
  <c r="CM300" i="1"/>
  <c r="CN300" i="1"/>
  <c r="CO300" i="1"/>
  <c r="CP300" i="1"/>
  <c r="CQ300" i="1"/>
  <c r="CR300" i="1"/>
  <c r="CS300" i="1"/>
  <c r="CT300" i="1"/>
  <c r="CU300" i="1"/>
  <c r="CV300" i="1"/>
  <c r="BQ301" i="1"/>
  <c r="BR301" i="1"/>
  <c r="BS301" i="1"/>
  <c r="BV301" i="1"/>
  <c r="BW301" i="1"/>
  <c r="BX301" i="1"/>
  <c r="BY301" i="1"/>
  <c r="BZ301" i="1"/>
  <c r="CA301" i="1"/>
  <c r="CB301" i="1"/>
  <c r="CC301" i="1"/>
  <c r="CD301" i="1"/>
  <c r="CE301" i="1"/>
  <c r="CF301" i="1"/>
  <c r="CG301" i="1"/>
  <c r="CH301" i="1"/>
  <c r="CI301" i="1"/>
  <c r="CJ301" i="1"/>
  <c r="CK301" i="1"/>
  <c r="CL301" i="1"/>
  <c r="CM301" i="1"/>
  <c r="CN301" i="1"/>
  <c r="CO301" i="1"/>
  <c r="CP301" i="1"/>
  <c r="CQ301" i="1"/>
  <c r="CR301" i="1"/>
  <c r="CS301" i="1"/>
  <c r="CT301" i="1"/>
  <c r="CU301" i="1"/>
  <c r="CV301" i="1"/>
  <c r="BQ302" i="1"/>
  <c r="BR302" i="1"/>
  <c r="BS302" i="1"/>
  <c r="BV302" i="1"/>
  <c r="BW302" i="1"/>
  <c r="BX302" i="1"/>
  <c r="BY302" i="1"/>
  <c r="BZ302" i="1"/>
  <c r="CA302" i="1"/>
  <c r="CB302" i="1"/>
  <c r="CC302" i="1"/>
  <c r="CD302" i="1"/>
  <c r="CE302" i="1"/>
  <c r="CF302" i="1"/>
  <c r="CG302" i="1"/>
  <c r="CH302" i="1"/>
  <c r="CI302" i="1"/>
  <c r="CJ302" i="1"/>
  <c r="CK302" i="1"/>
  <c r="CL302" i="1"/>
  <c r="CM302" i="1"/>
  <c r="CN302" i="1"/>
  <c r="CO302" i="1"/>
  <c r="CP302" i="1"/>
  <c r="CQ302" i="1"/>
  <c r="CR302" i="1"/>
  <c r="CS302" i="1"/>
  <c r="CT302" i="1"/>
  <c r="CU302" i="1"/>
  <c r="CV302" i="1"/>
  <c r="BQ303" i="1"/>
  <c r="BR303" i="1"/>
  <c r="BS303" i="1"/>
  <c r="BV303" i="1"/>
  <c r="BW303" i="1"/>
  <c r="BX303" i="1"/>
  <c r="BY303" i="1"/>
  <c r="BZ303" i="1"/>
  <c r="CA303" i="1"/>
  <c r="CB303" i="1"/>
  <c r="CC303" i="1"/>
  <c r="CD303" i="1"/>
  <c r="CE303" i="1"/>
  <c r="CF303" i="1"/>
  <c r="CG303" i="1"/>
  <c r="CH303" i="1"/>
  <c r="CI303" i="1"/>
  <c r="CJ303" i="1"/>
  <c r="CK303" i="1"/>
  <c r="CL303" i="1"/>
  <c r="CM303" i="1"/>
  <c r="CN303" i="1"/>
  <c r="CO303" i="1"/>
  <c r="CP303" i="1"/>
  <c r="CQ303" i="1"/>
  <c r="CR303" i="1"/>
  <c r="CS303" i="1"/>
  <c r="CT303" i="1"/>
  <c r="CU303" i="1"/>
  <c r="CV303" i="1"/>
  <c r="BQ304" i="1"/>
  <c r="BR304" i="1"/>
  <c r="BS304" i="1"/>
  <c r="BV304" i="1"/>
  <c r="BW304" i="1"/>
  <c r="BX304" i="1"/>
  <c r="BY304" i="1"/>
  <c r="BZ304" i="1"/>
  <c r="CA304" i="1"/>
  <c r="CB304" i="1"/>
  <c r="CC304" i="1"/>
  <c r="CD304" i="1"/>
  <c r="CE304" i="1"/>
  <c r="CF304" i="1"/>
  <c r="CG304" i="1"/>
  <c r="CH304" i="1"/>
  <c r="CI304" i="1"/>
  <c r="CJ304" i="1"/>
  <c r="CK304" i="1"/>
  <c r="CL304" i="1"/>
  <c r="CM304" i="1"/>
  <c r="CN304" i="1"/>
  <c r="CO304" i="1"/>
  <c r="CP304" i="1"/>
  <c r="CQ304" i="1"/>
  <c r="CR304" i="1"/>
  <c r="CS304" i="1"/>
  <c r="CT304" i="1"/>
  <c r="CU304" i="1"/>
  <c r="CV304" i="1"/>
  <c r="BQ305" i="1"/>
  <c r="BR305" i="1"/>
  <c r="BS305" i="1"/>
  <c r="BV305" i="1"/>
  <c r="BW305" i="1"/>
  <c r="BX305" i="1"/>
  <c r="BY305" i="1"/>
  <c r="BZ305" i="1"/>
  <c r="CA305" i="1"/>
  <c r="CB305" i="1"/>
  <c r="CC305" i="1"/>
  <c r="CD305" i="1"/>
  <c r="CE305" i="1"/>
  <c r="CF305" i="1"/>
  <c r="CG305" i="1"/>
  <c r="CH305" i="1"/>
  <c r="CI305" i="1"/>
  <c r="CJ305" i="1"/>
  <c r="CK305" i="1"/>
  <c r="CL305" i="1"/>
  <c r="CM305" i="1"/>
  <c r="CN305" i="1"/>
  <c r="CO305" i="1"/>
  <c r="CP305" i="1"/>
  <c r="CQ305" i="1"/>
  <c r="CR305" i="1"/>
  <c r="CS305" i="1"/>
  <c r="CT305" i="1"/>
  <c r="CU305" i="1"/>
  <c r="CV305" i="1"/>
  <c r="BQ306" i="1"/>
  <c r="BR306" i="1"/>
  <c r="BS306" i="1"/>
  <c r="BV306" i="1"/>
  <c r="BW306" i="1"/>
  <c r="BX306" i="1"/>
  <c r="BY306" i="1"/>
  <c r="BZ306" i="1"/>
  <c r="CA306" i="1"/>
  <c r="CB306" i="1"/>
  <c r="CC306" i="1"/>
  <c r="CD306" i="1"/>
  <c r="CE306" i="1"/>
  <c r="CF306" i="1"/>
  <c r="CG306" i="1"/>
  <c r="CH306" i="1"/>
  <c r="CI306" i="1"/>
  <c r="CJ306" i="1"/>
  <c r="CK306" i="1"/>
  <c r="CL306" i="1"/>
  <c r="CM306" i="1"/>
  <c r="CN306" i="1"/>
  <c r="CO306" i="1"/>
  <c r="CP306" i="1"/>
  <c r="CQ306" i="1"/>
  <c r="CR306" i="1"/>
  <c r="CS306" i="1"/>
  <c r="CT306" i="1"/>
  <c r="CU306" i="1"/>
  <c r="CV306" i="1"/>
  <c r="BQ307" i="1"/>
  <c r="BR307" i="1"/>
  <c r="BS307" i="1"/>
  <c r="BV307" i="1"/>
  <c r="BW307" i="1"/>
  <c r="BX307" i="1"/>
  <c r="BY307" i="1"/>
  <c r="BZ307" i="1"/>
  <c r="CA307" i="1"/>
  <c r="CB307" i="1"/>
  <c r="CC307" i="1"/>
  <c r="CD307" i="1"/>
  <c r="CE307" i="1"/>
  <c r="CF307" i="1"/>
  <c r="CG307" i="1"/>
  <c r="CH307" i="1"/>
  <c r="CI307" i="1"/>
  <c r="CJ307" i="1"/>
  <c r="CK307" i="1"/>
  <c r="CL307" i="1"/>
  <c r="CM307" i="1"/>
  <c r="CN307" i="1"/>
  <c r="CO307" i="1"/>
  <c r="CP307" i="1"/>
  <c r="CQ307" i="1"/>
  <c r="CR307" i="1"/>
  <c r="CS307" i="1"/>
  <c r="CT307" i="1"/>
  <c r="CU307" i="1"/>
  <c r="CV307" i="1"/>
  <c r="BQ308" i="1"/>
  <c r="BR308" i="1"/>
  <c r="BS308" i="1"/>
  <c r="BV308" i="1"/>
  <c r="BW308" i="1"/>
  <c r="BX308" i="1"/>
  <c r="BY308" i="1"/>
  <c r="BZ308" i="1"/>
  <c r="CA308" i="1"/>
  <c r="CB308" i="1"/>
  <c r="CC308" i="1"/>
  <c r="CD308" i="1"/>
  <c r="CE308" i="1"/>
  <c r="CF308" i="1"/>
  <c r="CG308" i="1"/>
  <c r="CH308" i="1"/>
  <c r="CI308" i="1"/>
  <c r="CJ308" i="1"/>
  <c r="CK308" i="1"/>
  <c r="CL308" i="1"/>
  <c r="CM308" i="1"/>
  <c r="CN308" i="1"/>
  <c r="CO308" i="1"/>
  <c r="CP308" i="1"/>
  <c r="CQ308" i="1"/>
  <c r="CR308" i="1"/>
  <c r="CS308" i="1"/>
  <c r="CT308" i="1"/>
  <c r="CU308" i="1"/>
  <c r="CV308" i="1"/>
  <c r="BQ309" i="1"/>
  <c r="BR309" i="1"/>
  <c r="BS309" i="1"/>
  <c r="BV309" i="1"/>
  <c r="BW309" i="1"/>
  <c r="BX309" i="1"/>
  <c r="BY309" i="1"/>
  <c r="BZ309" i="1"/>
  <c r="CA309" i="1"/>
  <c r="CB309" i="1"/>
  <c r="CC309" i="1"/>
  <c r="CD309" i="1"/>
  <c r="CE309" i="1"/>
  <c r="CF309" i="1"/>
  <c r="CG309" i="1"/>
  <c r="CH309" i="1"/>
  <c r="CI309" i="1"/>
  <c r="CJ309" i="1"/>
  <c r="CK309" i="1"/>
  <c r="CL309" i="1"/>
  <c r="CM309" i="1"/>
  <c r="CN309" i="1"/>
  <c r="CO309" i="1"/>
  <c r="CP309" i="1"/>
  <c r="CQ309" i="1"/>
  <c r="CR309" i="1"/>
  <c r="CS309" i="1"/>
  <c r="CT309" i="1"/>
  <c r="CU309" i="1"/>
  <c r="CV309" i="1"/>
  <c r="BQ310" i="1"/>
  <c r="BR310" i="1"/>
  <c r="BS310" i="1"/>
  <c r="BV310" i="1"/>
  <c r="BW310" i="1"/>
  <c r="BX310" i="1"/>
  <c r="BY310" i="1"/>
  <c r="BZ310" i="1"/>
  <c r="CA310" i="1"/>
  <c r="CB310" i="1"/>
  <c r="CC310" i="1"/>
  <c r="CD310" i="1"/>
  <c r="CE310" i="1"/>
  <c r="CF310" i="1"/>
  <c r="CG310" i="1"/>
  <c r="CH310" i="1"/>
  <c r="CI310" i="1"/>
  <c r="CJ310" i="1"/>
  <c r="CK310" i="1"/>
  <c r="CL310" i="1"/>
  <c r="CM310" i="1"/>
  <c r="CN310" i="1"/>
  <c r="CO310" i="1"/>
  <c r="CP310" i="1"/>
  <c r="CQ310" i="1"/>
  <c r="CR310" i="1"/>
  <c r="CS310" i="1"/>
  <c r="CT310" i="1"/>
  <c r="CU310" i="1"/>
  <c r="CV310" i="1"/>
  <c r="BQ311" i="1"/>
  <c r="BR311" i="1"/>
  <c r="BS311" i="1"/>
  <c r="BV311" i="1"/>
  <c r="BW311" i="1"/>
  <c r="BX311" i="1"/>
  <c r="BY311" i="1"/>
  <c r="BZ311" i="1"/>
  <c r="CA311" i="1"/>
  <c r="CB311" i="1"/>
  <c r="CC311" i="1"/>
  <c r="CD311" i="1"/>
  <c r="CE311" i="1"/>
  <c r="CF311" i="1"/>
  <c r="CG311" i="1"/>
  <c r="CH311" i="1"/>
  <c r="CI311" i="1"/>
  <c r="CJ311" i="1"/>
  <c r="CK311" i="1"/>
  <c r="CL311" i="1"/>
  <c r="CM311" i="1"/>
  <c r="CN311" i="1"/>
  <c r="CO311" i="1"/>
  <c r="CP311" i="1"/>
  <c r="CQ311" i="1"/>
  <c r="CR311" i="1"/>
  <c r="CS311" i="1"/>
  <c r="CT311" i="1"/>
  <c r="CU311" i="1"/>
  <c r="CV311" i="1"/>
  <c r="BQ312" i="1"/>
  <c r="BR312" i="1"/>
  <c r="BS312" i="1"/>
  <c r="BV312" i="1"/>
  <c r="BW312" i="1"/>
  <c r="BX312" i="1"/>
  <c r="BY312" i="1"/>
  <c r="BZ312" i="1"/>
  <c r="CA312" i="1"/>
  <c r="CB312" i="1"/>
  <c r="CC312" i="1"/>
  <c r="CD312" i="1"/>
  <c r="CE312" i="1"/>
  <c r="CF312" i="1"/>
  <c r="CG312" i="1"/>
  <c r="CH312" i="1"/>
  <c r="CI312" i="1"/>
  <c r="CJ312" i="1"/>
  <c r="CK312" i="1"/>
  <c r="CL312" i="1"/>
  <c r="CM312" i="1"/>
  <c r="CN312" i="1"/>
  <c r="CO312" i="1"/>
  <c r="CP312" i="1"/>
  <c r="CQ312" i="1"/>
  <c r="CR312" i="1"/>
  <c r="CS312" i="1"/>
  <c r="CT312" i="1"/>
  <c r="CU312" i="1"/>
  <c r="CV312" i="1"/>
  <c r="BQ313" i="1"/>
  <c r="BR313" i="1"/>
  <c r="BS313" i="1"/>
  <c r="BV313" i="1"/>
  <c r="BW313" i="1"/>
  <c r="BX313" i="1"/>
  <c r="BY313" i="1"/>
  <c r="BZ313" i="1"/>
  <c r="CA313" i="1"/>
  <c r="CB313" i="1"/>
  <c r="CC313" i="1"/>
  <c r="CD313" i="1"/>
  <c r="CE313" i="1"/>
  <c r="CF313" i="1"/>
  <c r="CG313" i="1"/>
  <c r="CH313" i="1"/>
  <c r="CI313" i="1"/>
  <c r="CJ313" i="1"/>
  <c r="CK313" i="1"/>
  <c r="CL313" i="1"/>
  <c r="CM313" i="1"/>
  <c r="CN313" i="1"/>
  <c r="CO313" i="1"/>
  <c r="CP313" i="1"/>
  <c r="CQ313" i="1"/>
  <c r="CR313" i="1"/>
  <c r="CS313" i="1"/>
  <c r="CT313" i="1"/>
  <c r="CU313" i="1"/>
  <c r="CV313" i="1"/>
  <c r="BQ314" i="1"/>
  <c r="BR314" i="1"/>
  <c r="BS314" i="1"/>
  <c r="BV314" i="1"/>
  <c r="BW314" i="1"/>
  <c r="BX314" i="1"/>
  <c r="BY314" i="1"/>
  <c r="BZ314" i="1"/>
  <c r="CA314" i="1"/>
  <c r="CB314" i="1"/>
  <c r="CC314" i="1"/>
  <c r="CD314" i="1"/>
  <c r="CE314" i="1"/>
  <c r="CF314" i="1"/>
  <c r="CG314" i="1"/>
  <c r="CH314" i="1"/>
  <c r="CI314" i="1"/>
  <c r="CJ314" i="1"/>
  <c r="CK314" i="1"/>
  <c r="CL314" i="1"/>
  <c r="CM314" i="1"/>
  <c r="CN314" i="1"/>
  <c r="CO314" i="1"/>
  <c r="CP314" i="1"/>
  <c r="CQ314" i="1"/>
  <c r="CR314" i="1"/>
  <c r="CS314" i="1"/>
  <c r="CT314" i="1"/>
  <c r="CU314" i="1"/>
  <c r="CV314" i="1"/>
  <c r="BQ315" i="1"/>
  <c r="BR315" i="1"/>
  <c r="BS315" i="1"/>
  <c r="BV315" i="1"/>
  <c r="BW315" i="1"/>
  <c r="BX315" i="1"/>
  <c r="BY315" i="1"/>
  <c r="BZ315" i="1"/>
  <c r="CA315" i="1"/>
  <c r="CB315" i="1"/>
  <c r="CC315" i="1"/>
  <c r="CD315" i="1"/>
  <c r="CE315" i="1"/>
  <c r="CF315" i="1"/>
  <c r="CG315" i="1"/>
  <c r="CH315" i="1"/>
  <c r="CI315" i="1"/>
  <c r="CJ315" i="1"/>
  <c r="CK315" i="1"/>
  <c r="CL315" i="1"/>
  <c r="CM315" i="1"/>
  <c r="CN315" i="1"/>
  <c r="CO315" i="1"/>
  <c r="CP315" i="1"/>
  <c r="CQ315" i="1"/>
  <c r="CR315" i="1"/>
  <c r="CS315" i="1"/>
  <c r="CT315" i="1"/>
  <c r="CU315" i="1"/>
  <c r="CV315" i="1"/>
  <c r="BQ316" i="1"/>
  <c r="BR316" i="1"/>
  <c r="BS316" i="1"/>
  <c r="BV316" i="1"/>
  <c r="BW316" i="1"/>
  <c r="BX316" i="1"/>
  <c r="BY316" i="1"/>
  <c r="BZ316" i="1"/>
  <c r="CA316" i="1"/>
  <c r="CB316" i="1"/>
  <c r="CC316" i="1"/>
  <c r="CD316" i="1"/>
  <c r="CE316" i="1"/>
  <c r="CF316" i="1"/>
  <c r="CG316" i="1"/>
  <c r="CH316" i="1"/>
  <c r="CI316" i="1"/>
  <c r="CJ316" i="1"/>
  <c r="CK316" i="1"/>
  <c r="CL316" i="1"/>
  <c r="CM316" i="1"/>
  <c r="CN316" i="1"/>
  <c r="CO316" i="1"/>
  <c r="CP316" i="1"/>
  <c r="CQ316" i="1"/>
  <c r="CR316" i="1"/>
  <c r="CS316" i="1"/>
  <c r="CT316" i="1"/>
  <c r="CU316" i="1"/>
  <c r="CV316" i="1"/>
  <c r="BQ317" i="1"/>
  <c r="BR317" i="1"/>
  <c r="BS317" i="1"/>
  <c r="BV317" i="1"/>
  <c r="BW317" i="1"/>
  <c r="BX317" i="1"/>
  <c r="BY317" i="1"/>
  <c r="BZ317" i="1"/>
  <c r="CA317" i="1"/>
  <c r="CB317" i="1"/>
  <c r="CC317" i="1"/>
  <c r="CD317" i="1"/>
  <c r="CE317" i="1"/>
  <c r="CF317" i="1"/>
  <c r="CG317" i="1"/>
  <c r="CH317" i="1"/>
  <c r="CI317" i="1"/>
  <c r="CJ317" i="1"/>
  <c r="CK317" i="1"/>
  <c r="CL317" i="1"/>
  <c r="CM317" i="1"/>
  <c r="CN317" i="1"/>
  <c r="CO317" i="1"/>
  <c r="CP317" i="1"/>
  <c r="CQ317" i="1"/>
  <c r="CR317" i="1"/>
  <c r="CS317" i="1"/>
  <c r="CT317" i="1"/>
  <c r="CU317" i="1"/>
  <c r="CV317" i="1"/>
  <c r="BQ318" i="1"/>
  <c r="BR318" i="1"/>
  <c r="BS318" i="1"/>
  <c r="BV318" i="1"/>
  <c r="BW318" i="1"/>
  <c r="BX318" i="1"/>
  <c r="BY318" i="1"/>
  <c r="BZ318" i="1"/>
  <c r="CA318" i="1"/>
  <c r="CB318" i="1"/>
  <c r="CC318" i="1"/>
  <c r="CD318" i="1"/>
  <c r="CE318" i="1"/>
  <c r="CF318" i="1"/>
  <c r="CG318" i="1"/>
  <c r="CH318" i="1"/>
  <c r="CI318" i="1"/>
  <c r="CJ318" i="1"/>
  <c r="CK318" i="1"/>
  <c r="CL318" i="1"/>
  <c r="CM318" i="1"/>
  <c r="CN318" i="1"/>
  <c r="CO318" i="1"/>
  <c r="CP318" i="1"/>
  <c r="CQ318" i="1"/>
  <c r="CR318" i="1"/>
  <c r="CS318" i="1"/>
  <c r="CT318" i="1"/>
  <c r="CU318" i="1"/>
  <c r="CV318" i="1"/>
  <c r="BQ319" i="1"/>
  <c r="BR319" i="1"/>
  <c r="BS319" i="1"/>
  <c r="BV319" i="1"/>
  <c r="BW319" i="1"/>
  <c r="BX319" i="1"/>
  <c r="BY319" i="1"/>
  <c r="BZ319" i="1"/>
  <c r="CA319" i="1"/>
  <c r="CB319" i="1"/>
  <c r="CC319" i="1"/>
  <c r="CD319" i="1"/>
  <c r="CE319" i="1"/>
  <c r="CF319" i="1"/>
  <c r="CG319" i="1"/>
  <c r="CH319" i="1"/>
  <c r="CI319" i="1"/>
  <c r="CJ319" i="1"/>
  <c r="CK319" i="1"/>
  <c r="CL319" i="1"/>
  <c r="CM319" i="1"/>
  <c r="CN319" i="1"/>
  <c r="CO319" i="1"/>
  <c r="CP319" i="1"/>
  <c r="CQ319" i="1"/>
  <c r="CR319" i="1"/>
  <c r="CS319" i="1"/>
  <c r="CT319" i="1"/>
  <c r="CU319" i="1"/>
  <c r="CV319" i="1"/>
  <c r="BQ320" i="1"/>
  <c r="BR320" i="1"/>
  <c r="BS320" i="1"/>
  <c r="BV320" i="1"/>
  <c r="BW320" i="1"/>
  <c r="BX320" i="1"/>
  <c r="BY320" i="1"/>
  <c r="BZ320" i="1"/>
  <c r="CA320" i="1"/>
  <c r="CB320" i="1"/>
  <c r="CC320" i="1"/>
  <c r="CD320" i="1"/>
  <c r="CE320" i="1"/>
  <c r="CF320" i="1"/>
  <c r="CG320" i="1"/>
  <c r="CH320" i="1"/>
  <c r="CI320" i="1"/>
  <c r="CJ320" i="1"/>
  <c r="CK320" i="1"/>
  <c r="CL320" i="1"/>
  <c r="CM320" i="1"/>
  <c r="CN320" i="1"/>
  <c r="CO320" i="1"/>
  <c r="CP320" i="1"/>
  <c r="CQ320" i="1"/>
  <c r="CR320" i="1"/>
  <c r="CS320" i="1"/>
  <c r="CT320" i="1"/>
  <c r="CU320" i="1"/>
  <c r="CV320" i="1"/>
  <c r="BQ321" i="1"/>
  <c r="BR321" i="1"/>
  <c r="BS321" i="1"/>
  <c r="BV321" i="1"/>
  <c r="BW321" i="1"/>
  <c r="BX321" i="1"/>
  <c r="BY321" i="1"/>
  <c r="BZ321" i="1"/>
  <c r="CA321" i="1"/>
  <c r="CB321" i="1"/>
  <c r="CC321" i="1"/>
  <c r="CD321" i="1"/>
  <c r="CE321" i="1"/>
  <c r="CF321" i="1"/>
  <c r="CG321" i="1"/>
  <c r="CH321" i="1"/>
  <c r="CI321" i="1"/>
  <c r="CJ321" i="1"/>
  <c r="CK321" i="1"/>
  <c r="CL321" i="1"/>
  <c r="CM321" i="1"/>
  <c r="CN321" i="1"/>
  <c r="CO321" i="1"/>
  <c r="CP321" i="1"/>
  <c r="CQ321" i="1"/>
  <c r="CR321" i="1"/>
  <c r="CS321" i="1"/>
  <c r="CT321" i="1"/>
  <c r="CU321" i="1"/>
  <c r="CV321" i="1"/>
  <c r="BQ322" i="1"/>
  <c r="BR322" i="1"/>
  <c r="BS322" i="1"/>
  <c r="BV322" i="1"/>
  <c r="BW322" i="1"/>
  <c r="BX322" i="1"/>
  <c r="BY322" i="1"/>
  <c r="BZ322" i="1"/>
  <c r="CA322" i="1"/>
  <c r="CB322" i="1"/>
  <c r="CC322" i="1"/>
  <c r="CD322" i="1"/>
  <c r="CE322" i="1"/>
  <c r="CF322" i="1"/>
  <c r="CG322" i="1"/>
  <c r="CH322" i="1"/>
  <c r="CI322" i="1"/>
  <c r="CJ322" i="1"/>
  <c r="CK322" i="1"/>
  <c r="CL322" i="1"/>
  <c r="CM322" i="1"/>
  <c r="CN322" i="1"/>
  <c r="CO322" i="1"/>
  <c r="CP322" i="1"/>
  <c r="CQ322" i="1"/>
  <c r="CR322" i="1"/>
  <c r="CS322" i="1"/>
  <c r="CT322" i="1"/>
  <c r="CU322" i="1"/>
  <c r="CV322" i="1"/>
  <c r="BQ323" i="1"/>
  <c r="BR323" i="1"/>
  <c r="BS323" i="1"/>
  <c r="BV323" i="1"/>
  <c r="BW323" i="1"/>
  <c r="BX323" i="1"/>
  <c r="BY323" i="1"/>
  <c r="BZ323" i="1"/>
  <c r="CA323" i="1"/>
  <c r="CB323" i="1"/>
  <c r="CC323" i="1"/>
  <c r="CD323" i="1"/>
  <c r="CE323" i="1"/>
  <c r="CF323" i="1"/>
  <c r="CG323" i="1"/>
  <c r="CH323" i="1"/>
  <c r="CI323" i="1"/>
  <c r="CJ323" i="1"/>
  <c r="CK323" i="1"/>
  <c r="CL323" i="1"/>
  <c r="CM323" i="1"/>
  <c r="CN323" i="1"/>
  <c r="CO323" i="1"/>
  <c r="CP323" i="1"/>
  <c r="CQ323" i="1"/>
  <c r="CR323" i="1"/>
  <c r="CS323" i="1"/>
  <c r="CT323" i="1"/>
  <c r="CU323" i="1"/>
  <c r="CV323" i="1"/>
  <c r="BQ324" i="1"/>
  <c r="BR324" i="1"/>
  <c r="BS324" i="1"/>
  <c r="BV324" i="1"/>
  <c r="BW324" i="1"/>
  <c r="BX324" i="1"/>
  <c r="BY324" i="1"/>
  <c r="BZ324" i="1"/>
  <c r="CA324" i="1"/>
  <c r="CB324" i="1"/>
  <c r="CC324" i="1"/>
  <c r="CD324" i="1"/>
  <c r="CE324" i="1"/>
  <c r="CF324" i="1"/>
  <c r="CG324" i="1"/>
  <c r="CH324" i="1"/>
  <c r="CI324" i="1"/>
  <c r="CJ324" i="1"/>
  <c r="CK324" i="1"/>
  <c r="CL324" i="1"/>
  <c r="CM324" i="1"/>
  <c r="CN324" i="1"/>
  <c r="CO324" i="1"/>
  <c r="CP324" i="1"/>
  <c r="CQ324" i="1"/>
  <c r="CR324" i="1"/>
  <c r="CS324" i="1"/>
  <c r="CT324" i="1"/>
  <c r="CU324" i="1"/>
  <c r="CV324" i="1"/>
  <c r="BQ325" i="1"/>
  <c r="BR325" i="1"/>
  <c r="BS325" i="1"/>
  <c r="BV325" i="1"/>
  <c r="BW325" i="1"/>
  <c r="BX325" i="1"/>
  <c r="BY325" i="1"/>
  <c r="BZ325" i="1"/>
  <c r="CA325" i="1"/>
  <c r="CB325" i="1"/>
  <c r="CC325" i="1"/>
  <c r="CD325" i="1"/>
  <c r="CE325" i="1"/>
  <c r="CF325" i="1"/>
  <c r="CG325" i="1"/>
  <c r="CH325" i="1"/>
  <c r="CI325" i="1"/>
  <c r="CJ325" i="1"/>
  <c r="CK325" i="1"/>
  <c r="CL325" i="1"/>
  <c r="CM325" i="1"/>
  <c r="CN325" i="1"/>
  <c r="CO325" i="1"/>
  <c r="CP325" i="1"/>
  <c r="CQ325" i="1"/>
  <c r="CR325" i="1"/>
  <c r="CS325" i="1"/>
  <c r="CT325" i="1"/>
  <c r="CU325" i="1"/>
  <c r="CV325" i="1"/>
  <c r="BQ326" i="1"/>
  <c r="BR326" i="1"/>
  <c r="BS326" i="1"/>
  <c r="BV326" i="1"/>
  <c r="BW326" i="1"/>
  <c r="BX326" i="1"/>
  <c r="BY326" i="1"/>
  <c r="BZ326" i="1"/>
  <c r="CA326" i="1"/>
  <c r="CB326" i="1"/>
  <c r="CC326" i="1"/>
  <c r="CD326" i="1"/>
  <c r="CE326" i="1"/>
  <c r="CF326" i="1"/>
  <c r="CG326" i="1"/>
  <c r="CH326" i="1"/>
  <c r="CI326" i="1"/>
  <c r="CJ326" i="1"/>
  <c r="CK326" i="1"/>
  <c r="CL326" i="1"/>
  <c r="CM326" i="1"/>
  <c r="CN326" i="1"/>
  <c r="CO326" i="1"/>
  <c r="CP326" i="1"/>
  <c r="CQ326" i="1"/>
  <c r="CR326" i="1"/>
  <c r="CS326" i="1"/>
  <c r="CT326" i="1"/>
  <c r="CU326" i="1"/>
  <c r="CV326" i="1"/>
  <c r="BQ327" i="1"/>
  <c r="BR327" i="1"/>
  <c r="BS327" i="1"/>
  <c r="BV327" i="1"/>
  <c r="BW327" i="1"/>
  <c r="BX327" i="1"/>
  <c r="BY327" i="1"/>
  <c r="BZ327" i="1"/>
  <c r="CA327" i="1"/>
  <c r="CB327" i="1"/>
  <c r="CC327" i="1"/>
  <c r="CD327" i="1"/>
  <c r="CE327" i="1"/>
  <c r="CF327" i="1"/>
  <c r="CG327" i="1"/>
  <c r="CH327" i="1"/>
  <c r="CI327" i="1"/>
  <c r="CJ327" i="1"/>
  <c r="CK327" i="1"/>
  <c r="CL327" i="1"/>
  <c r="CM327" i="1"/>
  <c r="CN327" i="1"/>
  <c r="CO327" i="1"/>
  <c r="CP327" i="1"/>
  <c r="CQ327" i="1"/>
  <c r="CR327" i="1"/>
  <c r="CS327" i="1"/>
  <c r="CT327" i="1"/>
  <c r="CU327" i="1"/>
  <c r="CV327" i="1"/>
  <c r="BQ328" i="1"/>
  <c r="BR328" i="1"/>
  <c r="BS328" i="1"/>
  <c r="BV328" i="1"/>
  <c r="BW328" i="1"/>
  <c r="BX328" i="1"/>
  <c r="BY328" i="1"/>
  <c r="BZ328" i="1"/>
  <c r="CA328" i="1"/>
  <c r="CB328" i="1"/>
  <c r="CC328" i="1"/>
  <c r="CD328" i="1"/>
  <c r="CE328" i="1"/>
  <c r="CF328" i="1"/>
  <c r="CG328" i="1"/>
  <c r="CH328" i="1"/>
  <c r="CI328" i="1"/>
  <c r="CJ328" i="1"/>
  <c r="CK328" i="1"/>
  <c r="CL328" i="1"/>
  <c r="CM328" i="1"/>
  <c r="CN328" i="1"/>
  <c r="CO328" i="1"/>
  <c r="CP328" i="1"/>
  <c r="CQ328" i="1"/>
  <c r="CR328" i="1"/>
  <c r="CS328" i="1"/>
  <c r="CT328" i="1"/>
  <c r="CU328" i="1"/>
  <c r="CV328" i="1"/>
  <c r="BQ329" i="1"/>
  <c r="BR329" i="1"/>
  <c r="BS329" i="1"/>
  <c r="BV329" i="1"/>
  <c r="BW329" i="1"/>
  <c r="BX329" i="1"/>
  <c r="BY329" i="1"/>
  <c r="BZ329" i="1"/>
  <c r="CA329" i="1"/>
  <c r="CB329" i="1"/>
  <c r="CC329" i="1"/>
  <c r="CD329" i="1"/>
  <c r="CE329" i="1"/>
  <c r="CF329" i="1"/>
  <c r="CG329" i="1"/>
  <c r="CH329" i="1"/>
  <c r="CI329" i="1"/>
  <c r="CJ329" i="1"/>
  <c r="CK329" i="1"/>
  <c r="CL329" i="1"/>
  <c r="CM329" i="1"/>
  <c r="CN329" i="1"/>
  <c r="CO329" i="1"/>
  <c r="CP329" i="1"/>
  <c r="CQ329" i="1"/>
  <c r="CR329" i="1"/>
  <c r="CS329" i="1"/>
  <c r="CT329" i="1"/>
  <c r="CU329" i="1"/>
  <c r="CV329" i="1"/>
  <c r="BQ330" i="1"/>
  <c r="BR330" i="1"/>
  <c r="BS330" i="1"/>
  <c r="BV330" i="1"/>
  <c r="BW330" i="1"/>
  <c r="BX330" i="1"/>
  <c r="BY330" i="1"/>
  <c r="BZ330" i="1"/>
  <c r="CA330" i="1"/>
  <c r="CB330" i="1"/>
  <c r="CC330" i="1"/>
  <c r="CD330" i="1"/>
  <c r="CE330" i="1"/>
  <c r="CF330" i="1"/>
  <c r="CG330" i="1"/>
  <c r="CH330" i="1"/>
  <c r="CI330" i="1"/>
  <c r="CJ330" i="1"/>
  <c r="CK330" i="1"/>
  <c r="CL330" i="1"/>
  <c r="CM330" i="1"/>
  <c r="CN330" i="1"/>
  <c r="CO330" i="1"/>
  <c r="CP330" i="1"/>
  <c r="CQ330" i="1"/>
  <c r="CR330" i="1"/>
  <c r="CS330" i="1"/>
  <c r="CT330" i="1"/>
  <c r="CU330" i="1"/>
  <c r="CV330" i="1"/>
  <c r="BQ331" i="1"/>
  <c r="BR331" i="1"/>
  <c r="BS331" i="1"/>
  <c r="BV331" i="1"/>
  <c r="BW331" i="1"/>
  <c r="BX331" i="1"/>
  <c r="BY331" i="1"/>
  <c r="BZ331" i="1"/>
  <c r="CA331" i="1"/>
  <c r="CB331" i="1"/>
  <c r="CC331" i="1"/>
  <c r="CD331" i="1"/>
  <c r="CE331" i="1"/>
  <c r="CF331" i="1"/>
  <c r="CG331" i="1"/>
  <c r="CH331" i="1"/>
  <c r="CI331" i="1"/>
  <c r="CJ331" i="1"/>
  <c r="CK331" i="1"/>
  <c r="CL331" i="1"/>
  <c r="CM331" i="1"/>
  <c r="CN331" i="1"/>
  <c r="CO331" i="1"/>
  <c r="CP331" i="1"/>
  <c r="CQ331" i="1"/>
  <c r="CR331" i="1"/>
  <c r="CS331" i="1"/>
  <c r="CT331" i="1"/>
  <c r="CU331" i="1"/>
  <c r="CV331" i="1"/>
  <c r="BQ332" i="1"/>
  <c r="BR332" i="1"/>
  <c r="BS332" i="1"/>
  <c r="BV332" i="1"/>
  <c r="BW332" i="1"/>
  <c r="BX332" i="1"/>
  <c r="BY332" i="1"/>
  <c r="BZ332" i="1"/>
  <c r="CA332" i="1"/>
  <c r="CB332" i="1"/>
  <c r="CC332" i="1"/>
  <c r="CD332" i="1"/>
  <c r="CE332" i="1"/>
  <c r="CF332" i="1"/>
  <c r="CG332" i="1"/>
  <c r="CH332" i="1"/>
  <c r="CI332" i="1"/>
  <c r="CJ332" i="1"/>
  <c r="CK332" i="1"/>
  <c r="CL332" i="1"/>
  <c r="CM332" i="1"/>
  <c r="CN332" i="1"/>
  <c r="CO332" i="1"/>
  <c r="CP332" i="1"/>
  <c r="CQ332" i="1"/>
  <c r="CR332" i="1"/>
  <c r="CS332" i="1"/>
  <c r="CT332" i="1"/>
  <c r="CU332" i="1"/>
  <c r="CV332" i="1"/>
  <c r="BQ333" i="1"/>
  <c r="BR333" i="1"/>
  <c r="BS333" i="1"/>
  <c r="BV333" i="1"/>
  <c r="BW333" i="1"/>
  <c r="BX333" i="1"/>
  <c r="BY333" i="1"/>
  <c r="BZ333" i="1"/>
  <c r="CA333" i="1"/>
  <c r="CB333" i="1"/>
  <c r="CC333" i="1"/>
  <c r="CD333" i="1"/>
  <c r="CE333" i="1"/>
  <c r="CF333" i="1"/>
  <c r="CG333" i="1"/>
  <c r="CH333" i="1"/>
  <c r="CI333" i="1"/>
  <c r="CJ333" i="1"/>
  <c r="CK333" i="1"/>
  <c r="CL333" i="1"/>
  <c r="CM333" i="1"/>
  <c r="CN333" i="1"/>
  <c r="CO333" i="1"/>
  <c r="CP333" i="1"/>
  <c r="CQ333" i="1"/>
  <c r="CR333" i="1"/>
  <c r="CS333" i="1"/>
  <c r="CT333" i="1"/>
  <c r="CU333" i="1"/>
  <c r="CV333" i="1"/>
  <c r="BQ334" i="1"/>
  <c r="BR334" i="1"/>
  <c r="BS334" i="1"/>
  <c r="BV334" i="1"/>
  <c r="BW334" i="1"/>
  <c r="BX334" i="1"/>
  <c r="BY334" i="1"/>
  <c r="BZ334" i="1"/>
  <c r="CA334" i="1"/>
  <c r="CB334" i="1"/>
  <c r="CC334" i="1"/>
  <c r="CD334" i="1"/>
  <c r="CE334" i="1"/>
  <c r="CF334" i="1"/>
  <c r="CG334" i="1"/>
  <c r="CH334" i="1"/>
  <c r="CI334" i="1"/>
  <c r="CJ334" i="1"/>
  <c r="CK334" i="1"/>
  <c r="CL334" i="1"/>
  <c r="CM334" i="1"/>
  <c r="CN334" i="1"/>
  <c r="CO334" i="1"/>
  <c r="CP334" i="1"/>
  <c r="CQ334" i="1"/>
  <c r="CR334" i="1"/>
  <c r="CS334" i="1"/>
  <c r="CT334" i="1"/>
  <c r="CU334" i="1"/>
  <c r="CV334" i="1"/>
  <c r="BQ335" i="1"/>
  <c r="BR335" i="1"/>
  <c r="BS335" i="1"/>
  <c r="BV335" i="1"/>
  <c r="BW335" i="1"/>
  <c r="BX335" i="1"/>
  <c r="BY335" i="1"/>
  <c r="BZ335" i="1"/>
  <c r="CA335" i="1"/>
  <c r="CB335" i="1"/>
  <c r="CC335" i="1"/>
  <c r="CD335" i="1"/>
  <c r="CE335" i="1"/>
  <c r="CF335" i="1"/>
  <c r="CG335" i="1"/>
  <c r="CH335" i="1"/>
  <c r="CI335" i="1"/>
  <c r="CJ335" i="1"/>
  <c r="CK335" i="1"/>
  <c r="CL335" i="1"/>
  <c r="CM335" i="1"/>
  <c r="CN335" i="1"/>
  <c r="CO335" i="1"/>
  <c r="CP335" i="1"/>
  <c r="CQ335" i="1"/>
  <c r="CR335" i="1"/>
  <c r="CS335" i="1"/>
  <c r="CT335" i="1"/>
  <c r="CU335" i="1"/>
  <c r="CV335" i="1"/>
  <c r="BQ336" i="1"/>
  <c r="BR336" i="1"/>
  <c r="BS336" i="1"/>
  <c r="BV336" i="1"/>
  <c r="BW336" i="1"/>
  <c r="BX336" i="1"/>
  <c r="BY336" i="1"/>
  <c r="BZ336" i="1"/>
  <c r="CA336" i="1"/>
  <c r="CB336" i="1"/>
  <c r="CC336" i="1"/>
  <c r="CD336" i="1"/>
  <c r="CE336" i="1"/>
  <c r="CF336" i="1"/>
  <c r="CG336" i="1"/>
  <c r="CH336" i="1"/>
  <c r="CI336" i="1"/>
  <c r="CJ336" i="1"/>
  <c r="CK336" i="1"/>
  <c r="CL336" i="1"/>
  <c r="CM336" i="1"/>
  <c r="CN336" i="1"/>
  <c r="CO336" i="1"/>
  <c r="CP336" i="1"/>
  <c r="CQ336" i="1"/>
  <c r="CR336" i="1"/>
  <c r="CS336" i="1"/>
  <c r="CT336" i="1"/>
  <c r="CU336" i="1"/>
  <c r="CV336" i="1"/>
  <c r="BQ337" i="1"/>
  <c r="BR337" i="1"/>
  <c r="BS337" i="1"/>
  <c r="BV337" i="1"/>
  <c r="BW337" i="1"/>
  <c r="BX337" i="1"/>
  <c r="BY337" i="1"/>
  <c r="BZ337" i="1"/>
  <c r="CA337" i="1"/>
  <c r="CB337" i="1"/>
  <c r="CC337" i="1"/>
  <c r="CD337" i="1"/>
  <c r="CE337" i="1"/>
  <c r="CF337" i="1"/>
  <c r="CG337" i="1"/>
  <c r="CH337" i="1"/>
  <c r="CI337" i="1"/>
  <c r="CJ337" i="1"/>
  <c r="CK337" i="1"/>
  <c r="CL337" i="1"/>
  <c r="CM337" i="1"/>
  <c r="CN337" i="1"/>
  <c r="CO337" i="1"/>
  <c r="CP337" i="1"/>
  <c r="CQ337" i="1"/>
  <c r="CR337" i="1"/>
  <c r="CS337" i="1"/>
  <c r="CT337" i="1"/>
  <c r="CU337" i="1"/>
  <c r="CV337" i="1"/>
  <c r="BQ338" i="1"/>
  <c r="BR338" i="1"/>
  <c r="BS338" i="1"/>
  <c r="BV338" i="1"/>
  <c r="BW338" i="1"/>
  <c r="BX338" i="1"/>
  <c r="BY338" i="1"/>
  <c r="BZ338" i="1"/>
  <c r="CA338" i="1"/>
  <c r="CB338" i="1"/>
  <c r="CC338" i="1"/>
  <c r="CD338" i="1"/>
  <c r="CE338" i="1"/>
  <c r="CF338" i="1"/>
  <c r="CG338" i="1"/>
  <c r="CH338" i="1"/>
  <c r="CI338" i="1"/>
  <c r="CJ338" i="1"/>
  <c r="CK338" i="1"/>
  <c r="CL338" i="1"/>
  <c r="CM338" i="1"/>
  <c r="CN338" i="1"/>
  <c r="CO338" i="1"/>
  <c r="CP338" i="1"/>
  <c r="CQ338" i="1"/>
  <c r="CR338" i="1"/>
  <c r="CS338" i="1"/>
  <c r="CT338" i="1"/>
  <c r="CU338" i="1"/>
  <c r="CV338" i="1"/>
  <c r="BQ339" i="1"/>
  <c r="BR339" i="1"/>
  <c r="BS339" i="1"/>
  <c r="BV339" i="1"/>
  <c r="BW339" i="1"/>
  <c r="BX339" i="1"/>
  <c r="BY339" i="1"/>
  <c r="BZ339" i="1"/>
  <c r="CA339" i="1"/>
  <c r="CB339" i="1"/>
  <c r="CC339" i="1"/>
  <c r="CD339" i="1"/>
  <c r="CE339" i="1"/>
  <c r="CF339" i="1"/>
  <c r="CG339" i="1"/>
  <c r="CH339" i="1"/>
  <c r="CI339" i="1"/>
  <c r="CJ339" i="1"/>
  <c r="CK339" i="1"/>
  <c r="CL339" i="1"/>
  <c r="CM339" i="1"/>
  <c r="CN339" i="1"/>
  <c r="CO339" i="1"/>
  <c r="CP339" i="1"/>
  <c r="CQ339" i="1"/>
  <c r="CR339" i="1"/>
  <c r="CS339" i="1"/>
  <c r="CT339" i="1"/>
  <c r="CU339" i="1"/>
  <c r="CV339" i="1"/>
  <c r="BQ340" i="1"/>
  <c r="BR340" i="1"/>
  <c r="BS340" i="1"/>
  <c r="BV340" i="1"/>
  <c r="BW340" i="1"/>
  <c r="BX340" i="1"/>
  <c r="BY340" i="1"/>
  <c r="BZ340" i="1"/>
  <c r="CA340" i="1"/>
  <c r="CB340" i="1"/>
  <c r="CC340" i="1"/>
  <c r="CD340" i="1"/>
  <c r="CE340" i="1"/>
  <c r="CF340" i="1"/>
  <c r="CG340" i="1"/>
  <c r="CH340" i="1"/>
  <c r="CI340" i="1"/>
  <c r="CJ340" i="1"/>
  <c r="CK340" i="1"/>
  <c r="CL340" i="1"/>
  <c r="CM340" i="1"/>
  <c r="CN340" i="1"/>
  <c r="CO340" i="1"/>
  <c r="CP340" i="1"/>
  <c r="CQ340" i="1"/>
  <c r="CR340" i="1"/>
  <c r="CS340" i="1"/>
  <c r="CT340" i="1"/>
  <c r="CU340" i="1"/>
  <c r="CV340" i="1"/>
  <c r="BQ341" i="1"/>
  <c r="BR341" i="1"/>
  <c r="BS341" i="1"/>
  <c r="BV341" i="1"/>
  <c r="BW341" i="1"/>
  <c r="BX341" i="1"/>
  <c r="BY341" i="1"/>
  <c r="BZ341" i="1"/>
  <c r="CA341" i="1"/>
  <c r="CB341" i="1"/>
  <c r="CC341" i="1"/>
  <c r="CD341" i="1"/>
  <c r="CE341" i="1"/>
  <c r="CF341" i="1"/>
  <c r="CG341" i="1"/>
  <c r="CH341" i="1"/>
  <c r="CI341" i="1"/>
  <c r="CJ341" i="1"/>
  <c r="CK341" i="1"/>
  <c r="CL341" i="1"/>
  <c r="CM341" i="1"/>
  <c r="CN341" i="1"/>
  <c r="CO341" i="1"/>
  <c r="CP341" i="1"/>
  <c r="CQ341" i="1"/>
  <c r="CR341" i="1"/>
  <c r="CS341" i="1"/>
  <c r="CT341" i="1"/>
  <c r="CU341" i="1"/>
  <c r="CV341" i="1"/>
  <c r="BQ342" i="1"/>
  <c r="BR342" i="1"/>
  <c r="BS342" i="1"/>
  <c r="BV342" i="1"/>
  <c r="BW342" i="1"/>
  <c r="BX342" i="1"/>
  <c r="BY342" i="1"/>
  <c r="BZ342" i="1"/>
  <c r="CA342" i="1"/>
  <c r="CB342" i="1"/>
  <c r="CC342" i="1"/>
  <c r="CD342" i="1"/>
  <c r="CE342" i="1"/>
  <c r="CF342" i="1"/>
  <c r="CG342" i="1"/>
  <c r="CH342" i="1"/>
  <c r="CI342" i="1"/>
  <c r="CJ342" i="1"/>
  <c r="CK342" i="1"/>
  <c r="CL342" i="1"/>
  <c r="CM342" i="1"/>
  <c r="CN342" i="1"/>
  <c r="CO342" i="1"/>
  <c r="CP342" i="1"/>
  <c r="CQ342" i="1"/>
  <c r="CR342" i="1"/>
  <c r="CS342" i="1"/>
  <c r="CT342" i="1"/>
  <c r="CU342" i="1"/>
  <c r="CV342" i="1"/>
  <c r="BQ343" i="1"/>
  <c r="BR343" i="1"/>
  <c r="BS343" i="1"/>
  <c r="BV343" i="1"/>
  <c r="BW343" i="1"/>
  <c r="BX343" i="1"/>
  <c r="BY343" i="1"/>
  <c r="BZ343" i="1"/>
  <c r="CA343" i="1"/>
  <c r="CB343" i="1"/>
  <c r="CC343" i="1"/>
  <c r="CD343" i="1"/>
  <c r="CE343" i="1"/>
  <c r="CF343" i="1"/>
  <c r="CG343" i="1"/>
  <c r="CH343" i="1"/>
  <c r="CI343" i="1"/>
  <c r="CJ343" i="1"/>
  <c r="CK343" i="1"/>
  <c r="CL343" i="1"/>
  <c r="CM343" i="1"/>
  <c r="CN343" i="1"/>
  <c r="CO343" i="1"/>
  <c r="CP343" i="1"/>
  <c r="CQ343" i="1"/>
  <c r="CR343" i="1"/>
  <c r="CS343" i="1"/>
  <c r="CT343" i="1"/>
  <c r="CU343" i="1"/>
  <c r="CV343" i="1"/>
  <c r="BQ344" i="1"/>
  <c r="BR344" i="1"/>
  <c r="BS344" i="1"/>
  <c r="BV344" i="1"/>
  <c r="BW344" i="1"/>
  <c r="BX344" i="1"/>
  <c r="BY344" i="1"/>
  <c r="BZ344" i="1"/>
  <c r="CA344" i="1"/>
  <c r="CB344" i="1"/>
  <c r="CC344" i="1"/>
  <c r="CD344" i="1"/>
  <c r="CE344" i="1"/>
  <c r="CF344" i="1"/>
  <c r="CG344" i="1"/>
  <c r="CH344" i="1"/>
  <c r="CI344" i="1"/>
  <c r="CJ344" i="1"/>
  <c r="CK344" i="1"/>
  <c r="CL344" i="1"/>
  <c r="CM344" i="1"/>
  <c r="CN344" i="1"/>
  <c r="CO344" i="1"/>
  <c r="CP344" i="1"/>
  <c r="CQ344" i="1"/>
  <c r="CR344" i="1"/>
  <c r="CS344" i="1"/>
  <c r="CT344" i="1"/>
  <c r="CU344" i="1"/>
  <c r="CV344" i="1"/>
  <c r="BQ345" i="1"/>
  <c r="BR345" i="1"/>
  <c r="BS345" i="1"/>
  <c r="BV345" i="1"/>
  <c r="BW345" i="1"/>
  <c r="BX345" i="1"/>
  <c r="BY345" i="1"/>
  <c r="BZ345" i="1"/>
  <c r="CA345" i="1"/>
  <c r="CB345" i="1"/>
  <c r="CC345" i="1"/>
  <c r="CD345" i="1"/>
  <c r="CE345" i="1"/>
  <c r="CF345" i="1"/>
  <c r="CG345" i="1"/>
  <c r="CH345" i="1"/>
  <c r="CI345" i="1"/>
  <c r="CJ345" i="1"/>
  <c r="CK345" i="1"/>
  <c r="CL345" i="1"/>
  <c r="CM345" i="1"/>
  <c r="CN345" i="1"/>
  <c r="CO345" i="1"/>
  <c r="CP345" i="1"/>
  <c r="CQ345" i="1"/>
  <c r="CR345" i="1"/>
  <c r="CS345" i="1"/>
  <c r="CT345" i="1"/>
  <c r="CU345" i="1"/>
  <c r="CV345" i="1"/>
  <c r="BQ346" i="1"/>
  <c r="BR346" i="1"/>
  <c r="BS346" i="1"/>
  <c r="BV346" i="1"/>
  <c r="BW346" i="1"/>
  <c r="BX346" i="1"/>
  <c r="BY346" i="1"/>
  <c r="BZ346" i="1"/>
  <c r="CA346" i="1"/>
  <c r="CB346" i="1"/>
  <c r="CC346" i="1"/>
  <c r="CD346" i="1"/>
  <c r="CE346" i="1"/>
  <c r="CF346" i="1"/>
  <c r="CG346" i="1"/>
  <c r="CH346" i="1"/>
  <c r="CI346" i="1"/>
  <c r="CJ346" i="1"/>
  <c r="CK346" i="1"/>
  <c r="CL346" i="1"/>
  <c r="CM346" i="1"/>
  <c r="CN346" i="1"/>
  <c r="CO346" i="1"/>
  <c r="CP346" i="1"/>
  <c r="CQ346" i="1"/>
  <c r="CR346" i="1"/>
  <c r="CS346" i="1"/>
  <c r="CT346" i="1"/>
  <c r="CU346" i="1"/>
  <c r="CV346" i="1"/>
  <c r="BQ347" i="1"/>
  <c r="BR347" i="1"/>
  <c r="BS347" i="1"/>
  <c r="BV347" i="1"/>
  <c r="BW347" i="1"/>
  <c r="BX347" i="1"/>
  <c r="BY347" i="1"/>
  <c r="BZ347" i="1"/>
  <c r="CA347" i="1"/>
  <c r="CB347" i="1"/>
  <c r="CC347" i="1"/>
  <c r="CD347" i="1"/>
  <c r="CE347" i="1"/>
  <c r="CF347" i="1"/>
  <c r="CG347" i="1"/>
  <c r="CH347" i="1"/>
  <c r="CI347" i="1"/>
  <c r="CJ347" i="1"/>
  <c r="CK347" i="1"/>
  <c r="CL347" i="1"/>
  <c r="CM347" i="1"/>
  <c r="CN347" i="1"/>
  <c r="CO347" i="1"/>
  <c r="CP347" i="1"/>
  <c r="CQ347" i="1"/>
  <c r="CR347" i="1"/>
  <c r="CS347" i="1"/>
  <c r="CT347" i="1"/>
  <c r="CU347" i="1"/>
  <c r="CV347" i="1"/>
  <c r="BQ348" i="1"/>
  <c r="BR348" i="1"/>
  <c r="BS348" i="1"/>
  <c r="BV348" i="1"/>
  <c r="BW348" i="1"/>
  <c r="BX348" i="1"/>
  <c r="BY348" i="1"/>
  <c r="BZ348" i="1"/>
  <c r="CA348" i="1"/>
  <c r="CB348" i="1"/>
  <c r="CC348" i="1"/>
  <c r="CD348" i="1"/>
  <c r="CE348" i="1"/>
  <c r="CF348" i="1"/>
  <c r="CG348" i="1"/>
  <c r="CH348" i="1"/>
  <c r="CI348" i="1"/>
  <c r="CJ348" i="1"/>
  <c r="CK348" i="1"/>
  <c r="CL348" i="1"/>
  <c r="CM348" i="1"/>
  <c r="CN348" i="1"/>
  <c r="CO348" i="1"/>
  <c r="CP348" i="1"/>
  <c r="CQ348" i="1"/>
  <c r="CR348" i="1"/>
  <c r="CS348" i="1"/>
  <c r="CT348" i="1"/>
  <c r="CU348" i="1"/>
  <c r="CV348" i="1"/>
  <c r="BQ349" i="1"/>
  <c r="BR349" i="1"/>
  <c r="BS349" i="1"/>
  <c r="BV349" i="1"/>
  <c r="BW349" i="1"/>
  <c r="BX349" i="1"/>
  <c r="BY349" i="1"/>
  <c r="BZ349" i="1"/>
  <c r="CA349" i="1"/>
  <c r="CB349" i="1"/>
  <c r="CC349" i="1"/>
  <c r="CD349" i="1"/>
  <c r="CE349" i="1"/>
  <c r="CF349" i="1"/>
  <c r="CG349" i="1"/>
  <c r="CH349" i="1"/>
  <c r="CI349" i="1"/>
  <c r="CJ349" i="1"/>
  <c r="CK349" i="1"/>
  <c r="CL349" i="1"/>
  <c r="CM349" i="1"/>
  <c r="CN349" i="1"/>
  <c r="CO349" i="1"/>
  <c r="CP349" i="1"/>
  <c r="CQ349" i="1"/>
  <c r="CR349" i="1"/>
  <c r="CS349" i="1"/>
  <c r="CT349" i="1"/>
  <c r="CU349" i="1"/>
  <c r="CV349" i="1"/>
  <c r="BQ350" i="1"/>
  <c r="BR350" i="1"/>
  <c r="BS350" i="1"/>
  <c r="BV350" i="1"/>
  <c r="BW350" i="1"/>
  <c r="BX350" i="1"/>
  <c r="BY350" i="1"/>
  <c r="BZ350" i="1"/>
  <c r="CA350" i="1"/>
  <c r="CB350" i="1"/>
  <c r="CC350" i="1"/>
  <c r="CD350" i="1"/>
  <c r="CE350" i="1"/>
  <c r="CF350" i="1"/>
  <c r="CG350" i="1"/>
  <c r="CH350" i="1"/>
  <c r="CI350" i="1"/>
  <c r="CJ350" i="1"/>
  <c r="CK350" i="1"/>
  <c r="CL350" i="1"/>
  <c r="CM350" i="1"/>
  <c r="CN350" i="1"/>
  <c r="CO350" i="1"/>
  <c r="CP350" i="1"/>
  <c r="CQ350" i="1"/>
  <c r="CR350" i="1"/>
  <c r="CS350" i="1"/>
  <c r="CT350" i="1"/>
  <c r="CU350" i="1"/>
  <c r="CV350" i="1"/>
  <c r="BQ351" i="1"/>
  <c r="BR351" i="1"/>
  <c r="BS351" i="1"/>
  <c r="BV351" i="1"/>
  <c r="BW351" i="1"/>
  <c r="BX351" i="1"/>
  <c r="BY351" i="1"/>
  <c r="BZ351" i="1"/>
  <c r="CA351" i="1"/>
  <c r="CB351" i="1"/>
  <c r="CC351" i="1"/>
  <c r="CD351" i="1"/>
  <c r="CE351" i="1"/>
  <c r="CF351" i="1"/>
  <c r="CG351" i="1"/>
  <c r="CH351" i="1"/>
  <c r="CI351" i="1"/>
  <c r="CJ351" i="1"/>
  <c r="CK351" i="1"/>
  <c r="CL351" i="1"/>
  <c r="CM351" i="1"/>
  <c r="CN351" i="1"/>
  <c r="CO351" i="1"/>
  <c r="CP351" i="1"/>
  <c r="CQ351" i="1"/>
  <c r="CR351" i="1"/>
  <c r="CS351" i="1"/>
  <c r="CT351" i="1"/>
  <c r="CU351" i="1"/>
  <c r="CV351" i="1"/>
  <c r="BQ352" i="1"/>
  <c r="BR352" i="1"/>
  <c r="BS352" i="1"/>
  <c r="BV352" i="1"/>
  <c r="BW352" i="1"/>
  <c r="BX352" i="1"/>
  <c r="BY352" i="1"/>
  <c r="BZ352" i="1"/>
  <c r="CA352" i="1"/>
  <c r="CB352" i="1"/>
  <c r="CC352" i="1"/>
  <c r="CD352" i="1"/>
  <c r="CE352" i="1"/>
  <c r="CF352" i="1"/>
  <c r="CG352" i="1"/>
  <c r="CH352" i="1"/>
  <c r="CI352" i="1"/>
  <c r="CJ352" i="1"/>
  <c r="CK352" i="1"/>
  <c r="CL352" i="1"/>
  <c r="CM352" i="1"/>
  <c r="CN352" i="1"/>
  <c r="CO352" i="1"/>
  <c r="CP352" i="1"/>
  <c r="CQ352" i="1"/>
  <c r="CR352" i="1"/>
  <c r="CS352" i="1"/>
  <c r="CT352" i="1"/>
  <c r="CU352" i="1"/>
  <c r="CV352" i="1"/>
  <c r="BQ353" i="1"/>
  <c r="BR353" i="1"/>
  <c r="BS353" i="1"/>
  <c r="BV353" i="1"/>
  <c r="BW353" i="1"/>
  <c r="BX353" i="1"/>
  <c r="BY353" i="1"/>
  <c r="BZ353" i="1"/>
  <c r="CA353" i="1"/>
  <c r="CB353" i="1"/>
  <c r="CC353" i="1"/>
  <c r="CD353" i="1"/>
  <c r="CE353" i="1"/>
  <c r="CF353" i="1"/>
  <c r="CG353" i="1"/>
  <c r="CH353" i="1"/>
  <c r="CI353" i="1"/>
  <c r="CJ353" i="1"/>
  <c r="CK353" i="1"/>
  <c r="CL353" i="1"/>
  <c r="CM353" i="1"/>
  <c r="CN353" i="1"/>
  <c r="CO353" i="1"/>
  <c r="CP353" i="1"/>
  <c r="CQ353" i="1"/>
  <c r="CR353" i="1"/>
  <c r="CS353" i="1"/>
  <c r="CT353" i="1"/>
  <c r="CU353" i="1"/>
  <c r="CV353" i="1"/>
  <c r="BQ354" i="1"/>
  <c r="BR354" i="1"/>
  <c r="BS354" i="1"/>
  <c r="BV354" i="1"/>
  <c r="BW354" i="1"/>
  <c r="BX354" i="1"/>
  <c r="BY354" i="1"/>
  <c r="BZ354" i="1"/>
  <c r="CA354" i="1"/>
  <c r="CB354" i="1"/>
  <c r="CC354" i="1"/>
  <c r="CD354" i="1"/>
  <c r="CE354" i="1"/>
  <c r="CF354" i="1"/>
  <c r="CG354" i="1"/>
  <c r="CH354" i="1"/>
  <c r="CI354" i="1"/>
  <c r="CJ354" i="1"/>
  <c r="CK354" i="1"/>
  <c r="CL354" i="1"/>
  <c r="CM354" i="1"/>
  <c r="CN354" i="1"/>
  <c r="CO354" i="1"/>
  <c r="CP354" i="1"/>
  <c r="CQ354" i="1"/>
  <c r="CR354" i="1"/>
  <c r="CS354" i="1"/>
  <c r="CT354" i="1"/>
  <c r="CU354" i="1"/>
  <c r="CV354" i="1"/>
  <c r="BQ355" i="1"/>
  <c r="BR355" i="1"/>
  <c r="BS355" i="1"/>
  <c r="BV355" i="1"/>
  <c r="BW355" i="1"/>
  <c r="BX355" i="1"/>
  <c r="BY355" i="1"/>
  <c r="BZ355" i="1"/>
  <c r="CA355" i="1"/>
  <c r="CB355" i="1"/>
  <c r="CC355" i="1"/>
  <c r="CD355" i="1"/>
  <c r="CE355" i="1"/>
  <c r="CF355" i="1"/>
  <c r="CG355" i="1"/>
  <c r="CH355" i="1"/>
  <c r="CI355" i="1"/>
  <c r="CJ355" i="1"/>
  <c r="CK355" i="1"/>
  <c r="CL355" i="1"/>
  <c r="CM355" i="1"/>
  <c r="CN355" i="1"/>
  <c r="CO355" i="1"/>
  <c r="CP355" i="1"/>
  <c r="CQ355" i="1"/>
  <c r="CR355" i="1"/>
  <c r="CS355" i="1"/>
  <c r="CT355" i="1"/>
  <c r="CU355" i="1"/>
  <c r="CV355" i="1"/>
  <c r="BQ356" i="1"/>
  <c r="BR356" i="1"/>
  <c r="BS356" i="1"/>
  <c r="BV356" i="1"/>
  <c r="BW356" i="1"/>
  <c r="BX356" i="1"/>
  <c r="BY356" i="1"/>
  <c r="BZ356" i="1"/>
  <c r="CA356" i="1"/>
  <c r="CB356" i="1"/>
  <c r="CC356" i="1"/>
  <c r="CD356" i="1"/>
  <c r="CE356" i="1"/>
  <c r="CF356" i="1"/>
  <c r="CG356" i="1"/>
  <c r="CH356" i="1"/>
  <c r="CI356" i="1"/>
  <c r="CJ356" i="1"/>
  <c r="CK356" i="1"/>
  <c r="CL356" i="1"/>
  <c r="CM356" i="1"/>
  <c r="CN356" i="1"/>
  <c r="CO356" i="1"/>
  <c r="CP356" i="1"/>
  <c r="CQ356" i="1"/>
  <c r="CR356" i="1"/>
  <c r="CS356" i="1"/>
  <c r="CT356" i="1"/>
  <c r="CU356" i="1"/>
  <c r="CV356" i="1"/>
  <c r="BQ357" i="1"/>
  <c r="BR357" i="1"/>
  <c r="BS357" i="1"/>
  <c r="BV357" i="1"/>
  <c r="BW357" i="1"/>
  <c r="BX357" i="1"/>
  <c r="BY357" i="1"/>
  <c r="BZ357" i="1"/>
  <c r="CA357" i="1"/>
  <c r="CB357" i="1"/>
  <c r="CC357" i="1"/>
  <c r="CD357" i="1"/>
  <c r="CE357" i="1"/>
  <c r="CF357" i="1"/>
  <c r="CG357" i="1"/>
  <c r="CH357" i="1"/>
  <c r="CI357" i="1"/>
  <c r="CJ357" i="1"/>
  <c r="CK357" i="1"/>
  <c r="CL357" i="1"/>
  <c r="CM357" i="1"/>
  <c r="CN357" i="1"/>
  <c r="CO357" i="1"/>
  <c r="CP357" i="1"/>
  <c r="CQ357" i="1"/>
  <c r="CR357" i="1"/>
  <c r="CS357" i="1"/>
  <c r="CT357" i="1"/>
  <c r="CU357" i="1"/>
  <c r="CV357" i="1"/>
  <c r="BQ358" i="1"/>
  <c r="BR358" i="1"/>
  <c r="BS358" i="1"/>
  <c r="BV358" i="1"/>
  <c r="BW358" i="1"/>
  <c r="BX358" i="1"/>
  <c r="BY358" i="1"/>
  <c r="BZ358" i="1"/>
  <c r="CA358" i="1"/>
  <c r="CB358" i="1"/>
  <c r="CC358" i="1"/>
  <c r="CD358" i="1"/>
  <c r="CE358" i="1"/>
  <c r="CF358" i="1"/>
  <c r="CG358" i="1"/>
  <c r="CH358" i="1"/>
  <c r="CI358" i="1"/>
  <c r="CJ358" i="1"/>
  <c r="CK358" i="1"/>
  <c r="CL358" i="1"/>
  <c r="CM358" i="1"/>
  <c r="CN358" i="1"/>
  <c r="CO358" i="1"/>
  <c r="CP358" i="1"/>
  <c r="CQ358" i="1"/>
  <c r="CR358" i="1"/>
  <c r="CS358" i="1"/>
  <c r="CT358" i="1"/>
  <c r="CU358" i="1"/>
  <c r="CV358" i="1"/>
  <c r="BQ359" i="1"/>
  <c r="BR359" i="1"/>
  <c r="BS359" i="1"/>
  <c r="BV359" i="1"/>
  <c r="BW359" i="1"/>
  <c r="BX359" i="1"/>
  <c r="BY359" i="1"/>
  <c r="BZ359" i="1"/>
  <c r="CA359" i="1"/>
  <c r="CB359" i="1"/>
  <c r="CC359" i="1"/>
  <c r="CD359" i="1"/>
  <c r="CE359" i="1"/>
  <c r="CF359" i="1"/>
  <c r="CG359" i="1"/>
  <c r="CH359" i="1"/>
  <c r="CI359" i="1"/>
  <c r="CJ359" i="1"/>
  <c r="CK359" i="1"/>
  <c r="CL359" i="1"/>
  <c r="CM359" i="1"/>
  <c r="CN359" i="1"/>
  <c r="CO359" i="1"/>
  <c r="CP359" i="1"/>
  <c r="CQ359" i="1"/>
  <c r="CR359" i="1"/>
  <c r="CS359" i="1"/>
  <c r="CT359" i="1"/>
  <c r="CU359" i="1"/>
  <c r="CV359" i="1"/>
  <c r="BQ360" i="1"/>
  <c r="BR360" i="1"/>
  <c r="BS360" i="1"/>
  <c r="BV360" i="1"/>
  <c r="BW360" i="1"/>
  <c r="BX360" i="1"/>
  <c r="BY360" i="1"/>
  <c r="BZ360" i="1"/>
  <c r="CA360" i="1"/>
  <c r="CB360" i="1"/>
  <c r="CC360" i="1"/>
  <c r="CD360" i="1"/>
  <c r="CE360" i="1"/>
  <c r="CF360" i="1"/>
  <c r="CG360" i="1"/>
  <c r="CH360" i="1"/>
  <c r="CI360" i="1"/>
  <c r="CJ360" i="1"/>
  <c r="CK360" i="1"/>
  <c r="CL360" i="1"/>
  <c r="CM360" i="1"/>
  <c r="CN360" i="1"/>
  <c r="CO360" i="1"/>
  <c r="CP360" i="1"/>
  <c r="CQ360" i="1"/>
  <c r="CR360" i="1"/>
  <c r="CS360" i="1"/>
  <c r="CT360" i="1"/>
  <c r="CU360" i="1"/>
  <c r="CV360" i="1"/>
  <c r="BQ361" i="1"/>
  <c r="BR361" i="1"/>
  <c r="BS361" i="1"/>
  <c r="BV361" i="1"/>
  <c r="BW361" i="1"/>
  <c r="BX361" i="1"/>
  <c r="BY361" i="1"/>
  <c r="BZ361" i="1"/>
  <c r="CA361" i="1"/>
  <c r="CB361" i="1"/>
  <c r="CC361" i="1"/>
  <c r="CD361" i="1"/>
  <c r="CE361" i="1"/>
  <c r="CF361" i="1"/>
  <c r="CG361" i="1"/>
  <c r="CH361" i="1"/>
  <c r="CI361" i="1"/>
  <c r="CJ361" i="1"/>
  <c r="CK361" i="1"/>
  <c r="CL361" i="1"/>
  <c r="CM361" i="1"/>
  <c r="CN361" i="1"/>
  <c r="CO361" i="1"/>
  <c r="CP361" i="1"/>
  <c r="CQ361" i="1"/>
  <c r="CR361" i="1"/>
  <c r="CS361" i="1"/>
  <c r="CT361" i="1"/>
  <c r="CU361" i="1"/>
  <c r="CV361" i="1"/>
  <c r="BQ362" i="1"/>
  <c r="BR362" i="1"/>
  <c r="BS362" i="1"/>
  <c r="BV362" i="1"/>
  <c r="BW362" i="1"/>
  <c r="BX362" i="1"/>
  <c r="BY362" i="1"/>
  <c r="BZ362" i="1"/>
  <c r="CA362" i="1"/>
  <c r="CB362" i="1"/>
  <c r="CC362" i="1"/>
  <c r="CD362" i="1"/>
  <c r="CE362" i="1"/>
  <c r="CF362" i="1"/>
  <c r="CG362" i="1"/>
  <c r="CH362" i="1"/>
  <c r="CI362" i="1"/>
  <c r="CJ362" i="1"/>
  <c r="CK362" i="1"/>
  <c r="CL362" i="1"/>
  <c r="CM362" i="1"/>
  <c r="CN362" i="1"/>
  <c r="CO362" i="1"/>
  <c r="CP362" i="1"/>
  <c r="CQ362" i="1"/>
  <c r="CR362" i="1"/>
  <c r="CS362" i="1"/>
  <c r="CT362" i="1"/>
  <c r="CU362" i="1"/>
  <c r="CV362" i="1"/>
  <c r="BQ363" i="1"/>
  <c r="BR363" i="1"/>
  <c r="BS363" i="1"/>
  <c r="BV363" i="1"/>
  <c r="BW363" i="1"/>
  <c r="BX363" i="1"/>
  <c r="BY363" i="1"/>
  <c r="BZ363" i="1"/>
  <c r="CA363" i="1"/>
  <c r="CB363" i="1"/>
  <c r="CC363" i="1"/>
  <c r="CD363" i="1"/>
  <c r="CE363" i="1"/>
  <c r="CF363" i="1"/>
  <c r="CG363" i="1"/>
  <c r="CH363" i="1"/>
  <c r="CI363" i="1"/>
  <c r="CJ363" i="1"/>
  <c r="CK363" i="1"/>
  <c r="CL363" i="1"/>
  <c r="CM363" i="1"/>
  <c r="CN363" i="1"/>
  <c r="CO363" i="1"/>
  <c r="CP363" i="1"/>
  <c r="CQ363" i="1"/>
  <c r="CR363" i="1"/>
  <c r="CS363" i="1"/>
  <c r="CT363" i="1"/>
  <c r="CU363" i="1"/>
  <c r="CV363" i="1"/>
  <c r="BQ364" i="1"/>
  <c r="BR364" i="1"/>
  <c r="BS364" i="1"/>
  <c r="BV364" i="1"/>
  <c r="BW364" i="1"/>
  <c r="BX364" i="1"/>
  <c r="BY364" i="1"/>
  <c r="BZ364" i="1"/>
  <c r="CA364" i="1"/>
  <c r="CB364" i="1"/>
  <c r="CC364" i="1"/>
  <c r="CD364" i="1"/>
  <c r="CE364" i="1"/>
  <c r="CF364" i="1"/>
  <c r="CG364" i="1"/>
  <c r="CH364" i="1"/>
  <c r="CI364" i="1"/>
  <c r="CJ364" i="1"/>
  <c r="CK364" i="1"/>
  <c r="CL364" i="1"/>
  <c r="CM364" i="1"/>
  <c r="CN364" i="1"/>
  <c r="CO364" i="1"/>
  <c r="CP364" i="1"/>
  <c r="CQ364" i="1"/>
  <c r="CR364" i="1"/>
  <c r="CS364" i="1"/>
  <c r="CT364" i="1"/>
  <c r="CU364" i="1"/>
  <c r="CV364" i="1"/>
  <c r="BQ365" i="1"/>
  <c r="BR365" i="1"/>
  <c r="BS365" i="1"/>
  <c r="BV365" i="1"/>
  <c r="BW365" i="1"/>
  <c r="BX365" i="1"/>
  <c r="BY365" i="1"/>
  <c r="BZ365" i="1"/>
  <c r="CA365" i="1"/>
  <c r="CB365" i="1"/>
  <c r="CC365" i="1"/>
  <c r="CD365" i="1"/>
  <c r="CE365" i="1"/>
  <c r="CF365" i="1"/>
  <c r="CG365" i="1"/>
  <c r="CH365" i="1"/>
  <c r="CI365" i="1"/>
  <c r="CJ365" i="1"/>
  <c r="CK365" i="1"/>
  <c r="CL365" i="1"/>
  <c r="CM365" i="1"/>
  <c r="CN365" i="1"/>
  <c r="CO365" i="1"/>
  <c r="CP365" i="1"/>
  <c r="CQ365" i="1"/>
  <c r="CR365" i="1"/>
  <c r="CS365" i="1"/>
  <c r="CT365" i="1"/>
  <c r="CU365" i="1"/>
  <c r="CV365" i="1"/>
  <c r="BQ366" i="1"/>
  <c r="BR366" i="1"/>
  <c r="BS366" i="1"/>
  <c r="BV366" i="1"/>
  <c r="BW366" i="1"/>
  <c r="BX366" i="1"/>
  <c r="BY366" i="1"/>
  <c r="BZ366" i="1"/>
  <c r="CA366" i="1"/>
  <c r="CB366" i="1"/>
  <c r="CC366" i="1"/>
  <c r="CD366" i="1"/>
  <c r="CE366" i="1"/>
  <c r="CF366" i="1"/>
  <c r="CG366" i="1"/>
  <c r="CH366" i="1"/>
  <c r="CI366" i="1"/>
  <c r="CJ366" i="1"/>
  <c r="CK366" i="1"/>
  <c r="CL366" i="1"/>
  <c r="CM366" i="1"/>
  <c r="CN366" i="1"/>
  <c r="CO366" i="1"/>
  <c r="CP366" i="1"/>
  <c r="CQ366" i="1"/>
  <c r="CR366" i="1"/>
  <c r="CS366" i="1"/>
  <c r="CT366" i="1"/>
  <c r="CU366" i="1"/>
  <c r="CV366" i="1"/>
  <c r="BQ367" i="1"/>
  <c r="BR367" i="1"/>
  <c r="BS367" i="1"/>
  <c r="BV367" i="1"/>
  <c r="BW367" i="1"/>
  <c r="BX367" i="1"/>
  <c r="BY367" i="1"/>
  <c r="BZ367" i="1"/>
  <c r="CA367" i="1"/>
  <c r="CB367" i="1"/>
  <c r="CC367" i="1"/>
  <c r="CD367" i="1"/>
  <c r="CE367" i="1"/>
  <c r="CF367" i="1"/>
  <c r="CG367" i="1"/>
  <c r="CH367" i="1"/>
  <c r="CI367" i="1"/>
  <c r="CJ367" i="1"/>
  <c r="CK367" i="1"/>
  <c r="CL367" i="1"/>
  <c r="CM367" i="1"/>
  <c r="CN367" i="1"/>
  <c r="CO367" i="1"/>
  <c r="CP367" i="1"/>
  <c r="CQ367" i="1"/>
  <c r="CR367" i="1"/>
  <c r="CS367" i="1"/>
  <c r="CT367" i="1"/>
  <c r="CU367" i="1"/>
  <c r="CV367" i="1"/>
  <c r="BQ368" i="1"/>
  <c r="BR368" i="1"/>
  <c r="BS368" i="1"/>
  <c r="BV368" i="1"/>
  <c r="BW368" i="1"/>
  <c r="BX368" i="1"/>
  <c r="BY368" i="1"/>
  <c r="BZ368" i="1"/>
  <c r="CA368" i="1"/>
  <c r="CB368" i="1"/>
  <c r="CC368" i="1"/>
  <c r="CD368" i="1"/>
  <c r="CE368" i="1"/>
  <c r="CF368" i="1"/>
  <c r="CG368" i="1"/>
  <c r="CH368" i="1"/>
  <c r="CI368" i="1"/>
  <c r="CJ368" i="1"/>
  <c r="CK368" i="1"/>
  <c r="CL368" i="1"/>
  <c r="CM368" i="1"/>
  <c r="CN368" i="1"/>
  <c r="CO368" i="1"/>
  <c r="CP368" i="1"/>
  <c r="CQ368" i="1"/>
  <c r="CR368" i="1"/>
  <c r="CS368" i="1"/>
  <c r="CT368" i="1"/>
  <c r="CU368" i="1"/>
  <c r="CV368" i="1"/>
  <c r="BQ369" i="1"/>
  <c r="BR369" i="1"/>
  <c r="BS369" i="1"/>
  <c r="BV369" i="1"/>
  <c r="BW369" i="1"/>
  <c r="BX369" i="1"/>
  <c r="BY369" i="1"/>
  <c r="BZ369" i="1"/>
  <c r="CA369" i="1"/>
  <c r="CB369" i="1"/>
  <c r="CC369" i="1"/>
  <c r="CD369" i="1"/>
  <c r="CE369" i="1"/>
  <c r="CF369" i="1"/>
  <c r="CG369" i="1"/>
  <c r="CH369" i="1"/>
  <c r="CI369" i="1"/>
  <c r="CJ369" i="1"/>
  <c r="CK369" i="1"/>
  <c r="CL369" i="1"/>
  <c r="CM369" i="1"/>
  <c r="CN369" i="1"/>
  <c r="CO369" i="1"/>
  <c r="CP369" i="1"/>
  <c r="CQ369" i="1"/>
  <c r="CR369" i="1"/>
  <c r="CS369" i="1"/>
  <c r="CT369" i="1"/>
  <c r="CU369" i="1"/>
  <c r="CV369" i="1"/>
  <c r="BQ370" i="1"/>
  <c r="BR370" i="1"/>
  <c r="BS370" i="1"/>
  <c r="BV370" i="1"/>
  <c r="BW370" i="1"/>
  <c r="BX370" i="1"/>
  <c r="BY370" i="1"/>
  <c r="BZ370" i="1"/>
  <c r="CA370" i="1"/>
  <c r="CB370" i="1"/>
  <c r="CC370" i="1"/>
  <c r="CD370" i="1"/>
  <c r="CE370" i="1"/>
  <c r="CF370" i="1"/>
  <c r="CG370" i="1"/>
  <c r="CH370" i="1"/>
  <c r="CI370" i="1"/>
  <c r="CJ370" i="1"/>
  <c r="CK370" i="1"/>
  <c r="CL370" i="1"/>
  <c r="CM370" i="1"/>
  <c r="CN370" i="1"/>
  <c r="CO370" i="1"/>
  <c r="CP370" i="1"/>
  <c r="CQ370" i="1"/>
  <c r="CR370" i="1"/>
  <c r="CS370" i="1"/>
  <c r="CT370" i="1"/>
  <c r="CU370" i="1"/>
  <c r="CV370" i="1"/>
  <c r="BQ371" i="1"/>
  <c r="BR371" i="1"/>
  <c r="BS371" i="1"/>
  <c r="BV371" i="1"/>
  <c r="BW371" i="1"/>
  <c r="BX371" i="1"/>
  <c r="BY371" i="1"/>
  <c r="BZ371" i="1"/>
  <c r="CA371" i="1"/>
  <c r="CB371" i="1"/>
  <c r="CC371" i="1"/>
  <c r="CD371" i="1"/>
  <c r="CE371" i="1"/>
  <c r="CF371" i="1"/>
  <c r="CG371" i="1"/>
  <c r="CH371" i="1"/>
  <c r="CI371" i="1"/>
  <c r="CJ371" i="1"/>
  <c r="CK371" i="1"/>
  <c r="CL371" i="1"/>
  <c r="CM371" i="1"/>
  <c r="CN371" i="1"/>
  <c r="CO371" i="1"/>
  <c r="CP371" i="1"/>
  <c r="CQ371" i="1"/>
  <c r="CR371" i="1"/>
  <c r="CS371" i="1"/>
  <c r="CT371" i="1"/>
  <c r="CU371" i="1"/>
  <c r="CV371" i="1"/>
  <c r="BQ372" i="1"/>
  <c r="BR372" i="1"/>
  <c r="BS372" i="1"/>
  <c r="BV372" i="1"/>
  <c r="BW372" i="1"/>
  <c r="BX372" i="1"/>
  <c r="BY372" i="1"/>
  <c r="BZ372" i="1"/>
  <c r="CA372" i="1"/>
  <c r="CB372" i="1"/>
  <c r="CC372" i="1"/>
  <c r="CD372" i="1"/>
  <c r="CE372" i="1"/>
  <c r="CF372" i="1"/>
  <c r="CG372" i="1"/>
  <c r="CH372" i="1"/>
  <c r="CI372" i="1"/>
  <c r="CJ372" i="1"/>
  <c r="CK372" i="1"/>
  <c r="CL372" i="1"/>
  <c r="CM372" i="1"/>
  <c r="CN372" i="1"/>
  <c r="CO372" i="1"/>
  <c r="CP372" i="1"/>
  <c r="CQ372" i="1"/>
  <c r="CR372" i="1"/>
  <c r="CS372" i="1"/>
  <c r="CT372" i="1"/>
  <c r="CU372" i="1"/>
  <c r="CV372" i="1"/>
  <c r="BQ373" i="1"/>
  <c r="BR373" i="1"/>
  <c r="BS373" i="1"/>
  <c r="BV373" i="1"/>
  <c r="BW373" i="1"/>
  <c r="BX373" i="1"/>
  <c r="BY373" i="1"/>
  <c r="BZ373" i="1"/>
  <c r="CA373" i="1"/>
  <c r="CB373" i="1"/>
  <c r="CC373" i="1"/>
  <c r="CD373" i="1"/>
  <c r="CE373" i="1"/>
  <c r="CF373" i="1"/>
  <c r="CG373" i="1"/>
  <c r="CH373" i="1"/>
  <c r="CI373" i="1"/>
  <c r="CJ373" i="1"/>
  <c r="CK373" i="1"/>
  <c r="CL373" i="1"/>
  <c r="CM373" i="1"/>
  <c r="CN373" i="1"/>
  <c r="CO373" i="1"/>
  <c r="CP373" i="1"/>
  <c r="CQ373" i="1"/>
  <c r="CR373" i="1"/>
  <c r="CS373" i="1"/>
  <c r="CT373" i="1"/>
  <c r="CU373" i="1"/>
  <c r="CV373" i="1"/>
  <c r="BQ374" i="1"/>
  <c r="BR374" i="1"/>
  <c r="BS374" i="1"/>
  <c r="BV374" i="1"/>
  <c r="BW374" i="1"/>
  <c r="BX374" i="1"/>
  <c r="BY374" i="1"/>
  <c r="BZ374" i="1"/>
  <c r="CA374" i="1"/>
  <c r="CB374" i="1"/>
  <c r="CC374" i="1"/>
  <c r="CD374" i="1"/>
  <c r="CE374" i="1"/>
  <c r="CF374" i="1"/>
  <c r="CG374" i="1"/>
  <c r="CH374" i="1"/>
  <c r="CI374" i="1"/>
  <c r="CJ374" i="1"/>
  <c r="CK374" i="1"/>
  <c r="CL374" i="1"/>
  <c r="CM374" i="1"/>
  <c r="CN374" i="1"/>
  <c r="CO374" i="1"/>
  <c r="CP374" i="1"/>
  <c r="CQ374" i="1"/>
  <c r="CR374" i="1"/>
  <c r="CS374" i="1"/>
  <c r="CT374" i="1"/>
  <c r="CU374" i="1"/>
  <c r="CV374" i="1"/>
  <c r="BQ375" i="1"/>
  <c r="BR375" i="1"/>
  <c r="BS375" i="1"/>
  <c r="BV375" i="1"/>
  <c r="BW375" i="1"/>
  <c r="BX375" i="1"/>
  <c r="BY375" i="1"/>
  <c r="BZ375" i="1"/>
  <c r="CA375" i="1"/>
  <c r="CB375" i="1"/>
  <c r="CC375" i="1"/>
  <c r="CD375" i="1"/>
  <c r="CE375" i="1"/>
  <c r="CF375" i="1"/>
  <c r="CG375" i="1"/>
  <c r="CH375" i="1"/>
  <c r="CI375" i="1"/>
  <c r="CJ375" i="1"/>
  <c r="CK375" i="1"/>
  <c r="CL375" i="1"/>
  <c r="CM375" i="1"/>
  <c r="CN375" i="1"/>
  <c r="CO375" i="1"/>
  <c r="CP375" i="1"/>
  <c r="CQ375" i="1"/>
  <c r="CR375" i="1"/>
  <c r="CS375" i="1"/>
  <c r="CT375" i="1"/>
  <c r="CU375" i="1"/>
  <c r="CV375" i="1"/>
  <c r="BQ376" i="1"/>
  <c r="BR376" i="1"/>
  <c r="BS376" i="1"/>
  <c r="BV376" i="1"/>
  <c r="BW376" i="1"/>
  <c r="BX376" i="1"/>
  <c r="BY376" i="1"/>
  <c r="BZ376" i="1"/>
  <c r="CA376" i="1"/>
  <c r="CB376" i="1"/>
  <c r="CC376" i="1"/>
  <c r="CD376" i="1"/>
  <c r="CE376" i="1"/>
  <c r="CF376" i="1"/>
  <c r="CG376" i="1"/>
  <c r="CH376" i="1"/>
  <c r="CI376" i="1"/>
  <c r="CJ376" i="1"/>
  <c r="CK376" i="1"/>
  <c r="CL376" i="1"/>
  <c r="CM376" i="1"/>
  <c r="CN376" i="1"/>
  <c r="CO376" i="1"/>
  <c r="CP376" i="1"/>
  <c r="CQ376" i="1"/>
  <c r="CR376" i="1"/>
  <c r="CS376" i="1"/>
  <c r="CT376" i="1"/>
  <c r="CU376" i="1"/>
  <c r="CV376" i="1"/>
  <c r="BQ377" i="1"/>
  <c r="BR377" i="1"/>
  <c r="BS377" i="1"/>
  <c r="BV377" i="1"/>
  <c r="BW377" i="1"/>
  <c r="BX377" i="1"/>
  <c r="BY377" i="1"/>
  <c r="BZ377" i="1"/>
  <c r="CA377" i="1"/>
  <c r="CB377" i="1"/>
  <c r="CC377" i="1"/>
  <c r="CD377" i="1"/>
  <c r="CE377" i="1"/>
  <c r="CF377" i="1"/>
  <c r="CG377" i="1"/>
  <c r="CH377" i="1"/>
  <c r="CI377" i="1"/>
  <c r="CJ377" i="1"/>
  <c r="CK377" i="1"/>
  <c r="CL377" i="1"/>
  <c r="CM377" i="1"/>
  <c r="CN377" i="1"/>
  <c r="CO377" i="1"/>
  <c r="CP377" i="1"/>
  <c r="CQ377" i="1"/>
  <c r="CR377" i="1"/>
  <c r="CS377" i="1"/>
  <c r="CT377" i="1"/>
  <c r="CU377" i="1"/>
  <c r="CV377" i="1"/>
  <c r="BQ378" i="1"/>
  <c r="BR378" i="1"/>
  <c r="BS378" i="1"/>
  <c r="BV378" i="1"/>
  <c r="BW378" i="1"/>
  <c r="BX378" i="1"/>
  <c r="BY378" i="1"/>
  <c r="BZ378" i="1"/>
  <c r="CA378" i="1"/>
  <c r="CB378" i="1"/>
  <c r="CC378" i="1"/>
  <c r="CD378" i="1"/>
  <c r="CE378" i="1"/>
  <c r="CF378" i="1"/>
  <c r="CG378" i="1"/>
  <c r="CH378" i="1"/>
  <c r="CI378" i="1"/>
  <c r="CJ378" i="1"/>
  <c r="CK378" i="1"/>
  <c r="CL378" i="1"/>
  <c r="CM378" i="1"/>
  <c r="CN378" i="1"/>
  <c r="CO378" i="1"/>
  <c r="CP378" i="1"/>
  <c r="CQ378" i="1"/>
  <c r="CR378" i="1"/>
  <c r="CS378" i="1"/>
  <c r="CT378" i="1"/>
  <c r="CU378" i="1"/>
  <c r="CV378" i="1"/>
  <c r="BQ379" i="1"/>
  <c r="BR379" i="1"/>
  <c r="BS379" i="1"/>
  <c r="BV379" i="1"/>
  <c r="BW379" i="1"/>
  <c r="BX379" i="1"/>
  <c r="BY379" i="1"/>
  <c r="BZ379" i="1"/>
  <c r="CA379" i="1"/>
  <c r="CB379" i="1"/>
  <c r="CC379" i="1"/>
  <c r="CD379" i="1"/>
  <c r="CE379" i="1"/>
  <c r="CF379" i="1"/>
  <c r="CG379" i="1"/>
  <c r="CH379" i="1"/>
  <c r="CI379" i="1"/>
  <c r="CJ379" i="1"/>
  <c r="CK379" i="1"/>
  <c r="CL379" i="1"/>
  <c r="CM379" i="1"/>
  <c r="CN379" i="1"/>
  <c r="CO379" i="1"/>
  <c r="CP379" i="1"/>
  <c r="CQ379" i="1"/>
  <c r="CR379" i="1"/>
  <c r="CS379" i="1"/>
  <c r="CT379" i="1"/>
  <c r="CU379" i="1"/>
  <c r="CV379" i="1"/>
  <c r="BQ380" i="1"/>
  <c r="BR380" i="1"/>
  <c r="BS380" i="1"/>
  <c r="BV380" i="1"/>
  <c r="BW380" i="1"/>
  <c r="BX380" i="1"/>
  <c r="BY380" i="1"/>
  <c r="BZ380" i="1"/>
  <c r="CA380" i="1"/>
  <c r="CB380" i="1"/>
  <c r="CC380" i="1"/>
  <c r="CD380" i="1"/>
  <c r="CE380" i="1"/>
  <c r="CF380" i="1"/>
  <c r="CG380" i="1"/>
  <c r="CH380" i="1"/>
  <c r="CI380" i="1"/>
  <c r="CJ380" i="1"/>
  <c r="CK380" i="1"/>
  <c r="CL380" i="1"/>
  <c r="CM380" i="1"/>
  <c r="CN380" i="1"/>
  <c r="CO380" i="1"/>
  <c r="CP380" i="1"/>
  <c r="CQ380" i="1"/>
  <c r="CR380" i="1"/>
  <c r="CS380" i="1"/>
  <c r="CT380" i="1"/>
  <c r="CU380" i="1"/>
  <c r="CV380" i="1"/>
  <c r="BQ381" i="1"/>
  <c r="BR381" i="1"/>
  <c r="BS381" i="1"/>
  <c r="BV381" i="1"/>
  <c r="BW381" i="1"/>
  <c r="BX381" i="1"/>
  <c r="BY381" i="1"/>
  <c r="BZ381" i="1"/>
  <c r="CA381" i="1"/>
  <c r="CB381" i="1"/>
  <c r="CC381" i="1"/>
  <c r="CD381" i="1"/>
  <c r="CE381" i="1"/>
  <c r="CF381" i="1"/>
  <c r="CG381" i="1"/>
  <c r="CH381" i="1"/>
  <c r="CI381" i="1"/>
  <c r="CJ381" i="1"/>
  <c r="CK381" i="1"/>
  <c r="CL381" i="1"/>
  <c r="CM381" i="1"/>
  <c r="CN381" i="1"/>
  <c r="CO381" i="1"/>
  <c r="CP381" i="1"/>
  <c r="CQ381" i="1"/>
  <c r="CR381" i="1"/>
  <c r="CS381" i="1"/>
  <c r="CT381" i="1"/>
  <c r="CU381" i="1"/>
  <c r="CV381" i="1"/>
  <c r="BQ382" i="1"/>
  <c r="BR382" i="1"/>
  <c r="BS382" i="1"/>
  <c r="BV382" i="1"/>
  <c r="BW382" i="1"/>
  <c r="BX382" i="1"/>
  <c r="BY382" i="1"/>
  <c r="BZ382" i="1"/>
  <c r="CA382" i="1"/>
  <c r="CB382" i="1"/>
  <c r="CC382" i="1"/>
  <c r="CD382" i="1"/>
  <c r="CE382" i="1"/>
  <c r="CF382" i="1"/>
  <c r="CG382" i="1"/>
  <c r="CH382" i="1"/>
  <c r="CI382" i="1"/>
  <c r="CJ382" i="1"/>
  <c r="CK382" i="1"/>
  <c r="CL382" i="1"/>
  <c r="CM382" i="1"/>
  <c r="CN382" i="1"/>
  <c r="CO382" i="1"/>
  <c r="CP382" i="1"/>
  <c r="CQ382" i="1"/>
  <c r="CR382" i="1"/>
  <c r="CS382" i="1"/>
  <c r="CT382" i="1"/>
  <c r="CU382" i="1"/>
  <c r="CV382" i="1"/>
  <c r="BQ383" i="1"/>
  <c r="BR383" i="1"/>
  <c r="BS383" i="1"/>
  <c r="BV383" i="1"/>
  <c r="BW383" i="1"/>
  <c r="BX383" i="1"/>
  <c r="BY383" i="1"/>
  <c r="BZ383" i="1"/>
  <c r="CA383" i="1"/>
  <c r="CB383" i="1"/>
  <c r="CC383" i="1"/>
  <c r="CD383" i="1"/>
  <c r="CE383" i="1"/>
  <c r="CF383" i="1"/>
  <c r="CG383" i="1"/>
  <c r="CH383" i="1"/>
  <c r="CI383" i="1"/>
  <c r="CJ383" i="1"/>
  <c r="CK383" i="1"/>
  <c r="CL383" i="1"/>
  <c r="CM383" i="1"/>
  <c r="CN383" i="1"/>
  <c r="CO383" i="1"/>
  <c r="CP383" i="1"/>
  <c r="CQ383" i="1"/>
  <c r="CR383" i="1"/>
  <c r="CS383" i="1"/>
  <c r="CT383" i="1"/>
  <c r="CU383" i="1"/>
  <c r="CV383" i="1"/>
  <c r="BQ384" i="1"/>
  <c r="BR384" i="1"/>
  <c r="BS384" i="1"/>
  <c r="BV384" i="1"/>
  <c r="BW384" i="1"/>
  <c r="BX384" i="1"/>
  <c r="BY384" i="1"/>
  <c r="BZ384" i="1"/>
  <c r="CA384" i="1"/>
  <c r="CB384" i="1"/>
  <c r="CC384" i="1"/>
  <c r="CD384" i="1"/>
  <c r="CE384" i="1"/>
  <c r="CF384" i="1"/>
  <c r="CG384" i="1"/>
  <c r="CH384" i="1"/>
  <c r="CI384" i="1"/>
  <c r="CJ384" i="1"/>
  <c r="CK384" i="1"/>
  <c r="CL384" i="1"/>
  <c r="CM384" i="1"/>
  <c r="CN384" i="1"/>
  <c r="CO384" i="1"/>
  <c r="CP384" i="1"/>
  <c r="CQ384" i="1"/>
  <c r="CR384" i="1"/>
  <c r="CS384" i="1"/>
  <c r="CT384" i="1"/>
  <c r="CU384" i="1"/>
  <c r="CV384" i="1"/>
  <c r="BQ385" i="1"/>
  <c r="BR385" i="1"/>
  <c r="BS385" i="1"/>
  <c r="BV385" i="1"/>
  <c r="BW385" i="1"/>
  <c r="BX385" i="1"/>
  <c r="BY385" i="1"/>
  <c r="BZ385" i="1"/>
  <c r="CA385" i="1"/>
  <c r="CB385" i="1"/>
  <c r="CC385" i="1"/>
  <c r="CD385" i="1"/>
  <c r="CE385" i="1"/>
  <c r="CF385" i="1"/>
  <c r="CG385" i="1"/>
  <c r="CH385" i="1"/>
  <c r="CI385" i="1"/>
  <c r="CJ385" i="1"/>
  <c r="CK385" i="1"/>
  <c r="CL385" i="1"/>
  <c r="CM385" i="1"/>
  <c r="CN385" i="1"/>
  <c r="CO385" i="1"/>
  <c r="CP385" i="1"/>
  <c r="CQ385" i="1"/>
  <c r="CR385" i="1"/>
  <c r="CS385" i="1"/>
  <c r="CT385" i="1"/>
  <c r="CU385" i="1"/>
  <c r="CV385" i="1"/>
  <c r="BQ386" i="1"/>
  <c r="BR386" i="1"/>
  <c r="BS386" i="1"/>
  <c r="BV386" i="1"/>
  <c r="BW386" i="1"/>
  <c r="BX386" i="1"/>
  <c r="BY386" i="1"/>
  <c r="BZ386" i="1"/>
  <c r="CA386" i="1"/>
  <c r="CB386" i="1"/>
  <c r="CC386" i="1"/>
  <c r="CD386" i="1"/>
  <c r="CE386" i="1"/>
  <c r="CF386" i="1"/>
  <c r="CG386" i="1"/>
  <c r="CH386" i="1"/>
  <c r="CI386" i="1"/>
  <c r="CJ386" i="1"/>
  <c r="CK386" i="1"/>
  <c r="CL386" i="1"/>
  <c r="CM386" i="1"/>
  <c r="CN386" i="1"/>
  <c r="CO386" i="1"/>
  <c r="CP386" i="1"/>
  <c r="CQ386" i="1"/>
  <c r="CR386" i="1"/>
  <c r="CS386" i="1"/>
  <c r="CT386" i="1"/>
  <c r="CU386" i="1"/>
  <c r="CV386" i="1"/>
  <c r="BQ387" i="1"/>
  <c r="BR387" i="1"/>
  <c r="BS387" i="1"/>
  <c r="BV387" i="1"/>
  <c r="BW387" i="1"/>
  <c r="BX387" i="1"/>
  <c r="BY387" i="1"/>
  <c r="BZ387" i="1"/>
  <c r="CA387" i="1"/>
  <c r="CB387" i="1"/>
  <c r="CC387" i="1"/>
  <c r="CD387" i="1"/>
  <c r="CE387" i="1"/>
  <c r="CF387" i="1"/>
  <c r="CG387" i="1"/>
  <c r="CH387" i="1"/>
  <c r="CI387" i="1"/>
  <c r="CJ387" i="1"/>
  <c r="CK387" i="1"/>
  <c r="CL387" i="1"/>
  <c r="CM387" i="1"/>
  <c r="CN387" i="1"/>
  <c r="CO387" i="1"/>
  <c r="CP387" i="1"/>
  <c r="CQ387" i="1"/>
  <c r="CR387" i="1"/>
  <c r="CS387" i="1"/>
  <c r="CT387" i="1"/>
  <c r="CU387" i="1"/>
  <c r="CV387" i="1"/>
  <c r="BQ388" i="1"/>
  <c r="BR388" i="1"/>
  <c r="BU388" i="1"/>
  <c r="BV388" i="1"/>
  <c r="BW388" i="1"/>
  <c r="BX388" i="1"/>
  <c r="BY388" i="1"/>
  <c r="BZ388" i="1"/>
  <c r="CA388" i="1"/>
  <c r="CB388" i="1"/>
  <c r="CC388" i="1"/>
  <c r="CD388" i="1"/>
  <c r="CE388" i="1"/>
  <c r="CF388" i="1"/>
  <c r="CG388" i="1"/>
  <c r="CH388" i="1"/>
  <c r="CI388" i="1"/>
  <c r="CJ388" i="1"/>
  <c r="CK388" i="1"/>
  <c r="CL388" i="1"/>
  <c r="CM388" i="1"/>
  <c r="CN388" i="1"/>
  <c r="CO388" i="1"/>
  <c r="CP388" i="1"/>
  <c r="CQ388" i="1"/>
  <c r="CR388" i="1"/>
  <c r="CS388" i="1"/>
  <c r="CT388" i="1"/>
  <c r="CU388" i="1"/>
  <c r="CV388" i="1"/>
  <c r="BQ389" i="1"/>
  <c r="BR389" i="1"/>
  <c r="BS389" i="1"/>
  <c r="BV389" i="1"/>
  <c r="BW389" i="1"/>
  <c r="BX389" i="1"/>
  <c r="BY389" i="1"/>
  <c r="BZ389" i="1"/>
  <c r="CA389" i="1"/>
  <c r="CB389" i="1"/>
  <c r="CC389" i="1"/>
  <c r="CD389" i="1"/>
  <c r="CE389" i="1"/>
  <c r="CF389" i="1"/>
  <c r="CG389" i="1"/>
  <c r="CH389" i="1"/>
  <c r="CI389" i="1"/>
  <c r="CJ389" i="1"/>
  <c r="CK389" i="1"/>
  <c r="CL389" i="1"/>
  <c r="CM389" i="1"/>
  <c r="CN389" i="1"/>
  <c r="CO389" i="1"/>
  <c r="CP389" i="1"/>
  <c r="CQ389" i="1"/>
  <c r="CR389" i="1"/>
  <c r="CS389" i="1"/>
  <c r="CT389" i="1"/>
  <c r="CU389" i="1"/>
  <c r="CV389" i="1"/>
  <c r="BQ390" i="1"/>
  <c r="BR390" i="1"/>
  <c r="BS390" i="1"/>
  <c r="BV390" i="1"/>
  <c r="BW390" i="1"/>
  <c r="BX390" i="1"/>
  <c r="BY390" i="1"/>
  <c r="BZ390" i="1"/>
  <c r="CA390" i="1"/>
  <c r="CB390" i="1"/>
  <c r="CC390" i="1"/>
  <c r="CD390" i="1"/>
  <c r="CE390" i="1"/>
  <c r="CF390" i="1"/>
  <c r="CG390" i="1"/>
  <c r="CH390" i="1"/>
  <c r="CI390" i="1"/>
  <c r="CJ390" i="1"/>
  <c r="CK390" i="1"/>
  <c r="CL390" i="1"/>
  <c r="CM390" i="1"/>
  <c r="CN390" i="1"/>
  <c r="CO390" i="1"/>
  <c r="CP390" i="1"/>
  <c r="CQ390" i="1"/>
  <c r="CR390" i="1"/>
  <c r="CS390" i="1"/>
  <c r="CT390" i="1"/>
  <c r="CU390" i="1"/>
  <c r="CV390" i="1"/>
  <c r="BQ391" i="1"/>
  <c r="BR391" i="1"/>
  <c r="BS391" i="1"/>
  <c r="BV391" i="1"/>
  <c r="BW391" i="1"/>
  <c r="BX391" i="1"/>
  <c r="BY391" i="1"/>
  <c r="BZ391" i="1"/>
  <c r="CA391" i="1"/>
  <c r="CB391" i="1"/>
  <c r="CC391" i="1"/>
  <c r="CD391" i="1"/>
  <c r="CE391" i="1"/>
  <c r="CF391" i="1"/>
  <c r="CG391" i="1"/>
  <c r="CH391" i="1"/>
  <c r="CI391" i="1"/>
  <c r="CJ391" i="1"/>
  <c r="CK391" i="1"/>
  <c r="CL391" i="1"/>
  <c r="CM391" i="1"/>
  <c r="CN391" i="1"/>
  <c r="CO391" i="1"/>
  <c r="CP391" i="1"/>
  <c r="CQ391" i="1"/>
  <c r="CR391" i="1"/>
  <c r="CS391" i="1"/>
  <c r="CT391" i="1"/>
  <c r="CU391" i="1"/>
  <c r="CV391" i="1"/>
  <c r="BQ392" i="1"/>
  <c r="BR392" i="1"/>
  <c r="BS392" i="1"/>
  <c r="BV392" i="1"/>
  <c r="BW392" i="1"/>
  <c r="BX392" i="1"/>
  <c r="BY392" i="1"/>
  <c r="BZ392" i="1"/>
  <c r="CA392" i="1"/>
  <c r="CB392" i="1"/>
  <c r="CC392" i="1"/>
  <c r="CD392" i="1"/>
  <c r="CE392" i="1"/>
  <c r="CF392" i="1"/>
  <c r="CG392" i="1"/>
  <c r="CH392" i="1"/>
  <c r="CI392" i="1"/>
  <c r="CJ392" i="1"/>
  <c r="CK392" i="1"/>
  <c r="CL392" i="1"/>
  <c r="CM392" i="1"/>
  <c r="CN392" i="1"/>
  <c r="CO392" i="1"/>
  <c r="CP392" i="1"/>
  <c r="CQ392" i="1"/>
  <c r="CR392" i="1"/>
  <c r="CS392" i="1"/>
  <c r="CT392" i="1"/>
  <c r="CU392" i="1"/>
  <c r="CV392" i="1"/>
  <c r="BQ393" i="1"/>
  <c r="BR393" i="1"/>
  <c r="BS393" i="1"/>
  <c r="BV393" i="1"/>
  <c r="BW393" i="1"/>
  <c r="BX393" i="1"/>
  <c r="BY393" i="1"/>
  <c r="BZ393" i="1"/>
  <c r="CA393" i="1"/>
  <c r="CB393" i="1"/>
  <c r="CC393" i="1"/>
  <c r="CD393" i="1"/>
  <c r="CE393" i="1"/>
  <c r="CF393" i="1"/>
  <c r="CG393" i="1"/>
  <c r="CH393" i="1"/>
  <c r="CI393" i="1"/>
  <c r="CJ393" i="1"/>
  <c r="CK393" i="1"/>
  <c r="CL393" i="1"/>
  <c r="CM393" i="1"/>
  <c r="CN393" i="1"/>
  <c r="CO393" i="1"/>
  <c r="CP393" i="1"/>
  <c r="CQ393" i="1"/>
  <c r="CR393" i="1"/>
  <c r="CS393" i="1"/>
  <c r="CT393" i="1"/>
  <c r="CU393" i="1"/>
  <c r="CV393" i="1"/>
  <c r="BQ394" i="1"/>
  <c r="BR394" i="1"/>
  <c r="BS394" i="1"/>
  <c r="BV394" i="1"/>
  <c r="BW394" i="1"/>
  <c r="BX394" i="1"/>
  <c r="BY394" i="1"/>
  <c r="BZ394" i="1"/>
  <c r="CA394" i="1"/>
  <c r="CB394" i="1"/>
  <c r="CC394" i="1"/>
  <c r="CD394" i="1"/>
  <c r="CE394" i="1"/>
  <c r="CF394" i="1"/>
  <c r="CG394" i="1"/>
  <c r="CH394" i="1"/>
  <c r="CI394" i="1"/>
  <c r="CJ394" i="1"/>
  <c r="CK394" i="1"/>
  <c r="CL394" i="1"/>
  <c r="CM394" i="1"/>
  <c r="CN394" i="1"/>
  <c r="CO394" i="1"/>
  <c r="CP394" i="1"/>
  <c r="CQ394" i="1"/>
  <c r="CR394" i="1"/>
  <c r="CS394" i="1"/>
  <c r="CT394" i="1"/>
  <c r="CU394" i="1"/>
  <c r="CV394" i="1"/>
  <c r="BQ395" i="1"/>
  <c r="BR395" i="1"/>
  <c r="BS395" i="1"/>
  <c r="BV395" i="1"/>
  <c r="BW395" i="1"/>
  <c r="BX395" i="1"/>
  <c r="BY395" i="1"/>
  <c r="BZ395" i="1"/>
  <c r="CA395" i="1"/>
  <c r="CB395" i="1"/>
  <c r="CC395" i="1"/>
  <c r="CD395" i="1"/>
  <c r="CE395" i="1"/>
  <c r="CF395" i="1"/>
  <c r="CG395" i="1"/>
  <c r="CH395" i="1"/>
  <c r="CI395" i="1"/>
  <c r="CJ395" i="1"/>
  <c r="CK395" i="1"/>
  <c r="CL395" i="1"/>
  <c r="CM395" i="1"/>
  <c r="CN395" i="1"/>
  <c r="CO395" i="1"/>
  <c r="CP395" i="1"/>
  <c r="CQ395" i="1"/>
  <c r="CR395" i="1"/>
  <c r="CS395" i="1"/>
  <c r="CT395" i="1"/>
  <c r="CU395" i="1"/>
  <c r="CV395" i="1"/>
  <c r="BQ396" i="1"/>
  <c r="BR396" i="1"/>
  <c r="BS396" i="1"/>
  <c r="BV396" i="1"/>
  <c r="BW396" i="1"/>
  <c r="BX396" i="1"/>
  <c r="BY396" i="1"/>
  <c r="BZ396" i="1"/>
  <c r="CA396" i="1"/>
  <c r="CB396" i="1"/>
  <c r="CC396" i="1"/>
  <c r="CD396" i="1"/>
  <c r="CE396" i="1"/>
  <c r="CF396" i="1"/>
  <c r="CG396" i="1"/>
  <c r="CH396" i="1"/>
  <c r="CI396" i="1"/>
  <c r="CJ396" i="1"/>
  <c r="CK396" i="1"/>
  <c r="CL396" i="1"/>
  <c r="CM396" i="1"/>
  <c r="CN396" i="1"/>
  <c r="CO396" i="1"/>
  <c r="CP396" i="1"/>
  <c r="CQ396" i="1"/>
  <c r="CR396" i="1"/>
  <c r="CS396" i="1"/>
  <c r="CT396" i="1"/>
  <c r="CU396" i="1"/>
  <c r="CV396" i="1"/>
  <c r="BQ397" i="1"/>
  <c r="BR397" i="1"/>
  <c r="BS397" i="1"/>
  <c r="BV397" i="1"/>
  <c r="BW397" i="1"/>
  <c r="BX397" i="1"/>
  <c r="BY397" i="1"/>
  <c r="BZ397" i="1"/>
  <c r="CA397" i="1"/>
  <c r="CB397" i="1"/>
  <c r="CC397" i="1"/>
  <c r="CD397" i="1"/>
  <c r="CE397" i="1"/>
  <c r="CF397" i="1"/>
  <c r="CG397" i="1"/>
  <c r="CH397" i="1"/>
  <c r="CI397" i="1"/>
  <c r="CJ397" i="1"/>
  <c r="CK397" i="1"/>
  <c r="CL397" i="1"/>
  <c r="CM397" i="1"/>
  <c r="CN397" i="1"/>
  <c r="CO397" i="1"/>
  <c r="CP397" i="1"/>
  <c r="CQ397" i="1"/>
  <c r="CR397" i="1"/>
  <c r="CS397" i="1"/>
  <c r="CT397" i="1"/>
  <c r="CU397" i="1"/>
  <c r="CV397" i="1"/>
  <c r="BQ398" i="1"/>
  <c r="BR398" i="1"/>
  <c r="BS398" i="1"/>
  <c r="BV398" i="1"/>
  <c r="BW398" i="1"/>
  <c r="BX398" i="1"/>
  <c r="BY398" i="1"/>
  <c r="BZ398" i="1"/>
  <c r="CA398" i="1"/>
  <c r="CB398" i="1"/>
  <c r="CC398" i="1"/>
  <c r="CD398" i="1"/>
  <c r="CE398" i="1"/>
  <c r="CF398" i="1"/>
  <c r="CG398" i="1"/>
  <c r="CH398" i="1"/>
  <c r="CI398" i="1"/>
  <c r="CJ398" i="1"/>
  <c r="CK398" i="1"/>
  <c r="CL398" i="1"/>
  <c r="CM398" i="1"/>
  <c r="CN398" i="1"/>
  <c r="CO398" i="1"/>
  <c r="CP398" i="1"/>
  <c r="CQ398" i="1"/>
  <c r="CR398" i="1"/>
  <c r="CS398" i="1"/>
  <c r="CT398" i="1"/>
  <c r="CU398" i="1"/>
  <c r="CV398" i="1"/>
  <c r="BQ399" i="1"/>
  <c r="BR399" i="1"/>
  <c r="BS399" i="1"/>
  <c r="BV399" i="1"/>
  <c r="BW399" i="1"/>
  <c r="BX399" i="1"/>
  <c r="BY399" i="1"/>
  <c r="BZ399" i="1"/>
  <c r="CA399" i="1"/>
  <c r="CB399" i="1"/>
  <c r="CC399" i="1"/>
  <c r="CD399" i="1"/>
  <c r="CE399" i="1"/>
  <c r="CF399" i="1"/>
  <c r="CG399" i="1"/>
  <c r="CH399" i="1"/>
  <c r="CI399" i="1"/>
  <c r="CJ399" i="1"/>
  <c r="CK399" i="1"/>
  <c r="CL399" i="1"/>
  <c r="CM399" i="1"/>
  <c r="CN399" i="1"/>
  <c r="CO399" i="1"/>
  <c r="CP399" i="1"/>
  <c r="CQ399" i="1"/>
  <c r="CR399" i="1"/>
  <c r="CS399" i="1"/>
  <c r="CT399" i="1"/>
  <c r="CU399" i="1"/>
  <c r="CV399" i="1"/>
  <c r="BQ400" i="1"/>
  <c r="BR400" i="1"/>
  <c r="BS400" i="1"/>
  <c r="BV400" i="1"/>
  <c r="BW400" i="1"/>
  <c r="BX400" i="1"/>
  <c r="BY400" i="1"/>
  <c r="BZ400" i="1"/>
  <c r="CA400" i="1"/>
  <c r="CB400" i="1"/>
  <c r="CC400" i="1"/>
  <c r="CD400" i="1"/>
  <c r="CE400" i="1"/>
  <c r="CF400" i="1"/>
  <c r="CG400" i="1"/>
  <c r="CH400" i="1"/>
  <c r="CI400" i="1"/>
  <c r="CJ400" i="1"/>
  <c r="CK400" i="1"/>
  <c r="CL400" i="1"/>
  <c r="CM400" i="1"/>
  <c r="CN400" i="1"/>
  <c r="CO400" i="1"/>
  <c r="CP400" i="1"/>
  <c r="CQ400" i="1"/>
  <c r="CR400" i="1"/>
  <c r="CS400" i="1"/>
  <c r="CT400" i="1"/>
  <c r="CU400" i="1"/>
  <c r="CV400" i="1"/>
  <c r="BQ401" i="1"/>
  <c r="BR401" i="1"/>
  <c r="BS401" i="1"/>
  <c r="BV401" i="1"/>
  <c r="BW401" i="1"/>
  <c r="BX401" i="1"/>
  <c r="BY401" i="1"/>
  <c r="BZ401" i="1"/>
  <c r="CA401" i="1"/>
  <c r="CB401" i="1"/>
  <c r="CC401" i="1"/>
  <c r="CD401" i="1"/>
  <c r="CE401" i="1"/>
  <c r="CF401" i="1"/>
  <c r="CG401" i="1"/>
  <c r="CH401" i="1"/>
  <c r="CI401" i="1"/>
  <c r="CJ401" i="1"/>
  <c r="CK401" i="1"/>
  <c r="CL401" i="1"/>
  <c r="CM401" i="1"/>
  <c r="CN401" i="1"/>
  <c r="CO401" i="1"/>
  <c r="CP401" i="1"/>
  <c r="CQ401" i="1"/>
  <c r="CR401" i="1"/>
  <c r="CS401" i="1"/>
  <c r="CT401" i="1"/>
  <c r="CU401" i="1"/>
  <c r="CV401" i="1"/>
  <c r="BQ402" i="1"/>
  <c r="BR402" i="1"/>
  <c r="BS402" i="1"/>
  <c r="BV402" i="1"/>
  <c r="BW402" i="1"/>
  <c r="BX402" i="1"/>
  <c r="BY402" i="1"/>
  <c r="BZ402" i="1"/>
  <c r="CA402" i="1"/>
  <c r="CB402" i="1"/>
  <c r="CC402" i="1"/>
  <c r="CD402" i="1"/>
  <c r="CE402" i="1"/>
  <c r="CF402" i="1"/>
  <c r="CG402" i="1"/>
  <c r="CH402" i="1"/>
  <c r="CI402" i="1"/>
  <c r="CJ402" i="1"/>
  <c r="CK402" i="1"/>
  <c r="CL402" i="1"/>
  <c r="CM402" i="1"/>
  <c r="CN402" i="1"/>
  <c r="CO402" i="1"/>
  <c r="CP402" i="1"/>
  <c r="CQ402" i="1"/>
  <c r="CR402" i="1"/>
  <c r="CS402" i="1"/>
  <c r="CT402" i="1"/>
  <c r="CU402" i="1"/>
  <c r="CV402" i="1"/>
  <c r="BQ403" i="1"/>
  <c r="BR403" i="1"/>
  <c r="BS403" i="1"/>
  <c r="BV403" i="1"/>
  <c r="BW403" i="1"/>
  <c r="BX403" i="1"/>
  <c r="BY403" i="1"/>
  <c r="BZ403" i="1"/>
  <c r="CA403" i="1"/>
  <c r="CB403" i="1"/>
  <c r="CC403" i="1"/>
  <c r="CD403" i="1"/>
  <c r="CE403" i="1"/>
  <c r="CF403" i="1"/>
  <c r="CG403" i="1"/>
  <c r="CH403" i="1"/>
  <c r="CI403" i="1"/>
  <c r="CJ403" i="1"/>
  <c r="CK403" i="1"/>
  <c r="CL403" i="1"/>
  <c r="CM403" i="1"/>
  <c r="CN403" i="1"/>
  <c r="CO403" i="1"/>
  <c r="CP403" i="1"/>
  <c r="CQ403" i="1"/>
  <c r="CR403" i="1"/>
  <c r="CS403" i="1"/>
  <c r="CT403" i="1"/>
  <c r="CU403" i="1"/>
  <c r="CV403" i="1"/>
  <c r="BQ404" i="1"/>
  <c r="BR404" i="1"/>
  <c r="BS404" i="1"/>
  <c r="BV404" i="1"/>
  <c r="BW404" i="1"/>
  <c r="BX404" i="1"/>
  <c r="BY404" i="1"/>
  <c r="BZ404" i="1"/>
  <c r="CA404" i="1"/>
  <c r="CB404" i="1"/>
  <c r="CC404" i="1"/>
  <c r="CD404" i="1"/>
  <c r="CE404" i="1"/>
  <c r="CF404" i="1"/>
  <c r="CG404" i="1"/>
  <c r="CH404" i="1"/>
  <c r="CI404" i="1"/>
  <c r="CJ404" i="1"/>
  <c r="CK404" i="1"/>
  <c r="CL404" i="1"/>
  <c r="CM404" i="1"/>
  <c r="CN404" i="1"/>
  <c r="CO404" i="1"/>
  <c r="CP404" i="1"/>
  <c r="CQ404" i="1"/>
  <c r="CR404" i="1"/>
  <c r="CS404" i="1"/>
  <c r="CT404" i="1"/>
  <c r="CU404" i="1"/>
  <c r="CV404" i="1"/>
  <c r="BQ405" i="1"/>
  <c r="BR405" i="1"/>
  <c r="BS405" i="1"/>
  <c r="BV405" i="1"/>
  <c r="BW405" i="1"/>
  <c r="BX405" i="1"/>
  <c r="BY405" i="1"/>
  <c r="BZ405" i="1"/>
  <c r="CA405" i="1"/>
  <c r="CB405" i="1"/>
  <c r="CC405" i="1"/>
  <c r="CD405" i="1"/>
  <c r="CE405" i="1"/>
  <c r="CF405" i="1"/>
  <c r="CG405" i="1"/>
  <c r="CH405" i="1"/>
  <c r="CI405" i="1"/>
  <c r="CJ405" i="1"/>
  <c r="CK405" i="1"/>
  <c r="CL405" i="1"/>
  <c r="CM405" i="1"/>
  <c r="CN405" i="1"/>
  <c r="CO405" i="1"/>
  <c r="CP405" i="1"/>
  <c r="CQ405" i="1"/>
  <c r="CR405" i="1"/>
  <c r="CS405" i="1"/>
  <c r="CT405" i="1"/>
  <c r="CU405" i="1"/>
  <c r="CV405" i="1"/>
  <c r="BQ406" i="1"/>
  <c r="BR406" i="1"/>
  <c r="BS406" i="1"/>
  <c r="BV406" i="1"/>
  <c r="BW406" i="1"/>
  <c r="BX406" i="1"/>
  <c r="BY406" i="1"/>
  <c r="BZ406" i="1"/>
  <c r="CA406" i="1"/>
  <c r="CB406" i="1"/>
  <c r="CC406" i="1"/>
  <c r="CD406" i="1"/>
  <c r="CE406" i="1"/>
  <c r="CF406" i="1"/>
  <c r="CG406" i="1"/>
  <c r="CH406" i="1"/>
  <c r="CI406" i="1"/>
  <c r="CJ406" i="1"/>
  <c r="CK406" i="1"/>
  <c r="CL406" i="1"/>
  <c r="CM406" i="1"/>
  <c r="CN406" i="1"/>
  <c r="CO406" i="1"/>
  <c r="CP406" i="1"/>
  <c r="CQ406" i="1"/>
  <c r="CR406" i="1"/>
  <c r="CS406" i="1"/>
  <c r="CT406" i="1"/>
  <c r="CU406" i="1"/>
  <c r="CV406" i="1"/>
  <c r="BQ407" i="1"/>
  <c r="BR407" i="1"/>
  <c r="BS407" i="1"/>
  <c r="BV407" i="1"/>
  <c r="BW407" i="1"/>
  <c r="BX407" i="1"/>
  <c r="BY407" i="1"/>
  <c r="BZ407" i="1"/>
  <c r="CA407" i="1"/>
  <c r="CB407" i="1"/>
  <c r="CC407" i="1"/>
  <c r="CD407" i="1"/>
  <c r="CE407" i="1"/>
  <c r="CF407" i="1"/>
  <c r="CG407" i="1"/>
  <c r="CH407" i="1"/>
  <c r="CI407" i="1"/>
  <c r="CJ407" i="1"/>
  <c r="CK407" i="1"/>
  <c r="CL407" i="1"/>
  <c r="CM407" i="1"/>
  <c r="CN407" i="1"/>
  <c r="CO407" i="1"/>
  <c r="CP407" i="1"/>
  <c r="CQ407" i="1"/>
  <c r="CR407" i="1"/>
  <c r="CS407" i="1"/>
  <c r="CT407" i="1"/>
  <c r="CU407" i="1"/>
  <c r="CV407" i="1"/>
  <c r="BQ408" i="1"/>
  <c r="BR408" i="1"/>
  <c r="BS408" i="1"/>
  <c r="BV408" i="1"/>
  <c r="BW408" i="1"/>
  <c r="BX408" i="1"/>
  <c r="BY408" i="1"/>
  <c r="BZ408" i="1"/>
  <c r="CA408" i="1"/>
  <c r="CB408" i="1"/>
  <c r="CC408" i="1"/>
  <c r="CD408" i="1"/>
  <c r="CE408" i="1"/>
  <c r="CF408" i="1"/>
  <c r="CG408" i="1"/>
  <c r="CH408" i="1"/>
  <c r="CI408" i="1"/>
  <c r="CJ408" i="1"/>
  <c r="CK408" i="1"/>
  <c r="CL408" i="1"/>
  <c r="CM408" i="1"/>
  <c r="CN408" i="1"/>
  <c r="CO408" i="1"/>
  <c r="CP408" i="1"/>
  <c r="CQ408" i="1"/>
  <c r="CR408" i="1"/>
  <c r="CS408" i="1"/>
  <c r="CT408" i="1"/>
  <c r="CU408" i="1"/>
  <c r="CV408" i="1"/>
  <c r="BQ409" i="1"/>
  <c r="BR409" i="1"/>
  <c r="BS409" i="1"/>
  <c r="BV409" i="1"/>
  <c r="BW409" i="1"/>
  <c r="BX409" i="1"/>
  <c r="BY409" i="1"/>
  <c r="BZ409" i="1"/>
  <c r="CA409" i="1"/>
  <c r="CB409" i="1"/>
  <c r="CC409" i="1"/>
  <c r="CD409" i="1"/>
  <c r="CE409" i="1"/>
  <c r="CF409" i="1"/>
  <c r="CG409" i="1"/>
  <c r="CH409" i="1"/>
  <c r="CI409" i="1"/>
  <c r="CJ409" i="1"/>
  <c r="CK409" i="1"/>
  <c r="CL409" i="1"/>
  <c r="CM409" i="1"/>
  <c r="CN409" i="1"/>
  <c r="CO409" i="1"/>
  <c r="CP409" i="1"/>
  <c r="CQ409" i="1"/>
  <c r="CR409" i="1"/>
  <c r="CS409" i="1"/>
  <c r="CT409" i="1"/>
  <c r="CU409" i="1"/>
  <c r="CV409" i="1"/>
  <c r="BQ410" i="1"/>
  <c r="BR410" i="1"/>
  <c r="BS410" i="1"/>
  <c r="BV410" i="1"/>
  <c r="BW410" i="1"/>
  <c r="BX410" i="1"/>
  <c r="BY410" i="1"/>
  <c r="BZ410" i="1"/>
  <c r="CA410" i="1"/>
  <c r="CB410" i="1"/>
  <c r="CC410" i="1"/>
  <c r="CD410" i="1"/>
  <c r="CE410" i="1"/>
  <c r="CF410" i="1"/>
  <c r="CG410" i="1"/>
  <c r="CH410" i="1"/>
  <c r="CI410" i="1"/>
  <c r="CJ410" i="1"/>
  <c r="CK410" i="1"/>
  <c r="CL410" i="1"/>
  <c r="CM410" i="1"/>
  <c r="CN410" i="1"/>
  <c r="CO410" i="1"/>
  <c r="CP410" i="1"/>
  <c r="CQ410" i="1"/>
  <c r="CR410" i="1"/>
  <c r="CS410" i="1"/>
  <c r="CT410" i="1"/>
  <c r="CU410" i="1"/>
  <c r="CV410" i="1"/>
  <c r="BQ411" i="1"/>
  <c r="BR411" i="1"/>
  <c r="BS411" i="1"/>
  <c r="BV411" i="1"/>
  <c r="BW411" i="1"/>
  <c r="BX411" i="1"/>
  <c r="BY411" i="1"/>
  <c r="BZ411" i="1"/>
  <c r="CA411" i="1"/>
  <c r="CB411" i="1"/>
  <c r="CC411" i="1"/>
  <c r="CD411" i="1"/>
  <c r="CE411" i="1"/>
  <c r="CF411" i="1"/>
  <c r="CG411" i="1"/>
  <c r="CH411" i="1"/>
  <c r="CI411" i="1"/>
  <c r="CJ411" i="1"/>
  <c r="CK411" i="1"/>
  <c r="CL411" i="1"/>
  <c r="CM411" i="1"/>
  <c r="CN411" i="1"/>
  <c r="CO411" i="1"/>
  <c r="CP411" i="1"/>
  <c r="CQ411" i="1"/>
  <c r="CR411" i="1"/>
  <c r="CS411" i="1"/>
  <c r="CT411" i="1"/>
  <c r="CU411" i="1"/>
  <c r="CV411" i="1"/>
  <c r="BQ412" i="1"/>
  <c r="BR412" i="1"/>
  <c r="BS412" i="1"/>
  <c r="BV412" i="1"/>
  <c r="BW412" i="1"/>
  <c r="BX412" i="1"/>
  <c r="BY412" i="1"/>
  <c r="BZ412" i="1"/>
  <c r="CA412" i="1"/>
  <c r="CB412" i="1"/>
  <c r="CC412" i="1"/>
  <c r="CD412" i="1"/>
  <c r="CE412" i="1"/>
  <c r="CF412" i="1"/>
  <c r="CG412" i="1"/>
  <c r="CH412" i="1"/>
  <c r="CI412" i="1"/>
  <c r="CJ412" i="1"/>
  <c r="CK412" i="1"/>
  <c r="CL412" i="1"/>
  <c r="CM412" i="1"/>
  <c r="CN412" i="1"/>
  <c r="CO412" i="1"/>
  <c r="CP412" i="1"/>
  <c r="CQ412" i="1"/>
  <c r="CR412" i="1"/>
  <c r="CS412" i="1"/>
  <c r="CT412" i="1"/>
  <c r="CU412" i="1"/>
  <c r="CV412" i="1"/>
  <c r="BQ413" i="1"/>
  <c r="BR413" i="1"/>
  <c r="BS413" i="1"/>
  <c r="BV413" i="1"/>
  <c r="BW413" i="1"/>
  <c r="BX413" i="1"/>
  <c r="BY413" i="1"/>
  <c r="BZ413" i="1"/>
  <c r="CA413" i="1"/>
  <c r="CB413" i="1"/>
  <c r="CC413" i="1"/>
  <c r="CD413" i="1"/>
  <c r="CE413" i="1"/>
  <c r="CF413" i="1"/>
  <c r="CG413" i="1"/>
  <c r="CH413" i="1"/>
  <c r="CI413" i="1"/>
  <c r="CJ413" i="1"/>
  <c r="CK413" i="1"/>
  <c r="CL413" i="1"/>
  <c r="CM413" i="1"/>
  <c r="CN413" i="1"/>
  <c r="CO413" i="1"/>
  <c r="CP413" i="1"/>
  <c r="CQ413" i="1"/>
  <c r="CR413" i="1"/>
  <c r="CS413" i="1"/>
  <c r="CT413" i="1"/>
  <c r="CU413" i="1"/>
  <c r="CV413" i="1"/>
  <c r="BQ414" i="1"/>
  <c r="BR414" i="1"/>
  <c r="BS414" i="1"/>
  <c r="BV414" i="1"/>
  <c r="BW414" i="1"/>
  <c r="BX414" i="1"/>
  <c r="BY414" i="1"/>
  <c r="BZ414" i="1"/>
  <c r="CA414" i="1"/>
  <c r="CB414" i="1"/>
  <c r="CC414" i="1"/>
  <c r="CD414" i="1"/>
  <c r="CE414" i="1"/>
  <c r="CF414" i="1"/>
  <c r="CG414" i="1"/>
  <c r="CH414" i="1"/>
  <c r="CI414" i="1"/>
  <c r="CJ414" i="1"/>
  <c r="CK414" i="1"/>
  <c r="CL414" i="1"/>
  <c r="CM414" i="1"/>
  <c r="CN414" i="1"/>
  <c r="CO414" i="1"/>
  <c r="CP414" i="1"/>
  <c r="CQ414" i="1"/>
  <c r="CR414" i="1"/>
  <c r="CS414" i="1"/>
  <c r="CT414" i="1"/>
  <c r="CU414" i="1"/>
  <c r="CV414" i="1"/>
  <c r="BQ415" i="1"/>
  <c r="BR415" i="1"/>
  <c r="BS415" i="1"/>
  <c r="BV415" i="1"/>
  <c r="BW415" i="1"/>
  <c r="BX415" i="1"/>
  <c r="BY415" i="1"/>
  <c r="BZ415" i="1"/>
  <c r="CA415" i="1"/>
  <c r="CB415" i="1"/>
  <c r="CC415" i="1"/>
  <c r="CD415" i="1"/>
  <c r="CE415" i="1"/>
  <c r="CF415" i="1"/>
  <c r="CG415" i="1"/>
  <c r="CH415" i="1"/>
  <c r="CI415" i="1"/>
  <c r="CJ415" i="1"/>
  <c r="CK415" i="1"/>
  <c r="CL415" i="1"/>
  <c r="CM415" i="1"/>
  <c r="CN415" i="1"/>
  <c r="CO415" i="1"/>
  <c r="CP415" i="1"/>
  <c r="CQ415" i="1"/>
  <c r="CR415" i="1"/>
  <c r="CS415" i="1"/>
  <c r="CT415" i="1"/>
  <c r="CU415" i="1"/>
  <c r="CV415" i="1"/>
  <c r="BQ416" i="1"/>
  <c r="BR416" i="1"/>
  <c r="BS416" i="1"/>
  <c r="BV416" i="1"/>
  <c r="BW416" i="1"/>
  <c r="BX416" i="1"/>
  <c r="BY416" i="1"/>
  <c r="BZ416" i="1"/>
  <c r="CA416" i="1"/>
  <c r="CB416" i="1"/>
  <c r="CC416" i="1"/>
  <c r="CD416" i="1"/>
  <c r="CE416" i="1"/>
  <c r="CF416" i="1"/>
  <c r="CG416" i="1"/>
  <c r="CH416" i="1"/>
  <c r="CI416" i="1"/>
  <c r="CJ416" i="1"/>
  <c r="CK416" i="1"/>
  <c r="CL416" i="1"/>
  <c r="CM416" i="1"/>
  <c r="CN416" i="1"/>
  <c r="CO416" i="1"/>
  <c r="CP416" i="1"/>
  <c r="CQ416" i="1"/>
  <c r="CR416" i="1"/>
  <c r="CS416" i="1"/>
  <c r="CT416" i="1"/>
  <c r="CU416" i="1"/>
  <c r="CV416" i="1"/>
  <c r="BS417" i="1"/>
  <c r="BV417" i="1"/>
  <c r="BW417" i="1"/>
  <c r="BX417" i="1"/>
  <c r="BY417" i="1"/>
  <c r="BZ417" i="1"/>
  <c r="CA417" i="1"/>
  <c r="CB417" i="1"/>
  <c r="CC417" i="1"/>
  <c r="CD417" i="1"/>
  <c r="CE417" i="1"/>
  <c r="CF417" i="1"/>
  <c r="CG417" i="1"/>
  <c r="CH417" i="1"/>
  <c r="CI417" i="1"/>
  <c r="CJ417" i="1"/>
  <c r="CK417" i="1"/>
  <c r="CL417" i="1"/>
  <c r="CM417" i="1"/>
  <c r="CN417" i="1"/>
  <c r="CO417" i="1"/>
  <c r="CP417" i="1"/>
  <c r="CQ417" i="1"/>
  <c r="CR417" i="1"/>
  <c r="CS417" i="1"/>
  <c r="CT417" i="1"/>
  <c r="CU417" i="1"/>
  <c r="CV417" i="1"/>
  <c r="BQ418" i="1"/>
  <c r="BR418" i="1"/>
  <c r="BS418" i="1"/>
  <c r="BV418" i="1"/>
  <c r="BW418" i="1"/>
  <c r="BX418" i="1"/>
  <c r="BY418" i="1"/>
  <c r="BZ418" i="1"/>
  <c r="CA418" i="1"/>
  <c r="CB418" i="1"/>
  <c r="CC418" i="1"/>
  <c r="CD418" i="1"/>
  <c r="CE418" i="1"/>
  <c r="CF418" i="1"/>
  <c r="CG418" i="1"/>
  <c r="CH418" i="1"/>
  <c r="CI418" i="1"/>
  <c r="CJ418" i="1"/>
  <c r="CK418" i="1"/>
  <c r="CL418" i="1"/>
  <c r="CM418" i="1"/>
  <c r="CN418" i="1"/>
  <c r="CO418" i="1"/>
  <c r="CP418" i="1"/>
  <c r="CQ418" i="1"/>
  <c r="CR418" i="1"/>
  <c r="CS418" i="1"/>
  <c r="CT418" i="1"/>
  <c r="CU418" i="1"/>
  <c r="CV418" i="1"/>
  <c r="BQ419" i="1"/>
  <c r="BR419" i="1"/>
  <c r="BS419" i="1"/>
  <c r="BV419" i="1"/>
  <c r="BW419" i="1"/>
  <c r="BX419" i="1"/>
  <c r="BY419" i="1"/>
  <c r="BZ419" i="1"/>
  <c r="CA419" i="1"/>
  <c r="CB419" i="1"/>
  <c r="CC419" i="1"/>
  <c r="CD419" i="1"/>
  <c r="CE419" i="1"/>
  <c r="CF419" i="1"/>
  <c r="CG419" i="1"/>
  <c r="CH419" i="1"/>
  <c r="CI419" i="1"/>
  <c r="CJ419" i="1"/>
  <c r="CK419" i="1"/>
  <c r="CL419" i="1"/>
  <c r="CM419" i="1"/>
  <c r="CN419" i="1"/>
  <c r="CO419" i="1"/>
  <c r="CP419" i="1"/>
  <c r="CQ419" i="1"/>
  <c r="CR419" i="1"/>
  <c r="CS419" i="1"/>
  <c r="CT419" i="1"/>
  <c r="CU419" i="1"/>
  <c r="CV419" i="1"/>
  <c r="BQ420" i="1"/>
  <c r="BR420" i="1"/>
  <c r="BS420" i="1"/>
  <c r="BV420" i="1"/>
  <c r="BW420" i="1"/>
  <c r="BX420" i="1"/>
  <c r="BY420" i="1"/>
  <c r="BZ420" i="1"/>
  <c r="CA420" i="1"/>
  <c r="CB420" i="1"/>
  <c r="CC420" i="1"/>
  <c r="CD420" i="1"/>
  <c r="CE420" i="1"/>
  <c r="CF420" i="1"/>
  <c r="CG420" i="1"/>
  <c r="CH420" i="1"/>
  <c r="CI420" i="1"/>
  <c r="CJ420" i="1"/>
  <c r="CK420" i="1"/>
  <c r="CL420" i="1"/>
  <c r="CM420" i="1"/>
  <c r="CN420" i="1"/>
  <c r="CO420" i="1"/>
  <c r="CP420" i="1"/>
  <c r="CQ420" i="1"/>
  <c r="CR420" i="1"/>
  <c r="CS420" i="1"/>
  <c r="CT420" i="1"/>
  <c r="CU420" i="1"/>
  <c r="CV420" i="1"/>
  <c r="BQ421" i="1"/>
  <c r="BR421" i="1"/>
  <c r="BS421" i="1"/>
  <c r="BV421" i="1"/>
  <c r="BW421" i="1"/>
  <c r="BX421" i="1"/>
  <c r="BY421" i="1"/>
  <c r="BZ421" i="1"/>
  <c r="CA421" i="1"/>
  <c r="CB421" i="1"/>
  <c r="CC421" i="1"/>
  <c r="CD421" i="1"/>
  <c r="CE421" i="1"/>
  <c r="CF421" i="1"/>
  <c r="CG421" i="1"/>
  <c r="CH421" i="1"/>
  <c r="CI421" i="1"/>
  <c r="CJ421" i="1"/>
  <c r="CK421" i="1"/>
  <c r="CL421" i="1"/>
  <c r="CM421" i="1"/>
  <c r="CN421" i="1"/>
  <c r="CO421" i="1"/>
  <c r="CP421" i="1"/>
  <c r="CQ421" i="1"/>
  <c r="CR421" i="1"/>
  <c r="CS421" i="1"/>
  <c r="CT421" i="1"/>
  <c r="CU421" i="1"/>
  <c r="CV421" i="1"/>
  <c r="BQ422" i="1"/>
  <c r="BR422" i="1"/>
  <c r="BS422" i="1"/>
  <c r="BV422" i="1"/>
  <c r="BW422" i="1"/>
  <c r="BX422" i="1"/>
  <c r="BY422" i="1"/>
  <c r="BZ422" i="1"/>
  <c r="CA422" i="1"/>
  <c r="CB422" i="1"/>
  <c r="CC422" i="1"/>
  <c r="CD422" i="1"/>
  <c r="CE422" i="1"/>
  <c r="CF422" i="1"/>
  <c r="CG422" i="1"/>
  <c r="CH422" i="1"/>
  <c r="CI422" i="1"/>
  <c r="CJ422" i="1"/>
  <c r="CK422" i="1"/>
  <c r="CL422" i="1"/>
  <c r="CM422" i="1"/>
  <c r="CN422" i="1"/>
  <c r="CO422" i="1"/>
  <c r="CP422" i="1"/>
  <c r="CQ422" i="1"/>
  <c r="CR422" i="1"/>
  <c r="CS422" i="1"/>
  <c r="CT422" i="1"/>
  <c r="CU422" i="1"/>
  <c r="CV422" i="1"/>
  <c r="BQ423" i="1"/>
  <c r="BR423" i="1"/>
  <c r="BS423" i="1"/>
  <c r="BV423" i="1"/>
  <c r="BW423" i="1"/>
  <c r="BX423" i="1"/>
  <c r="BY423" i="1"/>
  <c r="BZ423" i="1"/>
  <c r="CA423" i="1"/>
  <c r="CB423" i="1"/>
  <c r="CC423" i="1"/>
  <c r="CD423" i="1"/>
  <c r="CE423" i="1"/>
  <c r="CF423" i="1"/>
  <c r="CG423" i="1"/>
  <c r="CH423" i="1"/>
  <c r="CI423" i="1"/>
  <c r="CJ423" i="1"/>
  <c r="CK423" i="1"/>
  <c r="CL423" i="1"/>
  <c r="CM423" i="1"/>
  <c r="CN423" i="1"/>
  <c r="CO423" i="1"/>
  <c r="CP423" i="1"/>
  <c r="CQ423" i="1"/>
  <c r="CR423" i="1"/>
  <c r="CS423" i="1"/>
  <c r="CT423" i="1"/>
  <c r="CU423" i="1"/>
  <c r="CV423" i="1"/>
  <c r="BQ424" i="1"/>
  <c r="BR424" i="1"/>
  <c r="BS424" i="1"/>
  <c r="BV424" i="1"/>
  <c r="BW424" i="1"/>
  <c r="BX424" i="1"/>
  <c r="BY424" i="1"/>
  <c r="BZ424" i="1"/>
  <c r="CA424" i="1"/>
  <c r="CB424" i="1"/>
  <c r="CC424" i="1"/>
  <c r="CD424" i="1"/>
  <c r="CE424" i="1"/>
  <c r="CF424" i="1"/>
  <c r="CG424" i="1"/>
  <c r="CH424" i="1"/>
  <c r="CI424" i="1"/>
  <c r="CJ424" i="1"/>
  <c r="CK424" i="1"/>
  <c r="CL424" i="1"/>
  <c r="CM424" i="1"/>
  <c r="CN424" i="1"/>
  <c r="CO424" i="1"/>
  <c r="CP424" i="1"/>
  <c r="CQ424" i="1"/>
  <c r="CR424" i="1"/>
  <c r="CS424" i="1"/>
  <c r="CT424" i="1"/>
  <c r="CU424" i="1"/>
  <c r="CV424" i="1"/>
  <c r="BQ425" i="1"/>
  <c r="BR425" i="1"/>
  <c r="BS425" i="1"/>
  <c r="BV425" i="1"/>
  <c r="BW425" i="1"/>
  <c r="BX425" i="1"/>
  <c r="BY425" i="1"/>
  <c r="BZ425" i="1"/>
  <c r="CA425" i="1"/>
  <c r="CB425" i="1"/>
  <c r="CC425" i="1"/>
  <c r="CD425" i="1"/>
  <c r="CE425" i="1"/>
  <c r="CF425" i="1"/>
  <c r="CG425" i="1"/>
  <c r="CH425" i="1"/>
  <c r="CI425" i="1"/>
  <c r="CJ425" i="1"/>
  <c r="CK425" i="1"/>
  <c r="CL425" i="1"/>
  <c r="CM425" i="1"/>
  <c r="CN425" i="1"/>
  <c r="CO425" i="1"/>
  <c r="CP425" i="1"/>
  <c r="CQ425" i="1"/>
  <c r="CR425" i="1"/>
  <c r="CS425" i="1"/>
  <c r="CT425" i="1"/>
  <c r="CU425" i="1"/>
  <c r="CV425" i="1"/>
  <c r="BQ426" i="1"/>
  <c r="BR426" i="1"/>
  <c r="BS426" i="1"/>
  <c r="BV426" i="1"/>
  <c r="BW426" i="1"/>
  <c r="BX426" i="1"/>
  <c r="BY426" i="1"/>
  <c r="BZ426" i="1"/>
  <c r="CA426" i="1"/>
  <c r="CB426" i="1"/>
  <c r="CC426" i="1"/>
  <c r="CD426" i="1"/>
  <c r="CE426" i="1"/>
  <c r="CF426" i="1"/>
  <c r="CG426" i="1"/>
  <c r="CH426" i="1"/>
  <c r="CI426" i="1"/>
  <c r="CJ426" i="1"/>
  <c r="CK426" i="1"/>
  <c r="CL426" i="1"/>
  <c r="CM426" i="1"/>
  <c r="CN426" i="1"/>
  <c r="CO426" i="1"/>
  <c r="CP426" i="1"/>
  <c r="CQ426" i="1"/>
  <c r="CR426" i="1"/>
  <c r="CS426" i="1"/>
  <c r="CT426" i="1"/>
  <c r="CU426" i="1"/>
  <c r="CV426" i="1"/>
  <c r="BQ427" i="1"/>
  <c r="BR427" i="1"/>
  <c r="BS427" i="1"/>
  <c r="BV427" i="1"/>
  <c r="BW427" i="1"/>
  <c r="BX427" i="1"/>
  <c r="BY427" i="1"/>
  <c r="BZ427" i="1"/>
  <c r="CA427" i="1"/>
  <c r="CB427" i="1"/>
  <c r="CC427" i="1"/>
  <c r="CD427" i="1"/>
  <c r="CE427" i="1"/>
  <c r="CF427" i="1"/>
  <c r="CG427" i="1"/>
  <c r="CH427" i="1"/>
  <c r="CI427" i="1"/>
  <c r="CJ427" i="1"/>
  <c r="CK427" i="1"/>
  <c r="CL427" i="1"/>
  <c r="CM427" i="1"/>
  <c r="CN427" i="1"/>
  <c r="CO427" i="1"/>
  <c r="CP427" i="1"/>
  <c r="CQ427" i="1"/>
  <c r="CR427" i="1"/>
  <c r="CS427" i="1"/>
  <c r="CT427" i="1"/>
  <c r="CU427" i="1"/>
  <c r="CV427" i="1"/>
  <c r="BQ428" i="1"/>
  <c r="BR428" i="1"/>
  <c r="BS428" i="1"/>
  <c r="BV428" i="1"/>
  <c r="BW428" i="1"/>
  <c r="BX428" i="1"/>
  <c r="BY428" i="1"/>
  <c r="BZ428" i="1"/>
  <c r="CA428" i="1"/>
  <c r="CB428" i="1"/>
  <c r="CC428" i="1"/>
  <c r="CD428" i="1"/>
  <c r="CE428" i="1"/>
  <c r="CF428" i="1"/>
  <c r="CG428" i="1"/>
  <c r="CH428" i="1"/>
  <c r="CI428" i="1"/>
  <c r="CJ428" i="1"/>
  <c r="CK428" i="1"/>
  <c r="CL428" i="1"/>
  <c r="CM428" i="1"/>
  <c r="CN428" i="1"/>
  <c r="CO428" i="1"/>
  <c r="CP428" i="1"/>
  <c r="CQ428" i="1"/>
  <c r="CR428" i="1"/>
  <c r="CS428" i="1"/>
  <c r="CT428" i="1"/>
  <c r="CU428" i="1"/>
  <c r="CV428" i="1"/>
  <c r="BQ429" i="1"/>
  <c r="BR429" i="1"/>
  <c r="BS429" i="1"/>
  <c r="BV429" i="1"/>
  <c r="BW429" i="1"/>
  <c r="BX429" i="1"/>
  <c r="BY429" i="1"/>
  <c r="BZ429" i="1"/>
  <c r="CA429" i="1"/>
  <c r="CB429" i="1"/>
  <c r="CC429" i="1"/>
  <c r="CD429" i="1"/>
  <c r="CE429" i="1"/>
  <c r="CF429" i="1"/>
  <c r="CG429" i="1"/>
  <c r="CH429" i="1"/>
  <c r="CI429" i="1"/>
  <c r="CJ429" i="1"/>
  <c r="CK429" i="1"/>
  <c r="CL429" i="1"/>
  <c r="CM429" i="1"/>
  <c r="CN429" i="1"/>
  <c r="CO429" i="1"/>
  <c r="CP429" i="1"/>
  <c r="CQ429" i="1"/>
  <c r="CR429" i="1"/>
  <c r="CS429" i="1"/>
  <c r="CT429" i="1"/>
  <c r="CU429" i="1"/>
  <c r="CV429" i="1"/>
  <c r="BQ430" i="1"/>
  <c r="BR430" i="1"/>
  <c r="BS430" i="1"/>
  <c r="BV430" i="1"/>
  <c r="BW430" i="1"/>
  <c r="BX430" i="1"/>
  <c r="BY430" i="1"/>
  <c r="BZ430" i="1"/>
  <c r="CA430" i="1"/>
  <c r="CB430" i="1"/>
  <c r="CC430" i="1"/>
  <c r="CD430" i="1"/>
  <c r="CE430" i="1"/>
  <c r="CF430" i="1"/>
  <c r="CG430" i="1"/>
  <c r="CH430" i="1"/>
  <c r="CI430" i="1"/>
  <c r="CJ430" i="1"/>
  <c r="CK430" i="1"/>
  <c r="CL430" i="1"/>
  <c r="CM430" i="1"/>
  <c r="CN430" i="1"/>
  <c r="CO430" i="1"/>
  <c r="CP430" i="1"/>
  <c r="CQ430" i="1"/>
  <c r="CR430" i="1"/>
  <c r="CS430" i="1"/>
  <c r="CT430" i="1"/>
  <c r="CU430" i="1"/>
  <c r="CV430" i="1"/>
  <c r="BQ431" i="1"/>
  <c r="BR431" i="1"/>
  <c r="BS431" i="1"/>
  <c r="BV431" i="1"/>
  <c r="BW431" i="1"/>
  <c r="BX431" i="1"/>
  <c r="BY431" i="1"/>
  <c r="BZ431" i="1"/>
  <c r="CA431" i="1"/>
  <c r="CB431" i="1"/>
  <c r="CC431" i="1"/>
  <c r="CD431" i="1"/>
  <c r="CE431" i="1"/>
  <c r="CF431" i="1"/>
  <c r="CG431" i="1"/>
  <c r="CH431" i="1"/>
  <c r="CI431" i="1"/>
  <c r="CJ431" i="1"/>
  <c r="CK431" i="1"/>
  <c r="CL431" i="1"/>
  <c r="CM431" i="1"/>
  <c r="CN431" i="1"/>
  <c r="CO431" i="1"/>
  <c r="CP431" i="1"/>
  <c r="CQ431" i="1"/>
  <c r="CR431" i="1"/>
  <c r="CS431" i="1"/>
  <c r="CT431" i="1"/>
  <c r="CU431" i="1"/>
  <c r="CV431" i="1"/>
  <c r="BQ432" i="1"/>
  <c r="BR432" i="1"/>
  <c r="BS432" i="1"/>
  <c r="BV432" i="1"/>
  <c r="BW432" i="1"/>
  <c r="BX432" i="1"/>
  <c r="BY432" i="1"/>
  <c r="BZ432" i="1"/>
  <c r="CA432" i="1"/>
  <c r="CB432" i="1"/>
  <c r="CC432" i="1"/>
  <c r="CD432" i="1"/>
  <c r="CE432" i="1"/>
  <c r="CF432" i="1"/>
  <c r="CG432" i="1"/>
  <c r="CH432" i="1"/>
  <c r="CI432" i="1"/>
  <c r="CJ432" i="1"/>
  <c r="CK432" i="1"/>
  <c r="CL432" i="1"/>
  <c r="CM432" i="1"/>
  <c r="CN432" i="1"/>
  <c r="CO432" i="1"/>
  <c r="CP432" i="1"/>
  <c r="CQ432" i="1"/>
  <c r="CR432" i="1"/>
  <c r="CS432" i="1"/>
  <c r="CT432" i="1"/>
  <c r="CU432" i="1"/>
  <c r="CV432" i="1"/>
  <c r="BQ433" i="1"/>
  <c r="BR433" i="1"/>
  <c r="BS433" i="1"/>
  <c r="BV433" i="1"/>
  <c r="BW433" i="1"/>
  <c r="BX433" i="1"/>
  <c r="BY433" i="1"/>
  <c r="BZ433" i="1"/>
  <c r="CA433" i="1"/>
  <c r="CB433" i="1"/>
  <c r="CC433" i="1"/>
  <c r="CD433" i="1"/>
  <c r="CE433" i="1"/>
  <c r="CF433" i="1"/>
  <c r="CG433" i="1"/>
  <c r="CH433" i="1"/>
  <c r="CI433" i="1"/>
  <c r="CJ433" i="1"/>
  <c r="CK433" i="1"/>
  <c r="CL433" i="1"/>
  <c r="CM433" i="1"/>
  <c r="CN433" i="1"/>
  <c r="CO433" i="1"/>
  <c r="CP433" i="1"/>
  <c r="CQ433" i="1"/>
  <c r="CR433" i="1"/>
  <c r="CS433" i="1"/>
  <c r="CT433" i="1"/>
  <c r="CU433" i="1"/>
  <c r="CV433" i="1"/>
  <c r="BQ434" i="1"/>
  <c r="BR434" i="1"/>
  <c r="BS434" i="1"/>
  <c r="BV434" i="1"/>
  <c r="BW434" i="1"/>
  <c r="BX434" i="1"/>
  <c r="BY434" i="1"/>
  <c r="BZ434" i="1"/>
  <c r="CA434" i="1"/>
  <c r="CB434" i="1"/>
  <c r="CC434" i="1"/>
  <c r="CD434" i="1"/>
  <c r="CE434" i="1"/>
  <c r="CF434" i="1"/>
  <c r="CG434" i="1"/>
  <c r="CH434" i="1"/>
  <c r="CI434" i="1"/>
  <c r="CJ434" i="1"/>
  <c r="CK434" i="1"/>
  <c r="CL434" i="1"/>
  <c r="CM434" i="1"/>
  <c r="CN434" i="1"/>
  <c r="CO434" i="1"/>
  <c r="CP434" i="1"/>
  <c r="CQ434" i="1"/>
  <c r="CR434" i="1"/>
  <c r="CS434" i="1"/>
  <c r="CT434" i="1"/>
  <c r="CU434" i="1"/>
  <c r="CV434" i="1"/>
  <c r="BQ435" i="1"/>
  <c r="BR435" i="1"/>
  <c r="BS435" i="1"/>
  <c r="BV435" i="1"/>
  <c r="BW435" i="1"/>
  <c r="BX435" i="1"/>
  <c r="BY435" i="1"/>
  <c r="BZ435" i="1"/>
  <c r="CA435" i="1"/>
  <c r="CB435" i="1"/>
  <c r="CC435" i="1"/>
  <c r="CD435" i="1"/>
  <c r="CE435" i="1"/>
  <c r="CF435" i="1"/>
  <c r="CG435" i="1"/>
  <c r="CH435" i="1"/>
  <c r="CI435" i="1"/>
  <c r="CJ435" i="1"/>
  <c r="CK435" i="1"/>
  <c r="CL435" i="1"/>
  <c r="CM435" i="1"/>
  <c r="CN435" i="1"/>
  <c r="CO435" i="1"/>
  <c r="CP435" i="1"/>
  <c r="CQ435" i="1"/>
  <c r="CR435" i="1"/>
  <c r="CS435" i="1"/>
  <c r="CT435" i="1"/>
  <c r="CU435" i="1"/>
  <c r="CV435" i="1"/>
  <c r="BQ436" i="1"/>
  <c r="BR436" i="1"/>
  <c r="BS436" i="1"/>
  <c r="BV436" i="1"/>
  <c r="BW436" i="1"/>
  <c r="BX436" i="1"/>
  <c r="BY436" i="1"/>
  <c r="BZ436" i="1"/>
  <c r="CA436" i="1"/>
  <c r="CB436" i="1"/>
  <c r="CC436" i="1"/>
  <c r="CD436" i="1"/>
  <c r="CE436" i="1"/>
  <c r="CF436" i="1"/>
  <c r="CG436" i="1"/>
  <c r="CH436" i="1"/>
  <c r="CI436" i="1"/>
  <c r="CJ436" i="1"/>
  <c r="CK436" i="1"/>
  <c r="CL436" i="1"/>
  <c r="CM436" i="1"/>
  <c r="CN436" i="1"/>
  <c r="CO436" i="1"/>
  <c r="CP436" i="1"/>
  <c r="CQ436" i="1"/>
  <c r="CR436" i="1"/>
  <c r="CS436" i="1"/>
  <c r="CT436" i="1"/>
  <c r="CU436" i="1"/>
  <c r="CV436" i="1"/>
  <c r="BQ437" i="1"/>
  <c r="BR437" i="1"/>
  <c r="BS437" i="1"/>
  <c r="BV437" i="1"/>
  <c r="BW437" i="1"/>
  <c r="BX437" i="1"/>
  <c r="BY437" i="1"/>
  <c r="BZ437" i="1"/>
  <c r="CA437" i="1"/>
  <c r="CB437" i="1"/>
  <c r="CC437" i="1"/>
  <c r="CD437" i="1"/>
  <c r="CE437" i="1"/>
  <c r="CF437" i="1"/>
  <c r="CG437" i="1"/>
  <c r="CH437" i="1"/>
  <c r="CI437" i="1"/>
  <c r="CJ437" i="1"/>
  <c r="CK437" i="1"/>
  <c r="CL437" i="1"/>
  <c r="CM437" i="1"/>
  <c r="CN437" i="1"/>
  <c r="CO437" i="1"/>
  <c r="CP437" i="1"/>
  <c r="CQ437" i="1"/>
  <c r="CR437" i="1"/>
  <c r="CS437" i="1"/>
  <c r="CT437" i="1"/>
  <c r="CU437" i="1"/>
  <c r="CV437" i="1"/>
  <c r="BQ438" i="1"/>
  <c r="BR438" i="1"/>
  <c r="BS438" i="1"/>
  <c r="BV438" i="1"/>
  <c r="BW438" i="1"/>
  <c r="BX438" i="1"/>
  <c r="BY438" i="1"/>
  <c r="BZ438" i="1"/>
  <c r="CA438" i="1"/>
  <c r="CB438" i="1"/>
  <c r="CC438" i="1"/>
  <c r="CD438" i="1"/>
  <c r="CE438" i="1"/>
  <c r="CF438" i="1"/>
  <c r="CG438" i="1"/>
  <c r="CH438" i="1"/>
  <c r="CI438" i="1"/>
  <c r="CJ438" i="1"/>
  <c r="CK438" i="1"/>
  <c r="CL438" i="1"/>
  <c r="CM438" i="1"/>
  <c r="CN438" i="1"/>
  <c r="CO438" i="1"/>
  <c r="CP438" i="1"/>
  <c r="CQ438" i="1"/>
  <c r="CR438" i="1"/>
  <c r="CS438" i="1"/>
  <c r="CT438" i="1"/>
  <c r="CU438" i="1"/>
  <c r="CV438" i="1"/>
  <c r="BQ439" i="1"/>
  <c r="BR439" i="1"/>
  <c r="BS439" i="1"/>
  <c r="BV439" i="1"/>
  <c r="BW439" i="1"/>
  <c r="BX439" i="1"/>
  <c r="BY439" i="1"/>
  <c r="BZ439" i="1"/>
  <c r="CA439" i="1"/>
  <c r="CB439" i="1"/>
  <c r="CC439" i="1"/>
  <c r="CD439" i="1"/>
  <c r="CE439" i="1"/>
  <c r="CF439" i="1"/>
  <c r="CG439" i="1"/>
  <c r="CH439" i="1"/>
  <c r="CI439" i="1"/>
  <c r="CJ439" i="1"/>
  <c r="CK439" i="1"/>
  <c r="CL439" i="1"/>
  <c r="CM439" i="1"/>
  <c r="CN439" i="1"/>
  <c r="CO439" i="1"/>
  <c r="CP439" i="1"/>
  <c r="CQ439" i="1"/>
  <c r="CR439" i="1"/>
  <c r="CS439" i="1"/>
  <c r="CT439" i="1"/>
  <c r="CU439" i="1"/>
  <c r="CV439" i="1"/>
  <c r="BQ440" i="1"/>
  <c r="BR440" i="1"/>
  <c r="BS440" i="1"/>
  <c r="BV440" i="1"/>
  <c r="BW440" i="1"/>
  <c r="BX440" i="1"/>
  <c r="BY440" i="1"/>
  <c r="BZ440" i="1"/>
  <c r="CA440" i="1"/>
  <c r="CB440" i="1"/>
  <c r="CC440" i="1"/>
  <c r="CD440" i="1"/>
  <c r="CE440" i="1"/>
  <c r="CF440" i="1"/>
  <c r="CG440" i="1"/>
  <c r="CH440" i="1"/>
  <c r="CI440" i="1"/>
  <c r="CJ440" i="1"/>
  <c r="CK440" i="1"/>
  <c r="CL440" i="1"/>
  <c r="CM440" i="1"/>
  <c r="CN440" i="1"/>
  <c r="CO440" i="1"/>
  <c r="CP440" i="1"/>
  <c r="CQ440" i="1"/>
  <c r="CR440" i="1"/>
  <c r="CS440" i="1"/>
  <c r="CT440" i="1"/>
  <c r="CU440" i="1"/>
  <c r="CV440" i="1"/>
  <c r="BQ441" i="1"/>
  <c r="BR441" i="1"/>
  <c r="BS441" i="1"/>
  <c r="BV441" i="1"/>
  <c r="BW441" i="1"/>
  <c r="BX441" i="1"/>
  <c r="BY441" i="1"/>
  <c r="BZ441" i="1"/>
  <c r="CA441" i="1"/>
  <c r="CB441" i="1"/>
  <c r="CC441" i="1"/>
  <c r="CD441" i="1"/>
  <c r="CE441" i="1"/>
  <c r="CF441" i="1"/>
  <c r="CG441" i="1"/>
  <c r="CH441" i="1"/>
  <c r="CI441" i="1"/>
  <c r="CJ441" i="1"/>
  <c r="CK441" i="1"/>
  <c r="CL441" i="1"/>
  <c r="CM441" i="1"/>
  <c r="CN441" i="1"/>
  <c r="CO441" i="1"/>
  <c r="CP441" i="1"/>
  <c r="CQ441" i="1"/>
  <c r="CR441" i="1"/>
  <c r="CS441" i="1"/>
  <c r="CT441" i="1"/>
  <c r="CU441" i="1"/>
  <c r="CV441" i="1"/>
  <c r="BQ442" i="1"/>
  <c r="BR442" i="1"/>
  <c r="BS442" i="1"/>
  <c r="BV442" i="1"/>
  <c r="BW442" i="1"/>
  <c r="BX442" i="1"/>
  <c r="BY442" i="1"/>
  <c r="BZ442" i="1"/>
  <c r="CA442" i="1"/>
  <c r="CB442" i="1"/>
  <c r="CC442" i="1"/>
  <c r="CD442" i="1"/>
  <c r="CE442" i="1"/>
  <c r="CF442" i="1"/>
  <c r="CG442" i="1"/>
  <c r="CH442" i="1"/>
  <c r="CI442" i="1"/>
  <c r="CJ442" i="1"/>
  <c r="CK442" i="1"/>
  <c r="CL442" i="1"/>
  <c r="CM442" i="1"/>
  <c r="CN442" i="1"/>
  <c r="CO442" i="1"/>
  <c r="CP442" i="1"/>
  <c r="CQ442" i="1"/>
  <c r="CR442" i="1"/>
  <c r="CS442" i="1"/>
  <c r="CT442" i="1"/>
  <c r="CU442" i="1"/>
  <c r="CV442" i="1"/>
  <c r="BQ443" i="1"/>
  <c r="BR443" i="1"/>
  <c r="BS443" i="1"/>
  <c r="BV443" i="1"/>
  <c r="BW443" i="1"/>
  <c r="BX443" i="1"/>
  <c r="BY443" i="1"/>
  <c r="BZ443" i="1"/>
  <c r="CA443" i="1"/>
  <c r="CB443" i="1"/>
  <c r="CC443" i="1"/>
  <c r="CD443" i="1"/>
  <c r="CE443" i="1"/>
  <c r="CF443" i="1"/>
  <c r="CG443" i="1"/>
  <c r="CH443" i="1"/>
  <c r="CI443" i="1"/>
  <c r="CJ443" i="1"/>
  <c r="CK443" i="1"/>
  <c r="CL443" i="1"/>
  <c r="CM443" i="1"/>
  <c r="CN443" i="1"/>
  <c r="CO443" i="1"/>
  <c r="CP443" i="1"/>
  <c r="CQ443" i="1"/>
  <c r="CR443" i="1"/>
  <c r="CS443" i="1"/>
  <c r="CT443" i="1"/>
  <c r="CU443" i="1"/>
  <c r="CV443" i="1"/>
  <c r="BQ444" i="1"/>
  <c r="BR444" i="1"/>
  <c r="BS444" i="1"/>
  <c r="BV444" i="1"/>
  <c r="BW444" i="1"/>
  <c r="BX444" i="1"/>
  <c r="BY444" i="1"/>
  <c r="BZ444" i="1"/>
  <c r="CA444" i="1"/>
  <c r="CB444" i="1"/>
  <c r="CC444" i="1"/>
  <c r="CD444" i="1"/>
  <c r="CE444" i="1"/>
  <c r="CF444" i="1"/>
  <c r="CG444" i="1"/>
  <c r="CH444" i="1"/>
  <c r="CI444" i="1"/>
  <c r="CJ444" i="1"/>
  <c r="CK444" i="1"/>
  <c r="CL444" i="1"/>
  <c r="CM444" i="1"/>
  <c r="CN444" i="1"/>
  <c r="CO444" i="1"/>
  <c r="CP444" i="1"/>
  <c r="CQ444" i="1"/>
  <c r="CR444" i="1"/>
  <c r="CS444" i="1"/>
  <c r="CT444" i="1"/>
  <c r="CU444" i="1"/>
  <c r="CV444" i="1"/>
  <c r="BQ445" i="1"/>
  <c r="BR445" i="1"/>
  <c r="BS445" i="1"/>
  <c r="BV445" i="1"/>
  <c r="BW445" i="1"/>
  <c r="BX445" i="1"/>
  <c r="BY445" i="1"/>
  <c r="BZ445" i="1"/>
  <c r="CA445" i="1"/>
  <c r="CB445" i="1"/>
  <c r="CC445" i="1"/>
  <c r="CD445" i="1"/>
  <c r="CE445" i="1"/>
  <c r="CF445" i="1"/>
  <c r="CG445" i="1"/>
  <c r="CH445" i="1"/>
  <c r="CI445" i="1"/>
  <c r="CJ445" i="1"/>
  <c r="CK445" i="1"/>
  <c r="CL445" i="1"/>
  <c r="CM445" i="1"/>
  <c r="CN445" i="1"/>
  <c r="CO445" i="1"/>
  <c r="CP445" i="1"/>
  <c r="CQ445" i="1"/>
  <c r="CR445" i="1"/>
  <c r="CS445" i="1"/>
  <c r="CT445" i="1"/>
  <c r="CU445" i="1"/>
  <c r="CV445" i="1"/>
  <c r="BQ446" i="1"/>
  <c r="BR446" i="1"/>
  <c r="BS446" i="1"/>
  <c r="BV446" i="1"/>
  <c r="BW446" i="1"/>
  <c r="BX446" i="1"/>
  <c r="BY446" i="1"/>
  <c r="BZ446" i="1"/>
  <c r="CA446" i="1"/>
  <c r="CB446" i="1"/>
  <c r="CC446" i="1"/>
  <c r="CD446" i="1"/>
  <c r="CE446" i="1"/>
  <c r="CF446" i="1"/>
  <c r="CG446" i="1"/>
  <c r="CH446" i="1"/>
  <c r="CI446" i="1"/>
  <c r="CJ446" i="1"/>
  <c r="CK446" i="1"/>
  <c r="CL446" i="1"/>
  <c r="CM446" i="1"/>
  <c r="CN446" i="1"/>
  <c r="CO446" i="1"/>
  <c r="CP446" i="1"/>
  <c r="CQ446" i="1"/>
  <c r="CR446" i="1"/>
  <c r="CS446" i="1"/>
  <c r="CT446" i="1"/>
  <c r="CU446" i="1"/>
  <c r="CV446" i="1"/>
  <c r="BQ447" i="1"/>
  <c r="BR447" i="1"/>
  <c r="BS447" i="1"/>
  <c r="BV447" i="1"/>
  <c r="BW447" i="1"/>
  <c r="BX447" i="1"/>
  <c r="BY447" i="1"/>
  <c r="BZ447" i="1"/>
  <c r="CA447" i="1"/>
  <c r="CB447" i="1"/>
  <c r="CC447" i="1"/>
  <c r="CD447" i="1"/>
  <c r="CE447" i="1"/>
  <c r="CF447" i="1"/>
  <c r="CG447" i="1"/>
  <c r="CH447" i="1"/>
  <c r="CI447" i="1"/>
  <c r="CJ447" i="1"/>
  <c r="CK447" i="1"/>
  <c r="CL447" i="1"/>
  <c r="CM447" i="1"/>
  <c r="CN447" i="1"/>
  <c r="CO447" i="1"/>
  <c r="CP447" i="1"/>
  <c r="CQ447" i="1"/>
  <c r="CR447" i="1"/>
  <c r="CS447" i="1"/>
  <c r="CT447" i="1"/>
  <c r="CU447" i="1"/>
  <c r="CV447" i="1"/>
  <c r="BQ448" i="1"/>
  <c r="BR448" i="1"/>
  <c r="BS448" i="1"/>
  <c r="BV448" i="1"/>
  <c r="BW448" i="1"/>
  <c r="BX448" i="1"/>
  <c r="BY448" i="1"/>
  <c r="BZ448" i="1"/>
  <c r="CA448" i="1"/>
  <c r="CB448" i="1"/>
  <c r="CC448" i="1"/>
  <c r="CD448" i="1"/>
  <c r="CE448" i="1"/>
  <c r="CF448" i="1"/>
  <c r="CG448" i="1"/>
  <c r="CH448" i="1"/>
  <c r="CI448" i="1"/>
  <c r="CJ448" i="1"/>
  <c r="CK448" i="1"/>
  <c r="CL448" i="1"/>
  <c r="CM448" i="1"/>
  <c r="CN448" i="1"/>
  <c r="CO448" i="1"/>
  <c r="CP448" i="1"/>
  <c r="CQ448" i="1"/>
  <c r="CR448" i="1"/>
  <c r="CS448" i="1"/>
  <c r="CT448" i="1"/>
  <c r="CU448" i="1"/>
  <c r="CV448" i="1"/>
  <c r="BQ449" i="1"/>
  <c r="BR449" i="1"/>
  <c r="BS449" i="1"/>
  <c r="BV449" i="1"/>
  <c r="BW449" i="1"/>
  <c r="BX449" i="1"/>
  <c r="BY449" i="1"/>
  <c r="BZ449" i="1"/>
  <c r="CA449" i="1"/>
  <c r="CB449" i="1"/>
  <c r="CC449" i="1"/>
  <c r="CD449" i="1"/>
  <c r="CE449" i="1"/>
  <c r="CF449" i="1"/>
  <c r="CG449" i="1"/>
  <c r="CH449" i="1"/>
  <c r="CI449" i="1"/>
  <c r="CJ449" i="1"/>
  <c r="CK449" i="1"/>
  <c r="CL449" i="1"/>
  <c r="CM449" i="1"/>
  <c r="CN449" i="1"/>
  <c r="CO449" i="1"/>
  <c r="CP449" i="1"/>
  <c r="CQ449" i="1"/>
  <c r="CR449" i="1"/>
  <c r="CS449" i="1"/>
  <c r="CT449" i="1"/>
  <c r="CU449" i="1"/>
  <c r="CV449" i="1"/>
  <c r="BQ450" i="1"/>
  <c r="BR450" i="1"/>
  <c r="BS450" i="1"/>
  <c r="BV450" i="1"/>
  <c r="BW450" i="1"/>
  <c r="BX450" i="1"/>
  <c r="BY450" i="1"/>
  <c r="BZ450" i="1"/>
  <c r="CA450" i="1"/>
  <c r="CB450" i="1"/>
  <c r="CC450" i="1"/>
  <c r="CD450" i="1"/>
  <c r="CE450" i="1"/>
  <c r="CF450" i="1"/>
  <c r="CG450" i="1"/>
  <c r="CH450" i="1"/>
  <c r="CI450" i="1"/>
  <c r="CJ450" i="1"/>
  <c r="CK450" i="1"/>
  <c r="CL450" i="1"/>
  <c r="CM450" i="1"/>
  <c r="CN450" i="1"/>
  <c r="CO450" i="1"/>
  <c r="CP450" i="1"/>
  <c r="CQ450" i="1"/>
  <c r="CR450" i="1"/>
  <c r="CS450" i="1"/>
  <c r="CT450" i="1"/>
  <c r="CU450" i="1"/>
  <c r="CV450" i="1"/>
  <c r="BQ451" i="1"/>
  <c r="BR451" i="1"/>
  <c r="BS451" i="1"/>
  <c r="BV451" i="1"/>
  <c r="BW451" i="1"/>
  <c r="BX451" i="1"/>
  <c r="BY451" i="1"/>
  <c r="BZ451" i="1"/>
  <c r="CA451" i="1"/>
  <c r="CB451" i="1"/>
  <c r="CC451" i="1"/>
  <c r="CD451" i="1"/>
  <c r="CE451" i="1"/>
  <c r="CF451" i="1"/>
  <c r="CG451" i="1"/>
  <c r="CH451" i="1"/>
  <c r="CI451" i="1"/>
  <c r="CJ451" i="1"/>
  <c r="CK451" i="1"/>
  <c r="CL451" i="1"/>
  <c r="CM451" i="1"/>
  <c r="CN451" i="1"/>
  <c r="CO451" i="1"/>
  <c r="CP451" i="1"/>
  <c r="CQ451" i="1"/>
  <c r="CR451" i="1"/>
  <c r="CS451" i="1"/>
  <c r="CT451" i="1"/>
  <c r="CU451" i="1"/>
  <c r="CV451" i="1"/>
  <c r="BQ452" i="1"/>
  <c r="BR452" i="1"/>
  <c r="BS452" i="1"/>
  <c r="BV452" i="1"/>
  <c r="BW452" i="1"/>
  <c r="BX452" i="1"/>
  <c r="BY452" i="1"/>
  <c r="BZ452" i="1"/>
  <c r="CA452" i="1"/>
  <c r="CB452" i="1"/>
  <c r="CC452" i="1"/>
  <c r="CD452" i="1"/>
  <c r="CE452" i="1"/>
  <c r="CF452" i="1"/>
  <c r="CG452" i="1"/>
  <c r="CH452" i="1"/>
  <c r="CI452" i="1"/>
  <c r="CJ452" i="1"/>
  <c r="CK452" i="1"/>
  <c r="CL452" i="1"/>
  <c r="CM452" i="1"/>
  <c r="CN452" i="1"/>
  <c r="CO452" i="1"/>
  <c r="CP452" i="1"/>
  <c r="CQ452" i="1"/>
  <c r="CR452" i="1"/>
  <c r="CS452" i="1"/>
  <c r="CT452" i="1"/>
  <c r="CU452" i="1"/>
  <c r="CV452" i="1"/>
  <c r="BQ453" i="1"/>
  <c r="BR453" i="1"/>
  <c r="BS453" i="1"/>
  <c r="BV453" i="1"/>
  <c r="BW453" i="1"/>
  <c r="BX453" i="1"/>
  <c r="BY453" i="1"/>
  <c r="BZ453" i="1"/>
  <c r="CA453" i="1"/>
  <c r="CB453" i="1"/>
  <c r="CC453" i="1"/>
  <c r="CD453" i="1"/>
  <c r="CE453" i="1"/>
  <c r="CF453" i="1"/>
  <c r="CG453" i="1"/>
  <c r="CH453" i="1"/>
  <c r="CI453" i="1"/>
  <c r="CJ453" i="1"/>
  <c r="CK453" i="1"/>
  <c r="CL453" i="1"/>
  <c r="CM453" i="1"/>
  <c r="CN453" i="1"/>
  <c r="CO453" i="1"/>
  <c r="CP453" i="1"/>
  <c r="CQ453" i="1"/>
  <c r="CR453" i="1"/>
  <c r="CS453" i="1"/>
  <c r="CT453" i="1"/>
  <c r="CU453" i="1"/>
  <c r="CV453" i="1"/>
  <c r="BS454" i="1"/>
  <c r="BV454" i="1"/>
  <c r="BW454" i="1"/>
  <c r="BX454" i="1"/>
  <c r="BY454" i="1"/>
  <c r="BZ454" i="1"/>
  <c r="CA454" i="1"/>
  <c r="CB454" i="1"/>
  <c r="CC454" i="1"/>
  <c r="CD454" i="1"/>
  <c r="CE454" i="1"/>
  <c r="CF454" i="1"/>
  <c r="CG454" i="1"/>
  <c r="CH454" i="1"/>
  <c r="CI454" i="1"/>
  <c r="CJ454" i="1"/>
  <c r="CK454" i="1"/>
  <c r="CL454" i="1"/>
  <c r="CM454" i="1"/>
  <c r="CN454" i="1"/>
  <c r="CO454" i="1"/>
  <c r="CP454" i="1"/>
  <c r="CQ454" i="1"/>
  <c r="CR454" i="1"/>
  <c r="CS454" i="1"/>
  <c r="CT454" i="1"/>
  <c r="CU454" i="1"/>
  <c r="CV454" i="1"/>
  <c r="BQ455" i="1"/>
  <c r="BR455" i="1"/>
  <c r="BS455" i="1"/>
  <c r="BV455" i="1"/>
  <c r="BW455" i="1"/>
  <c r="BX455" i="1"/>
  <c r="BY455" i="1"/>
  <c r="BZ455" i="1"/>
  <c r="CA455" i="1"/>
  <c r="CB455" i="1"/>
  <c r="CC455" i="1"/>
  <c r="CD455" i="1"/>
  <c r="CE455" i="1"/>
  <c r="CF455" i="1"/>
  <c r="CG455" i="1"/>
  <c r="CH455" i="1"/>
  <c r="CI455" i="1"/>
  <c r="CJ455" i="1"/>
  <c r="CK455" i="1"/>
  <c r="CL455" i="1"/>
  <c r="CM455" i="1"/>
  <c r="CN455" i="1"/>
  <c r="CO455" i="1"/>
  <c r="CP455" i="1"/>
  <c r="CQ455" i="1"/>
  <c r="CR455" i="1"/>
  <c r="CS455" i="1"/>
  <c r="CT455" i="1"/>
  <c r="CU455" i="1"/>
  <c r="CV455" i="1"/>
  <c r="BQ456" i="1"/>
  <c r="BR456" i="1"/>
  <c r="BS456" i="1"/>
  <c r="BV456" i="1"/>
  <c r="BW456" i="1"/>
  <c r="BX456" i="1"/>
  <c r="BY456" i="1"/>
  <c r="BZ456" i="1"/>
  <c r="CA456" i="1"/>
  <c r="CB456" i="1"/>
  <c r="CC456" i="1"/>
  <c r="CD456" i="1"/>
  <c r="CE456" i="1"/>
  <c r="CF456" i="1"/>
  <c r="CG456" i="1"/>
  <c r="CH456" i="1"/>
  <c r="CI456" i="1"/>
  <c r="CJ456" i="1"/>
  <c r="CK456" i="1"/>
  <c r="CL456" i="1"/>
  <c r="CM456" i="1"/>
  <c r="CN456" i="1"/>
  <c r="CO456" i="1"/>
  <c r="CP456" i="1"/>
  <c r="CQ456" i="1"/>
  <c r="CR456" i="1"/>
  <c r="CS456" i="1"/>
  <c r="CT456" i="1"/>
  <c r="CU456" i="1"/>
  <c r="CV456" i="1"/>
  <c r="BQ457" i="1"/>
  <c r="BR457" i="1"/>
  <c r="BS457" i="1"/>
  <c r="BV457" i="1"/>
  <c r="BW457" i="1"/>
  <c r="BX457" i="1"/>
  <c r="BY457" i="1"/>
  <c r="BZ457" i="1"/>
  <c r="CA457" i="1"/>
  <c r="CB457" i="1"/>
  <c r="CC457" i="1"/>
  <c r="CD457" i="1"/>
  <c r="CE457" i="1"/>
  <c r="CF457" i="1"/>
  <c r="CG457" i="1"/>
  <c r="CH457" i="1"/>
  <c r="CI457" i="1"/>
  <c r="CJ457" i="1"/>
  <c r="CK457" i="1"/>
  <c r="CL457" i="1"/>
  <c r="CM457" i="1"/>
  <c r="CN457" i="1"/>
  <c r="CO457" i="1"/>
  <c r="CP457" i="1"/>
  <c r="CQ457" i="1"/>
  <c r="CR457" i="1"/>
  <c r="CS457" i="1"/>
  <c r="CT457" i="1"/>
  <c r="CU457" i="1"/>
  <c r="CV457" i="1"/>
  <c r="BQ458" i="1"/>
  <c r="BR458" i="1"/>
  <c r="BS458" i="1"/>
  <c r="BV458" i="1"/>
  <c r="BW458" i="1"/>
  <c r="BX458" i="1"/>
  <c r="BY458" i="1"/>
  <c r="BZ458" i="1"/>
  <c r="CA458" i="1"/>
  <c r="CB458" i="1"/>
  <c r="CC458" i="1"/>
  <c r="CD458" i="1"/>
  <c r="CE458" i="1"/>
  <c r="CF458" i="1"/>
  <c r="CG458" i="1"/>
  <c r="CH458" i="1"/>
  <c r="CI458" i="1"/>
  <c r="CJ458" i="1"/>
  <c r="CK458" i="1"/>
  <c r="CL458" i="1"/>
  <c r="CM458" i="1"/>
  <c r="CN458" i="1"/>
  <c r="CO458" i="1"/>
  <c r="CP458" i="1"/>
  <c r="CQ458" i="1"/>
  <c r="CR458" i="1"/>
  <c r="CS458" i="1"/>
  <c r="CT458" i="1"/>
  <c r="CU458" i="1"/>
  <c r="CV458" i="1"/>
  <c r="BQ459" i="1"/>
  <c r="BR459" i="1"/>
  <c r="BS459" i="1"/>
  <c r="BV459" i="1"/>
  <c r="BW459" i="1"/>
  <c r="BX459" i="1"/>
  <c r="BY459" i="1"/>
  <c r="BZ459" i="1"/>
  <c r="CA459" i="1"/>
  <c r="CB459" i="1"/>
  <c r="CC459" i="1"/>
  <c r="CD459" i="1"/>
  <c r="CE459" i="1"/>
  <c r="CF459" i="1"/>
  <c r="CG459" i="1"/>
  <c r="CH459" i="1"/>
  <c r="CI459" i="1"/>
  <c r="CJ459" i="1"/>
  <c r="CK459" i="1"/>
  <c r="CL459" i="1"/>
  <c r="CM459" i="1"/>
  <c r="CN459" i="1"/>
  <c r="CO459" i="1"/>
  <c r="CP459" i="1"/>
  <c r="CQ459" i="1"/>
  <c r="CR459" i="1"/>
  <c r="CS459" i="1"/>
  <c r="CT459" i="1"/>
  <c r="CU459" i="1"/>
  <c r="CV459" i="1"/>
  <c r="BQ460" i="1"/>
  <c r="BR460" i="1"/>
  <c r="BS460" i="1"/>
  <c r="BV460" i="1"/>
  <c r="BW460" i="1"/>
  <c r="BX460" i="1"/>
  <c r="BY460" i="1"/>
  <c r="BZ460" i="1"/>
  <c r="CA460" i="1"/>
  <c r="CB460" i="1"/>
  <c r="CC460" i="1"/>
  <c r="CD460" i="1"/>
  <c r="CE460" i="1"/>
  <c r="CF460" i="1"/>
  <c r="CG460" i="1"/>
  <c r="CH460" i="1"/>
  <c r="CI460" i="1"/>
  <c r="CJ460" i="1"/>
  <c r="CK460" i="1"/>
  <c r="CL460" i="1"/>
  <c r="CM460" i="1"/>
  <c r="CN460" i="1"/>
  <c r="CO460" i="1"/>
  <c r="CP460" i="1"/>
  <c r="CQ460" i="1"/>
  <c r="CR460" i="1"/>
  <c r="CS460" i="1"/>
  <c r="CT460" i="1"/>
  <c r="CU460" i="1"/>
  <c r="CV460" i="1"/>
  <c r="BQ461" i="1"/>
  <c r="BR461" i="1"/>
  <c r="BS461" i="1"/>
  <c r="BV461" i="1"/>
  <c r="BW461" i="1"/>
  <c r="BX461" i="1"/>
  <c r="BY461" i="1"/>
  <c r="BZ461" i="1"/>
  <c r="CA461" i="1"/>
  <c r="CB461" i="1"/>
  <c r="CC461" i="1"/>
  <c r="CD461" i="1"/>
  <c r="CE461" i="1"/>
  <c r="CF461" i="1"/>
  <c r="CG461" i="1"/>
  <c r="CH461" i="1"/>
  <c r="CI461" i="1"/>
  <c r="CJ461" i="1"/>
  <c r="CK461" i="1"/>
  <c r="CL461" i="1"/>
  <c r="CM461" i="1"/>
  <c r="CN461" i="1"/>
  <c r="CO461" i="1"/>
  <c r="CP461" i="1"/>
  <c r="CQ461" i="1"/>
  <c r="CR461" i="1"/>
  <c r="CS461" i="1"/>
  <c r="CT461" i="1"/>
  <c r="CU461" i="1"/>
  <c r="CV461" i="1"/>
  <c r="BQ462" i="1"/>
  <c r="BR462" i="1"/>
  <c r="BS462" i="1"/>
  <c r="BV462" i="1"/>
  <c r="BW462" i="1"/>
  <c r="BX462" i="1"/>
  <c r="BY462" i="1"/>
  <c r="BZ462" i="1"/>
  <c r="CA462" i="1"/>
  <c r="CB462" i="1"/>
  <c r="CC462" i="1"/>
  <c r="CD462" i="1"/>
  <c r="CE462" i="1"/>
  <c r="CF462" i="1"/>
  <c r="CG462" i="1"/>
  <c r="CH462" i="1"/>
  <c r="CI462" i="1"/>
  <c r="CJ462" i="1"/>
  <c r="CK462" i="1"/>
  <c r="CL462" i="1"/>
  <c r="CM462" i="1"/>
  <c r="CN462" i="1"/>
  <c r="CO462" i="1"/>
  <c r="CP462" i="1"/>
  <c r="CQ462" i="1"/>
  <c r="CR462" i="1"/>
  <c r="CS462" i="1"/>
  <c r="CT462" i="1"/>
  <c r="CU462" i="1"/>
  <c r="CV462" i="1"/>
  <c r="BQ463" i="1"/>
  <c r="BR463" i="1"/>
  <c r="BS463" i="1"/>
  <c r="BV463" i="1"/>
  <c r="BW463" i="1"/>
  <c r="BX463" i="1"/>
  <c r="BY463" i="1"/>
  <c r="BZ463" i="1"/>
  <c r="CA463" i="1"/>
  <c r="CB463" i="1"/>
  <c r="CC463" i="1"/>
  <c r="CD463" i="1"/>
  <c r="CE463" i="1"/>
  <c r="CF463" i="1"/>
  <c r="CG463" i="1"/>
  <c r="CH463" i="1"/>
  <c r="CI463" i="1"/>
  <c r="CJ463" i="1"/>
  <c r="CK463" i="1"/>
  <c r="CL463" i="1"/>
  <c r="CM463" i="1"/>
  <c r="CN463" i="1"/>
  <c r="CO463" i="1"/>
  <c r="CP463" i="1"/>
  <c r="CQ463" i="1"/>
  <c r="CR463" i="1"/>
  <c r="CS463" i="1"/>
  <c r="CT463" i="1"/>
  <c r="CU463" i="1"/>
  <c r="CV463" i="1"/>
  <c r="BQ464" i="1"/>
  <c r="BR464" i="1"/>
  <c r="BS464" i="1"/>
  <c r="BV464" i="1"/>
  <c r="BW464" i="1"/>
  <c r="BX464" i="1"/>
  <c r="BY464" i="1"/>
  <c r="BZ464" i="1"/>
  <c r="CA464" i="1"/>
  <c r="CB464" i="1"/>
  <c r="CC464" i="1"/>
  <c r="CD464" i="1"/>
  <c r="CE464" i="1"/>
  <c r="CF464" i="1"/>
  <c r="CG464" i="1"/>
  <c r="CH464" i="1"/>
  <c r="CI464" i="1"/>
  <c r="CJ464" i="1"/>
  <c r="CK464" i="1"/>
  <c r="CL464" i="1"/>
  <c r="CM464" i="1"/>
  <c r="CN464" i="1"/>
  <c r="CO464" i="1"/>
  <c r="CP464" i="1"/>
  <c r="CQ464" i="1"/>
  <c r="CR464" i="1"/>
  <c r="CS464" i="1"/>
  <c r="CT464" i="1"/>
  <c r="CU464" i="1"/>
  <c r="CV464" i="1"/>
  <c r="BQ465" i="1"/>
  <c r="BR465" i="1"/>
  <c r="BS465" i="1"/>
  <c r="BV465" i="1"/>
  <c r="BW465" i="1"/>
  <c r="BX465" i="1"/>
  <c r="BY465" i="1"/>
  <c r="BZ465" i="1"/>
  <c r="CA465" i="1"/>
  <c r="CB465" i="1"/>
  <c r="CC465" i="1"/>
  <c r="CD465" i="1"/>
  <c r="CE465" i="1"/>
  <c r="CF465" i="1"/>
  <c r="CG465" i="1"/>
  <c r="CH465" i="1"/>
  <c r="CI465" i="1"/>
  <c r="CJ465" i="1"/>
  <c r="CK465" i="1"/>
  <c r="CL465" i="1"/>
  <c r="CM465" i="1"/>
  <c r="CN465" i="1"/>
  <c r="CO465" i="1"/>
  <c r="CP465" i="1"/>
  <c r="CQ465" i="1"/>
  <c r="CR465" i="1"/>
  <c r="CS465" i="1"/>
  <c r="CT465" i="1"/>
  <c r="CU465" i="1"/>
  <c r="CV465" i="1"/>
  <c r="BQ466" i="1"/>
  <c r="BR466" i="1"/>
  <c r="BS466" i="1"/>
  <c r="BV466" i="1"/>
  <c r="BW466" i="1"/>
  <c r="BX466" i="1"/>
  <c r="BY466" i="1"/>
  <c r="BZ466" i="1"/>
  <c r="CA466" i="1"/>
  <c r="CB466" i="1"/>
  <c r="CC466" i="1"/>
  <c r="CD466" i="1"/>
  <c r="CE466" i="1"/>
  <c r="CF466" i="1"/>
  <c r="CG466" i="1"/>
  <c r="CH466" i="1"/>
  <c r="CI466" i="1"/>
  <c r="CJ466" i="1"/>
  <c r="CK466" i="1"/>
  <c r="CL466" i="1"/>
  <c r="CM466" i="1"/>
  <c r="CN466" i="1"/>
  <c r="CO466" i="1"/>
  <c r="CP466" i="1"/>
  <c r="CQ466" i="1"/>
  <c r="CR466" i="1"/>
  <c r="CS466" i="1"/>
  <c r="CT466" i="1"/>
  <c r="CU466" i="1"/>
  <c r="CV466" i="1"/>
  <c r="BQ467" i="1"/>
  <c r="BR467" i="1"/>
  <c r="BS467" i="1"/>
  <c r="BV467" i="1"/>
  <c r="BW467" i="1"/>
  <c r="BX467" i="1"/>
  <c r="BY467" i="1"/>
  <c r="BZ467" i="1"/>
  <c r="CA467" i="1"/>
  <c r="CB467" i="1"/>
  <c r="CC467" i="1"/>
  <c r="CD467" i="1"/>
  <c r="CE467" i="1"/>
  <c r="CF467" i="1"/>
  <c r="CG467" i="1"/>
  <c r="CH467" i="1"/>
  <c r="CI467" i="1"/>
  <c r="CJ467" i="1"/>
  <c r="CK467" i="1"/>
  <c r="CL467" i="1"/>
  <c r="CM467" i="1"/>
  <c r="CN467" i="1"/>
  <c r="CO467" i="1"/>
  <c r="CP467" i="1"/>
  <c r="CQ467" i="1"/>
  <c r="CR467" i="1"/>
  <c r="CS467" i="1"/>
  <c r="CT467" i="1"/>
  <c r="CU467" i="1"/>
  <c r="CV467" i="1"/>
  <c r="BQ468" i="1"/>
  <c r="BR468" i="1"/>
  <c r="BS468" i="1"/>
  <c r="BV468" i="1"/>
  <c r="BW468" i="1"/>
  <c r="BX468" i="1"/>
  <c r="BY468" i="1"/>
  <c r="BZ468" i="1"/>
  <c r="CA468" i="1"/>
  <c r="CB468" i="1"/>
  <c r="CC468" i="1"/>
  <c r="CD468" i="1"/>
  <c r="CE468" i="1"/>
  <c r="CF468" i="1"/>
  <c r="CG468" i="1"/>
  <c r="CH468" i="1"/>
  <c r="CI468" i="1"/>
  <c r="CJ468" i="1"/>
  <c r="CK468" i="1"/>
  <c r="CL468" i="1"/>
  <c r="CM468" i="1"/>
  <c r="CN468" i="1"/>
  <c r="CO468" i="1"/>
  <c r="CP468" i="1"/>
  <c r="CQ468" i="1"/>
  <c r="CR468" i="1"/>
  <c r="CS468" i="1"/>
  <c r="CT468" i="1"/>
  <c r="CU468" i="1"/>
  <c r="CV468" i="1"/>
  <c r="BQ469" i="1"/>
  <c r="BR469" i="1"/>
  <c r="BS469" i="1"/>
  <c r="BV469" i="1"/>
  <c r="BW469" i="1"/>
  <c r="BX469" i="1"/>
  <c r="BY469" i="1"/>
  <c r="BZ469" i="1"/>
  <c r="CA469" i="1"/>
  <c r="CB469" i="1"/>
  <c r="CC469" i="1"/>
  <c r="CD469" i="1"/>
  <c r="CE469" i="1"/>
  <c r="CF469" i="1"/>
  <c r="CG469" i="1"/>
  <c r="CH469" i="1"/>
  <c r="CI469" i="1"/>
  <c r="CJ469" i="1"/>
  <c r="CK469" i="1"/>
  <c r="CL469" i="1"/>
  <c r="CM469" i="1"/>
  <c r="CN469" i="1"/>
  <c r="CO469" i="1"/>
  <c r="CP469" i="1"/>
  <c r="CQ469" i="1"/>
  <c r="CR469" i="1"/>
  <c r="CS469" i="1"/>
  <c r="CT469" i="1"/>
  <c r="CU469" i="1"/>
  <c r="CV469" i="1"/>
  <c r="BQ470" i="1"/>
  <c r="BR470" i="1"/>
  <c r="BS470" i="1"/>
  <c r="BV470" i="1"/>
  <c r="BW470" i="1"/>
  <c r="BX470" i="1"/>
  <c r="BY470" i="1"/>
  <c r="BZ470" i="1"/>
  <c r="CA470" i="1"/>
  <c r="CB470" i="1"/>
  <c r="CC470" i="1"/>
  <c r="CD470" i="1"/>
  <c r="CE470" i="1"/>
  <c r="CF470" i="1"/>
  <c r="CG470" i="1"/>
  <c r="CH470" i="1"/>
  <c r="CI470" i="1"/>
  <c r="CJ470" i="1"/>
  <c r="CK470" i="1"/>
  <c r="CL470" i="1"/>
  <c r="CM470" i="1"/>
  <c r="CN470" i="1"/>
  <c r="CO470" i="1"/>
  <c r="CP470" i="1"/>
  <c r="CQ470" i="1"/>
  <c r="CR470" i="1"/>
  <c r="CS470" i="1"/>
  <c r="CT470" i="1"/>
  <c r="CU470" i="1"/>
  <c r="CV470" i="1"/>
  <c r="BQ471" i="1"/>
  <c r="BR471" i="1"/>
  <c r="BS471" i="1"/>
  <c r="BV471" i="1"/>
  <c r="BW471" i="1"/>
  <c r="BX471" i="1"/>
  <c r="BY471" i="1"/>
  <c r="BZ471" i="1"/>
  <c r="CA471" i="1"/>
  <c r="CB471" i="1"/>
  <c r="CC471" i="1"/>
  <c r="CD471" i="1"/>
  <c r="CE471" i="1"/>
  <c r="CF471" i="1"/>
  <c r="CG471" i="1"/>
  <c r="CH471" i="1"/>
  <c r="CI471" i="1"/>
  <c r="CJ471" i="1"/>
  <c r="CK471" i="1"/>
  <c r="CL471" i="1"/>
  <c r="CM471" i="1"/>
  <c r="CN471" i="1"/>
  <c r="CO471" i="1"/>
  <c r="CP471" i="1"/>
  <c r="CQ471" i="1"/>
  <c r="CR471" i="1"/>
  <c r="CS471" i="1"/>
  <c r="CT471" i="1"/>
  <c r="CU471" i="1"/>
  <c r="CV471" i="1"/>
  <c r="BQ472" i="1"/>
  <c r="BR472" i="1"/>
  <c r="BS472" i="1"/>
  <c r="BV472" i="1"/>
  <c r="BW472" i="1"/>
  <c r="BX472" i="1"/>
  <c r="BY472" i="1"/>
  <c r="BZ472" i="1"/>
  <c r="CA472" i="1"/>
  <c r="CB472" i="1"/>
  <c r="CC472" i="1"/>
  <c r="CD472" i="1"/>
  <c r="CE472" i="1"/>
  <c r="CF472" i="1"/>
  <c r="CG472" i="1"/>
  <c r="CH472" i="1"/>
  <c r="CI472" i="1"/>
  <c r="CJ472" i="1"/>
  <c r="CK472" i="1"/>
  <c r="CL472" i="1"/>
  <c r="CM472" i="1"/>
  <c r="CN472" i="1"/>
  <c r="CO472" i="1"/>
  <c r="CP472" i="1"/>
  <c r="CQ472" i="1"/>
  <c r="CR472" i="1"/>
  <c r="CS472" i="1"/>
  <c r="CT472" i="1"/>
  <c r="CU472" i="1"/>
  <c r="CV472" i="1"/>
  <c r="BQ473" i="1"/>
  <c r="BR473" i="1"/>
  <c r="BS473" i="1"/>
  <c r="BV473" i="1"/>
  <c r="BW473" i="1"/>
  <c r="BX473" i="1"/>
  <c r="BY473" i="1"/>
  <c r="BZ473" i="1"/>
  <c r="CA473" i="1"/>
  <c r="CB473" i="1"/>
  <c r="CC473" i="1"/>
  <c r="CD473" i="1"/>
  <c r="CE473" i="1"/>
  <c r="CF473" i="1"/>
  <c r="CG473" i="1"/>
  <c r="CH473" i="1"/>
  <c r="CI473" i="1"/>
  <c r="CJ473" i="1"/>
  <c r="CK473" i="1"/>
  <c r="CL473" i="1"/>
  <c r="CM473" i="1"/>
  <c r="CN473" i="1"/>
  <c r="CO473" i="1"/>
  <c r="CP473" i="1"/>
  <c r="CQ473" i="1"/>
  <c r="CR473" i="1"/>
  <c r="CS473" i="1"/>
  <c r="CT473" i="1"/>
  <c r="CU473" i="1"/>
  <c r="CV473" i="1"/>
  <c r="BQ474" i="1"/>
  <c r="BR474" i="1"/>
  <c r="BS474" i="1"/>
  <c r="BV474" i="1"/>
  <c r="BW474" i="1"/>
  <c r="BX474" i="1"/>
  <c r="BY474" i="1"/>
  <c r="BZ474" i="1"/>
  <c r="CA474" i="1"/>
  <c r="CB474" i="1"/>
  <c r="CC474" i="1"/>
  <c r="CD474" i="1"/>
  <c r="CE474" i="1"/>
  <c r="CF474" i="1"/>
  <c r="CG474" i="1"/>
  <c r="CH474" i="1"/>
  <c r="CI474" i="1"/>
  <c r="CJ474" i="1"/>
  <c r="CK474" i="1"/>
  <c r="CL474" i="1"/>
  <c r="CM474" i="1"/>
  <c r="CN474" i="1"/>
  <c r="CO474" i="1"/>
  <c r="CP474" i="1"/>
  <c r="CQ474" i="1"/>
  <c r="CR474" i="1"/>
  <c r="CS474" i="1"/>
  <c r="CT474" i="1"/>
  <c r="CU474" i="1"/>
  <c r="CV474" i="1"/>
  <c r="BQ475" i="1"/>
  <c r="BR475" i="1"/>
  <c r="BS475" i="1"/>
  <c r="BV475" i="1"/>
  <c r="BW475" i="1"/>
  <c r="BX475" i="1"/>
  <c r="BY475" i="1"/>
  <c r="BZ475" i="1"/>
  <c r="CA475" i="1"/>
  <c r="CB475" i="1"/>
  <c r="CC475" i="1"/>
  <c r="CD475" i="1"/>
  <c r="CE475" i="1"/>
  <c r="CF475" i="1"/>
  <c r="CG475" i="1"/>
  <c r="CH475" i="1"/>
  <c r="CI475" i="1"/>
  <c r="CJ475" i="1"/>
  <c r="CK475" i="1"/>
  <c r="CL475" i="1"/>
  <c r="CM475" i="1"/>
  <c r="CN475" i="1"/>
  <c r="CO475" i="1"/>
  <c r="CP475" i="1"/>
  <c r="CQ475" i="1"/>
  <c r="CR475" i="1"/>
  <c r="CS475" i="1"/>
  <c r="CT475" i="1"/>
  <c r="CU475" i="1"/>
  <c r="CV475" i="1"/>
  <c r="BQ476" i="1"/>
  <c r="BR476" i="1"/>
  <c r="BS476" i="1"/>
  <c r="BV476" i="1"/>
  <c r="BW476" i="1"/>
  <c r="BX476" i="1"/>
  <c r="BY476" i="1"/>
  <c r="BZ476" i="1"/>
  <c r="CA476" i="1"/>
  <c r="CB476" i="1"/>
  <c r="CC476" i="1"/>
  <c r="CD476" i="1"/>
  <c r="CE476" i="1"/>
  <c r="CF476" i="1"/>
  <c r="CG476" i="1"/>
  <c r="CH476" i="1"/>
  <c r="CI476" i="1"/>
  <c r="CJ476" i="1"/>
  <c r="CK476" i="1"/>
  <c r="CL476" i="1"/>
  <c r="CM476" i="1"/>
  <c r="CN476" i="1"/>
  <c r="CO476" i="1"/>
  <c r="CP476" i="1"/>
  <c r="CQ476" i="1"/>
  <c r="CR476" i="1"/>
  <c r="CS476" i="1"/>
  <c r="CT476" i="1"/>
  <c r="CU476" i="1"/>
  <c r="CV476" i="1"/>
  <c r="BQ477" i="1"/>
  <c r="BR477" i="1"/>
  <c r="BV477" i="1"/>
  <c r="BW477" i="1"/>
  <c r="BX477" i="1"/>
  <c r="BY477" i="1"/>
  <c r="BZ477" i="1"/>
  <c r="CA477" i="1"/>
  <c r="CB477" i="1"/>
  <c r="CC477" i="1"/>
  <c r="CD477" i="1"/>
  <c r="CE477" i="1"/>
  <c r="CF477" i="1"/>
  <c r="CG477" i="1"/>
  <c r="CH477" i="1"/>
  <c r="CI477" i="1"/>
  <c r="CJ477" i="1"/>
  <c r="CK477" i="1"/>
  <c r="CL477" i="1"/>
  <c r="CM477" i="1"/>
  <c r="CN477" i="1"/>
  <c r="CO477" i="1"/>
  <c r="CP477" i="1"/>
  <c r="CQ477" i="1"/>
  <c r="CR477" i="1"/>
  <c r="CS477" i="1"/>
  <c r="CT477" i="1"/>
  <c r="CU477" i="1"/>
  <c r="CV477" i="1"/>
  <c r="BQ478" i="1"/>
  <c r="BR478" i="1"/>
  <c r="BV478" i="1"/>
  <c r="BW478" i="1"/>
  <c r="BX478" i="1"/>
  <c r="BY478" i="1"/>
  <c r="BZ478" i="1"/>
  <c r="CA478" i="1"/>
  <c r="CB478" i="1"/>
  <c r="CC478" i="1"/>
  <c r="CD478" i="1"/>
  <c r="CE478" i="1"/>
  <c r="CF478" i="1"/>
  <c r="CG478" i="1"/>
  <c r="CH478" i="1"/>
  <c r="CI478" i="1"/>
  <c r="CJ478" i="1"/>
  <c r="CK478" i="1"/>
  <c r="CL478" i="1"/>
  <c r="CM478" i="1"/>
  <c r="CN478" i="1"/>
  <c r="CO478" i="1"/>
  <c r="CP478" i="1"/>
  <c r="CQ478" i="1"/>
  <c r="CR478" i="1"/>
  <c r="CS478" i="1"/>
  <c r="CT478" i="1"/>
  <c r="CU478" i="1"/>
  <c r="CV478" i="1"/>
  <c r="BQ479" i="1"/>
  <c r="BR479" i="1"/>
  <c r="BS479" i="1"/>
  <c r="BV479" i="1"/>
  <c r="BW479" i="1"/>
  <c r="BX479" i="1"/>
  <c r="BY479" i="1"/>
  <c r="BZ479" i="1"/>
  <c r="CA479" i="1"/>
  <c r="CB479" i="1"/>
  <c r="CC479" i="1"/>
  <c r="CD479" i="1"/>
  <c r="CE479" i="1"/>
  <c r="CF479" i="1"/>
  <c r="CG479" i="1"/>
  <c r="CH479" i="1"/>
  <c r="CI479" i="1"/>
  <c r="CJ479" i="1"/>
  <c r="CK479" i="1"/>
  <c r="CL479" i="1"/>
  <c r="CM479" i="1"/>
  <c r="CN479" i="1"/>
  <c r="CO479" i="1"/>
  <c r="CP479" i="1"/>
  <c r="CQ479" i="1"/>
  <c r="CR479" i="1"/>
  <c r="CS479" i="1"/>
  <c r="CT479" i="1"/>
  <c r="CU479" i="1"/>
  <c r="CV479" i="1"/>
  <c r="BQ480" i="1"/>
  <c r="BR480" i="1"/>
  <c r="BS480" i="1"/>
  <c r="BV480" i="1"/>
  <c r="BW480" i="1"/>
  <c r="BX480" i="1"/>
  <c r="BY480" i="1"/>
  <c r="BZ480" i="1"/>
  <c r="CA480" i="1"/>
  <c r="CB480" i="1"/>
  <c r="CC480" i="1"/>
  <c r="CD480" i="1"/>
  <c r="CE480" i="1"/>
  <c r="CF480" i="1"/>
  <c r="CG480" i="1"/>
  <c r="CH480" i="1"/>
  <c r="CI480" i="1"/>
  <c r="CJ480" i="1"/>
  <c r="CK480" i="1"/>
  <c r="CL480" i="1"/>
  <c r="CM480" i="1"/>
  <c r="CN480" i="1"/>
  <c r="CO480" i="1"/>
  <c r="CP480" i="1"/>
  <c r="CQ480" i="1"/>
  <c r="CR480" i="1"/>
  <c r="CS480" i="1"/>
  <c r="CT480" i="1"/>
  <c r="CU480" i="1"/>
  <c r="CV480" i="1"/>
  <c r="BQ481" i="1"/>
  <c r="BR481" i="1"/>
  <c r="BS481" i="1"/>
  <c r="BV481" i="1"/>
  <c r="BW481" i="1"/>
  <c r="BX481" i="1"/>
  <c r="BY481" i="1"/>
  <c r="BZ481" i="1"/>
  <c r="CA481" i="1"/>
  <c r="CB481" i="1"/>
  <c r="CC481" i="1"/>
  <c r="CD481" i="1"/>
  <c r="CE481" i="1"/>
  <c r="CF481" i="1"/>
  <c r="CG481" i="1"/>
  <c r="CH481" i="1"/>
  <c r="CI481" i="1"/>
  <c r="CJ481" i="1"/>
  <c r="CK481" i="1"/>
  <c r="CL481" i="1"/>
  <c r="CM481" i="1"/>
  <c r="CN481" i="1"/>
  <c r="CO481" i="1"/>
  <c r="CP481" i="1"/>
  <c r="CQ481" i="1"/>
  <c r="CR481" i="1"/>
  <c r="CS481" i="1"/>
  <c r="CT481" i="1"/>
  <c r="CU481" i="1"/>
  <c r="CV481" i="1"/>
  <c r="BQ482" i="1"/>
  <c r="BR482" i="1"/>
  <c r="BS482" i="1"/>
  <c r="BV482" i="1"/>
  <c r="BW482" i="1"/>
  <c r="BX482" i="1"/>
  <c r="BY482" i="1"/>
  <c r="BZ482" i="1"/>
  <c r="CA482" i="1"/>
  <c r="CB482" i="1"/>
  <c r="CC482" i="1"/>
  <c r="CD482" i="1"/>
  <c r="CE482" i="1"/>
  <c r="CF482" i="1"/>
  <c r="CG482" i="1"/>
  <c r="CH482" i="1"/>
  <c r="CI482" i="1"/>
  <c r="CJ482" i="1"/>
  <c r="CK482" i="1"/>
  <c r="CL482" i="1"/>
  <c r="CM482" i="1"/>
  <c r="CN482" i="1"/>
  <c r="CO482" i="1"/>
  <c r="CP482" i="1"/>
  <c r="CQ482" i="1"/>
  <c r="CR482" i="1"/>
  <c r="CS482" i="1"/>
  <c r="CT482" i="1"/>
  <c r="CU482" i="1"/>
  <c r="CV482" i="1"/>
  <c r="BQ483" i="1"/>
  <c r="BR483" i="1"/>
  <c r="BS483" i="1"/>
  <c r="BV483" i="1"/>
  <c r="BW483" i="1"/>
  <c r="BX483" i="1"/>
  <c r="BY483" i="1"/>
  <c r="BZ483" i="1"/>
  <c r="CA483" i="1"/>
  <c r="CB483" i="1"/>
  <c r="CC483" i="1"/>
  <c r="CD483" i="1"/>
  <c r="CE483" i="1"/>
  <c r="CF483" i="1"/>
  <c r="CG483" i="1"/>
  <c r="CH483" i="1"/>
  <c r="CI483" i="1"/>
  <c r="CJ483" i="1"/>
  <c r="CK483" i="1"/>
  <c r="CL483" i="1"/>
  <c r="CM483" i="1"/>
  <c r="CN483" i="1"/>
  <c r="CO483" i="1"/>
  <c r="CP483" i="1"/>
  <c r="CQ483" i="1"/>
  <c r="CR483" i="1"/>
  <c r="CS483" i="1"/>
  <c r="CT483" i="1"/>
  <c r="CU483" i="1"/>
  <c r="CV483" i="1"/>
  <c r="BQ484" i="1"/>
  <c r="BR484" i="1"/>
  <c r="BS484" i="1"/>
  <c r="BV484" i="1"/>
  <c r="BW484" i="1"/>
  <c r="BX484" i="1"/>
  <c r="BY484" i="1"/>
  <c r="BZ484" i="1"/>
  <c r="CA484" i="1"/>
  <c r="CB484" i="1"/>
  <c r="CC484" i="1"/>
  <c r="CD484" i="1"/>
  <c r="CE484" i="1"/>
  <c r="CF484" i="1"/>
  <c r="CG484" i="1"/>
  <c r="CH484" i="1"/>
  <c r="CI484" i="1"/>
  <c r="CJ484" i="1"/>
  <c r="CK484" i="1"/>
  <c r="CL484" i="1"/>
  <c r="CM484" i="1"/>
  <c r="CN484" i="1"/>
  <c r="CO484" i="1"/>
  <c r="CP484" i="1"/>
  <c r="CQ484" i="1"/>
  <c r="CR484" i="1"/>
  <c r="CS484" i="1"/>
  <c r="CT484" i="1"/>
  <c r="CU484" i="1"/>
  <c r="CV484" i="1"/>
  <c r="BQ485" i="1"/>
  <c r="BR485" i="1"/>
  <c r="BS485" i="1"/>
  <c r="BV485" i="1"/>
  <c r="BW485" i="1"/>
  <c r="BX485" i="1"/>
  <c r="BY485" i="1"/>
  <c r="BZ485" i="1"/>
  <c r="CA485" i="1"/>
  <c r="CB485" i="1"/>
  <c r="CC485" i="1"/>
  <c r="CD485" i="1"/>
  <c r="CE485" i="1"/>
  <c r="CF485" i="1"/>
  <c r="CG485" i="1"/>
  <c r="CH485" i="1"/>
  <c r="CI485" i="1"/>
  <c r="CJ485" i="1"/>
  <c r="CK485" i="1"/>
  <c r="CL485" i="1"/>
  <c r="CM485" i="1"/>
  <c r="CN485" i="1"/>
  <c r="CO485" i="1"/>
  <c r="CP485" i="1"/>
  <c r="CQ485" i="1"/>
  <c r="CR485" i="1"/>
  <c r="CS485" i="1"/>
  <c r="CT485" i="1"/>
  <c r="CU485" i="1"/>
  <c r="CV485" i="1"/>
  <c r="BQ486" i="1"/>
  <c r="BR486" i="1"/>
  <c r="BS486" i="1"/>
  <c r="BV486" i="1"/>
  <c r="BW486" i="1"/>
  <c r="BX486" i="1"/>
  <c r="BY486" i="1"/>
  <c r="BZ486" i="1"/>
  <c r="CA486" i="1"/>
  <c r="CB486" i="1"/>
  <c r="CC486" i="1"/>
  <c r="CD486" i="1"/>
  <c r="CE486" i="1"/>
  <c r="CF486" i="1"/>
  <c r="CG486" i="1"/>
  <c r="CH486" i="1"/>
  <c r="CI486" i="1"/>
  <c r="CJ486" i="1"/>
  <c r="CK486" i="1"/>
  <c r="CL486" i="1"/>
  <c r="CM486" i="1"/>
  <c r="CN486" i="1"/>
  <c r="CO486" i="1"/>
  <c r="CP486" i="1"/>
  <c r="CQ486" i="1"/>
  <c r="CR486" i="1"/>
  <c r="CS486" i="1"/>
  <c r="CT486" i="1"/>
  <c r="CU486" i="1"/>
  <c r="CV486" i="1"/>
  <c r="BQ487" i="1"/>
  <c r="BR487" i="1"/>
  <c r="BS487" i="1"/>
  <c r="BV487" i="1"/>
  <c r="BW487" i="1"/>
  <c r="BX487" i="1"/>
  <c r="BY487" i="1"/>
  <c r="BZ487" i="1"/>
  <c r="CA487" i="1"/>
  <c r="CB487" i="1"/>
  <c r="CC487" i="1"/>
  <c r="CD487" i="1"/>
  <c r="CE487" i="1"/>
  <c r="CF487" i="1"/>
  <c r="CG487" i="1"/>
  <c r="CH487" i="1"/>
  <c r="CI487" i="1"/>
  <c r="CJ487" i="1"/>
  <c r="CK487" i="1"/>
  <c r="CL487" i="1"/>
  <c r="CM487" i="1"/>
  <c r="CN487" i="1"/>
  <c r="CO487" i="1"/>
  <c r="CP487" i="1"/>
  <c r="CQ487" i="1"/>
  <c r="CR487" i="1"/>
  <c r="CS487" i="1"/>
  <c r="CT487" i="1"/>
  <c r="CU487" i="1"/>
  <c r="CV487" i="1"/>
  <c r="BQ488" i="1"/>
  <c r="BR488" i="1"/>
  <c r="BS488" i="1"/>
  <c r="BV488" i="1"/>
  <c r="BW488" i="1"/>
  <c r="BX488" i="1"/>
  <c r="BY488" i="1"/>
  <c r="BZ488" i="1"/>
  <c r="CA488" i="1"/>
  <c r="CB488" i="1"/>
  <c r="CC488" i="1"/>
  <c r="CD488" i="1"/>
  <c r="CE488" i="1"/>
  <c r="CF488" i="1"/>
  <c r="CG488" i="1"/>
  <c r="CH488" i="1"/>
  <c r="CI488" i="1"/>
  <c r="CJ488" i="1"/>
  <c r="CK488" i="1"/>
  <c r="CL488" i="1"/>
  <c r="CM488" i="1"/>
  <c r="CN488" i="1"/>
  <c r="CO488" i="1"/>
  <c r="CP488" i="1"/>
  <c r="CQ488" i="1"/>
  <c r="CR488" i="1"/>
  <c r="CS488" i="1"/>
  <c r="CT488" i="1"/>
  <c r="CU488" i="1"/>
  <c r="CV488" i="1"/>
  <c r="BQ489" i="1"/>
  <c r="BR489" i="1"/>
  <c r="BS489" i="1"/>
  <c r="BV489" i="1"/>
  <c r="BW489" i="1"/>
  <c r="BX489" i="1"/>
  <c r="BY489" i="1"/>
  <c r="BZ489" i="1"/>
  <c r="CA489" i="1"/>
  <c r="CB489" i="1"/>
  <c r="CC489" i="1"/>
  <c r="CD489" i="1"/>
  <c r="CE489" i="1"/>
  <c r="CF489" i="1"/>
  <c r="CG489" i="1"/>
  <c r="CH489" i="1"/>
  <c r="CI489" i="1"/>
  <c r="CJ489" i="1"/>
  <c r="CK489" i="1"/>
  <c r="CL489" i="1"/>
  <c r="CM489" i="1"/>
  <c r="CN489" i="1"/>
  <c r="CO489" i="1"/>
  <c r="CP489" i="1"/>
  <c r="CQ489" i="1"/>
  <c r="CR489" i="1"/>
  <c r="CS489" i="1"/>
  <c r="CT489" i="1"/>
  <c r="CU489" i="1"/>
  <c r="CV489" i="1"/>
  <c r="BQ490" i="1"/>
  <c r="BR490" i="1"/>
  <c r="BS490" i="1"/>
  <c r="BV490" i="1"/>
  <c r="BW490" i="1"/>
  <c r="BX490" i="1"/>
  <c r="BY490" i="1"/>
  <c r="BZ490" i="1"/>
  <c r="CA490" i="1"/>
  <c r="CB490" i="1"/>
  <c r="CC490" i="1"/>
  <c r="CD490" i="1"/>
  <c r="CE490" i="1"/>
  <c r="CF490" i="1"/>
  <c r="CG490" i="1"/>
  <c r="CH490" i="1"/>
  <c r="CI490" i="1"/>
  <c r="CJ490" i="1"/>
  <c r="CK490" i="1"/>
  <c r="CL490" i="1"/>
  <c r="CM490" i="1"/>
  <c r="CN490" i="1"/>
  <c r="CO490" i="1"/>
  <c r="CP490" i="1"/>
  <c r="CQ490" i="1"/>
  <c r="CR490" i="1"/>
  <c r="CS490" i="1"/>
  <c r="CT490" i="1"/>
  <c r="CU490" i="1"/>
  <c r="CV490" i="1"/>
  <c r="BQ491" i="1"/>
  <c r="BR491" i="1"/>
  <c r="BS491" i="1"/>
  <c r="BV491" i="1"/>
  <c r="BW491" i="1"/>
  <c r="BX491" i="1"/>
  <c r="BY491" i="1"/>
  <c r="BZ491" i="1"/>
  <c r="CA491" i="1"/>
  <c r="CB491" i="1"/>
  <c r="CC491" i="1"/>
  <c r="CD491" i="1"/>
  <c r="CE491" i="1"/>
  <c r="CF491" i="1"/>
  <c r="CG491" i="1"/>
  <c r="CH491" i="1"/>
  <c r="CI491" i="1"/>
  <c r="CJ491" i="1"/>
  <c r="CK491" i="1"/>
  <c r="CL491" i="1"/>
  <c r="CM491" i="1"/>
  <c r="CN491" i="1"/>
  <c r="CO491" i="1"/>
  <c r="CP491" i="1"/>
  <c r="CQ491" i="1"/>
  <c r="CR491" i="1"/>
  <c r="CS491" i="1"/>
  <c r="CT491" i="1"/>
  <c r="CU491" i="1"/>
  <c r="CV491" i="1"/>
  <c r="BQ492" i="1"/>
  <c r="BR492" i="1"/>
  <c r="BS492" i="1"/>
  <c r="BV492" i="1"/>
  <c r="BW492" i="1"/>
  <c r="BX492" i="1"/>
  <c r="BY492" i="1"/>
  <c r="BZ492" i="1"/>
  <c r="CA492" i="1"/>
  <c r="CB492" i="1"/>
  <c r="CC492" i="1"/>
  <c r="CD492" i="1"/>
  <c r="CE492" i="1"/>
  <c r="CF492" i="1"/>
  <c r="CG492" i="1"/>
  <c r="CH492" i="1"/>
  <c r="CI492" i="1"/>
  <c r="CJ492" i="1"/>
  <c r="CK492" i="1"/>
  <c r="CL492" i="1"/>
  <c r="CM492" i="1"/>
  <c r="CN492" i="1"/>
  <c r="CO492" i="1"/>
  <c r="CP492" i="1"/>
  <c r="CQ492" i="1"/>
  <c r="CR492" i="1"/>
  <c r="CS492" i="1"/>
  <c r="CT492" i="1"/>
  <c r="CU492" i="1"/>
  <c r="CV492" i="1"/>
  <c r="BQ493" i="1"/>
  <c r="BR493" i="1"/>
  <c r="BS493" i="1"/>
  <c r="BV493" i="1"/>
  <c r="BW493" i="1"/>
  <c r="BX493" i="1"/>
  <c r="BY493" i="1"/>
  <c r="BZ493" i="1"/>
  <c r="CA493" i="1"/>
  <c r="CB493" i="1"/>
  <c r="CC493" i="1"/>
  <c r="CD493" i="1"/>
  <c r="CE493" i="1"/>
  <c r="CF493" i="1"/>
  <c r="CG493" i="1"/>
  <c r="CH493" i="1"/>
  <c r="CI493" i="1"/>
  <c r="CJ493" i="1"/>
  <c r="CK493" i="1"/>
  <c r="CL493" i="1"/>
  <c r="CM493" i="1"/>
  <c r="CN493" i="1"/>
  <c r="CO493" i="1"/>
  <c r="CP493" i="1"/>
  <c r="CQ493" i="1"/>
  <c r="CR493" i="1"/>
  <c r="CS493" i="1"/>
  <c r="CT493" i="1"/>
  <c r="CU493" i="1"/>
  <c r="CV493" i="1"/>
  <c r="BQ494" i="1"/>
  <c r="BR494" i="1"/>
  <c r="BS494" i="1"/>
  <c r="BV494" i="1"/>
  <c r="BW494" i="1"/>
  <c r="BX494" i="1"/>
  <c r="BY494" i="1"/>
  <c r="BZ494" i="1"/>
  <c r="CA494" i="1"/>
  <c r="CB494" i="1"/>
  <c r="CC494" i="1"/>
  <c r="CD494" i="1"/>
  <c r="CE494" i="1"/>
  <c r="CF494" i="1"/>
  <c r="CG494" i="1"/>
  <c r="CH494" i="1"/>
  <c r="CI494" i="1"/>
  <c r="CJ494" i="1"/>
  <c r="CK494" i="1"/>
  <c r="CL494" i="1"/>
  <c r="CM494" i="1"/>
  <c r="CN494" i="1"/>
  <c r="CO494" i="1"/>
  <c r="CP494" i="1"/>
  <c r="CQ494" i="1"/>
  <c r="CR494" i="1"/>
  <c r="CS494" i="1"/>
  <c r="CT494" i="1"/>
  <c r="CU494" i="1"/>
  <c r="CV494" i="1"/>
  <c r="BQ495" i="1"/>
  <c r="BR495" i="1"/>
  <c r="BS495" i="1"/>
  <c r="BV495" i="1"/>
  <c r="BW495" i="1"/>
  <c r="BX495" i="1"/>
  <c r="BY495" i="1"/>
  <c r="BZ495" i="1"/>
  <c r="CA495" i="1"/>
  <c r="CB495" i="1"/>
  <c r="CC495" i="1"/>
  <c r="CD495" i="1"/>
  <c r="CE495" i="1"/>
  <c r="CF495" i="1"/>
  <c r="CG495" i="1"/>
  <c r="CH495" i="1"/>
  <c r="CI495" i="1"/>
  <c r="CJ495" i="1"/>
  <c r="CK495" i="1"/>
  <c r="CL495" i="1"/>
  <c r="CM495" i="1"/>
  <c r="CN495" i="1"/>
  <c r="CO495" i="1"/>
  <c r="CP495" i="1"/>
  <c r="CQ495" i="1"/>
  <c r="CR495" i="1"/>
  <c r="CS495" i="1"/>
  <c r="CT495" i="1"/>
  <c r="CU495" i="1"/>
  <c r="CV495" i="1"/>
  <c r="BQ496" i="1"/>
  <c r="BR496" i="1"/>
  <c r="BS496" i="1"/>
  <c r="BV496" i="1"/>
  <c r="BW496" i="1"/>
  <c r="BX496" i="1"/>
  <c r="BY496" i="1"/>
  <c r="BZ496" i="1"/>
  <c r="CA496" i="1"/>
  <c r="CB496" i="1"/>
  <c r="CC496" i="1"/>
  <c r="CD496" i="1"/>
  <c r="CE496" i="1"/>
  <c r="CF496" i="1"/>
  <c r="CG496" i="1"/>
  <c r="CH496" i="1"/>
  <c r="CI496" i="1"/>
  <c r="CJ496" i="1"/>
  <c r="CK496" i="1"/>
  <c r="CL496" i="1"/>
  <c r="CM496" i="1"/>
  <c r="CN496" i="1"/>
  <c r="CO496" i="1"/>
  <c r="CP496" i="1"/>
  <c r="CQ496" i="1"/>
  <c r="CR496" i="1"/>
  <c r="CS496" i="1"/>
  <c r="CT496" i="1"/>
  <c r="CU496" i="1"/>
  <c r="CV496" i="1"/>
  <c r="BQ497" i="1"/>
  <c r="BR497" i="1"/>
  <c r="BS497" i="1"/>
  <c r="BV497" i="1"/>
  <c r="BW497" i="1"/>
  <c r="BX497" i="1"/>
  <c r="BY497" i="1"/>
  <c r="BZ497" i="1"/>
  <c r="CA497" i="1"/>
  <c r="CB497" i="1"/>
  <c r="CC497" i="1"/>
  <c r="CD497" i="1"/>
  <c r="CE497" i="1"/>
  <c r="CF497" i="1"/>
  <c r="CG497" i="1"/>
  <c r="CH497" i="1"/>
  <c r="CI497" i="1"/>
  <c r="CJ497" i="1"/>
  <c r="CK497" i="1"/>
  <c r="CL497" i="1"/>
  <c r="CM497" i="1"/>
  <c r="CN497" i="1"/>
  <c r="CO497" i="1"/>
  <c r="CP497" i="1"/>
  <c r="CQ497" i="1"/>
  <c r="CR497" i="1"/>
  <c r="CS497" i="1"/>
  <c r="CT497" i="1"/>
  <c r="CU497" i="1"/>
  <c r="CV497" i="1"/>
  <c r="BQ498" i="1"/>
  <c r="BR498" i="1"/>
  <c r="BS498" i="1"/>
  <c r="BV498" i="1"/>
  <c r="BW498" i="1"/>
  <c r="BX498" i="1"/>
  <c r="BY498" i="1"/>
  <c r="BZ498" i="1"/>
  <c r="CA498" i="1"/>
  <c r="CB498" i="1"/>
  <c r="CC498" i="1"/>
  <c r="CD498" i="1"/>
  <c r="CE498" i="1"/>
  <c r="CF498" i="1"/>
  <c r="CG498" i="1"/>
  <c r="CH498" i="1"/>
  <c r="CI498" i="1"/>
  <c r="CJ498" i="1"/>
  <c r="CK498" i="1"/>
  <c r="CL498" i="1"/>
  <c r="CM498" i="1"/>
  <c r="CN498" i="1"/>
  <c r="CO498" i="1"/>
  <c r="CP498" i="1"/>
  <c r="CQ498" i="1"/>
  <c r="CR498" i="1"/>
  <c r="CS498" i="1"/>
  <c r="CT498" i="1"/>
  <c r="CU498" i="1"/>
  <c r="CV498" i="1"/>
  <c r="BQ499" i="1"/>
  <c r="BR499" i="1"/>
  <c r="BS499" i="1"/>
  <c r="BV499" i="1"/>
  <c r="BW499" i="1"/>
  <c r="BX499" i="1"/>
  <c r="BY499" i="1"/>
  <c r="BZ499" i="1"/>
  <c r="CA499" i="1"/>
  <c r="CB499" i="1"/>
  <c r="CC499" i="1"/>
  <c r="CD499" i="1"/>
  <c r="CE499" i="1"/>
  <c r="CF499" i="1"/>
  <c r="CG499" i="1"/>
  <c r="CH499" i="1"/>
  <c r="CI499" i="1"/>
  <c r="CJ499" i="1"/>
  <c r="CK499" i="1"/>
  <c r="CL499" i="1"/>
  <c r="CM499" i="1"/>
  <c r="CN499" i="1"/>
  <c r="CO499" i="1"/>
  <c r="CP499" i="1"/>
  <c r="CQ499" i="1"/>
  <c r="CR499" i="1"/>
  <c r="CS499" i="1"/>
  <c r="CT499" i="1"/>
  <c r="CU499" i="1"/>
  <c r="CV499" i="1"/>
  <c r="BQ500" i="1"/>
  <c r="BR500" i="1"/>
  <c r="BS500" i="1"/>
  <c r="BV500" i="1"/>
  <c r="BW500" i="1"/>
  <c r="BX500" i="1"/>
  <c r="BY500" i="1"/>
  <c r="BZ500" i="1"/>
  <c r="CA500" i="1"/>
  <c r="CB500" i="1"/>
  <c r="CC500" i="1"/>
  <c r="CD500" i="1"/>
  <c r="CE500" i="1"/>
  <c r="CF500" i="1"/>
  <c r="CG500" i="1"/>
  <c r="CH500" i="1"/>
  <c r="CI500" i="1"/>
  <c r="CJ500" i="1"/>
  <c r="CK500" i="1"/>
  <c r="CL500" i="1"/>
  <c r="CM500" i="1"/>
  <c r="CN500" i="1"/>
  <c r="CO500" i="1"/>
  <c r="CP500" i="1"/>
  <c r="CQ500" i="1"/>
  <c r="CR500" i="1"/>
  <c r="CS500" i="1"/>
  <c r="CT500" i="1"/>
  <c r="CU500" i="1"/>
  <c r="CV500" i="1"/>
  <c r="BQ501" i="1"/>
  <c r="BR501" i="1"/>
  <c r="BS501" i="1"/>
  <c r="BV501" i="1"/>
  <c r="BW501" i="1"/>
  <c r="BX501" i="1"/>
  <c r="BY501" i="1"/>
  <c r="BZ501" i="1"/>
  <c r="CA501" i="1"/>
  <c r="CB501" i="1"/>
  <c r="CC501" i="1"/>
  <c r="CD501" i="1"/>
  <c r="CE501" i="1"/>
  <c r="CF501" i="1"/>
  <c r="CG501" i="1"/>
  <c r="CH501" i="1"/>
  <c r="CI501" i="1"/>
  <c r="CJ501" i="1"/>
  <c r="CK501" i="1"/>
  <c r="CL501" i="1"/>
  <c r="CM501" i="1"/>
  <c r="CN501" i="1"/>
  <c r="CO501" i="1"/>
  <c r="CP501" i="1"/>
  <c r="CQ501" i="1"/>
  <c r="CR501" i="1"/>
  <c r="CS501" i="1"/>
  <c r="CT501" i="1"/>
  <c r="CU501" i="1"/>
  <c r="CV501" i="1"/>
  <c r="BQ502" i="1"/>
  <c r="BR502" i="1"/>
  <c r="BS502" i="1"/>
  <c r="BV502" i="1"/>
  <c r="BW502" i="1"/>
  <c r="BX502" i="1"/>
  <c r="BY502" i="1"/>
  <c r="BZ502" i="1"/>
  <c r="CA502" i="1"/>
  <c r="CB502" i="1"/>
  <c r="CC502" i="1"/>
  <c r="CD502" i="1"/>
  <c r="CE502" i="1"/>
  <c r="CF502" i="1"/>
  <c r="CG502" i="1"/>
  <c r="CH502" i="1"/>
  <c r="CI502" i="1"/>
  <c r="CJ502" i="1"/>
  <c r="CK502" i="1"/>
  <c r="CL502" i="1"/>
  <c r="CM502" i="1"/>
  <c r="CN502" i="1"/>
  <c r="CO502" i="1"/>
  <c r="CP502" i="1"/>
  <c r="CQ502" i="1"/>
  <c r="CR502" i="1"/>
  <c r="CS502" i="1"/>
  <c r="CT502" i="1"/>
  <c r="CU502" i="1"/>
  <c r="CV502" i="1"/>
  <c r="BQ503" i="1"/>
  <c r="BR503" i="1"/>
  <c r="BS503" i="1"/>
  <c r="BV503" i="1"/>
  <c r="BW503" i="1"/>
  <c r="BX503" i="1"/>
  <c r="BY503" i="1"/>
  <c r="BZ503" i="1"/>
  <c r="CA503" i="1"/>
  <c r="CB503" i="1"/>
  <c r="CC503" i="1"/>
  <c r="CD503" i="1"/>
  <c r="CE503" i="1"/>
  <c r="CF503" i="1"/>
  <c r="CG503" i="1"/>
  <c r="CH503" i="1"/>
  <c r="CI503" i="1"/>
  <c r="CJ503" i="1"/>
  <c r="CK503" i="1"/>
  <c r="CL503" i="1"/>
  <c r="CM503" i="1"/>
  <c r="CN503" i="1"/>
  <c r="CO503" i="1"/>
  <c r="CP503" i="1"/>
  <c r="CQ503" i="1"/>
  <c r="CR503" i="1"/>
  <c r="CS503" i="1"/>
  <c r="CT503" i="1"/>
  <c r="CU503" i="1"/>
  <c r="CV503" i="1"/>
  <c r="BQ504" i="1"/>
  <c r="BR504" i="1"/>
  <c r="BS504" i="1"/>
  <c r="BV504" i="1"/>
  <c r="BW504" i="1"/>
  <c r="BX504" i="1"/>
  <c r="BY504" i="1"/>
  <c r="BZ504" i="1"/>
  <c r="CA504" i="1"/>
  <c r="CB504" i="1"/>
  <c r="CC504" i="1"/>
  <c r="CD504" i="1"/>
  <c r="CE504" i="1"/>
  <c r="CF504" i="1"/>
  <c r="CG504" i="1"/>
  <c r="CH504" i="1"/>
  <c r="CI504" i="1"/>
  <c r="CJ504" i="1"/>
  <c r="CK504" i="1"/>
  <c r="CL504" i="1"/>
  <c r="CM504" i="1"/>
  <c r="CN504" i="1"/>
  <c r="CO504" i="1"/>
  <c r="CP504" i="1"/>
  <c r="CQ504" i="1"/>
  <c r="CR504" i="1"/>
  <c r="CS504" i="1"/>
  <c r="CT504" i="1"/>
  <c r="CU504" i="1"/>
  <c r="CV504" i="1"/>
  <c r="BQ505" i="1"/>
  <c r="BR505" i="1"/>
  <c r="BS505" i="1"/>
  <c r="BV505" i="1"/>
  <c r="BW505" i="1"/>
  <c r="BX505" i="1"/>
  <c r="BY505" i="1"/>
  <c r="BZ505" i="1"/>
  <c r="CA505" i="1"/>
  <c r="CB505" i="1"/>
  <c r="CC505" i="1"/>
  <c r="CD505" i="1"/>
  <c r="CE505" i="1"/>
  <c r="CF505" i="1"/>
  <c r="CG505" i="1"/>
  <c r="CH505" i="1"/>
  <c r="CI505" i="1"/>
  <c r="CJ505" i="1"/>
  <c r="CK505" i="1"/>
  <c r="CL505" i="1"/>
  <c r="CM505" i="1"/>
  <c r="CN505" i="1"/>
  <c r="CO505" i="1"/>
  <c r="CP505" i="1"/>
  <c r="CQ505" i="1"/>
  <c r="CR505" i="1"/>
  <c r="CS505" i="1"/>
  <c r="CT505" i="1"/>
  <c r="CU505" i="1"/>
  <c r="CV505" i="1"/>
  <c r="BQ506" i="1"/>
  <c r="BR506" i="1"/>
  <c r="BS506" i="1"/>
  <c r="BV506" i="1"/>
  <c r="BW506" i="1"/>
  <c r="BX506" i="1"/>
  <c r="BY506" i="1"/>
  <c r="BZ506" i="1"/>
  <c r="CA506" i="1"/>
  <c r="CB506" i="1"/>
  <c r="CC506" i="1"/>
  <c r="CD506" i="1"/>
  <c r="CE506" i="1"/>
  <c r="CF506" i="1"/>
  <c r="CG506" i="1"/>
  <c r="CH506" i="1"/>
  <c r="CI506" i="1"/>
  <c r="CJ506" i="1"/>
  <c r="CK506" i="1"/>
  <c r="CL506" i="1"/>
  <c r="CM506" i="1"/>
  <c r="CN506" i="1"/>
  <c r="CO506" i="1"/>
  <c r="CP506" i="1"/>
  <c r="CQ506" i="1"/>
  <c r="CR506" i="1"/>
  <c r="CS506" i="1"/>
  <c r="CT506" i="1"/>
  <c r="CU506" i="1"/>
  <c r="CV506" i="1"/>
  <c r="BQ507" i="1"/>
  <c r="BR507" i="1"/>
  <c r="BS507" i="1"/>
  <c r="BV507" i="1"/>
  <c r="BW507" i="1"/>
  <c r="BX507" i="1"/>
  <c r="BY507" i="1"/>
  <c r="BZ507" i="1"/>
  <c r="CA507" i="1"/>
  <c r="CB507" i="1"/>
  <c r="CC507" i="1"/>
  <c r="CD507" i="1"/>
  <c r="CE507" i="1"/>
  <c r="CF507" i="1"/>
  <c r="CG507" i="1"/>
  <c r="CH507" i="1"/>
  <c r="CI507" i="1"/>
  <c r="CJ507" i="1"/>
  <c r="CK507" i="1"/>
  <c r="CL507" i="1"/>
  <c r="CM507" i="1"/>
  <c r="CN507" i="1"/>
  <c r="CO507" i="1"/>
  <c r="CP507" i="1"/>
  <c r="CQ507" i="1"/>
  <c r="CR507" i="1"/>
  <c r="CS507" i="1"/>
  <c r="CT507" i="1"/>
  <c r="CU507" i="1"/>
  <c r="CV507" i="1"/>
  <c r="BQ508" i="1"/>
  <c r="BR508" i="1"/>
  <c r="BS508" i="1"/>
  <c r="BV508" i="1"/>
  <c r="BW508" i="1"/>
  <c r="BX508" i="1"/>
  <c r="BY508" i="1"/>
  <c r="BZ508" i="1"/>
  <c r="CA508" i="1"/>
  <c r="CB508" i="1"/>
  <c r="CC508" i="1"/>
  <c r="CD508" i="1"/>
  <c r="CE508" i="1"/>
  <c r="CF508" i="1"/>
  <c r="CG508" i="1"/>
  <c r="CH508" i="1"/>
  <c r="CI508" i="1"/>
  <c r="CJ508" i="1"/>
  <c r="CK508" i="1"/>
  <c r="CL508" i="1"/>
  <c r="CM508" i="1"/>
  <c r="CN508" i="1"/>
  <c r="CO508" i="1"/>
  <c r="CP508" i="1"/>
  <c r="CQ508" i="1"/>
  <c r="CR508" i="1"/>
  <c r="CS508" i="1"/>
  <c r="CT508" i="1"/>
  <c r="CU508" i="1"/>
  <c r="CV508" i="1"/>
  <c r="BQ509" i="1"/>
  <c r="BR509" i="1"/>
  <c r="BS509" i="1"/>
  <c r="BV509" i="1"/>
  <c r="BW509" i="1"/>
  <c r="BX509" i="1"/>
  <c r="BY509" i="1"/>
  <c r="BZ509" i="1"/>
  <c r="CA509" i="1"/>
  <c r="CB509" i="1"/>
  <c r="CC509" i="1"/>
  <c r="CD509" i="1"/>
  <c r="CE509" i="1"/>
  <c r="CF509" i="1"/>
  <c r="CG509" i="1"/>
  <c r="CH509" i="1"/>
  <c r="CI509" i="1"/>
  <c r="CJ509" i="1"/>
  <c r="CK509" i="1"/>
  <c r="CL509" i="1"/>
  <c r="CM509" i="1"/>
  <c r="CN509" i="1"/>
  <c r="CO509" i="1"/>
  <c r="CP509" i="1"/>
  <c r="CQ509" i="1"/>
  <c r="CR509" i="1"/>
  <c r="CS509" i="1"/>
  <c r="CT509" i="1"/>
  <c r="CU509" i="1"/>
  <c r="CV509" i="1"/>
  <c r="BQ510" i="1"/>
  <c r="BR510" i="1"/>
  <c r="BS510" i="1"/>
  <c r="BV510" i="1"/>
  <c r="BW510" i="1"/>
  <c r="BX510" i="1"/>
  <c r="BY510" i="1"/>
  <c r="BZ510" i="1"/>
  <c r="CA510" i="1"/>
  <c r="CB510" i="1"/>
  <c r="CC510" i="1"/>
  <c r="CD510" i="1"/>
  <c r="CE510" i="1"/>
  <c r="CF510" i="1"/>
  <c r="CG510" i="1"/>
  <c r="CH510" i="1"/>
  <c r="CI510" i="1"/>
  <c r="CJ510" i="1"/>
  <c r="CK510" i="1"/>
  <c r="CL510" i="1"/>
  <c r="CM510" i="1"/>
  <c r="CN510" i="1"/>
  <c r="CO510" i="1"/>
  <c r="CP510" i="1"/>
  <c r="CQ510" i="1"/>
  <c r="CR510" i="1"/>
  <c r="CS510" i="1"/>
  <c r="CT510" i="1"/>
  <c r="CU510" i="1"/>
  <c r="CV510" i="1"/>
  <c r="BQ511" i="1"/>
  <c r="BR511" i="1"/>
  <c r="BS511" i="1"/>
  <c r="BV511" i="1"/>
  <c r="BW511" i="1"/>
  <c r="BX511" i="1"/>
  <c r="BY511" i="1"/>
  <c r="BZ511" i="1"/>
  <c r="CA511" i="1"/>
  <c r="CB511" i="1"/>
  <c r="CC511" i="1"/>
  <c r="CD511" i="1"/>
  <c r="CE511" i="1"/>
  <c r="CF511" i="1"/>
  <c r="CG511" i="1"/>
  <c r="CH511" i="1"/>
  <c r="CI511" i="1"/>
  <c r="CJ511" i="1"/>
  <c r="CK511" i="1"/>
  <c r="CL511" i="1"/>
  <c r="CM511" i="1"/>
  <c r="CN511" i="1"/>
  <c r="CO511" i="1"/>
  <c r="CP511" i="1"/>
  <c r="CQ511" i="1"/>
  <c r="CR511" i="1"/>
  <c r="CS511" i="1"/>
  <c r="CT511" i="1"/>
  <c r="CU511" i="1"/>
  <c r="CV511" i="1"/>
  <c r="BQ512" i="1"/>
  <c r="BR512" i="1"/>
  <c r="BS512" i="1"/>
  <c r="BV512" i="1"/>
  <c r="BW512" i="1"/>
  <c r="BX512" i="1"/>
  <c r="BY512" i="1"/>
  <c r="BZ512" i="1"/>
  <c r="CA512" i="1"/>
  <c r="CB512" i="1"/>
  <c r="CC512" i="1"/>
  <c r="CD512" i="1"/>
  <c r="CE512" i="1"/>
  <c r="CF512" i="1"/>
  <c r="CG512" i="1"/>
  <c r="CH512" i="1"/>
  <c r="CI512" i="1"/>
  <c r="CJ512" i="1"/>
  <c r="CK512" i="1"/>
  <c r="CL512" i="1"/>
  <c r="CM512" i="1"/>
  <c r="CN512" i="1"/>
  <c r="CO512" i="1"/>
  <c r="CP512" i="1"/>
  <c r="CQ512" i="1"/>
  <c r="CR512" i="1"/>
  <c r="CS512" i="1"/>
  <c r="CT512" i="1"/>
  <c r="CU512" i="1"/>
  <c r="CV512" i="1"/>
  <c r="BQ513" i="1"/>
  <c r="BR513" i="1"/>
  <c r="BS513" i="1"/>
  <c r="BV513" i="1"/>
  <c r="BW513" i="1"/>
  <c r="BX513" i="1"/>
  <c r="BY513" i="1"/>
  <c r="BZ513" i="1"/>
  <c r="CA513" i="1"/>
  <c r="CB513" i="1"/>
  <c r="CC513" i="1"/>
  <c r="CD513" i="1"/>
  <c r="CE513" i="1"/>
  <c r="CF513" i="1"/>
  <c r="CG513" i="1"/>
  <c r="CH513" i="1"/>
  <c r="CI513" i="1"/>
  <c r="CJ513" i="1"/>
  <c r="CK513" i="1"/>
  <c r="CL513" i="1"/>
  <c r="CM513" i="1"/>
  <c r="CN513" i="1"/>
  <c r="CO513" i="1"/>
  <c r="CP513" i="1"/>
  <c r="CQ513" i="1"/>
  <c r="CR513" i="1"/>
  <c r="CS513" i="1"/>
  <c r="CT513" i="1"/>
  <c r="CU513" i="1"/>
  <c r="CV513" i="1"/>
  <c r="BQ514" i="1"/>
  <c r="BR514" i="1"/>
  <c r="BS514" i="1"/>
  <c r="BV514" i="1"/>
  <c r="BW514" i="1"/>
  <c r="BX514" i="1"/>
  <c r="BY514" i="1"/>
  <c r="BZ514" i="1"/>
  <c r="CA514" i="1"/>
  <c r="CB514" i="1"/>
  <c r="CC514" i="1"/>
  <c r="CD514" i="1"/>
  <c r="CE514" i="1"/>
  <c r="CF514" i="1"/>
  <c r="CG514" i="1"/>
  <c r="CH514" i="1"/>
  <c r="CI514" i="1"/>
  <c r="CJ514" i="1"/>
  <c r="CK514" i="1"/>
  <c r="CL514" i="1"/>
  <c r="CM514" i="1"/>
  <c r="CN514" i="1"/>
  <c r="CO514" i="1"/>
  <c r="CP514" i="1"/>
  <c r="CQ514" i="1"/>
  <c r="CR514" i="1"/>
  <c r="CS514" i="1"/>
  <c r="CT514" i="1"/>
  <c r="CU514" i="1"/>
  <c r="CV514" i="1"/>
  <c r="BQ515" i="1"/>
  <c r="BR515" i="1"/>
  <c r="BS515" i="1"/>
  <c r="BV515" i="1"/>
  <c r="BW515" i="1"/>
  <c r="BX515" i="1"/>
  <c r="BY515" i="1"/>
  <c r="BZ515" i="1"/>
  <c r="CA515" i="1"/>
  <c r="CB515" i="1"/>
  <c r="CC515" i="1"/>
  <c r="CD515" i="1"/>
  <c r="CE515" i="1"/>
  <c r="CF515" i="1"/>
  <c r="CG515" i="1"/>
  <c r="CH515" i="1"/>
  <c r="CI515" i="1"/>
  <c r="CJ515" i="1"/>
  <c r="CK515" i="1"/>
  <c r="CL515" i="1"/>
  <c r="CM515" i="1"/>
  <c r="CN515" i="1"/>
  <c r="CO515" i="1"/>
  <c r="CP515" i="1"/>
  <c r="CQ515" i="1"/>
  <c r="CR515" i="1"/>
  <c r="CS515" i="1"/>
  <c r="CT515" i="1"/>
  <c r="CU515" i="1"/>
  <c r="CV515" i="1"/>
  <c r="BQ516" i="1"/>
  <c r="BR516" i="1"/>
  <c r="BS516" i="1"/>
  <c r="BV516" i="1"/>
  <c r="BW516" i="1"/>
  <c r="BX516" i="1"/>
  <c r="BY516" i="1"/>
  <c r="BZ516" i="1"/>
  <c r="CA516" i="1"/>
  <c r="CB516" i="1"/>
  <c r="CC516" i="1"/>
  <c r="CD516" i="1"/>
  <c r="CE516" i="1"/>
  <c r="CF516" i="1"/>
  <c r="CG516" i="1"/>
  <c r="CH516" i="1"/>
  <c r="CI516" i="1"/>
  <c r="CJ516" i="1"/>
  <c r="CK516" i="1"/>
  <c r="CL516" i="1"/>
  <c r="CM516" i="1"/>
  <c r="CN516" i="1"/>
  <c r="CO516" i="1"/>
  <c r="CP516" i="1"/>
  <c r="CQ516" i="1"/>
  <c r="CR516" i="1"/>
  <c r="CS516" i="1"/>
  <c r="CT516" i="1"/>
  <c r="CU516" i="1"/>
  <c r="CV516" i="1"/>
  <c r="BQ517" i="1"/>
  <c r="BR517" i="1"/>
  <c r="BS517" i="1"/>
  <c r="BV517" i="1"/>
  <c r="BW517" i="1"/>
  <c r="BX517" i="1"/>
  <c r="BY517" i="1"/>
  <c r="BZ517" i="1"/>
  <c r="CA517" i="1"/>
  <c r="CB517" i="1"/>
  <c r="CC517" i="1"/>
  <c r="CD517" i="1"/>
  <c r="CE517" i="1"/>
  <c r="CF517" i="1"/>
  <c r="CG517" i="1"/>
  <c r="CH517" i="1"/>
  <c r="CI517" i="1"/>
  <c r="CJ517" i="1"/>
  <c r="CK517" i="1"/>
  <c r="CL517" i="1"/>
  <c r="CM517" i="1"/>
  <c r="CN517" i="1"/>
  <c r="CO517" i="1"/>
  <c r="CP517" i="1"/>
  <c r="CQ517" i="1"/>
  <c r="CR517" i="1"/>
  <c r="CS517" i="1"/>
  <c r="CT517" i="1"/>
  <c r="CU517" i="1"/>
  <c r="CV517" i="1"/>
  <c r="BQ518" i="1"/>
  <c r="BR518" i="1"/>
  <c r="BS518" i="1"/>
  <c r="BV518" i="1"/>
  <c r="BW518" i="1"/>
  <c r="BX518" i="1"/>
  <c r="BY518" i="1"/>
  <c r="BZ518" i="1"/>
  <c r="CA518" i="1"/>
  <c r="CB518" i="1"/>
  <c r="CC518" i="1"/>
  <c r="CD518" i="1"/>
  <c r="CE518" i="1"/>
  <c r="CF518" i="1"/>
  <c r="CG518" i="1"/>
  <c r="CH518" i="1"/>
  <c r="CI518" i="1"/>
  <c r="CJ518" i="1"/>
  <c r="CK518" i="1"/>
  <c r="CL518" i="1"/>
  <c r="CM518" i="1"/>
  <c r="CN518" i="1"/>
  <c r="CO518" i="1"/>
  <c r="CP518" i="1"/>
  <c r="CQ518" i="1"/>
  <c r="CR518" i="1"/>
  <c r="CS518" i="1"/>
  <c r="CT518" i="1"/>
  <c r="CU518" i="1"/>
  <c r="CV518" i="1"/>
  <c r="BQ519" i="1"/>
  <c r="BR519" i="1"/>
  <c r="BS519" i="1"/>
  <c r="BV519" i="1"/>
  <c r="BW519" i="1"/>
  <c r="BX519" i="1"/>
  <c r="BY519" i="1"/>
  <c r="BZ519" i="1"/>
  <c r="CA519" i="1"/>
  <c r="CB519" i="1"/>
  <c r="CC519" i="1"/>
  <c r="CD519" i="1"/>
  <c r="CE519" i="1"/>
  <c r="CF519" i="1"/>
  <c r="CG519" i="1"/>
  <c r="CH519" i="1"/>
  <c r="CI519" i="1"/>
  <c r="CJ519" i="1"/>
  <c r="CK519" i="1"/>
  <c r="CL519" i="1"/>
  <c r="CM519" i="1"/>
  <c r="CN519" i="1"/>
  <c r="CO519" i="1"/>
  <c r="CP519" i="1"/>
  <c r="CQ519" i="1"/>
  <c r="CR519" i="1"/>
  <c r="CS519" i="1"/>
  <c r="CT519" i="1"/>
  <c r="CU519" i="1"/>
  <c r="CV519" i="1"/>
  <c r="BQ520" i="1"/>
  <c r="BR520" i="1"/>
  <c r="BS520" i="1"/>
  <c r="BV520" i="1"/>
  <c r="BW520" i="1"/>
  <c r="BX520" i="1"/>
  <c r="BY520" i="1"/>
  <c r="BZ520" i="1"/>
  <c r="CA520" i="1"/>
  <c r="CB520" i="1"/>
  <c r="CC520" i="1"/>
  <c r="CD520" i="1"/>
  <c r="CE520" i="1"/>
  <c r="CF520" i="1"/>
  <c r="CG520" i="1"/>
  <c r="CH520" i="1"/>
  <c r="CI520" i="1"/>
  <c r="CJ520" i="1"/>
  <c r="CK520" i="1"/>
  <c r="CL520" i="1"/>
  <c r="CM520" i="1"/>
  <c r="CN520" i="1"/>
  <c r="CO520" i="1"/>
  <c r="CP520" i="1"/>
  <c r="CQ520" i="1"/>
  <c r="CR520" i="1"/>
  <c r="CS520" i="1"/>
  <c r="CT520" i="1"/>
  <c r="CU520" i="1"/>
  <c r="CV520" i="1"/>
  <c r="BQ521" i="1"/>
  <c r="BR521" i="1"/>
  <c r="BS521" i="1"/>
  <c r="BV521" i="1"/>
  <c r="BW521" i="1"/>
  <c r="BX521" i="1"/>
  <c r="BY521" i="1"/>
  <c r="BZ521" i="1"/>
  <c r="CA521" i="1"/>
  <c r="CB521" i="1"/>
  <c r="CC521" i="1"/>
  <c r="CD521" i="1"/>
  <c r="CE521" i="1"/>
  <c r="CF521" i="1"/>
  <c r="CG521" i="1"/>
  <c r="CH521" i="1"/>
  <c r="CI521" i="1"/>
  <c r="CJ521" i="1"/>
  <c r="CK521" i="1"/>
  <c r="CL521" i="1"/>
  <c r="CM521" i="1"/>
  <c r="CN521" i="1"/>
  <c r="CO521" i="1"/>
  <c r="CP521" i="1"/>
  <c r="CQ521" i="1"/>
  <c r="CR521" i="1"/>
  <c r="CS521" i="1"/>
  <c r="CT521" i="1"/>
  <c r="CU521" i="1"/>
  <c r="CV521" i="1"/>
  <c r="BQ522" i="1"/>
  <c r="BR522" i="1"/>
  <c r="BS522" i="1"/>
  <c r="BV522" i="1"/>
  <c r="BW522" i="1"/>
  <c r="BX522" i="1"/>
  <c r="BY522" i="1"/>
  <c r="BZ522" i="1"/>
  <c r="CA522" i="1"/>
  <c r="CB522" i="1"/>
  <c r="CC522" i="1"/>
  <c r="CD522" i="1"/>
  <c r="CE522" i="1"/>
  <c r="CF522" i="1"/>
  <c r="CG522" i="1"/>
  <c r="CH522" i="1"/>
  <c r="CI522" i="1"/>
  <c r="CJ522" i="1"/>
  <c r="CK522" i="1"/>
  <c r="CL522" i="1"/>
  <c r="CM522" i="1"/>
  <c r="CN522" i="1"/>
  <c r="CO522" i="1"/>
  <c r="CP522" i="1"/>
  <c r="CQ522" i="1"/>
  <c r="CR522" i="1"/>
  <c r="CS522" i="1"/>
  <c r="CT522" i="1"/>
  <c r="CU522" i="1"/>
  <c r="CV522" i="1"/>
  <c r="BQ523" i="1"/>
  <c r="BR523" i="1"/>
  <c r="BS523" i="1"/>
  <c r="BV523" i="1"/>
  <c r="BW523" i="1"/>
  <c r="BX523" i="1"/>
  <c r="BY523" i="1"/>
  <c r="BZ523" i="1"/>
  <c r="CA523" i="1"/>
  <c r="CB523" i="1"/>
  <c r="CC523" i="1"/>
  <c r="CD523" i="1"/>
  <c r="CE523" i="1"/>
  <c r="CF523" i="1"/>
  <c r="CG523" i="1"/>
  <c r="CH523" i="1"/>
  <c r="CI523" i="1"/>
  <c r="CJ523" i="1"/>
  <c r="CK523" i="1"/>
  <c r="CL523" i="1"/>
  <c r="CM523" i="1"/>
  <c r="CN523" i="1"/>
  <c r="CO523" i="1"/>
  <c r="CP523" i="1"/>
  <c r="CQ523" i="1"/>
  <c r="CR523" i="1"/>
  <c r="CS523" i="1"/>
  <c r="CT523" i="1"/>
  <c r="CU523" i="1"/>
  <c r="CV523" i="1"/>
  <c r="BQ524" i="1"/>
  <c r="BR524" i="1"/>
  <c r="BS524" i="1"/>
  <c r="BV524" i="1"/>
  <c r="BW524" i="1"/>
  <c r="BX524" i="1"/>
  <c r="BY524" i="1"/>
  <c r="BZ524" i="1"/>
  <c r="CA524" i="1"/>
  <c r="CB524" i="1"/>
  <c r="CC524" i="1"/>
  <c r="CD524" i="1"/>
  <c r="CE524" i="1"/>
  <c r="CF524" i="1"/>
  <c r="CG524" i="1"/>
  <c r="CH524" i="1"/>
  <c r="CI524" i="1"/>
  <c r="CJ524" i="1"/>
  <c r="CK524" i="1"/>
  <c r="CL524" i="1"/>
  <c r="CM524" i="1"/>
  <c r="CN524" i="1"/>
  <c r="CO524" i="1"/>
  <c r="CP524" i="1"/>
  <c r="CQ524" i="1"/>
  <c r="CR524" i="1"/>
  <c r="CS524" i="1"/>
  <c r="CT524" i="1"/>
  <c r="CU524" i="1"/>
  <c r="CV524" i="1"/>
  <c r="BQ525" i="1"/>
  <c r="BR525" i="1"/>
  <c r="BS525" i="1"/>
  <c r="BV525" i="1"/>
  <c r="BW525" i="1"/>
  <c r="BX525" i="1"/>
  <c r="BY525" i="1"/>
  <c r="BZ525" i="1"/>
  <c r="CA525" i="1"/>
  <c r="CB525" i="1"/>
  <c r="CC525" i="1"/>
  <c r="CD525" i="1"/>
  <c r="CE525" i="1"/>
  <c r="CF525" i="1"/>
  <c r="CG525" i="1"/>
  <c r="CH525" i="1"/>
  <c r="CI525" i="1"/>
  <c r="CJ525" i="1"/>
  <c r="CK525" i="1"/>
  <c r="CL525" i="1"/>
  <c r="CM525" i="1"/>
  <c r="CN525" i="1"/>
  <c r="CO525" i="1"/>
  <c r="CP525" i="1"/>
  <c r="CQ525" i="1"/>
  <c r="CR525" i="1"/>
  <c r="CS525" i="1"/>
  <c r="CT525" i="1"/>
  <c r="CU525" i="1"/>
  <c r="CV525" i="1"/>
  <c r="BQ526" i="1"/>
  <c r="BR526" i="1"/>
  <c r="BS526" i="1"/>
  <c r="BV526" i="1"/>
  <c r="BW526" i="1"/>
  <c r="BX526" i="1"/>
  <c r="BY526" i="1"/>
  <c r="BZ526" i="1"/>
  <c r="CA526" i="1"/>
  <c r="CB526" i="1"/>
  <c r="CC526" i="1"/>
  <c r="CD526" i="1"/>
  <c r="CE526" i="1"/>
  <c r="CF526" i="1"/>
  <c r="CG526" i="1"/>
  <c r="CH526" i="1"/>
  <c r="CI526" i="1"/>
  <c r="CJ526" i="1"/>
  <c r="CK526" i="1"/>
  <c r="CL526" i="1"/>
  <c r="CM526" i="1"/>
  <c r="CN526" i="1"/>
  <c r="CO526" i="1"/>
  <c r="CP526" i="1"/>
  <c r="CQ526" i="1"/>
  <c r="CR526" i="1"/>
  <c r="CS526" i="1"/>
  <c r="CT526" i="1"/>
  <c r="CU526" i="1"/>
  <c r="CV526" i="1"/>
  <c r="BQ527" i="1"/>
  <c r="BR527" i="1"/>
  <c r="BS527" i="1"/>
  <c r="BV527" i="1"/>
  <c r="BW527" i="1"/>
  <c r="BX527" i="1"/>
  <c r="BY527" i="1"/>
  <c r="BZ527" i="1"/>
  <c r="CA527" i="1"/>
  <c r="CB527" i="1"/>
  <c r="CC527" i="1"/>
  <c r="CD527" i="1"/>
  <c r="CE527" i="1"/>
  <c r="CF527" i="1"/>
  <c r="CG527" i="1"/>
  <c r="CH527" i="1"/>
  <c r="CI527" i="1"/>
  <c r="CJ527" i="1"/>
  <c r="CK527" i="1"/>
  <c r="CL527" i="1"/>
  <c r="CM527" i="1"/>
  <c r="CN527" i="1"/>
  <c r="CO527" i="1"/>
  <c r="CP527" i="1"/>
  <c r="CQ527" i="1"/>
  <c r="CR527" i="1"/>
  <c r="CS527" i="1"/>
  <c r="CT527" i="1"/>
  <c r="CU527" i="1"/>
  <c r="CV527" i="1"/>
  <c r="BQ528" i="1"/>
  <c r="BR528" i="1"/>
  <c r="BS528" i="1"/>
  <c r="BV528" i="1"/>
  <c r="BW528" i="1"/>
  <c r="BX528" i="1"/>
  <c r="BY528" i="1"/>
  <c r="BZ528" i="1"/>
  <c r="CA528" i="1"/>
  <c r="CB528" i="1"/>
  <c r="CC528" i="1"/>
  <c r="CD528" i="1"/>
  <c r="CE528" i="1"/>
  <c r="CF528" i="1"/>
  <c r="CG528" i="1"/>
  <c r="CH528" i="1"/>
  <c r="CI528" i="1"/>
  <c r="CJ528" i="1"/>
  <c r="CK528" i="1"/>
  <c r="CL528" i="1"/>
  <c r="CM528" i="1"/>
  <c r="CN528" i="1"/>
  <c r="CO528" i="1"/>
  <c r="CP528" i="1"/>
  <c r="CQ528" i="1"/>
  <c r="CR528" i="1"/>
  <c r="CS528" i="1"/>
  <c r="CT528" i="1"/>
  <c r="CU528" i="1"/>
  <c r="CV528" i="1"/>
  <c r="BQ529" i="1"/>
  <c r="BR529" i="1"/>
  <c r="BS529" i="1"/>
  <c r="BV529" i="1"/>
  <c r="BW529" i="1"/>
  <c r="BX529" i="1"/>
  <c r="BY529" i="1"/>
  <c r="BZ529" i="1"/>
  <c r="CA529" i="1"/>
  <c r="CB529" i="1"/>
  <c r="CC529" i="1"/>
  <c r="CD529" i="1"/>
  <c r="CE529" i="1"/>
  <c r="CF529" i="1"/>
  <c r="CG529" i="1"/>
  <c r="CH529" i="1"/>
  <c r="CI529" i="1"/>
  <c r="CJ529" i="1"/>
  <c r="CK529" i="1"/>
  <c r="CL529" i="1"/>
  <c r="CM529" i="1"/>
  <c r="CN529" i="1"/>
  <c r="CO529" i="1"/>
  <c r="CP529" i="1"/>
  <c r="CQ529" i="1"/>
  <c r="CR529" i="1"/>
  <c r="CS529" i="1"/>
  <c r="CT529" i="1"/>
  <c r="CU529" i="1"/>
  <c r="CV529" i="1"/>
  <c r="BQ530" i="1"/>
  <c r="BR530" i="1"/>
  <c r="BS530" i="1"/>
  <c r="BV530" i="1"/>
  <c r="BW530" i="1"/>
  <c r="BX530" i="1"/>
  <c r="BY530" i="1"/>
  <c r="BZ530" i="1"/>
  <c r="CA530" i="1"/>
  <c r="CB530" i="1"/>
  <c r="CC530" i="1"/>
  <c r="CD530" i="1"/>
  <c r="CE530" i="1"/>
  <c r="CF530" i="1"/>
  <c r="CG530" i="1"/>
  <c r="CH530" i="1"/>
  <c r="CI530" i="1"/>
  <c r="CJ530" i="1"/>
  <c r="CK530" i="1"/>
  <c r="CL530" i="1"/>
  <c r="CM530" i="1"/>
  <c r="CN530" i="1"/>
  <c r="CO530" i="1"/>
  <c r="CP530" i="1"/>
  <c r="CQ530" i="1"/>
  <c r="CR530" i="1"/>
  <c r="CS530" i="1"/>
  <c r="CT530" i="1"/>
  <c r="CU530" i="1"/>
  <c r="CV530" i="1"/>
  <c r="BQ531" i="1"/>
  <c r="BR531" i="1"/>
  <c r="BS531" i="1"/>
  <c r="BV531" i="1"/>
  <c r="BW531" i="1"/>
  <c r="BX531" i="1"/>
  <c r="BY531" i="1"/>
  <c r="BZ531" i="1"/>
  <c r="CA531" i="1"/>
  <c r="CB531" i="1"/>
  <c r="CC531" i="1"/>
  <c r="CD531" i="1"/>
  <c r="CE531" i="1"/>
  <c r="CF531" i="1"/>
  <c r="CG531" i="1"/>
  <c r="CH531" i="1"/>
  <c r="CI531" i="1"/>
  <c r="CJ531" i="1"/>
  <c r="CK531" i="1"/>
  <c r="CL531" i="1"/>
  <c r="CM531" i="1"/>
  <c r="CN531" i="1"/>
  <c r="CO531" i="1"/>
  <c r="CP531" i="1"/>
  <c r="CQ531" i="1"/>
  <c r="CR531" i="1"/>
  <c r="CS531" i="1"/>
  <c r="CT531" i="1"/>
  <c r="CU531" i="1"/>
  <c r="CV531" i="1"/>
  <c r="BQ532" i="1"/>
  <c r="BR532" i="1"/>
  <c r="BS532" i="1"/>
  <c r="BV532" i="1"/>
  <c r="BW532" i="1"/>
  <c r="BX532" i="1"/>
  <c r="BY532" i="1"/>
  <c r="BZ532" i="1"/>
  <c r="CA532" i="1"/>
  <c r="CB532" i="1"/>
  <c r="CC532" i="1"/>
  <c r="CD532" i="1"/>
  <c r="CE532" i="1"/>
  <c r="CF532" i="1"/>
  <c r="CG532" i="1"/>
  <c r="CH532" i="1"/>
  <c r="CI532" i="1"/>
  <c r="CJ532" i="1"/>
  <c r="CK532" i="1"/>
  <c r="CL532" i="1"/>
  <c r="CM532" i="1"/>
  <c r="CN532" i="1"/>
  <c r="CO532" i="1"/>
  <c r="CP532" i="1"/>
  <c r="CQ532" i="1"/>
  <c r="CR532" i="1"/>
  <c r="CS532" i="1"/>
  <c r="CT532" i="1"/>
  <c r="CU532" i="1"/>
  <c r="CV532" i="1"/>
  <c r="BQ533" i="1"/>
  <c r="BR533" i="1"/>
  <c r="BS533" i="1"/>
  <c r="BV533" i="1"/>
  <c r="BW533" i="1"/>
  <c r="BX533" i="1"/>
  <c r="BY533" i="1"/>
  <c r="BZ533" i="1"/>
  <c r="CA533" i="1"/>
  <c r="CB533" i="1"/>
  <c r="CC533" i="1"/>
  <c r="CD533" i="1"/>
  <c r="CE533" i="1"/>
  <c r="CF533" i="1"/>
  <c r="CG533" i="1"/>
  <c r="CH533" i="1"/>
  <c r="CI533" i="1"/>
  <c r="CJ533" i="1"/>
  <c r="CK533" i="1"/>
  <c r="CL533" i="1"/>
  <c r="CM533" i="1"/>
  <c r="CN533" i="1"/>
  <c r="CO533" i="1"/>
  <c r="CP533" i="1"/>
  <c r="CQ533" i="1"/>
  <c r="CR533" i="1"/>
  <c r="CS533" i="1"/>
  <c r="CT533" i="1"/>
  <c r="CU533" i="1"/>
  <c r="CV533" i="1"/>
  <c r="BQ534" i="1"/>
  <c r="BR534" i="1"/>
  <c r="BS534" i="1"/>
  <c r="BV534" i="1"/>
  <c r="BW534" i="1"/>
  <c r="BX534" i="1"/>
  <c r="BY534" i="1"/>
  <c r="BZ534" i="1"/>
  <c r="CA534" i="1"/>
  <c r="CB534" i="1"/>
  <c r="CC534" i="1"/>
  <c r="CD534" i="1"/>
  <c r="CE534" i="1"/>
  <c r="CF534" i="1"/>
  <c r="CG534" i="1"/>
  <c r="CH534" i="1"/>
  <c r="CI534" i="1"/>
  <c r="CJ534" i="1"/>
  <c r="CK534" i="1"/>
  <c r="CL534" i="1"/>
  <c r="CM534" i="1"/>
  <c r="CN534" i="1"/>
  <c r="CO534" i="1"/>
  <c r="CP534" i="1"/>
  <c r="CQ534" i="1"/>
  <c r="CR534" i="1"/>
  <c r="CS534" i="1"/>
  <c r="CT534" i="1"/>
  <c r="CU534" i="1"/>
  <c r="CV534" i="1"/>
  <c r="BQ535" i="1"/>
  <c r="BR535" i="1"/>
  <c r="BS535" i="1"/>
  <c r="BV535" i="1"/>
  <c r="BW535" i="1"/>
  <c r="BX535" i="1"/>
  <c r="BY535" i="1"/>
  <c r="BZ535" i="1"/>
  <c r="CA535" i="1"/>
  <c r="CB535" i="1"/>
  <c r="CC535" i="1"/>
  <c r="CD535" i="1"/>
  <c r="CE535" i="1"/>
  <c r="CF535" i="1"/>
  <c r="CG535" i="1"/>
  <c r="CH535" i="1"/>
  <c r="CI535" i="1"/>
  <c r="CJ535" i="1"/>
  <c r="CK535" i="1"/>
  <c r="CL535" i="1"/>
  <c r="CM535" i="1"/>
  <c r="CN535" i="1"/>
  <c r="CO535" i="1"/>
  <c r="CP535" i="1"/>
  <c r="CQ535" i="1"/>
  <c r="CR535" i="1"/>
  <c r="CS535" i="1"/>
  <c r="CT535" i="1"/>
  <c r="CU535" i="1"/>
  <c r="CV535" i="1"/>
  <c r="BQ536" i="1"/>
  <c r="BR536" i="1"/>
  <c r="BS536" i="1"/>
  <c r="BV536" i="1"/>
  <c r="BW536" i="1"/>
  <c r="BX536" i="1"/>
  <c r="BY536" i="1"/>
  <c r="BZ536" i="1"/>
  <c r="CA536" i="1"/>
  <c r="CB536" i="1"/>
  <c r="CC536" i="1"/>
  <c r="CD536" i="1"/>
  <c r="CE536" i="1"/>
  <c r="CF536" i="1"/>
  <c r="CG536" i="1"/>
  <c r="CH536" i="1"/>
  <c r="CI536" i="1"/>
  <c r="CJ536" i="1"/>
  <c r="CK536" i="1"/>
  <c r="CL536" i="1"/>
  <c r="CM536" i="1"/>
  <c r="CN536" i="1"/>
  <c r="CO536" i="1"/>
  <c r="CP536" i="1"/>
  <c r="CQ536" i="1"/>
  <c r="CR536" i="1"/>
  <c r="CS536" i="1"/>
  <c r="CT536" i="1"/>
  <c r="CU536" i="1"/>
  <c r="CV536" i="1"/>
  <c r="BQ537" i="1"/>
  <c r="BR537" i="1"/>
  <c r="BS537" i="1"/>
  <c r="BV537" i="1"/>
  <c r="BW537" i="1"/>
  <c r="BX537" i="1"/>
  <c r="BY537" i="1"/>
  <c r="BZ537" i="1"/>
  <c r="CA537" i="1"/>
  <c r="CB537" i="1"/>
  <c r="CC537" i="1"/>
  <c r="CD537" i="1"/>
  <c r="CE537" i="1"/>
  <c r="CF537" i="1"/>
  <c r="CG537" i="1"/>
  <c r="CH537" i="1"/>
  <c r="CI537" i="1"/>
  <c r="CJ537" i="1"/>
  <c r="CK537" i="1"/>
  <c r="CL537" i="1"/>
  <c r="CM537" i="1"/>
  <c r="CN537" i="1"/>
  <c r="CO537" i="1"/>
  <c r="CP537" i="1"/>
  <c r="CQ537" i="1"/>
  <c r="CR537" i="1"/>
  <c r="CS537" i="1"/>
  <c r="CT537" i="1"/>
  <c r="CU537" i="1"/>
  <c r="CV537" i="1"/>
  <c r="BQ538" i="1"/>
  <c r="BR538" i="1"/>
  <c r="BS538" i="1"/>
  <c r="BV538" i="1"/>
  <c r="BW538" i="1"/>
  <c r="BX538" i="1"/>
  <c r="BY538" i="1"/>
  <c r="BZ538" i="1"/>
  <c r="CA538" i="1"/>
  <c r="CB538" i="1"/>
  <c r="CC538" i="1"/>
  <c r="CD538" i="1"/>
  <c r="CE538" i="1"/>
  <c r="CF538" i="1"/>
  <c r="CG538" i="1"/>
  <c r="CH538" i="1"/>
  <c r="CI538" i="1"/>
  <c r="CJ538" i="1"/>
  <c r="CK538" i="1"/>
  <c r="CL538" i="1"/>
  <c r="CM538" i="1"/>
  <c r="CN538" i="1"/>
  <c r="CO538" i="1"/>
  <c r="CP538" i="1"/>
  <c r="CQ538" i="1"/>
  <c r="CR538" i="1"/>
  <c r="CS538" i="1"/>
  <c r="CT538" i="1"/>
  <c r="CU538" i="1"/>
  <c r="CV538" i="1"/>
  <c r="BQ539" i="1"/>
  <c r="BR539" i="1"/>
  <c r="BS539" i="1"/>
  <c r="BV539" i="1"/>
  <c r="BW539" i="1"/>
  <c r="BX539" i="1"/>
  <c r="BY539" i="1"/>
  <c r="BZ539" i="1"/>
  <c r="CA539" i="1"/>
  <c r="CB539" i="1"/>
  <c r="CC539" i="1"/>
  <c r="CD539" i="1"/>
  <c r="CE539" i="1"/>
  <c r="CF539" i="1"/>
  <c r="CG539" i="1"/>
  <c r="CH539" i="1"/>
  <c r="CI539" i="1"/>
  <c r="CJ539" i="1"/>
  <c r="CK539" i="1"/>
  <c r="CL539" i="1"/>
  <c r="CM539" i="1"/>
  <c r="CN539" i="1"/>
  <c r="CO539" i="1"/>
  <c r="CP539" i="1"/>
  <c r="CQ539" i="1"/>
  <c r="CR539" i="1"/>
  <c r="CS539" i="1"/>
  <c r="CT539" i="1"/>
  <c r="CU539" i="1"/>
  <c r="CV539" i="1"/>
  <c r="BQ540" i="1"/>
  <c r="BR540" i="1"/>
  <c r="BS540" i="1"/>
  <c r="BV540" i="1"/>
  <c r="BW540" i="1"/>
  <c r="BX540" i="1"/>
  <c r="BY540" i="1"/>
  <c r="BZ540" i="1"/>
  <c r="CA540" i="1"/>
  <c r="CB540" i="1"/>
  <c r="CC540" i="1"/>
  <c r="CD540" i="1"/>
  <c r="CE540" i="1"/>
  <c r="CF540" i="1"/>
  <c r="CG540" i="1"/>
  <c r="CH540" i="1"/>
  <c r="CI540" i="1"/>
  <c r="CJ540" i="1"/>
  <c r="CK540" i="1"/>
  <c r="CL540" i="1"/>
  <c r="CM540" i="1"/>
  <c r="CN540" i="1"/>
  <c r="CO540" i="1"/>
  <c r="CP540" i="1"/>
  <c r="CQ540" i="1"/>
  <c r="CR540" i="1"/>
  <c r="CS540" i="1"/>
  <c r="CT540" i="1"/>
  <c r="CU540" i="1"/>
  <c r="CV540" i="1"/>
  <c r="BQ541" i="1"/>
  <c r="BR541" i="1"/>
  <c r="BS541" i="1"/>
  <c r="BV541" i="1"/>
  <c r="BW541" i="1"/>
  <c r="BX541" i="1"/>
  <c r="BY541" i="1"/>
  <c r="BZ541" i="1"/>
  <c r="CA541" i="1"/>
  <c r="CB541" i="1"/>
  <c r="CC541" i="1"/>
  <c r="CD541" i="1"/>
  <c r="CE541" i="1"/>
  <c r="CF541" i="1"/>
  <c r="CG541" i="1"/>
  <c r="CH541" i="1"/>
  <c r="CI541" i="1"/>
  <c r="CJ541" i="1"/>
  <c r="CK541" i="1"/>
  <c r="CL541" i="1"/>
  <c r="CM541" i="1"/>
  <c r="CN541" i="1"/>
  <c r="CO541" i="1"/>
  <c r="CP541" i="1"/>
  <c r="CQ541" i="1"/>
  <c r="CR541" i="1"/>
  <c r="CS541" i="1"/>
  <c r="CT541" i="1"/>
  <c r="CU541" i="1"/>
  <c r="CV541" i="1"/>
  <c r="BQ542" i="1"/>
  <c r="BR542" i="1"/>
  <c r="BS542" i="1"/>
  <c r="BV542" i="1"/>
  <c r="BW542" i="1"/>
  <c r="BX542" i="1"/>
  <c r="BY542" i="1"/>
  <c r="BZ542" i="1"/>
  <c r="CA542" i="1"/>
  <c r="CB542" i="1"/>
  <c r="CC542" i="1"/>
  <c r="CD542" i="1"/>
  <c r="CE542" i="1"/>
  <c r="CF542" i="1"/>
  <c r="CG542" i="1"/>
  <c r="CH542" i="1"/>
  <c r="CI542" i="1"/>
  <c r="CJ542" i="1"/>
  <c r="CK542" i="1"/>
  <c r="CL542" i="1"/>
  <c r="CM542" i="1"/>
  <c r="CN542" i="1"/>
  <c r="CO542" i="1"/>
  <c r="CP542" i="1"/>
  <c r="CQ542" i="1"/>
  <c r="CR542" i="1"/>
  <c r="CS542" i="1"/>
  <c r="CT542" i="1"/>
  <c r="CU542" i="1"/>
  <c r="CV542" i="1"/>
  <c r="BQ543" i="1"/>
  <c r="BR543" i="1"/>
  <c r="BS543" i="1"/>
  <c r="BV543" i="1"/>
  <c r="BW543" i="1"/>
  <c r="BX543" i="1"/>
  <c r="BY543" i="1"/>
  <c r="BZ543" i="1"/>
  <c r="CA543" i="1"/>
  <c r="CB543" i="1"/>
  <c r="CC543" i="1"/>
  <c r="CD543" i="1"/>
  <c r="CE543" i="1"/>
  <c r="CF543" i="1"/>
  <c r="CG543" i="1"/>
  <c r="CH543" i="1"/>
  <c r="CI543" i="1"/>
  <c r="CJ543" i="1"/>
  <c r="CK543" i="1"/>
  <c r="CL543" i="1"/>
  <c r="CM543" i="1"/>
  <c r="CN543" i="1"/>
  <c r="CO543" i="1"/>
  <c r="CP543" i="1"/>
  <c r="CQ543" i="1"/>
  <c r="CR543" i="1"/>
  <c r="CS543" i="1"/>
  <c r="CT543" i="1"/>
  <c r="CU543" i="1"/>
  <c r="CV543" i="1"/>
  <c r="BQ544" i="1"/>
  <c r="BR544" i="1"/>
  <c r="BS544" i="1"/>
  <c r="BV544" i="1"/>
  <c r="BW544" i="1"/>
  <c r="BX544" i="1"/>
  <c r="BY544" i="1"/>
  <c r="BZ544" i="1"/>
  <c r="CA544" i="1"/>
  <c r="CB544" i="1"/>
  <c r="CC544" i="1"/>
  <c r="CD544" i="1"/>
  <c r="CE544" i="1"/>
  <c r="CF544" i="1"/>
  <c r="CG544" i="1"/>
  <c r="CH544" i="1"/>
  <c r="CI544" i="1"/>
  <c r="CJ544" i="1"/>
  <c r="CK544" i="1"/>
  <c r="CL544" i="1"/>
  <c r="CM544" i="1"/>
  <c r="CN544" i="1"/>
  <c r="CO544" i="1"/>
  <c r="CP544" i="1"/>
  <c r="CQ544" i="1"/>
  <c r="CR544" i="1"/>
  <c r="CS544" i="1"/>
  <c r="CT544" i="1"/>
  <c r="CU544" i="1"/>
  <c r="CV544" i="1"/>
  <c r="BQ545" i="1"/>
  <c r="BR545" i="1"/>
  <c r="BS545" i="1"/>
  <c r="BV545" i="1"/>
  <c r="BW545" i="1"/>
  <c r="BX545" i="1"/>
  <c r="BY545" i="1"/>
  <c r="BZ545" i="1"/>
  <c r="CA545" i="1"/>
  <c r="CB545" i="1"/>
  <c r="CC545" i="1"/>
  <c r="CD545" i="1"/>
  <c r="CE545" i="1"/>
  <c r="CF545" i="1"/>
  <c r="CG545" i="1"/>
  <c r="CH545" i="1"/>
  <c r="CI545" i="1"/>
  <c r="CJ545" i="1"/>
  <c r="CK545" i="1"/>
  <c r="CL545" i="1"/>
  <c r="CM545" i="1"/>
  <c r="CN545" i="1"/>
  <c r="CO545" i="1"/>
  <c r="CP545" i="1"/>
  <c r="CQ545" i="1"/>
  <c r="CR545" i="1"/>
  <c r="CS545" i="1"/>
  <c r="CT545" i="1"/>
  <c r="CU545" i="1"/>
  <c r="CV545" i="1"/>
  <c r="BQ546" i="1"/>
  <c r="BR546" i="1"/>
  <c r="BS546" i="1"/>
  <c r="BV546" i="1"/>
  <c r="BW546" i="1"/>
  <c r="BX546" i="1"/>
  <c r="BY546" i="1"/>
  <c r="BZ546" i="1"/>
  <c r="CA546" i="1"/>
  <c r="CB546" i="1"/>
  <c r="CC546" i="1"/>
  <c r="CD546" i="1"/>
  <c r="CE546" i="1"/>
  <c r="CF546" i="1"/>
  <c r="CG546" i="1"/>
  <c r="CH546" i="1"/>
  <c r="CI546" i="1"/>
  <c r="CJ546" i="1"/>
  <c r="CK546" i="1"/>
  <c r="CL546" i="1"/>
  <c r="CM546" i="1"/>
  <c r="CN546" i="1"/>
  <c r="CO546" i="1"/>
  <c r="CP546" i="1"/>
  <c r="CQ546" i="1"/>
  <c r="CR546" i="1"/>
  <c r="CS546" i="1"/>
  <c r="CT546" i="1"/>
  <c r="CU546" i="1"/>
  <c r="CV546" i="1"/>
  <c r="BQ547" i="1"/>
  <c r="BR547" i="1"/>
  <c r="BS547" i="1"/>
  <c r="BV547" i="1"/>
  <c r="BW547" i="1"/>
  <c r="BX547" i="1"/>
  <c r="BY547" i="1"/>
  <c r="BZ547" i="1"/>
  <c r="CA547" i="1"/>
  <c r="CB547" i="1"/>
  <c r="CC547" i="1"/>
  <c r="CD547" i="1"/>
  <c r="CE547" i="1"/>
  <c r="CF547" i="1"/>
  <c r="CG547" i="1"/>
  <c r="CH547" i="1"/>
  <c r="CI547" i="1"/>
  <c r="CJ547" i="1"/>
  <c r="CK547" i="1"/>
  <c r="CL547" i="1"/>
  <c r="CM547" i="1"/>
  <c r="CN547" i="1"/>
  <c r="CO547" i="1"/>
  <c r="CP547" i="1"/>
  <c r="CQ547" i="1"/>
  <c r="CR547" i="1"/>
  <c r="CS547" i="1"/>
  <c r="CT547" i="1"/>
  <c r="CU547" i="1"/>
  <c r="CV547" i="1"/>
  <c r="BQ548" i="1"/>
  <c r="BR548" i="1"/>
  <c r="BS548" i="1"/>
  <c r="BV548" i="1"/>
  <c r="BW548" i="1"/>
  <c r="BX548" i="1"/>
  <c r="BY548" i="1"/>
  <c r="BZ548" i="1"/>
  <c r="CA548" i="1"/>
  <c r="CB548" i="1"/>
  <c r="CC548" i="1"/>
  <c r="CD548" i="1"/>
  <c r="CE548" i="1"/>
  <c r="CF548" i="1"/>
  <c r="CG548" i="1"/>
  <c r="CH548" i="1"/>
  <c r="CI548" i="1"/>
  <c r="CJ548" i="1"/>
  <c r="CK548" i="1"/>
  <c r="CL548" i="1"/>
  <c r="CM548" i="1"/>
  <c r="CN548" i="1"/>
  <c r="CO548" i="1"/>
  <c r="CP548" i="1"/>
  <c r="CQ548" i="1"/>
  <c r="CR548" i="1"/>
  <c r="CS548" i="1"/>
  <c r="CT548" i="1"/>
  <c r="CU548" i="1"/>
  <c r="CV548" i="1"/>
  <c r="BQ549" i="1"/>
  <c r="BR549" i="1"/>
  <c r="BS549" i="1"/>
  <c r="BV549" i="1"/>
  <c r="BW549" i="1"/>
  <c r="BX549" i="1"/>
  <c r="BY549" i="1"/>
  <c r="BZ549" i="1"/>
  <c r="CA549" i="1"/>
  <c r="CB549" i="1"/>
  <c r="CC549" i="1"/>
  <c r="CD549" i="1"/>
  <c r="CE549" i="1"/>
  <c r="CF549" i="1"/>
  <c r="CG549" i="1"/>
  <c r="CH549" i="1"/>
  <c r="CI549" i="1"/>
  <c r="CJ549" i="1"/>
  <c r="CK549" i="1"/>
  <c r="CL549" i="1"/>
  <c r="CM549" i="1"/>
  <c r="CN549" i="1"/>
  <c r="CO549" i="1"/>
  <c r="CP549" i="1"/>
  <c r="CQ549" i="1"/>
  <c r="CR549" i="1"/>
  <c r="CS549" i="1"/>
  <c r="CT549" i="1"/>
  <c r="CU549" i="1"/>
  <c r="CV549" i="1"/>
  <c r="BQ550" i="1"/>
  <c r="BR550" i="1"/>
  <c r="BS550" i="1"/>
  <c r="BV550" i="1"/>
  <c r="BW550" i="1"/>
  <c r="BX550" i="1"/>
  <c r="BY550" i="1"/>
  <c r="BZ550" i="1"/>
  <c r="CA550" i="1"/>
  <c r="CB550" i="1"/>
  <c r="CC550" i="1"/>
  <c r="CD550" i="1"/>
  <c r="CE550" i="1"/>
  <c r="CF550" i="1"/>
  <c r="CG550" i="1"/>
  <c r="CH550" i="1"/>
  <c r="CI550" i="1"/>
  <c r="CJ550" i="1"/>
  <c r="CK550" i="1"/>
  <c r="CL550" i="1"/>
  <c r="CM550" i="1"/>
  <c r="CN550" i="1"/>
  <c r="CO550" i="1"/>
  <c r="CP550" i="1"/>
  <c r="CQ550" i="1"/>
  <c r="CR550" i="1"/>
  <c r="CS550" i="1"/>
  <c r="CT550" i="1"/>
  <c r="CU550" i="1"/>
  <c r="CV550" i="1"/>
  <c r="BQ551" i="1"/>
  <c r="BR551" i="1"/>
  <c r="BS551" i="1"/>
  <c r="BV551" i="1"/>
  <c r="BW551" i="1"/>
  <c r="BX551" i="1"/>
  <c r="BY551" i="1"/>
  <c r="BZ551" i="1"/>
  <c r="CA551" i="1"/>
  <c r="CB551" i="1"/>
  <c r="CC551" i="1"/>
  <c r="CD551" i="1"/>
  <c r="CE551" i="1"/>
  <c r="CF551" i="1"/>
  <c r="CG551" i="1"/>
  <c r="CH551" i="1"/>
  <c r="CI551" i="1"/>
  <c r="CJ551" i="1"/>
  <c r="CK551" i="1"/>
  <c r="CL551" i="1"/>
  <c r="CM551" i="1"/>
  <c r="CN551" i="1"/>
  <c r="CO551" i="1"/>
  <c r="CP551" i="1"/>
  <c r="CQ551" i="1"/>
  <c r="CR551" i="1"/>
  <c r="CS551" i="1"/>
  <c r="CT551" i="1"/>
  <c r="CU551" i="1"/>
  <c r="CV551" i="1"/>
  <c r="BQ552" i="1"/>
  <c r="BR552" i="1"/>
  <c r="BS552" i="1"/>
  <c r="BV552" i="1"/>
  <c r="BW552" i="1"/>
  <c r="BX552" i="1"/>
  <c r="BY552" i="1"/>
  <c r="BZ552" i="1"/>
  <c r="CA552" i="1"/>
  <c r="CB552" i="1"/>
  <c r="CC552" i="1"/>
  <c r="CD552" i="1"/>
  <c r="CE552" i="1"/>
  <c r="CF552" i="1"/>
  <c r="CG552" i="1"/>
  <c r="CH552" i="1"/>
  <c r="CI552" i="1"/>
  <c r="CJ552" i="1"/>
  <c r="CK552" i="1"/>
  <c r="CL552" i="1"/>
  <c r="CM552" i="1"/>
  <c r="CN552" i="1"/>
  <c r="CO552" i="1"/>
  <c r="CP552" i="1"/>
  <c r="CQ552" i="1"/>
  <c r="CR552" i="1"/>
  <c r="CS552" i="1"/>
  <c r="CT552" i="1"/>
  <c r="CU552" i="1"/>
  <c r="CV552" i="1"/>
  <c r="BQ553" i="1"/>
  <c r="BR553" i="1"/>
  <c r="BS553" i="1"/>
  <c r="BV553" i="1"/>
  <c r="BW553" i="1"/>
  <c r="BX553" i="1"/>
  <c r="BY553" i="1"/>
  <c r="BZ553" i="1"/>
  <c r="CA553" i="1"/>
  <c r="CB553" i="1"/>
  <c r="CC553" i="1"/>
  <c r="CD553" i="1"/>
  <c r="CE553" i="1"/>
  <c r="CF553" i="1"/>
  <c r="CG553" i="1"/>
  <c r="CH553" i="1"/>
  <c r="CI553" i="1"/>
  <c r="CJ553" i="1"/>
  <c r="CK553" i="1"/>
  <c r="CL553" i="1"/>
  <c r="CM553" i="1"/>
  <c r="CN553" i="1"/>
  <c r="CO553" i="1"/>
  <c r="CP553" i="1"/>
  <c r="CQ553" i="1"/>
  <c r="CR553" i="1"/>
  <c r="CS553" i="1"/>
  <c r="CT553" i="1"/>
  <c r="CU553" i="1"/>
  <c r="CV553" i="1"/>
  <c r="BQ554" i="1"/>
  <c r="BR554" i="1"/>
  <c r="BS554" i="1"/>
  <c r="BV554" i="1"/>
  <c r="BW554" i="1"/>
  <c r="BX554" i="1"/>
  <c r="BY554" i="1"/>
  <c r="BZ554" i="1"/>
  <c r="CA554" i="1"/>
  <c r="CB554" i="1"/>
  <c r="CC554" i="1"/>
  <c r="CD554" i="1"/>
  <c r="CE554" i="1"/>
  <c r="CF554" i="1"/>
  <c r="CG554" i="1"/>
  <c r="CH554" i="1"/>
  <c r="CI554" i="1"/>
  <c r="CJ554" i="1"/>
  <c r="CK554" i="1"/>
  <c r="CL554" i="1"/>
  <c r="CM554" i="1"/>
  <c r="CN554" i="1"/>
  <c r="CO554" i="1"/>
  <c r="CP554" i="1"/>
  <c r="CQ554" i="1"/>
  <c r="CR554" i="1"/>
  <c r="CS554" i="1"/>
  <c r="CT554" i="1"/>
  <c r="CU554" i="1"/>
  <c r="CV554" i="1"/>
  <c r="BQ555" i="1"/>
  <c r="BR555" i="1"/>
  <c r="BS555" i="1"/>
  <c r="BV555" i="1"/>
  <c r="BW555" i="1"/>
  <c r="BX555" i="1"/>
  <c r="BY555" i="1"/>
  <c r="BZ555" i="1"/>
  <c r="CA555" i="1"/>
  <c r="CB555" i="1"/>
  <c r="CC555" i="1"/>
  <c r="CD555" i="1"/>
  <c r="CE555" i="1"/>
  <c r="CF555" i="1"/>
  <c r="CG555" i="1"/>
  <c r="CH555" i="1"/>
  <c r="CI555" i="1"/>
  <c r="CJ555" i="1"/>
  <c r="CK555" i="1"/>
  <c r="CL555" i="1"/>
  <c r="CM555" i="1"/>
  <c r="CN555" i="1"/>
  <c r="CO555" i="1"/>
  <c r="CP555" i="1"/>
  <c r="CQ555" i="1"/>
  <c r="CR555" i="1"/>
  <c r="CS555" i="1"/>
  <c r="CT555" i="1"/>
  <c r="CU555" i="1"/>
  <c r="CV555" i="1"/>
  <c r="BQ556" i="1"/>
  <c r="BR556" i="1"/>
  <c r="BS556" i="1"/>
  <c r="BV556" i="1"/>
  <c r="BW556" i="1"/>
  <c r="BX556" i="1"/>
  <c r="BY556" i="1"/>
  <c r="BZ556" i="1"/>
  <c r="CA556" i="1"/>
  <c r="CB556" i="1"/>
  <c r="CC556" i="1"/>
  <c r="CD556" i="1"/>
  <c r="CE556" i="1"/>
  <c r="CF556" i="1"/>
  <c r="CG556" i="1"/>
  <c r="CH556" i="1"/>
  <c r="CI556" i="1"/>
  <c r="CJ556" i="1"/>
  <c r="CK556" i="1"/>
  <c r="CL556" i="1"/>
  <c r="CM556" i="1"/>
  <c r="CN556" i="1"/>
  <c r="CO556" i="1"/>
  <c r="CP556" i="1"/>
  <c r="CQ556" i="1"/>
  <c r="CR556" i="1"/>
  <c r="CS556" i="1"/>
  <c r="CT556" i="1"/>
  <c r="CU556" i="1"/>
  <c r="CV556" i="1"/>
  <c r="BQ557" i="1"/>
  <c r="BR557" i="1"/>
  <c r="BS557" i="1"/>
  <c r="BV557" i="1"/>
  <c r="BW557" i="1"/>
  <c r="BX557" i="1"/>
  <c r="BY557" i="1"/>
  <c r="BZ557" i="1"/>
  <c r="CA557" i="1"/>
  <c r="CB557" i="1"/>
  <c r="CC557" i="1"/>
  <c r="CD557" i="1"/>
  <c r="CE557" i="1"/>
  <c r="CF557" i="1"/>
  <c r="CG557" i="1"/>
  <c r="CH557" i="1"/>
  <c r="CI557" i="1"/>
  <c r="CJ557" i="1"/>
  <c r="CK557" i="1"/>
  <c r="CL557" i="1"/>
  <c r="CM557" i="1"/>
  <c r="CN557" i="1"/>
  <c r="CO557" i="1"/>
  <c r="CP557" i="1"/>
  <c r="CQ557" i="1"/>
  <c r="CR557" i="1"/>
  <c r="CS557" i="1"/>
  <c r="CT557" i="1"/>
  <c r="CU557" i="1"/>
  <c r="CV557" i="1"/>
  <c r="BQ558" i="1"/>
  <c r="BR558" i="1"/>
  <c r="BS558" i="1"/>
  <c r="BV558" i="1"/>
  <c r="BW558" i="1"/>
  <c r="BX558" i="1"/>
  <c r="BY558" i="1"/>
  <c r="BZ558" i="1"/>
  <c r="CA558" i="1"/>
  <c r="CB558" i="1"/>
  <c r="CC558" i="1"/>
  <c r="CD558" i="1"/>
  <c r="CE558" i="1"/>
  <c r="CF558" i="1"/>
  <c r="CG558" i="1"/>
  <c r="CH558" i="1"/>
  <c r="CI558" i="1"/>
  <c r="CJ558" i="1"/>
  <c r="CK558" i="1"/>
  <c r="CL558" i="1"/>
  <c r="CM558" i="1"/>
  <c r="CN558" i="1"/>
  <c r="CO558" i="1"/>
  <c r="CP558" i="1"/>
  <c r="CQ558" i="1"/>
  <c r="CR558" i="1"/>
  <c r="CS558" i="1"/>
  <c r="CT558" i="1"/>
  <c r="CU558" i="1"/>
  <c r="CV558" i="1"/>
  <c r="BQ559" i="1"/>
  <c r="BR559" i="1"/>
  <c r="BS559" i="1"/>
  <c r="BV559" i="1"/>
  <c r="BW559" i="1"/>
  <c r="BX559" i="1"/>
  <c r="BY559" i="1"/>
  <c r="BZ559" i="1"/>
  <c r="CA559" i="1"/>
  <c r="CB559" i="1"/>
  <c r="CC559" i="1"/>
  <c r="CD559" i="1"/>
  <c r="CE559" i="1"/>
  <c r="CF559" i="1"/>
  <c r="CG559" i="1"/>
  <c r="CH559" i="1"/>
  <c r="CI559" i="1"/>
  <c r="CJ559" i="1"/>
  <c r="CK559" i="1"/>
  <c r="CL559" i="1"/>
  <c r="CM559" i="1"/>
  <c r="CN559" i="1"/>
  <c r="CO559" i="1"/>
  <c r="CP559" i="1"/>
  <c r="CQ559" i="1"/>
  <c r="CR559" i="1"/>
  <c r="CS559" i="1"/>
  <c r="CT559" i="1"/>
  <c r="CU559" i="1"/>
  <c r="CV559" i="1"/>
  <c r="BQ560" i="1"/>
  <c r="BR560" i="1"/>
  <c r="BS560" i="1"/>
  <c r="BV560" i="1"/>
  <c r="BW560" i="1"/>
  <c r="BX560" i="1"/>
  <c r="BY560" i="1"/>
  <c r="BZ560" i="1"/>
  <c r="CA560" i="1"/>
  <c r="CB560" i="1"/>
  <c r="CC560" i="1"/>
  <c r="CD560" i="1"/>
  <c r="CE560" i="1"/>
  <c r="CF560" i="1"/>
  <c r="CG560" i="1"/>
  <c r="CH560" i="1"/>
  <c r="CI560" i="1"/>
  <c r="CJ560" i="1"/>
  <c r="CK560" i="1"/>
  <c r="CL560" i="1"/>
  <c r="CM560" i="1"/>
  <c r="CN560" i="1"/>
  <c r="CO560" i="1"/>
  <c r="CP560" i="1"/>
  <c r="CQ560" i="1"/>
  <c r="CR560" i="1"/>
  <c r="CS560" i="1"/>
  <c r="CT560" i="1"/>
  <c r="CU560" i="1"/>
  <c r="CV560" i="1"/>
  <c r="BQ561" i="1"/>
  <c r="BR561" i="1"/>
  <c r="BS561" i="1"/>
  <c r="BV561" i="1"/>
  <c r="BW561" i="1"/>
  <c r="BX561" i="1"/>
  <c r="BY561" i="1"/>
  <c r="BZ561" i="1"/>
  <c r="CA561" i="1"/>
  <c r="CB561" i="1"/>
  <c r="CC561" i="1"/>
  <c r="CD561" i="1"/>
  <c r="CE561" i="1"/>
  <c r="CF561" i="1"/>
  <c r="CG561" i="1"/>
  <c r="CH561" i="1"/>
  <c r="CI561" i="1"/>
  <c r="CJ561" i="1"/>
  <c r="CK561" i="1"/>
  <c r="CL561" i="1"/>
  <c r="CM561" i="1"/>
  <c r="CN561" i="1"/>
  <c r="CO561" i="1"/>
  <c r="CP561" i="1"/>
  <c r="CQ561" i="1"/>
  <c r="CR561" i="1"/>
  <c r="CS561" i="1"/>
  <c r="CT561" i="1"/>
  <c r="CU561" i="1"/>
  <c r="CV561" i="1"/>
  <c r="BQ562" i="1"/>
  <c r="BR562" i="1"/>
  <c r="BS562" i="1"/>
  <c r="BV562" i="1"/>
  <c r="BW562" i="1"/>
  <c r="BX562" i="1"/>
  <c r="BY562" i="1"/>
  <c r="BZ562" i="1"/>
  <c r="CA562" i="1"/>
  <c r="CB562" i="1"/>
  <c r="CC562" i="1"/>
  <c r="CD562" i="1"/>
  <c r="CE562" i="1"/>
  <c r="CF562" i="1"/>
  <c r="CG562" i="1"/>
  <c r="CH562" i="1"/>
  <c r="CI562" i="1"/>
  <c r="CJ562" i="1"/>
  <c r="CK562" i="1"/>
  <c r="CL562" i="1"/>
  <c r="CM562" i="1"/>
  <c r="CN562" i="1"/>
  <c r="CO562" i="1"/>
  <c r="CP562" i="1"/>
  <c r="CQ562" i="1"/>
  <c r="CR562" i="1"/>
  <c r="CS562" i="1"/>
  <c r="CT562" i="1"/>
  <c r="CU562" i="1"/>
  <c r="CV562" i="1"/>
  <c r="BQ563" i="1"/>
  <c r="BR563" i="1"/>
  <c r="BS563" i="1"/>
  <c r="BV563" i="1"/>
  <c r="BW563" i="1"/>
  <c r="BX563" i="1"/>
  <c r="BY563" i="1"/>
  <c r="BZ563" i="1"/>
  <c r="CA563" i="1"/>
  <c r="CB563" i="1"/>
  <c r="CC563" i="1"/>
  <c r="CD563" i="1"/>
  <c r="CE563" i="1"/>
  <c r="CF563" i="1"/>
  <c r="CG563" i="1"/>
  <c r="CH563" i="1"/>
  <c r="CI563" i="1"/>
  <c r="CJ563" i="1"/>
  <c r="CK563" i="1"/>
  <c r="CL563" i="1"/>
  <c r="CM563" i="1"/>
  <c r="CN563" i="1"/>
  <c r="CO563" i="1"/>
  <c r="CP563" i="1"/>
  <c r="CQ563" i="1"/>
  <c r="CR563" i="1"/>
  <c r="CS563" i="1"/>
  <c r="CT563" i="1"/>
  <c r="CU563" i="1"/>
  <c r="CV563" i="1"/>
  <c r="BQ564" i="1"/>
  <c r="BR564" i="1"/>
  <c r="BS564" i="1"/>
  <c r="BV564" i="1"/>
  <c r="BW564" i="1"/>
  <c r="BX564" i="1"/>
  <c r="BY564" i="1"/>
  <c r="BZ564" i="1"/>
  <c r="CA564" i="1"/>
  <c r="CB564" i="1"/>
  <c r="CC564" i="1"/>
  <c r="CD564" i="1"/>
  <c r="CE564" i="1"/>
  <c r="CF564" i="1"/>
  <c r="CG564" i="1"/>
  <c r="CH564" i="1"/>
  <c r="CI564" i="1"/>
  <c r="CJ564" i="1"/>
  <c r="CK564" i="1"/>
  <c r="CL564" i="1"/>
  <c r="CM564" i="1"/>
  <c r="CN564" i="1"/>
  <c r="CO564" i="1"/>
  <c r="CP564" i="1"/>
  <c r="CQ564" i="1"/>
  <c r="CR564" i="1"/>
  <c r="CS564" i="1"/>
  <c r="CT564" i="1"/>
  <c r="CU564" i="1"/>
  <c r="CV564" i="1"/>
  <c r="BQ565" i="1"/>
  <c r="BR565" i="1"/>
  <c r="BS565" i="1"/>
  <c r="BV565" i="1"/>
  <c r="BW565" i="1"/>
  <c r="BX565" i="1"/>
  <c r="BY565" i="1"/>
  <c r="BZ565" i="1"/>
  <c r="CA565" i="1"/>
  <c r="CB565" i="1"/>
  <c r="CC565" i="1"/>
  <c r="CD565" i="1"/>
  <c r="CE565" i="1"/>
  <c r="CF565" i="1"/>
  <c r="CG565" i="1"/>
  <c r="CH565" i="1"/>
  <c r="CI565" i="1"/>
  <c r="CJ565" i="1"/>
  <c r="CK565" i="1"/>
  <c r="CL565" i="1"/>
  <c r="CM565" i="1"/>
  <c r="CN565" i="1"/>
  <c r="CO565" i="1"/>
  <c r="CP565" i="1"/>
  <c r="CQ565" i="1"/>
  <c r="CR565" i="1"/>
  <c r="CS565" i="1"/>
  <c r="CT565" i="1"/>
  <c r="CU565" i="1"/>
  <c r="CV565" i="1"/>
  <c r="BQ566" i="1"/>
  <c r="BR566" i="1"/>
  <c r="BS566" i="1"/>
  <c r="BV566" i="1"/>
  <c r="BW566" i="1"/>
  <c r="BX566" i="1"/>
  <c r="BY566" i="1"/>
  <c r="BZ566" i="1"/>
  <c r="CA566" i="1"/>
  <c r="CB566" i="1"/>
  <c r="CC566" i="1"/>
  <c r="CD566" i="1"/>
  <c r="CE566" i="1"/>
  <c r="CF566" i="1"/>
  <c r="CG566" i="1"/>
  <c r="CH566" i="1"/>
  <c r="CI566" i="1"/>
  <c r="CJ566" i="1"/>
  <c r="CK566" i="1"/>
  <c r="CL566" i="1"/>
  <c r="CM566" i="1"/>
  <c r="CN566" i="1"/>
  <c r="CO566" i="1"/>
  <c r="CP566" i="1"/>
  <c r="CQ566" i="1"/>
  <c r="CR566" i="1"/>
  <c r="CS566" i="1"/>
  <c r="CT566" i="1"/>
  <c r="CU566" i="1"/>
  <c r="CV566" i="1"/>
  <c r="BQ567" i="1"/>
  <c r="BR567" i="1"/>
  <c r="BS567" i="1"/>
  <c r="BV567" i="1"/>
  <c r="BW567" i="1"/>
  <c r="BX567" i="1"/>
  <c r="BY567" i="1"/>
  <c r="BZ567" i="1"/>
  <c r="CA567" i="1"/>
  <c r="CB567" i="1"/>
  <c r="CC567" i="1"/>
  <c r="CD567" i="1"/>
  <c r="CE567" i="1"/>
  <c r="CF567" i="1"/>
  <c r="CG567" i="1"/>
  <c r="CH567" i="1"/>
  <c r="CI567" i="1"/>
  <c r="CJ567" i="1"/>
  <c r="CK567" i="1"/>
  <c r="CL567" i="1"/>
  <c r="CM567" i="1"/>
  <c r="CN567" i="1"/>
  <c r="CO567" i="1"/>
  <c r="CP567" i="1"/>
  <c r="CQ567" i="1"/>
  <c r="CR567" i="1"/>
  <c r="CS567" i="1"/>
  <c r="CT567" i="1"/>
  <c r="CU567" i="1"/>
  <c r="CV567" i="1"/>
  <c r="BQ568" i="1"/>
  <c r="BR568" i="1"/>
  <c r="BS568" i="1"/>
  <c r="BV568" i="1"/>
  <c r="BW568" i="1"/>
  <c r="BX568" i="1"/>
  <c r="BY568" i="1"/>
  <c r="BZ568" i="1"/>
  <c r="CA568" i="1"/>
  <c r="CB568" i="1"/>
  <c r="CC568" i="1"/>
  <c r="CD568" i="1"/>
  <c r="CE568" i="1"/>
  <c r="CF568" i="1"/>
  <c r="CG568" i="1"/>
  <c r="CH568" i="1"/>
  <c r="CI568" i="1"/>
  <c r="CJ568" i="1"/>
  <c r="CK568" i="1"/>
  <c r="CL568" i="1"/>
  <c r="CM568" i="1"/>
  <c r="CN568" i="1"/>
  <c r="CO568" i="1"/>
  <c r="CP568" i="1"/>
  <c r="CQ568" i="1"/>
  <c r="CR568" i="1"/>
  <c r="CS568" i="1"/>
  <c r="CT568" i="1"/>
  <c r="CU568" i="1"/>
  <c r="CV568" i="1"/>
  <c r="BQ569" i="1"/>
  <c r="BR569" i="1"/>
  <c r="BS569" i="1"/>
  <c r="BV569" i="1"/>
  <c r="BW569" i="1"/>
  <c r="BX569" i="1"/>
  <c r="BY569" i="1"/>
  <c r="BZ569" i="1"/>
  <c r="CA569" i="1"/>
  <c r="CB569" i="1"/>
  <c r="CC569" i="1"/>
  <c r="CD569" i="1"/>
  <c r="CE569" i="1"/>
  <c r="CF569" i="1"/>
  <c r="CG569" i="1"/>
  <c r="CH569" i="1"/>
  <c r="CI569" i="1"/>
  <c r="CJ569" i="1"/>
  <c r="CK569" i="1"/>
  <c r="CL569" i="1"/>
  <c r="CM569" i="1"/>
  <c r="CN569" i="1"/>
  <c r="CO569" i="1"/>
  <c r="CP569" i="1"/>
  <c r="CQ569" i="1"/>
  <c r="CR569" i="1"/>
  <c r="CS569" i="1"/>
  <c r="CT569" i="1"/>
  <c r="CU569" i="1"/>
  <c r="CV569" i="1"/>
  <c r="BQ570" i="1"/>
  <c r="BR570" i="1"/>
  <c r="BS570" i="1"/>
  <c r="BV570" i="1"/>
  <c r="BW570" i="1"/>
  <c r="BX570" i="1"/>
  <c r="BY570" i="1"/>
  <c r="BZ570" i="1"/>
  <c r="CA570" i="1"/>
  <c r="CB570" i="1"/>
  <c r="CC570" i="1"/>
  <c r="CD570" i="1"/>
  <c r="CE570" i="1"/>
  <c r="CF570" i="1"/>
  <c r="CG570" i="1"/>
  <c r="CH570" i="1"/>
  <c r="CI570" i="1"/>
  <c r="CJ570" i="1"/>
  <c r="CK570" i="1"/>
  <c r="CL570" i="1"/>
  <c r="CM570" i="1"/>
  <c r="CN570" i="1"/>
  <c r="CO570" i="1"/>
  <c r="CP570" i="1"/>
  <c r="CQ570" i="1"/>
  <c r="CR570" i="1"/>
  <c r="CS570" i="1"/>
  <c r="CT570" i="1"/>
  <c r="CU570" i="1"/>
  <c r="CV570" i="1"/>
  <c r="BQ571" i="1"/>
  <c r="BR571" i="1"/>
  <c r="BS571" i="1"/>
  <c r="BV571" i="1"/>
  <c r="BW571" i="1"/>
  <c r="BX571" i="1"/>
  <c r="BY571" i="1"/>
  <c r="BZ571" i="1"/>
  <c r="CA571" i="1"/>
  <c r="CB571" i="1"/>
  <c r="CC571" i="1"/>
  <c r="CD571" i="1"/>
  <c r="CE571" i="1"/>
  <c r="CF571" i="1"/>
  <c r="CG571" i="1"/>
  <c r="CH571" i="1"/>
  <c r="CI571" i="1"/>
  <c r="CJ571" i="1"/>
  <c r="CK571" i="1"/>
  <c r="CL571" i="1"/>
  <c r="CM571" i="1"/>
  <c r="CN571" i="1"/>
  <c r="CO571" i="1"/>
  <c r="CP571" i="1"/>
  <c r="CQ571" i="1"/>
  <c r="CR571" i="1"/>
  <c r="CS571" i="1"/>
  <c r="CT571" i="1"/>
  <c r="CU571" i="1"/>
  <c r="CV571" i="1"/>
  <c r="BQ572" i="1"/>
  <c r="BR572" i="1"/>
  <c r="BS572" i="1"/>
  <c r="BV572" i="1"/>
  <c r="BW572" i="1"/>
  <c r="BX572" i="1"/>
  <c r="BY572" i="1"/>
  <c r="BZ572" i="1"/>
  <c r="CA572" i="1"/>
  <c r="CB572" i="1"/>
  <c r="CC572" i="1"/>
  <c r="CD572" i="1"/>
  <c r="CE572" i="1"/>
  <c r="CF572" i="1"/>
  <c r="CG572" i="1"/>
  <c r="CH572" i="1"/>
  <c r="CI572" i="1"/>
  <c r="CJ572" i="1"/>
  <c r="CK572" i="1"/>
  <c r="CL572" i="1"/>
  <c r="CM572" i="1"/>
  <c r="CN572" i="1"/>
  <c r="CO572" i="1"/>
  <c r="CP572" i="1"/>
  <c r="CQ572" i="1"/>
  <c r="CR572" i="1"/>
  <c r="CS572" i="1"/>
  <c r="CT572" i="1"/>
  <c r="CU572" i="1"/>
  <c r="CV572" i="1"/>
  <c r="BQ573" i="1"/>
  <c r="BR573" i="1"/>
  <c r="BS573" i="1"/>
  <c r="BV573" i="1"/>
  <c r="BW573" i="1"/>
  <c r="BX573" i="1"/>
  <c r="BY573" i="1"/>
  <c r="BZ573" i="1"/>
  <c r="CA573" i="1"/>
  <c r="CB573" i="1"/>
  <c r="CC573" i="1"/>
  <c r="CD573" i="1"/>
  <c r="CE573" i="1"/>
  <c r="CF573" i="1"/>
  <c r="CG573" i="1"/>
  <c r="CH573" i="1"/>
  <c r="CI573" i="1"/>
  <c r="CJ573" i="1"/>
  <c r="CK573" i="1"/>
  <c r="CL573" i="1"/>
  <c r="CM573" i="1"/>
  <c r="CN573" i="1"/>
  <c r="CO573" i="1"/>
  <c r="CP573" i="1"/>
  <c r="CQ573" i="1"/>
  <c r="CR573" i="1"/>
  <c r="CS573" i="1"/>
  <c r="CT573" i="1"/>
  <c r="CU573" i="1"/>
  <c r="CV573" i="1"/>
  <c r="BQ574" i="1"/>
  <c r="BR574" i="1"/>
  <c r="BS574" i="1"/>
  <c r="BV574" i="1"/>
  <c r="BW574" i="1"/>
  <c r="BX574" i="1"/>
  <c r="BY574" i="1"/>
  <c r="BZ574" i="1"/>
  <c r="CA574" i="1"/>
  <c r="CB574" i="1"/>
  <c r="CC574" i="1"/>
  <c r="CD574" i="1"/>
  <c r="CE574" i="1"/>
  <c r="CF574" i="1"/>
  <c r="CG574" i="1"/>
  <c r="CH574" i="1"/>
  <c r="CI574" i="1"/>
  <c r="CJ574" i="1"/>
  <c r="CK574" i="1"/>
  <c r="CL574" i="1"/>
  <c r="CM574" i="1"/>
  <c r="CN574" i="1"/>
  <c r="CO574" i="1"/>
  <c r="CP574" i="1"/>
  <c r="CQ574" i="1"/>
  <c r="CR574" i="1"/>
  <c r="CS574" i="1"/>
  <c r="CT574" i="1"/>
  <c r="CU574" i="1"/>
  <c r="CV574" i="1"/>
  <c r="BQ575" i="1"/>
  <c r="BR575" i="1"/>
  <c r="BS575" i="1"/>
  <c r="BV575" i="1"/>
  <c r="BW575" i="1"/>
  <c r="BX575" i="1"/>
  <c r="BY575" i="1"/>
  <c r="BZ575" i="1"/>
  <c r="CA575" i="1"/>
  <c r="CB575" i="1"/>
  <c r="CC575" i="1"/>
  <c r="CD575" i="1"/>
  <c r="CE575" i="1"/>
  <c r="CF575" i="1"/>
  <c r="CG575" i="1"/>
  <c r="CH575" i="1"/>
  <c r="CI575" i="1"/>
  <c r="CJ575" i="1"/>
  <c r="CK575" i="1"/>
  <c r="CL575" i="1"/>
  <c r="CM575" i="1"/>
  <c r="CN575" i="1"/>
  <c r="CO575" i="1"/>
  <c r="CP575" i="1"/>
  <c r="CQ575" i="1"/>
  <c r="CR575" i="1"/>
  <c r="CS575" i="1"/>
  <c r="CT575" i="1"/>
  <c r="CU575" i="1"/>
  <c r="CV575" i="1"/>
  <c r="BQ576" i="1"/>
  <c r="BR576" i="1"/>
  <c r="BS576" i="1"/>
  <c r="BV576" i="1"/>
  <c r="BW576" i="1"/>
  <c r="BX576" i="1"/>
  <c r="BY576" i="1"/>
  <c r="BZ576" i="1"/>
  <c r="CA576" i="1"/>
  <c r="CB576" i="1"/>
  <c r="CC576" i="1"/>
  <c r="CD576" i="1"/>
  <c r="CE576" i="1"/>
  <c r="CF576" i="1"/>
  <c r="CG576" i="1"/>
  <c r="CH576" i="1"/>
  <c r="CI576" i="1"/>
  <c r="CJ576" i="1"/>
  <c r="CK576" i="1"/>
  <c r="CL576" i="1"/>
  <c r="CM576" i="1"/>
  <c r="CN576" i="1"/>
  <c r="CO576" i="1"/>
  <c r="CP576" i="1"/>
  <c r="CQ576" i="1"/>
  <c r="CR576" i="1"/>
  <c r="CS576" i="1"/>
  <c r="CT576" i="1"/>
  <c r="CU576" i="1"/>
  <c r="CV576" i="1"/>
  <c r="BQ577" i="1"/>
  <c r="BR577" i="1"/>
  <c r="BS577" i="1"/>
  <c r="BV577" i="1"/>
  <c r="BW577" i="1"/>
  <c r="BX577" i="1"/>
  <c r="BY577" i="1"/>
  <c r="BZ577" i="1"/>
  <c r="CA577" i="1"/>
  <c r="CB577" i="1"/>
  <c r="CC577" i="1"/>
  <c r="CD577" i="1"/>
  <c r="CE577" i="1"/>
  <c r="CF577" i="1"/>
  <c r="CG577" i="1"/>
  <c r="CH577" i="1"/>
  <c r="CI577" i="1"/>
  <c r="CJ577" i="1"/>
  <c r="CK577" i="1"/>
  <c r="CL577" i="1"/>
  <c r="CM577" i="1"/>
  <c r="CN577" i="1"/>
  <c r="CO577" i="1"/>
  <c r="CP577" i="1"/>
  <c r="CQ577" i="1"/>
  <c r="CR577" i="1"/>
  <c r="CS577" i="1"/>
  <c r="CT577" i="1"/>
  <c r="CU577" i="1"/>
  <c r="CV577" i="1"/>
  <c r="BQ578" i="1"/>
  <c r="BR578" i="1"/>
  <c r="BS578" i="1"/>
  <c r="BV578" i="1"/>
  <c r="BW578" i="1"/>
  <c r="BX578" i="1"/>
  <c r="BY578" i="1"/>
  <c r="BZ578" i="1"/>
  <c r="CA578" i="1"/>
  <c r="CB578" i="1"/>
  <c r="CC578" i="1"/>
  <c r="CD578" i="1"/>
  <c r="CE578" i="1"/>
  <c r="CF578" i="1"/>
  <c r="CG578" i="1"/>
  <c r="CH578" i="1"/>
  <c r="CI578" i="1"/>
  <c r="CJ578" i="1"/>
  <c r="CK578" i="1"/>
  <c r="CL578" i="1"/>
  <c r="CM578" i="1"/>
  <c r="CN578" i="1"/>
  <c r="CO578" i="1"/>
  <c r="CP578" i="1"/>
  <c r="CQ578" i="1"/>
  <c r="CR578" i="1"/>
  <c r="CS578" i="1"/>
  <c r="CT578" i="1"/>
  <c r="CU578" i="1"/>
  <c r="CV578" i="1"/>
  <c r="BQ579" i="1"/>
  <c r="BR579" i="1"/>
  <c r="BS579" i="1"/>
  <c r="BV579" i="1"/>
  <c r="BW579" i="1"/>
  <c r="BX579" i="1"/>
  <c r="BY579" i="1"/>
  <c r="BZ579" i="1"/>
  <c r="CA579" i="1"/>
  <c r="CB579" i="1"/>
  <c r="CC579" i="1"/>
  <c r="CD579" i="1"/>
  <c r="CE579" i="1"/>
  <c r="CF579" i="1"/>
  <c r="CG579" i="1"/>
  <c r="CH579" i="1"/>
  <c r="CI579" i="1"/>
  <c r="CJ579" i="1"/>
  <c r="CK579" i="1"/>
  <c r="CL579" i="1"/>
  <c r="CM579" i="1"/>
  <c r="CN579" i="1"/>
  <c r="CO579" i="1"/>
  <c r="CP579" i="1"/>
  <c r="CQ579" i="1"/>
  <c r="CR579" i="1"/>
  <c r="CS579" i="1"/>
  <c r="CT579" i="1"/>
  <c r="CU579" i="1"/>
  <c r="CV579" i="1"/>
  <c r="BQ580" i="1"/>
  <c r="BR580" i="1"/>
  <c r="BS580" i="1"/>
  <c r="BV580" i="1"/>
  <c r="BW580" i="1"/>
  <c r="BX580" i="1"/>
  <c r="BY580" i="1"/>
  <c r="BZ580" i="1"/>
  <c r="CA580" i="1"/>
  <c r="CB580" i="1"/>
  <c r="CC580" i="1"/>
  <c r="CD580" i="1"/>
  <c r="CE580" i="1"/>
  <c r="CF580" i="1"/>
  <c r="CG580" i="1"/>
  <c r="CH580" i="1"/>
  <c r="CI580" i="1"/>
  <c r="CJ580" i="1"/>
  <c r="CK580" i="1"/>
  <c r="CL580" i="1"/>
  <c r="CM580" i="1"/>
  <c r="CN580" i="1"/>
  <c r="CO580" i="1"/>
  <c r="CP580" i="1"/>
  <c r="CQ580" i="1"/>
  <c r="CR580" i="1"/>
  <c r="CS580" i="1"/>
  <c r="CT580" i="1"/>
  <c r="CU580" i="1"/>
  <c r="CV580" i="1"/>
  <c r="BQ581" i="1"/>
  <c r="BR581" i="1"/>
  <c r="BS581" i="1"/>
  <c r="BV581" i="1"/>
  <c r="BW581" i="1"/>
  <c r="BX581" i="1"/>
  <c r="BY581" i="1"/>
  <c r="BZ581" i="1"/>
  <c r="CA581" i="1"/>
  <c r="CB581" i="1"/>
  <c r="CC581" i="1"/>
  <c r="CD581" i="1"/>
  <c r="CE581" i="1"/>
  <c r="CF581" i="1"/>
  <c r="CG581" i="1"/>
  <c r="CH581" i="1"/>
  <c r="CI581" i="1"/>
  <c r="CJ581" i="1"/>
  <c r="CK581" i="1"/>
  <c r="CL581" i="1"/>
  <c r="CM581" i="1"/>
  <c r="CN581" i="1"/>
  <c r="CO581" i="1"/>
  <c r="CP581" i="1"/>
  <c r="CQ581" i="1"/>
  <c r="CR581" i="1"/>
  <c r="CS581" i="1"/>
  <c r="CT581" i="1"/>
  <c r="CU581" i="1"/>
  <c r="CV581" i="1"/>
  <c r="BQ582" i="1"/>
  <c r="BR582" i="1"/>
  <c r="BS582" i="1"/>
  <c r="BV582" i="1"/>
  <c r="BW582" i="1"/>
  <c r="BX582" i="1"/>
  <c r="BY582" i="1"/>
  <c r="BZ582" i="1"/>
  <c r="CA582" i="1"/>
  <c r="CB582" i="1"/>
  <c r="CC582" i="1"/>
  <c r="CD582" i="1"/>
  <c r="CE582" i="1"/>
  <c r="CF582" i="1"/>
  <c r="CG582" i="1"/>
  <c r="CH582" i="1"/>
  <c r="CI582" i="1"/>
  <c r="CJ582" i="1"/>
  <c r="CK582" i="1"/>
  <c r="CL582" i="1"/>
  <c r="CM582" i="1"/>
  <c r="CN582" i="1"/>
  <c r="CO582" i="1"/>
  <c r="CP582" i="1"/>
  <c r="CQ582" i="1"/>
  <c r="CR582" i="1"/>
  <c r="CS582" i="1"/>
  <c r="CT582" i="1"/>
  <c r="CU582" i="1"/>
  <c r="CV582" i="1"/>
  <c r="BQ583" i="1"/>
  <c r="BR583" i="1"/>
  <c r="BS583" i="1"/>
  <c r="BV583" i="1"/>
  <c r="BW583" i="1"/>
  <c r="BX583" i="1"/>
  <c r="BY583" i="1"/>
  <c r="BZ583" i="1"/>
  <c r="CA583" i="1"/>
  <c r="CB583" i="1"/>
  <c r="CC583" i="1"/>
  <c r="CD583" i="1"/>
  <c r="CE583" i="1"/>
  <c r="CF583" i="1"/>
  <c r="CG583" i="1"/>
  <c r="CH583" i="1"/>
  <c r="CI583" i="1"/>
  <c r="CJ583" i="1"/>
  <c r="CK583" i="1"/>
  <c r="CL583" i="1"/>
  <c r="CM583" i="1"/>
  <c r="CN583" i="1"/>
  <c r="CO583" i="1"/>
  <c r="CP583" i="1"/>
  <c r="CQ583" i="1"/>
  <c r="CR583" i="1"/>
  <c r="CS583" i="1"/>
  <c r="CT583" i="1"/>
  <c r="CU583" i="1"/>
  <c r="CV583" i="1"/>
  <c r="BQ584" i="1"/>
  <c r="BR584" i="1"/>
  <c r="BS584" i="1"/>
  <c r="BV584" i="1"/>
  <c r="BW584" i="1"/>
  <c r="BX584" i="1"/>
  <c r="BY584" i="1"/>
  <c r="BZ584" i="1"/>
  <c r="CA584" i="1"/>
  <c r="CB584" i="1"/>
  <c r="CC584" i="1"/>
  <c r="CD584" i="1"/>
  <c r="CE584" i="1"/>
  <c r="CF584" i="1"/>
  <c r="CG584" i="1"/>
  <c r="CH584" i="1"/>
  <c r="CI584" i="1"/>
  <c r="CJ584" i="1"/>
  <c r="CK584" i="1"/>
  <c r="CL584" i="1"/>
  <c r="CM584" i="1"/>
  <c r="CN584" i="1"/>
  <c r="CO584" i="1"/>
  <c r="CP584" i="1"/>
  <c r="CQ584" i="1"/>
  <c r="CR584" i="1"/>
  <c r="CS584" i="1"/>
  <c r="CT584" i="1"/>
  <c r="CU584" i="1"/>
  <c r="CV584" i="1"/>
  <c r="BQ585" i="1"/>
  <c r="BR585" i="1"/>
  <c r="BS585" i="1"/>
  <c r="BV585" i="1"/>
  <c r="BW585" i="1"/>
  <c r="BX585" i="1"/>
  <c r="BY585" i="1"/>
  <c r="BZ585" i="1"/>
  <c r="CA585" i="1"/>
  <c r="CB585" i="1"/>
  <c r="CC585" i="1"/>
  <c r="CD585" i="1"/>
  <c r="CE585" i="1"/>
  <c r="CF585" i="1"/>
  <c r="CG585" i="1"/>
  <c r="CH585" i="1"/>
  <c r="CI585" i="1"/>
  <c r="CJ585" i="1"/>
  <c r="CK585" i="1"/>
  <c r="CL585" i="1"/>
  <c r="CM585" i="1"/>
  <c r="CN585" i="1"/>
  <c r="CO585" i="1"/>
  <c r="CP585" i="1"/>
  <c r="CQ585" i="1"/>
  <c r="CR585" i="1"/>
  <c r="CS585" i="1"/>
  <c r="CT585" i="1"/>
  <c r="CU585" i="1"/>
  <c r="CV585" i="1"/>
  <c r="BQ586" i="1"/>
  <c r="BR586" i="1"/>
  <c r="BS586" i="1"/>
  <c r="BV586" i="1"/>
  <c r="BW586" i="1"/>
  <c r="BX586" i="1"/>
  <c r="BY586" i="1"/>
  <c r="BZ586" i="1"/>
  <c r="CA586" i="1"/>
  <c r="CB586" i="1"/>
  <c r="CC586" i="1"/>
  <c r="CD586" i="1"/>
  <c r="CE586" i="1"/>
  <c r="CF586" i="1"/>
  <c r="CG586" i="1"/>
  <c r="CH586" i="1"/>
  <c r="CI586" i="1"/>
  <c r="CJ586" i="1"/>
  <c r="CK586" i="1"/>
  <c r="CL586" i="1"/>
  <c r="CM586" i="1"/>
  <c r="CN586" i="1"/>
  <c r="CO586" i="1"/>
  <c r="CP586" i="1"/>
  <c r="CQ586" i="1"/>
  <c r="CR586" i="1"/>
  <c r="CS586" i="1"/>
  <c r="CT586" i="1"/>
  <c r="CU586" i="1"/>
  <c r="CV586" i="1"/>
  <c r="BQ587" i="1"/>
  <c r="BR587" i="1"/>
  <c r="BS587" i="1"/>
  <c r="BV587" i="1"/>
  <c r="BW587" i="1"/>
  <c r="BX587" i="1"/>
  <c r="BY587" i="1"/>
  <c r="BZ587" i="1"/>
  <c r="CA587" i="1"/>
  <c r="CB587" i="1"/>
  <c r="CC587" i="1"/>
  <c r="CD587" i="1"/>
  <c r="CE587" i="1"/>
  <c r="CF587" i="1"/>
  <c r="CG587" i="1"/>
  <c r="CH587" i="1"/>
  <c r="CI587" i="1"/>
  <c r="CJ587" i="1"/>
  <c r="CK587" i="1"/>
  <c r="CL587" i="1"/>
  <c r="CM587" i="1"/>
  <c r="CN587" i="1"/>
  <c r="CO587" i="1"/>
  <c r="CP587" i="1"/>
  <c r="CQ587" i="1"/>
  <c r="CR587" i="1"/>
  <c r="CS587" i="1"/>
  <c r="CT587" i="1"/>
  <c r="CU587" i="1"/>
  <c r="CV587" i="1"/>
  <c r="BQ588" i="1"/>
  <c r="BR588" i="1"/>
  <c r="BS588" i="1"/>
  <c r="BV588" i="1"/>
  <c r="BW588" i="1"/>
  <c r="BX588" i="1"/>
  <c r="BY588" i="1"/>
  <c r="BZ588" i="1"/>
  <c r="CA588" i="1"/>
  <c r="CB588" i="1"/>
  <c r="CC588" i="1"/>
  <c r="CD588" i="1"/>
  <c r="CE588" i="1"/>
  <c r="CF588" i="1"/>
  <c r="CG588" i="1"/>
  <c r="CH588" i="1"/>
  <c r="CI588" i="1"/>
  <c r="CJ588" i="1"/>
  <c r="CK588" i="1"/>
  <c r="CL588" i="1"/>
  <c r="CM588" i="1"/>
  <c r="CN588" i="1"/>
  <c r="CO588" i="1"/>
  <c r="CP588" i="1"/>
  <c r="CQ588" i="1"/>
  <c r="CR588" i="1"/>
  <c r="CS588" i="1"/>
  <c r="CT588" i="1"/>
  <c r="CU588" i="1"/>
  <c r="CV588" i="1"/>
  <c r="BS589" i="1"/>
  <c r="BV589" i="1"/>
  <c r="BW589" i="1"/>
  <c r="BX589" i="1"/>
  <c r="BY589" i="1"/>
  <c r="BZ589" i="1"/>
  <c r="CA589" i="1"/>
  <c r="CB589" i="1"/>
  <c r="CC589" i="1"/>
  <c r="CD589" i="1"/>
  <c r="CE589" i="1"/>
  <c r="CF589" i="1"/>
  <c r="CG589" i="1"/>
  <c r="CH589" i="1"/>
  <c r="CI589" i="1"/>
  <c r="CJ589" i="1"/>
  <c r="CK589" i="1"/>
  <c r="CL589" i="1"/>
  <c r="CM589" i="1"/>
  <c r="CN589" i="1"/>
  <c r="CO589" i="1"/>
  <c r="CP589" i="1"/>
  <c r="CQ589" i="1"/>
  <c r="CR589" i="1"/>
  <c r="CS589" i="1"/>
  <c r="CT589" i="1"/>
  <c r="CU589" i="1"/>
  <c r="CV589" i="1"/>
  <c r="BQ590" i="1"/>
  <c r="BR590" i="1"/>
  <c r="BS590" i="1"/>
  <c r="BV590" i="1"/>
  <c r="BW590" i="1"/>
  <c r="BX590" i="1"/>
  <c r="BY590" i="1"/>
  <c r="BZ590" i="1"/>
  <c r="CA590" i="1"/>
  <c r="CB590" i="1"/>
  <c r="CC590" i="1"/>
  <c r="CD590" i="1"/>
  <c r="CE590" i="1"/>
  <c r="CF590" i="1"/>
  <c r="CG590" i="1"/>
  <c r="CH590" i="1"/>
  <c r="CI590" i="1"/>
  <c r="CJ590" i="1"/>
  <c r="CK590" i="1"/>
  <c r="CL590" i="1"/>
  <c r="CM590" i="1"/>
  <c r="CN590" i="1"/>
  <c r="CO590" i="1"/>
  <c r="CP590" i="1"/>
  <c r="CQ590" i="1"/>
  <c r="CR590" i="1"/>
  <c r="CS590" i="1"/>
  <c r="CT590" i="1"/>
  <c r="CU590" i="1"/>
  <c r="CV590" i="1"/>
  <c r="BQ591" i="1"/>
  <c r="BR591" i="1"/>
  <c r="BS591" i="1"/>
  <c r="BV591" i="1"/>
  <c r="BW591" i="1"/>
  <c r="BX591" i="1"/>
  <c r="BY591" i="1"/>
  <c r="BZ591" i="1"/>
  <c r="CA591" i="1"/>
  <c r="CB591" i="1"/>
  <c r="CC591" i="1"/>
  <c r="CD591" i="1"/>
  <c r="CE591" i="1"/>
  <c r="CF591" i="1"/>
  <c r="CG591" i="1"/>
  <c r="CH591" i="1"/>
  <c r="CI591" i="1"/>
  <c r="CJ591" i="1"/>
  <c r="CK591" i="1"/>
  <c r="CL591" i="1"/>
  <c r="CM591" i="1"/>
  <c r="CN591" i="1"/>
  <c r="CO591" i="1"/>
  <c r="CP591" i="1"/>
  <c r="CQ591" i="1"/>
  <c r="CR591" i="1"/>
  <c r="CS591" i="1"/>
  <c r="CT591" i="1"/>
  <c r="CU591" i="1"/>
  <c r="CV591" i="1"/>
  <c r="BQ592" i="1"/>
  <c r="BR592" i="1"/>
  <c r="BS592" i="1"/>
  <c r="BV592" i="1"/>
  <c r="BW592" i="1"/>
  <c r="BX592" i="1"/>
  <c r="BY592" i="1"/>
  <c r="BZ592" i="1"/>
  <c r="CA592" i="1"/>
  <c r="CB592" i="1"/>
  <c r="CC592" i="1"/>
  <c r="CD592" i="1"/>
  <c r="CE592" i="1"/>
  <c r="CF592" i="1"/>
  <c r="CG592" i="1"/>
  <c r="CH592" i="1"/>
  <c r="CI592" i="1"/>
  <c r="CJ592" i="1"/>
  <c r="CK592" i="1"/>
  <c r="CL592" i="1"/>
  <c r="CM592" i="1"/>
  <c r="CN592" i="1"/>
  <c r="CO592" i="1"/>
  <c r="CP592" i="1"/>
  <c r="CQ592" i="1"/>
  <c r="CR592" i="1"/>
  <c r="CS592" i="1"/>
  <c r="CT592" i="1"/>
  <c r="CU592" i="1"/>
  <c r="CV592" i="1"/>
  <c r="BQ593" i="1"/>
  <c r="BR593" i="1"/>
  <c r="BS593" i="1"/>
  <c r="BV593" i="1"/>
  <c r="BW593" i="1"/>
  <c r="BX593" i="1"/>
  <c r="BY593" i="1"/>
  <c r="BZ593" i="1"/>
  <c r="CA593" i="1"/>
  <c r="CB593" i="1"/>
  <c r="CC593" i="1"/>
  <c r="CD593" i="1"/>
  <c r="CE593" i="1"/>
  <c r="CF593" i="1"/>
  <c r="CG593" i="1"/>
  <c r="CH593" i="1"/>
  <c r="CI593" i="1"/>
  <c r="CJ593" i="1"/>
  <c r="CK593" i="1"/>
  <c r="CL593" i="1"/>
  <c r="CM593" i="1"/>
  <c r="CN593" i="1"/>
  <c r="CO593" i="1"/>
  <c r="CP593" i="1"/>
  <c r="CQ593" i="1"/>
  <c r="CR593" i="1"/>
  <c r="CS593" i="1"/>
  <c r="CT593" i="1"/>
  <c r="CU593" i="1"/>
  <c r="CV593" i="1"/>
  <c r="BQ594" i="1"/>
  <c r="BR594" i="1"/>
  <c r="BS594" i="1"/>
  <c r="BV594" i="1"/>
  <c r="BW594" i="1"/>
  <c r="BX594" i="1"/>
  <c r="BY594" i="1"/>
  <c r="BZ594" i="1"/>
  <c r="CA594" i="1"/>
  <c r="CB594" i="1"/>
  <c r="CC594" i="1"/>
  <c r="CD594" i="1"/>
  <c r="CE594" i="1"/>
  <c r="CF594" i="1"/>
  <c r="CG594" i="1"/>
  <c r="CH594" i="1"/>
  <c r="CI594" i="1"/>
  <c r="CJ594" i="1"/>
  <c r="CK594" i="1"/>
  <c r="CL594" i="1"/>
  <c r="CM594" i="1"/>
  <c r="CN594" i="1"/>
  <c r="CO594" i="1"/>
  <c r="CP594" i="1"/>
  <c r="CQ594" i="1"/>
  <c r="CR594" i="1"/>
  <c r="CS594" i="1"/>
  <c r="CT594" i="1"/>
  <c r="CU594" i="1"/>
  <c r="CV594" i="1"/>
  <c r="BQ595" i="1"/>
  <c r="BR595" i="1"/>
  <c r="BS595" i="1"/>
  <c r="BV595" i="1"/>
  <c r="BW595" i="1"/>
  <c r="BX595" i="1"/>
  <c r="BY595" i="1"/>
  <c r="BZ595" i="1"/>
  <c r="CA595" i="1"/>
  <c r="CB595" i="1"/>
  <c r="CC595" i="1"/>
  <c r="CD595" i="1"/>
  <c r="CE595" i="1"/>
  <c r="CF595" i="1"/>
  <c r="CG595" i="1"/>
  <c r="CH595" i="1"/>
  <c r="CI595" i="1"/>
  <c r="CJ595" i="1"/>
  <c r="CK595" i="1"/>
  <c r="CL595" i="1"/>
  <c r="CM595" i="1"/>
  <c r="CN595" i="1"/>
  <c r="CO595" i="1"/>
  <c r="CP595" i="1"/>
  <c r="CQ595" i="1"/>
  <c r="CR595" i="1"/>
  <c r="CS595" i="1"/>
  <c r="CT595" i="1"/>
  <c r="CU595" i="1"/>
  <c r="CV595" i="1"/>
  <c r="BQ596" i="1"/>
  <c r="BR596" i="1"/>
  <c r="BS596" i="1"/>
  <c r="BV596" i="1"/>
  <c r="BW596" i="1"/>
  <c r="BX596" i="1"/>
  <c r="BY596" i="1"/>
  <c r="BZ596" i="1"/>
  <c r="CA596" i="1"/>
  <c r="CB596" i="1"/>
  <c r="CC596" i="1"/>
  <c r="CD596" i="1"/>
  <c r="CE596" i="1"/>
  <c r="CF596" i="1"/>
  <c r="CG596" i="1"/>
  <c r="CH596" i="1"/>
  <c r="CI596" i="1"/>
  <c r="CJ596" i="1"/>
  <c r="CK596" i="1"/>
  <c r="CL596" i="1"/>
  <c r="CM596" i="1"/>
  <c r="CN596" i="1"/>
  <c r="CO596" i="1"/>
  <c r="CP596" i="1"/>
  <c r="CQ596" i="1"/>
  <c r="CR596" i="1"/>
  <c r="CS596" i="1"/>
  <c r="CT596" i="1"/>
  <c r="CU596" i="1"/>
  <c r="CV596" i="1"/>
  <c r="BQ597" i="1"/>
  <c r="BR597" i="1"/>
  <c r="BS597" i="1"/>
  <c r="BV597" i="1"/>
  <c r="BW597" i="1"/>
  <c r="BX597" i="1"/>
  <c r="BY597" i="1"/>
  <c r="BZ597" i="1"/>
  <c r="CA597" i="1"/>
  <c r="CB597" i="1"/>
  <c r="CC597" i="1"/>
  <c r="CD597" i="1"/>
  <c r="CE597" i="1"/>
  <c r="CF597" i="1"/>
  <c r="CG597" i="1"/>
  <c r="CH597" i="1"/>
  <c r="CI597" i="1"/>
  <c r="CJ597" i="1"/>
  <c r="CK597" i="1"/>
  <c r="CL597" i="1"/>
  <c r="CM597" i="1"/>
  <c r="CN597" i="1"/>
  <c r="CO597" i="1"/>
  <c r="CP597" i="1"/>
  <c r="CQ597" i="1"/>
  <c r="CR597" i="1"/>
  <c r="CS597" i="1"/>
  <c r="CT597" i="1"/>
  <c r="CU597" i="1"/>
  <c r="CV597" i="1"/>
  <c r="BQ598" i="1"/>
  <c r="BR598" i="1"/>
  <c r="BS598" i="1"/>
  <c r="BV598" i="1"/>
  <c r="BW598" i="1"/>
  <c r="BX598" i="1"/>
  <c r="BY598" i="1"/>
  <c r="BZ598" i="1"/>
  <c r="CA598" i="1"/>
  <c r="CB598" i="1"/>
  <c r="CC598" i="1"/>
  <c r="CD598" i="1"/>
  <c r="CE598" i="1"/>
  <c r="CF598" i="1"/>
  <c r="CG598" i="1"/>
  <c r="CH598" i="1"/>
  <c r="CI598" i="1"/>
  <c r="CJ598" i="1"/>
  <c r="CK598" i="1"/>
  <c r="CL598" i="1"/>
  <c r="CM598" i="1"/>
  <c r="CN598" i="1"/>
  <c r="CO598" i="1"/>
  <c r="CP598" i="1"/>
  <c r="CQ598" i="1"/>
  <c r="CR598" i="1"/>
  <c r="CS598" i="1"/>
  <c r="CT598" i="1"/>
  <c r="CU598" i="1"/>
  <c r="CV598" i="1"/>
  <c r="BQ599" i="1"/>
  <c r="BR599" i="1"/>
  <c r="BS599" i="1"/>
  <c r="BV599" i="1"/>
  <c r="BW599" i="1"/>
  <c r="BX599" i="1"/>
  <c r="BY599" i="1"/>
  <c r="BZ599" i="1"/>
  <c r="CA599" i="1"/>
  <c r="CB599" i="1"/>
  <c r="CC599" i="1"/>
  <c r="CD599" i="1"/>
  <c r="CE599" i="1"/>
  <c r="CF599" i="1"/>
  <c r="CG599" i="1"/>
  <c r="CH599" i="1"/>
  <c r="CI599" i="1"/>
  <c r="CJ599" i="1"/>
  <c r="CK599" i="1"/>
  <c r="CL599" i="1"/>
  <c r="CM599" i="1"/>
  <c r="CN599" i="1"/>
  <c r="CO599" i="1"/>
  <c r="CP599" i="1"/>
  <c r="CQ599" i="1"/>
  <c r="CR599" i="1"/>
  <c r="CS599" i="1"/>
  <c r="CT599" i="1"/>
  <c r="CU599" i="1"/>
  <c r="CV599" i="1"/>
  <c r="BQ600" i="1"/>
  <c r="BR600" i="1"/>
  <c r="BS600" i="1"/>
  <c r="BV600" i="1"/>
  <c r="BW600" i="1"/>
  <c r="BX600" i="1"/>
  <c r="BY600" i="1"/>
  <c r="BZ600" i="1"/>
  <c r="CA600" i="1"/>
  <c r="CB600" i="1"/>
  <c r="CC600" i="1"/>
  <c r="CD600" i="1"/>
  <c r="CE600" i="1"/>
  <c r="CF600" i="1"/>
  <c r="CG600" i="1"/>
  <c r="CH600" i="1"/>
  <c r="CI600" i="1"/>
  <c r="CJ600" i="1"/>
  <c r="CK600" i="1"/>
  <c r="CL600" i="1"/>
  <c r="CM600" i="1"/>
  <c r="CN600" i="1"/>
  <c r="CO600" i="1"/>
  <c r="CP600" i="1"/>
  <c r="CQ600" i="1"/>
  <c r="CR600" i="1"/>
  <c r="CS600" i="1"/>
  <c r="CT600" i="1"/>
  <c r="CU600" i="1"/>
  <c r="CV600" i="1"/>
  <c r="BQ601" i="1"/>
  <c r="BR601" i="1"/>
  <c r="BS601" i="1"/>
  <c r="BV601" i="1"/>
  <c r="BW601" i="1"/>
  <c r="BX601" i="1"/>
  <c r="BY601" i="1"/>
  <c r="BZ601" i="1"/>
  <c r="CA601" i="1"/>
  <c r="CB601" i="1"/>
  <c r="CC601" i="1"/>
  <c r="CD601" i="1"/>
  <c r="CE601" i="1"/>
  <c r="CF601" i="1"/>
  <c r="CG601" i="1"/>
  <c r="CH601" i="1"/>
  <c r="CI601" i="1"/>
  <c r="CJ601" i="1"/>
  <c r="CK601" i="1"/>
  <c r="CL601" i="1"/>
  <c r="CM601" i="1"/>
  <c r="CN601" i="1"/>
  <c r="CO601" i="1"/>
  <c r="CP601" i="1"/>
  <c r="CQ601" i="1"/>
  <c r="CR601" i="1"/>
  <c r="CS601" i="1"/>
  <c r="CT601" i="1"/>
  <c r="CU601" i="1"/>
  <c r="CV601" i="1"/>
  <c r="BQ602" i="1"/>
  <c r="BR602" i="1"/>
  <c r="BS602" i="1"/>
  <c r="BV602" i="1"/>
  <c r="BW602" i="1"/>
  <c r="BX602" i="1"/>
  <c r="BY602" i="1"/>
  <c r="BZ602" i="1"/>
  <c r="CA602" i="1"/>
  <c r="CB602" i="1"/>
  <c r="CC602" i="1"/>
  <c r="CD602" i="1"/>
  <c r="CE602" i="1"/>
  <c r="CF602" i="1"/>
  <c r="CG602" i="1"/>
  <c r="CH602" i="1"/>
  <c r="CI602" i="1"/>
  <c r="CJ602" i="1"/>
  <c r="CK602" i="1"/>
  <c r="CL602" i="1"/>
  <c r="CM602" i="1"/>
  <c r="CN602" i="1"/>
  <c r="CO602" i="1"/>
  <c r="CP602" i="1"/>
  <c r="CQ602" i="1"/>
  <c r="CR602" i="1"/>
  <c r="CS602" i="1"/>
  <c r="CT602" i="1"/>
  <c r="CU602" i="1"/>
  <c r="CV602" i="1"/>
  <c r="BQ603" i="1"/>
  <c r="BR603" i="1"/>
  <c r="BS603" i="1"/>
  <c r="BV603" i="1"/>
  <c r="BW603" i="1"/>
  <c r="BX603" i="1"/>
  <c r="BY603" i="1"/>
  <c r="BZ603" i="1"/>
  <c r="CA603" i="1"/>
  <c r="CB603" i="1"/>
  <c r="CC603" i="1"/>
  <c r="CD603" i="1"/>
  <c r="CE603" i="1"/>
  <c r="CF603" i="1"/>
  <c r="CG603" i="1"/>
  <c r="CH603" i="1"/>
  <c r="CI603" i="1"/>
  <c r="CJ603" i="1"/>
  <c r="CK603" i="1"/>
  <c r="CL603" i="1"/>
  <c r="CM603" i="1"/>
  <c r="CN603" i="1"/>
  <c r="CO603" i="1"/>
  <c r="CP603" i="1"/>
  <c r="CQ603" i="1"/>
  <c r="CR603" i="1"/>
  <c r="CS603" i="1"/>
  <c r="CT603" i="1"/>
  <c r="CU603" i="1"/>
  <c r="CV603" i="1"/>
  <c r="BQ604" i="1"/>
  <c r="BR604" i="1"/>
  <c r="BS604" i="1"/>
  <c r="BV604" i="1"/>
  <c r="BW604" i="1"/>
  <c r="BX604" i="1"/>
  <c r="BY604" i="1"/>
  <c r="BZ604" i="1"/>
  <c r="CA604" i="1"/>
  <c r="CB604" i="1"/>
  <c r="CC604" i="1"/>
  <c r="CD604" i="1"/>
  <c r="CE604" i="1"/>
  <c r="CF604" i="1"/>
  <c r="CG604" i="1"/>
  <c r="CH604" i="1"/>
  <c r="CI604" i="1"/>
  <c r="CJ604" i="1"/>
  <c r="CK604" i="1"/>
  <c r="CL604" i="1"/>
  <c r="CM604" i="1"/>
  <c r="CN604" i="1"/>
  <c r="CO604" i="1"/>
  <c r="CP604" i="1"/>
  <c r="CQ604" i="1"/>
  <c r="CR604" i="1"/>
  <c r="CS604" i="1"/>
  <c r="CT604" i="1"/>
  <c r="CU604" i="1"/>
  <c r="CV604" i="1"/>
  <c r="BQ605" i="1"/>
  <c r="BR605" i="1"/>
  <c r="BS605" i="1"/>
  <c r="BV605" i="1"/>
  <c r="BW605" i="1"/>
  <c r="BX605" i="1"/>
  <c r="BY605" i="1"/>
  <c r="BZ605" i="1"/>
  <c r="CA605" i="1"/>
  <c r="CB605" i="1"/>
  <c r="CC605" i="1"/>
  <c r="CD605" i="1"/>
  <c r="CE605" i="1"/>
  <c r="CF605" i="1"/>
  <c r="CG605" i="1"/>
  <c r="CH605" i="1"/>
  <c r="CI605" i="1"/>
  <c r="CJ605" i="1"/>
  <c r="CK605" i="1"/>
  <c r="CL605" i="1"/>
  <c r="CM605" i="1"/>
  <c r="CN605" i="1"/>
  <c r="CO605" i="1"/>
  <c r="CP605" i="1"/>
  <c r="CQ605" i="1"/>
  <c r="CR605" i="1"/>
  <c r="CS605" i="1"/>
  <c r="CT605" i="1"/>
  <c r="CU605" i="1"/>
  <c r="CV605" i="1"/>
  <c r="BQ606" i="1"/>
  <c r="BR606" i="1"/>
  <c r="BS606" i="1"/>
  <c r="BV606" i="1"/>
  <c r="BW606" i="1"/>
  <c r="BX606" i="1"/>
  <c r="BY606" i="1"/>
  <c r="BZ606" i="1"/>
  <c r="CA606" i="1"/>
  <c r="CB606" i="1"/>
  <c r="CC606" i="1"/>
  <c r="CD606" i="1"/>
  <c r="CE606" i="1"/>
  <c r="CF606" i="1"/>
  <c r="CG606" i="1"/>
  <c r="CH606" i="1"/>
  <c r="CI606" i="1"/>
  <c r="CJ606" i="1"/>
  <c r="CK606" i="1"/>
  <c r="CL606" i="1"/>
  <c r="CM606" i="1"/>
  <c r="CN606" i="1"/>
  <c r="CO606" i="1"/>
  <c r="CP606" i="1"/>
  <c r="CQ606" i="1"/>
  <c r="CR606" i="1"/>
  <c r="CS606" i="1"/>
  <c r="CT606" i="1"/>
  <c r="CU606" i="1"/>
  <c r="CV606" i="1"/>
  <c r="BQ607" i="1"/>
  <c r="BR607" i="1"/>
  <c r="BS607" i="1"/>
  <c r="BV607" i="1"/>
  <c r="BW607" i="1"/>
  <c r="BX607" i="1"/>
  <c r="BY607" i="1"/>
  <c r="BZ607" i="1"/>
  <c r="CA607" i="1"/>
  <c r="CB607" i="1"/>
  <c r="CC607" i="1"/>
  <c r="CD607" i="1"/>
  <c r="CE607" i="1"/>
  <c r="CF607" i="1"/>
  <c r="CG607" i="1"/>
  <c r="CH607" i="1"/>
  <c r="CI607" i="1"/>
  <c r="CJ607" i="1"/>
  <c r="CK607" i="1"/>
  <c r="CL607" i="1"/>
  <c r="CM607" i="1"/>
  <c r="CN607" i="1"/>
  <c r="CO607" i="1"/>
  <c r="CP607" i="1"/>
  <c r="CQ607" i="1"/>
  <c r="CR607" i="1"/>
  <c r="CS607" i="1"/>
  <c r="CT607" i="1"/>
  <c r="CU607" i="1"/>
  <c r="CV607" i="1"/>
  <c r="BQ608" i="1"/>
  <c r="BR608" i="1"/>
  <c r="BS608" i="1"/>
  <c r="BV608" i="1"/>
  <c r="BW608" i="1"/>
  <c r="BX608" i="1"/>
  <c r="BY608" i="1"/>
  <c r="BZ608" i="1"/>
  <c r="CA608" i="1"/>
  <c r="CB608" i="1"/>
  <c r="CC608" i="1"/>
  <c r="CD608" i="1"/>
  <c r="CE608" i="1"/>
  <c r="CF608" i="1"/>
  <c r="CG608" i="1"/>
  <c r="CH608" i="1"/>
  <c r="CI608" i="1"/>
  <c r="CJ608" i="1"/>
  <c r="CK608" i="1"/>
  <c r="CL608" i="1"/>
  <c r="CM608" i="1"/>
  <c r="CN608" i="1"/>
  <c r="CO608" i="1"/>
  <c r="CP608" i="1"/>
  <c r="CQ608" i="1"/>
  <c r="CR608" i="1"/>
  <c r="CS608" i="1"/>
  <c r="CT608" i="1"/>
  <c r="CU608" i="1"/>
  <c r="CV608" i="1"/>
  <c r="BQ609" i="1"/>
  <c r="BR609" i="1"/>
  <c r="BS609" i="1"/>
  <c r="BV609" i="1"/>
  <c r="BW609" i="1"/>
  <c r="BX609" i="1"/>
  <c r="BY609" i="1"/>
  <c r="BZ609" i="1"/>
  <c r="CA609" i="1"/>
  <c r="CB609" i="1"/>
  <c r="CC609" i="1"/>
  <c r="CD609" i="1"/>
  <c r="CE609" i="1"/>
  <c r="CF609" i="1"/>
  <c r="CG609" i="1"/>
  <c r="CH609" i="1"/>
  <c r="CI609" i="1"/>
  <c r="CJ609" i="1"/>
  <c r="CK609" i="1"/>
  <c r="CL609" i="1"/>
  <c r="CM609" i="1"/>
  <c r="CN609" i="1"/>
  <c r="CO609" i="1"/>
  <c r="CP609" i="1"/>
  <c r="CQ609" i="1"/>
  <c r="CR609" i="1"/>
  <c r="CS609" i="1"/>
  <c r="CT609" i="1"/>
  <c r="CU609" i="1"/>
  <c r="CV609" i="1"/>
  <c r="BQ610" i="1"/>
  <c r="BR610" i="1"/>
  <c r="BS610" i="1"/>
  <c r="BV610" i="1"/>
  <c r="BW610" i="1"/>
  <c r="BX610" i="1"/>
  <c r="BY610" i="1"/>
  <c r="BZ610" i="1"/>
  <c r="CA610" i="1"/>
  <c r="CB610" i="1"/>
  <c r="CC610" i="1"/>
  <c r="CD610" i="1"/>
  <c r="CE610" i="1"/>
  <c r="CF610" i="1"/>
  <c r="CG610" i="1"/>
  <c r="CH610" i="1"/>
  <c r="CI610" i="1"/>
  <c r="CJ610" i="1"/>
  <c r="CK610" i="1"/>
  <c r="CL610" i="1"/>
  <c r="CM610" i="1"/>
  <c r="CN610" i="1"/>
  <c r="CO610" i="1"/>
  <c r="CP610" i="1"/>
  <c r="CQ610" i="1"/>
  <c r="CR610" i="1"/>
  <c r="CS610" i="1"/>
  <c r="CT610" i="1"/>
  <c r="CU610" i="1"/>
  <c r="CV610" i="1"/>
  <c r="BQ611" i="1"/>
  <c r="BR611" i="1"/>
  <c r="BS611" i="1"/>
  <c r="BV611" i="1"/>
  <c r="BW611" i="1"/>
  <c r="BX611" i="1"/>
  <c r="BY611" i="1"/>
  <c r="BZ611" i="1"/>
  <c r="CA611" i="1"/>
  <c r="CB611" i="1"/>
  <c r="CC611" i="1"/>
  <c r="CD611" i="1"/>
  <c r="CE611" i="1"/>
  <c r="CF611" i="1"/>
  <c r="CG611" i="1"/>
  <c r="CH611" i="1"/>
  <c r="CI611" i="1"/>
  <c r="CJ611" i="1"/>
  <c r="CK611" i="1"/>
  <c r="CL611" i="1"/>
  <c r="CM611" i="1"/>
  <c r="CN611" i="1"/>
  <c r="CO611" i="1"/>
  <c r="CP611" i="1"/>
  <c r="CQ611" i="1"/>
  <c r="CR611" i="1"/>
  <c r="CS611" i="1"/>
  <c r="CT611" i="1"/>
  <c r="CU611" i="1"/>
  <c r="CV611" i="1"/>
  <c r="BQ612" i="1"/>
  <c r="BR612" i="1"/>
  <c r="BS612" i="1"/>
  <c r="BV612" i="1"/>
  <c r="BW612" i="1"/>
  <c r="BX612" i="1"/>
  <c r="BY612" i="1"/>
  <c r="BZ612" i="1"/>
  <c r="CA612" i="1"/>
  <c r="CB612" i="1"/>
  <c r="CC612" i="1"/>
  <c r="CD612" i="1"/>
  <c r="CE612" i="1"/>
  <c r="CF612" i="1"/>
  <c r="CG612" i="1"/>
  <c r="CH612" i="1"/>
  <c r="CI612" i="1"/>
  <c r="CJ612" i="1"/>
  <c r="CK612" i="1"/>
  <c r="CL612" i="1"/>
  <c r="CM612" i="1"/>
  <c r="CN612" i="1"/>
  <c r="CO612" i="1"/>
  <c r="CP612" i="1"/>
  <c r="CQ612" i="1"/>
  <c r="CR612" i="1"/>
  <c r="CS612" i="1"/>
  <c r="CT612" i="1"/>
  <c r="CU612" i="1"/>
  <c r="CV612" i="1"/>
  <c r="BQ613" i="1"/>
  <c r="BR613" i="1"/>
  <c r="BS613" i="1"/>
  <c r="BV613" i="1"/>
  <c r="BW613" i="1"/>
  <c r="BX613" i="1"/>
  <c r="BY613" i="1"/>
  <c r="BZ613" i="1"/>
  <c r="CA613" i="1"/>
  <c r="CB613" i="1"/>
  <c r="CC613" i="1"/>
  <c r="CD613" i="1"/>
  <c r="CE613" i="1"/>
  <c r="CF613" i="1"/>
  <c r="CG613" i="1"/>
  <c r="CH613" i="1"/>
  <c r="CI613" i="1"/>
  <c r="CJ613" i="1"/>
  <c r="CK613" i="1"/>
  <c r="CL613" i="1"/>
  <c r="CM613" i="1"/>
  <c r="CN613" i="1"/>
  <c r="CO613" i="1"/>
  <c r="CP613" i="1"/>
  <c r="CQ613" i="1"/>
  <c r="CR613" i="1"/>
  <c r="CS613" i="1"/>
  <c r="CT613" i="1"/>
  <c r="CU613" i="1"/>
  <c r="CV613" i="1"/>
  <c r="BQ614" i="1"/>
  <c r="BR614" i="1"/>
  <c r="BS614" i="1"/>
  <c r="BV614" i="1"/>
  <c r="BW614" i="1"/>
  <c r="BX614" i="1"/>
  <c r="BY614" i="1"/>
  <c r="BZ614" i="1"/>
  <c r="CA614" i="1"/>
  <c r="CB614" i="1"/>
  <c r="CC614" i="1"/>
  <c r="CD614" i="1"/>
  <c r="CE614" i="1"/>
  <c r="CF614" i="1"/>
  <c r="CG614" i="1"/>
  <c r="CH614" i="1"/>
  <c r="CI614" i="1"/>
  <c r="CJ614" i="1"/>
  <c r="CK614" i="1"/>
  <c r="CL614" i="1"/>
  <c r="CM614" i="1"/>
  <c r="CN614" i="1"/>
  <c r="CO614" i="1"/>
  <c r="CP614" i="1"/>
  <c r="CQ614" i="1"/>
  <c r="CR614" i="1"/>
  <c r="CS614" i="1"/>
  <c r="CT614" i="1"/>
  <c r="CU614" i="1"/>
  <c r="CV614" i="1"/>
  <c r="BQ615" i="1"/>
  <c r="BR615" i="1"/>
  <c r="BS615" i="1"/>
  <c r="BV615" i="1"/>
  <c r="BW615" i="1"/>
  <c r="BX615" i="1"/>
  <c r="BY615" i="1"/>
  <c r="BZ615" i="1"/>
  <c r="CA615" i="1"/>
  <c r="CB615" i="1"/>
  <c r="CC615" i="1"/>
  <c r="CD615" i="1"/>
  <c r="CE615" i="1"/>
  <c r="CF615" i="1"/>
  <c r="CG615" i="1"/>
  <c r="CH615" i="1"/>
  <c r="CI615" i="1"/>
  <c r="CJ615" i="1"/>
  <c r="CK615" i="1"/>
  <c r="CL615" i="1"/>
  <c r="CM615" i="1"/>
  <c r="CN615" i="1"/>
  <c r="CO615" i="1"/>
  <c r="CP615" i="1"/>
  <c r="CQ615" i="1"/>
  <c r="CR615" i="1"/>
  <c r="CS615" i="1"/>
  <c r="CT615" i="1"/>
  <c r="CU615" i="1"/>
  <c r="CV615" i="1"/>
  <c r="BQ616" i="1"/>
  <c r="BR616" i="1"/>
  <c r="BS616" i="1"/>
  <c r="BV616" i="1"/>
  <c r="BW616" i="1"/>
  <c r="BX616" i="1"/>
  <c r="BY616" i="1"/>
  <c r="BZ616" i="1"/>
  <c r="CA616" i="1"/>
  <c r="CB616" i="1"/>
  <c r="CC616" i="1"/>
  <c r="CD616" i="1"/>
  <c r="CE616" i="1"/>
  <c r="CF616" i="1"/>
  <c r="CG616" i="1"/>
  <c r="CH616" i="1"/>
  <c r="CI616" i="1"/>
  <c r="CJ616" i="1"/>
  <c r="CK616" i="1"/>
  <c r="CL616" i="1"/>
  <c r="CM616" i="1"/>
  <c r="CN616" i="1"/>
  <c r="CO616" i="1"/>
  <c r="CP616" i="1"/>
  <c r="CQ616" i="1"/>
  <c r="CR616" i="1"/>
  <c r="CS616" i="1"/>
  <c r="CT616" i="1"/>
  <c r="CU616" i="1"/>
  <c r="CV616" i="1"/>
  <c r="BQ617" i="1"/>
  <c r="BR617" i="1"/>
  <c r="BS617" i="1"/>
  <c r="BV617" i="1"/>
  <c r="BW617" i="1"/>
  <c r="BX617" i="1"/>
  <c r="BY617" i="1"/>
  <c r="BZ617" i="1"/>
  <c r="CA617" i="1"/>
  <c r="CB617" i="1"/>
  <c r="CC617" i="1"/>
  <c r="CD617" i="1"/>
  <c r="CE617" i="1"/>
  <c r="CF617" i="1"/>
  <c r="CG617" i="1"/>
  <c r="CH617" i="1"/>
  <c r="CI617" i="1"/>
  <c r="CJ617" i="1"/>
  <c r="CK617" i="1"/>
  <c r="CL617" i="1"/>
  <c r="CM617" i="1"/>
  <c r="CN617" i="1"/>
  <c r="CO617" i="1"/>
  <c r="CP617" i="1"/>
  <c r="CQ617" i="1"/>
  <c r="CR617" i="1"/>
  <c r="CS617" i="1"/>
  <c r="CT617" i="1"/>
  <c r="CU617" i="1"/>
  <c r="CV617" i="1"/>
  <c r="BQ618" i="1"/>
  <c r="BR618" i="1"/>
  <c r="BS618" i="1"/>
  <c r="BV618" i="1"/>
  <c r="BW618" i="1"/>
  <c r="BX618" i="1"/>
  <c r="BY618" i="1"/>
  <c r="BZ618" i="1"/>
  <c r="CA618" i="1"/>
  <c r="CB618" i="1"/>
  <c r="CC618" i="1"/>
  <c r="CD618" i="1"/>
  <c r="CE618" i="1"/>
  <c r="CF618" i="1"/>
  <c r="CG618" i="1"/>
  <c r="CH618" i="1"/>
  <c r="CI618" i="1"/>
  <c r="CJ618" i="1"/>
  <c r="CK618" i="1"/>
  <c r="CL618" i="1"/>
  <c r="CM618" i="1"/>
  <c r="CN618" i="1"/>
  <c r="CO618" i="1"/>
  <c r="CP618" i="1"/>
  <c r="CQ618" i="1"/>
  <c r="CR618" i="1"/>
  <c r="CS618" i="1"/>
  <c r="CT618" i="1"/>
  <c r="CU618" i="1"/>
  <c r="CV618" i="1"/>
  <c r="BQ619" i="1"/>
  <c r="BR619" i="1"/>
  <c r="BS619" i="1"/>
  <c r="BV619" i="1"/>
  <c r="BW619" i="1"/>
  <c r="BX619" i="1"/>
  <c r="BY619" i="1"/>
  <c r="BZ619" i="1"/>
  <c r="CA619" i="1"/>
  <c r="CB619" i="1"/>
  <c r="CC619" i="1"/>
  <c r="CD619" i="1"/>
  <c r="CE619" i="1"/>
  <c r="CF619" i="1"/>
  <c r="CG619" i="1"/>
  <c r="CH619" i="1"/>
  <c r="CI619" i="1"/>
  <c r="CJ619" i="1"/>
  <c r="CK619" i="1"/>
  <c r="CL619" i="1"/>
  <c r="CM619" i="1"/>
  <c r="CN619" i="1"/>
  <c r="CO619" i="1"/>
  <c r="CP619" i="1"/>
  <c r="CQ619" i="1"/>
  <c r="CR619" i="1"/>
  <c r="CS619" i="1"/>
  <c r="CT619" i="1"/>
  <c r="CU619" i="1"/>
  <c r="CV619" i="1"/>
  <c r="BQ620" i="1"/>
  <c r="BR620" i="1"/>
  <c r="BS620" i="1"/>
  <c r="BV620" i="1"/>
  <c r="BW620" i="1"/>
  <c r="BX620" i="1"/>
  <c r="BY620" i="1"/>
  <c r="BZ620" i="1"/>
  <c r="CA620" i="1"/>
  <c r="CB620" i="1"/>
  <c r="CC620" i="1"/>
  <c r="CD620" i="1"/>
  <c r="CE620" i="1"/>
  <c r="CF620" i="1"/>
  <c r="CG620" i="1"/>
  <c r="CH620" i="1"/>
  <c r="CI620" i="1"/>
  <c r="CJ620" i="1"/>
  <c r="CK620" i="1"/>
  <c r="CL620" i="1"/>
  <c r="CM620" i="1"/>
  <c r="CN620" i="1"/>
  <c r="CO620" i="1"/>
  <c r="CP620" i="1"/>
  <c r="CQ620" i="1"/>
  <c r="CR620" i="1"/>
  <c r="CS620" i="1"/>
  <c r="CT620" i="1"/>
  <c r="CU620" i="1"/>
  <c r="CV620" i="1"/>
  <c r="BQ621" i="1"/>
  <c r="BR621" i="1"/>
  <c r="BS621" i="1"/>
  <c r="BV621" i="1"/>
  <c r="BW621" i="1"/>
  <c r="BX621" i="1"/>
  <c r="BY621" i="1"/>
  <c r="BZ621" i="1"/>
  <c r="CA621" i="1"/>
  <c r="CB621" i="1"/>
  <c r="CC621" i="1"/>
  <c r="CD621" i="1"/>
  <c r="CE621" i="1"/>
  <c r="CF621" i="1"/>
  <c r="CG621" i="1"/>
  <c r="CH621" i="1"/>
  <c r="CI621" i="1"/>
  <c r="CJ621" i="1"/>
  <c r="CK621" i="1"/>
  <c r="CL621" i="1"/>
  <c r="CM621" i="1"/>
  <c r="CN621" i="1"/>
  <c r="CO621" i="1"/>
  <c r="CP621" i="1"/>
  <c r="CQ621" i="1"/>
  <c r="CR621" i="1"/>
  <c r="CS621" i="1"/>
  <c r="CT621" i="1"/>
  <c r="CU621" i="1"/>
  <c r="CV621" i="1"/>
  <c r="BQ622" i="1"/>
  <c r="BR622" i="1"/>
  <c r="BS622" i="1"/>
  <c r="BV622" i="1"/>
  <c r="BW622" i="1"/>
  <c r="BX622" i="1"/>
  <c r="BY622" i="1"/>
  <c r="BZ622" i="1"/>
  <c r="CA622" i="1"/>
  <c r="CB622" i="1"/>
  <c r="CC622" i="1"/>
  <c r="CD622" i="1"/>
  <c r="CE622" i="1"/>
  <c r="CF622" i="1"/>
  <c r="CG622" i="1"/>
  <c r="CH622" i="1"/>
  <c r="CI622" i="1"/>
  <c r="CJ622" i="1"/>
  <c r="CK622" i="1"/>
  <c r="CL622" i="1"/>
  <c r="CM622" i="1"/>
  <c r="CN622" i="1"/>
  <c r="CO622" i="1"/>
  <c r="CP622" i="1"/>
  <c r="CQ622" i="1"/>
  <c r="CR622" i="1"/>
  <c r="CS622" i="1"/>
  <c r="CT622" i="1"/>
  <c r="CU622" i="1"/>
  <c r="CV622" i="1"/>
  <c r="BQ623" i="1"/>
  <c r="BR623" i="1"/>
  <c r="BS623" i="1"/>
  <c r="BV623" i="1"/>
  <c r="BW623" i="1"/>
  <c r="BX623" i="1"/>
  <c r="BY623" i="1"/>
  <c r="BZ623" i="1"/>
  <c r="CA623" i="1"/>
  <c r="CB623" i="1"/>
  <c r="CC623" i="1"/>
  <c r="CD623" i="1"/>
  <c r="CE623" i="1"/>
  <c r="CF623" i="1"/>
  <c r="CG623" i="1"/>
  <c r="CH623" i="1"/>
  <c r="CI623" i="1"/>
  <c r="CJ623" i="1"/>
  <c r="CK623" i="1"/>
  <c r="CL623" i="1"/>
  <c r="CM623" i="1"/>
  <c r="CN623" i="1"/>
  <c r="CO623" i="1"/>
  <c r="CP623" i="1"/>
  <c r="CQ623" i="1"/>
  <c r="CR623" i="1"/>
  <c r="CS623" i="1"/>
  <c r="CT623" i="1"/>
  <c r="CU623" i="1"/>
  <c r="CV623" i="1"/>
  <c r="BQ624" i="1"/>
  <c r="BR624" i="1"/>
  <c r="BS624" i="1"/>
  <c r="BV624" i="1"/>
  <c r="BW624" i="1"/>
  <c r="BX624" i="1"/>
  <c r="BY624" i="1"/>
  <c r="BZ624" i="1"/>
  <c r="CA624" i="1"/>
  <c r="CB624" i="1"/>
  <c r="CC624" i="1"/>
  <c r="CD624" i="1"/>
  <c r="CE624" i="1"/>
  <c r="CF624" i="1"/>
  <c r="CG624" i="1"/>
  <c r="CH624" i="1"/>
  <c r="CI624" i="1"/>
  <c r="CJ624" i="1"/>
  <c r="CK624" i="1"/>
  <c r="CL624" i="1"/>
  <c r="CM624" i="1"/>
  <c r="CN624" i="1"/>
  <c r="CO624" i="1"/>
  <c r="CP624" i="1"/>
  <c r="CQ624" i="1"/>
  <c r="CR624" i="1"/>
  <c r="CS624" i="1"/>
  <c r="CT624" i="1"/>
  <c r="CU624" i="1"/>
  <c r="CV624" i="1"/>
  <c r="BQ625" i="1"/>
  <c r="BR625" i="1"/>
  <c r="BS625" i="1"/>
  <c r="BV625" i="1"/>
  <c r="BW625" i="1"/>
  <c r="BX625" i="1"/>
  <c r="BY625" i="1"/>
  <c r="BZ625" i="1"/>
  <c r="CA625" i="1"/>
  <c r="CB625" i="1"/>
  <c r="CC625" i="1"/>
  <c r="CD625" i="1"/>
  <c r="CE625" i="1"/>
  <c r="CF625" i="1"/>
  <c r="CG625" i="1"/>
  <c r="CH625" i="1"/>
  <c r="CI625" i="1"/>
  <c r="CJ625" i="1"/>
  <c r="CK625" i="1"/>
  <c r="CL625" i="1"/>
  <c r="CM625" i="1"/>
  <c r="CN625" i="1"/>
  <c r="CO625" i="1"/>
  <c r="CP625" i="1"/>
  <c r="CQ625" i="1"/>
  <c r="CR625" i="1"/>
  <c r="CS625" i="1"/>
  <c r="CT625" i="1"/>
  <c r="CU625" i="1"/>
  <c r="CV625" i="1"/>
  <c r="BQ626" i="1"/>
  <c r="BR626" i="1"/>
  <c r="BS626" i="1"/>
  <c r="BV626" i="1"/>
  <c r="BW626" i="1"/>
  <c r="BX626" i="1"/>
  <c r="BY626" i="1"/>
  <c r="BZ626" i="1"/>
  <c r="CA626" i="1"/>
  <c r="CB626" i="1"/>
  <c r="CC626" i="1"/>
  <c r="CD626" i="1"/>
  <c r="CE626" i="1"/>
  <c r="CF626" i="1"/>
  <c r="CG626" i="1"/>
  <c r="CH626" i="1"/>
  <c r="CI626" i="1"/>
  <c r="CJ626" i="1"/>
  <c r="CK626" i="1"/>
  <c r="CL626" i="1"/>
  <c r="CM626" i="1"/>
  <c r="CN626" i="1"/>
  <c r="CO626" i="1"/>
  <c r="CP626" i="1"/>
  <c r="CQ626" i="1"/>
  <c r="CR626" i="1"/>
  <c r="CS626" i="1"/>
  <c r="CT626" i="1"/>
  <c r="CU626" i="1"/>
  <c r="CV626" i="1"/>
  <c r="BQ627" i="1"/>
  <c r="BR627" i="1"/>
  <c r="BS627" i="1"/>
  <c r="BV627" i="1"/>
  <c r="BW627" i="1"/>
  <c r="BX627" i="1"/>
  <c r="BY627" i="1"/>
  <c r="BZ627" i="1"/>
  <c r="CA627" i="1"/>
  <c r="CB627" i="1"/>
  <c r="CC627" i="1"/>
  <c r="CD627" i="1"/>
  <c r="CE627" i="1"/>
  <c r="CF627" i="1"/>
  <c r="CG627" i="1"/>
  <c r="CH627" i="1"/>
  <c r="CI627" i="1"/>
  <c r="CJ627" i="1"/>
  <c r="CK627" i="1"/>
  <c r="CL627" i="1"/>
  <c r="CM627" i="1"/>
  <c r="CN627" i="1"/>
  <c r="CO627" i="1"/>
  <c r="CP627" i="1"/>
  <c r="CQ627" i="1"/>
  <c r="CR627" i="1"/>
  <c r="CS627" i="1"/>
  <c r="CT627" i="1"/>
  <c r="CU627" i="1"/>
  <c r="CV627" i="1"/>
  <c r="BQ628" i="1"/>
  <c r="BR628" i="1"/>
  <c r="BS628" i="1"/>
  <c r="BV628" i="1"/>
  <c r="BW628" i="1"/>
  <c r="BX628" i="1"/>
  <c r="BY628" i="1"/>
  <c r="BZ628" i="1"/>
  <c r="CA628" i="1"/>
  <c r="CB628" i="1"/>
  <c r="CC628" i="1"/>
  <c r="CD628" i="1"/>
  <c r="CE628" i="1"/>
  <c r="CF628" i="1"/>
  <c r="CG628" i="1"/>
  <c r="CH628" i="1"/>
  <c r="CI628" i="1"/>
  <c r="CJ628" i="1"/>
  <c r="CK628" i="1"/>
  <c r="CL628" i="1"/>
  <c r="CM628" i="1"/>
  <c r="CN628" i="1"/>
  <c r="CO628" i="1"/>
  <c r="CP628" i="1"/>
  <c r="CQ628" i="1"/>
  <c r="CR628" i="1"/>
  <c r="CS628" i="1"/>
  <c r="CT628" i="1"/>
  <c r="CU628" i="1"/>
  <c r="CV628" i="1"/>
  <c r="BQ629" i="1"/>
  <c r="BR629" i="1"/>
  <c r="BS629" i="1"/>
  <c r="BV629" i="1"/>
  <c r="BW629" i="1"/>
  <c r="BX629" i="1"/>
  <c r="BY629" i="1"/>
  <c r="BZ629" i="1"/>
  <c r="CA629" i="1"/>
  <c r="CB629" i="1"/>
  <c r="CC629" i="1"/>
  <c r="CD629" i="1"/>
  <c r="CE629" i="1"/>
  <c r="CF629" i="1"/>
  <c r="CG629" i="1"/>
  <c r="CH629" i="1"/>
  <c r="CI629" i="1"/>
  <c r="CJ629" i="1"/>
  <c r="CK629" i="1"/>
  <c r="CL629" i="1"/>
  <c r="CM629" i="1"/>
  <c r="CN629" i="1"/>
  <c r="CO629" i="1"/>
  <c r="CP629" i="1"/>
  <c r="CQ629" i="1"/>
  <c r="CR629" i="1"/>
  <c r="CS629" i="1"/>
  <c r="CT629" i="1"/>
  <c r="CU629" i="1"/>
  <c r="CV629" i="1"/>
  <c r="BQ630" i="1"/>
  <c r="BR630" i="1"/>
  <c r="BS630" i="1"/>
  <c r="BV630" i="1"/>
  <c r="BW630" i="1"/>
  <c r="BX630" i="1"/>
  <c r="BY630" i="1"/>
  <c r="BZ630" i="1"/>
  <c r="CA630" i="1"/>
  <c r="CB630" i="1"/>
  <c r="CC630" i="1"/>
  <c r="CD630" i="1"/>
  <c r="CE630" i="1"/>
  <c r="CF630" i="1"/>
  <c r="CG630" i="1"/>
  <c r="CH630" i="1"/>
  <c r="CI630" i="1"/>
  <c r="CJ630" i="1"/>
  <c r="CK630" i="1"/>
  <c r="CL630" i="1"/>
  <c r="CM630" i="1"/>
  <c r="CN630" i="1"/>
  <c r="CO630" i="1"/>
  <c r="CP630" i="1"/>
  <c r="CQ630" i="1"/>
  <c r="CR630" i="1"/>
  <c r="CS630" i="1"/>
  <c r="CT630" i="1"/>
  <c r="CU630" i="1"/>
  <c r="CV630" i="1"/>
  <c r="BQ631" i="1"/>
  <c r="BR631" i="1"/>
  <c r="BS631" i="1"/>
  <c r="BV631" i="1"/>
  <c r="BW631" i="1"/>
  <c r="BX631" i="1"/>
  <c r="BY631" i="1"/>
  <c r="BZ631" i="1"/>
  <c r="CA631" i="1"/>
  <c r="CB631" i="1"/>
  <c r="CC631" i="1"/>
  <c r="CD631" i="1"/>
  <c r="CE631" i="1"/>
  <c r="CF631" i="1"/>
  <c r="CG631" i="1"/>
  <c r="CH631" i="1"/>
  <c r="CI631" i="1"/>
  <c r="CJ631" i="1"/>
  <c r="CK631" i="1"/>
  <c r="CL631" i="1"/>
  <c r="CM631" i="1"/>
  <c r="CN631" i="1"/>
  <c r="CO631" i="1"/>
  <c r="CP631" i="1"/>
  <c r="CQ631" i="1"/>
  <c r="CR631" i="1"/>
  <c r="CS631" i="1"/>
  <c r="CT631" i="1"/>
  <c r="CU631" i="1"/>
  <c r="CV631" i="1"/>
  <c r="BQ632" i="1"/>
  <c r="BR632" i="1"/>
  <c r="BS632" i="1"/>
  <c r="BV632" i="1"/>
  <c r="BW632" i="1"/>
  <c r="BX632" i="1"/>
  <c r="BY632" i="1"/>
  <c r="BZ632" i="1"/>
  <c r="CA632" i="1"/>
  <c r="CB632" i="1"/>
  <c r="CC632" i="1"/>
  <c r="CD632" i="1"/>
  <c r="CE632" i="1"/>
  <c r="CF632" i="1"/>
  <c r="CG632" i="1"/>
  <c r="CH632" i="1"/>
  <c r="CI632" i="1"/>
  <c r="CJ632" i="1"/>
  <c r="CK632" i="1"/>
  <c r="CL632" i="1"/>
  <c r="CM632" i="1"/>
  <c r="CN632" i="1"/>
  <c r="CO632" i="1"/>
  <c r="CP632" i="1"/>
  <c r="CQ632" i="1"/>
  <c r="CR632" i="1"/>
  <c r="CS632" i="1"/>
  <c r="CT632" i="1"/>
  <c r="CU632" i="1"/>
  <c r="CV632" i="1"/>
  <c r="BQ633" i="1"/>
  <c r="BR633" i="1"/>
  <c r="BS633" i="1"/>
  <c r="BV633" i="1"/>
  <c r="BW633" i="1"/>
  <c r="BX633" i="1"/>
  <c r="BY633" i="1"/>
  <c r="BZ633" i="1"/>
  <c r="CA633" i="1"/>
  <c r="CB633" i="1"/>
  <c r="CC633" i="1"/>
  <c r="CD633" i="1"/>
  <c r="CE633" i="1"/>
  <c r="CF633" i="1"/>
  <c r="CG633" i="1"/>
  <c r="CH633" i="1"/>
  <c r="CI633" i="1"/>
  <c r="CJ633" i="1"/>
  <c r="CK633" i="1"/>
  <c r="CL633" i="1"/>
  <c r="CM633" i="1"/>
  <c r="CN633" i="1"/>
  <c r="CO633" i="1"/>
  <c r="CP633" i="1"/>
  <c r="CQ633" i="1"/>
  <c r="CR633" i="1"/>
  <c r="CS633" i="1"/>
  <c r="CT633" i="1"/>
  <c r="CU633" i="1"/>
  <c r="CV633" i="1"/>
  <c r="BQ634" i="1"/>
  <c r="BR634" i="1"/>
  <c r="BS634" i="1"/>
  <c r="BV634" i="1"/>
  <c r="BW634" i="1"/>
  <c r="BX634" i="1"/>
  <c r="BY634" i="1"/>
  <c r="BZ634" i="1"/>
  <c r="CA634" i="1"/>
  <c r="CB634" i="1"/>
  <c r="CC634" i="1"/>
  <c r="CD634" i="1"/>
  <c r="CE634" i="1"/>
  <c r="CF634" i="1"/>
  <c r="CG634" i="1"/>
  <c r="CH634" i="1"/>
  <c r="CI634" i="1"/>
  <c r="CJ634" i="1"/>
  <c r="CK634" i="1"/>
  <c r="CL634" i="1"/>
  <c r="CM634" i="1"/>
  <c r="CN634" i="1"/>
  <c r="CO634" i="1"/>
  <c r="CP634" i="1"/>
  <c r="CQ634" i="1"/>
  <c r="CR634" i="1"/>
  <c r="CS634" i="1"/>
  <c r="CT634" i="1"/>
  <c r="CU634" i="1"/>
  <c r="CV634" i="1"/>
  <c r="BQ635" i="1"/>
  <c r="BR635" i="1"/>
  <c r="BS635" i="1"/>
  <c r="BV635" i="1"/>
  <c r="BW635" i="1"/>
  <c r="BX635" i="1"/>
  <c r="BY635" i="1"/>
  <c r="BZ635" i="1"/>
  <c r="CA635" i="1"/>
  <c r="CB635" i="1"/>
  <c r="CC635" i="1"/>
  <c r="CD635" i="1"/>
  <c r="CE635" i="1"/>
  <c r="CF635" i="1"/>
  <c r="CG635" i="1"/>
  <c r="CH635" i="1"/>
  <c r="CI635" i="1"/>
  <c r="CJ635" i="1"/>
  <c r="CK635" i="1"/>
  <c r="CL635" i="1"/>
  <c r="CM635" i="1"/>
  <c r="CN635" i="1"/>
  <c r="CO635" i="1"/>
  <c r="CP635" i="1"/>
  <c r="CQ635" i="1"/>
  <c r="CR635" i="1"/>
  <c r="CS635" i="1"/>
  <c r="CT635" i="1"/>
  <c r="CU635" i="1"/>
  <c r="CV635" i="1"/>
  <c r="BQ636" i="1"/>
  <c r="BR636" i="1"/>
  <c r="BS636" i="1"/>
  <c r="BV636" i="1"/>
  <c r="BW636" i="1"/>
  <c r="BX636" i="1"/>
  <c r="BY636" i="1"/>
  <c r="BZ636" i="1"/>
  <c r="CA636" i="1"/>
  <c r="CB636" i="1"/>
  <c r="CC636" i="1"/>
  <c r="CD636" i="1"/>
  <c r="CE636" i="1"/>
  <c r="CF636" i="1"/>
  <c r="CG636" i="1"/>
  <c r="CH636" i="1"/>
  <c r="CI636" i="1"/>
  <c r="CJ636" i="1"/>
  <c r="CK636" i="1"/>
  <c r="CL636" i="1"/>
  <c r="CM636" i="1"/>
  <c r="CN636" i="1"/>
  <c r="CO636" i="1"/>
  <c r="CP636" i="1"/>
  <c r="CQ636" i="1"/>
  <c r="CR636" i="1"/>
  <c r="CS636" i="1"/>
  <c r="CT636" i="1"/>
  <c r="CU636" i="1"/>
  <c r="CV636" i="1"/>
  <c r="BQ637" i="1"/>
  <c r="BR637" i="1"/>
  <c r="BS637" i="1"/>
  <c r="BV637" i="1"/>
  <c r="BW637" i="1"/>
  <c r="BX637" i="1"/>
  <c r="BY637" i="1"/>
  <c r="BZ637" i="1"/>
  <c r="CA637" i="1"/>
  <c r="CB637" i="1"/>
  <c r="CC637" i="1"/>
  <c r="CD637" i="1"/>
  <c r="CE637" i="1"/>
  <c r="CF637" i="1"/>
  <c r="CG637" i="1"/>
  <c r="CH637" i="1"/>
  <c r="CI637" i="1"/>
  <c r="CJ637" i="1"/>
  <c r="CK637" i="1"/>
  <c r="CL637" i="1"/>
  <c r="CM637" i="1"/>
  <c r="CN637" i="1"/>
  <c r="CO637" i="1"/>
  <c r="CP637" i="1"/>
  <c r="CQ637" i="1"/>
  <c r="CR637" i="1"/>
  <c r="CS637" i="1"/>
  <c r="CT637" i="1"/>
  <c r="CU637" i="1"/>
  <c r="CV637" i="1"/>
  <c r="BQ638" i="1"/>
  <c r="BR638" i="1"/>
  <c r="BS638" i="1"/>
  <c r="BV638" i="1"/>
  <c r="BW638" i="1"/>
  <c r="BX638" i="1"/>
  <c r="BY638" i="1"/>
  <c r="BZ638" i="1"/>
  <c r="CA638" i="1"/>
  <c r="CB638" i="1"/>
  <c r="CC638" i="1"/>
  <c r="CD638" i="1"/>
  <c r="CE638" i="1"/>
  <c r="CF638" i="1"/>
  <c r="CG638" i="1"/>
  <c r="CH638" i="1"/>
  <c r="CI638" i="1"/>
  <c r="CJ638" i="1"/>
  <c r="CK638" i="1"/>
  <c r="CL638" i="1"/>
  <c r="CM638" i="1"/>
  <c r="CN638" i="1"/>
  <c r="CO638" i="1"/>
  <c r="CP638" i="1"/>
  <c r="CQ638" i="1"/>
  <c r="CR638" i="1"/>
  <c r="CS638" i="1"/>
  <c r="CT638" i="1"/>
  <c r="CU638" i="1"/>
  <c r="CV638" i="1"/>
  <c r="BQ639" i="1"/>
  <c r="BR639" i="1"/>
  <c r="BS639" i="1"/>
  <c r="BV639" i="1"/>
  <c r="BW639" i="1"/>
  <c r="BX639" i="1"/>
  <c r="BY639" i="1"/>
  <c r="BZ639" i="1"/>
  <c r="CA639" i="1"/>
  <c r="CB639" i="1"/>
  <c r="CC639" i="1"/>
  <c r="CD639" i="1"/>
  <c r="CE639" i="1"/>
  <c r="CF639" i="1"/>
  <c r="CG639" i="1"/>
  <c r="CH639" i="1"/>
  <c r="CI639" i="1"/>
  <c r="CJ639" i="1"/>
  <c r="CK639" i="1"/>
  <c r="CL639" i="1"/>
  <c r="CM639" i="1"/>
  <c r="CN639" i="1"/>
  <c r="CO639" i="1"/>
  <c r="CP639" i="1"/>
  <c r="CQ639" i="1"/>
  <c r="CR639" i="1"/>
  <c r="CS639" i="1"/>
  <c r="CT639" i="1"/>
  <c r="CU639" i="1"/>
  <c r="CV639" i="1"/>
  <c r="BQ640" i="1"/>
  <c r="BR640" i="1"/>
  <c r="BS640" i="1"/>
  <c r="BV640" i="1"/>
  <c r="BW640" i="1"/>
  <c r="BX640" i="1"/>
  <c r="BY640" i="1"/>
  <c r="BZ640" i="1"/>
  <c r="CA640" i="1"/>
  <c r="CB640" i="1"/>
  <c r="CC640" i="1"/>
  <c r="CD640" i="1"/>
  <c r="CE640" i="1"/>
  <c r="CF640" i="1"/>
  <c r="CG640" i="1"/>
  <c r="CH640" i="1"/>
  <c r="CI640" i="1"/>
  <c r="CJ640" i="1"/>
  <c r="CK640" i="1"/>
  <c r="CL640" i="1"/>
  <c r="CM640" i="1"/>
  <c r="CN640" i="1"/>
  <c r="CO640" i="1"/>
  <c r="CP640" i="1"/>
  <c r="CQ640" i="1"/>
  <c r="CR640" i="1"/>
  <c r="CS640" i="1"/>
  <c r="CT640" i="1"/>
  <c r="CU640" i="1"/>
  <c r="CV640" i="1"/>
  <c r="BQ641" i="1"/>
  <c r="BR641" i="1"/>
  <c r="BS641" i="1"/>
  <c r="BV641" i="1"/>
  <c r="BW641" i="1"/>
  <c r="BX641" i="1"/>
  <c r="BY641" i="1"/>
  <c r="BZ641" i="1"/>
  <c r="CA641" i="1"/>
  <c r="CB641" i="1"/>
  <c r="CC641" i="1"/>
  <c r="CD641" i="1"/>
  <c r="CE641" i="1"/>
  <c r="CF641" i="1"/>
  <c r="CG641" i="1"/>
  <c r="CH641" i="1"/>
  <c r="CI641" i="1"/>
  <c r="CJ641" i="1"/>
  <c r="CK641" i="1"/>
  <c r="CL641" i="1"/>
  <c r="CM641" i="1"/>
  <c r="CN641" i="1"/>
  <c r="CO641" i="1"/>
  <c r="CP641" i="1"/>
  <c r="CQ641" i="1"/>
  <c r="CR641" i="1"/>
  <c r="CS641" i="1"/>
  <c r="CT641" i="1"/>
  <c r="CU641" i="1"/>
  <c r="CV641" i="1"/>
  <c r="BQ642" i="1"/>
  <c r="BR642" i="1"/>
  <c r="BS642" i="1"/>
  <c r="BV642" i="1"/>
  <c r="BW642" i="1"/>
  <c r="BX642" i="1"/>
  <c r="BY642" i="1"/>
  <c r="BZ642" i="1"/>
  <c r="CA642" i="1"/>
  <c r="CB642" i="1"/>
  <c r="CC642" i="1"/>
  <c r="CD642" i="1"/>
  <c r="CE642" i="1"/>
  <c r="CF642" i="1"/>
  <c r="CG642" i="1"/>
  <c r="CH642" i="1"/>
  <c r="CI642" i="1"/>
  <c r="CJ642" i="1"/>
  <c r="CK642" i="1"/>
  <c r="CL642" i="1"/>
  <c r="CM642" i="1"/>
  <c r="CN642" i="1"/>
  <c r="CO642" i="1"/>
  <c r="CP642" i="1"/>
  <c r="CQ642" i="1"/>
  <c r="CR642" i="1"/>
  <c r="CS642" i="1"/>
  <c r="CT642" i="1"/>
  <c r="CU642" i="1"/>
  <c r="CV642" i="1"/>
  <c r="BQ643" i="1"/>
  <c r="BR643" i="1"/>
  <c r="BS643" i="1"/>
  <c r="BV643" i="1"/>
  <c r="BW643" i="1"/>
  <c r="BX643" i="1"/>
  <c r="BY643" i="1"/>
  <c r="BZ643" i="1"/>
  <c r="CA643" i="1"/>
  <c r="CB643" i="1"/>
  <c r="CC643" i="1"/>
  <c r="CD643" i="1"/>
  <c r="CE643" i="1"/>
  <c r="CF643" i="1"/>
  <c r="CG643" i="1"/>
  <c r="CH643" i="1"/>
  <c r="CI643" i="1"/>
  <c r="CJ643" i="1"/>
  <c r="CK643" i="1"/>
  <c r="CL643" i="1"/>
  <c r="CM643" i="1"/>
  <c r="CN643" i="1"/>
  <c r="CO643" i="1"/>
  <c r="CP643" i="1"/>
  <c r="CQ643" i="1"/>
  <c r="CR643" i="1"/>
  <c r="CS643" i="1"/>
  <c r="CT643" i="1"/>
  <c r="CU643" i="1"/>
  <c r="CV643" i="1"/>
  <c r="BQ644" i="1"/>
  <c r="BR644" i="1"/>
  <c r="BS644" i="1"/>
  <c r="BV644" i="1"/>
  <c r="BW644" i="1"/>
  <c r="BX644" i="1"/>
  <c r="BY644" i="1"/>
  <c r="BZ644" i="1"/>
  <c r="CA644" i="1"/>
  <c r="CB644" i="1"/>
  <c r="CC644" i="1"/>
  <c r="CD644" i="1"/>
  <c r="CE644" i="1"/>
  <c r="CF644" i="1"/>
  <c r="CG644" i="1"/>
  <c r="CH644" i="1"/>
  <c r="CI644" i="1"/>
  <c r="CJ644" i="1"/>
  <c r="CK644" i="1"/>
  <c r="CL644" i="1"/>
  <c r="CM644" i="1"/>
  <c r="CN644" i="1"/>
  <c r="CO644" i="1"/>
  <c r="CP644" i="1"/>
  <c r="CQ644" i="1"/>
  <c r="CR644" i="1"/>
  <c r="CS644" i="1"/>
  <c r="CT644" i="1"/>
  <c r="CU644" i="1"/>
  <c r="CV644" i="1"/>
  <c r="BQ645" i="1"/>
  <c r="BR645" i="1"/>
  <c r="BS645" i="1"/>
  <c r="BV645" i="1"/>
  <c r="BW645" i="1"/>
  <c r="BX645" i="1"/>
  <c r="BY645" i="1"/>
  <c r="BZ645" i="1"/>
  <c r="CA645" i="1"/>
  <c r="CB645" i="1"/>
  <c r="CC645" i="1"/>
  <c r="CD645" i="1"/>
  <c r="CE645" i="1"/>
  <c r="CF645" i="1"/>
  <c r="CG645" i="1"/>
  <c r="CH645" i="1"/>
  <c r="CI645" i="1"/>
  <c r="CJ645" i="1"/>
  <c r="CK645" i="1"/>
  <c r="CL645" i="1"/>
  <c r="CM645" i="1"/>
  <c r="CN645" i="1"/>
  <c r="CO645" i="1"/>
  <c r="CP645" i="1"/>
  <c r="CQ645" i="1"/>
  <c r="CR645" i="1"/>
  <c r="CS645" i="1"/>
  <c r="CT645" i="1"/>
  <c r="CU645" i="1"/>
  <c r="CV645" i="1"/>
  <c r="BQ646" i="1"/>
  <c r="BR646" i="1"/>
  <c r="BS646" i="1"/>
  <c r="BV646" i="1"/>
  <c r="BW646" i="1"/>
  <c r="BX646" i="1"/>
  <c r="BY646" i="1"/>
  <c r="BZ646" i="1"/>
  <c r="CA646" i="1"/>
  <c r="CB646" i="1"/>
  <c r="CC646" i="1"/>
  <c r="CD646" i="1"/>
  <c r="CE646" i="1"/>
  <c r="CF646" i="1"/>
  <c r="CG646" i="1"/>
  <c r="CH646" i="1"/>
  <c r="CI646" i="1"/>
  <c r="CJ646" i="1"/>
  <c r="CK646" i="1"/>
  <c r="CL646" i="1"/>
  <c r="CM646" i="1"/>
  <c r="CN646" i="1"/>
  <c r="CO646" i="1"/>
  <c r="CP646" i="1"/>
  <c r="CQ646" i="1"/>
  <c r="CR646" i="1"/>
  <c r="CS646" i="1"/>
  <c r="CT646" i="1"/>
  <c r="CU646" i="1"/>
  <c r="CV646" i="1"/>
  <c r="BQ647" i="1"/>
  <c r="BR647" i="1"/>
  <c r="BS647" i="1"/>
  <c r="BV647" i="1"/>
  <c r="BW647" i="1"/>
  <c r="BX647" i="1"/>
  <c r="BY647" i="1"/>
  <c r="BZ647" i="1"/>
  <c r="CA647" i="1"/>
  <c r="CB647" i="1"/>
  <c r="CC647" i="1"/>
  <c r="CD647" i="1"/>
  <c r="CE647" i="1"/>
  <c r="CF647" i="1"/>
  <c r="CG647" i="1"/>
  <c r="CH647" i="1"/>
  <c r="CI647" i="1"/>
  <c r="CJ647" i="1"/>
  <c r="CK647" i="1"/>
  <c r="CL647" i="1"/>
  <c r="CM647" i="1"/>
  <c r="CN647" i="1"/>
  <c r="CO647" i="1"/>
  <c r="CP647" i="1"/>
  <c r="CQ647" i="1"/>
  <c r="CR647" i="1"/>
  <c r="CS647" i="1"/>
  <c r="CT647" i="1"/>
  <c r="CU647" i="1"/>
  <c r="CV647" i="1"/>
  <c r="BQ648" i="1"/>
  <c r="BR648" i="1"/>
  <c r="BS648" i="1"/>
  <c r="BV648" i="1"/>
  <c r="BW648" i="1"/>
  <c r="BX648" i="1"/>
  <c r="BY648" i="1"/>
  <c r="BZ648" i="1"/>
  <c r="CA648" i="1"/>
  <c r="CB648" i="1"/>
  <c r="CC648" i="1"/>
  <c r="CD648" i="1"/>
  <c r="CE648" i="1"/>
  <c r="CF648" i="1"/>
  <c r="CG648" i="1"/>
  <c r="CH648" i="1"/>
  <c r="CI648" i="1"/>
  <c r="CJ648" i="1"/>
  <c r="CK648" i="1"/>
  <c r="CL648" i="1"/>
  <c r="CM648" i="1"/>
  <c r="CN648" i="1"/>
  <c r="CO648" i="1"/>
  <c r="CP648" i="1"/>
  <c r="CQ648" i="1"/>
  <c r="CR648" i="1"/>
  <c r="CS648" i="1"/>
  <c r="CT648" i="1"/>
  <c r="CU648" i="1"/>
  <c r="CV648" i="1"/>
  <c r="BQ649" i="1"/>
  <c r="BR649" i="1"/>
  <c r="BS649" i="1"/>
  <c r="BV649" i="1"/>
  <c r="BW649" i="1"/>
  <c r="BX649" i="1"/>
  <c r="BY649" i="1"/>
  <c r="BZ649" i="1"/>
  <c r="CA649" i="1"/>
  <c r="CB649" i="1"/>
  <c r="CC649" i="1"/>
  <c r="CD649" i="1"/>
  <c r="CE649" i="1"/>
  <c r="CF649" i="1"/>
  <c r="CG649" i="1"/>
  <c r="CH649" i="1"/>
  <c r="CI649" i="1"/>
  <c r="CJ649" i="1"/>
  <c r="CK649" i="1"/>
  <c r="CL649" i="1"/>
  <c r="CM649" i="1"/>
  <c r="CN649" i="1"/>
  <c r="CO649" i="1"/>
  <c r="CP649" i="1"/>
  <c r="CQ649" i="1"/>
  <c r="CR649" i="1"/>
  <c r="CS649" i="1"/>
  <c r="CT649" i="1"/>
  <c r="CU649" i="1"/>
  <c r="CV649" i="1"/>
  <c r="BQ650" i="1"/>
  <c r="BR650" i="1"/>
  <c r="BS650" i="1"/>
  <c r="BV650" i="1"/>
  <c r="BW650" i="1"/>
  <c r="BX650" i="1"/>
  <c r="BY650" i="1"/>
  <c r="BZ650" i="1"/>
  <c r="CA650" i="1"/>
  <c r="CB650" i="1"/>
  <c r="CC650" i="1"/>
  <c r="CD650" i="1"/>
  <c r="CE650" i="1"/>
  <c r="CF650" i="1"/>
  <c r="CG650" i="1"/>
  <c r="CH650" i="1"/>
  <c r="CI650" i="1"/>
  <c r="CJ650" i="1"/>
  <c r="CK650" i="1"/>
  <c r="CL650" i="1"/>
  <c r="CM650" i="1"/>
  <c r="CN650" i="1"/>
  <c r="CO650" i="1"/>
  <c r="CP650" i="1"/>
  <c r="CQ650" i="1"/>
  <c r="CR650" i="1"/>
  <c r="CS650" i="1"/>
  <c r="CT650" i="1"/>
  <c r="CU650" i="1"/>
  <c r="CV650" i="1"/>
  <c r="BQ651" i="1"/>
  <c r="BR651" i="1"/>
  <c r="BS651" i="1"/>
  <c r="BV651" i="1"/>
  <c r="BW651" i="1"/>
  <c r="BX651" i="1"/>
  <c r="BY651" i="1"/>
  <c r="BZ651" i="1"/>
  <c r="CA651" i="1"/>
  <c r="CB651" i="1"/>
  <c r="CC651" i="1"/>
  <c r="CD651" i="1"/>
  <c r="CE651" i="1"/>
  <c r="CF651" i="1"/>
  <c r="CG651" i="1"/>
  <c r="CH651" i="1"/>
  <c r="CI651" i="1"/>
  <c r="CJ651" i="1"/>
  <c r="CK651" i="1"/>
  <c r="CL651" i="1"/>
  <c r="CM651" i="1"/>
  <c r="CN651" i="1"/>
  <c r="CO651" i="1"/>
  <c r="CP651" i="1"/>
  <c r="CQ651" i="1"/>
  <c r="CR651" i="1"/>
  <c r="CS651" i="1"/>
  <c r="CT651" i="1"/>
  <c r="CU651" i="1"/>
  <c r="CV651" i="1"/>
  <c r="BQ652" i="1"/>
  <c r="BR652" i="1"/>
  <c r="BS652" i="1"/>
  <c r="BV652" i="1"/>
  <c r="BW652" i="1"/>
  <c r="BX652" i="1"/>
  <c r="BY652" i="1"/>
  <c r="BZ652" i="1"/>
  <c r="CA652" i="1"/>
  <c r="CB652" i="1"/>
  <c r="CC652" i="1"/>
  <c r="CD652" i="1"/>
  <c r="CE652" i="1"/>
  <c r="CF652" i="1"/>
  <c r="CG652" i="1"/>
  <c r="CH652" i="1"/>
  <c r="CI652" i="1"/>
  <c r="CJ652" i="1"/>
  <c r="CK652" i="1"/>
  <c r="CL652" i="1"/>
  <c r="CM652" i="1"/>
  <c r="CN652" i="1"/>
  <c r="CO652" i="1"/>
  <c r="CP652" i="1"/>
  <c r="CQ652" i="1"/>
  <c r="CR652" i="1"/>
  <c r="CS652" i="1"/>
  <c r="CT652" i="1"/>
  <c r="CU652" i="1"/>
  <c r="CV652" i="1"/>
  <c r="BQ653" i="1"/>
  <c r="BR653" i="1"/>
  <c r="BS653" i="1"/>
  <c r="BV653" i="1"/>
  <c r="BW653" i="1"/>
  <c r="BX653" i="1"/>
  <c r="BY653" i="1"/>
  <c r="BZ653" i="1"/>
  <c r="CA653" i="1"/>
  <c r="CB653" i="1"/>
  <c r="CC653" i="1"/>
  <c r="CD653" i="1"/>
  <c r="CE653" i="1"/>
  <c r="CF653" i="1"/>
  <c r="CG653" i="1"/>
  <c r="CH653" i="1"/>
  <c r="CI653" i="1"/>
  <c r="CJ653" i="1"/>
  <c r="CK653" i="1"/>
  <c r="CL653" i="1"/>
  <c r="CM653" i="1"/>
  <c r="CN653" i="1"/>
  <c r="CO653" i="1"/>
  <c r="CP653" i="1"/>
  <c r="CQ653" i="1"/>
  <c r="CR653" i="1"/>
  <c r="CS653" i="1"/>
  <c r="CT653" i="1"/>
  <c r="CU653" i="1"/>
  <c r="CV653" i="1"/>
  <c r="BQ654" i="1"/>
  <c r="BR654" i="1"/>
  <c r="BS654" i="1"/>
  <c r="BV654" i="1"/>
  <c r="BW654" i="1"/>
  <c r="BX654" i="1"/>
  <c r="BY654" i="1"/>
  <c r="BZ654" i="1"/>
  <c r="CA654" i="1"/>
  <c r="CB654" i="1"/>
  <c r="CC654" i="1"/>
  <c r="CD654" i="1"/>
  <c r="CE654" i="1"/>
  <c r="CF654" i="1"/>
  <c r="CG654" i="1"/>
  <c r="CH654" i="1"/>
  <c r="CI654" i="1"/>
  <c r="CJ654" i="1"/>
  <c r="CK654" i="1"/>
  <c r="CL654" i="1"/>
  <c r="CM654" i="1"/>
  <c r="CN654" i="1"/>
  <c r="CO654" i="1"/>
  <c r="CP654" i="1"/>
  <c r="CQ654" i="1"/>
  <c r="CR654" i="1"/>
  <c r="CS654" i="1"/>
  <c r="CT654" i="1"/>
  <c r="CU654" i="1"/>
  <c r="CV654" i="1"/>
  <c r="BQ655" i="1"/>
  <c r="BR655" i="1"/>
  <c r="BS655" i="1"/>
  <c r="BV655" i="1"/>
  <c r="BW655" i="1"/>
  <c r="BX655" i="1"/>
  <c r="BY655" i="1"/>
  <c r="BZ655" i="1"/>
  <c r="CA655" i="1"/>
  <c r="CB655" i="1"/>
  <c r="CC655" i="1"/>
  <c r="CD655" i="1"/>
  <c r="CE655" i="1"/>
  <c r="CF655" i="1"/>
  <c r="CG655" i="1"/>
  <c r="CH655" i="1"/>
  <c r="CI655" i="1"/>
  <c r="CJ655" i="1"/>
  <c r="CK655" i="1"/>
  <c r="CL655" i="1"/>
  <c r="CM655" i="1"/>
  <c r="CN655" i="1"/>
  <c r="CO655" i="1"/>
  <c r="CP655" i="1"/>
  <c r="CQ655" i="1"/>
  <c r="CR655" i="1"/>
  <c r="CS655" i="1"/>
  <c r="CT655" i="1"/>
  <c r="CU655" i="1"/>
  <c r="CV655" i="1"/>
  <c r="BQ656" i="1"/>
  <c r="BR656" i="1"/>
  <c r="BS656" i="1"/>
  <c r="BV656" i="1"/>
  <c r="BW656" i="1"/>
  <c r="BX656" i="1"/>
  <c r="BY656" i="1"/>
  <c r="BZ656" i="1"/>
  <c r="CA656" i="1"/>
  <c r="CB656" i="1"/>
  <c r="CC656" i="1"/>
  <c r="CD656" i="1"/>
  <c r="CE656" i="1"/>
  <c r="CF656" i="1"/>
  <c r="CG656" i="1"/>
  <c r="CH656" i="1"/>
  <c r="CI656" i="1"/>
  <c r="CJ656" i="1"/>
  <c r="CK656" i="1"/>
  <c r="CL656" i="1"/>
  <c r="CM656" i="1"/>
  <c r="CN656" i="1"/>
  <c r="CO656" i="1"/>
  <c r="CP656" i="1"/>
  <c r="CQ656" i="1"/>
  <c r="CR656" i="1"/>
  <c r="CS656" i="1"/>
  <c r="CT656" i="1"/>
  <c r="CU656" i="1"/>
  <c r="CV656" i="1"/>
  <c r="BQ657" i="1"/>
  <c r="BR657" i="1"/>
  <c r="BS657" i="1"/>
  <c r="BV657" i="1"/>
  <c r="BW657" i="1"/>
  <c r="BX657" i="1"/>
  <c r="BY657" i="1"/>
  <c r="BZ657" i="1"/>
  <c r="CA657" i="1"/>
  <c r="CB657" i="1"/>
  <c r="CC657" i="1"/>
  <c r="CD657" i="1"/>
  <c r="CE657" i="1"/>
  <c r="CF657" i="1"/>
  <c r="CG657" i="1"/>
  <c r="CH657" i="1"/>
  <c r="CI657" i="1"/>
  <c r="CJ657" i="1"/>
  <c r="CK657" i="1"/>
  <c r="CL657" i="1"/>
  <c r="CM657" i="1"/>
  <c r="CN657" i="1"/>
  <c r="CO657" i="1"/>
  <c r="CP657" i="1"/>
  <c r="CQ657" i="1"/>
  <c r="CR657" i="1"/>
  <c r="CS657" i="1"/>
  <c r="CT657" i="1"/>
  <c r="CU657" i="1"/>
  <c r="CV657" i="1"/>
  <c r="BQ658" i="1"/>
  <c r="BR658" i="1"/>
  <c r="BS658" i="1"/>
  <c r="BV658" i="1"/>
  <c r="BW658" i="1"/>
  <c r="BX658" i="1"/>
  <c r="BY658" i="1"/>
  <c r="BZ658" i="1"/>
  <c r="CA658" i="1"/>
  <c r="CB658" i="1"/>
  <c r="CC658" i="1"/>
  <c r="CD658" i="1"/>
  <c r="CE658" i="1"/>
  <c r="CF658" i="1"/>
  <c r="CG658" i="1"/>
  <c r="CH658" i="1"/>
  <c r="CI658" i="1"/>
  <c r="CJ658" i="1"/>
  <c r="CK658" i="1"/>
  <c r="CL658" i="1"/>
  <c r="CM658" i="1"/>
  <c r="CN658" i="1"/>
  <c r="CO658" i="1"/>
  <c r="CP658" i="1"/>
  <c r="CQ658" i="1"/>
  <c r="CR658" i="1"/>
  <c r="CS658" i="1"/>
  <c r="CT658" i="1"/>
  <c r="CU658" i="1"/>
  <c r="CV658" i="1"/>
  <c r="BQ659" i="1"/>
  <c r="BR659" i="1"/>
  <c r="BS659" i="1"/>
  <c r="BV659" i="1"/>
  <c r="BW659" i="1"/>
  <c r="BX659" i="1"/>
  <c r="BY659" i="1"/>
  <c r="BZ659" i="1"/>
  <c r="CA659" i="1"/>
  <c r="CB659" i="1"/>
  <c r="CC659" i="1"/>
  <c r="CD659" i="1"/>
  <c r="CE659" i="1"/>
  <c r="CF659" i="1"/>
  <c r="CG659" i="1"/>
  <c r="CH659" i="1"/>
  <c r="CI659" i="1"/>
  <c r="CJ659" i="1"/>
  <c r="CK659" i="1"/>
  <c r="CL659" i="1"/>
  <c r="CM659" i="1"/>
  <c r="CN659" i="1"/>
  <c r="CO659" i="1"/>
  <c r="CP659" i="1"/>
  <c r="CQ659" i="1"/>
  <c r="CR659" i="1"/>
  <c r="CS659" i="1"/>
  <c r="CT659" i="1"/>
  <c r="CU659" i="1"/>
  <c r="CV659" i="1"/>
  <c r="BQ660" i="1"/>
  <c r="BR660" i="1"/>
  <c r="BS660" i="1"/>
  <c r="BV660" i="1"/>
  <c r="BW660" i="1"/>
  <c r="BX660" i="1"/>
  <c r="BY660" i="1"/>
  <c r="BZ660" i="1"/>
  <c r="CA660" i="1"/>
  <c r="CB660" i="1"/>
  <c r="CC660" i="1"/>
  <c r="CD660" i="1"/>
  <c r="CE660" i="1"/>
  <c r="CF660" i="1"/>
  <c r="CG660" i="1"/>
  <c r="CH660" i="1"/>
  <c r="CI660" i="1"/>
  <c r="CJ660" i="1"/>
  <c r="CK660" i="1"/>
  <c r="CL660" i="1"/>
  <c r="CM660" i="1"/>
  <c r="CN660" i="1"/>
  <c r="CO660" i="1"/>
  <c r="CP660" i="1"/>
  <c r="CQ660" i="1"/>
  <c r="CR660" i="1"/>
  <c r="CS660" i="1"/>
  <c r="CT660" i="1"/>
  <c r="CU660" i="1"/>
  <c r="CV660" i="1"/>
  <c r="BQ661" i="1"/>
  <c r="BR661" i="1"/>
  <c r="BS661" i="1"/>
  <c r="BV661" i="1"/>
  <c r="BW661" i="1"/>
  <c r="BX661" i="1"/>
  <c r="BY661" i="1"/>
  <c r="BZ661" i="1"/>
  <c r="CA661" i="1"/>
  <c r="CB661" i="1"/>
  <c r="CC661" i="1"/>
  <c r="CD661" i="1"/>
  <c r="CE661" i="1"/>
  <c r="CF661" i="1"/>
  <c r="CG661" i="1"/>
  <c r="CH661" i="1"/>
  <c r="CI661" i="1"/>
  <c r="CJ661" i="1"/>
  <c r="CK661" i="1"/>
  <c r="CL661" i="1"/>
  <c r="CM661" i="1"/>
  <c r="CN661" i="1"/>
  <c r="CO661" i="1"/>
  <c r="CP661" i="1"/>
  <c r="CQ661" i="1"/>
  <c r="CR661" i="1"/>
  <c r="CS661" i="1"/>
  <c r="CT661" i="1"/>
  <c r="CU661" i="1"/>
  <c r="CV661" i="1"/>
  <c r="BQ662" i="1"/>
  <c r="BR662" i="1"/>
  <c r="BS662" i="1"/>
  <c r="BV662" i="1"/>
  <c r="BW662" i="1"/>
  <c r="BX662" i="1"/>
  <c r="BY662" i="1"/>
  <c r="BZ662" i="1"/>
  <c r="CA662" i="1"/>
  <c r="CB662" i="1"/>
  <c r="CC662" i="1"/>
  <c r="CD662" i="1"/>
  <c r="CE662" i="1"/>
  <c r="CF662" i="1"/>
  <c r="CG662" i="1"/>
  <c r="CH662" i="1"/>
  <c r="CI662" i="1"/>
  <c r="CJ662" i="1"/>
  <c r="CK662" i="1"/>
  <c r="CL662" i="1"/>
  <c r="CM662" i="1"/>
  <c r="CN662" i="1"/>
  <c r="CO662" i="1"/>
  <c r="CP662" i="1"/>
  <c r="CQ662" i="1"/>
  <c r="CR662" i="1"/>
  <c r="CS662" i="1"/>
  <c r="CT662" i="1"/>
  <c r="CU662" i="1"/>
  <c r="CV662" i="1"/>
  <c r="BQ663" i="1"/>
  <c r="BR663" i="1"/>
  <c r="BS663" i="1"/>
  <c r="BV663" i="1"/>
  <c r="BW663" i="1"/>
  <c r="BX663" i="1"/>
  <c r="BY663" i="1"/>
  <c r="BZ663" i="1"/>
  <c r="CA663" i="1"/>
  <c r="CB663" i="1"/>
  <c r="CC663" i="1"/>
  <c r="CD663" i="1"/>
  <c r="CE663" i="1"/>
  <c r="CF663" i="1"/>
  <c r="CG663" i="1"/>
  <c r="CH663" i="1"/>
  <c r="CI663" i="1"/>
  <c r="CJ663" i="1"/>
  <c r="CK663" i="1"/>
  <c r="CL663" i="1"/>
  <c r="CM663" i="1"/>
  <c r="CN663" i="1"/>
  <c r="CO663" i="1"/>
  <c r="CP663" i="1"/>
  <c r="CQ663" i="1"/>
  <c r="CR663" i="1"/>
  <c r="CS663" i="1"/>
  <c r="CT663" i="1"/>
  <c r="CU663" i="1"/>
  <c r="CV663" i="1"/>
  <c r="BQ664" i="1"/>
  <c r="BR664" i="1"/>
  <c r="BS664" i="1"/>
  <c r="BV664" i="1"/>
  <c r="BW664" i="1"/>
  <c r="BX664" i="1"/>
  <c r="BY664" i="1"/>
  <c r="BZ664" i="1"/>
  <c r="CA664" i="1"/>
  <c r="CB664" i="1"/>
  <c r="CC664" i="1"/>
  <c r="CD664" i="1"/>
  <c r="CE664" i="1"/>
  <c r="CF664" i="1"/>
  <c r="CG664" i="1"/>
  <c r="CH664" i="1"/>
  <c r="CI664" i="1"/>
  <c r="CJ664" i="1"/>
  <c r="CK664" i="1"/>
  <c r="CL664" i="1"/>
  <c r="CM664" i="1"/>
  <c r="CN664" i="1"/>
  <c r="CO664" i="1"/>
  <c r="CP664" i="1"/>
  <c r="CQ664" i="1"/>
  <c r="CR664" i="1"/>
  <c r="CS664" i="1"/>
  <c r="CT664" i="1"/>
  <c r="CU664" i="1"/>
  <c r="CV664" i="1"/>
  <c r="BQ665" i="1"/>
  <c r="BR665" i="1"/>
  <c r="BS665" i="1"/>
  <c r="BV665" i="1"/>
  <c r="BW665" i="1"/>
  <c r="BX665" i="1"/>
  <c r="BY665" i="1"/>
  <c r="BZ665" i="1"/>
  <c r="CA665" i="1"/>
  <c r="CB665" i="1"/>
  <c r="CC665" i="1"/>
  <c r="CD665" i="1"/>
  <c r="CE665" i="1"/>
  <c r="CF665" i="1"/>
  <c r="CG665" i="1"/>
  <c r="CH665" i="1"/>
  <c r="CI665" i="1"/>
  <c r="CJ665" i="1"/>
  <c r="CK665" i="1"/>
  <c r="CL665" i="1"/>
  <c r="CM665" i="1"/>
  <c r="CN665" i="1"/>
  <c r="CO665" i="1"/>
  <c r="CP665" i="1"/>
  <c r="CQ665" i="1"/>
  <c r="CR665" i="1"/>
  <c r="CS665" i="1"/>
  <c r="CT665" i="1"/>
  <c r="CU665" i="1"/>
  <c r="CV665" i="1"/>
  <c r="BQ666" i="1"/>
  <c r="BR666" i="1"/>
  <c r="BS666" i="1"/>
  <c r="BV666" i="1"/>
  <c r="BW666" i="1"/>
  <c r="BX666" i="1"/>
  <c r="BY666" i="1"/>
  <c r="BZ666" i="1"/>
  <c r="CA666" i="1"/>
  <c r="CB666" i="1"/>
  <c r="CC666" i="1"/>
  <c r="CD666" i="1"/>
  <c r="CE666" i="1"/>
  <c r="CF666" i="1"/>
  <c r="CG666" i="1"/>
  <c r="CH666" i="1"/>
  <c r="CI666" i="1"/>
  <c r="CJ666" i="1"/>
  <c r="CK666" i="1"/>
  <c r="CL666" i="1"/>
  <c r="CM666" i="1"/>
  <c r="CN666" i="1"/>
  <c r="CO666" i="1"/>
  <c r="CP666" i="1"/>
  <c r="CQ666" i="1"/>
  <c r="CR666" i="1"/>
  <c r="CS666" i="1"/>
  <c r="CT666" i="1"/>
  <c r="CU666" i="1"/>
  <c r="CV666" i="1"/>
  <c r="BQ667" i="1"/>
  <c r="BR667" i="1"/>
  <c r="BS667" i="1"/>
  <c r="BV667" i="1"/>
  <c r="BW667" i="1"/>
  <c r="BX667" i="1"/>
  <c r="BY667" i="1"/>
  <c r="BZ667" i="1"/>
  <c r="CA667" i="1"/>
  <c r="CB667" i="1"/>
  <c r="CC667" i="1"/>
  <c r="CD667" i="1"/>
  <c r="CE667" i="1"/>
  <c r="CF667" i="1"/>
  <c r="CG667" i="1"/>
  <c r="CH667" i="1"/>
  <c r="CI667" i="1"/>
  <c r="CJ667" i="1"/>
  <c r="CK667" i="1"/>
  <c r="CL667" i="1"/>
  <c r="CM667" i="1"/>
  <c r="CN667" i="1"/>
  <c r="CO667" i="1"/>
  <c r="CP667" i="1"/>
  <c r="CQ667" i="1"/>
  <c r="CR667" i="1"/>
  <c r="CS667" i="1"/>
  <c r="CT667" i="1"/>
  <c r="CU667" i="1"/>
  <c r="CV667" i="1"/>
  <c r="BQ668" i="1"/>
  <c r="BR668" i="1"/>
  <c r="BS668" i="1"/>
  <c r="BV668" i="1"/>
  <c r="BW668" i="1"/>
  <c r="BX668" i="1"/>
  <c r="BY668" i="1"/>
  <c r="BZ668" i="1"/>
  <c r="CA668" i="1"/>
  <c r="CB668" i="1"/>
  <c r="CC668" i="1"/>
  <c r="CD668" i="1"/>
  <c r="CE668" i="1"/>
  <c r="CF668" i="1"/>
  <c r="CG668" i="1"/>
  <c r="CH668" i="1"/>
  <c r="CI668" i="1"/>
  <c r="CJ668" i="1"/>
  <c r="CK668" i="1"/>
  <c r="CL668" i="1"/>
  <c r="CM668" i="1"/>
  <c r="CN668" i="1"/>
  <c r="CO668" i="1"/>
  <c r="CP668" i="1"/>
  <c r="CQ668" i="1"/>
  <c r="CR668" i="1"/>
  <c r="CS668" i="1"/>
  <c r="CT668" i="1"/>
  <c r="CU668" i="1"/>
  <c r="CV668" i="1"/>
  <c r="BQ669" i="1"/>
  <c r="BR669" i="1"/>
  <c r="BS669" i="1"/>
  <c r="BV669" i="1"/>
  <c r="BW669" i="1"/>
  <c r="BX669" i="1"/>
  <c r="BY669" i="1"/>
  <c r="BZ669" i="1"/>
  <c r="CA669" i="1"/>
  <c r="CB669" i="1"/>
  <c r="CC669" i="1"/>
  <c r="CD669" i="1"/>
  <c r="CE669" i="1"/>
  <c r="CF669" i="1"/>
  <c r="CG669" i="1"/>
  <c r="CH669" i="1"/>
  <c r="CI669" i="1"/>
  <c r="CJ669" i="1"/>
  <c r="CK669" i="1"/>
  <c r="CL669" i="1"/>
  <c r="CM669" i="1"/>
  <c r="CN669" i="1"/>
  <c r="CO669" i="1"/>
  <c r="CP669" i="1"/>
  <c r="CQ669" i="1"/>
  <c r="CR669" i="1"/>
  <c r="CS669" i="1"/>
  <c r="CT669" i="1"/>
  <c r="CU669" i="1"/>
  <c r="CV669" i="1"/>
  <c r="BQ670" i="1"/>
  <c r="BR670" i="1"/>
  <c r="BS670" i="1"/>
  <c r="BV670" i="1"/>
  <c r="BW670" i="1"/>
  <c r="BX670" i="1"/>
  <c r="BY670" i="1"/>
  <c r="BZ670" i="1"/>
  <c r="CA670" i="1"/>
  <c r="CB670" i="1"/>
  <c r="CC670" i="1"/>
  <c r="CD670" i="1"/>
  <c r="CE670" i="1"/>
  <c r="CF670" i="1"/>
  <c r="CG670" i="1"/>
  <c r="CH670" i="1"/>
  <c r="CI670" i="1"/>
  <c r="CJ670" i="1"/>
  <c r="CK670" i="1"/>
  <c r="CL670" i="1"/>
  <c r="CM670" i="1"/>
  <c r="CN670" i="1"/>
  <c r="CO670" i="1"/>
  <c r="CP670" i="1"/>
  <c r="CQ670" i="1"/>
  <c r="CR670" i="1"/>
  <c r="CS670" i="1"/>
  <c r="CT670" i="1"/>
  <c r="CU670" i="1"/>
  <c r="CV670" i="1"/>
  <c r="BQ671" i="1"/>
  <c r="BR671" i="1"/>
  <c r="BS671" i="1"/>
  <c r="BV671" i="1"/>
  <c r="BW671" i="1"/>
  <c r="BX671" i="1"/>
  <c r="BY671" i="1"/>
  <c r="BZ671" i="1"/>
  <c r="CA671" i="1"/>
  <c r="CB671" i="1"/>
  <c r="CC671" i="1"/>
  <c r="CD671" i="1"/>
  <c r="CE671" i="1"/>
  <c r="CF671" i="1"/>
  <c r="CG671" i="1"/>
  <c r="CH671" i="1"/>
  <c r="CI671" i="1"/>
  <c r="CJ671" i="1"/>
  <c r="CK671" i="1"/>
  <c r="CL671" i="1"/>
  <c r="CM671" i="1"/>
  <c r="CN671" i="1"/>
  <c r="CO671" i="1"/>
  <c r="CP671" i="1"/>
  <c r="CQ671" i="1"/>
  <c r="CR671" i="1"/>
  <c r="CS671" i="1"/>
  <c r="CT671" i="1"/>
  <c r="CU671" i="1"/>
  <c r="CV671" i="1"/>
  <c r="BQ672" i="1"/>
  <c r="BR672" i="1"/>
  <c r="BS672" i="1"/>
  <c r="BV672" i="1"/>
  <c r="BW672" i="1"/>
  <c r="BX672" i="1"/>
  <c r="BY672" i="1"/>
  <c r="BZ672" i="1"/>
  <c r="CA672" i="1"/>
  <c r="CB672" i="1"/>
  <c r="CC672" i="1"/>
  <c r="CD672" i="1"/>
  <c r="CE672" i="1"/>
  <c r="CF672" i="1"/>
  <c r="CG672" i="1"/>
  <c r="CH672" i="1"/>
  <c r="CI672" i="1"/>
  <c r="CJ672" i="1"/>
  <c r="CK672" i="1"/>
  <c r="CL672" i="1"/>
  <c r="CM672" i="1"/>
  <c r="CN672" i="1"/>
  <c r="CO672" i="1"/>
  <c r="CP672" i="1"/>
  <c r="CQ672" i="1"/>
  <c r="CR672" i="1"/>
  <c r="CS672" i="1"/>
  <c r="CT672" i="1"/>
  <c r="CU672" i="1"/>
  <c r="CV672" i="1"/>
  <c r="BQ673" i="1"/>
  <c r="BR673" i="1"/>
  <c r="BS673" i="1"/>
  <c r="BV673" i="1"/>
  <c r="BW673" i="1"/>
  <c r="BX673" i="1"/>
  <c r="BY673" i="1"/>
  <c r="BZ673" i="1"/>
  <c r="CA673" i="1"/>
  <c r="CB673" i="1"/>
  <c r="CC673" i="1"/>
  <c r="CD673" i="1"/>
  <c r="CE673" i="1"/>
  <c r="CF673" i="1"/>
  <c r="CG673" i="1"/>
  <c r="CH673" i="1"/>
  <c r="CI673" i="1"/>
  <c r="CJ673" i="1"/>
  <c r="CK673" i="1"/>
  <c r="CL673" i="1"/>
  <c r="CM673" i="1"/>
  <c r="CN673" i="1"/>
  <c r="CO673" i="1"/>
  <c r="CP673" i="1"/>
  <c r="CQ673" i="1"/>
  <c r="CR673" i="1"/>
  <c r="CS673" i="1"/>
  <c r="CT673" i="1"/>
  <c r="CU673" i="1"/>
  <c r="CV673" i="1"/>
  <c r="BQ674" i="1"/>
  <c r="BR674" i="1"/>
  <c r="BS674" i="1"/>
  <c r="BV674" i="1"/>
  <c r="BW674" i="1"/>
  <c r="BX674" i="1"/>
  <c r="BY674" i="1"/>
  <c r="BZ674" i="1"/>
  <c r="CA674" i="1"/>
  <c r="CB674" i="1"/>
  <c r="CC674" i="1"/>
  <c r="CD674" i="1"/>
  <c r="CE674" i="1"/>
  <c r="CF674" i="1"/>
  <c r="CG674" i="1"/>
  <c r="CH674" i="1"/>
  <c r="CI674" i="1"/>
  <c r="CJ674" i="1"/>
  <c r="CK674" i="1"/>
  <c r="CL674" i="1"/>
  <c r="CM674" i="1"/>
  <c r="CN674" i="1"/>
  <c r="CO674" i="1"/>
  <c r="CP674" i="1"/>
  <c r="CQ674" i="1"/>
  <c r="CR674" i="1"/>
  <c r="CS674" i="1"/>
  <c r="CT674" i="1"/>
  <c r="CU674" i="1"/>
  <c r="CV674" i="1"/>
  <c r="BQ675" i="1"/>
  <c r="BR675" i="1"/>
  <c r="BS675" i="1"/>
  <c r="BV675" i="1"/>
  <c r="BW675" i="1"/>
  <c r="BX675" i="1"/>
  <c r="BY675" i="1"/>
  <c r="BZ675" i="1"/>
  <c r="CA675" i="1"/>
  <c r="CB675" i="1"/>
  <c r="CC675" i="1"/>
  <c r="CD675" i="1"/>
  <c r="CE675" i="1"/>
  <c r="CF675" i="1"/>
  <c r="CG675" i="1"/>
  <c r="CH675" i="1"/>
  <c r="CI675" i="1"/>
  <c r="CJ675" i="1"/>
  <c r="CK675" i="1"/>
  <c r="CL675" i="1"/>
  <c r="CM675" i="1"/>
  <c r="CN675" i="1"/>
  <c r="CO675" i="1"/>
  <c r="CP675" i="1"/>
  <c r="CQ675" i="1"/>
  <c r="CR675" i="1"/>
  <c r="CS675" i="1"/>
  <c r="CT675" i="1"/>
  <c r="CU675" i="1"/>
  <c r="CV675" i="1"/>
  <c r="BQ676" i="1"/>
  <c r="BR676" i="1"/>
  <c r="BS676" i="1"/>
  <c r="BV676" i="1"/>
  <c r="BW676" i="1"/>
  <c r="BX676" i="1"/>
  <c r="BY676" i="1"/>
  <c r="BZ676" i="1"/>
  <c r="CA676" i="1"/>
  <c r="CB676" i="1"/>
  <c r="CC676" i="1"/>
  <c r="CD676" i="1"/>
  <c r="CE676" i="1"/>
  <c r="CF676" i="1"/>
  <c r="CG676" i="1"/>
  <c r="CH676" i="1"/>
  <c r="CI676" i="1"/>
  <c r="CJ676" i="1"/>
  <c r="CK676" i="1"/>
  <c r="CL676" i="1"/>
  <c r="CM676" i="1"/>
  <c r="CN676" i="1"/>
  <c r="CO676" i="1"/>
  <c r="CP676" i="1"/>
  <c r="CQ676" i="1"/>
  <c r="CR676" i="1"/>
  <c r="CS676" i="1"/>
  <c r="CT676" i="1"/>
  <c r="CU676" i="1"/>
  <c r="CV676" i="1"/>
  <c r="BQ677" i="1"/>
  <c r="BR677" i="1"/>
  <c r="BS677" i="1"/>
  <c r="BV677" i="1"/>
  <c r="BW677" i="1"/>
  <c r="BX677" i="1"/>
  <c r="BY677" i="1"/>
  <c r="BZ677" i="1"/>
  <c r="CA677" i="1"/>
  <c r="CB677" i="1"/>
  <c r="CC677" i="1"/>
  <c r="CD677" i="1"/>
  <c r="CE677" i="1"/>
  <c r="CF677" i="1"/>
  <c r="CG677" i="1"/>
  <c r="CH677" i="1"/>
  <c r="CI677" i="1"/>
  <c r="CJ677" i="1"/>
  <c r="CK677" i="1"/>
  <c r="CL677" i="1"/>
  <c r="CM677" i="1"/>
  <c r="CN677" i="1"/>
  <c r="CO677" i="1"/>
  <c r="CP677" i="1"/>
  <c r="CQ677" i="1"/>
  <c r="CR677" i="1"/>
  <c r="CS677" i="1"/>
  <c r="CT677" i="1"/>
  <c r="CU677" i="1"/>
  <c r="CV677" i="1"/>
  <c r="BQ678" i="1"/>
  <c r="BR678" i="1"/>
  <c r="BS678" i="1"/>
  <c r="BV678" i="1"/>
  <c r="BW678" i="1"/>
  <c r="BX678" i="1"/>
  <c r="BY678" i="1"/>
  <c r="BZ678" i="1"/>
  <c r="CA678" i="1"/>
  <c r="CB678" i="1"/>
  <c r="CC678" i="1"/>
  <c r="CD678" i="1"/>
  <c r="CE678" i="1"/>
  <c r="CF678" i="1"/>
  <c r="CG678" i="1"/>
  <c r="CH678" i="1"/>
  <c r="CI678" i="1"/>
  <c r="CJ678" i="1"/>
  <c r="CK678" i="1"/>
  <c r="CL678" i="1"/>
  <c r="CM678" i="1"/>
  <c r="CN678" i="1"/>
  <c r="CO678" i="1"/>
  <c r="CP678" i="1"/>
  <c r="CQ678" i="1"/>
  <c r="CR678" i="1"/>
  <c r="CS678" i="1"/>
  <c r="CT678" i="1"/>
  <c r="CU678" i="1"/>
  <c r="CV678" i="1"/>
  <c r="BQ679" i="1"/>
  <c r="BR679" i="1"/>
  <c r="BS679" i="1"/>
  <c r="BV679" i="1"/>
  <c r="BW679" i="1"/>
  <c r="BX679" i="1"/>
  <c r="BY679" i="1"/>
  <c r="BZ679" i="1"/>
  <c r="CA679" i="1"/>
  <c r="CB679" i="1"/>
  <c r="CC679" i="1"/>
  <c r="CD679" i="1"/>
  <c r="CE679" i="1"/>
  <c r="CF679" i="1"/>
  <c r="CG679" i="1"/>
  <c r="CH679" i="1"/>
  <c r="CI679" i="1"/>
  <c r="CJ679" i="1"/>
  <c r="CK679" i="1"/>
  <c r="CL679" i="1"/>
  <c r="CM679" i="1"/>
  <c r="CN679" i="1"/>
  <c r="CO679" i="1"/>
  <c r="CP679" i="1"/>
  <c r="CQ679" i="1"/>
  <c r="CR679" i="1"/>
  <c r="CS679" i="1"/>
  <c r="CT679" i="1"/>
  <c r="CU679" i="1"/>
  <c r="CV679" i="1"/>
  <c r="BQ680" i="1"/>
  <c r="BR680" i="1"/>
  <c r="BS680" i="1"/>
  <c r="BV680" i="1"/>
  <c r="BW680" i="1"/>
  <c r="BX680" i="1"/>
  <c r="BY680" i="1"/>
  <c r="BZ680" i="1"/>
  <c r="CA680" i="1"/>
  <c r="CB680" i="1"/>
  <c r="CC680" i="1"/>
  <c r="CD680" i="1"/>
  <c r="CE680" i="1"/>
  <c r="CF680" i="1"/>
  <c r="CG680" i="1"/>
  <c r="CH680" i="1"/>
  <c r="CI680" i="1"/>
  <c r="CJ680" i="1"/>
  <c r="CK680" i="1"/>
  <c r="CL680" i="1"/>
  <c r="CM680" i="1"/>
  <c r="CN680" i="1"/>
  <c r="CO680" i="1"/>
  <c r="CP680" i="1"/>
  <c r="CQ680" i="1"/>
  <c r="CR680" i="1"/>
  <c r="CS680" i="1"/>
  <c r="CT680" i="1"/>
  <c r="CU680" i="1"/>
  <c r="CV680" i="1"/>
  <c r="BQ681" i="1"/>
  <c r="BR681" i="1"/>
  <c r="BS681" i="1"/>
  <c r="BV681" i="1"/>
  <c r="BW681" i="1"/>
  <c r="BX681" i="1"/>
  <c r="BY681" i="1"/>
  <c r="BZ681" i="1"/>
  <c r="CA681" i="1"/>
  <c r="CB681" i="1"/>
  <c r="CC681" i="1"/>
  <c r="CD681" i="1"/>
  <c r="CE681" i="1"/>
  <c r="CF681" i="1"/>
  <c r="CG681" i="1"/>
  <c r="CH681" i="1"/>
  <c r="CI681" i="1"/>
  <c r="CJ681" i="1"/>
  <c r="CK681" i="1"/>
  <c r="CL681" i="1"/>
  <c r="CM681" i="1"/>
  <c r="CN681" i="1"/>
  <c r="CO681" i="1"/>
  <c r="CP681" i="1"/>
  <c r="CQ681" i="1"/>
  <c r="CR681" i="1"/>
  <c r="CS681" i="1"/>
  <c r="CT681" i="1"/>
  <c r="CU681" i="1"/>
  <c r="CV681" i="1"/>
  <c r="BQ682" i="1"/>
  <c r="BR682" i="1"/>
  <c r="BS682" i="1"/>
  <c r="BV682" i="1"/>
  <c r="BW682" i="1"/>
  <c r="BX682" i="1"/>
  <c r="BY682" i="1"/>
  <c r="BZ682" i="1"/>
  <c r="CA682" i="1"/>
  <c r="CB682" i="1"/>
  <c r="CC682" i="1"/>
  <c r="CD682" i="1"/>
  <c r="CE682" i="1"/>
  <c r="CF682" i="1"/>
  <c r="CG682" i="1"/>
  <c r="CH682" i="1"/>
  <c r="CI682" i="1"/>
  <c r="CJ682" i="1"/>
  <c r="CK682" i="1"/>
  <c r="CL682" i="1"/>
  <c r="CM682" i="1"/>
  <c r="CN682" i="1"/>
  <c r="CO682" i="1"/>
  <c r="CP682" i="1"/>
  <c r="CQ682" i="1"/>
  <c r="CR682" i="1"/>
  <c r="CS682" i="1"/>
  <c r="CT682" i="1"/>
  <c r="CU682" i="1"/>
  <c r="CV682" i="1"/>
  <c r="BQ683" i="1"/>
  <c r="BR683" i="1"/>
  <c r="BS683" i="1"/>
  <c r="BV683" i="1"/>
  <c r="BW683" i="1"/>
  <c r="BX683" i="1"/>
  <c r="BY683" i="1"/>
  <c r="BZ683" i="1"/>
  <c r="CA683" i="1"/>
  <c r="CB683" i="1"/>
  <c r="CC683" i="1"/>
  <c r="CD683" i="1"/>
  <c r="CE683" i="1"/>
  <c r="CF683" i="1"/>
  <c r="CG683" i="1"/>
  <c r="CH683" i="1"/>
  <c r="CI683" i="1"/>
  <c r="CJ683" i="1"/>
  <c r="CK683" i="1"/>
  <c r="CL683" i="1"/>
  <c r="CM683" i="1"/>
  <c r="CN683" i="1"/>
  <c r="CO683" i="1"/>
  <c r="CP683" i="1"/>
  <c r="CQ683" i="1"/>
  <c r="CR683" i="1"/>
  <c r="CS683" i="1"/>
  <c r="CT683" i="1"/>
  <c r="CU683" i="1"/>
  <c r="CV683" i="1"/>
  <c r="BQ684" i="1"/>
  <c r="BR684" i="1"/>
  <c r="BS684" i="1"/>
  <c r="BV684" i="1"/>
  <c r="BW684" i="1"/>
  <c r="BX684" i="1"/>
  <c r="BY684" i="1"/>
  <c r="BZ684" i="1"/>
  <c r="CA684" i="1"/>
  <c r="CB684" i="1"/>
  <c r="CC684" i="1"/>
  <c r="CD684" i="1"/>
  <c r="CE684" i="1"/>
  <c r="CF684" i="1"/>
  <c r="CG684" i="1"/>
  <c r="CH684" i="1"/>
  <c r="CI684" i="1"/>
  <c r="CJ684" i="1"/>
  <c r="CK684" i="1"/>
  <c r="CL684" i="1"/>
  <c r="CM684" i="1"/>
  <c r="CN684" i="1"/>
  <c r="CO684" i="1"/>
  <c r="CP684" i="1"/>
  <c r="CQ684" i="1"/>
  <c r="CR684" i="1"/>
  <c r="CS684" i="1"/>
  <c r="CT684" i="1"/>
  <c r="CU684" i="1"/>
  <c r="CV684" i="1"/>
  <c r="BQ685" i="1"/>
  <c r="BR685" i="1"/>
  <c r="BS685" i="1"/>
  <c r="BV685" i="1"/>
  <c r="BW685" i="1"/>
  <c r="BX685" i="1"/>
  <c r="BY685" i="1"/>
  <c r="BZ685" i="1"/>
  <c r="CA685" i="1"/>
  <c r="CB685" i="1"/>
  <c r="CC685" i="1"/>
  <c r="CD685" i="1"/>
  <c r="CE685" i="1"/>
  <c r="CF685" i="1"/>
  <c r="CG685" i="1"/>
  <c r="CH685" i="1"/>
  <c r="CI685" i="1"/>
  <c r="CJ685" i="1"/>
  <c r="CK685" i="1"/>
  <c r="CL685" i="1"/>
  <c r="CM685" i="1"/>
  <c r="CN685" i="1"/>
  <c r="CO685" i="1"/>
  <c r="CP685" i="1"/>
  <c r="CQ685" i="1"/>
  <c r="CR685" i="1"/>
  <c r="CS685" i="1"/>
  <c r="CT685" i="1"/>
  <c r="CU685" i="1"/>
  <c r="CV685" i="1"/>
  <c r="BQ686" i="1"/>
  <c r="BR686" i="1"/>
  <c r="BS686" i="1"/>
  <c r="BV686" i="1"/>
  <c r="BW686" i="1"/>
  <c r="BX686" i="1"/>
  <c r="BY686" i="1"/>
  <c r="BZ686" i="1"/>
  <c r="CA686" i="1"/>
  <c r="CB686" i="1"/>
  <c r="CC686" i="1"/>
  <c r="CD686" i="1"/>
  <c r="CE686" i="1"/>
  <c r="CF686" i="1"/>
  <c r="CG686" i="1"/>
  <c r="CH686" i="1"/>
  <c r="CI686" i="1"/>
  <c r="CJ686" i="1"/>
  <c r="CK686" i="1"/>
  <c r="CL686" i="1"/>
  <c r="CM686" i="1"/>
  <c r="CN686" i="1"/>
  <c r="CO686" i="1"/>
  <c r="CP686" i="1"/>
  <c r="CQ686" i="1"/>
  <c r="CR686" i="1"/>
  <c r="CS686" i="1"/>
  <c r="CT686" i="1"/>
  <c r="CU686" i="1"/>
  <c r="CV686" i="1"/>
  <c r="BQ687" i="1"/>
  <c r="BR687" i="1"/>
  <c r="BS687" i="1"/>
  <c r="BV687" i="1"/>
  <c r="BW687" i="1"/>
  <c r="BX687" i="1"/>
  <c r="BY687" i="1"/>
  <c r="BZ687" i="1"/>
  <c r="CA687" i="1"/>
  <c r="CB687" i="1"/>
  <c r="CC687" i="1"/>
  <c r="CD687" i="1"/>
  <c r="CE687" i="1"/>
  <c r="CF687" i="1"/>
  <c r="CG687" i="1"/>
  <c r="CH687" i="1"/>
  <c r="CI687" i="1"/>
  <c r="CJ687" i="1"/>
  <c r="CK687" i="1"/>
  <c r="CL687" i="1"/>
  <c r="CM687" i="1"/>
  <c r="CN687" i="1"/>
  <c r="CO687" i="1"/>
  <c r="CP687" i="1"/>
  <c r="CQ687" i="1"/>
  <c r="CR687" i="1"/>
  <c r="CS687" i="1"/>
  <c r="CT687" i="1"/>
  <c r="CU687" i="1"/>
  <c r="CV687" i="1"/>
  <c r="BQ688" i="1"/>
  <c r="BR688" i="1"/>
  <c r="BS688" i="1"/>
  <c r="BV688" i="1"/>
  <c r="BW688" i="1"/>
  <c r="BX688" i="1"/>
  <c r="BY688" i="1"/>
  <c r="BZ688" i="1"/>
  <c r="CA688" i="1"/>
  <c r="CB688" i="1"/>
  <c r="CC688" i="1"/>
  <c r="CD688" i="1"/>
  <c r="CE688" i="1"/>
  <c r="CF688" i="1"/>
  <c r="CG688" i="1"/>
  <c r="CH688" i="1"/>
  <c r="CI688" i="1"/>
  <c r="CJ688" i="1"/>
  <c r="CK688" i="1"/>
  <c r="CL688" i="1"/>
  <c r="CM688" i="1"/>
  <c r="CN688" i="1"/>
  <c r="CO688" i="1"/>
  <c r="CP688" i="1"/>
  <c r="CQ688" i="1"/>
  <c r="CR688" i="1"/>
  <c r="CS688" i="1"/>
  <c r="CT688" i="1"/>
  <c r="CU688" i="1"/>
  <c r="CV688" i="1"/>
  <c r="BQ689" i="1"/>
  <c r="BR689" i="1"/>
  <c r="BS689" i="1"/>
  <c r="BV689" i="1"/>
  <c r="BW689" i="1"/>
  <c r="BX689" i="1"/>
  <c r="BY689" i="1"/>
  <c r="BZ689" i="1"/>
  <c r="CA689" i="1"/>
  <c r="CB689" i="1"/>
  <c r="CC689" i="1"/>
  <c r="CD689" i="1"/>
  <c r="CE689" i="1"/>
  <c r="CF689" i="1"/>
  <c r="CG689" i="1"/>
  <c r="CH689" i="1"/>
  <c r="CI689" i="1"/>
  <c r="CJ689" i="1"/>
  <c r="CK689" i="1"/>
  <c r="CL689" i="1"/>
  <c r="CM689" i="1"/>
  <c r="CN689" i="1"/>
  <c r="CO689" i="1"/>
  <c r="CP689" i="1"/>
  <c r="CQ689" i="1"/>
  <c r="CR689" i="1"/>
  <c r="CS689" i="1"/>
  <c r="CT689" i="1"/>
  <c r="CU689" i="1"/>
  <c r="CV689" i="1"/>
  <c r="BQ690" i="1"/>
  <c r="BR690" i="1"/>
  <c r="BS690" i="1"/>
  <c r="BV690" i="1"/>
  <c r="BW690" i="1"/>
  <c r="BX690" i="1"/>
  <c r="BY690" i="1"/>
  <c r="BZ690" i="1"/>
  <c r="CA690" i="1"/>
  <c r="CB690" i="1"/>
  <c r="CC690" i="1"/>
  <c r="CD690" i="1"/>
  <c r="CE690" i="1"/>
  <c r="CF690" i="1"/>
  <c r="CG690" i="1"/>
  <c r="CH690" i="1"/>
  <c r="CI690" i="1"/>
  <c r="CJ690" i="1"/>
  <c r="CK690" i="1"/>
  <c r="CL690" i="1"/>
  <c r="CM690" i="1"/>
  <c r="CN690" i="1"/>
  <c r="CO690" i="1"/>
  <c r="CP690" i="1"/>
  <c r="CQ690" i="1"/>
  <c r="CR690" i="1"/>
  <c r="CS690" i="1"/>
  <c r="CT690" i="1"/>
  <c r="CU690" i="1"/>
  <c r="CV690" i="1"/>
  <c r="BQ691" i="1"/>
  <c r="BR691" i="1"/>
  <c r="BS691" i="1"/>
  <c r="BV691" i="1"/>
  <c r="BW691" i="1"/>
  <c r="BX691" i="1"/>
  <c r="BY691" i="1"/>
  <c r="BZ691" i="1"/>
  <c r="CA691" i="1"/>
  <c r="CB691" i="1"/>
  <c r="CC691" i="1"/>
  <c r="CD691" i="1"/>
  <c r="CE691" i="1"/>
  <c r="CF691" i="1"/>
  <c r="CG691" i="1"/>
  <c r="CH691" i="1"/>
  <c r="CI691" i="1"/>
  <c r="CJ691" i="1"/>
  <c r="CK691" i="1"/>
  <c r="CL691" i="1"/>
  <c r="CM691" i="1"/>
  <c r="CN691" i="1"/>
  <c r="CO691" i="1"/>
  <c r="CP691" i="1"/>
  <c r="CQ691" i="1"/>
  <c r="CR691" i="1"/>
  <c r="CS691" i="1"/>
  <c r="CT691" i="1"/>
  <c r="CU691" i="1"/>
  <c r="CV691" i="1"/>
  <c r="BQ692" i="1"/>
  <c r="BR692" i="1"/>
  <c r="BS692" i="1"/>
  <c r="BV692" i="1"/>
  <c r="BW692" i="1"/>
  <c r="BX692" i="1"/>
  <c r="BY692" i="1"/>
  <c r="BZ692" i="1"/>
  <c r="CA692" i="1"/>
  <c r="CB692" i="1"/>
  <c r="CC692" i="1"/>
  <c r="CD692" i="1"/>
  <c r="CE692" i="1"/>
  <c r="CF692" i="1"/>
  <c r="CG692" i="1"/>
  <c r="CH692" i="1"/>
  <c r="CI692" i="1"/>
  <c r="CJ692" i="1"/>
  <c r="CK692" i="1"/>
  <c r="CL692" i="1"/>
  <c r="CM692" i="1"/>
  <c r="CN692" i="1"/>
  <c r="CO692" i="1"/>
  <c r="CP692" i="1"/>
  <c r="CQ692" i="1"/>
  <c r="CR692" i="1"/>
  <c r="CS692" i="1"/>
  <c r="CT692" i="1"/>
  <c r="CU692" i="1"/>
  <c r="CV692" i="1"/>
  <c r="BQ693" i="1"/>
  <c r="BR693" i="1"/>
  <c r="BS693" i="1"/>
  <c r="BV693" i="1"/>
  <c r="BW693" i="1"/>
  <c r="BX693" i="1"/>
  <c r="BY693" i="1"/>
  <c r="BZ693" i="1"/>
  <c r="CA693" i="1"/>
  <c r="CB693" i="1"/>
  <c r="CC693" i="1"/>
  <c r="CD693" i="1"/>
  <c r="CE693" i="1"/>
  <c r="CF693" i="1"/>
  <c r="CG693" i="1"/>
  <c r="CH693" i="1"/>
  <c r="CI693" i="1"/>
  <c r="CJ693" i="1"/>
  <c r="CK693" i="1"/>
  <c r="CL693" i="1"/>
  <c r="CM693" i="1"/>
  <c r="CN693" i="1"/>
  <c r="CO693" i="1"/>
  <c r="CP693" i="1"/>
  <c r="CQ693" i="1"/>
  <c r="CR693" i="1"/>
  <c r="CS693" i="1"/>
  <c r="CT693" i="1"/>
  <c r="CU693" i="1"/>
  <c r="CV693" i="1"/>
  <c r="BQ694" i="1"/>
  <c r="BR694" i="1"/>
  <c r="BS694" i="1"/>
  <c r="BV694" i="1"/>
  <c r="BW694" i="1"/>
  <c r="BX694" i="1"/>
  <c r="BY694" i="1"/>
  <c r="BZ694" i="1"/>
  <c r="CA694" i="1"/>
  <c r="CB694" i="1"/>
  <c r="CC694" i="1"/>
  <c r="CD694" i="1"/>
  <c r="CE694" i="1"/>
  <c r="CF694" i="1"/>
  <c r="CG694" i="1"/>
  <c r="CH694" i="1"/>
  <c r="CI694" i="1"/>
  <c r="CJ694" i="1"/>
  <c r="CK694" i="1"/>
  <c r="CL694" i="1"/>
  <c r="CM694" i="1"/>
  <c r="CN694" i="1"/>
  <c r="CO694" i="1"/>
  <c r="CP694" i="1"/>
  <c r="CQ694" i="1"/>
  <c r="CR694" i="1"/>
  <c r="CS694" i="1"/>
  <c r="CT694" i="1"/>
  <c r="CU694" i="1"/>
  <c r="CV694" i="1"/>
  <c r="BQ695" i="1"/>
  <c r="BR695" i="1"/>
  <c r="BS695" i="1"/>
  <c r="BV695" i="1"/>
  <c r="BW695" i="1"/>
  <c r="BX695" i="1"/>
  <c r="BY695" i="1"/>
  <c r="BZ695" i="1"/>
  <c r="CA695" i="1"/>
  <c r="CB695" i="1"/>
  <c r="CC695" i="1"/>
  <c r="CD695" i="1"/>
  <c r="CE695" i="1"/>
  <c r="CF695" i="1"/>
  <c r="CG695" i="1"/>
  <c r="CH695" i="1"/>
  <c r="CI695" i="1"/>
  <c r="CJ695" i="1"/>
  <c r="CK695" i="1"/>
  <c r="CL695" i="1"/>
  <c r="CM695" i="1"/>
  <c r="CN695" i="1"/>
  <c r="CO695" i="1"/>
  <c r="CP695" i="1"/>
  <c r="CQ695" i="1"/>
  <c r="CR695" i="1"/>
  <c r="CS695" i="1"/>
  <c r="CT695" i="1"/>
  <c r="CU695" i="1"/>
  <c r="CV695" i="1"/>
  <c r="BQ696" i="1"/>
  <c r="BR696" i="1"/>
  <c r="BS696" i="1"/>
  <c r="BV696" i="1"/>
  <c r="BW696" i="1"/>
  <c r="BX696" i="1"/>
  <c r="BY696" i="1"/>
  <c r="BZ696" i="1"/>
  <c r="CA696" i="1"/>
  <c r="CB696" i="1"/>
  <c r="CC696" i="1"/>
  <c r="CD696" i="1"/>
  <c r="CE696" i="1"/>
  <c r="CF696" i="1"/>
  <c r="CG696" i="1"/>
  <c r="CH696" i="1"/>
  <c r="CI696" i="1"/>
  <c r="CJ696" i="1"/>
  <c r="CK696" i="1"/>
  <c r="CL696" i="1"/>
  <c r="CM696" i="1"/>
  <c r="CN696" i="1"/>
  <c r="CO696" i="1"/>
  <c r="CP696" i="1"/>
  <c r="CQ696" i="1"/>
  <c r="CR696" i="1"/>
  <c r="CS696" i="1"/>
  <c r="CT696" i="1"/>
  <c r="CU696" i="1"/>
  <c r="CV696" i="1"/>
  <c r="BQ697" i="1"/>
  <c r="BR697" i="1"/>
  <c r="BS697" i="1"/>
  <c r="BV697" i="1"/>
  <c r="BW697" i="1"/>
  <c r="BX697" i="1"/>
  <c r="BY697" i="1"/>
  <c r="BZ697" i="1"/>
  <c r="CA697" i="1"/>
  <c r="CB697" i="1"/>
  <c r="CC697" i="1"/>
  <c r="CD697" i="1"/>
  <c r="CE697" i="1"/>
  <c r="CF697" i="1"/>
  <c r="CG697" i="1"/>
  <c r="CH697" i="1"/>
  <c r="CI697" i="1"/>
  <c r="CJ697" i="1"/>
  <c r="CK697" i="1"/>
  <c r="CL697" i="1"/>
  <c r="CM697" i="1"/>
  <c r="CN697" i="1"/>
  <c r="CO697" i="1"/>
  <c r="CP697" i="1"/>
  <c r="CQ697" i="1"/>
  <c r="CR697" i="1"/>
  <c r="CS697" i="1"/>
  <c r="CT697" i="1"/>
  <c r="CU697" i="1"/>
  <c r="CV697" i="1"/>
  <c r="BQ698" i="1"/>
  <c r="BR698" i="1"/>
  <c r="BS698" i="1"/>
  <c r="BV698" i="1"/>
  <c r="BW698" i="1"/>
  <c r="BX698" i="1"/>
  <c r="BY698" i="1"/>
  <c r="BZ698" i="1"/>
  <c r="CA698" i="1"/>
  <c r="CB698" i="1"/>
  <c r="CC698" i="1"/>
  <c r="CD698" i="1"/>
  <c r="CE698" i="1"/>
  <c r="CF698" i="1"/>
  <c r="CG698" i="1"/>
  <c r="CH698" i="1"/>
  <c r="CI698" i="1"/>
  <c r="CJ698" i="1"/>
  <c r="CK698" i="1"/>
  <c r="CL698" i="1"/>
  <c r="CM698" i="1"/>
  <c r="CN698" i="1"/>
  <c r="CO698" i="1"/>
  <c r="CP698" i="1"/>
  <c r="CQ698" i="1"/>
  <c r="CR698" i="1"/>
  <c r="CS698" i="1"/>
  <c r="CT698" i="1"/>
  <c r="CU698" i="1"/>
  <c r="CV698" i="1"/>
  <c r="BQ699" i="1"/>
  <c r="BR699" i="1"/>
  <c r="BS699" i="1"/>
  <c r="BV699" i="1"/>
  <c r="BW699" i="1"/>
  <c r="BX699" i="1"/>
  <c r="BY699" i="1"/>
  <c r="BZ699" i="1"/>
  <c r="CA699" i="1"/>
  <c r="CB699" i="1"/>
  <c r="CC699" i="1"/>
  <c r="CD699" i="1"/>
  <c r="CE699" i="1"/>
  <c r="CF699" i="1"/>
  <c r="CG699" i="1"/>
  <c r="CH699" i="1"/>
  <c r="CI699" i="1"/>
  <c r="CJ699" i="1"/>
  <c r="CK699" i="1"/>
  <c r="CL699" i="1"/>
  <c r="CM699" i="1"/>
  <c r="CN699" i="1"/>
  <c r="CO699" i="1"/>
  <c r="CP699" i="1"/>
  <c r="CQ699" i="1"/>
  <c r="CR699" i="1"/>
  <c r="CS699" i="1"/>
  <c r="CT699" i="1"/>
  <c r="CU699" i="1"/>
  <c r="CV699" i="1"/>
  <c r="BQ700" i="1"/>
  <c r="BR700" i="1"/>
  <c r="BS700" i="1"/>
  <c r="BV700" i="1"/>
  <c r="BW700" i="1"/>
  <c r="BX700" i="1"/>
  <c r="BY700" i="1"/>
  <c r="BZ700" i="1"/>
  <c r="CA700" i="1"/>
  <c r="CB700" i="1"/>
  <c r="CC700" i="1"/>
  <c r="CD700" i="1"/>
  <c r="CE700" i="1"/>
  <c r="CF700" i="1"/>
  <c r="CG700" i="1"/>
  <c r="CH700" i="1"/>
  <c r="CI700" i="1"/>
  <c r="CJ700" i="1"/>
  <c r="CK700" i="1"/>
  <c r="CL700" i="1"/>
  <c r="CM700" i="1"/>
  <c r="CN700" i="1"/>
  <c r="CO700" i="1"/>
  <c r="CP700" i="1"/>
  <c r="CQ700" i="1"/>
  <c r="CR700" i="1"/>
  <c r="CS700" i="1"/>
  <c r="CT700" i="1"/>
  <c r="CU700" i="1"/>
  <c r="CV700" i="1"/>
  <c r="BQ701" i="1"/>
  <c r="BR701" i="1"/>
  <c r="BS701" i="1"/>
  <c r="BV701" i="1"/>
  <c r="BW701" i="1"/>
  <c r="BX701" i="1"/>
  <c r="BY701" i="1"/>
  <c r="BZ701" i="1"/>
  <c r="CA701" i="1"/>
  <c r="CB701" i="1"/>
  <c r="CC701" i="1"/>
  <c r="CD701" i="1"/>
  <c r="CE701" i="1"/>
  <c r="CF701" i="1"/>
  <c r="CG701" i="1"/>
  <c r="CH701" i="1"/>
  <c r="CI701" i="1"/>
  <c r="CJ701" i="1"/>
  <c r="CK701" i="1"/>
  <c r="CL701" i="1"/>
  <c r="CM701" i="1"/>
  <c r="CN701" i="1"/>
  <c r="CO701" i="1"/>
  <c r="CP701" i="1"/>
  <c r="CQ701" i="1"/>
  <c r="CR701" i="1"/>
  <c r="CS701" i="1"/>
  <c r="CT701" i="1"/>
  <c r="CU701" i="1"/>
  <c r="CV701" i="1"/>
  <c r="BQ702" i="1"/>
  <c r="BR702" i="1"/>
  <c r="BS702" i="1"/>
  <c r="BV702" i="1"/>
  <c r="BW702" i="1"/>
  <c r="BX702" i="1"/>
  <c r="BY702" i="1"/>
  <c r="BZ702" i="1"/>
  <c r="CA702" i="1"/>
  <c r="CB702" i="1"/>
  <c r="CC702" i="1"/>
  <c r="CD702" i="1"/>
  <c r="CE702" i="1"/>
  <c r="CF702" i="1"/>
  <c r="CG702" i="1"/>
  <c r="CH702" i="1"/>
  <c r="CI702" i="1"/>
  <c r="CJ702" i="1"/>
  <c r="CK702" i="1"/>
  <c r="CL702" i="1"/>
  <c r="CM702" i="1"/>
  <c r="CN702" i="1"/>
  <c r="CO702" i="1"/>
  <c r="CP702" i="1"/>
  <c r="CQ702" i="1"/>
  <c r="CR702" i="1"/>
  <c r="CS702" i="1"/>
  <c r="CT702" i="1"/>
  <c r="CU702" i="1"/>
  <c r="CV702" i="1"/>
  <c r="BQ703" i="1"/>
  <c r="BR703" i="1"/>
  <c r="BS703" i="1"/>
  <c r="BV703" i="1"/>
  <c r="BW703" i="1"/>
  <c r="BX703" i="1"/>
  <c r="BY703" i="1"/>
  <c r="BZ703" i="1"/>
  <c r="CA703" i="1"/>
  <c r="CB703" i="1"/>
  <c r="CC703" i="1"/>
  <c r="CD703" i="1"/>
  <c r="CE703" i="1"/>
  <c r="CF703" i="1"/>
  <c r="CG703" i="1"/>
  <c r="CH703" i="1"/>
  <c r="CI703" i="1"/>
  <c r="CJ703" i="1"/>
  <c r="CK703" i="1"/>
  <c r="CL703" i="1"/>
  <c r="CM703" i="1"/>
  <c r="CN703" i="1"/>
  <c r="CO703" i="1"/>
  <c r="CP703" i="1"/>
  <c r="CQ703" i="1"/>
  <c r="CR703" i="1"/>
  <c r="CS703" i="1"/>
  <c r="CT703" i="1"/>
  <c r="CU703" i="1"/>
  <c r="CV703" i="1"/>
  <c r="BQ704" i="1"/>
  <c r="BR704" i="1"/>
  <c r="BS704" i="1"/>
  <c r="BV704" i="1"/>
  <c r="BW704" i="1"/>
  <c r="BX704" i="1"/>
  <c r="BY704" i="1"/>
  <c r="BZ704" i="1"/>
  <c r="CA704" i="1"/>
  <c r="CB704" i="1"/>
  <c r="CC704" i="1"/>
  <c r="CD704" i="1"/>
  <c r="CE704" i="1"/>
  <c r="CF704" i="1"/>
  <c r="CG704" i="1"/>
  <c r="CH704" i="1"/>
  <c r="CI704" i="1"/>
  <c r="CJ704" i="1"/>
  <c r="CK704" i="1"/>
  <c r="CL704" i="1"/>
  <c r="CM704" i="1"/>
  <c r="CN704" i="1"/>
  <c r="CO704" i="1"/>
  <c r="CP704" i="1"/>
  <c r="CQ704" i="1"/>
  <c r="CR704" i="1"/>
  <c r="CS704" i="1"/>
  <c r="CT704" i="1"/>
  <c r="CU704" i="1"/>
  <c r="CV704" i="1"/>
  <c r="BQ705" i="1"/>
  <c r="BR705" i="1"/>
  <c r="BS705" i="1"/>
  <c r="BV705" i="1"/>
  <c r="BW705" i="1"/>
  <c r="BX705" i="1"/>
  <c r="BY705" i="1"/>
  <c r="BZ705" i="1"/>
  <c r="CA705" i="1"/>
  <c r="CB705" i="1"/>
  <c r="CC705" i="1"/>
  <c r="CD705" i="1"/>
  <c r="CE705" i="1"/>
  <c r="CF705" i="1"/>
  <c r="CG705" i="1"/>
  <c r="CH705" i="1"/>
  <c r="CI705" i="1"/>
  <c r="CJ705" i="1"/>
  <c r="CK705" i="1"/>
  <c r="CL705" i="1"/>
  <c r="CM705" i="1"/>
  <c r="CN705" i="1"/>
  <c r="CO705" i="1"/>
  <c r="CP705" i="1"/>
  <c r="CQ705" i="1"/>
  <c r="CR705" i="1"/>
  <c r="CS705" i="1"/>
  <c r="CT705" i="1"/>
  <c r="CU705" i="1"/>
  <c r="CV705" i="1"/>
  <c r="BQ706" i="1"/>
  <c r="BR706" i="1"/>
  <c r="BS706" i="1"/>
  <c r="BV706" i="1"/>
  <c r="BW706" i="1"/>
  <c r="BX706" i="1"/>
  <c r="BY706" i="1"/>
  <c r="BZ706" i="1"/>
  <c r="CA706" i="1"/>
  <c r="CB706" i="1"/>
  <c r="CC706" i="1"/>
  <c r="CD706" i="1"/>
  <c r="CE706" i="1"/>
  <c r="CF706" i="1"/>
  <c r="CG706" i="1"/>
  <c r="CH706" i="1"/>
  <c r="CI706" i="1"/>
  <c r="CJ706" i="1"/>
  <c r="CK706" i="1"/>
  <c r="CL706" i="1"/>
  <c r="CM706" i="1"/>
  <c r="CN706" i="1"/>
  <c r="CO706" i="1"/>
  <c r="CP706" i="1"/>
  <c r="CQ706" i="1"/>
  <c r="CR706" i="1"/>
  <c r="CS706" i="1"/>
  <c r="CT706" i="1"/>
  <c r="CU706" i="1"/>
  <c r="CV706" i="1"/>
  <c r="BQ707" i="1"/>
  <c r="BR707" i="1"/>
  <c r="BS707" i="1"/>
  <c r="BV707" i="1"/>
  <c r="BW707" i="1"/>
  <c r="BX707" i="1"/>
  <c r="BY707" i="1"/>
  <c r="BZ707" i="1"/>
  <c r="CA707" i="1"/>
  <c r="CB707" i="1"/>
  <c r="CC707" i="1"/>
  <c r="CD707" i="1"/>
  <c r="CE707" i="1"/>
  <c r="CF707" i="1"/>
  <c r="CG707" i="1"/>
  <c r="CH707" i="1"/>
  <c r="CI707" i="1"/>
  <c r="CJ707" i="1"/>
  <c r="CK707" i="1"/>
  <c r="CL707" i="1"/>
  <c r="CM707" i="1"/>
  <c r="CN707" i="1"/>
  <c r="CO707" i="1"/>
  <c r="CP707" i="1"/>
  <c r="CQ707" i="1"/>
  <c r="CR707" i="1"/>
  <c r="CS707" i="1"/>
  <c r="CT707" i="1"/>
  <c r="CU707" i="1"/>
  <c r="CV707" i="1"/>
  <c r="BQ708" i="1"/>
  <c r="BR708" i="1"/>
  <c r="BS708" i="1"/>
  <c r="BV708" i="1"/>
  <c r="BW708" i="1"/>
  <c r="BX708" i="1"/>
  <c r="BY708" i="1"/>
  <c r="BZ708" i="1"/>
  <c r="CA708" i="1"/>
  <c r="CB708" i="1"/>
  <c r="CC708" i="1"/>
  <c r="CD708" i="1"/>
  <c r="CE708" i="1"/>
  <c r="CF708" i="1"/>
  <c r="CG708" i="1"/>
  <c r="CH708" i="1"/>
  <c r="CI708" i="1"/>
  <c r="CJ708" i="1"/>
  <c r="CK708" i="1"/>
  <c r="CL708" i="1"/>
  <c r="CM708" i="1"/>
  <c r="CN708" i="1"/>
  <c r="CO708" i="1"/>
  <c r="CP708" i="1"/>
  <c r="CQ708" i="1"/>
  <c r="CR708" i="1"/>
  <c r="CS708" i="1"/>
  <c r="CT708" i="1"/>
  <c r="CU708" i="1"/>
  <c r="CV708" i="1"/>
  <c r="BQ709" i="1"/>
  <c r="BR709" i="1"/>
  <c r="BS709" i="1"/>
  <c r="BV709" i="1"/>
  <c r="BW709" i="1"/>
  <c r="BX709" i="1"/>
  <c r="BY709" i="1"/>
  <c r="BZ709" i="1"/>
  <c r="CA709" i="1"/>
  <c r="CB709" i="1"/>
  <c r="CC709" i="1"/>
  <c r="CD709" i="1"/>
  <c r="CE709" i="1"/>
  <c r="CF709" i="1"/>
  <c r="CG709" i="1"/>
  <c r="CH709" i="1"/>
  <c r="CI709" i="1"/>
  <c r="CJ709" i="1"/>
  <c r="CK709" i="1"/>
  <c r="CL709" i="1"/>
  <c r="CM709" i="1"/>
  <c r="CN709" i="1"/>
  <c r="CO709" i="1"/>
  <c r="CP709" i="1"/>
  <c r="CQ709" i="1"/>
  <c r="CR709" i="1"/>
  <c r="CS709" i="1"/>
  <c r="CT709" i="1"/>
  <c r="CU709" i="1"/>
  <c r="CV709" i="1"/>
  <c r="BQ710" i="1"/>
  <c r="BR710" i="1"/>
  <c r="BS710" i="1"/>
  <c r="BV710" i="1"/>
  <c r="BW710" i="1"/>
  <c r="BX710" i="1"/>
  <c r="BY710" i="1"/>
  <c r="BZ710" i="1"/>
  <c r="CA710" i="1"/>
  <c r="CB710" i="1"/>
  <c r="CC710" i="1"/>
  <c r="CD710" i="1"/>
  <c r="CE710" i="1"/>
  <c r="CF710" i="1"/>
  <c r="CG710" i="1"/>
  <c r="CH710" i="1"/>
  <c r="CI710" i="1"/>
  <c r="CJ710" i="1"/>
  <c r="CK710" i="1"/>
  <c r="CL710" i="1"/>
  <c r="CM710" i="1"/>
  <c r="CN710" i="1"/>
  <c r="CO710" i="1"/>
  <c r="CP710" i="1"/>
  <c r="CQ710" i="1"/>
  <c r="CR710" i="1"/>
  <c r="CS710" i="1"/>
  <c r="CT710" i="1"/>
  <c r="CU710" i="1"/>
  <c r="CV710" i="1"/>
  <c r="BQ711" i="1"/>
  <c r="BR711" i="1"/>
  <c r="BS711" i="1"/>
  <c r="BV711" i="1"/>
  <c r="BW711" i="1"/>
  <c r="BX711" i="1"/>
  <c r="BY711" i="1"/>
  <c r="BZ711" i="1"/>
  <c r="CA711" i="1"/>
  <c r="CB711" i="1"/>
  <c r="CC711" i="1"/>
  <c r="CD711" i="1"/>
  <c r="CE711" i="1"/>
  <c r="CF711" i="1"/>
  <c r="CG711" i="1"/>
  <c r="CH711" i="1"/>
  <c r="CI711" i="1"/>
  <c r="CJ711" i="1"/>
  <c r="CK711" i="1"/>
  <c r="CL711" i="1"/>
  <c r="CM711" i="1"/>
  <c r="CN711" i="1"/>
  <c r="CO711" i="1"/>
  <c r="CP711" i="1"/>
  <c r="CQ711" i="1"/>
  <c r="CR711" i="1"/>
  <c r="CS711" i="1"/>
  <c r="CT711" i="1"/>
  <c r="CU711" i="1"/>
  <c r="CV711" i="1"/>
  <c r="BQ712" i="1"/>
  <c r="BR712" i="1"/>
  <c r="BS712" i="1"/>
  <c r="BV712" i="1"/>
  <c r="BW712" i="1"/>
  <c r="BX712" i="1"/>
  <c r="BY712" i="1"/>
  <c r="BZ712" i="1"/>
  <c r="CA712" i="1"/>
  <c r="CB712" i="1"/>
  <c r="CC712" i="1"/>
  <c r="CD712" i="1"/>
  <c r="CE712" i="1"/>
  <c r="CF712" i="1"/>
  <c r="CG712" i="1"/>
  <c r="CH712" i="1"/>
  <c r="CI712" i="1"/>
  <c r="CJ712" i="1"/>
  <c r="CK712" i="1"/>
  <c r="CL712" i="1"/>
  <c r="CM712" i="1"/>
  <c r="CN712" i="1"/>
  <c r="CO712" i="1"/>
  <c r="CP712" i="1"/>
  <c r="CQ712" i="1"/>
  <c r="CR712" i="1"/>
  <c r="CS712" i="1"/>
  <c r="CT712" i="1"/>
  <c r="CU712" i="1"/>
  <c r="CV712" i="1"/>
  <c r="BQ713" i="1"/>
  <c r="BR713" i="1"/>
  <c r="BS713" i="1"/>
  <c r="BV713" i="1"/>
  <c r="BW713" i="1"/>
  <c r="BX713" i="1"/>
  <c r="BY713" i="1"/>
  <c r="BZ713" i="1"/>
  <c r="CA713" i="1"/>
  <c r="CB713" i="1"/>
  <c r="CC713" i="1"/>
  <c r="CD713" i="1"/>
  <c r="CE713" i="1"/>
  <c r="CF713" i="1"/>
  <c r="CG713" i="1"/>
  <c r="CH713" i="1"/>
  <c r="CI713" i="1"/>
  <c r="CJ713" i="1"/>
  <c r="CK713" i="1"/>
  <c r="CL713" i="1"/>
  <c r="CM713" i="1"/>
  <c r="CN713" i="1"/>
  <c r="CO713" i="1"/>
  <c r="CP713" i="1"/>
  <c r="CQ713" i="1"/>
  <c r="CR713" i="1"/>
  <c r="CS713" i="1"/>
  <c r="CT713" i="1"/>
  <c r="CU713" i="1"/>
  <c r="CV713" i="1"/>
  <c r="BQ714" i="1"/>
  <c r="BR714" i="1"/>
  <c r="BS714" i="1"/>
  <c r="BV714" i="1"/>
  <c r="BW714" i="1"/>
  <c r="BX714" i="1"/>
  <c r="BY714" i="1"/>
  <c r="BZ714" i="1"/>
  <c r="CA714" i="1"/>
  <c r="CB714" i="1"/>
  <c r="CC714" i="1"/>
  <c r="CD714" i="1"/>
  <c r="CE714" i="1"/>
  <c r="CF714" i="1"/>
  <c r="CG714" i="1"/>
  <c r="CH714" i="1"/>
  <c r="CI714" i="1"/>
  <c r="CJ714" i="1"/>
  <c r="CK714" i="1"/>
  <c r="CL714" i="1"/>
  <c r="CM714" i="1"/>
  <c r="CN714" i="1"/>
  <c r="CO714" i="1"/>
  <c r="CP714" i="1"/>
  <c r="CQ714" i="1"/>
  <c r="CR714" i="1"/>
  <c r="CS714" i="1"/>
  <c r="CT714" i="1"/>
  <c r="CU714" i="1"/>
  <c r="CV714" i="1"/>
  <c r="BQ715" i="1"/>
  <c r="BR715" i="1"/>
  <c r="BS715" i="1"/>
  <c r="BV715" i="1"/>
  <c r="BW715" i="1"/>
  <c r="BX715" i="1"/>
  <c r="BY715" i="1"/>
  <c r="BZ715" i="1"/>
  <c r="CA715" i="1"/>
  <c r="CB715" i="1"/>
  <c r="CC715" i="1"/>
  <c r="CD715" i="1"/>
  <c r="CE715" i="1"/>
  <c r="CF715" i="1"/>
  <c r="CG715" i="1"/>
  <c r="CH715" i="1"/>
  <c r="CI715" i="1"/>
  <c r="CJ715" i="1"/>
  <c r="CK715" i="1"/>
  <c r="CL715" i="1"/>
  <c r="CM715" i="1"/>
  <c r="CN715" i="1"/>
  <c r="CO715" i="1"/>
  <c r="CP715" i="1"/>
  <c r="CQ715" i="1"/>
  <c r="CR715" i="1"/>
  <c r="CS715" i="1"/>
  <c r="CT715" i="1"/>
  <c r="CU715" i="1"/>
  <c r="CV715" i="1"/>
  <c r="BQ716" i="1"/>
  <c r="BR716" i="1"/>
  <c r="BS716" i="1"/>
  <c r="BV716" i="1"/>
  <c r="BW716" i="1"/>
  <c r="BX716" i="1"/>
  <c r="BY716" i="1"/>
  <c r="BZ716" i="1"/>
  <c r="CA716" i="1"/>
  <c r="CB716" i="1"/>
  <c r="CC716" i="1"/>
  <c r="CD716" i="1"/>
  <c r="CE716" i="1"/>
  <c r="CF716" i="1"/>
  <c r="CG716" i="1"/>
  <c r="CH716" i="1"/>
  <c r="CI716" i="1"/>
  <c r="CJ716" i="1"/>
  <c r="CK716" i="1"/>
  <c r="CL716" i="1"/>
  <c r="CM716" i="1"/>
  <c r="CN716" i="1"/>
  <c r="CO716" i="1"/>
  <c r="CP716" i="1"/>
  <c r="CQ716" i="1"/>
  <c r="CR716" i="1"/>
  <c r="CS716" i="1"/>
  <c r="CT716" i="1"/>
  <c r="CU716" i="1"/>
  <c r="CV716" i="1"/>
  <c r="BQ717" i="1"/>
  <c r="BR717" i="1"/>
  <c r="BS717" i="1"/>
  <c r="BV717" i="1"/>
  <c r="BW717" i="1"/>
  <c r="BX717" i="1"/>
  <c r="BY717" i="1"/>
  <c r="BZ717" i="1"/>
  <c r="CA717" i="1"/>
  <c r="CB717" i="1"/>
  <c r="CC717" i="1"/>
  <c r="CD717" i="1"/>
  <c r="CE717" i="1"/>
  <c r="CF717" i="1"/>
  <c r="CG717" i="1"/>
  <c r="CH717" i="1"/>
  <c r="CI717" i="1"/>
  <c r="CJ717" i="1"/>
  <c r="CK717" i="1"/>
  <c r="CL717" i="1"/>
  <c r="CM717" i="1"/>
  <c r="CN717" i="1"/>
  <c r="CO717" i="1"/>
  <c r="CP717" i="1"/>
  <c r="CQ717" i="1"/>
  <c r="CR717" i="1"/>
  <c r="CS717" i="1"/>
  <c r="CT717" i="1"/>
  <c r="CU717" i="1"/>
  <c r="CV717" i="1"/>
  <c r="BQ718" i="1"/>
  <c r="BR718" i="1"/>
  <c r="BS718" i="1"/>
  <c r="BV718" i="1"/>
  <c r="BW718" i="1"/>
  <c r="BX718" i="1"/>
  <c r="BY718" i="1"/>
  <c r="BZ718" i="1"/>
  <c r="CA718" i="1"/>
  <c r="CB718" i="1"/>
  <c r="CC718" i="1"/>
  <c r="CD718" i="1"/>
  <c r="CE718" i="1"/>
  <c r="CF718" i="1"/>
  <c r="CG718" i="1"/>
  <c r="CH718" i="1"/>
  <c r="CI718" i="1"/>
  <c r="CJ718" i="1"/>
  <c r="CK718" i="1"/>
  <c r="CL718" i="1"/>
  <c r="CM718" i="1"/>
  <c r="CN718" i="1"/>
  <c r="CO718" i="1"/>
  <c r="CP718" i="1"/>
  <c r="CQ718" i="1"/>
  <c r="CR718" i="1"/>
  <c r="CS718" i="1"/>
  <c r="CT718" i="1"/>
  <c r="CU718" i="1"/>
  <c r="CV718" i="1"/>
  <c r="BQ719" i="1"/>
  <c r="BR719" i="1"/>
  <c r="BS719" i="1"/>
  <c r="BV719" i="1"/>
  <c r="BW719" i="1"/>
  <c r="BX719" i="1"/>
  <c r="BY719" i="1"/>
  <c r="BZ719" i="1"/>
  <c r="CA719" i="1"/>
  <c r="CB719" i="1"/>
  <c r="CC719" i="1"/>
  <c r="CD719" i="1"/>
  <c r="CE719" i="1"/>
  <c r="CF719" i="1"/>
  <c r="CG719" i="1"/>
  <c r="CH719" i="1"/>
  <c r="CI719" i="1"/>
  <c r="CJ719" i="1"/>
  <c r="CK719" i="1"/>
  <c r="CL719" i="1"/>
  <c r="CM719" i="1"/>
  <c r="CN719" i="1"/>
  <c r="CO719" i="1"/>
  <c r="CP719" i="1"/>
  <c r="CQ719" i="1"/>
  <c r="CR719" i="1"/>
  <c r="CS719" i="1"/>
  <c r="CT719" i="1"/>
  <c r="CU719" i="1"/>
  <c r="CV719" i="1"/>
  <c r="BQ720" i="1"/>
  <c r="BR720" i="1"/>
  <c r="BS720" i="1"/>
  <c r="BV720" i="1"/>
  <c r="BW720" i="1"/>
  <c r="BX720" i="1"/>
  <c r="BY720" i="1"/>
  <c r="BZ720" i="1"/>
  <c r="CA720" i="1"/>
  <c r="CB720" i="1"/>
  <c r="CC720" i="1"/>
  <c r="CD720" i="1"/>
  <c r="CE720" i="1"/>
  <c r="CF720" i="1"/>
  <c r="CG720" i="1"/>
  <c r="CH720" i="1"/>
  <c r="CI720" i="1"/>
  <c r="CJ720" i="1"/>
  <c r="CK720" i="1"/>
  <c r="CL720" i="1"/>
  <c r="CM720" i="1"/>
  <c r="CN720" i="1"/>
  <c r="CO720" i="1"/>
  <c r="CP720" i="1"/>
  <c r="CQ720" i="1"/>
  <c r="CR720" i="1"/>
  <c r="CS720" i="1"/>
  <c r="CT720" i="1"/>
  <c r="CU720" i="1"/>
  <c r="CV720" i="1"/>
  <c r="BQ721" i="1"/>
  <c r="BR721" i="1"/>
  <c r="BS721" i="1"/>
  <c r="BV721" i="1"/>
  <c r="BW721" i="1"/>
  <c r="BX721" i="1"/>
  <c r="BY721" i="1"/>
  <c r="BZ721" i="1"/>
  <c r="CA721" i="1"/>
  <c r="CB721" i="1"/>
  <c r="CC721" i="1"/>
  <c r="CD721" i="1"/>
  <c r="CE721" i="1"/>
  <c r="CF721" i="1"/>
  <c r="CG721" i="1"/>
  <c r="CH721" i="1"/>
  <c r="CI721" i="1"/>
  <c r="CJ721" i="1"/>
  <c r="CK721" i="1"/>
  <c r="CL721" i="1"/>
  <c r="CM721" i="1"/>
  <c r="CN721" i="1"/>
  <c r="CO721" i="1"/>
  <c r="CP721" i="1"/>
  <c r="CQ721" i="1"/>
  <c r="CR721" i="1"/>
  <c r="CS721" i="1"/>
  <c r="CT721" i="1"/>
  <c r="CU721" i="1"/>
  <c r="CV721" i="1"/>
  <c r="BQ722" i="1"/>
  <c r="BR722" i="1"/>
  <c r="BS722" i="1"/>
  <c r="BV722" i="1"/>
  <c r="BW722" i="1"/>
  <c r="BX722" i="1"/>
  <c r="BY722" i="1"/>
  <c r="BZ722" i="1"/>
  <c r="CA722" i="1"/>
  <c r="CB722" i="1"/>
  <c r="CC722" i="1"/>
  <c r="CD722" i="1"/>
  <c r="CE722" i="1"/>
  <c r="CF722" i="1"/>
  <c r="CG722" i="1"/>
  <c r="CH722" i="1"/>
  <c r="CI722" i="1"/>
  <c r="CJ722" i="1"/>
  <c r="CK722" i="1"/>
  <c r="CL722" i="1"/>
  <c r="CM722" i="1"/>
  <c r="CN722" i="1"/>
  <c r="CO722" i="1"/>
  <c r="CP722" i="1"/>
  <c r="CQ722" i="1"/>
  <c r="CR722" i="1"/>
  <c r="CS722" i="1"/>
  <c r="CT722" i="1"/>
  <c r="CU722" i="1"/>
  <c r="CV722" i="1"/>
  <c r="BQ723" i="1"/>
  <c r="BR723" i="1"/>
  <c r="BS723" i="1"/>
  <c r="BV723" i="1"/>
  <c r="BW723" i="1"/>
  <c r="BX723" i="1"/>
  <c r="BY723" i="1"/>
  <c r="BZ723" i="1"/>
  <c r="CA723" i="1"/>
  <c r="CB723" i="1"/>
  <c r="CC723" i="1"/>
  <c r="CD723" i="1"/>
  <c r="CE723" i="1"/>
  <c r="CF723" i="1"/>
  <c r="CG723" i="1"/>
  <c r="CH723" i="1"/>
  <c r="CI723" i="1"/>
  <c r="CJ723" i="1"/>
  <c r="CK723" i="1"/>
  <c r="CL723" i="1"/>
  <c r="CM723" i="1"/>
  <c r="CN723" i="1"/>
  <c r="CO723" i="1"/>
  <c r="CP723" i="1"/>
  <c r="CQ723" i="1"/>
  <c r="CR723" i="1"/>
  <c r="CS723" i="1"/>
  <c r="CT723" i="1"/>
  <c r="CU723" i="1"/>
  <c r="CV723" i="1"/>
  <c r="BQ724" i="1"/>
  <c r="BR724" i="1"/>
  <c r="BS724" i="1"/>
  <c r="BV724" i="1"/>
  <c r="BW724" i="1"/>
  <c r="BX724" i="1"/>
  <c r="BY724" i="1"/>
  <c r="BZ724" i="1"/>
  <c r="CA724" i="1"/>
  <c r="CB724" i="1"/>
  <c r="CC724" i="1"/>
  <c r="CD724" i="1"/>
  <c r="CE724" i="1"/>
  <c r="CF724" i="1"/>
  <c r="CG724" i="1"/>
  <c r="CH724" i="1"/>
  <c r="CI724" i="1"/>
  <c r="CJ724" i="1"/>
  <c r="CK724" i="1"/>
  <c r="CL724" i="1"/>
  <c r="CM724" i="1"/>
  <c r="CN724" i="1"/>
  <c r="CO724" i="1"/>
  <c r="CP724" i="1"/>
  <c r="CQ724" i="1"/>
  <c r="CR724" i="1"/>
  <c r="CS724" i="1"/>
  <c r="CT724" i="1"/>
  <c r="CU724" i="1"/>
  <c r="CV724" i="1"/>
  <c r="BQ725" i="1"/>
  <c r="BR725" i="1"/>
  <c r="BS725" i="1"/>
  <c r="BV725" i="1"/>
  <c r="BW725" i="1"/>
  <c r="BX725" i="1"/>
  <c r="BY725" i="1"/>
  <c r="BZ725" i="1"/>
  <c r="CA725" i="1"/>
  <c r="CB725" i="1"/>
  <c r="CC725" i="1"/>
  <c r="CD725" i="1"/>
  <c r="CE725" i="1"/>
  <c r="CF725" i="1"/>
  <c r="CG725" i="1"/>
  <c r="CH725" i="1"/>
  <c r="CI725" i="1"/>
  <c r="CJ725" i="1"/>
  <c r="CK725" i="1"/>
  <c r="CL725" i="1"/>
  <c r="CM725" i="1"/>
  <c r="CN725" i="1"/>
  <c r="CO725" i="1"/>
  <c r="CP725" i="1"/>
  <c r="CQ725" i="1"/>
  <c r="CR725" i="1"/>
  <c r="CS725" i="1"/>
  <c r="CT725" i="1"/>
  <c r="CU725" i="1"/>
  <c r="CV725" i="1"/>
  <c r="BQ726" i="1"/>
  <c r="BR726" i="1"/>
  <c r="BS726" i="1"/>
  <c r="BV726" i="1"/>
  <c r="BW726" i="1"/>
  <c r="BX726" i="1"/>
  <c r="BY726" i="1"/>
  <c r="BZ726" i="1"/>
  <c r="CA726" i="1"/>
  <c r="CB726" i="1"/>
  <c r="CC726" i="1"/>
  <c r="CD726" i="1"/>
  <c r="CE726" i="1"/>
  <c r="CF726" i="1"/>
  <c r="CG726" i="1"/>
  <c r="CH726" i="1"/>
  <c r="CI726" i="1"/>
  <c r="CJ726" i="1"/>
  <c r="CK726" i="1"/>
  <c r="CL726" i="1"/>
  <c r="CM726" i="1"/>
  <c r="CN726" i="1"/>
  <c r="CO726" i="1"/>
  <c r="CP726" i="1"/>
  <c r="CQ726" i="1"/>
  <c r="CR726" i="1"/>
  <c r="CS726" i="1"/>
  <c r="CT726" i="1"/>
  <c r="CU726" i="1"/>
  <c r="CV726" i="1"/>
  <c r="BQ727" i="1"/>
  <c r="BR727" i="1"/>
  <c r="BS727" i="1"/>
  <c r="BV727" i="1"/>
  <c r="BW727" i="1"/>
  <c r="BX727" i="1"/>
  <c r="BY727" i="1"/>
  <c r="BZ727" i="1"/>
  <c r="CA727" i="1"/>
  <c r="CB727" i="1"/>
  <c r="CC727" i="1"/>
  <c r="CD727" i="1"/>
  <c r="CE727" i="1"/>
  <c r="CF727" i="1"/>
  <c r="CG727" i="1"/>
  <c r="CH727" i="1"/>
  <c r="CI727" i="1"/>
  <c r="CJ727" i="1"/>
  <c r="CK727" i="1"/>
  <c r="CL727" i="1"/>
  <c r="CM727" i="1"/>
  <c r="CN727" i="1"/>
  <c r="CO727" i="1"/>
  <c r="CP727" i="1"/>
  <c r="CQ727" i="1"/>
  <c r="CR727" i="1"/>
  <c r="CS727" i="1"/>
  <c r="CT727" i="1"/>
  <c r="CU727" i="1"/>
  <c r="CV727" i="1"/>
  <c r="BQ728" i="1"/>
  <c r="BR728" i="1"/>
  <c r="BS728" i="1"/>
  <c r="BV728" i="1"/>
  <c r="BW728" i="1"/>
  <c r="BX728" i="1"/>
  <c r="BY728" i="1"/>
  <c r="BZ728" i="1"/>
  <c r="CA728" i="1"/>
  <c r="CB728" i="1"/>
  <c r="CC728" i="1"/>
  <c r="CD728" i="1"/>
  <c r="CE728" i="1"/>
  <c r="CF728" i="1"/>
  <c r="CG728" i="1"/>
  <c r="CH728" i="1"/>
  <c r="CI728" i="1"/>
  <c r="CJ728" i="1"/>
  <c r="CK728" i="1"/>
  <c r="CL728" i="1"/>
  <c r="CM728" i="1"/>
  <c r="CN728" i="1"/>
  <c r="CO728" i="1"/>
  <c r="CP728" i="1"/>
  <c r="CQ728" i="1"/>
  <c r="CR728" i="1"/>
  <c r="CS728" i="1"/>
  <c r="CT728" i="1"/>
  <c r="CU728" i="1"/>
  <c r="CV728" i="1"/>
  <c r="BQ729" i="1"/>
  <c r="BR729" i="1"/>
  <c r="BS729" i="1"/>
  <c r="BV729" i="1"/>
  <c r="BW729" i="1"/>
  <c r="BX729" i="1"/>
  <c r="BY729" i="1"/>
  <c r="BZ729" i="1"/>
  <c r="CA729" i="1"/>
  <c r="CB729" i="1"/>
  <c r="CC729" i="1"/>
  <c r="CD729" i="1"/>
  <c r="CE729" i="1"/>
  <c r="CF729" i="1"/>
  <c r="CG729" i="1"/>
  <c r="CH729" i="1"/>
  <c r="CI729" i="1"/>
  <c r="CJ729" i="1"/>
  <c r="CK729" i="1"/>
  <c r="CL729" i="1"/>
  <c r="CM729" i="1"/>
  <c r="CN729" i="1"/>
  <c r="CO729" i="1"/>
  <c r="CP729" i="1"/>
  <c r="CQ729" i="1"/>
  <c r="CR729" i="1"/>
  <c r="CS729" i="1"/>
  <c r="CT729" i="1"/>
  <c r="CU729" i="1"/>
  <c r="CV729" i="1"/>
  <c r="BQ730" i="1"/>
  <c r="BR730" i="1"/>
  <c r="BS730" i="1"/>
  <c r="BV730" i="1"/>
  <c r="BW730" i="1"/>
  <c r="BX730" i="1"/>
  <c r="BY730" i="1"/>
  <c r="BZ730" i="1"/>
  <c r="CA730" i="1"/>
  <c r="CB730" i="1"/>
  <c r="CC730" i="1"/>
  <c r="CD730" i="1"/>
  <c r="CE730" i="1"/>
  <c r="CF730" i="1"/>
  <c r="CG730" i="1"/>
  <c r="CH730" i="1"/>
  <c r="CI730" i="1"/>
  <c r="CJ730" i="1"/>
  <c r="CK730" i="1"/>
  <c r="CL730" i="1"/>
  <c r="CM730" i="1"/>
  <c r="CN730" i="1"/>
  <c r="CO730" i="1"/>
  <c r="CP730" i="1"/>
  <c r="CQ730" i="1"/>
  <c r="CR730" i="1"/>
  <c r="CS730" i="1"/>
  <c r="CT730" i="1"/>
  <c r="CU730" i="1"/>
  <c r="CV730" i="1"/>
  <c r="BQ731" i="1"/>
  <c r="BR731" i="1"/>
  <c r="BS731" i="1"/>
  <c r="BV731" i="1"/>
  <c r="BW731" i="1"/>
  <c r="BX731" i="1"/>
  <c r="BY731" i="1"/>
  <c r="BZ731" i="1"/>
  <c r="CA731" i="1"/>
  <c r="CB731" i="1"/>
  <c r="CC731" i="1"/>
  <c r="CD731" i="1"/>
  <c r="CE731" i="1"/>
  <c r="CF731" i="1"/>
  <c r="CG731" i="1"/>
  <c r="CH731" i="1"/>
  <c r="CI731" i="1"/>
  <c r="CJ731" i="1"/>
  <c r="CK731" i="1"/>
  <c r="CL731" i="1"/>
  <c r="CM731" i="1"/>
  <c r="CN731" i="1"/>
  <c r="CO731" i="1"/>
  <c r="CP731" i="1"/>
  <c r="CQ731" i="1"/>
  <c r="CR731" i="1"/>
  <c r="CS731" i="1"/>
  <c r="CT731" i="1"/>
  <c r="CU731" i="1"/>
  <c r="CV731" i="1"/>
  <c r="BQ732" i="1"/>
  <c r="BR732" i="1"/>
  <c r="BS732" i="1"/>
  <c r="BV732" i="1"/>
  <c r="BW732" i="1"/>
  <c r="BX732" i="1"/>
  <c r="BY732" i="1"/>
  <c r="BZ732" i="1"/>
  <c r="CA732" i="1"/>
  <c r="CB732" i="1"/>
  <c r="CC732" i="1"/>
  <c r="CD732" i="1"/>
  <c r="CE732" i="1"/>
  <c r="CF732" i="1"/>
  <c r="CG732" i="1"/>
  <c r="CH732" i="1"/>
  <c r="CI732" i="1"/>
  <c r="CJ732" i="1"/>
  <c r="CK732" i="1"/>
  <c r="CL732" i="1"/>
  <c r="CM732" i="1"/>
  <c r="CN732" i="1"/>
  <c r="CO732" i="1"/>
  <c r="CP732" i="1"/>
  <c r="CQ732" i="1"/>
  <c r="CR732" i="1"/>
  <c r="CS732" i="1"/>
  <c r="CT732" i="1"/>
  <c r="CU732" i="1"/>
  <c r="CV732" i="1"/>
  <c r="BQ733" i="1"/>
  <c r="BR733" i="1"/>
  <c r="BS733" i="1"/>
  <c r="BV733" i="1"/>
  <c r="BW733" i="1"/>
  <c r="BX733" i="1"/>
  <c r="BY733" i="1"/>
  <c r="BZ733" i="1"/>
  <c r="CA733" i="1"/>
  <c r="CB733" i="1"/>
  <c r="CC733" i="1"/>
  <c r="CD733" i="1"/>
  <c r="CE733" i="1"/>
  <c r="CF733" i="1"/>
  <c r="CG733" i="1"/>
  <c r="CH733" i="1"/>
  <c r="CI733" i="1"/>
  <c r="CJ733" i="1"/>
  <c r="CK733" i="1"/>
  <c r="CL733" i="1"/>
  <c r="CM733" i="1"/>
  <c r="CN733" i="1"/>
  <c r="CO733" i="1"/>
  <c r="CP733" i="1"/>
  <c r="CQ733" i="1"/>
  <c r="CR733" i="1"/>
  <c r="CS733" i="1"/>
  <c r="CT733" i="1"/>
  <c r="CU733" i="1"/>
  <c r="CV733" i="1"/>
  <c r="BQ734" i="1"/>
  <c r="BR734" i="1"/>
  <c r="BS734" i="1"/>
  <c r="BV734" i="1"/>
  <c r="BW734" i="1"/>
  <c r="BX734" i="1"/>
  <c r="BY734" i="1"/>
  <c r="BZ734" i="1"/>
  <c r="CA734" i="1"/>
  <c r="CB734" i="1"/>
  <c r="CC734" i="1"/>
  <c r="CD734" i="1"/>
  <c r="CE734" i="1"/>
  <c r="CF734" i="1"/>
  <c r="CG734" i="1"/>
  <c r="CH734" i="1"/>
  <c r="CI734" i="1"/>
  <c r="CJ734" i="1"/>
  <c r="CK734" i="1"/>
  <c r="CL734" i="1"/>
  <c r="CM734" i="1"/>
  <c r="CN734" i="1"/>
  <c r="CO734" i="1"/>
  <c r="CP734" i="1"/>
  <c r="CQ734" i="1"/>
  <c r="CR734" i="1"/>
  <c r="CS734" i="1"/>
  <c r="CT734" i="1"/>
  <c r="CU734" i="1"/>
  <c r="CV734" i="1"/>
  <c r="BQ735" i="1"/>
  <c r="BR735" i="1"/>
  <c r="BS735" i="1"/>
  <c r="BV735" i="1"/>
  <c r="BW735" i="1"/>
  <c r="BX735" i="1"/>
  <c r="BY735" i="1"/>
  <c r="BZ735" i="1"/>
  <c r="CA735" i="1"/>
  <c r="CB735" i="1"/>
  <c r="CC735" i="1"/>
  <c r="CD735" i="1"/>
  <c r="CE735" i="1"/>
  <c r="CF735" i="1"/>
  <c r="CG735" i="1"/>
  <c r="CH735" i="1"/>
  <c r="CI735" i="1"/>
  <c r="CJ735" i="1"/>
  <c r="CK735" i="1"/>
  <c r="CL735" i="1"/>
  <c r="CM735" i="1"/>
  <c r="CN735" i="1"/>
  <c r="CO735" i="1"/>
  <c r="CP735" i="1"/>
  <c r="CQ735" i="1"/>
  <c r="CR735" i="1"/>
  <c r="CS735" i="1"/>
  <c r="CT735" i="1"/>
  <c r="CU735" i="1"/>
  <c r="CV735" i="1"/>
  <c r="BQ736" i="1"/>
  <c r="BR736" i="1"/>
  <c r="BS736" i="1"/>
  <c r="BV736" i="1"/>
  <c r="BW736" i="1"/>
  <c r="BX736" i="1"/>
  <c r="BY736" i="1"/>
  <c r="BZ736" i="1"/>
  <c r="CA736" i="1"/>
  <c r="CB736" i="1"/>
  <c r="CC736" i="1"/>
  <c r="CD736" i="1"/>
  <c r="CE736" i="1"/>
  <c r="CF736" i="1"/>
  <c r="CG736" i="1"/>
  <c r="CH736" i="1"/>
  <c r="CI736" i="1"/>
  <c r="CJ736" i="1"/>
  <c r="CK736" i="1"/>
  <c r="CL736" i="1"/>
  <c r="CM736" i="1"/>
  <c r="CN736" i="1"/>
  <c r="CO736" i="1"/>
  <c r="CP736" i="1"/>
  <c r="CQ736" i="1"/>
  <c r="CR736" i="1"/>
  <c r="CS736" i="1"/>
  <c r="CT736" i="1"/>
  <c r="CU736" i="1"/>
  <c r="CV736" i="1"/>
  <c r="BQ737" i="1"/>
  <c r="BR737" i="1"/>
  <c r="BS737" i="1"/>
  <c r="BV737" i="1"/>
  <c r="BW737" i="1"/>
  <c r="BX737" i="1"/>
  <c r="BY737" i="1"/>
  <c r="BZ737" i="1"/>
  <c r="CA737" i="1"/>
  <c r="CB737" i="1"/>
  <c r="CC737" i="1"/>
  <c r="CD737" i="1"/>
  <c r="CE737" i="1"/>
  <c r="CF737" i="1"/>
  <c r="CG737" i="1"/>
  <c r="CH737" i="1"/>
  <c r="CI737" i="1"/>
  <c r="CJ737" i="1"/>
  <c r="CK737" i="1"/>
  <c r="CL737" i="1"/>
  <c r="CM737" i="1"/>
  <c r="CN737" i="1"/>
  <c r="CO737" i="1"/>
  <c r="CP737" i="1"/>
  <c r="CQ737" i="1"/>
  <c r="CR737" i="1"/>
  <c r="CS737" i="1"/>
  <c r="CT737" i="1"/>
  <c r="CU737" i="1"/>
  <c r="CV737" i="1"/>
  <c r="BQ738" i="1"/>
  <c r="BR738" i="1"/>
  <c r="BS738" i="1"/>
  <c r="BV738" i="1"/>
  <c r="BW738" i="1"/>
  <c r="BX738" i="1"/>
  <c r="BY738" i="1"/>
  <c r="BZ738" i="1"/>
  <c r="CA738" i="1"/>
  <c r="CB738" i="1"/>
  <c r="CC738" i="1"/>
  <c r="CD738" i="1"/>
  <c r="CE738" i="1"/>
  <c r="CF738" i="1"/>
  <c r="CG738" i="1"/>
  <c r="CH738" i="1"/>
  <c r="CI738" i="1"/>
  <c r="CJ738" i="1"/>
  <c r="CK738" i="1"/>
  <c r="CL738" i="1"/>
  <c r="CM738" i="1"/>
  <c r="CN738" i="1"/>
  <c r="CO738" i="1"/>
  <c r="CP738" i="1"/>
  <c r="CQ738" i="1"/>
  <c r="CR738" i="1"/>
  <c r="CS738" i="1"/>
  <c r="CT738" i="1"/>
  <c r="CU738" i="1"/>
  <c r="CV738" i="1"/>
  <c r="BQ739" i="1"/>
  <c r="BR739" i="1"/>
  <c r="BS739" i="1"/>
  <c r="BV739" i="1"/>
  <c r="BW739" i="1"/>
  <c r="BX739" i="1"/>
  <c r="BY739" i="1"/>
  <c r="BZ739" i="1"/>
  <c r="CA739" i="1"/>
  <c r="CB739" i="1"/>
  <c r="CC739" i="1"/>
  <c r="CD739" i="1"/>
  <c r="CE739" i="1"/>
  <c r="CF739" i="1"/>
  <c r="CG739" i="1"/>
  <c r="CH739" i="1"/>
  <c r="CI739" i="1"/>
  <c r="CJ739" i="1"/>
  <c r="CK739" i="1"/>
  <c r="CL739" i="1"/>
  <c r="CM739" i="1"/>
  <c r="CN739" i="1"/>
  <c r="CO739" i="1"/>
  <c r="CP739" i="1"/>
  <c r="CQ739" i="1"/>
  <c r="CR739" i="1"/>
  <c r="CS739" i="1"/>
  <c r="CT739" i="1"/>
  <c r="CU739" i="1"/>
  <c r="CV739" i="1"/>
  <c r="BQ740" i="1"/>
  <c r="BR740" i="1"/>
  <c r="BS740" i="1"/>
  <c r="BV740" i="1"/>
  <c r="BW740" i="1"/>
  <c r="BX740" i="1"/>
  <c r="BY740" i="1"/>
  <c r="BZ740" i="1"/>
  <c r="CA740" i="1"/>
  <c r="CB740" i="1"/>
  <c r="CC740" i="1"/>
  <c r="CD740" i="1"/>
  <c r="CE740" i="1"/>
  <c r="CF740" i="1"/>
  <c r="CG740" i="1"/>
  <c r="CH740" i="1"/>
  <c r="CI740" i="1"/>
  <c r="CJ740" i="1"/>
  <c r="CK740" i="1"/>
  <c r="CL740" i="1"/>
  <c r="CM740" i="1"/>
  <c r="CN740" i="1"/>
  <c r="CO740" i="1"/>
  <c r="CP740" i="1"/>
  <c r="CQ740" i="1"/>
  <c r="CR740" i="1"/>
  <c r="CS740" i="1"/>
  <c r="CT740" i="1"/>
  <c r="CU740" i="1"/>
  <c r="CV740" i="1"/>
  <c r="BQ741" i="1"/>
  <c r="BR741" i="1"/>
  <c r="BS741" i="1"/>
  <c r="BV741" i="1"/>
  <c r="BW741" i="1"/>
  <c r="BX741" i="1"/>
  <c r="BY741" i="1"/>
  <c r="BZ741" i="1"/>
  <c r="CA741" i="1"/>
  <c r="CB741" i="1"/>
  <c r="CC741" i="1"/>
  <c r="CD741" i="1"/>
  <c r="CE741" i="1"/>
  <c r="CF741" i="1"/>
  <c r="CG741" i="1"/>
  <c r="CH741" i="1"/>
  <c r="CI741" i="1"/>
  <c r="CJ741" i="1"/>
  <c r="CK741" i="1"/>
  <c r="CL741" i="1"/>
  <c r="CM741" i="1"/>
  <c r="CN741" i="1"/>
  <c r="CO741" i="1"/>
  <c r="CP741" i="1"/>
  <c r="CQ741" i="1"/>
  <c r="CR741" i="1"/>
  <c r="CS741" i="1"/>
  <c r="CT741" i="1"/>
  <c r="CU741" i="1"/>
  <c r="CV741" i="1"/>
  <c r="BQ742" i="1"/>
  <c r="BR742" i="1"/>
  <c r="BS742" i="1"/>
  <c r="BV742" i="1"/>
  <c r="BW742" i="1"/>
  <c r="BX742" i="1"/>
  <c r="BY742" i="1"/>
  <c r="BZ742" i="1"/>
  <c r="CA742" i="1"/>
  <c r="CB742" i="1"/>
  <c r="CC742" i="1"/>
  <c r="CD742" i="1"/>
  <c r="CE742" i="1"/>
  <c r="CF742" i="1"/>
  <c r="CG742" i="1"/>
  <c r="CH742" i="1"/>
  <c r="CI742" i="1"/>
  <c r="CJ742" i="1"/>
  <c r="CK742" i="1"/>
  <c r="CL742" i="1"/>
  <c r="CM742" i="1"/>
  <c r="CN742" i="1"/>
  <c r="CO742" i="1"/>
  <c r="CP742" i="1"/>
  <c r="CQ742" i="1"/>
  <c r="CR742" i="1"/>
  <c r="CS742" i="1"/>
  <c r="CT742" i="1"/>
  <c r="CU742" i="1"/>
  <c r="CV742" i="1"/>
  <c r="BQ743" i="1"/>
  <c r="BR743" i="1"/>
  <c r="BS743" i="1"/>
  <c r="BV743" i="1"/>
  <c r="BW743" i="1"/>
  <c r="BX743" i="1"/>
  <c r="BY743" i="1"/>
  <c r="BZ743" i="1"/>
  <c r="CA743" i="1"/>
  <c r="CB743" i="1"/>
  <c r="CC743" i="1"/>
  <c r="CD743" i="1"/>
  <c r="CE743" i="1"/>
  <c r="CF743" i="1"/>
  <c r="CG743" i="1"/>
  <c r="CH743" i="1"/>
  <c r="CI743" i="1"/>
  <c r="CJ743" i="1"/>
  <c r="CK743" i="1"/>
  <c r="CL743" i="1"/>
  <c r="CM743" i="1"/>
  <c r="CN743" i="1"/>
  <c r="CO743" i="1"/>
  <c r="CP743" i="1"/>
  <c r="CQ743" i="1"/>
  <c r="CR743" i="1"/>
  <c r="CS743" i="1"/>
  <c r="CT743" i="1"/>
  <c r="CU743" i="1"/>
  <c r="CV743" i="1"/>
  <c r="BQ744" i="1"/>
  <c r="BR744" i="1"/>
  <c r="BS744" i="1"/>
  <c r="BV744" i="1"/>
  <c r="BW744" i="1"/>
  <c r="BX744" i="1"/>
  <c r="BY744" i="1"/>
  <c r="BZ744" i="1"/>
  <c r="CA744" i="1"/>
  <c r="CB744" i="1"/>
  <c r="CC744" i="1"/>
  <c r="CD744" i="1"/>
  <c r="CE744" i="1"/>
  <c r="CF744" i="1"/>
  <c r="CG744" i="1"/>
  <c r="CH744" i="1"/>
  <c r="CI744" i="1"/>
  <c r="CJ744" i="1"/>
  <c r="CK744" i="1"/>
  <c r="CL744" i="1"/>
  <c r="CM744" i="1"/>
  <c r="CN744" i="1"/>
  <c r="CO744" i="1"/>
  <c r="CP744" i="1"/>
  <c r="CQ744" i="1"/>
  <c r="CR744" i="1"/>
  <c r="CS744" i="1"/>
  <c r="CT744" i="1"/>
  <c r="CU744" i="1"/>
  <c r="CV744" i="1"/>
  <c r="BQ745" i="1"/>
  <c r="BR745" i="1"/>
  <c r="BS745" i="1"/>
  <c r="BV745" i="1"/>
  <c r="BW745" i="1"/>
  <c r="BX745" i="1"/>
  <c r="BY745" i="1"/>
  <c r="BZ745" i="1"/>
  <c r="CA745" i="1"/>
  <c r="CB745" i="1"/>
  <c r="CC745" i="1"/>
  <c r="CD745" i="1"/>
  <c r="CE745" i="1"/>
  <c r="CF745" i="1"/>
  <c r="CG745" i="1"/>
  <c r="CH745" i="1"/>
  <c r="CI745" i="1"/>
  <c r="CJ745" i="1"/>
  <c r="CK745" i="1"/>
  <c r="CL745" i="1"/>
  <c r="CM745" i="1"/>
  <c r="CN745" i="1"/>
  <c r="CO745" i="1"/>
  <c r="CP745" i="1"/>
  <c r="CQ745" i="1"/>
  <c r="CR745" i="1"/>
  <c r="CS745" i="1"/>
  <c r="CT745" i="1"/>
  <c r="CU745" i="1"/>
  <c r="CV745" i="1"/>
  <c r="BQ746" i="1"/>
  <c r="BR746" i="1"/>
  <c r="BS746" i="1"/>
  <c r="BV746" i="1"/>
  <c r="BW746" i="1"/>
  <c r="BX746" i="1"/>
  <c r="BY746" i="1"/>
  <c r="BZ746" i="1"/>
  <c r="CA746" i="1"/>
  <c r="CB746" i="1"/>
  <c r="CC746" i="1"/>
  <c r="CD746" i="1"/>
  <c r="CE746" i="1"/>
  <c r="CF746" i="1"/>
  <c r="CG746" i="1"/>
  <c r="CH746" i="1"/>
  <c r="CI746" i="1"/>
  <c r="CJ746" i="1"/>
  <c r="CK746" i="1"/>
  <c r="CL746" i="1"/>
  <c r="CM746" i="1"/>
  <c r="CN746" i="1"/>
  <c r="CO746" i="1"/>
  <c r="CP746" i="1"/>
  <c r="CQ746" i="1"/>
  <c r="CR746" i="1"/>
  <c r="CS746" i="1"/>
  <c r="CT746" i="1"/>
  <c r="CU746" i="1"/>
  <c r="CV746" i="1"/>
  <c r="BQ747" i="1"/>
  <c r="BR747" i="1"/>
  <c r="BS747" i="1"/>
  <c r="BV747" i="1"/>
  <c r="BW747" i="1"/>
  <c r="BX747" i="1"/>
  <c r="BY747" i="1"/>
  <c r="BZ747" i="1"/>
  <c r="CA747" i="1"/>
  <c r="CB747" i="1"/>
  <c r="CC747" i="1"/>
  <c r="CD747" i="1"/>
  <c r="CE747" i="1"/>
  <c r="CF747" i="1"/>
  <c r="CG747" i="1"/>
  <c r="CH747" i="1"/>
  <c r="CI747" i="1"/>
  <c r="CJ747" i="1"/>
  <c r="CK747" i="1"/>
  <c r="CL747" i="1"/>
  <c r="CM747" i="1"/>
  <c r="CN747" i="1"/>
  <c r="CO747" i="1"/>
  <c r="CP747" i="1"/>
  <c r="CQ747" i="1"/>
  <c r="CR747" i="1"/>
  <c r="CS747" i="1"/>
  <c r="CT747" i="1"/>
  <c r="CU747" i="1"/>
  <c r="CV747" i="1"/>
  <c r="BQ748" i="1"/>
  <c r="BR748" i="1"/>
  <c r="BS748" i="1"/>
  <c r="BV748" i="1"/>
  <c r="BW748" i="1"/>
  <c r="BX748" i="1"/>
  <c r="BY748" i="1"/>
  <c r="BZ748" i="1"/>
  <c r="CA748" i="1"/>
  <c r="CB748" i="1"/>
  <c r="CC748" i="1"/>
  <c r="CD748" i="1"/>
  <c r="CE748" i="1"/>
  <c r="CF748" i="1"/>
  <c r="CG748" i="1"/>
  <c r="CH748" i="1"/>
  <c r="CI748" i="1"/>
  <c r="CJ748" i="1"/>
  <c r="CK748" i="1"/>
  <c r="CL748" i="1"/>
  <c r="CM748" i="1"/>
  <c r="CN748" i="1"/>
  <c r="CO748" i="1"/>
  <c r="CP748" i="1"/>
  <c r="CQ748" i="1"/>
  <c r="CR748" i="1"/>
  <c r="CS748" i="1"/>
  <c r="CT748" i="1"/>
  <c r="CU748" i="1"/>
  <c r="CV748" i="1"/>
  <c r="BQ749" i="1"/>
  <c r="BR749" i="1"/>
  <c r="BS749" i="1"/>
  <c r="BV749" i="1"/>
  <c r="BW749" i="1"/>
  <c r="BX749" i="1"/>
  <c r="BY749" i="1"/>
  <c r="BZ749" i="1"/>
  <c r="CA749" i="1"/>
  <c r="CB749" i="1"/>
  <c r="CC749" i="1"/>
  <c r="CD749" i="1"/>
  <c r="CE749" i="1"/>
  <c r="CF749" i="1"/>
  <c r="CG749" i="1"/>
  <c r="CH749" i="1"/>
  <c r="CI749" i="1"/>
  <c r="CJ749" i="1"/>
  <c r="CK749" i="1"/>
  <c r="CL749" i="1"/>
  <c r="CM749" i="1"/>
  <c r="CN749" i="1"/>
  <c r="CO749" i="1"/>
  <c r="CP749" i="1"/>
  <c r="CQ749" i="1"/>
  <c r="CR749" i="1"/>
  <c r="CS749" i="1"/>
  <c r="CT749" i="1"/>
  <c r="CU749" i="1"/>
  <c r="CV749" i="1"/>
  <c r="BQ750" i="1"/>
  <c r="BR750" i="1"/>
  <c r="BS750" i="1"/>
  <c r="BV750" i="1"/>
  <c r="BW750" i="1"/>
  <c r="BX750" i="1"/>
  <c r="BY750" i="1"/>
  <c r="BZ750" i="1"/>
  <c r="CA750" i="1"/>
  <c r="CB750" i="1"/>
  <c r="CC750" i="1"/>
  <c r="CD750" i="1"/>
  <c r="CE750" i="1"/>
  <c r="CF750" i="1"/>
  <c r="CG750" i="1"/>
  <c r="CH750" i="1"/>
  <c r="CI750" i="1"/>
  <c r="CJ750" i="1"/>
  <c r="CK750" i="1"/>
  <c r="CL750" i="1"/>
  <c r="CM750" i="1"/>
  <c r="CN750" i="1"/>
  <c r="CO750" i="1"/>
  <c r="CP750" i="1"/>
  <c r="CQ750" i="1"/>
  <c r="CR750" i="1"/>
  <c r="CS750" i="1"/>
  <c r="CT750" i="1"/>
  <c r="CU750" i="1"/>
  <c r="CV750" i="1"/>
  <c r="BQ751" i="1"/>
  <c r="BR751" i="1"/>
  <c r="BS751" i="1"/>
  <c r="BV751" i="1"/>
  <c r="BW751" i="1"/>
  <c r="BX751" i="1"/>
  <c r="BY751" i="1"/>
  <c r="BZ751" i="1"/>
  <c r="CA751" i="1"/>
  <c r="CB751" i="1"/>
  <c r="CC751" i="1"/>
  <c r="CD751" i="1"/>
  <c r="CE751" i="1"/>
  <c r="CF751" i="1"/>
  <c r="CG751" i="1"/>
  <c r="CH751" i="1"/>
  <c r="CI751" i="1"/>
  <c r="CJ751" i="1"/>
  <c r="CK751" i="1"/>
  <c r="CL751" i="1"/>
  <c r="CM751" i="1"/>
  <c r="CN751" i="1"/>
  <c r="CO751" i="1"/>
  <c r="CP751" i="1"/>
  <c r="CQ751" i="1"/>
  <c r="CR751" i="1"/>
  <c r="CS751" i="1"/>
  <c r="CT751" i="1"/>
  <c r="CU751" i="1"/>
  <c r="CV751" i="1"/>
  <c r="BQ752" i="1"/>
  <c r="BR752" i="1"/>
  <c r="BS752" i="1"/>
  <c r="BV752" i="1"/>
  <c r="BW752" i="1"/>
  <c r="BX752" i="1"/>
  <c r="BY752" i="1"/>
  <c r="BZ752" i="1"/>
  <c r="CA752" i="1"/>
  <c r="CB752" i="1"/>
  <c r="CC752" i="1"/>
  <c r="CD752" i="1"/>
  <c r="CE752" i="1"/>
  <c r="CF752" i="1"/>
  <c r="CG752" i="1"/>
  <c r="CH752" i="1"/>
  <c r="CI752" i="1"/>
  <c r="CJ752" i="1"/>
  <c r="CK752" i="1"/>
  <c r="CL752" i="1"/>
  <c r="CM752" i="1"/>
  <c r="CN752" i="1"/>
  <c r="CO752" i="1"/>
  <c r="CP752" i="1"/>
  <c r="CQ752" i="1"/>
  <c r="CR752" i="1"/>
  <c r="CS752" i="1"/>
  <c r="CT752" i="1"/>
  <c r="CU752" i="1"/>
  <c r="CV752" i="1"/>
  <c r="BQ753" i="1"/>
  <c r="BR753" i="1"/>
  <c r="BS753" i="1"/>
  <c r="BV753" i="1"/>
  <c r="BW753" i="1"/>
  <c r="BX753" i="1"/>
  <c r="BY753" i="1"/>
  <c r="BZ753" i="1"/>
  <c r="CA753" i="1"/>
  <c r="CB753" i="1"/>
  <c r="CC753" i="1"/>
  <c r="CD753" i="1"/>
  <c r="CE753" i="1"/>
  <c r="CF753" i="1"/>
  <c r="CG753" i="1"/>
  <c r="CH753" i="1"/>
  <c r="CI753" i="1"/>
  <c r="CJ753" i="1"/>
  <c r="CK753" i="1"/>
  <c r="CL753" i="1"/>
  <c r="CM753" i="1"/>
  <c r="CN753" i="1"/>
  <c r="CO753" i="1"/>
  <c r="CP753" i="1"/>
  <c r="CQ753" i="1"/>
  <c r="CR753" i="1"/>
  <c r="CS753" i="1"/>
  <c r="CT753" i="1"/>
  <c r="CU753" i="1"/>
  <c r="CV753" i="1"/>
  <c r="BQ754" i="1"/>
  <c r="BR754" i="1"/>
  <c r="BS754" i="1"/>
  <c r="BV754" i="1"/>
  <c r="BW754" i="1"/>
  <c r="BX754" i="1"/>
  <c r="BY754" i="1"/>
  <c r="BZ754" i="1"/>
  <c r="CA754" i="1"/>
  <c r="CB754" i="1"/>
  <c r="CC754" i="1"/>
  <c r="CD754" i="1"/>
  <c r="CE754" i="1"/>
  <c r="CF754" i="1"/>
  <c r="CG754" i="1"/>
  <c r="CH754" i="1"/>
  <c r="CI754" i="1"/>
  <c r="CJ754" i="1"/>
  <c r="CK754" i="1"/>
  <c r="CL754" i="1"/>
  <c r="CM754" i="1"/>
  <c r="CN754" i="1"/>
  <c r="CO754" i="1"/>
  <c r="CP754" i="1"/>
  <c r="CQ754" i="1"/>
  <c r="CR754" i="1"/>
  <c r="CS754" i="1"/>
  <c r="CT754" i="1"/>
  <c r="CU754" i="1"/>
  <c r="CV754" i="1"/>
  <c r="BQ755" i="1"/>
  <c r="BR755" i="1"/>
  <c r="BS755" i="1"/>
  <c r="BV755" i="1"/>
  <c r="BW755" i="1"/>
  <c r="BX755" i="1"/>
  <c r="BY755" i="1"/>
  <c r="BZ755" i="1"/>
  <c r="CA755" i="1"/>
  <c r="CB755" i="1"/>
  <c r="CC755" i="1"/>
  <c r="CD755" i="1"/>
  <c r="CE755" i="1"/>
  <c r="CF755" i="1"/>
  <c r="CG755" i="1"/>
  <c r="CH755" i="1"/>
  <c r="CI755" i="1"/>
  <c r="CJ755" i="1"/>
  <c r="CK755" i="1"/>
  <c r="CL755" i="1"/>
  <c r="CM755" i="1"/>
  <c r="CN755" i="1"/>
  <c r="CO755" i="1"/>
  <c r="CP755" i="1"/>
  <c r="CQ755" i="1"/>
  <c r="CR755" i="1"/>
  <c r="CS755" i="1"/>
  <c r="CT755" i="1"/>
  <c r="CU755" i="1"/>
  <c r="CV755" i="1"/>
  <c r="BQ756" i="1"/>
  <c r="BR756" i="1"/>
  <c r="BS756" i="1"/>
  <c r="BV756" i="1"/>
  <c r="BW756" i="1"/>
  <c r="BX756" i="1"/>
  <c r="BY756" i="1"/>
  <c r="BZ756" i="1"/>
  <c r="CA756" i="1"/>
  <c r="CB756" i="1"/>
  <c r="CC756" i="1"/>
  <c r="CD756" i="1"/>
  <c r="CE756" i="1"/>
  <c r="CF756" i="1"/>
  <c r="CG756" i="1"/>
  <c r="CH756" i="1"/>
  <c r="CI756" i="1"/>
  <c r="CJ756" i="1"/>
  <c r="CK756" i="1"/>
  <c r="CL756" i="1"/>
  <c r="CM756" i="1"/>
  <c r="CN756" i="1"/>
  <c r="CO756" i="1"/>
  <c r="CP756" i="1"/>
  <c r="CQ756" i="1"/>
  <c r="CR756" i="1"/>
  <c r="CS756" i="1"/>
  <c r="CT756" i="1"/>
  <c r="CU756" i="1"/>
  <c r="CV756" i="1"/>
  <c r="BQ757" i="1"/>
  <c r="BR757" i="1"/>
  <c r="BS757" i="1"/>
  <c r="BV757" i="1"/>
  <c r="BW757" i="1"/>
  <c r="BX757" i="1"/>
  <c r="BY757" i="1"/>
  <c r="BZ757" i="1"/>
  <c r="CA757" i="1"/>
  <c r="CB757" i="1"/>
  <c r="CC757" i="1"/>
  <c r="CD757" i="1"/>
  <c r="CE757" i="1"/>
  <c r="CF757" i="1"/>
  <c r="CG757" i="1"/>
  <c r="CH757" i="1"/>
  <c r="CI757" i="1"/>
  <c r="CJ757" i="1"/>
  <c r="CK757" i="1"/>
  <c r="CL757" i="1"/>
  <c r="CM757" i="1"/>
  <c r="CN757" i="1"/>
  <c r="CO757" i="1"/>
  <c r="CP757" i="1"/>
  <c r="CQ757" i="1"/>
  <c r="CR757" i="1"/>
  <c r="CS757" i="1"/>
  <c r="CT757" i="1"/>
  <c r="CU757" i="1"/>
  <c r="CV757" i="1"/>
  <c r="BQ758" i="1"/>
  <c r="BR758" i="1"/>
  <c r="BS758" i="1"/>
  <c r="BV758" i="1"/>
  <c r="BW758" i="1"/>
  <c r="BX758" i="1"/>
  <c r="BY758" i="1"/>
  <c r="BZ758" i="1"/>
  <c r="CA758" i="1"/>
  <c r="CB758" i="1"/>
  <c r="CC758" i="1"/>
  <c r="CD758" i="1"/>
  <c r="CE758" i="1"/>
  <c r="CF758" i="1"/>
  <c r="CG758" i="1"/>
  <c r="CH758" i="1"/>
  <c r="CI758" i="1"/>
  <c r="CJ758" i="1"/>
  <c r="CK758" i="1"/>
  <c r="CL758" i="1"/>
  <c r="CM758" i="1"/>
  <c r="CN758" i="1"/>
  <c r="CO758" i="1"/>
  <c r="CP758" i="1"/>
  <c r="CQ758" i="1"/>
  <c r="CR758" i="1"/>
  <c r="CS758" i="1"/>
  <c r="CT758" i="1"/>
  <c r="CU758" i="1"/>
  <c r="CV758" i="1"/>
  <c r="BQ759" i="1"/>
  <c r="BR759" i="1"/>
  <c r="BS759" i="1"/>
  <c r="BV759" i="1"/>
  <c r="BW759" i="1"/>
  <c r="BX759" i="1"/>
  <c r="BY759" i="1"/>
  <c r="BZ759" i="1"/>
  <c r="CA759" i="1"/>
  <c r="CB759" i="1"/>
  <c r="CC759" i="1"/>
  <c r="CD759" i="1"/>
  <c r="CE759" i="1"/>
  <c r="CF759" i="1"/>
  <c r="CG759" i="1"/>
  <c r="CH759" i="1"/>
  <c r="CI759" i="1"/>
  <c r="CJ759" i="1"/>
  <c r="CK759" i="1"/>
  <c r="CL759" i="1"/>
  <c r="CM759" i="1"/>
  <c r="CN759" i="1"/>
  <c r="CO759" i="1"/>
  <c r="CP759" i="1"/>
  <c r="CQ759" i="1"/>
  <c r="CR759" i="1"/>
  <c r="CS759" i="1"/>
  <c r="CT759" i="1"/>
  <c r="CU759" i="1"/>
  <c r="CV759" i="1"/>
  <c r="BQ760" i="1"/>
  <c r="BR760" i="1"/>
  <c r="BS760" i="1"/>
  <c r="BV760" i="1"/>
  <c r="BW760" i="1"/>
  <c r="BX760" i="1"/>
  <c r="BY760" i="1"/>
  <c r="BZ760" i="1"/>
  <c r="CA760" i="1"/>
  <c r="CB760" i="1"/>
  <c r="CC760" i="1"/>
  <c r="CD760" i="1"/>
  <c r="CE760" i="1"/>
  <c r="CF760" i="1"/>
  <c r="CG760" i="1"/>
  <c r="CH760" i="1"/>
  <c r="CI760" i="1"/>
  <c r="CJ760" i="1"/>
  <c r="CK760" i="1"/>
  <c r="CL760" i="1"/>
  <c r="CM760" i="1"/>
  <c r="CN760" i="1"/>
  <c r="CO760" i="1"/>
  <c r="CP760" i="1"/>
  <c r="CQ760" i="1"/>
  <c r="CR760" i="1"/>
  <c r="CS760" i="1"/>
  <c r="CT760" i="1"/>
  <c r="CU760" i="1"/>
  <c r="CV760" i="1"/>
  <c r="BQ761" i="1"/>
  <c r="BR761" i="1"/>
  <c r="BS761" i="1"/>
  <c r="BV761" i="1"/>
  <c r="BW761" i="1"/>
  <c r="BX761" i="1"/>
  <c r="BY761" i="1"/>
  <c r="BZ761" i="1"/>
  <c r="CA761" i="1"/>
  <c r="CB761" i="1"/>
  <c r="CC761" i="1"/>
  <c r="CD761" i="1"/>
  <c r="CE761" i="1"/>
  <c r="CF761" i="1"/>
  <c r="CG761" i="1"/>
  <c r="CH761" i="1"/>
  <c r="CI761" i="1"/>
  <c r="CJ761" i="1"/>
  <c r="CK761" i="1"/>
  <c r="CL761" i="1"/>
  <c r="CM761" i="1"/>
  <c r="CN761" i="1"/>
  <c r="CO761" i="1"/>
  <c r="CP761" i="1"/>
  <c r="CQ761" i="1"/>
  <c r="CR761" i="1"/>
  <c r="CS761" i="1"/>
  <c r="CT761" i="1"/>
  <c r="CU761" i="1"/>
  <c r="CV761" i="1"/>
  <c r="BQ762" i="1"/>
  <c r="BR762" i="1"/>
  <c r="BS762" i="1"/>
  <c r="BV762" i="1"/>
  <c r="BW762" i="1"/>
  <c r="BX762" i="1"/>
  <c r="BY762" i="1"/>
  <c r="BZ762" i="1"/>
  <c r="CA762" i="1"/>
  <c r="CB762" i="1"/>
  <c r="CC762" i="1"/>
  <c r="CD762" i="1"/>
  <c r="CE762" i="1"/>
  <c r="CF762" i="1"/>
  <c r="CG762" i="1"/>
  <c r="CH762" i="1"/>
  <c r="CI762" i="1"/>
  <c r="CJ762" i="1"/>
  <c r="CK762" i="1"/>
  <c r="CL762" i="1"/>
  <c r="CM762" i="1"/>
  <c r="CN762" i="1"/>
  <c r="CO762" i="1"/>
  <c r="CP762" i="1"/>
  <c r="CQ762" i="1"/>
  <c r="CR762" i="1"/>
  <c r="CS762" i="1"/>
  <c r="CT762" i="1"/>
  <c r="CU762" i="1"/>
  <c r="CV762" i="1"/>
  <c r="BQ763" i="1"/>
  <c r="BR763" i="1"/>
  <c r="BS763" i="1"/>
  <c r="BV763" i="1"/>
  <c r="BW763" i="1"/>
  <c r="BX763" i="1"/>
  <c r="BY763" i="1"/>
  <c r="BZ763" i="1"/>
  <c r="CA763" i="1"/>
  <c r="CB763" i="1"/>
  <c r="CC763" i="1"/>
  <c r="CD763" i="1"/>
  <c r="CE763" i="1"/>
  <c r="CF763" i="1"/>
  <c r="CG763" i="1"/>
  <c r="CH763" i="1"/>
  <c r="CI763" i="1"/>
  <c r="CJ763" i="1"/>
  <c r="CK763" i="1"/>
  <c r="CL763" i="1"/>
  <c r="CM763" i="1"/>
  <c r="CN763" i="1"/>
  <c r="CO763" i="1"/>
  <c r="CP763" i="1"/>
  <c r="CQ763" i="1"/>
  <c r="CR763" i="1"/>
  <c r="CS763" i="1"/>
  <c r="CT763" i="1"/>
  <c r="CU763" i="1"/>
  <c r="CV763" i="1"/>
  <c r="BQ764" i="1"/>
  <c r="BR764" i="1"/>
  <c r="BS764" i="1"/>
  <c r="BV764" i="1"/>
  <c r="BW764" i="1"/>
  <c r="BX764" i="1"/>
  <c r="BY764" i="1"/>
  <c r="BZ764" i="1"/>
  <c r="CA764" i="1"/>
  <c r="CB764" i="1"/>
  <c r="CC764" i="1"/>
  <c r="CD764" i="1"/>
  <c r="CE764" i="1"/>
  <c r="CF764" i="1"/>
  <c r="CG764" i="1"/>
  <c r="CH764" i="1"/>
  <c r="CI764" i="1"/>
  <c r="CJ764" i="1"/>
  <c r="CK764" i="1"/>
  <c r="CL764" i="1"/>
  <c r="CM764" i="1"/>
  <c r="CN764" i="1"/>
  <c r="CO764" i="1"/>
  <c r="CP764" i="1"/>
  <c r="CQ764" i="1"/>
  <c r="CR764" i="1"/>
  <c r="CS764" i="1"/>
  <c r="CT764" i="1"/>
  <c r="CU764" i="1"/>
  <c r="CV764" i="1"/>
  <c r="BQ765" i="1"/>
  <c r="BR765" i="1"/>
  <c r="BS765" i="1"/>
  <c r="BV765" i="1"/>
  <c r="BW765" i="1"/>
  <c r="BX765" i="1"/>
  <c r="BY765" i="1"/>
  <c r="BZ765" i="1"/>
  <c r="CA765" i="1"/>
  <c r="CB765" i="1"/>
  <c r="CC765" i="1"/>
  <c r="CD765" i="1"/>
  <c r="CE765" i="1"/>
  <c r="CF765" i="1"/>
  <c r="CG765" i="1"/>
  <c r="CH765" i="1"/>
  <c r="CI765" i="1"/>
  <c r="CJ765" i="1"/>
  <c r="CK765" i="1"/>
  <c r="CL765" i="1"/>
  <c r="CM765" i="1"/>
  <c r="CN765" i="1"/>
  <c r="CO765" i="1"/>
  <c r="CP765" i="1"/>
  <c r="CQ765" i="1"/>
  <c r="CR765" i="1"/>
  <c r="CS765" i="1"/>
  <c r="CT765" i="1"/>
  <c r="CU765" i="1"/>
  <c r="CV765" i="1"/>
  <c r="BQ766" i="1"/>
  <c r="BR766" i="1"/>
  <c r="BS766" i="1"/>
  <c r="BV766" i="1"/>
  <c r="BW766" i="1"/>
  <c r="BX766" i="1"/>
  <c r="BY766" i="1"/>
  <c r="BZ766" i="1"/>
  <c r="CA766" i="1"/>
  <c r="CB766" i="1"/>
  <c r="CC766" i="1"/>
  <c r="CD766" i="1"/>
  <c r="CE766" i="1"/>
  <c r="CF766" i="1"/>
  <c r="CG766" i="1"/>
  <c r="CH766" i="1"/>
  <c r="CI766" i="1"/>
  <c r="CJ766" i="1"/>
  <c r="CK766" i="1"/>
  <c r="CL766" i="1"/>
  <c r="CM766" i="1"/>
  <c r="CN766" i="1"/>
  <c r="CO766" i="1"/>
  <c r="CP766" i="1"/>
  <c r="CQ766" i="1"/>
  <c r="CR766" i="1"/>
  <c r="CS766" i="1"/>
  <c r="CT766" i="1"/>
  <c r="CU766" i="1"/>
  <c r="CV766" i="1"/>
  <c r="BQ767" i="1"/>
  <c r="BR767" i="1"/>
  <c r="BS767" i="1"/>
  <c r="BV767" i="1"/>
  <c r="BW767" i="1"/>
  <c r="BX767" i="1"/>
  <c r="BY767" i="1"/>
  <c r="BZ767" i="1"/>
  <c r="CA767" i="1"/>
  <c r="CB767" i="1"/>
  <c r="CC767" i="1"/>
  <c r="CD767" i="1"/>
  <c r="CE767" i="1"/>
  <c r="CF767" i="1"/>
  <c r="CG767" i="1"/>
  <c r="CH767" i="1"/>
  <c r="CI767" i="1"/>
  <c r="CJ767" i="1"/>
  <c r="CK767" i="1"/>
  <c r="CL767" i="1"/>
  <c r="CM767" i="1"/>
  <c r="CN767" i="1"/>
  <c r="CO767" i="1"/>
  <c r="CP767" i="1"/>
  <c r="CQ767" i="1"/>
  <c r="CR767" i="1"/>
  <c r="CS767" i="1"/>
  <c r="CT767" i="1"/>
  <c r="CU767" i="1"/>
  <c r="CV767" i="1"/>
  <c r="BQ768" i="1"/>
  <c r="BR768" i="1"/>
  <c r="BS768" i="1"/>
  <c r="BV768" i="1"/>
  <c r="BW768" i="1"/>
  <c r="BX768" i="1"/>
  <c r="BY768" i="1"/>
  <c r="BZ768" i="1"/>
  <c r="CA768" i="1"/>
  <c r="CB768" i="1"/>
  <c r="CC768" i="1"/>
  <c r="CD768" i="1"/>
  <c r="CE768" i="1"/>
  <c r="CF768" i="1"/>
  <c r="CG768" i="1"/>
  <c r="CH768" i="1"/>
  <c r="CI768" i="1"/>
  <c r="CJ768" i="1"/>
  <c r="CK768" i="1"/>
  <c r="CL768" i="1"/>
  <c r="CM768" i="1"/>
  <c r="CN768" i="1"/>
  <c r="CO768" i="1"/>
  <c r="CP768" i="1"/>
  <c r="CQ768" i="1"/>
  <c r="CR768" i="1"/>
  <c r="CS768" i="1"/>
  <c r="CT768" i="1"/>
  <c r="CU768" i="1"/>
  <c r="CV768" i="1"/>
  <c r="BQ769" i="1"/>
  <c r="BR769" i="1"/>
  <c r="BS769" i="1"/>
  <c r="BV769" i="1"/>
  <c r="BW769" i="1"/>
  <c r="BX769" i="1"/>
  <c r="BY769" i="1"/>
  <c r="BZ769" i="1"/>
  <c r="CA769" i="1"/>
  <c r="CB769" i="1"/>
  <c r="CC769" i="1"/>
  <c r="CD769" i="1"/>
  <c r="CE769" i="1"/>
  <c r="CF769" i="1"/>
  <c r="CG769" i="1"/>
  <c r="CH769" i="1"/>
  <c r="CI769" i="1"/>
  <c r="CJ769" i="1"/>
  <c r="CK769" i="1"/>
  <c r="CL769" i="1"/>
  <c r="CM769" i="1"/>
  <c r="CN769" i="1"/>
  <c r="CO769" i="1"/>
  <c r="CP769" i="1"/>
  <c r="CQ769" i="1"/>
  <c r="CR769" i="1"/>
  <c r="CS769" i="1"/>
  <c r="CT769" i="1"/>
  <c r="CU769" i="1"/>
  <c r="CV769" i="1"/>
  <c r="BQ770" i="1"/>
  <c r="BR770" i="1"/>
  <c r="BS770" i="1"/>
  <c r="BV770" i="1"/>
  <c r="BW770" i="1"/>
  <c r="BX770" i="1"/>
  <c r="BY770" i="1"/>
  <c r="BZ770" i="1"/>
  <c r="CA770" i="1"/>
  <c r="CB770" i="1"/>
  <c r="CC770" i="1"/>
  <c r="CD770" i="1"/>
  <c r="CE770" i="1"/>
  <c r="CF770" i="1"/>
  <c r="CG770" i="1"/>
  <c r="CH770" i="1"/>
  <c r="CI770" i="1"/>
  <c r="CJ770" i="1"/>
  <c r="CK770" i="1"/>
  <c r="CL770" i="1"/>
  <c r="CM770" i="1"/>
  <c r="CN770" i="1"/>
  <c r="CO770" i="1"/>
  <c r="CP770" i="1"/>
  <c r="CQ770" i="1"/>
  <c r="CR770" i="1"/>
  <c r="CS770" i="1"/>
  <c r="CT770" i="1"/>
  <c r="CU770" i="1"/>
  <c r="CV770" i="1"/>
  <c r="BQ771" i="1"/>
  <c r="BR771" i="1"/>
  <c r="BS771" i="1"/>
  <c r="BV771" i="1"/>
  <c r="BW771" i="1"/>
  <c r="BX771" i="1"/>
  <c r="BY771" i="1"/>
  <c r="BZ771" i="1"/>
  <c r="CA771" i="1"/>
  <c r="CB771" i="1"/>
  <c r="CC771" i="1"/>
  <c r="CD771" i="1"/>
  <c r="CE771" i="1"/>
  <c r="CF771" i="1"/>
  <c r="CG771" i="1"/>
  <c r="CH771" i="1"/>
  <c r="CI771" i="1"/>
  <c r="CJ771" i="1"/>
  <c r="CK771" i="1"/>
  <c r="CL771" i="1"/>
  <c r="CM771" i="1"/>
  <c r="CN771" i="1"/>
  <c r="CO771" i="1"/>
  <c r="CP771" i="1"/>
  <c r="CQ771" i="1"/>
  <c r="CR771" i="1"/>
  <c r="CS771" i="1"/>
  <c r="CT771" i="1"/>
  <c r="CU771" i="1"/>
  <c r="CV771" i="1"/>
  <c r="BQ772" i="1"/>
  <c r="BR772" i="1"/>
  <c r="BS772" i="1"/>
  <c r="BV772" i="1"/>
  <c r="BW772" i="1"/>
  <c r="BX772" i="1"/>
  <c r="BY772" i="1"/>
  <c r="BZ772" i="1"/>
  <c r="CA772" i="1"/>
  <c r="CB772" i="1"/>
  <c r="CC772" i="1"/>
  <c r="CD772" i="1"/>
  <c r="CE772" i="1"/>
  <c r="CF772" i="1"/>
  <c r="CG772" i="1"/>
  <c r="CH772" i="1"/>
  <c r="CI772" i="1"/>
  <c r="CJ772" i="1"/>
  <c r="CK772" i="1"/>
  <c r="CL772" i="1"/>
  <c r="CM772" i="1"/>
  <c r="CN772" i="1"/>
  <c r="CO772" i="1"/>
  <c r="CP772" i="1"/>
  <c r="CQ772" i="1"/>
  <c r="CR772" i="1"/>
  <c r="CS772" i="1"/>
  <c r="CT772" i="1"/>
  <c r="CU772" i="1"/>
  <c r="CV772" i="1"/>
  <c r="BQ773" i="1"/>
  <c r="BR773" i="1"/>
  <c r="BS773" i="1"/>
  <c r="BV773" i="1"/>
  <c r="BW773" i="1"/>
  <c r="BX773" i="1"/>
  <c r="BY773" i="1"/>
  <c r="BZ773" i="1"/>
  <c r="CA773" i="1"/>
  <c r="CB773" i="1"/>
  <c r="CC773" i="1"/>
  <c r="CD773" i="1"/>
  <c r="CE773" i="1"/>
  <c r="CF773" i="1"/>
  <c r="CG773" i="1"/>
  <c r="CH773" i="1"/>
  <c r="CI773" i="1"/>
  <c r="CJ773" i="1"/>
  <c r="CK773" i="1"/>
  <c r="CL773" i="1"/>
  <c r="CM773" i="1"/>
  <c r="CN773" i="1"/>
  <c r="CO773" i="1"/>
  <c r="CP773" i="1"/>
  <c r="CQ773" i="1"/>
  <c r="CR773" i="1"/>
  <c r="CS773" i="1"/>
  <c r="CT773" i="1"/>
  <c r="CU773" i="1"/>
  <c r="CV773" i="1"/>
  <c r="BQ774" i="1"/>
  <c r="BR774" i="1"/>
  <c r="BS774" i="1"/>
  <c r="BV774" i="1"/>
  <c r="BW774" i="1"/>
  <c r="BX774" i="1"/>
  <c r="BY774" i="1"/>
  <c r="BZ774" i="1"/>
  <c r="CA774" i="1"/>
  <c r="CB774" i="1"/>
  <c r="CC774" i="1"/>
  <c r="CD774" i="1"/>
  <c r="CE774" i="1"/>
  <c r="CF774" i="1"/>
  <c r="CG774" i="1"/>
  <c r="CH774" i="1"/>
  <c r="CI774" i="1"/>
  <c r="CJ774" i="1"/>
  <c r="CK774" i="1"/>
  <c r="CL774" i="1"/>
  <c r="CM774" i="1"/>
  <c r="CN774" i="1"/>
  <c r="CO774" i="1"/>
  <c r="CP774" i="1"/>
  <c r="CQ774" i="1"/>
  <c r="CR774" i="1"/>
  <c r="CS774" i="1"/>
  <c r="CT774" i="1"/>
  <c r="CU774" i="1"/>
  <c r="CV774" i="1"/>
  <c r="BQ775" i="1"/>
  <c r="BR775" i="1"/>
  <c r="BS775" i="1"/>
  <c r="BV775" i="1"/>
  <c r="BW775" i="1"/>
  <c r="BX775" i="1"/>
  <c r="BY775" i="1"/>
  <c r="BZ775" i="1"/>
  <c r="CA775" i="1"/>
  <c r="CB775" i="1"/>
  <c r="CC775" i="1"/>
  <c r="CD775" i="1"/>
  <c r="CE775" i="1"/>
  <c r="CF775" i="1"/>
  <c r="CG775" i="1"/>
  <c r="CH775" i="1"/>
  <c r="CI775" i="1"/>
  <c r="CJ775" i="1"/>
  <c r="CK775" i="1"/>
  <c r="CL775" i="1"/>
  <c r="CM775" i="1"/>
  <c r="CN775" i="1"/>
  <c r="CO775" i="1"/>
  <c r="CP775" i="1"/>
  <c r="CQ775" i="1"/>
  <c r="CR775" i="1"/>
  <c r="CS775" i="1"/>
  <c r="CT775" i="1"/>
  <c r="CU775" i="1"/>
  <c r="CV775" i="1"/>
  <c r="BQ776" i="1"/>
  <c r="BR776" i="1"/>
  <c r="BS776" i="1"/>
  <c r="BV776" i="1"/>
  <c r="BW776" i="1"/>
  <c r="BX776" i="1"/>
  <c r="BY776" i="1"/>
  <c r="BZ776" i="1"/>
  <c r="CA776" i="1"/>
  <c r="CB776" i="1"/>
  <c r="CC776" i="1"/>
  <c r="CD776" i="1"/>
  <c r="CE776" i="1"/>
  <c r="CF776" i="1"/>
  <c r="CG776" i="1"/>
  <c r="CH776" i="1"/>
  <c r="CI776" i="1"/>
  <c r="CJ776" i="1"/>
  <c r="CK776" i="1"/>
  <c r="CL776" i="1"/>
  <c r="CM776" i="1"/>
  <c r="CN776" i="1"/>
  <c r="CO776" i="1"/>
  <c r="CP776" i="1"/>
  <c r="CQ776" i="1"/>
  <c r="CR776" i="1"/>
  <c r="CS776" i="1"/>
  <c r="CT776" i="1"/>
  <c r="CU776" i="1"/>
  <c r="CV776" i="1"/>
  <c r="BQ777" i="1"/>
  <c r="BR777" i="1"/>
  <c r="BS777" i="1"/>
  <c r="BV777" i="1"/>
  <c r="BW777" i="1"/>
  <c r="BX777" i="1"/>
  <c r="BY777" i="1"/>
  <c r="BZ777" i="1"/>
  <c r="CA777" i="1"/>
  <c r="CB777" i="1"/>
  <c r="CC777" i="1"/>
  <c r="CD777" i="1"/>
  <c r="CE777" i="1"/>
  <c r="CF777" i="1"/>
  <c r="CG777" i="1"/>
  <c r="CH777" i="1"/>
  <c r="CI777" i="1"/>
  <c r="CJ777" i="1"/>
  <c r="CK777" i="1"/>
  <c r="CL777" i="1"/>
  <c r="CM777" i="1"/>
  <c r="CN777" i="1"/>
  <c r="CO777" i="1"/>
  <c r="CP777" i="1"/>
  <c r="CQ777" i="1"/>
  <c r="CR777" i="1"/>
  <c r="CS777" i="1"/>
  <c r="CT777" i="1"/>
  <c r="CU777" i="1"/>
  <c r="CV777" i="1"/>
  <c r="BQ778" i="1"/>
  <c r="BR778" i="1"/>
  <c r="BS778" i="1"/>
  <c r="BV778" i="1"/>
  <c r="BW778" i="1"/>
  <c r="BX778" i="1"/>
  <c r="BY778" i="1"/>
  <c r="BZ778" i="1"/>
  <c r="CA778" i="1"/>
  <c r="CB778" i="1"/>
  <c r="CC778" i="1"/>
  <c r="CD778" i="1"/>
  <c r="CE778" i="1"/>
  <c r="CF778" i="1"/>
  <c r="CG778" i="1"/>
  <c r="CH778" i="1"/>
  <c r="CI778" i="1"/>
  <c r="CJ778" i="1"/>
  <c r="CK778" i="1"/>
  <c r="CL778" i="1"/>
  <c r="CM778" i="1"/>
  <c r="CN778" i="1"/>
  <c r="CO778" i="1"/>
  <c r="CP778" i="1"/>
  <c r="CQ778" i="1"/>
  <c r="CR778" i="1"/>
  <c r="CS778" i="1"/>
  <c r="CT778" i="1"/>
  <c r="CU778" i="1"/>
  <c r="CV778" i="1"/>
  <c r="BQ779" i="1"/>
  <c r="BR779" i="1"/>
  <c r="BS779" i="1"/>
  <c r="BV779" i="1"/>
  <c r="BW779" i="1"/>
  <c r="BX779" i="1"/>
  <c r="BY779" i="1"/>
  <c r="BZ779" i="1"/>
  <c r="CA779" i="1"/>
  <c r="CB779" i="1"/>
  <c r="CC779" i="1"/>
  <c r="CD779" i="1"/>
  <c r="CE779" i="1"/>
  <c r="CF779" i="1"/>
  <c r="CG779" i="1"/>
  <c r="CH779" i="1"/>
  <c r="CI779" i="1"/>
  <c r="CJ779" i="1"/>
  <c r="CK779" i="1"/>
  <c r="CL779" i="1"/>
  <c r="CM779" i="1"/>
  <c r="CN779" i="1"/>
  <c r="CO779" i="1"/>
  <c r="CP779" i="1"/>
  <c r="CQ779" i="1"/>
  <c r="CR779" i="1"/>
  <c r="CS779" i="1"/>
  <c r="CT779" i="1"/>
  <c r="CU779" i="1"/>
  <c r="CV779" i="1"/>
  <c r="BQ780" i="1"/>
  <c r="BR780" i="1"/>
  <c r="BS780" i="1"/>
  <c r="BV780" i="1"/>
  <c r="BW780" i="1"/>
  <c r="BX780" i="1"/>
  <c r="BY780" i="1"/>
  <c r="BZ780" i="1"/>
  <c r="CA780" i="1"/>
  <c r="CB780" i="1"/>
  <c r="CC780" i="1"/>
  <c r="CD780" i="1"/>
  <c r="CE780" i="1"/>
  <c r="CF780" i="1"/>
  <c r="CG780" i="1"/>
  <c r="CH780" i="1"/>
  <c r="CI780" i="1"/>
  <c r="CJ780" i="1"/>
  <c r="CK780" i="1"/>
  <c r="CL780" i="1"/>
  <c r="CM780" i="1"/>
  <c r="CN780" i="1"/>
  <c r="CO780" i="1"/>
  <c r="CP780" i="1"/>
  <c r="CQ780" i="1"/>
  <c r="CR780" i="1"/>
  <c r="CS780" i="1"/>
  <c r="CT780" i="1"/>
  <c r="CU780" i="1"/>
  <c r="CV780" i="1"/>
  <c r="BQ781" i="1"/>
  <c r="BR781" i="1"/>
  <c r="BS781" i="1"/>
  <c r="BV781" i="1"/>
  <c r="BW781" i="1"/>
  <c r="BX781" i="1"/>
  <c r="BY781" i="1"/>
  <c r="BZ781" i="1"/>
  <c r="CA781" i="1"/>
  <c r="CB781" i="1"/>
  <c r="CC781" i="1"/>
  <c r="CD781" i="1"/>
  <c r="CE781" i="1"/>
  <c r="CF781" i="1"/>
  <c r="CG781" i="1"/>
  <c r="CH781" i="1"/>
  <c r="CI781" i="1"/>
  <c r="CJ781" i="1"/>
  <c r="CK781" i="1"/>
  <c r="CL781" i="1"/>
  <c r="CM781" i="1"/>
  <c r="CN781" i="1"/>
  <c r="CO781" i="1"/>
  <c r="CP781" i="1"/>
  <c r="CQ781" i="1"/>
  <c r="CR781" i="1"/>
  <c r="CS781" i="1"/>
  <c r="CT781" i="1"/>
  <c r="CU781" i="1"/>
  <c r="CV781" i="1"/>
  <c r="BQ782" i="1"/>
  <c r="BR782" i="1"/>
  <c r="BS782" i="1"/>
  <c r="BV782" i="1"/>
  <c r="BW782" i="1"/>
  <c r="BX782" i="1"/>
  <c r="BY782" i="1"/>
  <c r="BZ782" i="1"/>
  <c r="CA782" i="1"/>
  <c r="CB782" i="1"/>
  <c r="CC782" i="1"/>
  <c r="CD782" i="1"/>
  <c r="CE782" i="1"/>
  <c r="CF782" i="1"/>
  <c r="CG782" i="1"/>
  <c r="CH782" i="1"/>
  <c r="CI782" i="1"/>
  <c r="CJ782" i="1"/>
  <c r="CK782" i="1"/>
  <c r="CL782" i="1"/>
  <c r="CM782" i="1"/>
  <c r="CN782" i="1"/>
  <c r="CO782" i="1"/>
  <c r="CP782" i="1"/>
  <c r="CQ782" i="1"/>
  <c r="CR782" i="1"/>
  <c r="CS782" i="1"/>
  <c r="CT782" i="1"/>
  <c r="CU782" i="1"/>
  <c r="CV782" i="1"/>
  <c r="BQ783" i="1"/>
  <c r="BR783" i="1"/>
  <c r="BS783" i="1"/>
  <c r="BV783" i="1"/>
  <c r="BW783" i="1"/>
  <c r="BX783" i="1"/>
  <c r="BY783" i="1"/>
  <c r="BZ783" i="1"/>
  <c r="CA783" i="1"/>
  <c r="CB783" i="1"/>
  <c r="CC783" i="1"/>
  <c r="CD783" i="1"/>
  <c r="CE783" i="1"/>
  <c r="CF783" i="1"/>
  <c r="CG783" i="1"/>
  <c r="CH783" i="1"/>
  <c r="CI783" i="1"/>
  <c r="CJ783" i="1"/>
  <c r="CK783" i="1"/>
  <c r="CL783" i="1"/>
  <c r="CM783" i="1"/>
  <c r="CN783" i="1"/>
  <c r="CO783" i="1"/>
  <c r="CP783" i="1"/>
  <c r="CQ783" i="1"/>
  <c r="CR783" i="1"/>
  <c r="CS783" i="1"/>
  <c r="CT783" i="1"/>
  <c r="CU783" i="1"/>
  <c r="CV783" i="1"/>
  <c r="BQ784" i="1"/>
  <c r="BR784" i="1"/>
  <c r="BS784" i="1"/>
  <c r="BV784" i="1"/>
  <c r="BW784" i="1"/>
  <c r="BX784" i="1"/>
  <c r="BY784" i="1"/>
  <c r="BZ784" i="1"/>
  <c r="CA784" i="1"/>
  <c r="CB784" i="1"/>
  <c r="CC784" i="1"/>
  <c r="CD784" i="1"/>
  <c r="CE784" i="1"/>
  <c r="CF784" i="1"/>
  <c r="CG784" i="1"/>
  <c r="CH784" i="1"/>
  <c r="CI784" i="1"/>
  <c r="CJ784" i="1"/>
  <c r="CK784" i="1"/>
  <c r="CL784" i="1"/>
  <c r="CM784" i="1"/>
  <c r="CN784" i="1"/>
  <c r="CO784" i="1"/>
  <c r="CP784" i="1"/>
  <c r="CQ784" i="1"/>
  <c r="CR784" i="1"/>
  <c r="CS784" i="1"/>
  <c r="CT784" i="1"/>
  <c r="CU784" i="1"/>
  <c r="CV784" i="1"/>
  <c r="BQ785" i="1"/>
  <c r="BR785" i="1"/>
  <c r="BS785" i="1"/>
  <c r="BV785" i="1"/>
  <c r="BW785" i="1"/>
  <c r="BX785" i="1"/>
  <c r="BY785" i="1"/>
  <c r="BZ785" i="1"/>
  <c r="CA785" i="1"/>
  <c r="CB785" i="1"/>
  <c r="CC785" i="1"/>
  <c r="CD785" i="1"/>
  <c r="CE785" i="1"/>
  <c r="CF785" i="1"/>
  <c r="CG785" i="1"/>
  <c r="CH785" i="1"/>
  <c r="CI785" i="1"/>
  <c r="CJ785" i="1"/>
  <c r="CK785" i="1"/>
  <c r="CL785" i="1"/>
  <c r="CM785" i="1"/>
  <c r="CN785" i="1"/>
  <c r="CO785" i="1"/>
  <c r="CP785" i="1"/>
  <c r="CQ785" i="1"/>
  <c r="CR785" i="1"/>
  <c r="CS785" i="1"/>
  <c r="CT785" i="1"/>
  <c r="CU785" i="1"/>
  <c r="CV785" i="1"/>
  <c r="BQ786" i="1"/>
  <c r="BR786" i="1"/>
  <c r="BS786" i="1"/>
  <c r="BV786" i="1"/>
  <c r="BW786" i="1"/>
  <c r="BX786" i="1"/>
  <c r="BY786" i="1"/>
  <c r="BZ786" i="1"/>
  <c r="CA786" i="1"/>
  <c r="CB786" i="1"/>
  <c r="CC786" i="1"/>
  <c r="CD786" i="1"/>
  <c r="CE786" i="1"/>
  <c r="CF786" i="1"/>
  <c r="CG786" i="1"/>
  <c r="CH786" i="1"/>
  <c r="CI786" i="1"/>
  <c r="CJ786" i="1"/>
  <c r="CK786" i="1"/>
  <c r="CL786" i="1"/>
  <c r="CM786" i="1"/>
  <c r="CN786" i="1"/>
  <c r="CO786" i="1"/>
  <c r="CP786" i="1"/>
  <c r="CQ786" i="1"/>
  <c r="CR786" i="1"/>
  <c r="CS786" i="1"/>
  <c r="CT786" i="1"/>
  <c r="CU786" i="1"/>
  <c r="CV786" i="1"/>
  <c r="BQ787" i="1"/>
  <c r="BR787" i="1"/>
  <c r="BS787" i="1"/>
  <c r="BV787" i="1"/>
  <c r="BW787" i="1"/>
  <c r="BX787" i="1"/>
  <c r="BY787" i="1"/>
  <c r="BZ787" i="1"/>
  <c r="CA787" i="1"/>
  <c r="CB787" i="1"/>
  <c r="CC787" i="1"/>
  <c r="CD787" i="1"/>
  <c r="CE787" i="1"/>
  <c r="CF787" i="1"/>
  <c r="CG787" i="1"/>
  <c r="CH787" i="1"/>
  <c r="CI787" i="1"/>
  <c r="CJ787" i="1"/>
  <c r="CK787" i="1"/>
  <c r="CL787" i="1"/>
  <c r="CM787" i="1"/>
  <c r="CN787" i="1"/>
  <c r="CO787" i="1"/>
  <c r="CP787" i="1"/>
  <c r="CQ787" i="1"/>
  <c r="CR787" i="1"/>
  <c r="CS787" i="1"/>
  <c r="CT787" i="1"/>
  <c r="CU787" i="1"/>
  <c r="CV787" i="1"/>
  <c r="BQ788" i="1"/>
  <c r="BR788" i="1"/>
  <c r="BS788" i="1"/>
  <c r="BV788" i="1"/>
  <c r="BW788" i="1"/>
  <c r="BX788" i="1"/>
  <c r="BY788" i="1"/>
  <c r="BZ788" i="1"/>
  <c r="CA788" i="1"/>
  <c r="CB788" i="1"/>
  <c r="CC788" i="1"/>
  <c r="CD788" i="1"/>
  <c r="CE788" i="1"/>
  <c r="CF788" i="1"/>
  <c r="CG788" i="1"/>
  <c r="CH788" i="1"/>
  <c r="CI788" i="1"/>
  <c r="CJ788" i="1"/>
  <c r="CK788" i="1"/>
  <c r="CL788" i="1"/>
  <c r="CM788" i="1"/>
  <c r="CN788" i="1"/>
  <c r="CO788" i="1"/>
  <c r="CP788" i="1"/>
  <c r="CQ788" i="1"/>
  <c r="CR788" i="1"/>
  <c r="CS788" i="1"/>
  <c r="CT788" i="1"/>
  <c r="CU788" i="1"/>
  <c r="CV788" i="1"/>
  <c r="BQ789" i="1"/>
  <c r="BR789" i="1"/>
  <c r="BS789" i="1"/>
  <c r="BV789" i="1"/>
  <c r="BW789" i="1"/>
  <c r="BX789" i="1"/>
  <c r="BY789" i="1"/>
  <c r="BZ789" i="1"/>
  <c r="CA789" i="1"/>
  <c r="CB789" i="1"/>
  <c r="CC789" i="1"/>
  <c r="CD789" i="1"/>
  <c r="CE789" i="1"/>
  <c r="CF789" i="1"/>
  <c r="CG789" i="1"/>
  <c r="CH789" i="1"/>
  <c r="CI789" i="1"/>
  <c r="CJ789" i="1"/>
  <c r="CK789" i="1"/>
  <c r="CL789" i="1"/>
  <c r="CM789" i="1"/>
  <c r="CN789" i="1"/>
  <c r="CO789" i="1"/>
  <c r="CP789" i="1"/>
  <c r="CQ789" i="1"/>
  <c r="CR789" i="1"/>
  <c r="CS789" i="1"/>
  <c r="CT789" i="1"/>
  <c r="CU789" i="1"/>
  <c r="CV789" i="1"/>
  <c r="BQ790" i="1"/>
  <c r="BR790" i="1"/>
  <c r="BS790" i="1"/>
  <c r="BV790" i="1"/>
  <c r="BW790" i="1"/>
  <c r="BX790" i="1"/>
  <c r="BY790" i="1"/>
  <c r="BZ790" i="1"/>
  <c r="CA790" i="1"/>
  <c r="CB790" i="1"/>
  <c r="CC790" i="1"/>
  <c r="CD790" i="1"/>
  <c r="CE790" i="1"/>
  <c r="CF790" i="1"/>
  <c r="CG790" i="1"/>
  <c r="CH790" i="1"/>
  <c r="CI790" i="1"/>
  <c r="CJ790" i="1"/>
  <c r="CK790" i="1"/>
  <c r="CL790" i="1"/>
  <c r="CM790" i="1"/>
  <c r="CN790" i="1"/>
  <c r="CO790" i="1"/>
  <c r="CP790" i="1"/>
  <c r="CQ790" i="1"/>
  <c r="CR790" i="1"/>
  <c r="CS790" i="1"/>
  <c r="CT790" i="1"/>
  <c r="CU790" i="1"/>
  <c r="CV790" i="1"/>
  <c r="BQ791" i="1"/>
  <c r="BR791" i="1"/>
  <c r="BS791" i="1"/>
  <c r="BV791" i="1"/>
  <c r="BW791" i="1"/>
  <c r="BX791" i="1"/>
  <c r="BY791" i="1"/>
  <c r="BZ791" i="1"/>
  <c r="CA791" i="1"/>
  <c r="CB791" i="1"/>
  <c r="CC791" i="1"/>
  <c r="CD791" i="1"/>
  <c r="CE791" i="1"/>
  <c r="CF791" i="1"/>
  <c r="CG791" i="1"/>
  <c r="CH791" i="1"/>
  <c r="CI791" i="1"/>
  <c r="CJ791" i="1"/>
  <c r="CK791" i="1"/>
  <c r="CL791" i="1"/>
  <c r="CM791" i="1"/>
  <c r="CN791" i="1"/>
  <c r="CO791" i="1"/>
  <c r="CP791" i="1"/>
  <c r="CQ791" i="1"/>
  <c r="CR791" i="1"/>
  <c r="CS791" i="1"/>
  <c r="CT791" i="1"/>
  <c r="CU791" i="1"/>
  <c r="CV791" i="1"/>
  <c r="BQ792" i="1"/>
  <c r="BR792" i="1"/>
  <c r="BS792" i="1"/>
  <c r="BV792" i="1"/>
  <c r="BW792" i="1"/>
  <c r="BX792" i="1"/>
  <c r="BY792" i="1"/>
  <c r="BZ792" i="1"/>
  <c r="CA792" i="1"/>
  <c r="CB792" i="1"/>
  <c r="CC792" i="1"/>
  <c r="CD792" i="1"/>
  <c r="CE792" i="1"/>
  <c r="CF792" i="1"/>
  <c r="CG792" i="1"/>
  <c r="CH792" i="1"/>
  <c r="CI792" i="1"/>
  <c r="CJ792" i="1"/>
  <c r="CK792" i="1"/>
  <c r="CL792" i="1"/>
  <c r="CM792" i="1"/>
  <c r="CN792" i="1"/>
  <c r="CO792" i="1"/>
  <c r="CP792" i="1"/>
  <c r="CQ792" i="1"/>
  <c r="CR792" i="1"/>
  <c r="CS792" i="1"/>
  <c r="CT792" i="1"/>
  <c r="CU792" i="1"/>
  <c r="CV792" i="1"/>
  <c r="BQ793" i="1"/>
  <c r="BR793" i="1"/>
  <c r="BS793" i="1"/>
  <c r="BV793" i="1"/>
  <c r="BW793" i="1"/>
  <c r="BX793" i="1"/>
  <c r="BY793" i="1"/>
  <c r="BZ793" i="1"/>
  <c r="CA793" i="1"/>
  <c r="CB793" i="1"/>
  <c r="CC793" i="1"/>
  <c r="CD793" i="1"/>
  <c r="CE793" i="1"/>
  <c r="CF793" i="1"/>
  <c r="CG793" i="1"/>
  <c r="CH793" i="1"/>
  <c r="CI793" i="1"/>
  <c r="CJ793" i="1"/>
  <c r="CK793" i="1"/>
  <c r="CL793" i="1"/>
  <c r="CM793" i="1"/>
  <c r="CN793" i="1"/>
  <c r="CO793" i="1"/>
  <c r="CP793" i="1"/>
  <c r="CQ793" i="1"/>
  <c r="CR793" i="1"/>
  <c r="CS793" i="1"/>
  <c r="CT793" i="1"/>
  <c r="CU793" i="1"/>
  <c r="CV793" i="1"/>
  <c r="BQ794" i="1"/>
  <c r="BR794" i="1"/>
  <c r="BS794" i="1"/>
  <c r="BV794" i="1"/>
  <c r="BW794" i="1"/>
  <c r="BX794" i="1"/>
  <c r="BY794" i="1"/>
  <c r="BZ794" i="1"/>
  <c r="CA794" i="1"/>
  <c r="CB794" i="1"/>
  <c r="CC794" i="1"/>
  <c r="CD794" i="1"/>
  <c r="CE794" i="1"/>
  <c r="CF794" i="1"/>
  <c r="CG794" i="1"/>
  <c r="CH794" i="1"/>
  <c r="CI794" i="1"/>
  <c r="CJ794" i="1"/>
  <c r="CK794" i="1"/>
  <c r="CL794" i="1"/>
  <c r="CM794" i="1"/>
  <c r="CN794" i="1"/>
  <c r="CO794" i="1"/>
  <c r="CP794" i="1"/>
  <c r="CQ794" i="1"/>
  <c r="CR794" i="1"/>
  <c r="CS794" i="1"/>
  <c r="CT794" i="1"/>
  <c r="CU794" i="1"/>
  <c r="CV794" i="1"/>
  <c r="BQ795" i="1"/>
  <c r="BR795" i="1"/>
  <c r="BS795" i="1"/>
  <c r="BV795" i="1"/>
  <c r="BW795" i="1"/>
  <c r="BX795" i="1"/>
  <c r="BY795" i="1"/>
  <c r="BZ795" i="1"/>
  <c r="CA795" i="1"/>
  <c r="CB795" i="1"/>
  <c r="CC795" i="1"/>
  <c r="CD795" i="1"/>
  <c r="CE795" i="1"/>
  <c r="CF795" i="1"/>
  <c r="CG795" i="1"/>
  <c r="CH795" i="1"/>
  <c r="CI795" i="1"/>
  <c r="CJ795" i="1"/>
  <c r="CK795" i="1"/>
  <c r="CL795" i="1"/>
  <c r="CM795" i="1"/>
  <c r="CN795" i="1"/>
  <c r="CO795" i="1"/>
  <c r="CP795" i="1"/>
  <c r="CQ795" i="1"/>
  <c r="CR795" i="1"/>
  <c r="CS795" i="1"/>
  <c r="CT795" i="1"/>
  <c r="CU795" i="1"/>
  <c r="CV795" i="1"/>
  <c r="BQ796" i="1"/>
  <c r="BR796" i="1"/>
  <c r="BS796" i="1"/>
  <c r="BV796" i="1"/>
  <c r="BW796" i="1"/>
  <c r="BX796" i="1"/>
  <c r="BY796" i="1"/>
  <c r="BZ796" i="1"/>
  <c r="CA796" i="1"/>
  <c r="CB796" i="1"/>
  <c r="CC796" i="1"/>
  <c r="CD796" i="1"/>
  <c r="CE796" i="1"/>
  <c r="CF796" i="1"/>
  <c r="CG796" i="1"/>
  <c r="CH796" i="1"/>
  <c r="CI796" i="1"/>
  <c r="CJ796" i="1"/>
  <c r="CK796" i="1"/>
  <c r="CL796" i="1"/>
  <c r="CM796" i="1"/>
  <c r="CN796" i="1"/>
  <c r="CO796" i="1"/>
  <c r="CP796" i="1"/>
  <c r="CQ796" i="1"/>
  <c r="CR796" i="1"/>
  <c r="CS796" i="1"/>
  <c r="CT796" i="1"/>
  <c r="CU796" i="1"/>
  <c r="CV796" i="1"/>
  <c r="BQ797" i="1"/>
  <c r="BR797" i="1"/>
  <c r="BS797" i="1"/>
  <c r="BV797" i="1"/>
  <c r="BW797" i="1"/>
  <c r="BX797" i="1"/>
  <c r="BY797" i="1"/>
  <c r="BZ797" i="1"/>
  <c r="CA797" i="1"/>
  <c r="CB797" i="1"/>
  <c r="CC797" i="1"/>
  <c r="CD797" i="1"/>
  <c r="CE797" i="1"/>
  <c r="CF797" i="1"/>
  <c r="CG797" i="1"/>
  <c r="CH797" i="1"/>
  <c r="CI797" i="1"/>
  <c r="CJ797" i="1"/>
  <c r="CK797" i="1"/>
  <c r="CL797" i="1"/>
  <c r="CM797" i="1"/>
  <c r="CN797" i="1"/>
  <c r="CO797" i="1"/>
  <c r="CP797" i="1"/>
  <c r="CQ797" i="1"/>
  <c r="CR797" i="1"/>
  <c r="CS797" i="1"/>
  <c r="CT797" i="1"/>
  <c r="CU797" i="1"/>
  <c r="CV797" i="1"/>
  <c r="BQ798" i="1"/>
  <c r="BR798" i="1"/>
  <c r="BS798" i="1"/>
  <c r="BV798" i="1"/>
  <c r="BW798" i="1"/>
  <c r="BX798" i="1"/>
  <c r="BY798" i="1"/>
  <c r="BZ798" i="1"/>
  <c r="CA798" i="1"/>
  <c r="CB798" i="1"/>
  <c r="CC798" i="1"/>
  <c r="CD798" i="1"/>
  <c r="CE798" i="1"/>
  <c r="CF798" i="1"/>
  <c r="CG798" i="1"/>
  <c r="CH798" i="1"/>
  <c r="CI798" i="1"/>
  <c r="CJ798" i="1"/>
  <c r="CK798" i="1"/>
  <c r="CL798" i="1"/>
  <c r="CM798" i="1"/>
  <c r="CN798" i="1"/>
  <c r="CO798" i="1"/>
  <c r="CP798" i="1"/>
  <c r="CQ798" i="1"/>
  <c r="CR798" i="1"/>
  <c r="CS798" i="1"/>
  <c r="CT798" i="1"/>
  <c r="CU798" i="1"/>
  <c r="CV798" i="1"/>
  <c r="BQ799" i="1"/>
  <c r="BR799" i="1"/>
  <c r="BS799" i="1"/>
  <c r="BV799" i="1"/>
  <c r="BW799" i="1"/>
  <c r="BX799" i="1"/>
  <c r="BY799" i="1"/>
  <c r="BZ799" i="1"/>
  <c r="CA799" i="1"/>
  <c r="CB799" i="1"/>
  <c r="CC799" i="1"/>
  <c r="CD799" i="1"/>
  <c r="CE799" i="1"/>
  <c r="CF799" i="1"/>
  <c r="CG799" i="1"/>
  <c r="CH799" i="1"/>
  <c r="CI799" i="1"/>
  <c r="CJ799" i="1"/>
  <c r="CK799" i="1"/>
  <c r="CL799" i="1"/>
  <c r="CM799" i="1"/>
  <c r="CN799" i="1"/>
  <c r="CO799" i="1"/>
  <c r="CP799" i="1"/>
  <c r="CQ799" i="1"/>
  <c r="CR799" i="1"/>
  <c r="CS799" i="1"/>
  <c r="CT799" i="1"/>
  <c r="CU799" i="1"/>
  <c r="CV799" i="1"/>
  <c r="BQ800" i="1"/>
  <c r="BR800" i="1"/>
  <c r="BS800" i="1"/>
  <c r="BV800" i="1"/>
  <c r="BW800" i="1"/>
  <c r="BX800" i="1"/>
  <c r="BY800" i="1"/>
  <c r="BZ800" i="1"/>
  <c r="CA800" i="1"/>
  <c r="CB800" i="1"/>
  <c r="CC800" i="1"/>
  <c r="CD800" i="1"/>
  <c r="CE800" i="1"/>
  <c r="CF800" i="1"/>
  <c r="CG800" i="1"/>
  <c r="CH800" i="1"/>
  <c r="CI800" i="1"/>
  <c r="CJ800" i="1"/>
  <c r="CK800" i="1"/>
  <c r="CL800" i="1"/>
  <c r="CM800" i="1"/>
  <c r="CN800" i="1"/>
  <c r="CO800" i="1"/>
  <c r="CP800" i="1"/>
  <c r="CQ800" i="1"/>
  <c r="CR800" i="1"/>
  <c r="CS800" i="1"/>
  <c r="CT800" i="1"/>
  <c r="CU800" i="1"/>
  <c r="CV800" i="1"/>
  <c r="BQ801" i="1"/>
  <c r="BR801" i="1"/>
  <c r="BS801" i="1"/>
  <c r="BV801" i="1"/>
  <c r="BW801" i="1"/>
  <c r="BX801" i="1"/>
  <c r="BY801" i="1"/>
  <c r="BZ801" i="1"/>
  <c r="CA801" i="1"/>
  <c r="CB801" i="1"/>
  <c r="CC801" i="1"/>
  <c r="CD801" i="1"/>
  <c r="CE801" i="1"/>
  <c r="CF801" i="1"/>
  <c r="CG801" i="1"/>
  <c r="CH801" i="1"/>
  <c r="CI801" i="1"/>
  <c r="CJ801" i="1"/>
  <c r="CK801" i="1"/>
  <c r="CL801" i="1"/>
  <c r="CM801" i="1"/>
  <c r="CN801" i="1"/>
  <c r="CO801" i="1"/>
  <c r="CP801" i="1"/>
  <c r="CQ801" i="1"/>
  <c r="CR801" i="1"/>
  <c r="CS801" i="1"/>
  <c r="CT801" i="1"/>
  <c r="CU801" i="1"/>
  <c r="CV801" i="1"/>
  <c r="BQ802" i="1"/>
  <c r="BR802" i="1"/>
  <c r="BS802" i="1"/>
  <c r="BV802" i="1"/>
  <c r="BW802" i="1"/>
  <c r="BX802" i="1"/>
  <c r="BY802" i="1"/>
  <c r="BZ802" i="1"/>
  <c r="CA802" i="1"/>
  <c r="CB802" i="1"/>
  <c r="CC802" i="1"/>
  <c r="CD802" i="1"/>
  <c r="CE802" i="1"/>
  <c r="CF802" i="1"/>
  <c r="CG802" i="1"/>
  <c r="CH802" i="1"/>
  <c r="CI802" i="1"/>
  <c r="CJ802" i="1"/>
  <c r="CK802" i="1"/>
  <c r="CL802" i="1"/>
  <c r="CM802" i="1"/>
  <c r="CN802" i="1"/>
  <c r="CO802" i="1"/>
  <c r="CP802" i="1"/>
  <c r="CQ802" i="1"/>
  <c r="CR802" i="1"/>
  <c r="CS802" i="1"/>
  <c r="CT802" i="1"/>
  <c r="CU802" i="1"/>
  <c r="CV802" i="1"/>
  <c r="BQ803" i="1"/>
  <c r="BR803" i="1"/>
  <c r="BS803" i="1"/>
  <c r="BV803" i="1"/>
  <c r="BW803" i="1"/>
  <c r="BX803" i="1"/>
  <c r="BY803" i="1"/>
  <c r="BZ803" i="1"/>
  <c r="CA803" i="1"/>
  <c r="CB803" i="1"/>
  <c r="CC803" i="1"/>
  <c r="CD803" i="1"/>
  <c r="CE803" i="1"/>
  <c r="CF803" i="1"/>
  <c r="CG803" i="1"/>
  <c r="CH803" i="1"/>
  <c r="CI803" i="1"/>
  <c r="CJ803" i="1"/>
  <c r="CK803" i="1"/>
  <c r="CL803" i="1"/>
  <c r="CM803" i="1"/>
  <c r="CN803" i="1"/>
  <c r="CO803" i="1"/>
  <c r="CP803" i="1"/>
  <c r="CQ803" i="1"/>
  <c r="CR803" i="1"/>
  <c r="CS803" i="1"/>
  <c r="CT803" i="1"/>
  <c r="CU803" i="1"/>
  <c r="CV803" i="1"/>
  <c r="BQ804" i="1"/>
  <c r="BR804" i="1"/>
  <c r="BS804" i="1"/>
  <c r="BV804" i="1"/>
  <c r="BW804" i="1"/>
  <c r="BX804" i="1"/>
  <c r="BY804" i="1"/>
  <c r="BZ804" i="1"/>
  <c r="CA804" i="1"/>
  <c r="CB804" i="1"/>
  <c r="CC804" i="1"/>
  <c r="CD804" i="1"/>
  <c r="CE804" i="1"/>
  <c r="CF804" i="1"/>
  <c r="CG804" i="1"/>
  <c r="CH804" i="1"/>
  <c r="CI804" i="1"/>
  <c r="CJ804" i="1"/>
  <c r="CK804" i="1"/>
  <c r="CL804" i="1"/>
  <c r="CM804" i="1"/>
  <c r="CN804" i="1"/>
  <c r="CO804" i="1"/>
  <c r="CP804" i="1"/>
  <c r="CQ804" i="1"/>
  <c r="CR804" i="1"/>
  <c r="CS804" i="1"/>
  <c r="CT804" i="1"/>
  <c r="CU804" i="1"/>
  <c r="CV804" i="1"/>
  <c r="BQ805" i="1"/>
  <c r="BR805" i="1"/>
  <c r="BS805" i="1"/>
  <c r="BV805" i="1"/>
  <c r="BW805" i="1"/>
  <c r="BX805" i="1"/>
  <c r="BY805" i="1"/>
  <c r="BZ805" i="1"/>
  <c r="CA805" i="1"/>
  <c r="CB805" i="1"/>
  <c r="CC805" i="1"/>
  <c r="CD805" i="1"/>
  <c r="CE805" i="1"/>
  <c r="CF805" i="1"/>
  <c r="CG805" i="1"/>
  <c r="CH805" i="1"/>
  <c r="CI805" i="1"/>
  <c r="CJ805" i="1"/>
  <c r="CK805" i="1"/>
  <c r="CL805" i="1"/>
  <c r="CM805" i="1"/>
  <c r="CN805" i="1"/>
  <c r="CO805" i="1"/>
  <c r="CP805" i="1"/>
  <c r="CQ805" i="1"/>
  <c r="CR805" i="1"/>
  <c r="CS805" i="1"/>
  <c r="CT805" i="1"/>
  <c r="CU805" i="1"/>
  <c r="CV805" i="1"/>
  <c r="BQ806" i="1"/>
  <c r="BR806" i="1"/>
  <c r="BS806" i="1"/>
  <c r="BV806" i="1"/>
  <c r="BW806" i="1"/>
  <c r="BX806" i="1"/>
  <c r="BY806" i="1"/>
  <c r="BZ806" i="1"/>
  <c r="CA806" i="1"/>
  <c r="CB806" i="1"/>
  <c r="CC806" i="1"/>
  <c r="CD806" i="1"/>
  <c r="CE806" i="1"/>
  <c r="CF806" i="1"/>
  <c r="CG806" i="1"/>
  <c r="CH806" i="1"/>
  <c r="CI806" i="1"/>
  <c r="CJ806" i="1"/>
  <c r="CK806" i="1"/>
  <c r="CL806" i="1"/>
  <c r="CM806" i="1"/>
  <c r="CN806" i="1"/>
  <c r="CO806" i="1"/>
  <c r="CP806" i="1"/>
  <c r="CQ806" i="1"/>
  <c r="CR806" i="1"/>
  <c r="CS806" i="1"/>
  <c r="CT806" i="1"/>
  <c r="CU806" i="1"/>
  <c r="CV806" i="1"/>
  <c r="BQ807" i="1"/>
  <c r="BR807" i="1"/>
  <c r="BS807" i="1"/>
  <c r="BV807" i="1"/>
  <c r="BW807" i="1"/>
  <c r="BX807" i="1"/>
  <c r="BY807" i="1"/>
  <c r="BZ807" i="1"/>
  <c r="CA807" i="1"/>
  <c r="CB807" i="1"/>
  <c r="CC807" i="1"/>
  <c r="CD807" i="1"/>
  <c r="CE807" i="1"/>
  <c r="CF807" i="1"/>
  <c r="CG807" i="1"/>
  <c r="CH807" i="1"/>
  <c r="CI807" i="1"/>
  <c r="CJ807" i="1"/>
  <c r="CK807" i="1"/>
  <c r="CL807" i="1"/>
  <c r="CM807" i="1"/>
  <c r="CN807" i="1"/>
  <c r="CO807" i="1"/>
  <c r="CP807" i="1"/>
  <c r="CQ807" i="1"/>
  <c r="CR807" i="1"/>
  <c r="CS807" i="1"/>
  <c r="CT807" i="1"/>
  <c r="CU807" i="1"/>
  <c r="CV807" i="1"/>
  <c r="BQ808" i="1"/>
  <c r="BR808" i="1"/>
  <c r="BS808" i="1"/>
  <c r="BV808" i="1"/>
  <c r="BW808" i="1"/>
  <c r="BX808" i="1"/>
  <c r="BY808" i="1"/>
  <c r="BZ808" i="1"/>
  <c r="CA808" i="1"/>
  <c r="CB808" i="1"/>
  <c r="CC808" i="1"/>
  <c r="CD808" i="1"/>
  <c r="CE808" i="1"/>
  <c r="CF808" i="1"/>
  <c r="CG808" i="1"/>
  <c r="CH808" i="1"/>
  <c r="CI808" i="1"/>
  <c r="CJ808" i="1"/>
  <c r="CK808" i="1"/>
  <c r="CL808" i="1"/>
  <c r="CM808" i="1"/>
  <c r="CN808" i="1"/>
  <c r="CO808" i="1"/>
  <c r="CP808" i="1"/>
  <c r="CQ808" i="1"/>
  <c r="CR808" i="1"/>
  <c r="CS808" i="1"/>
  <c r="CT808" i="1"/>
  <c r="CU808" i="1"/>
  <c r="CV808" i="1"/>
  <c r="BQ809" i="1"/>
  <c r="BR809" i="1"/>
  <c r="BS809" i="1"/>
  <c r="BV809" i="1"/>
  <c r="BW809" i="1"/>
  <c r="BX809" i="1"/>
  <c r="BY809" i="1"/>
  <c r="BZ809" i="1"/>
  <c r="CA809" i="1"/>
  <c r="CB809" i="1"/>
  <c r="CC809" i="1"/>
  <c r="CD809" i="1"/>
  <c r="CE809" i="1"/>
  <c r="CF809" i="1"/>
  <c r="CG809" i="1"/>
  <c r="CH809" i="1"/>
  <c r="CI809" i="1"/>
  <c r="CJ809" i="1"/>
  <c r="CK809" i="1"/>
  <c r="CL809" i="1"/>
  <c r="CM809" i="1"/>
  <c r="CN809" i="1"/>
  <c r="CO809" i="1"/>
  <c r="CP809" i="1"/>
  <c r="CQ809" i="1"/>
  <c r="CR809" i="1"/>
  <c r="CS809" i="1"/>
  <c r="CT809" i="1"/>
  <c r="CU809" i="1"/>
  <c r="CV809" i="1"/>
  <c r="BQ810" i="1"/>
  <c r="BR810" i="1"/>
  <c r="BS810" i="1"/>
  <c r="BV810" i="1"/>
  <c r="BW810" i="1"/>
  <c r="BX810" i="1"/>
  <c r="BY810" i="1"/>
  <c r="BZ810" i="1"/>
  <c r="CA810" i="1"/>
  <c r="CB810" i="1"/>
  <c r="CC810" i="1"/>
  <c r="CD810" i="1"/>
  <c r="CE810" i="1"/>
  <c r="CF810" i="1"/>
  <c r="CG810" i="1"/>
  <c r="CH810" i="1"/>
  <c r="CI810" i="1"/>
  <c r="CJ810" i="1"/>
  <c r="CK810" i="1"/>
  <c r="CL810" i="1"/>
  <c r="CM810" i="1"/>
  <c r="CN810" i="1"/>
  <c r="CO810" i="1"/>
  <c r="CP810" i="1"/>
  <c r="CQ810" i="1"/>
  <c r="CR810" i="1"/>
  <c r="CS810" i="1"/>
  <c r="CT810" i="1"/>
  <c r="CU810" i="1"/>
  <c r="CV810" i="1"/>
  <c r="BQ811" i="1"/>
  <c r="BR811" i="1"/>
  <c r="BS811" i="1"/>
  <c r="BV811" i="1"/>
  <c r="BW811" i="1"/>
  <c r="BX811" i="1"/>
  <c r="BY811" i="1"/>
  <c r="BZ811" i="1"/>
  <c r="CA811" i="1"/>
  <c r="CB811" i="1"/>
  <c r="CC811" i="1"/>
  <c r="CD811" i="1"/>
  <c r="CE811" i="1"/>
  <c r="CF811" i="1"/>
  <c r="CG811" i="1"/>
  <c r="CH811" i="1"/>
  <c r="CI811" i="1"/>
  <c r="CJ811" i="1"/>
  <c r="CK811" i="1"/>
  <c r="CL811" i="1"/>
  <c r="CM811" i="1"/>
  <c r="CN811" i="1"/>
  <c r="CO811" i="1"/>
  <c r="CP811" i="1"/>
  <c r="CQ811" i="1"/>
  <c r="CR811" i="1"/>
  <c r="CS811" i="1"/>
  <c r="CT811" i="1"/>
  <c r="CU811" i="1"/>
  <c r="CV811" i="1"/>
  <c r="BQ812" i="1"/>
  <c r="BR812" i="1"/>
  <c r="BS812" i="1"/>
  <c r="BV812" i="1"/>
  <c r="BW812" i="1"/>
  <c r="BX812" i="1"/>
  <c r="BY812" i="1"/>
  <c r="BZ812" i="1"/>
  <c r="CA812" i="1"/>
  <c r="CB812" i="1"/>
  <c r="CC812" i="1"/>
  <c r="CD812" i="1"/>
  <c r="CE812" i="1"/>
  <c r="CF812" i="1"/>
  <c r="CG812" i="1"/>
  <c r="CH812" i="1"/>
  <c r="CI812" i="1"/>
  <c r="CJ812" i="1"/>
  <c r="CK812" i="1"/>
  <c r="CL812" i="1"/>
  <c r="CM812" i="1"/>
  <c r="CN812" i="1"/>
  <c r="CO812" i="1"/>
  <c r="CP812" i="1"/>
  <c r="CQ812" i="1"/>
  <c r="CR812" i="1"/>
  <c r="CS812" i="1"/>
  <c r="CT812" i="1"/>
  <c r="CU812" i="1"/>
  <c r="CV812" i="1"/>
  <c r="BQ813" i="1"/>
  <c r="BR813" i="1"/>
  <c r="BS813" i="1"/>
  <c r="BV813" i="1"/>
  <c r="BW813" i="1"/>
  <c r="BX813" i="1"/>
  <c r="BY813" i="1"/>
  <c r="BZ813" i="1"/>
  <c r="CA813" i="1"/>
  <c r="CB813" i="1"/>
  <c r="CC813" i="1"/>
  <c r="CD813" i="1"/>
  <c r="CE813" i="1"/>
  <c r="CF813" i="1"/>
  <c r="CG813" i="1"/>
  <c r="CH813" i="1"/>
  <c r="CI813" i="1"/>
  <c r="CJ813" i="1"/>
  <c r="CK813" i="1"/>
  <c r="CL813" i="1"/>
  <c r="CM813" i="1"/>
  <c r="CN813" i="1"/>
  <c r="CO813" i="1"/>
  <c r="CP813" i="1"/>
  <c r="CQ813" i="1"/>
  <c r="CR813" i="1"/>
  <c r="CS813" i="1"/>
  <c r="CT813" i="1"/>
  <c r="CU813" i="1"/>
  <c r="CV813" i="1"/>
  <c r="BQ814" i="1"/>
  <c r="BR814" i="1"/>
  <c r="BS814" i="1"/>
  <c r="BV814" i="1"/>
  <c r="BW814" i="1"/>
  <c r="BX814" i="1"/>
  <c r="BY814" i="1"/>
  <c r="BZ814" i="1"/>
  <c r="CA814" i="1"/>
  <c r="CB814" i="1"/>
  <c r="CC814" i="1"/>
  <c r="CD814" i="1"/>
  <c r="CE814" i="1"/>
  <c r="CF814" i="1"/>
  <c r="CG814" i="1"/>
  <c r="CH814" i="1"/>
  <c r="CI814" i="1"/>
  <c r="CJ814" i="1"/>
  <c r="CK814" i="1"/>
  <c r="CL814" i="1"/>
  <c r="CM814" i="1"/>
  <c r="CN814" i="1"/>
  <c r="CO814" i="1"/>
  <c r="CP814" i="1"/>
  <c r="CQ814" i="1"/>
  <c r="CR814" i="1"/>
  <c r="CS814" i="1"/>
  <c r="CT814" i="1"/>
  <c r="CU814" i="1"/>
  <c r="CV814" i="1"/>
  <c r="BQ815" i="1"/>
  <c r="BR815" i="1"/>
  <c r="BS815" i="1"/>
  <c r="BV815" i="1"/>
  <c r="BW815" i="1"/>
  <c r="BX815" i="1"/>
  <c r="BY815" i="1"/>
  <c r="BZ815" i="1"/>
  <c r="CA815" i="1"/>
  <c r="CB815" i="1"/>
  <c r="CC815" i="1"/>
  <c r="CD815" i="1"/>
  <c r="CE815" i="1"/>
  <c r="CF815" i="1"/>
  <c r="CG815" i="1"/>
  <c r="CH815" i="1"/>
  <c r="CI815" i="1"/>
  <c r="CJ815" i="1"/>
  <c r="CK815" i="1"/>
  <c r="CL815" i="1"/>
  <c r="CM815" i="1"/>
  <c r="CN815" i="1"/>
  <c r="CO815" i="1"/>
  <c r="CP815" i="1"/>
  <c r="CQ815" i="1"/>
  <c r="CR815" i="1"/>
  <c r="CS815" i="1"/>
  <c r="CT815" i="1"/>
  <c r="CU815" i="1"/>
  <c r="CV815" i="1"/>
  <c r="BQ816" i="1"/>
  <c r="BR816" i="1"/>
  <c r="BS816" i="1"/>
  <c r="BV816" i="1"/>
  <c r="BW816" i="1"/>
  <c r="BX816" i="1"/>
  <c r="BY816" i="1"/>
  <c r="BZ816" i="1"/>
  <c r="CA816" i="1"/>
  <c r="CB816" i="1"/>
  <c r="CC816" i="1"/>
  <c r="CD816" i="1"/>
  <c r="CE816" i="1"/>
  <c r="CF816" i="1"/>
  <c r="CG816" i="1"/>
  <c r="CH816" i="1"/>
  <c r="CI816" i="1"/>
  <c r="CJ816" i="1"/>
  <c r="CK816" i="1"/>
  <c r="CL816" i="1"/>
  <c r="CM816" i="1"/>
  <c r="CN816" i="1"/>
  <c r="CO816" i="1"/>
  <c r="CP816" i="1"/>
  <c r="CQ816" i="1"/>
  <c r="CR816" i="1"/>
  <c r="CS816" i="1"/>
  <c r="CT816" i="1"/>
  <c r="CU816" i="1"/>
  <c r="CV816" i="1"/>
  <c r="BQ817" i="1"/>
  <c r="BR817" i="1"/>
  <c r="BS817" i="1"/>
  <c r="BV817" i="1"/>
  <c r="BW817" i="1"/>
  <c r="BX817" i="1"/>
  <c r="BY817" i="1"/>
  <c r="BZ817" i="1"/>
  <c r="CA817" i="1"/>
  <c r="CB817" i="1"/>
  <c r="CC817" i="1"/>
  <c r="CD817" i="1"/>
  <c r="CE817" i="1"/>
  <c r="CF817" i="1"/>
  <c r="CG817" i="1"/>
  <c r="CH817" i="1"/>
  <c r="CI817" i="1"/>
  <c r="CJ817" i="1"/>
  <c r="CK817" i="1"/>
  <c r="CL817" i="1"/>
  <c r="CM817" i="1"/>
  <c r="CN817" i="1"/>
  <c r="CO817" i="1"/>
  <c r="CP817" i="1"/>
  <c r="CQ817" i="1"/>
  <c r="CR817" i="1"/>
  <c r="CS817" i="1"/>
  <c r="CT817" i="1"/>
  <c r="CU817" i="1"/>
  <c r="CV817" i="1"/>
  <c r="BQ818" i="1"/>
  <c r="BR818" i="1"/>
  <c r="BS818" i="1"/>
  <c r="BV818" i="1"/>
  <c r="BW818" i="1"/>
  <c r="BX818" i="1"/>
  <c r="BY818" i="1"/>
  <c r="BZ818" i="1"/>
  <c r="CA818" i="1"/>
  <c r="CB818" i="1"/>
  <c r="CC818" i="1"/>
  <c r="CD818" i="1"/>
  <c r="CE818" i="1"/>
  <c r="CF818" i="1"/>
  <c r="CG818" i="1"/>
  <c r="CH818" i="1"/>
  <c r="CI818" i="1"/>
  <c r="CJ818" i="1"/>
  <c r="CK818" i="1"/>
  <c r="CL818" i="1"/>
  <c r="CM818" i="1"/>
  <c r="CN818" i="1"/>
  <c r="CO818" i="1"/>
  <c r="CP818" i="1"/>
  <c r="CQ818" i="1"/>
  <c r="CR818" i="1"/>
  <c r="CS818" i="1"/>
  <c r="CT818" i="1"/>
  <c r="CU818" i="1"/>
  <c r="CV818" i="1"/>
  <c r="BQ819" i="1"/>
  <c r="BR819" i="1"/>
  <c r="BS819" i="1"/>
  <c r="BV819" i="1"/>
  <c r="BW819" i="1"/>
  <c r="BX819" i="1"/>
  <c r="BY819" i="1"/>
  <c r="BZ819" i="1"/>
  <c r="CA819" i="1"/>
  <c r="CB819" i="1"/>
  <c r="CC819" i="1"/>
  <c r="CD819" i="1"/>
  <c r="CE819" i="1"/>
  <c r="CF819" i="1"/>
  <c r="CG819" i="1"/>
  <c r="CH819" i="1"/>
  <c r="CI819" i="1"/>
  <c r="CJ819" i="1"/>
  <c r="CK819" i="1"/>
  <c r="CL819" i="1"/>
  <c r="CM819" i="1"/>
  <c r="CN819" i="1"/>
  <c r="CO819" i="1"/>
  <c r="CP819" i="1"/>
  <c r="CQ819" i="1"/>
  <c r="CR819" i="1"/>
  <c r="CS819" i="1"/>
  <c r="CT819" i="1"/>
  <c r="CU819" i="1"/>
  <c r="CV819" i="1"/>
  <c r="BQ820" i="1"/>
  <c r="BR820" i="1"/>
  <c r="BS820" i="1"/>
  <c r="BV820" i="1"/>
  <c r="BW820" i="1"/>
  <c r="BX820" i="1"/>
  <c r="BY820" i="1"/>
  <c r="BZ820" i="1"/>
  <c r="CA820" i="1"/>
  <c r="CB820" i="1"/>
  <c r="CC820" i="1"/>
  <c r="CD820" i="1"/>
  <c r="CE820" i="1"/>
  <c r="CF820" i="1"/>
  <c r="CG820" i="1"/>
  <c r="CH820" i="1"/>
  <c r="CI820" i="1"/>
  <c r="CJ820" i="1"/>
  <c r="CK820" i="1"/>
  <c r="CL820" i="1"/>
  <c r="CM820" i="1"/>
  <c r="CN820" i="1"/>
  <c r="CO820" i="1"/>
  <c r="CP820" i="1"/>
  <c r="CQ820" i="1"/>
  <c r="CR820" i="1"/>
  <c r="CS820" i="1"/>
  <c r="CT820" i="1"/>
  <c r="CU820" i="1"/>
  <c r="CV820" i="1"/>
  <c r="BQ821" i="1"/>
  <c r="BR821" i="1"/>
  <c r="BS821" i="1"/>
  <c r="BV821" i="1"/>
  <c r="BW821" i="1"/>
  <c r="BX821" i="1"/>
  <c r="BY821" i="1"/>
  <c r="BZ821" i="1"/>
  <c r="CA821" i="1"/>
  <c r="CB821" i="1"/>
  <c r="CC821" i="1"/>
  <c r="CD821" i="1"/>
  <c r="CE821" i="1"/>
  <c r="CF821" i="1"/>
  <c r="CG821" i="1"/>
  <c r="CH821" i="1"/>
  <c r="CI821" i="1"/>
  <c r="CJ821" i="1"/>
  <c r="CK821" i="1"/>
  <c r="CL821" i="1"/>
  <c r="CM821" i="1"/>
  <c r="CN821" i="1"/>
  <c r="CO821" i="1"/>
  <c r="CP821" i="1"/>
  <c r="CQ821" i="1"/>
  <c r="CR821" i="1"/>
  <c r="CS821" i="1"/>
  <c r="CT821" i="1"/>
  <c r="CU821" i="1"/>
  <c r="CV821" i="1"/>
  <c r="BQ822" i="1"/>
  <c r="BR822" i="1"/>
  <c r="BS822" i="1"/>
  <c r="BV822" i="1"/>
  <c r="BW822" i="1"/>
  <c r="BX822" i="1"/>
  <c r="BY822" i="1"/>
  <c r="BZ822" i="1"/>
  <c r="CA822" i="1"/>
  <c r="CB822" i="1"/>
  <c r="CC822" i="1"/>
  <c r="CD822" i="1"/>
  <c r="CE822" i="1"/>
  <c r="CF822" i="1"/>
  <c r="CG822" i="1"/>
  <c r="CH822" i="1"/>
  <c r="CI822" i="1"/>
  <c r="CJ822" i="1"/>
  <c r="CK822" i="1"/>
  <c r="CL822" i="1"/>
  <c r="CM822" i="1"/>
  <c r="CN822" i="1"/>
  <c r="CO822" i="1"/>
  <c r="CP822" i="1"/>
  <c r="CQ822" i="1"/>
  <c r="CR822" i="1"/>
  <c r="CS822" i="1"/>
  <c r="CT822" i="1"/>
  <c r="CU822" i="1"/>
  <c r="CV822" i="1"/>
  <c r="BQ823" i="1"/>
  <c r="BR823" i="1"/>
  <c r="BS823" i="1"/>
  <c r="BV823" i="1"/>
  <c r="BW823" i="1"/>
  <c r="BX823" i="1"/>
  <c r="BY823" i="1"/>
  <c r="BZ823" i="1"/>
  <c r="CA823" i="1"/>
  <c r="CB823" i="1"/>
  <c r="CC823" i="1"/>
  <c r="CD823" i="1"/>
  <c r="CE823" i="1"/>
  <c r="CF823" i="1"/>
  <c r="CG823" i="1"/>
  <c r="CH823" i="1"/>
  <c r="CI823" i="1"/>
  <c r="CJ823" i="1"/>
  <c r="CK823" i="1"/>
  <c r="CL823" i="1"/>
  <c r="CM823" i="1"/>
  <c r="CN823" i="1"/>
  <c r="CO823" i="1"/>
  <c r="CP823" i="1"/>
  <c r="CQ823" i="1"/>
  <c r="CR823" i="1"/>
  <c r="CS823" i="1"/>
  <c r="CT823" i="1"/>
  <c r="CU823" i="1"/>
  <c r="CV823" i="1"/>
  <c r="BQ824" i="1"/>
  <c r="BR824" i="1"/>
  <c r="BS824" i="1"/>
  <c r="BV824" i="1"/>
  <c r="BW824" i="1"/>
  <c r="BX824" i="1"/>
  <c r="BY824" i="1"/>
  <c r="BZ824" i="1"/>
  <c r="CA824" i="1"/>
  <c r="CB824" i="1"/>
  <c r="CC824" i="1"/>
  <c r="CD824" i="1"/>
  <c r="CE824" i="1"/>
  <c r="CF824" i="1"/>
  <c r="CG824" i="1"/>
  <c r="CH824" i="1"/>
  <c r="CI824" i="1"/>
  <c r="CJ824" i="1"/>
  <c r="CK824" i="1"/>
  <c r="CL824" i="1"/>
  <c r="CM824" i="1"/>
  <c r="CN824" i="1"/>
  <c r="CO824" i="1"/>
  <c r="CP824" i="1"/>
  <c r="CQ824" i="1"/>
  <c r="CR824" i="1"/>
  <c r="CS824" i="1"/>
  <c r="CT824" i="1"/>
  <c r="CU824" i="1"/>
  <c r="CV824" i="1"/>
  <c r="BQ825" i="1"/>
  <c r="BR825" i="1"/>
  <c r="BS825" i="1"/>
  <c r="BV825" i="1"/>
  <c r="BW825" i="1"/>
  <c r="BX825" i="1"/>
  <c r="BY825" i="1"/>
  <c r="BZ825" i="1"/>
  <c r="CA825" i="1"/>
  <c r="CB825" i="1"/>
  <c r="CC825" i="1"/>
  <c r="CD825" i="1"/>
  <c r="CE825" i="1"/>
  <c r="CF825" i="1"/>
  <c r="CG825" i="1"/>
  <c r="CH825" i="1"/>
  <c r="CI825" i="1"/>
  <c r="CJ825" i="1"/>
  <c r="CK825" i="1"/>
  <c r="CL825" i="1"/>
  <c r="CM825" i="1"/>
  <c r="CN825" i="1"/>
  <c r="CO825" i="1"/>
  <c r="CP825" i="1"/>
  <c r="CQ825" i="1"/>
  <c r="CR825" i="1"/>
  <c r="CS825" i="1"/>
  <c r="CT825" i="1"/>
  <c r="CU825" i="1"/>
  <c r="CV825" i="1"/>
  <c r="BQ826" i="1"/>
  <c r="BR826" i="1"/>
  <c r="BS826" i="1"/>
  <c r="BV826" i="1"/>
  <c r="BW826" i="1"/>
  <c r="BX826" i="1"/>
  <c r="BY826" i="1"/>
  <c r="BZ826" i="1"/>
  <c r="CA826" i="1"/>
  <c r="CB826" i="1"/>
  <c r="CC826" i="1"/>
  <c r="CD826" i="1"/>
  <c r="CE826" i="1"/>
  <c r="CF826" i="1"/>
  <c r="CG826" i="1"/>
  <c r="CH826" i="1"/>
  <c r="CI826" i="1"/>
  <c r="CJ826" i="1"/>
  <c r="CK826" i="1"/>
  <c r="CL826" i="1"/>
  <c r="CM826" i="1"/>
  <c r="CN826" i="1"/>
  <c r="CO826" i="1"/>
  <c r="CP826" i="1"/>
  <c r="CQ826" i="1"/>
  <c r="CR826" i="1"/>
  <c r="CS826" i="1"/>
  <c r="CT826" i="1"/>
  <c r="CU826" i="1"/>
  <c r="CV826" i="1"/>
  <c r="BQ827" i="1"/>
  <c r="BR827" i="1"/>
  <c r="BS827" i="1"/>
  <c r="BV827" i="1"/>
  <c r="BW827" i="1"/>
  <c r="BX827" i="1"/>
  <c r="BY827" i="1"/>
  <c r="BZ827" i="1"/>
  <c r="CA827" i="1"/>
  <c r="CB827" i="1"/>
  <c r="CC827" i="1"/>
  <c r="CD827" i="1"/>
  <c r="CE827" i="1"/>
  <c r="CF827" i="1"/>
  <c r="CG827" i="1"/>
  <c r="CH827" i="1"/>
  <c r="CI827" i="1"/>
  <c r="CJ827" i="1"/>
  <c r="CK827" i="1"/>
  <c r="CL827" i="1"/>
  <c r="CM827" i="1"/>
  <c r="CN827" i="1"/>
  <c r="CO827" i="1"/>
  <c r="CP827" i="1"/>
  <c r="CQ827" i="1"/>
  <c r="CR827" i="1"/>
  <c r="CS827" i="1"/>
  <c r="CT827" i="1"/>
  <c r="CU827" i="1"/>
  <c r="CV827" i="1"/>
  <c r="BQ828" i="1"/>
  <c r="BR828" i="1"/>
  <c r="BS828" i="1"/>
  <c r="BV828" i="1"/>
  <c r="BW828" i="1"/>
  <c r="BX828" i="1"/>
  <c r="BY828" i="1"/>
  <c r="BZ828" i="1"/>
  <c r="CA828" i="1"/>
  <c r="CB828" i="1"/>
  <c r="CC828" i="1"/>
  <c r="CD828" i="1"/>
  <c r="CE828" i="1"/>
  <c r="CF828" i="1"/>
  <c r="CG828" i="1"/>
  <c r="CH828" i="1"/>
  <c r="CI828" i="1"/>
  <c r="CJ828" i="1"/>
  <c r="CK828" i="1"/>
  <c r="CL828" i="1"/>
  <c r="CM828" i="1"/>
  <c r="CN828" i="1"/>
  <c r="CO828" i="1"/>
  <c r="CP828" i="1"/>
  <c r="CQ828" i="1"/>
  <c r="CR828" i="1"/>
  <c r="CS828" i="1"/>
  <c r="CT828" i="1"/>
  <c r="CU828" i="1"/>
  <c r="CV828" i="1"/>
  <c r="BQ829" i="1"/>
  <c r="BR829" i="1"/>
  <c r="BS829" i="1"/>
  <c r="BV829" i="1"/>
  <c r="BW829" i="1"/>
  <c r="BX829" i="1"/>
  <c r="BY829" i="1"/>
  <c r="BZ829" i="1"/>
  <c r="CA829" i="1"/>
  <c r="CB829" i="1"/>
  <c r="CC829" i="1"/>
  <c r="CD829" i="1"/>
  <c r="CE829" i="1"/>
  <c r="CF829" i="1"/>
  <c r="CG829" i="1"/>
  <c r="CH829" i="1"/>
  <c r="CI829" i="1"/>
  <c r="CJ829" i="1"/>
  <c r="CK829" i="1"/>
  <c r="CL829" i="1"/>
  <c r="CM829" i="1"/>
  <c r="CN829" i="1"/>
  <c r="CO829" i="1"/>
  <c r="CP829" i="1"/>
  <c r="CQ829" i="1"/>
  <c r="CR829" i="1"/>
  <c r="CS829" i="1"/>
  <c r="CT829" i="1"/>
  <c r="CU829" i="1"/>
  <c r="CV829" i="1"/>
  <c r="BQ830" i="1"/>
  <c r="BR830" i="1"/>
  <c r="BS830" i="1"/>
  <c r="BV830" i="1"/>
  <c r="BW830" i="1"/>
  <c r="BX830" i="1"/>
  <c r="BY830" i="1"/>
  <c r="BZ830" i="1"/>
  <c r="CA830" i="1"/>
  <c r="CB830" i="1"/>
  <c r="CC830" i="1"/>
  <c r="CD830" i="1"/>
  <c r="CE830" i="1"/>
  <c r="CF830" i="1"/>
  <c r="CG830" i="1"/>
  <c r="CH830" i="1"/>
  <c r="CI830" i="1"/>
  <c r="CJ830" i="1"/>
  <c r="CK830" i="1"/>
  <c r="CL830" i="1"/>
  <c r="CM830" i="1"/>
  <c r="CN830" i="1"/>
  <c r="CO830" i="1"/>
  <c r="CP830" i="1"/>
  <c r="CQ830" i="1"/>
  <c r="CR830" i="1"/>
  <c r="CS830" i="1"/>
  <c r="CT830" i="1"/>
  <c r="CU830" i="1"/>
  <c r="CV830" i="1"/>
  <c r="BQ831" i="1"/>
  <c r="BR831" i="1"/>
  <c r="BS831" i="1"/>
  <c r="BV831" i="1"/>
  <c r="BW831" i="1"/>
  <c r="BX831" i="1"/>
  <c r="BY831" i="1"/>
  <c r="BZ831" i="1"/>
  <c r="CA831" i="1"/>
  <c r="CB831" i="1"/>
  <c r="CC831" i="1"/>
  <c r="CD831" i="1"/>
  <c r="CE831" i="1"/>
  <c r="CF831" i="1"/>
  <c r="CG831" i="1"/>
  <c r="CH831" i="1"/>
  <c r="CI831" i="1"/>
  <c r="CJ831" i="1"/>
  <c r="CK831" i="1"/>
  <c r="CL831" i="1"/>
  <c r="CM831" i="1"/>
  <c r="CN831" i="1"/>
  <c r="CO831" i="1"/>
  <c r="CP831" i="1"/>
  <c r="CQ831" i="1"/>
  <c r="CR831" i="1"/>
  <c r="CS831" i="1"/>
  <c r="CT831" i="1"/>
  <c r="CU831" i="1"/>
  <c r="CV831" i="1"/>
  <c r="BQ832" i="1"/>
  <c r="BR832" i="1"/>
  <c r="BS832" i="1"/>
  <c r="BV832" i="1"/>
  <c r="BW832" i="1"/>
  <c r="BX832" i="1"/>
  <c r="BY832" i="1"/>
  <c r="BZ832" i="1"/>
  <c r="CA832" i="1"/>
  <c r="CB832" i="1"/>
  <c r="CC832" i="1"/>
  <c r="CD832" i="1"/>
  <c r="CE832" i="1"/>
  <c r="CF832" i="1"/>
  <c r="CG832" i="1"/>
  <c r="CH832" i="1"/>
  <c r="CI832" i="1"/>
  <c r="CJ832" i="1"/>
  <c r="CK832" i="1"/>
  <c r="CL832" i="1"/>
  <c r="CM832" i="1"/>
  <c r="CN832" i="1"/>
  <c r="CO832" i="1"/>
  <c r="CP832" i="1"/>
  <c r="CQ832" i="1"/>
  <c r="CR832" i="1"/>
  <c r="CS832" i="1"/>
  <c r="CT832" i="1"/>
  <c r="CU832" i="1"/>
  <c r="CV832" i="1"/>
  <c r="BQ833" i="1"/>
  <c r="BR833" i="1"/>
  <c r="BS833" i="1"/>
  <c r="BV833" i="1"/>
  <c r="BW833" i="1"/>
  <c r="BX833" i="1"/>
  <c r="BY833" i="1"/>
  <c r="BZ833" i="1"/>
  <c r="CA833" i="1"/>
  <c r="CB833" i="1"/>
  <c r="CC833" i="1"/>
  <c r="CD833" i="1"/>
  <c r="CE833" i="1"/>
  <c r="CF833" i="1"/>
  <c r="CG833" i="1"/>
  <c r="CH833" i="1"/>
  <c r="CI833" i="1"/>
  <c r="CJ833" i="1"/>
  <c r="CK833" i="1"/>
  <c r="CL833" i="1"/>
  <c r="CM833" i="1"/>
  <c r="CN833" i="1"/>
  <c r="CO833" i="1"/>
  <c r="CP833" i="1"/>
  <c r="CQ833" i="1"/>
  <c r="CR833" i="1"/>
  <c r="CS833" i="1"/>
  <c r="CT833" i="1"/>
  <c r="CU833" i="1"/>
  <c r="CV833" i="1"/>
  <c r="BQ834" i="1"/>
  <c r="BR834" i="1"/>
  <c r="BS834" i="1"/>
  <c r="BV834" i="1"/>
  <c r="BW834" i="1"/>
  <c r="BX834" i="1"/>
  <c r="BY834" i="1"/>
  <c r="BZ834" i="1"/>
  <c r="CA834" i="1"/>
  <c r="CB834" i="1"/>
  <c r="CC834" i="1"/>
  <c r="CD834" i="1"/>
  <c r="CE834" i="1"/>
  <c r="CF834" i="1"/>
  <c r="CG834" i="1"/>
  <c r="CH834" i="1"/>
  <c r="CI834" i="1"/>
  <c r="CJ834" i="1"/>
  <c r="CK834" i="1"/>
  <c r="CL834" i="1"/>
  <c r="CM834" i="1"/>
  <c r="CN834" i="1"/>
  <c r="CO834" i="1"/>
  <c r="CP834" i="1"/>
  <c r="CQ834" i="1"/>
  <c r="CR834" i="1"/>
  <c r="CS834" i="1"/>
  <c r="CT834" i="1"/>
  <c r="CU834" i="1"/>
  <c r="CV834" i="1"/>
  <c r="BQ835" i="1"/>
  <c r="BR835" i="1"/>
  <c r="BS835" i="1"/>
  <c r="BV835" i="1"/>
  <c r="BW835" i="1"/>
  <c r="BX835" i="1"/>
  <c r="BY835" i="1"/>
  <c r="BZ835" i="1"/>
  <c r="CA835" i="1"/>
  <c r="CB835" i="1"/>
  <c r="CC835" i="1"/>
  <c r="CD835" i="1"/>
  <c r="CE835" i="1"/>
  <c r="CF835" i="1"/>
  <c r="CG835" i="1"/>
  <c r="CH835" i="1"/>
  <c r="CI835" i="1"/>
  <c r="CJ835" i="1"/>
  <c r="CK835" i="1"/>
  <c r="CL835" i="1"/>
  <c r="CM835" i="1"/>
  <c r="CN835" i="1"/>
  <c r="CO835" i="1"/>
  <c r="CP835" i="1"/>
  <c r="CQ835" i="1"/>
  <c r="CR835" i="1"/>
  <c r="CS835" i="1"/>
  <c r="CT835" i="1"/>
  <c r="CU835" i="1"/>
  <c r="CV835" i="1"/>
  <c r="BQ836" i="1"/>
  <c r="BR836" i="1"/>
  <c r="BS836" i="1"/>
  <c r="BV836" i="1"/>
  <c r="BW836" i="1"/>
  <c r="BX836" i="1"/>
  <c r="BY836" i="1"/>
  <c r="BZ836" i="1"/>
  <c r="CA836" i="1"/>
  <c r="CB836" i="1"/>
  <c r="CC836" i="1"/>
  <c r="CD836" i="1"/>
  <c r="CE836" i="1"/>
  <c r="CF836" i="1"/>
  <c r="CG836" i="1"/>
  <c r="CH836" i="1"/>
  <c r="CI836" i="1"/>
  <c r="CJ836" i="1"/>
  <c r="CK836" i="1"/>
  <c r="CL836" i="1"/>
  <c r="CM836" i="1"/>
  <c r="CN836" i="1"/>
  <c r="CO836" i="1"/>
  <c r="CP836" i="1"/>
  <c r="CQ836" i="1"/>
  <c r="CR836" i="1"/>
  <c r="CS836" i="1"/>
  <c r="CT836" i="1"/>
  <c r="CU836" i="1"/>
  <c r="CV836" i="1"/>
  <c r="BQ837" i="1"/>
  <c r="BR837" i="1"/>
  <c r="BS837" i="1"/>
  <c r="BV837" i="1"/>
  <c r="BW837" i="1"/>
  <c r="BX837" i="1"/>
  <c r="BY837" i="1"/>
  <c r="BZ837" i="1"/>
  <c r="CA837" i="1"/>
  <c r="CB837" i="1"/>
  <c r="CC837" i="1"/>
  <c r="CD837" i="1"/>
  <c r="CE837" i="1"/>
  <c r="CF837" i="1"/>
  <c r="CG837" i="1"/>
  <c r="CH837" i="1"/>
  <c r="CI837" i="1"/>
  <c r="CJ837" i="1"/>
  <c r="CK837" i="1"/>
  <c r="CL837" i="1"/>
  <c r="CM837" i="1"/>
  <c r="CN837" i="1"/>
  <c r="CO837" i="1"/>
  <c r="CP837" i="1"/>
  <c r="CQ837" i="1"/>
  <c r="CR837" i="1"/>
  <c r="CS837" i="1"/>
  <c r="CT837" i="1"/>
  <c r="CU837" i="1"/>
  <c r="CV837" i="1"/>
  <c r="BQ838" i="1"/>
  <c r="BR838" i="1"/>
  <c r="BS838" i="1"/>
  <c r="BV838" i="1"/>
  <c r="BW838" i="1"/>
  <c r="BX838" i="1"/>
  <c r="BY838" i="1"/>
  <c r="BZ838" i="1"/>
  <c r="CA838" i="1"/>
  <c r="CB838" i="1"/>
  <c r="CC838" i="1"/>
  <c r="CD838" i="1"/>
  <c r="CE838" i="1"/>
  <c r="CF838" i="1"/>
  <c r="CG838" i="1"/>
  <c r="CH838" i="1"/>
  <c r="CI838" i="1"/>
  <c r="CJ838" i="1"/>
  <c r="CK838" i="1"/>
  <c r="CL838" i="1"/>
  <c r="CM838" i="1"/>
  <c r="CN838" i="1"/>
  <c r="CO838" i="1"/>
  <c r="CP838" i="1"/>
  <c r="CQ838" i="1"/>
  <c r="CR838" i="1"/>
  <c r="CS838" i="1"/>
  <c r="CT838" i="1"/>
  <c r="CU838" i="1"/>
  <c r="CV838" i="1"/>
  <c r="BQ839" i="1"/>
  <c r="BR839" i="1"/>
  <c r="BS839" i="1"/>
  <c r="BV839" i="1"/>
  <c r="BW839" i="1"/>
  <c r="BX839" i="1"/>
  <c r="BY839" i="1"/>
  <c r="BZ839" i="1"/>
  <c r="CA839" i="1"/>
  <c r="CB839" i="1"/>
  <c r="CC839" i="1"/>
  <c r="CD839" i="1"/>
  <c r="CE839" i="1"/>
  <c r="CF839" i="1"/>
  <c r="CG839" i="1"/>
  <c r="CH839" i="1"/>
  <c r="CI839" i="1"/>
  <c r="CJ839" i="1"/>
  <c r="CK839" i="1"/>
  <c r="CL839" i="1"/>
  <c r="CM839" i="1"/>
  <c r="CN839" i="1"/>
  <c r="CO839" i="1"/>
  <c r="CP839" i="1"/>
  <c r="CQ839" i="1"/>
  <c r="CR839" i="1"/>
  <c r="CS839" i="1"/>
  <c r="CT839" i="1"/>
  <c r="CU839" i="1"/>
  <c r="CV839" i="1"/>
  <c r="BQ840" i="1"/>
  <c r="BR840" i="1"/>
  <c r="BS840" i="1"/>
  <c r="BV840" i="1"/>
  <c r="BW840" i="1"/>
  <c r="BX840" i="1"/>
  <c r="BY840" i="1"/>
  <c r="BZ840" i="1"/>
  <c r="CA840" i="1"/>
  <c r="CB840" i="1"/>
  <c r="CC840" i="1"/>
  <c r="CD840" i="1"/>
  <c r="CE840" i="1"/>
  <c r="CF840" i="1"/>
  <c r="CG840" i="1"/>
  <c r="CH840" i="1"/>
  <c r="CI840" i="1"/>
  <c r="CJ840" i="1"/>
  <c r="CK840" i="1"/>
  <c r="CL840" i="1"/>
  <c r="CM840" i="1"/>
  <c r="CN840" i="1"/>
  <c r="CO840" i="1"/>
  <c r="CP840" i="1"/>
  <c r="CQ840" i="1"/>
  <c r="CR840" i="1"/>
  <c r="CS840" i="1"/>
  <c r="CT840" i="1"/>
  <c r="CU840" i="1"/>
  <c r="CV840" i="1"/>
  <c r="BQ841" i="1"/>
  <c r="BR841" i="1"/>
  <c r="BS841" i="1"/>
  <c r="BV841" i="1"/>
  <c r="BW841" i="1"/>
  <c r="BX841" i="1"/>
  <c r="BY841" i="1"/>
  <c r="BZ841" i="1"/>
  <c r="CA841" i="1"/>
  <c r="CB841" i="1"/>
  <c r="CC841" i="1"/>
  <c r="CD841" i="1"/>
  <c r="CE841" i="1"/>
  <c r="CF841" i="1"/>
  <c r="CG841" i="1"/>
  <c r="CH841" i="1"/>
  <c r="CI841" i="1"/>
  <c r="CJ841" i="1"/>
  <c r="CK841" i="1"/>
  <c r="CL841" i="1"/>
  <c r="CM841" i="1"/>
  <c r="CN841" i="1"/>
  <c r="CO841" i="1"/>
  <c r="CP841" i="1"/>
  <c r="CQ841" i="1"/>
  <c r="CR841" i="1"/>
  <c r="CS841" i="1"/>
  <c r="CT841" i="1"/>
  <c r="CU841" i="1"/>
  <c r="CV841" i="1"/>
  <c r="BQ842" i="1"/>
  <c r="BR842" i="1"/>
  <c r="BS842" i="1"/>
  <c r="BV842" i="1"/>
  <c r="BW842" i="1"/>
  <c r="BX842" i="1"/>
  <c r="BY842" i="1"/>
  <c r="BZ842" i="1"/>
  <c r="CA842" i="1"/>
  <c r="CB842" i="1"/>
  <c r="CC842" i="1"/>
  <c r="CD842" i="1"/>
  <c r="CE842" i="1"/>
  <c r="CF842" i="1"/>
  <c r="CG842" i="1"/>
  <c r="CH842" i="1"/>
  <c r="CI842" i="1"/>
  <c r="CJ842" i="1"/>
  <c r="CK842" i="1"/>
  <c r="CL842" i="1"/>
  <c r="CM842" i="1"/>
  <c r="CN842" i="1"/>
  <c r="CO842" i="1"/>
  <c r="CP842" i="1"/>
  <c r="CQ842" i="1"/>
  <c r="CR842" i="1"/>
  <c r="CS842" i="1"/>
  <c r="CT842" i="1"/>
  <c r="CU842" i="1"/>
  <c r="CV842" i="1"/>
  <c r="BQ843" i="1"/>
  <c r="BR843" i="1"/>
  <c r="BS843" i="1"/>
  <c r="BV843" i="1"/>
  <c r="BW843" i="1"/>
  <c r="BX843" i="1"/>
  <c r="BY843" i="1"/>
  <c r="BZ843" i="1"/>
  <c r="CA843" i="1"/>
  <c r="CB843" i="1"/>
  <c r="CC843" i="1"/>
  <c r="CD843" i="1"/>
  <c r="CE843" i="1"/>
  <c r="CF843" i="1"/>
  <c r="CG843" i="1"/>
  <c r="CH843" i="1"/>
  <c r="CI843" i="1"/>
  <c r="CJ843" i="1"/>
  <c r="CK843" i="1"/>
  <c r="CL843" i="1"/>
  <c r="CM843" i="1"/>
  <c r="CN843" i="1"/>
  <c r="CO843" i="1"/>
  <c r="CP843" i="1"/>
  <c r="CQ843" i="1"/>
  <c r="CR843" i="1"/>
  <c r="CS843" i="1"/>
  <c r="CT843" i="1"/>
  <c r="CU843" i="1"/>
  <c r="CV843" i="1"/>
  <c r="BQ844" i="1"/>
  <c r="BR844" i="1"/>
  <c r="BS844" i="1"/>
  <c r="BV844" i="1"/>
  <c r="BW844" i="1"/>
  <c r="BX844" i="1"/>
  <c r="BY844" i="1"/>
  <c r="BZ844" i="1"/>
  <c r="CA844" i="1"/>
  <c r="CB844" i="1"/>
  <c r="CC844" i="1"/>
  <c r="CD844" i="1"/>
  <c r="CE844" i="1"/>
  <c r="CF844" i="1"/>
  <c r="CG844" i="1"/>
  <c r="CH844" i="1"/>
  <c r="CI844" i="1"/>
  <c r="CJ844" i="1"/>
  <c r="CK844" i="1"/>
  <c r="CL844" i="1"/>
  <c r="CM844" i="1"/>
  <c r="CN844" i="1"/>
  <c r="CO844" i="1"/>
  <c r="CP844" i="1"/>
  <c r="CQ844" i="1"/>
  <c r="CR844" i="1"/>
  <c r="CS844" i="1"/>
  <c r="CT844" i="1"/>
  <c r="CU844" i="1"/>
  <c r="CV844" i="1"/>
  <c r="BQ845" i="1"/>
  <c r="BR845" i="1"/>
  <c r="BS845" i="1"/>
  <c r="BV845" i="1"/>
  <c r="BW845" i="1"/>
  <c r="BX845" i="1"/>
  <c r="BY845" i="1"/>
  <c r="BZ845" i="1"/>
  <c r="CA845" i="1"/>
  <c r="CB845" i="1"/>
  <c r="CC845" i="1"/>
  <c r="CD845" i="1"/>
  <c r="CE845" i="1"/>
  <c r="CF845" i="1"/>
  <c r="CG845" i="1"/>
  <c r="CH845" i="1"/>
  <c r="CI845" i="1"/>
  <c r="CJ845" i="1"/>
  <c r="CK845" i="1"/>
  <c r="CL845" i="1"/>
  <c r="CM845" i="1"/>
  <c r="CN845" i="1"/>
  <c r="CO845" i="1"/>
  <c r="CP845" i="1"/>
  <c r="CQ845" i="1"/>
  <c r="CR845" i="1"/>
  <c r="CS845" i="1"/>
  <c r="CT845" i="1"/>
  <c r="CU845" i="1"/>
  <c r="CV845" i="1"/>
  <c r="BQ846" i="1"/>
  <c r="BR846" i="1"/>
  <c r="BS846" i="1"/>
  <c r="BV846" i="1"/>
  <c r="BW846" i="1"/>
  <c r="BX846" i="1"/>
  <c r="BY846" i="1"/>
  <c r="BZ846" i="1"/>
  <c r="CA846" i="1"/>
  <c r="CB846" i="1"/>
  <c r="CC846" i="1"/>
  <c r="CD846" i="1"/>
  <c r="CE846" i="1"/>
  <c r="CF846" i="1"/>
  <c r="CG846" i="1"/>
  <c r="CH846" i="1"/>
  <c r="CI846" i="1"/>
  <c r="CJ846" i="1"/>
  <c r="CK846" i="1"/>
  <c r="CL846" i="1"/>
  <c r="CM846" i="1"/>
  <c r="CN846" i="1"/>
  <c r="CO846" i="1"/>
  <c r="CP846" i="1"/>
  <c r="CQ846" i="1"/>
  <c r="CR846" i="1"/>
  <c r="CS846" i="1"/>
  <c r="CT846" i="1"/>
  <c r="CU846" i="1"/>
  <c r="CV8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tc={115D587C-ADE6-44C3-B281-A744CE710740}</author>
    <author>tc={AE3E030A-1073-4A3D-B5B7-253F38221FC3}</author>
    <author>tc={72984EBC-FDDA-415C-ABA5-9F1CBB58F4A0}</author>
  </authors>
  <commentList>
    <comment ref="BU65" authorId="0" shapeId="0" xr:uid="{115D587C-ADE6-44C3-B281-A744CE710740}">
      <text>
        <t>[Comentário encadeado]
Sua versão do Excel permite que você leia este comentário encadeado, no entanto, as edições serão removidas se o arquivo for aberto em uma versão mais recente do Excel. Saiba mais: https://go.microsoft.com/fwlink/?linkid=870924
Comentário:
    Falha na geração da venda</t>
      </text>
    </comment>
    <comment ref="BU349" authorId="1" shapeId="0" xr:uid="{AE3E030A-1073-4A3D-B5B7-253F38221FC3}">
      <text>
        <t>[Comentário encadeado]
Sua versão do Excel permite que você leia este comentário encadeado, no entanto, as edições serão removidas se o arquivo for aberto em uma versão mais recente do Excel. Saiba mais: https://go.microsoft.com/fwlink/?linkid=870924
Comentário:
    Dar aceite após nova confirmação</t>
      </text>
    </comment>
    <comment ref="BU586" authorId="2" shapeId="0" xr:uid="{72984EBC-FDDA-415C-ABA5-9F1CBB58F4A0}">
      <text>
        <t>[Comentário encadeado]
Sua versão do Excel permite que você leia este comentário encadeado, no entanto, as edições serão removidas se o arquivo for aberto em uma versão mais recente do Excel. Saiba mais: https://go.microsoft.com/fwlink/?linkid=870924
Comentário:
    Dar aceite após nova confirmação</t>
      </text>
    </comment>
  </commentList>
</comments>
</file>

<file path=xl/sharedStrings.xml><?xml version="1.0" encoding="utf-8"?>
<sst xmlns="http://schemas.openxmlformats.org/spreadsheetml/2006/main" count="30481" uniqueCount="970">
  <si>
    <t>NÃO</t>
  </si>
  <si>
    <t>N/A</t>
  </si>
  <si>
    <t>SIM</t>
  </si>
  <si>
    <t>PREVISTO</t>
  </si>
  <si>
    <t>REMOTO</t>
  </si>
  <si>
    <t>PRESENCIAL</t>
  </si>
  <si>
    <t>FATURADO</t>
  </si>
  <si>
    <t>CICLO Outubro</t>
  </si>
  <si>
    <t>Desenvolvimento pelo CFP 123</t>
  </si>
  <si>
    <t xml:space="preserve">02/10 - Até esta data a empresa permanece com porde DEMAIS , PC enviada como EPP, conforme orientação. 26/09: Empresa de porte DEMAIS que vai mudar para EPP. </t>
  </si>
  <si>
    <t>sim</t>
  </si>
  <si>
    <t>NA</t>
  </si>
  <si>
    <t>*T0 realizado pelo CFP 1.03 em apoio ao CFP 107 - (registros efetuados por 107) / 05/12 Consultor foi até a empresa mas lá teve conhecimento de que a empresa já está sendo atendida por outro consultor do SENAI - Atendimento seguirá com consultor da 1.07</t>
  </si>
  <si>
    <t>2118/2023</t>
  </si>
  <si>
    <t>-</t>
  </si>
  <si>
    <t>*T0 realizado pelo CFP 1.03 em apoio ao CFP 107 - (registros efetuados por 107)</t>
  </si>
  <si>
    <t>121/2023</t>
  </si>
  <si>
    <t>Propor PCP. Ver saldo[</t>
  </si>
  <si>
    <t>Sim</t>
  </si>
  <si>
    <t>?</t>
  </si>
  <si>
    <t>Implantação do Código de Barra</t>
  </si>
  <si>
    <t>PCP</t>
  </si>
  <si>
    <t>4731</t>
  </si>
  <si>
    <t>69/2023</t>
  </si>
  <si>
    <t>176/2023</t>
  </si>
  <si>
    <t>167/2022</t>
  </si>
  <si>
    <t>Etapa gratuita parceria</t>
  </si>
  <si>
    <t>86/2022</t>
  </si>
  <si>
    <t>263/2024</t>
  </si>
  <si>
    <t>solciitar que ER apoie empresa na assinatura. Anderson enviou novo e-mail</t>
  </si>
  <si>
    <t>0</t>
  </si>
  <si>
    <t>09/04 - ENVIO DA PESQUISA DE SATISFAÇÃO / SEBRAETC - GRUPO CLIP COLOR</t>
  </si>
  <si>
    <t>Remanejado para Fernando</t>
  </si>
  <si>
    <t>281/2023</t>
  </si>
  <si>
    <t>Etapa gratuita parceria 1.13</t>
  </si>
  <si>
    <t>251/2022</t>
  </si>
  <si>
    <t>Propor Desenv Prod/ Inovação / ISO</t>
  </si>
  <si>
    <t>Planejamento Estratégico Tecnológico</t>
  </si>
  <si>
    <t>Não teria aderência PCP / layout trabalhado no lean. Empresa sinalizou desenvolv.produto . Já teve ISSO, mas abandonou a certificação</t>
  </si>
  <si>
    <t>90/2022</t>
  </si>
  <si>
    <t>Conforme Flavia do ER, empresa é ME, não pode receber a carga horária deste atendimento</t>
  </si>
  <si>
    <t>B+P</t>
  </si>
  <si>
    <t>NÃO TEM EDUCACIONAL</t>
  </si>
  <si>
    <t>178/2024</t>
  </si>
  <si>
    <t>Sebrae enviou contrato a empresa ?</t>
  </si>
  <si>
    <t>09/04 PESQUISDA DE SATISFAÇÃO</t>
  </si>
  <si>
    <t>161/2024</t>
  </si>
  <si>
    <t>Empresa registrou interesse na Plataforma Proutividade</t>
  </si>
  <si>
    <t>39/2024</t>
  </si>
  <si>
    <t>Aceitou Lean. Enviar e-mail de kick off e reservar agenda de Fábio</t>
  </si>
  <si>
    <t xml:space="preserve">? </t>
  </si>
  <si>
    <t>Lean</t>
  </si>
  <si>
    <t>249/2023</t>
  </si>
  <si>
    <t>5/2024</t>
  </si>
  <si>
    <t>Inovação ?</t>
  </si>
  <si>
    <t>85/2024</t>
  </si>
  <si>
    <t>Tentar Resgate - Lean</t>
  </si>
  <si>
    <t xml:space="preserve">21.02.24: Patrícia informou que não tem interesse em participar da Jornada / 2023: Vetherm não conseguiu dar continuidade ao ALI nesse momento por algumas questões atuais na empresa e ficou para a turma de setembro. </t>
  </si>
  <si>
    <t>227/2022</t>
  </si>
  <si>
    <t>Não tem CNAE Industrial</t>
  </si>
  <si>
    <t>222/2023</t>
  </si>
  <si>
    <t>4728</t>
  </si>
  <si>
    <t>180/2023</t>
  </si>
  <si>
    <t>e-mail enviado</t>
  </si>
  <si>
    <t>Implantação de Requisitos de Qualidade, Meio Ambiente, Saúde e Segurança no Trabalho, Eficiência Operacional, Eficiência Energética e Compliance para Fornecedores</t>
  </si>
  <si>
    <t>54/2023</t>
  </si>
  <si>
    <t>282/2023</t>
  </si>
  <si>
    <t xml:space="preserve">Aceitou INOVAÇÃO ? </t>
  </si>
  <si>
    <t>CICLO ABRIL</t>
  </si>
  <si>
    <t>102/2022</t>
  </si>
  <si>
    <t>121/2022</t>
  </si>
  <si>
    <t>Propor outra solução ( ver e-mail git/grm sobre 5ª etapa)</t>
  </si>
  <si>
    <t>Sim ?</t>
  </si>
  <si>
    <t>Empresa não deseja participar. Houve fusão com outra empresa</t>
  </si>
  <si>
    <t>204/2022</t>
  </si>
  <si>
    <t>Propor Lean . Ver Saldo</t>
  </si>
  <si>
    <t>8/2024</t>
  </si>
  <si>
    <t>*ESTRATÉGICO* Registro do T0 SG7 e Oportunidade CRM somente em jan/2024</t>
  </si>
  <si>
    <t>101/2023</t>
  </si>
  <si>
    <t>Propor outra solução</t>
  </si>
  <si>
    <t>Melhoria de layout produtivo</t>
  </si>
  <si>
    <t>21/12 - Atendimento não concluido, segundo consultor Allan/Lucas o empresário pediu uma pausa na consultoria, até o momento não retomado.</t>
  </si>
  <si>
    <t>248/2022</t>
  </si>
  <si>
    <t>143/2022</t>
  </si>
  <si>
    <t>cobrei por e-mail 11/03</t>
  </si>
  <si>
    <t>216/2024</t>
  </si>
  <si>
    <t>Atendimento solicitado. Prever datas 1</t>
  </si>
  <si>
    <t>Produto</t>
  </si>
  <si>
    <t>Desenvolvimento de Produto</t>
  </si>
  <si>
    <t>4703</t>
  </si>
  <si>
    <t>252/2022</t>
  </si>
  <si>
    <t>89/2022</t>
  </si>
  <si>
    <t>Estávamos prospectando a empresa errada. Essa é de Guarulhos.</t>
  </si>
  <si>
    <t>214/2023</t>
  </si>
  <si>
    <t>Ofertar cursos de liderança</t>
  </si>
  <si>
    <t>registrar produção SGSET e SGT todas quintas-feiras</t>
  </si>
  <si>
    <t>145/2023</t>
  </si>
  <si>
    <t>contemplada no ciclo 2023</t>
  </si>
  <si>
    <t>Formatar relatório</t>
  </si>
  <si>
    <t>FALTA ASSINATURA NO ADOBE</t>
  </si>
  <si>
    <t>Jeff falou por e-mail, vão enviar hoje/ 08/10 contato com Anderson, pediu para reenviar para ele assinar e devolver ainda hoje.</t>
  </si>
  <si>
    <t>110/2023</t>
  </si>
  <si>
    <t>Próxima solução</t>
  </si>
  <si>
    <t>48/2023</t>
  </si>
  <si>
    <t>112/2024</t>
  </si>
  <si>
    <t>96/2024</t>
  </si>
  <si>
    <t>216/2023</t>
  </si>
  <si>
    <t>137/2024</t>
  </si>
  <si>
    <t>Rota: assinou ? Propor agenda</t>
  </si>
  <si>
    <t>31/2024</t>
  </si>
  <si>
    <t>Parceria 1.23 - total 140h/ Inscrita no Ali . SEBRAETEC PARA 2024</t>
  </si>
  <si>
    <t>290/2023</t>
  </si>
  <si>
    <t>Rota</t>
  </si>
  <si>
    <t>171/2023</t>
  </si>
  <si>
    <t>148/2023</t>
  </si>
  <si>
    <t>Diagnóstivo Rota 2030 - Não contemplada no ciclo 2023</t>
  </si>
  <si>
    <t>125/2023</t>
  </si>
  <si>
    <t>006862/2025</t>
  </si>
  <si>
    <t>138/2024</t>
  </si>
  <si>
    <t>134/2024</t>
  </si>
  <si>
    <t>Atendimento indicado pela GIT (político)</t>
  </si>
  <si>
    <t>119/2023</t>
  </si>
  <si>
    <t>Próxima solução ?</t>
  </si>
  <si>
    <t>103 NÃO ENTROU NO RATEIO - 21/12 - Segundo consultor Allan, a Taunos solicitou uma pausa no atendimento face a problememas de outra natureza. A expectativa é retomar na 2ª quinzena de jan/2024</t>
  </si>
  <si>
    <t>34/2023</t>
  </si>
  <si>
    <t>229/2022</t>
  </si>
  <si>
    <t>Assinou contrato ?</t>
  </si>
  <si>
    <t>Requisição ok. Incluir no Cronograma</t>
  </si>
  <si>
    <t>006702/2025</t>
  </si>
  <si>
    <t>De acordo com Jeff, empresa não assinou o contrato, diante disso, ER repassou o saldo para outra empresa.</t>
  </si>
  <si>
    <t>75/2024</t>
  </si>
  <si>
    <t>ABRIR</t>
  </si>
  <si>
    <t xml:space="preserve">11/07 - agendar data para apresentar Proposta / 03.07 - Airoldi solicitou apoio para diagnóstico </t>
  </si>
  <si>
    <t>ER enviou contrato a empresa ?</t>
  </si>
  <si>
    <t>08671/2025</t>
  </si>
  <si>
    <t>74/2024</t>
  </si>
  <si>
    <t>Adequação à norma ABNT NBR ISO 9001:2015 – Sistema de Gestão da Qualidade</t>
  </si>
  <si>
    <t>593/2023</t>
  </si>
  <si>
    <t>241/2022</t>
  </si>
  <si>
    <t>170/2022</t>
  </si>
  <si>
    <t>Jornada etapa gratuita</t>
  </si>
  <si>
    <t>119/2022</t>
  </si>
  <si>
    <t>E-MAIL EDU ENVIADO</t>
  </si>
  <si>
    <t>EDU E-MAIL ENVIADO</t>
  </si>
  <si>
    <t>Registrado para garantir a vaga no B+P, aguardando documentos assinados</t>
  </si>
  <si>
    <t>Tentar resgate</t>
  </si>
  <si>
    <t>x</t>
  </si>
  <si>
    <t>Empresa não respondeu</t>
  </si>
  <si>
    <t>159/2022</t>
  </si>
  <si>
    <t>CNAE comercial, solicitação direta do ER aprovada pela GRM</t>
  </si>
  <si>
    <t>66/2024</t>
  </si>
  <si>
    <t>A - Requisição OK !  / E-mail enviado /  Eli enviará o convite da reunião de Kick Off via Teams</t>
  </si>
  <si>
    <t>4740</t>
  </si>
  <si>
    <t>65/2023</t>
  </si>
  <si>
    <t>35/2022</t>
  </si>
  <si>
    <t>17/03: Empresa transferida para a carteira da 1.07</t>
  </si>
  <si>
    <t>006504/2025</t>
  </si>
  <si>
    <t>Cotação para palestras em SIPAT da empresa</t>
  </si>
  <si>
    <t>Registrado para garantir a vaga no B+P, aguardando documentos assinados - 07/10 A testemunha Selma não vai a empresa hoje, enviará amanhã</t>
  </si>
  <si>
    <t>64/2024</t>
  </si>
  <si>
    <t>189/2022</t>
  </si>
  <si>
    <t xml:space="preserve">Falei com Brendo. Sr. Sebastião não se encontra na empresa. Pediu para retornar a ligação mais tarde. </t>
  </si>
  <si>
    <t>SEBRAETC</t>
  </si>
  <si>
    <t>117231</t>
  </si>
  <si>
    <t>005016/2024</t>
  </si>
  <si>
    <t>65/2024</t>
  </si>
  <si>
    <t>151/2023</t>
  </si>
  <si>
    <t>155/2022</t>
  </si>
  <si>
    <t>168/2022</t>
  </si>
  <si>
    <t>141/2024</t>
  </si>
  <si>
    <t>Diego: Carol respondeu?</t>
  </si>
  <si>
    <t>261/2023</t>
  </si>
  <si>
    <t>Convidar para ALI</t>
  </si>
  <si>
    <t>253/2023</t>
  </si>
  <si>
    <t>3/2024</t>
  </si>
  <si>
    <t xml:space="preserve">Propor Próxima solução.Leandro:  "Gostaria de sinalizar que a empresa SBL tem aderência para o recebimento de uma consultoria de Planejamento e Controle de Produção e/ou alguma outra solução futura referente à Melhoria de Processos. /  Há também uma oportunidade / desejo de inovação (mencionados pelo empresário) no processo de lavagem de peças com uso de ultrassom. /  Foram discutidos os passos e algumas premissas relacionadas a 4ª etapa e procedimento referentes à futuros fomentos a ser solicitados com a submissão dos projetos. / O empresário demonstrou interesse, no entanto, declarou que a realização de investimentos não ocorreriam no ano vigente (talvez 2025 sob avaliação). </t>
  </si>
  <si>
    <t>61/2023</t>
  </si>
  <si>
    <t>21.02.24 / Airotn disse qu enão tem condições de receber o SENAI. Tem 03 funcionários e viaja muito / 24.07.23 - Disse não ter interesse em participar no momento, mesmo argumentando sobre os benefícios da JTD. Disse que já havia dado resposta ao Thiago em outro momento.  / 07.03: Airton estava reticente em participar por causa do volume de trabalho e novos contratos. Ficou de falar com a família para nos retornar</t>
  </si>
  <si>
    <t>Propor LEAN. Ver se há saldo.</t>
  </si>
  <si>
    <t>235/2024</t>
  </si>
  <si>
    <t>E-mail enviado a ER. Ver se há saldo</t>
  </si>
  <si>
    <t>Aguardando confirmação da data para a reunião final</t>
  </si>
  <si>
    <t>4702</t>
  </si>
  <si>
    <t>226/2023</t>
  </si>
  <si>
    <t>77/2023</t>
  </si>
  <si>
    <t>45/2023</t>
  </si>
  <si>
    <t>144/2024</t>
  </si>
  <si>
    <t>15/2024</t>
  </si>
  <si>
    <t>Propor Inovação ?</t>
  </si>
  <si>
    <t>35/2024</t>
  </si>
  <si>
    <t>Qual próxima solução ? Inovação</t>
  </si>
  <si>
    <t>Parceria 1.28 - total 140h / GATUITO /  Inscrita no Ali . SEBRAETEC PARA 2024</t>
  </si>
  <si>
    <t>104/2022</t>
  </si>
  <si>
    <t>Inscrita no Ali . SEBRAETEC PARA 2024</t>
  </si>
  <si>
    <t>18/08: contatar no último trimestre para preparar para 2024 / 11/08: Carla afirmou que empresa fez ALI e está apta da receber JTD. / 10/08: Elvis disse que iniciou o ALI, mas o consultor não apareceu mais. Verificar com SEBRAE / 07/08: Tentar resgate   / 07.03: Valdeci fez exame médico. retornar 08.03</t>
  </si>
  <si>
    <t>52/2023</t>
  </si>
  <si>
    <t>100/2023</t>
  </si>
  <si>
    <t>245/2022</t>
  </si>
  <si>
    <t>175/2022</t>
  </si>
  <si>
    <t>145/2022</t>
  </si>
  <si>
    <t>62/2024</t>
  </si>
  <si>
    <t>Eli vai enviar reunião de kick off via Teams</t>
  </si>
  <si>
    <t>99/2023</t>
  </si>
  <si>
    <t>236/2022</t>
  </si>
  <si>
    <t>154/2022</t>
  </si>
  <si>
    <t>Aguardando descongelamento do contrato SENAI / Atendimento anterior ainda não concluído no Startec, por esta razão, o ER ainda não solicitou este</t>
  </si>
  <si>
    <t>006063/2025</t>
  </si>
  <si>
    <t>179/2024</t>
  </si>
  <si>
    <t>162/2024</t>
  </si>
  <si>
    <t>Empresa cadastrada e prospectada pela 1.03, se acordo com o CNAE pode ir para a 1.06</t>
  </si>
  <si>
    <t>140/2024</t>
  </si>
  <si>
    <t>117204</t>
  </si>
  <si>
    <t>004971/2024</t>
  </si>
  <si>
    <t>92/2024</t>
  </si>
  <si>
    <t>Contrato assinado. Requisição enviada ?</t>
  </si>
  <si>
    <t>217/2023</t>
  </si>
  <si>
    <t>16/08: aceitou ALI</t>
  </si>
  <si>
    <t>158/2024</t>
  </si>
  <si>
    <t>191/2023</t>
  </si>
  <si>
    <t>94/2022</t>
  </si>
  <si>
    <t>279/2023</t>
  </si>
  <si>
    <t>341/2024</t>
  </si>
  <si>
    <t>275/2023</t>
  </si>
  <si>
    <t>24/03 - Na receita porte permanece ME - Na receira está ME, segundo Jeff, vai alterar porte</t>
  </si>
  <si>
    <t>Ciclo Outubro</t>
  </si>
  <si>
    <t>376/2024</t>
  </si>
  <si>
    <t>16/2024</t>
  </si>
  <si>
    <t>Tentar resgate: sem contato anterior</t>
  </si>
  <si>
    <t>08/01/24: Graziele pediu para ligar em 15/01. / 14/08: Empresa passando por um processo de alteração no quadro societário. Solicitou o cancelamento do T0. retomar depois</t>
  </si>
  <si>
    <t>213/2023</t>
  </si>
  <si>
    <t>10/08: sem tempo para novos projetos (substituição de 02 funcionários adm /ISSO) - tentar em 2024 / 07/08: Tentar resgate  / 16/03: Graziela ( "vamos deixar a consultoria para uma próxima ocasião")</t>
  </si>
  <si>
    <t>60/2023</t>
  </si>
  <si>
    <t>273/2023</t>
  </si>
  <si>
    <t>91/2024</t>
  </si>
  <si>
    <t>E-mail enviado</t>
  </si>
  <si>
    <t xml:space="preserve">4744
</t>
  </si>
  <si>
    <t>185/2022</t>
  </si>
  <si>
    <t>9/2023</t>
  </si>
  <si>
    <t>X</t>
  </si>
  <si>
    <t>18/08: vários contatos, sem sucesso. / 10/08: Marcos não faz mais parte da sociedade. Tentar novo contao / Ciclo anterior: Não aceitou o ALI. Tentar resgatar.  SEBRAETEC PARA 2024</t>
  </si>
  <si>
    <t>36/2023</t>
  </si>
  <si>
    <t>125/2024</t>
  </si>
  <si>
    <t>169/2023</t>
  </si>
  <si>
    <t>Não escolheu</t>
  </si>
  <si>
    <t>160/2023</t>
  </si>
  <si>
    <t>37/2023</t>
  </si>
  <si>
    <t>6/2023</t>
  </si>
  <si>
    <t xml:space="preserve">Qual próxima solução ? </t>
  </si>
  <si>
    <t>PCP voltado a estoque</t>
  </si>
  <si>
    <t>117/2022</t>
  </si>
  <si>
    <t>179/2023</t>
  </si>
  <si>
    <t>129/2023</t>
  </si>
  <si>
    <t>167/2023</t>
  </si>
  <si>
    <t>Qual próxima solução ? LISTA GIT 4ª ETAPA</t>
  </si>
  <si>
    <t>159/2023</t>
  </si>
  <si>
    <t>117209</t>
  </si>
  <si>
    <t>004979/2024</t>
  </si>
  <si>
    <t>92/2023</t>
  </si>
  <si>
    <t>Empresa tem ERP e emite ordem de produção via sistema e imprimi. Processo também é bem simples, apenas uma operação (estampagem). Todos os produtos fabricados pela Protemax são existentes que foram projetados por outras empresas. O produto é muito técnico e necessita de um especialista para o desenvolvimento. Empresa já tem um setor de qualidade estruturado</t>
  </si>
  <si>
    <t>53/2023</t>
  </si>
  <si>
    <t>233/2024</t>
  </si>
  <si>
    <t>Empresa disse que assinou. SEBRAE enviou requisição ?</t>
  </si>
  <si>
    <t>18/2024</t>
  </si>
  <si>
    <t xml:space="preserve">14/08: Alexandre vai se inscrever no ALI. 40 funcionários. / 14/08: Alexandre afirmou que desistiu da venda e quer retomar a JTD. / 10/08: em auditoria - duração 02 meses / 21.06- Ligar 15/08 - empresa em processo de vendas e não sabe se poderá receber a consultoria </t>
  </si>
  <si>
    <t>86/2023</t>
  </si>
  <si>
    <t>108/2023</t>
  </si>
  <si>
    <t>Ñõa aceitou INOVAÇÃO. Propor outra.</t>
  </si>
  <si>
    <t>40/2023</t>
  </si>
  <si>
    <t>109/2023</t>
  </si>
  <si>
    <t>Qual próxima solução ?</t>
  </si>
  <si>
    <t>SIM ?</t>
  </si>
  <si>
    <t>122/2022</t>
  </si>
  <si>
    <t>103/2022</t>
  </si>
  <si>
    <t>Assinado. Programar</t>
  </si>
  <si>
    <t>006891/2025</t>
  </si>
  <si>
    <t>113/2024</t>
  </si>
  <si>
    <t>101/2024</t>
  </si>
  <si>
    <t>43/2024</t>
  </si>
  <si>
    <t>Arregimentado por Marcello</t>
  </si>
  <si>
    <t>Data de Início e Término ok ? Verificar Cronograma também  (Produção Cronograma)</t>
  </si>
  <si>
    <t>006384/2025</t>
  </si>
  <si>
    <t>272/2023</t>
  </si>
  <si>
    <t>Marcelo : qual próxima solução ?</t>
  </si>
  <si>
    <t>Etapa gratuita parceria 1.08</t>
  </si>
  <si>
    <t>em assinatura</t>
  </si>
  <si>
    <t>23/2024</t>
  </si>
  <si>
    <t>Propor outra solução. Ver se há saldo</t>
  </si>
  <si>
    <t>Etapa gratuita - Não respondeu e-mail</t>
  </si>
  <si>
    <t>250/2023</t>
  </si>
  <si>
    <t>Não respondeu e-mail</t>
  </si>
  <si>
    <t xml:space="preserve">e-book. </t>
  </si>
  <si>
    <t>Empresa não quer T1</t>
  </si>
  <si>
    <t>163/2023</t>
  </si>
  <si>
    <t>e-book. Tentar T0</t>
  </si>
  <si>
    <t>10/08:  05 funcionários. Não está vendendo ( culpa o governo). Não está aberto para a Jornada. Tentar em 2024. / Empresa não aceitou T1</t>
  </si>
  <si>
    <t>16/2023</t>
  </si>
  <si>
    <t>005064/2024</t>
  </si>
  <si>
    <t>Incluso no Cronograma</t>
  </si>
  <si>
    <t>006569/2025</t>
  </si>
  <si>
    <t>261/2024</t>
  </si>
  <si>
    <t>93/2023</t>
  </si>
  <si>
    <t>Sebrae enviou o contrato para assinatura ?</t>
  </si>
  <si>
    <t>31/2023</t>
  </si>
  <si>
    <t>11/2024</t>
  </si>
  <si>
    <t>Empresa não retornou os contatos</t>
  </si>
  <si>
    <t>47/2024</t>
  </si>
  <si>
    <t>127/2023</t>
  </si>
  <si>
    <t>25/2023</t>
  </si>
  <si>
    <t>340/2024</t>
  </si>
  <si>
    <t>SIM;NÃO;N/A</t>
  </si>
  <si>
    <t>25/2024</t>
  </si>
  <si>
    <t>Etapa gratuita - Oportunidade emitida pela GRM</t>
  </si>
  <si>
    <t>224/2023</t>
  </si>
  <si>
    <t>Oportunidade emitida pela GRM</t>
  </si>
  <si>
    <t>Bruna informou que enviou o contrato para assinatura</t>
  </si>
  <si>
    <t>Conversado por e-mail em 31/03/2025</t>
  </si>
  <si>
    <t>006189/2025</t>
  </si>
  <si>
    <t>79/2023</t>
  </si>
  <si>
    <t>32/2023</t>
  </si>
  <si>
    <t>08/09/25: Empresa informou que tem apenas 01 funcionário. Voltar a contatar em Janeiro/26</t>
  </si>
  <si>
    <t>61/2024</t>
  </si>
  <si>
    <t>SEBRAETEC</t>
  </si>
  <si>
    <t>172/2023</t>
  </si>
  <si>
    <t>Diego pegou proposta assinada ? / *Fermaz*Ressarcido pela empresa (Diego).</t>
  </si>
  <si>
    <t>594/2023</t>
  </si>
  <si>
    <t>244/2022</t>
  </si>
  <si>
    <t>211/2022</t>
  </si>
  <si>
    <t>377/2024</t>
  </si>
  <si>
    <t>214/2022</t>
  </si>
  <si>
    <t>Empresa do grupo da FLAPE( 102)</t>
  </si>
  <si>
    <t>cfp 102</t>
  </si>
  <si>
    <t>117/2024</t>
  </si>
  <si>
    <t>107/2024</t>
  </si>
  <si>
    <t>97/2023</t>
  </si>
  <si>
    <t>21/06 Conforme Jefferson empresa declinou</t>
  </si>
  <si>
    <t>Falta: ESCOLHA LEAN</t>
  </si>
  <si>
    <t>105/2023</t>
  </si>
  <si>
    <t>De acordo com Leandro, empresário não quer novas consultorias</t>
  </si>
  <si>
    <t>https://forms.office.com/r/87aB5U9TnX </t>
  </si>
  <si>
    <t>17/2023</t>
  </si>
  <si>
    <t>006659/2025</t>
  </si>
  <si>
    <t xml:space="preserve">SIM </t>
  </si>
  <si>
    <t>174/2024</t>
  </si>
  <si>
    <t>Empresa respondeu e-mail de kick off. Tudo ok ! Preencher todos todos os campos nos arquivos de controle.</t>
  </si>
  <si>
    <t>003924/2024</t>
  </si>
  <si>
    <t>235/2022</t>
  </si>
  <si>
    <t>162/2022</t>
  </si>
  <si>
    <t>Empresas não respondeu as tentativas de contato</t>
  </si>
  <si>
    <t>Falta dados da testemunha</t>
  </si>
  <si>
    <t>218/2024</t>
  </si>
  <si>
    <t>reunião final agendada para 28/11</t>
  </si>
  <si>
    <t>113789</t>
  </si>
  <si>
    <t>002267/2024</t>
  </si>
  <si>
    <t>42/2023</t>
  </si>
  <si>
    <t>120/2023</t>
  </si>
  <si>
    <t>178/2023</t>
  </si>
  <si>
    <t>83/2023</t>
  </si>
  <si>
    <t>177/2023</t>
  </si>
  <si>
    <t>Implantação de Requisitos da qualidade, etc</t>
  </si>
  <si>
    <t>56/2023</t>
  </si>
  <si>
    <t>22/09 DEVOLVIDO AO CONSUTOR PARA A CORREÇÃO DO TEMA DA CONSULTORIA</t>
  </si>
  <si>
    <t xml:space="preserve">006061/2025
</t>
  </si>
  <si>
    <t xml:space="preserve">Registrado para garantir a vaga no B+P, aguardando documentos assinados. 08/10 Contato com Anderson, esqueceu de pedia a assinatura da Selma e ela já foi embora. </t>
  </si>
  <si>
    <t>221/2024</t>
  </si>
  <si>
    <t>reunião final agendada para 03/12</t>
  </si>
  <si>
    <t>80/2023</t>
  </si>
  <si>
    <t>30/2023</t>
  </si>
  <si>
    <t>e-book</t>
  </si>
  <si>
    <t>30/10 - Jonacir não quer participar / - 07/08: Tentar resgate / Leandro foi na empresa e teve que retornar. Empresário reticente quanto a confidencialidade dos dados . Jonas ficou de falar com ele para agendar T0</t>
  </si>
  <si>
    <t>183/2023</t>
  </si>
  <si>
    <t>Atendimento transferido pela 1.08, aguardando definição de cronograma e confirmação do Ricardo.</t>
  </si>
  <si>
    <t>004077/2024</t>
  </si>
  <si>
    <t xml:space="preserve">18/08: Ademir afirmou que está com muitos serviços e sem tempo para o programa. Tentar contato no final de 2023  / 15/03: Ademir vai fazer um exame em 28/03 ( possível problema de saúde) / 07.03 - Ademir disse que é possível reservamos o início dos trabalhos para final de maio. vai depender da recuperação. Solicitei os dados pessoais para envio ao ER / Ademir vai no médico no dia 27/02 para ver a data para uma cirurgia. </t>
  </si>
  <si>
    <t>23/2023</t>
  </si>
  <si>
    <t>190/2022</t>
  </si>
  <si>
    <t>21 na fabrica. Douglas não deseja participar. Afirmou não ter tempo para assumir compromissos nesse ano. Ligar no final de 2024</t>
  </si>
  <si>
    <t>100/2024</t>
  </si>
  <si>
    <t xml:space="preserve">Empresa declinou </t>
  </si>
  <si>
    <t>76/2023</t>
  </si>
  <si>
    <t>empresário não retorna as ligações/zap</t>
  </si>
  <si>
    <t>21/2023</t>
  </si>
  <si>
    <t>Agendar DIAG</t>
  </si>
  <si>
    <t>176/2024</t>
  </si>
  <si>
    <t>173/2024</t>
  </si>
  <si>
    <t>Tentar agendar novo T0</t>
  </si>
  <si>
    <t>Retornar TO</t>
  </si>
  <si>
    <t>10/08: T0 para 15/08 cancelado. Empresário vai viajar e só retorna em 13/09. verificar se anda dará tempo de entrar no ALI. / Empresa com 20 funcionários. Atua somente sob demanda. Empresário vai viajar para a Itália em 15/08 e rerorna somente em 12/09. Informar o SEBRAE</t>
  </si>
  <si>
    <t>203/2023</t>
  </si>
  <si>
    <t>e-mail enviado. Empresa ainda não leu. ver e-mail de retorno</t>
  </si>
  <si>
    <t>9/2024</t>
  </si>
  <si>
    <t>Produção para 2024</t>
  </si>
  <si>
    <t>102/2024</t>
  </si>
  <si>
    <t>Enviar ppt corporativo - atualizar slide cases. bmw</t>
  </si>
  <si>
    <t>Empresa não sinalizou interesse no T1. Enviar soluções da Log 360º</t>
  </si>
  <si>
    <t>237/2023</t>
  </si>
  <si>
    <t>136/2024</t>
  </si>
  <si>
    <t>147/2023</t>
  </si>
  <si>
    <t>Lean/Digit</t>
  </si>
  <si>
    <t>Diagnóstico Rota 2030 - Não contemplada no ciclo 2023</t>
  </si>
  <si>
    <t>007428/2025</t>
  </si>
  <si>
    <t>FICOU NA LINHA DE CORTE DO 1º LOTE, GIT CANCELOU</t>
  </si>
  <si>
    <t xml:space="preserve">Aguardando outro CNPJ da empresa, e-mail de </t>
  </si>
  <si>
    <t>114/2024</t>
  </si>
  <si>
    <t>103/2024</t>
  </si>
  <si>
    <t>200/2023</t>
  </si>
  <si>
    <t>Valdibio não teve tempo para analisar</t>
  </si>
  <si>
    <t>Complementar documentos</t>
  </si>
  <si>
    <t>274/2023</t>
  </si>
  <si>
    <t>Empresário Cipó com câncer, não sabe se continuará com a empresa. Pediu cancelamento./ Parceria com 1.13 - etapa gratuita</t>
  </si>
  <si>
    <t xml:space="preserve">678856
</t>
  </si>
  <si>
    <t>34/2024</t>
  </si>
  <si>
    <t>Reunião final agendada para 03/12 - presencial</t>
  </si>
  <si>
    <t>33/2024</t>
  </si>
  <si>
    <t>Acompanhar status e continuidade dos serviços</t>
  </si>
  <si>
    <t>130/2023</t>
  </si>
  <si>
    <t>219/2022</t>
  </si>
  <si>
    <t>Logística</t>
  </si>
  <si>
    <t>127/2024</t>
  </si>
  <si>
    <t>Empresa apta para o BRASIL + PRODUTIVO ? Empresa do grupo ABAJUR ROBY</t>
  </si>
  <si>
    <t>Enviar para assinatura - 19/11/Empresa do grupo da Abajour Roby</t>
  </si>
  <si>
    <t>87/2024</t>
  </si>
  <si>
    <t>Empresa do grupo da Abajour Roby</t>
  </si>
  <si>
    <t>Falta: INSCRIÇÃO  e ESCOLHA LEAN</t>
  </si>
  <si>
    <t>Não contatar. Empresa irá fechar. Desistiu do Rota</t>
  </si>
  <si>
    <t>215/2024</t>
  </si>
  <si>
    <t>161/2023</t>
  </si>
  <si>
    <t>174/2022</t>
  </si>
  <si>
    <t>GRATUIDADE SET/2022</t>
  </si>
  <si>
    <t>144/2022</t>
  </si>
  <si>
    <t>49/2024</t>
  </si>
  <si>
    <t>6710/2025</t>
  </si>
  <si>
    <t>230/2024</t>
  </si>
  <si>
    <t>276/2023</t>
  </si>
  <si>
    <t>Empresa com dificuldade em assinar. Enviei email ao ER Centro</t>
  </si>
  <si>
    <t>Etapa gratuita parceria 1.01</t>
  </si>
  <si>
    <t>68/2024</t>
  </si>
  <si>
    <t>Eli vai enviar o convite da reuniãopelo Teams</t>
  </si>
  <si>
    <t>269/2023</t>
  </si>
  <si>
    <t>Empresa da 1.02 - etapa gratuita</t>
  </si>
  <si>
    <t>Tentar agendar T0 que foi cancelado</t>
  </si>
  <si>
    <t>T0 era 19/10 empresário desmarcou com Jeff, aguardando reagendamento.</t>
  </si>
  <si>
    <t>78/2023</t>
  </si>
  <si>
    <t>38/2023</t>
  </si>
  <si>
    <t>Empresári com problemas com sócia. Verificar se status foi alterado</t>
  </si>
  <si>
    <t>T0 não realizado, empresa sem podução, filho vai para EUA, empresário fechará a fábrica.</t>
  </si>
  <si>
    <t>10/2024</t>
  </si>
  <si>
    <t>*ESTRATÉGICO* Registro do T0 SG7 e Oportunidade CRM somente em jan/2024. T0 não realizado, empresa sem podução, filho vai para EUA, empresário fechará a fábrica.</t>
  </si>
  <si>
    <t>118/2024</t>
  </si>
  <si>
    <t>99/2024</t>
  </si>
  <si>
    <t>202/2023</t>
  </si>
  <si>
    <t>Grupo Tecstam. Monitorar ALI. SEBRAETEC para 2024</t>
  </si>
  <si>
    <t>Relatorio passou por correção</t>
  </si>
  <si>
    <t>006406/2025</t>
  </si>
  <si>
    <t xml:space="preserve">118590
</t>
  </si>
  <si>
    <t xml:space="preserve">006053/2025
</t>
  </si>
  <si>
    <t>Taborda visita empresa ? Fornecedores</t>
  </si>
  <si>
    <t>238/2022</t>
  </si>
  <si>
    <t>24/03 - Na receita porte permanece ME - Falta: INSCRIÇÃO  e ESCOLHA LEAN / Na receita está ME sengundo Jeff vai alterar para EPP -  Era a ALTERNATIVA ESCOVAS INDUSTRIAIS LTDA.</t>
  </si>
  <si>
    <t>117228</t>
  </si>
  <si>
    <t>4712</t>
  </si>
  <si>
    <t>005001/2024</t>
  </si>
  <si>
    <t>166/2023</t>
  </si>
  <si>
    <t>208/2022</t>
  </si>
  <si>
    <t xml:space="preserve">005021/2024
</t>
  </si>
  <si>
    <t>242/2022</t>
  </si>
  <si>
    <t>161/2022</t>
  </si>
  <si>
    <t>85/2022</t>
  </si>
  <si>
    <t>15/08: Tentar resgate . Está na lista do ER Leste 1 ( CNPQ)</t>
  </si>
  <si>
    <t>TENTAR RESGATE</t>
  </si>
  <si>
    <t>1804/2023</t>
  </si>
  <si>
    <t>231/2024</t>
  </si>
  <si>
    <t>90/2023</t>
  </si>
  <si>
    <t>ER aceitou a solução. Ver se o contrato foi enviado.</t>
  </si>
  <si>
    <t>35/2023</t>
  </si>
  <si>
    <t>13/2024</t>
  </si>
  <si>
    <t>Empresa não retornou aos contatos</t>
  </si>
  <si>
    <t>ER NÃO TINHA SALDO</t>
  </si>
  <si>
    <t>Jeff resolvendo questão sobre nº de funcionários</t>
  </si>
  <si>
    <t>Reunião em 25/02, vai enviar dados</t>
  </si>
  <si>
    <t>Aguardado empresa atualizar o porte de ME para EPP</t>
  </si>
  <si>
    <t>10 horas</t>
  </si>
  <si>
    <t>RA EM ASSINATURA</t>
  </si>
  <si>
    <t>93/2024</t>
  </si>
  <si>
    <t>Empresa disse que assinou o contrato. Najara disse que não. Enviar e-mail para Najara</t>
  </si>
  <si>
    <t>103/2023</t>
  </si>
  <si>
    <t>14/2023</t>
  </si>
  <si>
    <t>007642/2025</t>
  </si>
  <si>
    <t>95/2023</t>
  </si>
  <si>
    <t>Propor PCP. Ver se há saldo.</t>
  </si>
  <si>
    <t>SIm</t>
  </si>
  <si>
    <t>57/2023</t>
  </si>
  <si>
    <t>CICLO OUTUBRO</t>
  </si>
  <si>
    <t>120/2024</t>
  </si>
  <si>
    <t>20/05 Empresa alterou o porte de ME para EPP na data de hoje, fomos comunicaldos por e-mail. Negociado com a GIT e cliente a aleração do atendimento para 106 horas R$ 20.140,00</t>
  </si>
  <si>
    <t>98/2024</t>
  </si>
  <si>
    <t>206/2023</t>
  </si>
  <si>
    <t>Empresa Aceitou ALI. Lean para 2024</t>
  </si>
  <si>
    <t>004960/2024</t>
  </si>
  <si>
    <t xml:space="preserve">Cliiente não pagou o tempo a tempo, poe isso a a demadna 6720 foi substituida pela 7080
 </t>
  </si>
  <si>
    <t>007080/2025</t>
  </si>
  <si>
    <t>Aguardando CPF da testemunha / Cadastrar empresa no SGSET</t>
  </si>
  <si>
    <t>2010/2023</t>
  </si>
  <si>
    <t>84/2022</t>
  </si>
  <si>
    <t>No caontato de nov/2023 Magalhães informou estar sem tempo para retomar,  dutante a argumentação, desligou o telefone e não nos atendeu mais. * Jeff tentar restagar. Magalhães iniciou o ALI em 2020 mas não gostou da proposta e desistiu. Está sem tempo para retomar no 2º seme 2023. retomar contato para 2024</t>
  </si>
  <si>
    <t>Enviar e-book</t>
  </si>
  <si>
    <t>Magalhães iniciou o ALI em 2020 mas não gostou da proposta e desistiu. Está sem tempo para retomar no 2º seme 2023. retomar contato para 2024</t>
  </si>
  <si>
    <t xml:space="preserve">Caso o projeto seja aprovado poderemos ter dificuldades de execução de ações por parte da empresa, os Diretores têm a cultura operacional, operam os tornos da empresa.  </t>
  </si>
  <si>
    <t>177/2022</t>
  </si>
  <si>
    <t>116/2024</t>
  </si>
  <si>
    <t>RA em excel não substituido pois excede o tamanho -12/11/2024 enviado para assinatura eletronica</t>
  </si>
  <si>
    <t>106/2024</t>
  </si>
  <si>
    <t>6/2024</t>
  </si>
  <si>
    <t>*ESTRATÉGICO* Registro do T0 SG7 e Oportunidade CRM somente em jan/2024.Relatório enviado</t>
  </si>
  <si>
    <t>166/2024</t>
  </si>
  <si>
    <t>Empresário Adilson cadastrou a empresa na Plataforma Produtividade para o B+P</t>
  </si>
  <si>
    <t>182/2024</t>
  </si>
  <si>
    <t>Empresário Adilson cadastrou a empresa na Plataforma Produtividade para o B+P (nome fantasia Interdisplay)</t>
  </si>
  <si>
    <t>220/2024</t>
  </si>
  <si>
    <t>4/2023</t>
  </si>
  <si>
    <t>149/2022</t>
  </si>
  <si>
    <t>Empresa não respondeu sobre lean</t>
  </si>
  <si>
    <t>Não respondeu e-mail sobre T1</t>
  </si>
  <si>
    <t>186/2022</t>
  </si>
  <si>
    <t>217/2024</t>
  </si>
  <si>
    <t>173/2022</t>
  </si>
  <si>
    <t>147/2022</t>
  </si>
  <si>
    <t>169/2024</t>
  </si>
  <si>
    <t>Aguardando aprovação relatório final - ER</t>
  </si>
  <si>
    <t>003912/2024</t>
  </si>
  <si>
    <t>246/2022</t>
  </si>
  <si>
    <t>Empresário irá investigar questão de saúde (nefro)</t>
  </si>
  <si>
    <t>148/2022</t>
  </si>
  <si>
    <t>18/08: Vários contatos, sem sucesso. Tentar no final de 2023 / 28.02:  Bruno deseja para 2º semestre / BRUNO INFORMOU QUE PODE FECHAR A EMPRESA E ABRIR OUTRA. NÃO SABE SE VAI RECEBER AS SOLUÇÕES NO CNJ ATUAL. LIGAR DEPOIS DO CARNAVAL. ER NORTE</t>
  </si>
  <si>
    <t>29/2023</t>
  </si>
  <si>
    <t>10/08: Gilberto disse que não deseja participar pois seus processos estão "redondos". Procurar em 2024 . 07 funcionários</t>
  </si>
  <si>
    <t>20/2023</t>
  </si>
  <si>
    <t>na</t>
  </si>
  <si>
    <t>41/2023</t>
  </si>
  <si>
    <t>16/03: A empresa deseja que a consultoria seja realizada somente no 2º semestre/2024( hoje prédio de 1.000m2, vai para um de 200m2, vai terceirizar boa parte dos processos, equipe enxuta. quer reduzir produção )</t>
  </si>
  <si>
    <t>Solicitado a inclusão da empresa na carteira da 1.03</t>
  </si>
  <si>
    <t>2/2023</t>
  </si>
  <si>
    <t>83/2022</t>
  </si>
  <si>
    <t>82/2023</t>
  </si>
  <si>
    <t>RECEITA SÓ 1.23</t>
  </si>
  <si>
    <t>92/2022</t>
  </si>
  <si>
    <t>109/2022</t>
  </si>
  <si>
    <t>12/2024</t>
  </si>
  <si>
    <t>26/02/24: Luiz recebeu proposta e ficou de analisar</t>
  </si>
  <si>
    <t>006579/2025</t>
  </si>
  <si>
    <t>Retomar o T0</t>
  </si>
  <si>
    <t>07/08: empresa sofrendo há 04 meses com ações trabalhistas que impedem de dar atenção ao projeto</t>
  </si>
  <si>
    <t>174/2023</t>
  </si>
  <si>
    <t>5/2023</t>
  </si>
  <si>
    <t>247/2022</t>
  </si>
  <si>
    <t>67/2024</t>
  </si>
  <si>
    <t>205/2023</t>
  </si>
  <si>
    <t>Sim?</t>
  </si>
  <si>
    <t>Aceitou JTD. Tentamos o ALI. Monitorar</t>
  </si>
  <si>
    <t>08/10/2024</t>
  </si>
  <si>
    <t>18/09/2024</t>
  </si>
  <si>
    <t>14/08: Retomar contato no futuro. Na empresa só atuam José e seu filho. Empresa não manifetou interesse em participar da Jornada</t>
  </si>
  <si>
    <t>27/2023</t>
  </si>
  <si>
    <t>72/2024</t>
  </si>
  <si>
    <t>4746</t>
  </si>
  <si>
    <t>240/2022</t>
  </si>
  <si>
    <t>150/2022</t>
  </si>
  <si>
    <t>E-BOOK</t>
  </si>
  <si>
    <t>1917/2023</t>
  </si>
  <si>
    <t>63/2024</t>
  </si>
  <si>
    <t>234/2022</t>
  </si>
  <si>
    <t>166/2022</t>
  </si>
  <si>
    <t>180/2024</t>
  </si>
  <si>
    <t>168/2024 cancelada, passou a ser a 175/2024</t>
  </si>
  <si>
    <t>89/2023</t>
  </si>
  <si>
    <t>Propor Inovação ?  / Propor outra solução. Ver se há saldo</t>
  </si>
  <si>
    <t>19/2023</t>
  </si>
  <si>
    <t>Diego está na fábrica, recado para ele retornar</t>
  </si>
  <si>
    <t>Nelson informou que enviou o contrato em 27/06</t>
  </si>
  <si>
    <t>007329/2025</t>
  </si>
  <si>
    <t>24/03 - Na receita porte permanece ME - Falta: INSCRIÇÃO  e ESCOLHA LEAN / Na receira está ME, segundo Jeff, vai alterar porte para EPP</t>
  </si>
  <si>
    <t>288/2023</t>
  </si>
  <si>
    <t>142/2023</t>
  </si>
  <si>
    <t>142/2024</t>
  </si>
  <si>
    <t xml:space="preserve">Arregimentação para o B+P. Fabio informou que não foi possível fazer o diagnósticono local e que  supervisor não enviu os dados solicirados para a redação do diagnóstico. </t>
  </si>
  <si>
    <t>225/2023</t>
  </si>
  <si>
    <t>Luiza conversou com proprietária que afirmou não ter interesse em participar. 44 fucionários. sem produção. processos padronizados, sem necessidade de ajustes</t>
  </si>
  <si>
    <t>Registrado para garantir a vaga no B+P, aguardando documentos assinados - 07/10 Rodrigo vai enviar ainda esta tarde.</t>
  </si>
  <si>
    <t>005133/2024</t>
  </si>
  <si>
    <t>Empresa não aceitou participar do Mover 2025</t>
  </si>
  <si>
    <t>006700/2025</t>
  </si>
  <si>
    <t>88/2024</t>
  </si>
  <si>
    <t>ER enviou o contrato. empresa assinou ?</t>
  </si>
  <si>
    <t>002428/2024</t>
  </si>
  <si>
    <t>271/2023</t>
  </si>
  <si>
    <t>Empresa vai solicitar a alteração de ME para EPP</t>
  </si>
  <si>
    <t>182/2023</t>
  </si>
  <si>
    <t>18/2023</t>
  </si>
  <si>
    <t>006590/2025</t>
  </si>
  <si>
    <t>165/2023</t>
  </si>
  <si>
    <t>Propor Inovação / Propor outra solução. Ver se há saldo</t>
  </si>
  <si>
    <t>88/2023</t>
  </si>
  <si>
    <t>LIGAR</t>
  </si>
  <si>
    <t>006426/2025</t>
  </si>
  <si>
    <t>177/2024</t>
  </si>
  <si>
    <t>006076/2025</t>
  </si>
  <si>
    <t>Enviar e-books</t>
  </si>
  <si>
    <t>Empresário não quis participar . Afirmou que está em outros projetos</t>
  </si>
  <si>
    <t>199/2022</t>
  </si>
  <si>
    <t>14/08: sem contato / 07/08: Tentar resgate  / 07.03: Newton não deseja participar. / 28.02: empresário(idade)no interior. No início, reticente em participar. Vai conversar com a filha Lucinda.</t>
  </si>
  <si>
    <t>46/2023</t>
  </si>
  <si>
    <t>Enviar e-book. Propor LEAN. Ver se há saldo.</t>
  </si>
  <si>
    <t>14/08: Leonardo disse que está com grnde probelmas e sem tempo para receber as consultorias - 05 funcionários / 07/08: Tentar resgate / 15/03: Leonardo afirmou não ter interesse pois os processos estão "ok"</t>
  </si>
  <si>
    <t>67/2023</t>
  </si>
  <si>
    <t>14/08: Leonardo disse que está com grande probelmas e sem tempo para receber as consultorias - 05 funcionários / 07/08: Tentar resgate / 15/03: Leonardo afirmou não ter interesse pois os processos estão "ok"</t>
  </si>
  <si>
    <t>01/2023</t>
  </si>
  <si>
    <t>87/2022</t>
  </si>
  <si>
    <t>24/2024</t>
  </si>
  <si>
    <t>Eli: atendimento é ressarcido ? Verificar se empresa tem aderência a outra solução (epp lest 1)</t>
  </si>
  <si>
    <t>204/2023</t>
  </si>
  <si>
    <t>66/2023</t>
  </si>
  <si>
    <t>43/2023</t>
  </si>
  <si>
    <t>14/08: empresa com 03 funcionários. pouca produção. Empresário reclamou do momento e não deu abertura para a JTD</t>
  </si>
  <si>
    <t>266/2023</t>
  </si>
  <si>
    <t>Propor Inovação  ? Propor outra solução. Ver se há saldo</t>
  </si>
  <si>
    <t>254/2022</t>
  </si>
  <si>
    <t>176/2022</t>
  </si>
  <si>
    <t>277/2023</t>
  </si>
  <si>
    <t>007144/2025</t>
  </si>
  <si>
    <t>LIGAR. Márcio saiu. falar com Dono Olavo</t>
  </si>
  <si>
    <t>007662/2025</t>
  </si>
  <si>
    <t>ver se teve oportunidade aberta ref. 4ª etapa (indicamos que a empresa teria potencial. empresa já havia aceito a proposta - via gratuita)</t>
  </si>
  <si>
    <t>Falar com o Jeff</t>
  </si>
  <si>
    <t>26/2024</t>
  </si>
  <si>
    <t>Indicação: 110. Empresa aceitou JTD. Monitorar ALI. SEBRAETEC para 2024</t>
  </si>
  <si>
    <t>198/2023</t>
  </si>
  <si>
    <t>1914/2023</t>
  </si>
  <si>
    <t>Etapa gratuita</t>
  </si>
  <si>
    <t>73/2024</t>
  </si>
  <si>
    <t>19/2024</t>
  </si>
  <si>
    <t>229/2023</t>
  </si>
  <si>
    <t>96/2023</t>
  </si>
  <si>
    <t>8/2023</t>
  </si>
  <si>
    <t>82/2022</t>
  </si>
  <si>
    <t>191/2022</t>
  </si>
  <si>
    <t>22/11: Ligar em Janeiro / mercado instável / Sócio tem empresa em São Bernardo ( 4 compressores)       /  Apta para SEBRAETEC 2024. Retomar contato. Fez Efic Energética ?</t>
  </si>
  <si>
    <t>88/2022</t>
  </si>
  <si>
    <t>2111/2023</t>
  </si>
  <si>
    <t>69/2024</t>
  </si>
  <si>
    <t>227/2023</t>
  </si>
  <si>
    <t>Lean para 2024</t>
  </si>
  <si>
    <t>221/2023</t>
  </si>
  <si>
    <t>Dificuldade em falar com empresário. Falar com IST Tatuapé</t>
  </si>
  <si>
    <t>70/2024</t>
  </si>
  <si>
    <t>A - Requisição OK ! Ligar Anderson : Irmão de empresária está internado. Ligar para Andrea no dia 12/04</t>
  </si>
  <si>
    <t>002157/2024</t>
  </si>
  <si>
    <t>106/2023</t>
  </si>
  <si>
    <t>49/2023</t>
  </si>
  <si>
    <t>14/08: fabrica -escala bem menor -  (funcionários em home ) mercado instável. investiram em mkt. em retorno . Funcionários: 05 pessoas . 01 pessoa presencial na produção. fabricante de luz e emergência. produz sob demanda</t>
  </si>
  <si>
    <t>115/2022</t>
  </si>
  <si>
    <t>004967/2024</t>
  </si>
  <si>
    <t>280/2023</t>
  </si>
  <si>
    <t>Empresário declinou do atendimento na reunião kick-off/ Parceria com 1.13 - etapa gratuita</t>
  </si>
  <si>
    <t>90/2024</t>
  </si>
  <si>
    <t>No primeiro contato, empresário informou que fez o ALI.</t>
  </si>
  <si>
    <t>002391/2024</t>
  </si>
  <si>
    <t>255/2023</t>
  </si>
  <si>
    <t>2115/2023</t>
  </si>
  <si>
    <t>50/2023</t>
  </si>
  <si>
    <t>empresário irá mudar o segmento atual em que atua, partindo para um processo de atividades no qual grande parte da elaboração do produto será realizada em terceiros.</t>
  </si>
  <si>
    <t>Propor Inovação ? / empresário irá mudar o segmento atual em que atua, partindo para um processo de atividades no qual grande parte da elaboração do produto será realizada em terceiros.</t>
  </si>
  <si>
    <t>Propor Lean ou Inovação ?</t>
  </si>
  <si>
    <t xml:space="preserve">Sim? </t>
  </si>
  <si>
    <t>14/08: Dênis irá conversar com a consultoria. / Dênis: Esão com uma consultoria de produção. Vendas não ér gargalo. Aumentaram um turno na produção.</t>
  </si>
  <si>
    <t>195/2023</t>
  </si>
  <si>
    <t>117198</t>
  </si>
  <si>
    <t>004963/2024</t>
  </si>
  <si>
    <t>104/2023</t>
  </si>
  <si>
    <t>Estilo vai receber PCP. Tentar em Junho 4ª etapa via SEBRAE ?</t>
  </si>
  <si>
    <t>118/2022</t>
  </si>
  <si>
    <t>T1 para 17/03 com Ramon</t>
  </si>
  <si>
    <t>CICLO JUNHO</t>
  </si>
  <si>
    <t>44/2024</t>
  </si>
  <si>
    <t>16/03: 1.08 assumirá o atendimento.</t>
  </si>
  <si>
    <t>196/2023</t>
  </si>
  <si>
    <t xml:space="preserve">Não Aceitou INOVAÇÃO . Empresária em maternidade. </t>
  </si>
  <si>
    <t>PC substituida pela 103-102/2025 para ajuse financeiro.</t>
  </si>
  <si>
    <t>94/2023</t>
  </si>
  <si>
    <t>44/2023</t>
  </si>
  <si>
    <t>Verificar se houve aderência da solução enviada</t>
  </si>
  <si>
    <t>128/2024</t>
  </si>
  <si>
    <t>126/2024</t>
  </si>
  <si>
    <t>119/2024</t>
  </si>
  <si>
    <t>97/2024</t>
  </si>
  <si>
    <t>40/2024</t>
  </si>
  <si>
    <t>22/2024</t>
  </si>
  <si>
    <t xml:space="preserve">Sim ? </t>
  </si>
  <si>
    <t>Inscrição no ALI em 25/07. Monitorar para Lean em 2024</t>
  </si>
  <si>
    <t>15/2023</t>
  </si>
  <si>
    <t>Ligar DAY. Empresa afirmou que um representante da empresa possui procuração para assinar o contrato. Enviar e-mail</t>
  </si>
  <si>
    <t>Relatório enviado. Sem retorno</t>
  </si>
  <si>
    <t>263/2023</t>
  </si>
  <si>
    <t>147/2024</t>
  </si>
  <si>
    <t>Não estpa no relatório 101 inicio 29/07</t>
  </si>
  <si>
    <t>Gestão com o cliente seguirá pela 101</t>
  </si>
  <si>
    <t>Ramon irá visitar em 12/04 a empresa do Grupo ( Antonio Afonso &amp; Ltda (Metaal))</t>
  </si>
  <si>
    <t xml:space="preserve">Cyber – 48 funcionários ( Tubos de produção (forneceidas pela Metal, pintura pela Metal) / Conta de luz da Cyber não chega a 5 mil reais  / Muito manual  / Não passa de 8 milhões / 30 anos  ////// Metal – máquinas – 230 –  / Já houve consultorias de LEAN,  / Estruturou Controle de Produção  / 17 anos  / Dono queria ter uma renda extra, oferecer renda para os trabalhos / Metal – renda própria  /  2 galpões diferentes - </t>
  </si>
  <si>
    <t>58/2023</t>
  </si>
  <si>
    <t>14 horas</t>
  </si>
  <si>
    <t>89/2024</t>
  </si>
  <si>
    <t>278/2023</t>
  </si>
  <si>
    <t>3/2023</t>
  </si>
  <si>
    <t>Propor ? (2 soluções por empresa)</t>
  </si>
  <si>
    <t>171/2022</t>
  </si>
  <si>
    <t>81/2022</t>
  </si>
  <si>
    <t>Parceria 110</t>
  </si>
  <si>
    <t>17/2024</t>
  </si>
  <si>
    <t>Ramon - há aderência para Inovação ? Desenvolvimento de Prduto ?</t>
  </si>
  <si>
    <t>234/2024</t>
  </si>
  <si>
    <t>assinou contrato ?</t>
  </si>
  <si>
    <t>reunião final agendada para 26/11</t>
  </si>
  <si>
    <t>002506/2024</t>
  </si>
  <si>
    <t>20/2024</t>
  </si>
  <si>
    <t>2º sem 24</t>
  </si>
  <si>
    <t>Não</t>
  </si>
  <si>
    <t>22/11: Rogério quer algo somente para o 2º semestre de 2024. Mudam em Fevereiro de 2024/  Chamar para o ALI / Lean: Empresa  só estará preparada para iniciar em outubro, negociado com Jefferson ( planejar para Janeiro/2024) - Etapa gratuita</t>
  </si>
  <si>
    <t>22/11: Rogério quer algo somente para o 2º semestre de 2024. Mudam em Fevereiro de 2024/  Chamar para o ALI / Lean: Empresa  só estará preparada para iniciar em outubro, negociado com Jefferson ( planejar para Janeiro/2024)</t>
  </si>
  <si>
    <t>107/2023</t>
  </si>
  <si>
    <t>Propor Inovação ? / Propor PCP. Ver se há saldo.</t>
  </si>
  <si>
    <t>28/2023</t>
  </si>
  <si>
    <t>270/2023</t>
  </si>
  <si>
    <t>006867/2025</t>
  </si>
  <si>
    <t>236/2024</t>
  </si>
  <si>
    <t>ISO</t>
  </si>
  <si>
    <t>164/2023</t>
  </si>
  <si>
    <t>85/2023</t>
  </si>
  <si>
    <t>falar com Ricardo</t>
  </si>
  <si>
    <t>11/2023</t>
  </si>
  <si>
    <t>116/2022</t>
  </si>
  <si>
    <t>22/11: Enviei zap para Antônio. / Empresário na correria. Lançamento de produtos</t>
  </si>
  <si>
    <t>81/2023</t>
  </si>
  <si>
    <t>Relatório T0?</t>
  </si>
  <si>
    <t>05/03: Não quis 4ª etapa/ Tentar no futuro</t>
  </si>
  <si>
    <t>Declinou, retomar contato em 30/04</t>
  </si>
  <si>
    <t>134/2023</t>
  </si>
  <si>
    <t>87/2023</t>
  </si>
  <si>
    <t>Outro consultor acompanha</t>
  </si>
  <si>
    <t>006667/2025</t>
  </si>
  <si>
    <t>Registrado para garantir a vaga no B+P, aguardando documentos assinados - 07/10 Tiago não vai a empresa hoje, nascimento da sobrinha. Contato com Fábio, socio, disse que já assinou que o Tiago vai nos enviar.</t>
  </si>
  <si>
    <t>EDU - EMAIL ENVIADO</t>
  </si>
  <si>
    <t>164/2024</t>
  </si>
  <si>
    <t>Empresa registrou interesse na plataforma produtividade</t>
  </si>
  <si>
    <t>48/2024</t>
  </si>
  <si>
    <t>006551/2025</t>
  </si>
  <si>
    <t>Adelma aceitou. Vai falar com o marido, Diretor Financeiro de uma outra empresa do Grupo ( PASING INDUSTRIA E COMERCIO LTDA - 41.062.038/0001-76)</t>
  </si>
  <si>
    <t>169/2022</t>
  </si>
  <si>
    <t>28/03: Não quis Inovação ( sem tempo). Tentar outra solução no futuro</t>
  </si>
  <si>
    <t xml:space="preserve">Fez Lean Gratuitade em 2023. Tentar SEBRAETEC PARA 2024. </t>
  </si>
  <si>
    <t>146/2022</t>
  </si>
  <si>
    <t>006415/2025</t>
  </si>
  <si>
    <t>106</t>
  </si>
  <si>
    <t>154/2023</t>
  </si>
  <si>
    <t>Propor Inovação. / Propor PCP ou Layout. Ver se há saldo   Estratégico</t>
  </si>
  <si>
    <t>55/2023</t>
  </si>
  <si>
    <t>120280</t>
  </si>
  <si>
    <t>4742</t>
  </si>
  <si>
    <t>007445/2025</t>
  </si>
  <si>
    <t>115/2024</t>
  </si>
  <si>
    <t>aguardando assinatura eletrônica</t>
  </si>
  <si>
    <t>105/2024</t>
  </si>
  <si>
    <t>211/2023</t>
  </si>
  <si>
    <t xml:space="preserve"> - </t>
  </si>
  <si>
    <t>Aguardando aprovação do parecer.</t>
  </si>
  <si>
    <t>1912/2023</t>
  </si>
  <si>
    <t>Aguardando data de início e consultor</t>
  </si>
  <si>
    <t>163/2024</t>
  </si>
  <si>
    <t>Empresário disse que iria se cadastrar na plataforma produtividade, monitorar.</t>
  </si>
  <si>
    <t>124/2024</t>
  </si>
  <si>
    <t>50/2024</t>
  </si>
  <si>
    <t>26/2023</t>
  </si>
  <si>
    <t>A empresa declinou. Afirmou que não é o momento. Contatar em Dezembro</t>
  </si>
  <si>
    <t>104/2024</t>
  </si>
  <si>
    <t>2105/2023</t>
  </si>
  <si>
    <t>1777/2023</t>
  </si>
  <si>
    <t>006879/2025</t>
  </si>
  <si>
    <t>10/2023</t>
  </si>
  <si>
    <t>Propor PCP ou Layout. Ver se há saldo   Estratégico</t>
  </si>
  <si>
    <t>80/2022</t>
  </si>
  <si>
    <t>ùltima consultoria</t>
  </si>
  <si>
    <t>111/2024</t>
  </si>
  <si>
    <t>Código SGT: 549273</t>
  </si>
  <si>
    <t>95/2024</t>
  </si>
  <si>
    <t>197/2023</t>
  </si>
  <si>
    <t>Não?</t>
  </si>
  <si>
    <t>Empresa se inscreveu no ALI. SEBRAE ficou de contatá-la. Lean para 2024</t>
  </si>
  <si>
    <t>ATENDIMENTO INDIVIDUAL, CONFORME COORDENAÇÃO, NÃO REGISTRAR SGSET</t>
  </si>
  <si>
    <t>250/2022</t>
  </si>
  <si>
    <t xml:space="preserve">Nilton não  quis Inovação , empresa focada em outras frentes. </t>
  </si>
  <si>
    <t xml:space="preserve">Sim </t>
  </si>
  <si>
    <t>120/2022</t>
  </si>
  <si>
    <t>Enviar E-book</t>
  </si>
  <si>
    <t>171/2024</t>
  </si>
  <si>
    <t>160/2024</t>
  </si>
  <si>
    <t>152/2023</t>
  </si>
  <si>
    <t>84/2023</t>
  </si>
  <si>
    <t>Empresária solicitou cancelamento após 1ª visita</t>
  </si>
  <si>
    <t>168/2023</t>
  </si>
  <si>
    <t>181/2024</t>
  </si>
  <si>
    <t>146/2024</t>
  </si>
  <si>
    <t>Cadastrar na Plataforma B+P</t>
  </si>
  <si>
    <t>291/2023</t>
  </si>
  <si>
    <t>14/2024</t>
  </si>
  <si>
    <t>4/2024</t>
  </si>
  <si>
    <t>Conforme Jeff, ER não tem saldo</t>
  </si>
  <si>
    <t>2/2024</t>
  </si>
  <si>
    <t>006581/2025</t>
  </si>
  <si>
    <t>Propor LEAN. Ver se há saldo   Estratégico</t>
  </si>
  <si>
    <t>7/2024</t>
  </si>
  <si>
    <t>*ESTRATÉGICO* Registro do T0 SG7 e Oportunidade CRM somente em jan/2024. T0 enviado em 21/11</t>
  </si>
  <si>
    <t>91/2023</t>
  </si>
  <si>
    <t>79/2022</t>
  </si>
  <si>
    <t>112/2023</t>
  </si>
  <si>
    <t>Não aceitou inovação. Está implantando PCP. Propor outra solução (4ª etapa?)</t>
  </si>
  <si>
    <t>59/2023</t>
  </si>
  <si>
    <t xml:space="preserve">Propor LEAN. Ver se há saldo </t>
  </si>
  <si>
    <t xml:space="preserve">10/08: De acordo com Rodrigo, Raul não quer participar do projeto nesse ano. Tentar em 2024. / </t>
  </si>
  <si>
    <t>74/2023</t>
  </si>
  <si>
    <t>1908/2023</t>
  </si>
  <si>
    <t>*T0 realizado pelo CFP 1.03 em apoio ao CFP 107 - (registros efetuados por 107) - 12/12 T0 NÃO REALIZADO, EMPRESÁRIA AUSENTE, MUDOU DE ENDEREÇO, NÃO ATENDEU MAIS NOSSAS LIGAÇÕES.</t>
  </si>
  <si>
    <t>133/2024</t>
  </si>
  <si>
    <t>reunião final agendada para 29/11</t>
  </si>
  <si>
    <t>287/2023</t>
  </si>
  <si>
    <t>149/2023</t>
  </si>
  <si>
    <t>1996/2023</t>
  </si>
  <si>
    <t>28/03: Tentativa de implentar a solução de Inovação . Zap enviado // 2023: Empresa não deseja participar. Alega não ter tempo para receber a consultoria e deseja que o contato seja feito no 2º semestre</t>
  </si>
  <si>
    <t>259/2023</t>
  </si>
  <si>
    <t>212/2023</t>
  </si>
  <si>
    <t xml:space="preserve">Empresa  não apta para participar da JTD. Thiago: A empresa esta passando por dificuldades financeiras desde 2017, contraiu muitas dívidas e processos trabalhistas, teve uma queda de demanda drástica e redução de funcionários de 89 para 10. O prédio esta muito degradado e com muitos equipamentos parados, com grande sujidade. Em caso de aplicação de consultoria a empresa não terá mão de obra para se dedicar, porque no ADM tem 2 pessoas Sr. Gaspar que não é funcionário e está dando apoio e Sr. Roberto administrador filho do dono que é um senhor de 88 anos que está afastado por motivos de saúde.   A empresa faz parte do grupo Trofa e seus sócios.  </t>
  </si>
  <si>
    <t>110/022</t>
  </si>
  <si>
    <t>102/2023</t>
  </si>
  <si>
    <t>24/2023</t>
  </si>
  <si>
    <t>117197</t>
  </si>
  <si>
    <t>004962/2024</t>
  </si>
  <si>
    <t>181/2023</t>
  </si>
  <si>
    <t>E-mail enviado sobre 2024 - sem retorno</t>
  </si>
  <si>
    <t>75/2023</t>
  </si>
  <si>
    <t>33/2023</t>
  </si>
  <si>
    <t>2001/2023</t>
  </si>
  <si>
    <t xml:space="preserve">18/09: Encaminhou para Sibely responder </t>
  </si>
  <si>
    <t>219/2024</t>
  </si>
  <si>
    <t>114/2022</t>
  </si>
  <si>
    <t>172/2022</t>
  </si>
  <si>
    <t>Prototipagem de Novos Produtos</t>
  </si>
  <si>
    <t>107/2022</t>
  </si>
  <si>
    <t>1909/2023</t>
  </si>
  <si>
    <t>232/2024</t>
  </si>
  <si>
    <t>21/2024</t>
  </si>
  <si>
    <t>Atendimento solicitado. Prever datas 2</t>
  </si>
  <si>
    <t>Etapa gratuita - Junior aceitou T0 e preencheu o forms do SEBRAE , mas não fo contatado para o ALI. Ligar Karol</t>
  </si>
  <si>
    <t>236/2023</t>
  </si>
  <si>
    <t>Junior aceitou T0 e preencheu o forms do SEBRAE , mas não fo contatado para o ALI. Ligar Karol</t>
  </si>
  <si>
    <t>Junior vai enviar(12/03)</t>
  </si>
  <si>
    <t>170/2024</t>
  </si>
  <si>
    <t>27/03: Oliveira " Vou pedir o máximo de brevidade na implantação do sistema de apuração de produtividade para darmos início ao trabalho. Assim que tiver uma data, informo a você."</t>
  </si>
  <si>
    <t>159/2024</t>
  </si>
  <si>
    <t>21/11: Jeff vai falar com Oliveira no dia 22/11</t>
  </si>
  <si>
    <t>244/2023</t>
  </si>
  <si>
    <t>Deu ok no e-mail mas não enviou dados</t>
  </si>
  <si>
    <t>PCP ?</t>
  </si>
  <si>
    <t>PROPOR</t>
  </si>
  <si>
    <t>103 NÃO ENTROU NA RATEIO</t>
  </si>
  <si>
    <t>64/2023</t>
  </si>
  <si>
    <t>2000/2023</t>
  </si>
  <si>
    <t>ORGANIZAÇÃO E CONTROLE DE ESTOQUE: Consolidação das ações de Gestão de Estoques e Almoxarifado   Workshops</t>
  </si>
  <si>
    <t>MANUFATURA ENXUTA: Consolidação das ações de Lean Manufacturing na inha de montagem 02</t>
  </si>
  <si>
    <t>DIAGNÓSTICO - MELHORIA DE PROCESSO RESSARCIDO</t>
  </si>
  <si>
    <t>SIPAT - PALESTRAS</t>
  </si>
  <si>
    <t>DESENVOLVIMENTO DE LIDERANÇA</t>
  </si>
  <si>
    <t>MAPEAMENTO DE PROCESSOS</t>
  </si>
  <si>
    <t>CONTROLE E MELHORIA DE PROCESSOS</t>
  </si>
  <si>
    <t>ETAPA 4 - PLANEJAMENTO ESTRATÉGICO TECNOLÓGICO</t>
  </si>
  <si>
    <t>ETAPA 3 - DIVERSOS</t>
  </si>
  <si>
    <t>ETAPA 3 - LOGISTICA 360</t>
  </si>
  <si>
    <t>ETAPA 3 - MELHORIA DE LAYOUT PRODUTIVO</t>
  </si>
  <si>
    <t>ETAPA 3 - GESTÃO DE PROCESSOS</t>
  </si>
  <si>
    <t>ETAPA 3 - ASSESSORIA EM DESENVOLVIMENTO DE LIDERANÇAS</t>
  </si>
  <si>
    <t>ETAPA 3 - LEAN OFFICE</t>
  </si>
  <si>
    <t>ETAPA 3 - ORGANIZAÇÃO E CONTROLE DE ESTOQUE</t>
  </si>
  <si>
    <t>ETAPA 3 - ORGANIZAÇÃO E CONTROLE DE ESTOQUE - Implementar novas ações e aprimorar relações entre as
atividades de Estoque e Almoxarifado</t>
  </si>
  <si>
    <t>ETAPA 3 - ASSESSORIA MANUFATURA ENXUTA - Implementação do Lean Manufacturing na Linha de
Montagem no 01</t>
  </si>
  <si>
    <t>ETAPA 3 - ASSESSORIA EM LOGÍSTICA</t>
  </si>
  <si>
    <t>ETAPA 3 - DESENVOLVIMENTO DE  MAPA FLUXO DE VALOR (MFV)</t>
  </si>
  <si>
    <t>ETAPA 3 - PLANEJAMENTO E CONTROLE DE PRODUÇÃO</t>
  </si>
  <si>
    <t>ETAPA 3 - ASSESSORIA MANUFATURA ENXUTA</t>
  </si>
  <si>
    <t>ETAPA 3 - LEAN MANUFACTURING</t>
  </si>
  <si>
    <t>ETAPA 2 - DESING E MELHORIA DE SERVIÇOS</t>
  </si>
  <si>
    <t>ETAPA 2 - DESENVOLVIMENTO DE PRODUTO</t>
  </si>
  <si>
    <t>ETAPA 2 - IMPLANTAÇÃO DE PROCESSOS DE GESTÃO DE INOVAÇÃO</t>
  </si>
  <si>
    <t>ETAPA 2 - ADEQUAÇÃO A NORMA  ABNT NBR ISO 9001:2015 – SISTEMA DE GESTÃO DA QUALIDADE</t>
  </si>
  <si>
    <t>ETAPA 1 - DIAGNÓSTICO TECNOLÓGICO</t>
  </si>
  <si>
    <t>NOVA PROPOSTA</t>
  </si>
  <si>
    <t>HUBSPOT</t>
  </si>
  <si>
    <t>INU</t>
  </si>
  <si>
    <t>MÊS</t>
  </si>
  <si>
    <t>ANO</t>
  </si>
  <si>
    <t>OBS2</t>
  </si>
  <si>
    <t>FEZ EFICI ENERG ?</t>
  </si>
  <si>
    <t>5ª ou 6ª etapa</t>
  </si>
  <si>
    <t>CONTINUIDADE</t>
  </si>
  <si>
    <t>FOLLOW 2024</t>
  </si>
  <si>
    <t>ACEITOU ?2</t>
  </si>
  <si>
    <t xml:space="preserve">T4 Proposto para 2024 </t>
  </si>
  <si>
    <t>QUAL ? (           3ª ETAPA)</t>
  </si>
  <si>
    <t>ACEITOU ?</t>
  </si>
  <si>
    <t>T 3 (2ª  Solução Proposta para 2024 )</t>
  </si>
  <si>
    <t>T 3 (1ª  Solução Proposta para 2024 )</t>
  </si>
  <si>
    <t>ALI 2024 - Convidar ?</t>
  </si>
  <si>
    <t xml:space="preserve">Passou no ALI em 2023 ? </t>
  </si>
  <si>
    <t>ESPECÍFICO (SALDO SGSET AGOSTO)</t>
  </si>
  <si>
    <t>OBSERVAÇÕES</t>
  </si>
  <si>
    <t>DATA PESQUISA DE SATISFAÇÃO RESPONDIDA</t>
  </si>
  <si>
    <t xml:space="preserve">S/N              </t>
  </si>
  <si>
    <t>DATA PRESTAÇÃO DE CONTAS</t>
  </si>
  <si>
    <t xml:space="preserve">S/N               </t>
  </si>
  <si>
    <t>RETORNO AUDITORIA</t>
  </si>
  <si>
    <t xml:space="preserve">S/N                             </t>
  </si>
  <si>
    <t>ENVIO AUDITORIA (ER/GIT)</t>
  </si>
  <si>
    <t xml:space="preserve">S/N                            </t>
  </si>
  <si>
    <t>DATA DE CONCLUSÃO SGT</t>
  </si>
  <si>
    <t xml:space="preserve">S/N                       </t>
  </si>
  <si>
    <t>RELATÓRIO EDUCACIONAL ENVIADO</t>
  </si>
  <si>
    <t>RELATÓRIO FINAL ENVIADO</t>
  </si>
  <si>
    <t>RELATÓRIO SMART FACTORY</t>
  </si>
  <si>
    <t>RELATÓRIO DE PRIORIZAÇÃO ENVIADO</t>
  </si>
  <si>
    <t>MOV. 1.1.57</t>
  </si>
  <si>
    <t xml:space="preserve">CÓDIGO RAE </t>
  </si>
  <si>
    <t>Nº DEMANDA ou                       Nº ID</t>
  </si>
  <si>
    <t>SITUAÇÃO</t>
  </si>
  <si>
    <t>VALOR DA PROPOSTA</t>
  </si>
  <si>
    <t>GRATUIDADE?</t>
  </si>
  <si>
    <t>REUNIÃO FINAL AGENDADA</t>
  </si>
  <si>
    <t>REUNIÃO KICK-OFF CONFIRMADA</t>
  </si>
  <si>
    <t>DATA TÉRMINO</t>
  </si>
  <si>
    <t>DATA INÍCIO</t>
  </si>
  <si>
    <t>REQUISIÇÃO GRM</t>
  </si>
  <si>
    <t xml:space="preserve">S/N                   </t>
  </si>
  <si>
    <t>DATA RESPOSTA SEBRAE</t>
  </si>
  <si>
    <t xml:space="preserve">S/N                </t>
  </si>
  <si>
    <t>Contrato SEBRAE Enviado?</t>
  </si>
  <si>
    <t xml:space="preserve">S/N         </t>
  </si>
  <si>
    <t xml:space="preserve">DATA COBRANÇA SEBRAE </t>
  </si>
  <si>
    <t xml:space="preserve">S/N        </t>
  </si>
  <si>
    <t>CADASTRO PLATAFORMA PRODUTIVIDADE OK?</t>
  </si>
  <si>
    <t xml:space="preserve">S/N       </t>
  </si>
  <si>
    <t>DATA DE COBRANÇA DA EMPRESA</t>
  </si>
  <si>
    <t xml:space="preserve">S/N      </t>
  </si>
  <si>
    <t>DATA DO ENVIO DO RELATÓRIO T1</t>
  </si>
  <si>
    <t xml:space="preserve">S/N     </t>
  </si>
  <si>
    <t>DATA ACEITE SGT</t>
  </si>
  <si>
    <t xml:space="preserve">S/N  </t>
  </si>
  <si>
    <t>DATA UPLOAD SGT</t>
  </si>
  <si>
    <t>DATA CADASTRO SGT</t>
  </si>
  <si>
    <t>S/N</t>
  </si>
  <si>
    <t>DATA DO CONTRATO ASSINADO SENAI</t>
  </si>
  <si>
    <t xml:space="preserve">S/N    </t>
  </si>
  <si>
    <t>CONTRATO ASSINADO EMPRESA</t>
  </si>
  <si>
    <t xml:space="preserve">S/N           </t>
  </si>
  <si>
    <t>CONTRATO ENVIADO EMPRESA</t>
  </si>
  <si>
    <t xml:space="preserve">S/N            </t>
  </si>
  <si>
    <t>DADOS SOCIOS INFORMADOS</t>
  </si>
  <si>
    <t xml:space="preserve">S/N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</si>
</sst>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d/mm/yy;@"/>
    <numFmt numFmtId="165" formatCode="d/m;@"/>
    <numFmt numFmtId="166" formatCode="&quot;R$&quot;\ #,##0.00"/>
    <numFmt numFmtId="167" formatCode="&quot; &quot;00&quot;.&quot;000&quot;.&quot;000&quot;/&quot;0000&quot;-&quot;00&quot; &quot;"/>
  </numFmts>
  <fonts count="19">
    <font>
      <sz val="11"/>
      <color theme="1"/>
      <name val="Calibri"/>
      <family val="2"/>
      <scheme val="minor"/>
    </font>
    <font>
      <sz val="11"/>
      <color theme="1"/>
      <name val="Calibri"/>
      <family val="2"/>
      <scheme val="minor"/>
    </font>
    <font>
      <sz val="8"/>
      <color theme="1"/>
      <name val="Calibri"/>
      <family val="2"/>
    </font>
    <font>
      <sz val="8"/>
      <color theme="0"/>
      <name val="Calibri"/>
      <family val="2"/>
    </font>
    <font>
      <sz val="9"/>
      <color theme="1"/>
      <name val="Calibri"/>
      <family val="2"/>
    </font>
    <font>
      <sz val="8"/>
      <color rgb="FF000000"/>
      <name val="Calibri"/>
      <family val="2"/>
      <scheme val="minor"/>
    </font>
    <font>
      <sz val="8"/>
      <color theme="1"/>
      <name val="Calibri"/>
      <family val="2"/>
      <scheme val="minor"/>
    </font>
    <font>
      <sz val="8"/>
      <color theme="0"/>
      <name val="Calibri"/>
      <family val="2"/>
      <scheme val="minor"/>
    </font>
    <font>
      <b/>
      <sz val="8"/>
      <color rgb="FF595959"/>
      <name val="Calibri"/>
      <family val="2"/>
      <scheme val="minor"/>
    </font>
    <font>
      <sz val="8"/>
      <color rgb="FF000000"/>
      <name val="Calibri"/>
      <family val="2"/>
    </font>
    <font>
      <sz val="8"/>
      <name val="Calibri"/>
      <family val="2"/>
      <scheme val="minor"/>
    </font>
    <font>
      <sz val="10"/>
      <color rgb="FF000000"/>
      <name val="Calibri"/>
      <family val="2"/>
      <scheme val="minor"/>
    </font>
    <font>
      <sz val="10"/>
      <color theme="1"/>
      <name val="Calibri"/>
      <family val="2"/>
    </font>
    <font>
      <sz val="9"/>
      <color theme="0"/>
      <name val="Calibri"/>
      <family val="2"/>
      <scheme val="minor"/>
    </font>
    <font>
      <sz val="9"/>
      <color theme="0"/>
      <name val="Calibri"/>
      <family val="2"/>
    </font>
    <font>
      <sz val="9"/>
      <color rgb="FF000000"/>
      <name val="Calibri"/>
      <family val="2"/>
    </font>
    <font>
      <sz val="9"/>
      <color rgb="FFFF0000"/>
      <name val="Calibri"/>
      <family val="2"/>
    </font>
    <font>
      <b/>
      <sz val="9"/>
      <color theme="0"/>
      <name val="Calibri"/>
      <family val="2"/>
    </font>
    <font>
      <sz val="9"/>
      <color indexed="81"/>
      <name val="Segoe UI"/>
      <charset val="1"/>
    </font>
  </fonts>
  <fills count="19">
    <fill>
      <patternFill patternType="none"/>
    </fill>
    <fill>
      <patternFill patternType="gray125"/>
    </fill>
    <fill>
      <patternFill patternType="solid">
        <fgColor rgb="FFD5FFD5"/>
        <bgColor indexed="64"/>
      </patternFill>
    </fill>
    <fill>
      <patternFill patternType="solid">
        <fgColor rgb="FFD1D1FF"/>
        <bgColor indexed="64"/>
      </patternFill>
    </fill>
    <fill>
      <patternFill patternType="solid">
        <fgColor rgb="FFFEE7FF"/>
        <bgColor indexed="64"/>
      </patternFill>
    </fill>
    <fill>
      <patternFill patternType="solid">
        <fgColor rgb="FFFFFF00"/>
        <bgColor indexed="64"/>
      </patternFill>
    </fill>
    <fill>
      <patternFill patternType="solid">
        <fgColor rgb="FFB4C6E7"/>
        <bgColor rgb="FFB4C6E7"/>
      </patternFill>
    </fill>
    <fill>
      <patternFill patternType="solid">
        <fgColor rgb="FFFFC000"/>
        <bgColor indexed="64"/>
      </patternFill>
    </fill>
    <fill>
      <patternFill patternType="solid">
        <fgColor rgb="FFFF0000"/>
        <bgColor indexed="64"/>
      </patternFill>
    </fill>
    <fill>
      <patternFill patternType="solid">
        <fgColor rgb="FFD9E1F2"/>
        <bgColor rgb="FFD9E1F2"/>
      </patternFill>
    </fill>
    <fill>
      <patternFill patternType="solid">
        <fgColor rgb="FF9933FF"/>
        <bgColor indexed="64"/>
      </patternFill>
    </fill>
    <fill>
      <patternFill patternType="solid">
        <fgColor rgb="FF00B050"/>
        <bgColor indexed="64"/>
      </patternFill>
    </fill>
    <fill>
      <patternFill patternType="solid">
        <fgColor theme="5" tint="0.39997558519241921"/>
        <bgColor indexed="64"/>
      </patternFill>
    </fill>
    <fill>
      <patternFill patternType="solid">
        <fgColor rgb="FFCCFFCC"/>
        <bgColor indexed="64"/>
      </patternFill>
    </fill>
    <fill>
      <patternFill patternType="solid">
        <fgColor rgb="FF0000FF"/>
        <bgColor indexed="64"/>
      </patternFill>
    </fill>
    <fill>
      <patternFill patternType="solid">
        <fgColor rgb="FF33CC33"/>
        <bgColor indexed="64"/>
      </patternFill>
    </fill>
    <fill>
      <patternFill patternType="solid">
        <fgColor theme="5" tint="-0.249977111117893"/>
        <bgColor indexed="64"/>
      </patternFill>
    </fill>
    <fill>
      <patternFill patternType="solid">
        <fgColor rgb="FFFF33CC"/>
        <bgColor indexed="64"/>
      </patternFill>
    </fill>
    <fill>
      <patternFill patternType="solid">
        <fgColor rgb="FF00FF00"/>
        <bgColor indexed="64"/>
      </patternFill>
    </fill>
  </fills>
  <borders count="15">
    <border>
      <left/>
      <right/>
      <top/>
      <bottom/>
      <diagonal/>
    </border>
    <border>
      <left style="medium">
        <color theme="1"/>
      </left>
      <right/>
      <top/>
      <bottom/>
      <diagonal/>
    </border>
    <border>
      <left style="medium">
        <color theme="1"/>
      </left>
      <right style="medium">
        <color theme="1"/>
      </right>
      <top/>
      <bottom/>
      <diagonal/>
    </border>
    <border>
      <left/>
      <right style="medium">
        <color theme="1"/>
      </right>
      <top/>
      <bottom/>
      <diagonal/>
    </border>
    <border>
      <left style="medium">
        <color indexed="64"/>
      </left>
      <right/>
      <top/>
      <bottom/>
      <diagonal/>
    </border>
    <border>
      <left/>
      <right style="medium">
        <color indexed="64"/>
      </right>
      <top/>
      <bottom/>
      <diagonal/>
    </border>
    <border>
      <left style="thin">
        <color rgb="FF000000"/>
      </left>
      <right style="medium">
        <color theme="1"/>
      </right>
      <top/>
      <bottom/>
      <diagonal/>
    </border>
    <border>
      <left style="medium">
        <color indexed="64"/>
      </left>
      <right style="thin">
        <color rgb="FF000000"/>
      </right>
      <top/>
      <bottom/>
      <diagonal/>
    </border>
    <border>
      <left style="medium">
        <color rgb="FF000000"/>
      </left>
      <right style="thin">
        <color rgb="FFFFFFFF"/>
      </right>
      <top style="thin">
        <color rgb="FFFFFFFF"/>
      </top>
      <bottom style="thin">
        <color rgb="FFFFFFFF"/>
      </bottom>
      <diagonal/>
    </border>
    <border>
      <left style="medium">
        <color rgb="FF000000"/>
      </left>
      <right style="thin">
        <color rgb="FFFFFFFF"/>
      </right>
      <top style="thin">
        <color rgb="FFFFFFFF"/>
      </top>
      <bottom/>
      <diagonal/>
    </border>
    <border>
      <left style="thin">
        <color indexed="64"/>
      </left>
      <right style="thin">
        <color indexed="64"/>
      </right>
      <top/>
      <bottom/>
      <diagonal/>
    </border>
    <border>
      <left style="medium">
        <color rgb="FF0000FF"/>
      </left>
      <right style="medium">
        <color indexed="64"/>
      </right>
      <top/>
      <bottom/>
      <diagonal/>
    </border>
    <border>
      <left style="medium">
        <color theme="1"/>
      </left>
      <right style="medium">
        <color rgb="FFFF33CC"/>
      </right>
      <top/>
      <bottom/>
      <diagonal/>
    </border>
    <border>
      <left style="medium">
        <color indexed="64"/>
      </left>
      <right style="medium">
        <color rgb="FF0000FF"/>
      </right>
      <top/>
      <bottom/>
      <diagonal/>
    </border>
    <border>
      <left style="medium">
        <color indexed="64"/>
      </left>
      <right style="medium">
        <color rgb="FFFF33CC"/>
      </right>
      <top/>
      <bottom/>
      <diagonal/>
    </border>
  </borders>
  <cellStyleXfs count="2">
    <xf numFmtId="0" fontId="0" fillId="0" borderId="0"/>
    <xf numFmtId="43" fontId="1" fillId="0" borderId="0" applyFont="0" applyFill="0" applyBorder="0" applyAlignment="0" applyProtection="0"/>
  </cellStyleXfs>
  <cellXfs count="210">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64" fontId="2" fillId="0" borderId="0" xfId="0" applyNumberFormat="1" applyFont="1" applyAlignment="1">
      <alignment horizontal="left" vertical="center"/>
    </xf>
    <xf numFmtId="165" fontId="2" fillId="0" borderId="0" xfId="0" applyNumberFormat="1" applyFont="1" applyAlignment="1">
      <alignment horizontal="left" vertical="center"/>
    </xf>
    <xf numFmtId="14" fontId="2" fillId="0" borderId="0" xfId="0" applyNumberFormat="1" applyFont="1" applyAlignment="1">
      <alignment horizontal="left" vertical="center"/>
    </xf>
    <xf numFmtId="0" fontId="2" fillId="0" borderId="1" xfId="0" applyFont="1" applyBorder="1" applyAlignment="1">
      <alignment horizontal="left" vertical="top"/>
    </xf>
    <xf numFmtId="14" fontId="4" fillId="0" borderId="0" xfId="0" applyNumberFormat="1" applyFont="1" applyAlignment="1">
      <alignment horizontal="left" vertical="center"/>
    </xf>
    <xf numFmtId="14" fontId="4" fillId="0" borderId="1" xfId="0" applyNumberFormat="1" applyFont="1" applyBorder="1" applyAlignment="1">
      <alignment horizontal="left" vertical="center"/>
    </xf>
    <xf numFmtId="1" fontId="4" fillId="0" borderId="1" xfId="0" applyNumberFormat="1" applyFont="1" applyBorder="1" applyAlignment="1">
      <alignment horizontal="left" vertical="center"/>
    </xf>
    <xf numFmtId="1" fontId="4" fillId="0" borderId="0" xfId="0" applyNumberFormat="1" applyFont="1" applyAlignment="1">
      <alignment horizontal="left" vertical="center"/>
    </xf>
    <xf numFmtId="1" fontId="4" fillId="0" borderId="0" xfId="0" applyNumberFormat="1" applyFont="1" applyAlignment="1">
      <alignment vertical="center"/>
    </xf>
    <xf numFmtId="2" fontId="4" fillId="0" borderId="0" xfId="0" applyNumberFormat="1" applyFont="1" applyAlignment="1">
      <alignment horizontal="left" vertical="center"/>
    </xf>
    <xf numFmtId="166" fontId="4" fillId="0" borderId="0" xfId="0" applyNumberFormat="1" applyFont="1" applyAlignment="1">
      <alignment horizontal="center" vertical="center"/>
    </xf>
    <xf numFmtId="166" fontId="4" fillId="0" borderId="0" xfId="0" applyNumberFormat="1" applyFont="1" applyAlignment="1">
      <alignment horizontal="left" vertical="center"/>
    </xf>
    <xf numFmtId="43" fontId="4" fillId="0" borderId="0" xfId="1" applyFont="1" applyAlignment="1">
      <alignment horizontal="left" vertical="center"/>
    </xf>
    <xf numFmtId="0" fontId="4" fillId="0" borderId="0" xfId="0" applyFont="1" applyAlignment="1">
      <alignment horizontal="left"/>
    </xf>
    <xf numFmtId="14" fontId="4" fillId="0" borderId="0" xfId="0" applyNumberFormat="1" applyFont="1" applyAlignment="1">
      <alignment horizontal="left"/>
    </xf>
    <xf numFmtId="14" fontId="4" fillId="0" borderId="0" xfId="0" applyNumberFormat="1" applyFont="1" applyAlignment="1">
      <alignment horizontal="center"/>
    </xf>
    <xf numFmtId="0" fontId="2" fillId="0" borderId="0" xfId="0" applyFont="1" applyAlignment="1">
      <alignment horizontal="left"/>
    </xf>
    <xf numFmtId="14" fontId="2" fillId="0" borderId="0" xfId="0" applyNumberFormat="1" applyFont="1" applyAlignment="1">
      <alignment horizontal="left"/>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14" fontId="6" fillId="2" borderId="0" xfId="0" applyNumberFormat="1" applyFont="1" applyFill="1" applyAlignment="1">
      <alignment horizontal="left" vertical="center"/>
    </xf>
    <xf numFmtId="14" fontId="6" fillId="0" borderId="0" xfId="0" applyNumberFormat="1" applyFont="1" applyAlignment="1">
      <alignment horizontal="left" vertical="center"/>
    </xf>
    <xf numFmtId="0" fontId="6" fillId="0" borderId="1" xfId="0" applyFont="1" applyBorder="1" applyAlignment="1">
      <alignment horizontal="left" vertical="center" wrapText="1"/>
    </xf>
    <xf numFmtId="1" fontId="8" fillId="3" borderId="0" xfId="0" applyNumberFormat="1" applyFont="1" applyFill="1" applyAlignment="1">
      <alignment horizontal="left" vertical="center"/>
    </xf>
    <xf numFmtId="14" fontId="6" fillId="3" borderId="1" xfId="0" applyNumberFormat="1" applyFont="1" applyFill="1" applyBorder="1" applyAlignment="1">
      <alignment horizontal="left" vertical="center"/>
    </xf>
    <xf numFmtId="14" fontId="8" fillId="3" borderId="0" xfId="0" applyNumberFormat="1" applyFont="1" applyFill="1" applyAlignment="1">
      <alignment horizontal="left" vertical="center"/>
    </xf>
    <xf numFmtId="14" fontId="6" fillId="3" borderId="1" xfId="0" quotePrefix="1" applyNumberFormat="1" applyFont="1" applyFill="1" applyBorder="1" applyAlignment="1">
      <alignment horizontal="left" vertical="center"/>
    </xf>
    <xf numFmtId="14" fontId="5" fillId="3" borderId="0" xfId="0" applyNumberFormat="1" applyFont="1" applyFill="1" applyAlignment="1">
      <alignment horizontal="left" vertical="center"/>
    </xf>
    <xf numFmtId="14" fontId="5" fillId="3" borderId="1" xfId="0" applyNumberFormat="1" applyFont="1" applyFill="1" applyBorder="1" applyAlignment="1">
      <alignment horizontal="left" vertical="center"/>
    </xf>
    <xf numFmtId="14" fontId="6" fillId="4" borderId="0" xfId="0" applyNumberFormat="1" applyFont="1" applyFill="1" applyAlignment="1">
      <alignment horizontal="left"/>
    </xf>
    <xf numFmtId="14" fontId="6" fillId="4" borderId="1" xfId="0" applyNumberFormat="1" applyFont="1" applyFill="1" applyBorder="1" applyAlignment="1">
      <alignment horizontal="left"/>
    </xf>
    <xf numFmtId="1" fontId="6" fillId="2" borderId="2" xfId="0" applyNumberFormat="1" applyFont="1" applyFill="1" applyBorder="1" applyAlignment="1">
      <alignment horizontal="left" vertical="center"/>
    </xf>
    <xf numFmtId="0" fontId="5" fillId="0" borderId="1" xfId="0" applyFont="1" applyBorder="1" applyAlignment="1">
      <alignment horizontal="left" vertical="center"/>
    </xf>
    <xf numFmtId="166" fontId="5" fillId="0" borderId="0" xfId="0" applyNumberFormat="1" applyFont="1" applyAlignment="1">
      <alignment horizontal="left" vertical="center"/>
    </xf>
    <xf numFmtId="43" fontId="5" fillId="0" borderId="0" xfId="1" applyFont="1" applyFill="1" applyAlignment="1">
      <alignment horizontal="left" vertical="center"/>
    </xf>
    <xf numFmtId="14" fontId="6" fillId="0" borderId="1" xfId="0" applyNumberFormat="1" applyFont="1" applyBorder="1" applyAlignment="1">
      <alignment horizontal="left" vertical="center"/>
    </xf>
    <xf numFmtId="14" fontId="6" fillId="2" borderId="1" xfId="0" applyNumberFormat="1" applyFont="1" applyFill="1" applyBorder="1" applyAlignment="1">
      <alignment horizontal="left" vertical="center"/>
    </xf>
    <xf numFmtId="49" fontId="5" fillId="2" borderId="1" xfId="0" applyNumberFormat="1" applyFont="1" applyFill="1" applyBorder="1" applyAlignment="1">
      <alignment horizontal="left" vertical="center"/>
    </xf>
    <xf numFmtId="14" fontId="6" fillId="5" borderId="3" xfId="0" applyNumberFormat="1" applyFont="1" applyFill="1" applyBorder="1" applyAlignment="1">
      <alignment horizontal="center" vertical="center"/>
    </xf>
    <xf numFmtId="14" fontId="6" fillId="5" borderId="0" xfId="0" applyNumberFormat="1" applyFont="1" applyFill="1" applyAlignment="1">
      <alignment horizontal="center" vertical="center"/>
    </xf>
    <xf numFmtId="14" fontId="6" fillId="3" borderId="4" xfId="0" applyNumberFormat="1" applyFont="1" applyFill="1" applyBorder="1" applyAlignment="1">
      <alignment horizontal="left" vertical="center"/>
    </xf>
    <xf numFmtId="14" fontId="6" fillId="4" borderId="4" xfId="0" applyNumberFormat="1" applyFont="1" applyFill="1" applyBorder="1" applyAlignment="1">
      <alignment horizontal="left"/>
    </xf>
    <xf numFmtId="14" fontId="6" fillId="4" borderId="5" xfId="0" applyNumberFormat="1" applyFont="1" applyFill="1" applyBorder="1" applyAlignment="1">
      <alignment horizontal="left"/>
    </xf>
    <xf numFmtId="14" fontId="5" fillId="3" borderId="3" xfId="0" applyNumberFormat="1" applyFont="1" applyFill="1" applyBorder="1" applyAlignment="1">
      <alignment horizontal="left" vertical="center"/>
    </xf>
    <xf numFmtId="14" fontId="6" fillId="4" borderId="0" xfId="0" applyNumberFormat="1" applyFont="1" applyFill="1"/>
    <xf numFmtId="43" fontId="5" fillId="0" borderId="0" xfId="1" applyFont="1" applyAlignment="1">
      <alignment horizontal="left" vertical="center"/>
    </xf>
    <xf numFmtId="14" fontId="6" fillId="5" borderId="2" xfId="0" applyNumberFormat="1" applyFont="1" applyFill="1" applyBorder="1" applyAlignment="1">
      <alignment horizontal="center" vertical="center"/>
    </xf>
    <xf numFmtId="14" fontId="6" fillId="5" borderId="4" xfId="0" applyNumberFormat="1" applyFont="1" applyFill="1" applyBorder="1" applyAlignment="1">
      <alignment horizontal="center" vertical="center"/>
    </xf>
    <xf numFmtId="1" fontId="4" fillId="2" borderId="2" xfId="0" applyNumberFormat="1" applyFont="1" applyFill="1" applyBorder="1" applyAlignment="1">
      <alignment horizontal="left" vertical="center"/>
    </xf>
    <xf numFmtId="1" fontId="4" fillId="2" borderId="1" xfId="0" applyNumberFormat="1" applyFont="1" applyFill="1" applyBorder="1" applyAlignment="1">
      <alignment horizontal="left" vertical="center"/>
    </xf>
    <xf numFmtId="49" fontId="5" fillId="2" borderId="0" xfId="0" applyNumberFormat="1" applyFont="1" applyFill="1" applyAlignment="1">
      <alignment horizontal="left" vertical="center"/>
    </xf>
    <xf numFmtId="14" fontId="6" fillId="3" borderId="0" xfId="0" applyNumberFormat="1" applyFont="1" applyFill="1" applyAlignment="1">
      <alignment horizontal="left" vertical="center"/>
    </xf>
    <xf numFmtId="14" fontId="6" fillId="0" borderId="0" xfId="0" applyNumberFormat="1" applyFont="1" applyAlignment="1">
      <alignment horizontal="center" vertical="center"/>
    </xf>
    <xf numFmtId="14" fontId="6" fillId="3" borderId="0" xfId="0" applyNumberFormat="1" applyFont="1" applyFill="1" applyAlignment="1">
      <alignment horizontal="left"/>
    </xf>
    <xf numFmtId="14" fontId="6" fillId="0" borderId="4" xfId="0" applyNumberFormat="1" applyFont="1" applyBorder="1" applyAlignment="1">
      <alignment horizontal="left"/>
    </xf>
    <xf numFmtId="14" fontId="5" fillId="3" borderId="0" xfId="0" applyNumberFormat="1" applyFont="1" applyFill="1" applyAlignment="1">
      <alignment horizontal="center"/>
    </xf>
    <xf numFmtId="0" fontId="2" fillId="3" borderId="4" xfId="0" applyFont="1" applyFill="1" applyBorder="1" applyAlignment="1">
      <alignment horizontal="left"/>
    </xf>
    <xf numFmtId="14" fontId="6" fillId="4" borderId="5" xfId="0" applyNumberFormat="1" applyFont="1" applyFill="1" applyBorder="1" applyAlignment="1">
      <alignment horizontal="center"/>
    </xf>
    <xf numFmtId="0" fontId="6" fillId="0" borderId="4" xfId="0" applyFont="1" applyBorder="1" applyAlignment="1">
      <alignment horizontal="left"/>
    </xf>
    <xf numFmtId="14" fontId="6" fillId="4" borderId="0" xfId="0" applyNumberFormat="1" applyFont="1" applyFill="1" applyAlignment="1">
      <alignment horizontal="center"/>
    </xf>
    <xf numFmtId="0" fontId="6" fillId="0" borderId="0" xfId="0" applyFont="1" applyAlignment="1">
      <alignment horizontal="left"/>
    </xf>
    <xf numFmtId="0" fontId="6" fillId="3" borderId="0" xfId="0" applyFont="1" applyFill="1" applyAlignment="1">
      <alignment horizontal="left" vertical="center"/>
    </xf>
    <xf numFmtId="165" fontId="6" fillId="3" borderId="0" xfId="0" applyNumberFormat="1" applyFont="1" applyFill="1" applyAlignment="1">
      <alignment horizontal="left" vertical="center"/>
    </xf>
    <xf numFmtId="166" fontId="5" fillId="0" borderId="1" xfId="0" applyNumberFormat="1" applyFont="1" applyBorder="1" applyAlignment="1">
      <alignment horizontal="left" vertical="center"/>
    </xf>
    <xf numFmtId="14" fontId="5" fillId="2" borderId="1" xfId="0" applyNumberFormat="1" applyFont="1" applyFill="1" applyBorder="1" applyAlignment="1">
      <alignment horizontal="left" vertical="center"/>
    </xf>
    <xf numFmtId="14" fontId="5" fillId="2" borderId="0" xfId="0" applyNumberFormat="1" applyFont="1" applyFill="1" applyAlignment="1">
      <alignment horizontal="left" vertical="center"/>
    </xf>
    <xf numFmtId="14" fontId="6" fillId="0" borderId="4" xfId="0" applyNumberFormat="1" applyFont="1" applyBorder="1" applyAlignment="1">
      <alignment horizontal="left" vertical="center"/>
    </xf>
    <xf numFmtId="14" fontId="6" fillId="0" borderId="4" xfId="0" applyNumberFormat="1" applyFont="1" applyBorder="1" applyAlignment="1">
      <alignment horizontal="center" vertical="center"/>
    </xf>
    <xf numFmtId="14" fontId="5" fillId="3" borderId="4" xfId="0" applyNumberFormat="1" applyFont="1" applyFill="1" applyBorder="1" applyAlignment="1">
      <alignment horizontal="center"/>
    </xf>
    <xf numFmtId="14" fontId="6" fillId="4" borderId="4" xfId="0" applyNumberFormat="1" applyFont="1" applyFill="1" applyBorder="1" applyAlignment="1">
      <alignment horizontal="left" vertical="center"/>
    </xf>
    <xf numFmtId="0" fontId="6" fillId="0" borderId="1" xfId="0" applyFont="1" applyBorder="1" applyAlignment="1">
      <alignment horizontal="left" vertical="center"/>
    </xf>
    <xf numFmtId="1" fontId="6" fillId="0" borderId="0" xfId="0" applyNumberFormat="1" applyFont="1" applyAlignment="1">
      <alignment horizontal="left" vertical="center"/>
    </xf>
    <xf numFmtId="0" fontId="5" fillId="2" borderId="1" xfId="0" applyFont="1" applyFill="1" applyBorder="1" applyAlignment="1">
      <alignment horizontal="left" vertical="center"/>
    </xf>
    <xf numFmtId="1" fontId="6" fillId="2" borderId="1" xfId="0" applyNumberFormat="1" applyFont="1" applyFill="1" applyBorder="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left" vertical="center"/>
    </xf>
    <xf numFmtId="0" fontId="7" fillId="2" borderId="0" xfId="0" applyFont="1" applyFill="1" applyAlignment="1">
      <alignment horizontal="left" vertical="center"/>
    </xf>
    <xf numFmtId="1" fontId="8" fillId="3" borderId="3" xfId="0" applyNumberFormat="1" applyFont="1" applyFill="1" applyBorder="1" applyAlignment="1">
      <alignment horizontal="left" vertical="center"/>
    </xf>
    <xf numFmtId="14" fontId="6" fillId="4" borderId="1" xfId="0" applyNumberFormat="1" applyFont="1" applyFill="1" applyBorder="1"/>
    <xf numFmtId="14" fontId="6" fillId="5" borderId="6" xfId="0" applyNumberFormat="1" applyFont="1" applyFill="1" applyBorder="1" applyAlignment="1">
      <alignment horizontal="center" vertical="center"/>
    </xf>
    <xf numFmtId="14" fontId="6" fillId="5" borderId="7" xfId="0" applyNumberFormat="1" applyFont="1" applyFill="1" applyBorder="1" applyAlignment="1">
      <alignment horizontal="center" vertical="center"/>
    </xf>
    <xf numFmtId="165" fontId="6" fillId="3" borderId="3" xfId="0" applyNumberFormat="1" applyFont="1" applyFill="1" applyBorder="1" applyAlignment="1">
      <alignment horizontal="left" vertical="center"/>
    </xf>
    <xf numFmtId="0" fontId="6" fillId="0" borderId="0" xfId="0" applyFont="1" applyAlignment="1">
      <alignment horizontal="left" vertical="center" wrapText="1"/>
    </xf>
    <xf numFmtId="14" fontId="6" fillId="0" borderId="3" xfId="0" applyNumberFormat="1" applyFont="1" applyBorder="1" applyAlignment="1">
      <alignment horizontal="left" vertical="center"/>
    </xf>
    <xf numFmtId="14" fontId="6" fillId="0" borderId="1" xfId="0" quotePrefix="1" applyNumberFormat="1" applyFont="1" applyBorder="1" applyAlignment="1">
      <alignment horizontal="left" vertical="center"/>
    </xf>
    <xf numFmtId="14" fontId="6" fillId="0" borderId="0" xfId="0" applyNumberFormat="1" applyFont="1" applyAlignment="1">
      <alignment horizontal="left"/>
    </xf>
    <xf numFmtId="14" fontId="6" fillId="0" borderId="1" xfId="0" applyNumberFormat="1" applyFont="1" applyBorder="1"/>
    <xf numFmtId="14" fontId="6" fillId="3" borderId="3" xfId="0" applyNumberFormat="1" applyFont="1" applyFill="1" applyBorder="1" applyAlignment="1">
      <alignment horizontal="left" vertical="center"/>
    </xf>
    <xf numFmtId="0" fontId="9" fillId="6" borderId="1" xfId="0" applyFont="1" applyFill="1" applyBorder="1"/>
    <xf numFmtId="14" fontId="6" fillId="0" borderId="0" xfId="0" applyNumberFormat="1" applyFont="1"/>
    <xf numFmtId="1" fontId="5" fillId="2" borderId="2" xfId="0" applyNumberFormat="1" applyFont="1" applyFill="1" applyBorder="1" applyAlignment="1">
      <alignment horizontal="left" vertical="center"/>
    </xf>
    <xf numFmtId="14" fontId="5" fillId="0" borderId="1" xfId="0" applyNumberFormat="1" applyFont="1" applyBorder="1" applyAlignment="1">
      <alignment horizontal="left" vertical="center"/>
    </xf>
    <xf numFmtId="14" fontId="5" fillId="7" borderId="0" xfId="0" applyNumberFormat="1" applyFont="1" applyFill="1" applyAlignment="1">
      <alignment horizontal="left" vertical="center"/>
    </xf>
    <xf numFmtId="49" fontId="5" fillId="0" borderId="0" xfId="0" applyNumberFormat="1" applyFont="1" applyAlignment="1">
      <alignment horizontal="left" vertical="center"/>
    </xf>
    <xf numFmtId="14" fontId="6" fillId="8" borderId="0" xfId="0" applyNumberFormat="1" applyFont="1" applyFill="1" applyAlignment="1">
      <alignment horizontal="left" vertical="center"/>
    </xf>
    <xf numFmtId="14" fontId="6" fillId="8" borderId="1" xfId="0" applyNumberFormat="1" applyFont="1" applyFill="1" applyBorder="1" applyAlignment="1">
      <alignment horizontal="left" vertical="center"/>
    </xf>
    <xf numFmtId="14" fontId="6" fillId="8" borderId="1" xfId="0" quotePrefix="1" applyNumberFormat="1" applyFont="1" applyFill="1" applyBorder="1" applyAlignment="1">
      <alignment horizontal="left" vertical="center"/>
    </xf>
    <xf numFmtId="14" fontId="6" fillId="8" borderId="5" xfId="0" applyNumberFormat="1" applyFont="1" applyFill="1" applyBorder="1" applyAlignment="1">
      <alignment horizontal="left"/>
    </xf>
    <xf numFmtId="14" fontId="6" fillId="8" borderId="1" xfId="0" applyNumberFormat="1" applyFont="1" applyFill="1" applyBorder="1" applyAlignment="1">
      <alignment horizontal="left"/>
    </xf>
    <xf numFmtId="14" fontId="6" fillId="8" borderId="6" xfId="0" applyNumberFormat="1" applyFont="1" applyFill="1" applyBorder="1" applyAlignment="1">
      <alignment horizontal="center" vertical="center"/>
    </xf>
    <xf numFmtId="14" fontId="6" fillId="8" borderId="7" xfId="0" applyNumberFormat="1" applyFont="1" applyFill="1" applyBorder="1" applyAlignment="1">
      <alignment horizontal="center" vertical="center"/>
    </xf>
    <xf numFmtId="165" fontId="6" fillId="8" borderId="3" xfId="0" applyNumberFormat="1" applyFont="1" applyFill="1" applyBorder="1" applyAlignment="1">
      <alignment horizontal="left" vertical="center"/>
    </xf>
    <xf numFmtId="14" fontId="6" fillId="8" borderId="0" xfId="0" applyNumberFormat="1" applyFont="1" applyFill="1" applyAlignment="1">
      <alignment horizontal="left"/>
    </xf>
    <xf numFmtId="14" fontId="6" fillId="8" borderId="4" xfId="0" applyNumberFormat="1" applyFont="1" applyFill="1" applyBorder="1" applyAlignment="1">
      <alignment horizontal="center" vertical="center"/>
    </xf>
    <xf numFmtId="0" fontId="9" fillId="0" borderId="1" xfId="0" applyFont="1" applyBorder="1" applyAlignment="1">
      <alignment wrapText="1"/>
    </xf>
    <xf numFmtId="0" fontId="9" fillId="0" borderId="1" xfId="0" applyFont="1" applyBorder="1"/>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2" borderId="3" xfId="0" applyFont="1" applyFill="1" applyBorder="1" applyAlignment="1">
      <alignment horizontal="left" vertical="center"/>
    </xf>
    <xf numFmtId="0" fontId="7" fillId="2" borderId="4" xfId="0" applyFont="1" applyFill="1" applyBorder="1" applyAlignment="1">
      <alignment horizontal="left" vertical="center"/>
    </xf>
    <xf numFmtId="0" fontId="6" fillId="2" borderId="5" xfId="0" applyFont="1" applyFill="1" applyBorder="1" applyAlignment="1">
      <alignment horizontal="left" vertical="center"/>
    </xf>
    <xf numFmtId="0" fontId="6" fillId="2" borderId="4" xfId="0" applyFont="1" applyFill="1" applyBorder="1" applyAlignment="1">
      <alignment horizontal="left" vertical="center"/>
    </xf>
    <xf numFmtId="14" fontId="6" fillId="0" borderId="5" xfId="0" applyNumberFormat="1" applyFont="1" applyBorder="1" applyAlignment="1">
      <alignment horizontal="left" vertical="center"/>
    </xf>
    <xf numFmtId="0" fontId="7" fillId="2" borderId="1" xfId="0" applyFont="1" applyFill="1" applyBorder="1" applyAlignment="1">
      <alignment horizontal="left" vertical="center"/>
    </xf>
    <xf numFmtId="0" fontId="6" fillId="2" borderId="1" xfId="0" applyFont="1" applyFill="1" applyBorder="1" applyAlignment="1">
      <alignment horizontal="left" vertical="center"/>
    </xf>
    <xf numFmtId="14" fontId="6" fillId="2" borderId="2" xfId="0" applyNumberFormat="1" applyFont="1" applyFill="1" applyBorder="1" applyAlignment="1">
      <alignment horizontal="left" vertical="center"/>
    </xf>
    <xf numFmtId="14" fontId="6" fillId="0" borderId="8" xfId="0" applyNumberFormat="1" applyFont="1" applyBorder="1" applyAlignment="1">
      <alignment horizontal="left" vertical="center"/>
    </xf>
    <xf numFmtId="0" fontId="6" fillId="0" borderId="9" xfId="0" applyFont="1" applyBorder="1" applyAlignment="1">
      <alignment horizontal="left" vertical="center" wrapText="1"/>
    </xf>
    <xf numFmtId="0" fontId="6" fillId="0" borderId="8" xfId="0" applyFont="1" applyBorder="1" applyAlignment="1">
      <alignment horizontal="left" vertical="center"/>
    </xf>
    <xf numFmtId="0" fontId="9" fillId="6" borderId="8" xfId="0" applyFont="1" applyFill="1" applyBorder="1"/>
    <xf numFmtId="0" fontId="6" fillId="0" borderId="8" xfId="0" applyFont="1" applyBorder="1" applyAlignment="1">
      <alignment horizontal="left" vertical="center" wrapText="1"/>
    </xf>
    <xf numFmtId="14" fontId="6" fillId="8" borderId="0" xfId="0" applyNumberFormat="1" applyFont="1" applyFill="1" applyAlignment="1">
      <alignment horizontal="center" vertical="center"/>
    </xf>
    <xf numFmtId="0" fontId="9" fillId="9" borderId="1" xfId="0" applyFont="1" applyFill="1" applyBorder="1" applyAlignment="1">
      <alignment wrapText="1"/>
    </xf>
    <xf numFmtId="16" fontId="6" fillId="0" borderId="1" xfId="0" applyNumberFormat="1" applyFont="1" applyBorder="1" applyAlignment="1">
      <alignment horizontal="left" vertical="center"/>
    </xf>
    <xf numFmtId="49" fontId="4" fillId="0" borderId="0" xfId="0" applyNumberFormat="1" applyFont="1" applyAlignment="1">
      <alignment horizontal="left" vertical="center"/>
    </xf>
    <xf numFmtId="0" fontId="7" fillId="10" borderId="0" xfId="0" applyFont="1" applyFill="1" applyAlignment="1">
      <alignment horizontal="left" vertical="center"/>
    </xf>
    <xf numFmtId="14" fontId="6" fillId="2" borderId="0" xfId="0" quotePrefix="1" applyNumberFormat="1" applyFont="1" applyFill="1" applyAlignment="1">
      <alignment horizontal="left" vertical="center"/>
    </xf>
    <xf numFmtId="167" fontId="5" fillId="0" borderId="1" xfId="0" applyNumberFormat="1" applyFont="1" applyBorder="1" applyAlignment="1">
      <alignment horizontal="left" vertical="center"/>
    </xf>
    <xf numFmtId="167" fontId="10" fillId="0" borderId="0" xfId="0" applyNumberFormat="1" applyFont="1" applyAlignment="1">
      <alignment horizontal="left" vertical="center"/>
    </xf>
    <xf numFmtId="14" fontId="5" fillId="0" borderId="0" xfId="0" applyNumberFormat="1" applyFont="1" applyAlignment="1">
      <alignment horizontal="left" vertical="center"/>
    </xf>
    <xf numFmtId="14" fontId="9" fillId="0" borderId="0" xfId="0" applyNumberFormat="1" applyFont="1" applyAlignment="1">
      <alignment horizontal="left" vertical="center"/>
    </xf>
    <xf numFmtId="14" fontId="2" fillId="3" borderId="1" xfId="0" applyNumberFormat="1" applyFont="1" applyFill="1" applyBorder="1" applyAlignment="1">
      <alignment horizontal="left" vertical="center"/>
    </xf>
    <xf numFmtId="1" fontId="6" fillId="0" borderId="1" xfId="0" applyNumberFormat="1" applyFont="1" applyBorder="1" applyAlignment="1">
      <alignment horizontal="left" vertical="center"/>
    </xf>
    <xf numFmtId="14" fontId="6" fillId="3" borderId="4" xfId="0" applyNumberFormat="1" applyFont="1" applyFill="1" applyBorder="1" applyAlignment="1">
      <alignment horizontal="left"/>
    </xf>
    <xf numFmtId="0" fontId="2" fillId="0" borderId="4" xfId="0" applyFont="1" applyBorder="1" applyAlignment="1">
      <alignment horizontal="left"/>
    </xf>
    <xf numFmtId="0" fontId="5" fillId="0" borderId="0" xfId="0" applyFont="1" applyAlignment="1">
      <alignment horizontal="left"/>
    </xf>
    <xf numFmtId="14" fontId="6" fillId="11" borderId="0" xfId="0" applyNumberFormat="1" applyFont="1" applyFill="1" applyAlignment="1">
      <alignment horizontal="left" vertical="center"/>
    </xf>
    <xf numFmtId="0" fontId="6" fillId="11" borderId="1" xfId="0" applyFont="1" applyFill="1" applyBorder="1" applyAlignment="1">
      <alignment horizontal="left" vertical="center"/>
    </xf>
    <xf numFmtId="14" fontId="6" fillId="11" borderId="1" xfId="0" quotePrefix="1" applyNumberFormat="1" applyFont="1" applyFill="1" applyBorder="1" applyAlignment="1">
      <alignment horizontal="left" vertical="center"/>
    </xf>
    <xf numFmtId="14" fontId="6" fillId="11" borderId="0" xfId="0" applyNumberFormat="1" applyFont="1" applyFill="1" applyAlignment="1">
      <alignment horizontal="left"/>
    </xf>
    <xf numFmtId="14" fontId="6" fillId="11" borderId="1" xfId="0" applyNumberFormat="1" applyFont="1" applyFill="1" applyBorder="1" applyAlignment="1">
      <alignment horizontal="left"/>
    </xf>
    <xf numFmtId="0" fontId="5" fillId="11" borderId="1" xfId="0" applyFont="1" applyFill="1" applyBorder="1" applyAlignment="1">
      <alignment horizontal="left" vertical="center"/>
    </xf>
    <xf numFmtId="14" fontId="6" fillId="11" borderId="1" xfId="0" applyNumberFormat="1" applyFont="1" applyFill="1" applyBorder="1" applyAlignment="1">
      <alignment horizontal="left" vertical="center"/>
    </xf>
    <xf numFmtId="14" fontId="6" fillId="11" borderId="6" xfId="0" applyNumberFormat="1" applyFont="1" applyFill="1" applyBorder="1" applyAlignment="1">
      <alignment horizontal="center" vertical="center"/>
    </xf>
    <xf numFmtId="14" fontId="6" fillId="11" borderId="7" xfId="0" applyNumberFormat="1" applyFont="1" applyFill="1" applyBorder="1" applyAlignment="1">
      <alignment horizontal="center" vertical="center"/>
    </xf>
    <xf numFmtId="14" fontId="6" fillId="11" borderId="2" xfId="0" applyNumberFormat="1" applyFont="1" applyFill="1" applyBorder="1" applyAlignment="1">
      <alignment horizontal="center" vertical="center"/>
    </xf>
    <xf numFmtId="14" fontId="6" fillId="11" borderId="4" xfId="0" applyNumberFormat="1" applyFont="1" applyFill="1" applyBorder="1" applyAlignment="1">
      <alignment horizontal="center" vertical="center"/>
    </xf>
    <xf numFmtId="14" fontId="9" fillId="3" borderId="0" xfId="0" applyNumberFormat="1" applyFont="1" applyFill="1" applyAlignment="1">
      <alignment horizontal="left" vertical="center"/>
    </xf>
    <xf numFmtId="167" fontId="5" fillId="0" borderId="0" xfId="0" applyNumberFormat="1" applyFont="1" applyAlignment="1">
      <alignment horizontal="left" vertical="center"/>
    </xf>
    <xf numFmtId="165" fontId="6" fillId="0" borderId="1" xfId="0" applyNumberFormat="1" applyFont="1" applyBorder="1" applyAlignment="1">
      <alignment horizontal="left" vertical="center"/>
    </xf>
    <xf numFmtId="17" fontId="6" fillId="0" borderId="1" xfId="0" applyNumberFormat="1" applyFont="1" applyBorder="1" applyAlignment="1">
      <alignment horizontal="left" vertical="center"/>
    </xf>
    <xf numFmtId="14" fontId="5" fillId="0" borderId="1" xfId="0" applyNumberFormat="1" applyFont="1" applyBorder="1" applyAlignment="1">
      <alignment horizontal="left" vertical="center" wrapText="1"/>
    </xf>
    <xf numFmtId="14" fontId="7" fillId="8" borderId="0" xfId="0" applyNumberFormat="1" applyFont="1" applyFill="1" applyAlignment="1">
      <alignment horizontal="left" vertical="center"/>
    </xf>
    <xf numFmtId="0" fontId="6" fillId="5" borderId="0" xfId="0" applyFont="1" applyFill="1" applyAlignment="1">
      <alignment horizontal="left" vertical="center"/>
    </xf>
    <xf numFmtId="14" fontId="6" fillId="0" borderId="0" xfId="0" applyNumberFormat="1" applyFont="1" applyAlignment="1">
      <alignment horizontal="center"/>
    </xf>
    <xf numFmtId="49" fontId="5" fillId="0" borderId="1" xfId="0" applyNumberFormat="1" applyFont="1" applyBorder="1" applyAlignment="1">
      <alignment horizontal="left" vertical="center"/>
    </xf>
    <xf numFmtId="0" fontId="5" fillId="12" borderId="0" xfId="0" applyFont="1" applyFill="1" applyAlignment="1">
      <alignment horizontal="left" vertical="center"/>
    </xf>
    <xf numFmtId="14" fontId="6" fillId="5" borderId="0" xfId="0" applyNumberFormat="1" applyFont="1" applyFill="1" applyAlignment="1">
      <alignment horizontal="left" vertical="center"/>
    </xf>
    <xf numFmtId="0" fontId="6" fillId="5" borderId="1" xfId="0" applyFont="1" applyFill="1" applyBorder="1" applyAlignment="1">
      <alignment horizontal="left" vertical="center"/>
    </xf>
    <xf numFmtId="14" fontId="6" fillId="5" borderId="1" xfId="0" quotePrefix="1" applyNumberFormat="1" applyFont="1" applyFill="1" applyBorder="1" applyAlignment="1">
      <alignment horizontal="left" vertical="center"/>
    </xf>
    <xf numFmtId="14" fontId="6" fillId="5" borderId="0" xfId="0" applyNumberFormat="1" applyFont="1" applyFill="1" applyAlignment="1">
      <alignment horizontal="left"/>
    </xf>
    <xf numFmtId="14" fontId="6" fillId="5" borderId="1" xfId="0" applyNumberFormat="1" applyFont="1" applyFill="1" applyBorder="1" applyAlignment="1">
      <alignment horizontal="left"/>
    </xf>
    <xf numFmtId="0" fontId="5" fillId="5" borderId="1" xfId="0" applyFont="1" applyFill="1" applyBorder="1" applyAlignment="1">
      <alignment horizontal="left" vertical="center"/>
    </xf>
    <xf numFmtId="14" fontId="6" fillId="5" borderId="1" xfId="0" applyNumberFormat="1" applyFont="1" applyFill="1" applyBorder="1" applyAlignment="1">
      <alignment horizontal="left" vertical="center"/>
    </xf>
    <xf numFmtId="0" fontId="11" fillId="0" borderId="0" xfId="0" applyFont="1" applyAlignment="1">
      <alignment horizontal="left" vertical="center"/>
    </xf>
    <xf numFmtId="1" fontId="12" fillId="0" borderId="0" xfId="0" applyNumberFormat="1" applyFont="1" applyAlignment="1">
      <alignment horizontal="left" vertical="center"/>
    </xf>
    <xf numFmtId="14" fontId="6" fillId="13" borderId="0" xfId="0" applyNumberFormat="1" applyFont="1" applyFill="1" applyAlignment="1">
      <alignment horizontal="left" vertical="center"/>
    </xf>
    <xf numFmtId="14" fontId="6" fillId="4" borderId="4" xfId="0" applyNumberFormat="1" applyFont="1" applyFill="1" applyBorder="1"/>
    <xf numFmtId="14" fontId="6" fillId="0" borderId="5" xfId="0" applyNumberFormat="1" applyFont="1" applyBorder="1" applyAlignment="1">
      <alignment horizontal="left"/>
    </xf>
    <xf numFmtId="14" fontId="6" fillId="0" borderId="4" xfId="0" applyNumberFormat="1" applyFont="1" applyBorder="1"/>
    <xf numFmtId="1" fontId="4" fillId="0" borderId="5" xfId="0" applyNumberFormat="1" applyFont="1" applyBorder="1" applyAlignment="1">
      <alignment horizontal="left" vertical="center"/>
    </xf>
    <xf numFmtId="1" fontId="6" fillId="0" borderId="4" xfId="0" applyNumberFormat="1" applyFont="1" applyBorder="1" applyAlignment="1">
      <alignment vertical="center"/>
    </xf>
    <xf numFmtId="14" fontId="6" fillId="0" borderId="2" xfId="0" applyNumberFormat="1" applyFont="1" applyBorder="1" applyAlignment="1">
      <alignment horizontal="center" vertical="center"/>
    </xf>
    <xf numFmtId="16" fontId="6" fillId="0" borderId="1" xfId="0" applyNumberFormat="1" applyFont="1" applyBorder="1" applyAlignment="1">
      <alignment horizontal="left" vertical="center" wrapText="1"/>
    </xf>
    <xf numFmtId="14" fontId="6" fillId="4" borderId="1" xfId="0" applyNumberFormat="1" applyFont="1" applyFill="1" applyBorder="1" applyAlignment="1">
      <alignment horizontal="center"/>
    </xf>
    <xf numFmtId="0" fontId="13" fillId="8" borderId="0" xfId="0" applyFont="1" applyFill="1" applyAlignment="1">
      <alignment horizontal="center" vertical="center" wrapText="1"/>
    </xf>
    <xf numFmtId="0" fontId="13" fillId="14" borderId="10"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4" fillId="15" borderId="10" xfId="0" applyFont="1" applyFill="1" applyBorder="1" applyAlignment="1">
      <alignment horizontal="center" vertical="center" wrapText="1"/>
    </xf>
    <xf numFmtId="165" fontId="14" fillId="15" borderId="0" xfId="0" applyNumberFormat="1" applyFont="1" applyFill="1" applyAlignment="1">
      <alignment horizontal="center" vertical="center" wrapText="1"/>
    </xf>
    <xf numFmtId="14" fontId="14" fillId="15" borderId="0" xfId="0" applyNumberFormat="1" applyFont="1" applyFill="1" applyAlignment="1">
      <alignment horizontal="center" vertical="center" wrapText="1"/>
    </xf>
    <xf numFmtId="14" fontId="14" fillId="14" borderId="11" xfId="0" applyNumberFormat="1" applyFont="1" applyFill="1" applyBorder="1" applyAlignment="1">
      <alignment horizontal="left" vertical="center"/>
    </xf>
    <xf numFmtId="14" fontId="14" fillId="14" borderId="11" xfId="0" applyNumberFormat="1" applyFont="1" applyFill="1" applyBorder="1" applyAlignment="1">
      <alignment horizontal="left" vertical="center" wrapText="1"/>
    </xf>
    <xf numFmtId="14" fontId="14" fillId="14" borderId="1" xfId="0" applyNumberFormat="1" applyFont="1" applyFill="1" applyBorder="1" applyAlignment="1">
      <alignment horizontal="left" vertical="center" wrapText="1"/>
    </xf>
    <xf numFmtId="14" fontId="14" fillId="16" borderId="1" xfId="0" applyNumberFormat="1" applyFont="1" applyFill="1" applyBorder="1" applyAlignment="1">
      <alignment horizontal="left" vertical="center" wrapText="1"/>
    </xf>
    <xf numFmtId="0" fontId="13" fillId="16" borderId="0" xfId="0" applyFont="1" applyFill="1" applyAlignment="1">
      <alignment horizontal="left" vertical="center" wrapText="1"/>
    </xf>
    <xf numFmtId="0" fontId="13" fillId="17" borderId="0" xfId="0" applyFont="1" applyFill="1" applyAlignment="1">
      <alignment horizontal="left" vertical="center" wrapText="1"/>
    </xf>
    <xf numFmtId="0" fontId="13" fillId="17" borderId="12" xfId="0" applyFont="1" applyFill="1" applyBorder="1" applyAlignment="1">
      <alignment vertical="center" wrapText="1"/>
    </xf>
    <xf numFmtId="14" fontId="15" fillId="18" borderId="2" xfId="0" applyNumberFormat="1" applyFont="1" applyFill="1" applyBorder="1" applyAlignment="1">
      <alignment horizontal="left" vertical="center" wrapText="1"/>
    </xf>
    <xf numFmtId="14" fontId="15" fillId="18" borderId="1" xfId="0" applyNumberFormat="1" applyFont="1" applyFill="1" applyBorder="1" applyAlignment="1">
      <alignment horizontal="left" vertical="center" wrapText="1"/>
    </xf>
    <xf numFmtId="2" fontId="14" fillId="0" borderId="0" xfId="0" applyNumberFormat="1" applyFont="1" applyAlignment="1">
      <alignment horizontal="left" vertical="center" wrapText="1"/>
    </xf>
    <xf numFmtId="0" fontId="13" fillId="16" borderId="0" xfId="0" applyFont="1" applyFill="1" applyAlignment="1">
      <alignment horizontal="center" vertical="center" wrapText="1"/>
    </xf>
    <xf numFmtId="0" fontId="14" fillId="0" borderId="0" xfId="0" applyFont="1" applyAlignment="1">
      <alignment horizontal="left" vertical="center" wrapText="1"/>
    </xf>
    <xf numFmtId="43" fontId="14" fillId="0" borderId="0" xfId="1" applyFont="1" applyAlignment="1">
      <alignment horizontal="left" vertical="center" wrapText="1"/>
    </xf>
    <xf numFmtId="14" fontId="15" fillId="18" borderId="1" xfId="0" applyNumberFormat="1" applyFont="1" applyFill="1" applyBorder="1" applyAlignment="1">
      <alignment horizontal="center" vertical="center" wrapText="1"/>
    </xf>
    <xf numFmtId="14" fontId="16" fillId="5" borderId="2" xfId="0" applyNumberFormat="1" applyFont="1" applyFill="1" applyBorder="1" applyAlignment="1">
      <alignment horizontal="center" vertical="center" wrapText="1"/>
    </xf>
    <xf numFmtId="14" fontId="16" fillId="5" borderId="4" xfId="0" applyNumberFormat="1" applyFont="1" applyFill="1" applyBorder="1" applyAlignment="1">
      <alignment horizontal="center" vertical="center" wrapText="1"/>
    </xf>
    <xf numFmtId="14" fontId="14" fillId="14" borderId="11" xfId="0" applyNumberFormat="1" applyFont="1" applyFill="1" applyBorder="1" applyAlignment="1">
      <alignment horizontal="center" vertical="center" wrapText="1"/>
    </xf>
    <xf numFmtId="14" fontId="14" fillId="14" borderId="4" xfId="0" applyNumberFormat="1" applyFont="1" applyFill="1" applyBorder="1" applyAlignment="1">
      <alignment horizontal="center" vertical="center" wrapText="1"/>
    </xf>
    <xf numFmtId="14" fontId="14" fillId="14" borderId="4" xfId="0" applyNumberFormat="1" applyFont="1" applyFill="1" applyBorder="1" applyAlignment="1">
      <alignment horizontal="left" vertical="center" wrapText="1"/>
    </xf>
    <xf numFmtId="14" fontId="17" fillId="14" borderId="0" xfId="0" applyNumberFormat="1" applyFont="1" applyFill="1" applyAlignment="1">
      <alignment horizontal="left" vertical="center" wrapText="1"/>
    </xf>
    <xf numFmtId="14" fontId="14" fillId="14" borderId="13" xfId="0" applyNumberFormat="1" applyFont="1" applyFill="1" applyBorder="1" applyAlignment="1">
      <alignment horizontal="left" vertical="center" wrapText="1"/>
    </xf>
    <xf numFmtId="0" fontId="13" fillId="17" borderId="14" xfId="0" applyFont="1" applyFill="1" applyBorder="1" applyAlignment="1">
      <alignment horizontal="left" vertical="center" wrapText="1"/>
    </xf>
    <xf numFmtId="0" fontId="13" fillId="17" borderId="5" xfId="0" applyFont="1" applyFill="1" applyBorder="1" applyAlignment="1">
      <alignment horizontal="left" vertical="center" wrapText="1"/>
    </xf>
    <xf numFmtId="0" fontId="14" fillId="14" borderId="4" xfId="0" applyFont="1" applyFill="1" applyBorder="1" applyAlignment="1">
      <alignment horizontal="left" vertical="center" wrapText="1"/>
    </xf>
    <xf numFmtId="14" fontId="14" fillId="14" borderId="0" xfId="0" applyNumberFormat="1" applyFont="1" applyFill="1" applyAlignment="1">
      <alignment horizontal="left" vertical="center" wrapText="1"/>
    </xf>
  </cellXfs>
  <cellStyles count="2">
    <cellStyle name="Normal" xfId="0" builtinId="0"/>
    <cellStyle name="Vírgula" xfId="1" builtinId="3"/>
  </cellStyles>
  <dxfs count="189">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ont>
        <color theme="0"/>
      </font>
      <fill>
        <patternFill>
          <bgColor theme="1"/>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ont>
        <color theme="0"/>
      </font>
      <fill>
        <patternFill>
          <bgColor theme="1"/>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microsoft.com/office/2017/10/relationships/person" Target="persons/perso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el%20Eduardo\Documents\linha%20tecnologia.xlsx" TargetMode="External"/><Relationship Id="rId1" Type="http://schemas.openxmlformats.org/officeDocument/2006/relationships/externalLinkPath" Target="linha%20tecnologi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abriel%20Eduardo\Downloads\Controle%20Geral%203.0_151015.xlsx" TargetMode="External"/><Relationship Id="rId1" Type="http://schemas.openxmlformats.org/officeDocument/2006/relationships/externalLinkPath" Target="/Users/Gabriel%20Eduardo/Downloads/Controle%20Geral%203.0_151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Banco de Dados (Tec)"/>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erface"/>
      <sheetName val="D1"/>
      <sheetName val="D2"/>
      <sheetName val="D3"/>
      <sheetName val="D4"/>
      <sheetName val="D5"/>
      <sheetName val="Prospecção"/>
      <sheetName val="Contatos"/>
      <sheetName val="Dados Cadastrais"/>
      <sheetName val="◙ Banco de Dados (Tec)"/>
      <sheetName val="Teste (PowerAutomate)"/>
      <sheetName val="◙ Banco de Dados (Edu)"/>
      <sheetName val="TAB JTD"/>
      <sheetName val="JTD 050825"/>
      <sheetName val="2026"/>
      <sheetName val="CARTEIRA GRM "/>
      <sheetName val="Histórico Prosp - NOVO"/>
      <sheetName val="Histórico Prosp"/>
      <sheetName val="POTENCIALIZZE"/>
      <sheetName val="$ SEBRAETEC 2025"/>
      <sheetName val="Forms - Pesquisa de Satisfação"/>
      <sheetName val="KICK OFF"/>
      <sheetName val="PESQUISA"/>
      <sheetName val="B+P25"/>
      <sheetName val="Status de Atendimento"/>
      <sheetName val="SAP TEC"/>
      <sheetName val="EDU-ME-EPP"/>
      <sheetName val="EDU-DEMAIS"/>
      <sheetName val="NOVAS EMPRESAS"/>
      <sheetName val="Follow-Up"/>
      <sheetName val="LIVROS"/>
      <sheetName val="Histórico de Livros"/>
      <sheetName val="Ordem interna"/>
      <sheetName val="SOLUÇÕES"/>
      <sheetName val="Pesquisa de Satisfação"/>
      <sheetName val="Texto App"/>
      <sheetName val="_56F9DC9755BA473782653E2940F9"/>
      <sheetName val="Controle Geral 3.0_1510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
          <cell r="AC1" t="str">
            <v>Nº Contrato</v>
          </cell>
        </row>
      </sheetData>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persons/person.xml><?xml version="1.0" encoding="utf-8"?>
<personList xmlns="http://schemas.microsoft.com/office/spreadsheetml/2018/threadedcomments" xmlns:x="http://schemas.openxmlformats.org/spreadsheetml/2006/main">
  <person displayName="Eliane Nunes Lucchesi" id="{3FE10694-D89B-46AE-B593-63D4983EA9C6}" userId="S::eliane.lucchesi@sp.senai.br::78deb380-6aeb-48dd-bcaf-088e60722145"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U65" dT="2024-01-30T12:05:24.26" personId="{3FE10694-D89B-46AE-B593-63D4983EA9C6}" id="{115D587C-ADE6-44C3-B281-A744CE710740}">
    <text>Falha na geração da venda</text>
  </threadedComment>
  <threadedComment ref="BU349" dT="2024-01-30T13:38:52.91" personId="{3FE10694-D89B-46AE-B593-63D4983EA9C6}" id="{AE3E030A-1073-4A3D-B5B7-253F38221FC3}">
    <text>Dar aceite após nova confirmação</text>
  </threadedComment>
  <threadedComment ref="BU586" dT="2024-01-30T13:38:36.11" personId="{3FE10694-D89B-46AE-B593-63D4983EA9C6}" id="{72984EBC-FDDA-415C-ABA5-9F1CBB58F4A0}">
    <text>Dar aceite após nova confirmação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20EED-932A-4C47-84DB-ACADF82B622C}">
  <dimension ref="A1:CV850"/>
  <sheetViews>
    <sheetView tabSelected="1" topLeftCell="BS1" workbookViewId="0">
      <selection sqref="A1:CV1048576"/>
    </sheetView>
  </sheetViews>
  <sheetFormatPr defaultRowHeight="14.5"/>
  <cols>
    <col min="1" max="1" width="5.54296875" style="17" customWidth="1"/>
    <col min="2" max="2" width="12.453125" style="17" customWidth="1"/>
    <col min="3" max="3" width="5.54296875" style="17" customWidth="1"/>
    <col min="4" max="4" width="9.26953125" style="17" customWidth="1"/>
    <col min="5" max="5" width="5.54296875" style="17" customWidth="1"/>
    <col min="6" max="6" width="9.7265625" style="17" customWidth="1"/>
    <col min="7" max="7" width="5.54296875" style="17" customWidth="1"/>
    <col min="8" max="8" width="10.26953125" style="17" customWidth="1"/>
    <col min="9" max="12" width="9.1796875" style="17" customWidth="1"/>
    <col min="13" max="13" width="3.81640625" style="17" customWidth="1"/>
    <col min="14" max="14" width="10.54296875" style="17" customWidth="1"/>
    <col min="15" max="15" width="3.81640625" style="17" customWidth="1"/>
    <col min="16" max="16" width="10.7265625" style="17" customWidth="1"/>
    <col min="17" max="17" width="3.7265625" style="17" customWidth="1"/>
    <col min="18" max="18" width="12.453125" style="17" customWidth="1"/>
    <col min="19" max="19" width="4.26953125" style="17" customWidth="1"/>
    <col min="20" max="20" width="11" style="17" customWidth="1"/>
    <col min="21" max="21" width="5.1796875" style="17" customWidth="1"/>
    <col min="22" max="22" width="9.1796875" style="18" customWidth="1"/>
    <col min="23" max="23" width="5" style="17" customWidth="1"/>
    <col min="24" max="24" width="9.1796875" style="17" customWidth="1"/>
    <col min="25" max="25" width="5.453125" style="17" customWidth="1"/>
    <col min="26" max="26" width="9.1796875" style="17" customWidth="1"/>
    <col min="27" max="27" width="5.453125" style="17" customWidth="1"/>
    <col min="28" max="32" width="9.1796875" style="17" customWidth="1"/>
    <col min="33" max="34" width="9.1796875" style="16" customWidth="1"/>
    <col min="35" max="35" width="9.1796875" style="15" customWidth="1"/>
    <col min="36" max="36" width="9.1796875" style="14" customWidth="1"/>
    <col min="37" max="37" width="10.81640625" style="13" customWidth="1"/>
    <col min="38" max="39" width="9.1796875" style="12" customWidth="1"/>
    <col min="40" max="40" width="11.54296875" style="10" customWidth="1"/>
    <col min="41" max="41" width="9.7265625" style="10" customWidth="1"/>
    <col min="42" max="42" width="9.453125" style="10" customWidth="1"/>
    <col min="43" max="43" width="12" style="10" customWidth="1"/>
    <col min="44" max="44" width="4.81640625" style="11" customWidth="1"/>
    <col min="45" max="45" width="11.54296875" style="10" customWidth="1"/>
    <col min="46" max="46" width="4.26953125" style="10" customWidth="1"/>
    <col min="47" max="47" width="11.54296875" style="10" customWidth="1"/>
    <col min="48" max="48" width="4.453125" style="10" customWidth="1"/>
    <col min="49" max="49" width="11.54296875" style="10" customWidth="1"/>
    <col min="50" max="50" width="6.453125" style="9" customWidth="1"/>
    <col min="51" max="51" width="9.1796875" style="7" customWidth="1"/>
    <col min="52" max="52" width="6.81640625" style="8" customWidth="1"/>
    <col min="53" max="53" width="9.1796875" style="7" customWidth="1"/>
    <col min="54" max="54" width="14.26953125" style="6" customWidth="1"/>
    <col min="55" max="55" width="27.7265625" style="5" customWidth="1"/>
    <col min="56" max="58" width="9.453125" style="5" customWidth="1"/>
    <col min="59" max="61" width="11.26953125" style="5" customWidth="1"/>
    <col min="62" max="62" width="12.81640625" style="5" customWidth="1"/>
    <col min="63" max="63" width="9.7265625" style="5" customWidth="1"/>
    <col min="64" max="64" width="11.7265625" style="4" customWidth="1"/>
    <col min="65" max="65" width="9" style="3" customWidth="1"/>
    <col min="66" max="66" width="11.54296875" style="3" customWidth="1"/>
    <col min="67" max="67" width="11.1796875" style="3" customWidth="1"/>
    <col min="68" max="68" width="14.1796875" style="1" customWidth="1"/>
    <col min="69" max="69" width="11.81640625" style="1" customWidth="1"/>
    <col min="70" max="70" width="8.26953125" style="1" customWidth="1"/>
    <col min="71" max="71" width="95.1796875" style="2" customWidth="1"/>
    <col min="72" max="73" width="9.1796875" style="1" customWidth="1"/>
    <col min="74" max="100" width="5" style="1" customWidth="1"/>
  </cols>
  <sheetData>
    <row r="1" spans="1:100" ht="360">
      <c r="A1" s="208" t="s">
        <v>969</v>
      </c>
      <c r="B1" s="209" t="s">
        <v>968</v>
      </c>
      <c r="C1" s="208" t="s">
        <v>967</v>
      </c>
      <c r="D1" s="209" t="s">
        <v>966</v>
      </c>
      <c r="E1" s="208" t="s">
        <v>965</v>
      </c>
      <c r="F1" s="209" t="s">
        <v>964</v>
      </c>
      <c r="G1" s="208" t="s">
        <v>963</v>
      </c>
      <c r="H1" s="186" t="s">
        <v>962</v>
      </c>
      <c r="I1" s="206" t="s">
        <v>961</v>
      </c>
      <c r="J1" s="207" t="s">
        <v>960</v>
      </c>
      <c r="K1" s="207" t="s">
        <v>2</v>
      </c>
      <c r="L1" s="190" t="s">
        <v>959</v>
      </c>
      <c r="M1" s="206" t="s">
        <v>958</v>
      </c>
      <c r="N1" s="190" t="s">
        <v>957</v>
      </c>
      <c r="O1" s="202" t="s">
        <v>956</v>
      </c>
      <c r="P1" s="201" t="s">
        <v>955</v>
      </c>
      <c r="Q1" s="205" t="s">
        <v>954</v>
      </c>
      <c r="R1" s="204" t="s">
        <v>953</v>
      </c>
      <c r="S1" s="203" t="s">
        <v>952</v>
      </c>
      <c r="T1" s="186" t="s">
        <v>951</v>
      </c>
      <c r="U1" s="202" t="s">
        <v>950</v>
      </c>
      <c r="V1" s="201" t="s">
        <v>949</v>
      </c>
      <c r="W1" s="202" t="s">
        <v>948</v>
      </c>
      <c r="X1" s="201" t="s">
        <v>947</v>
      </c>
      <c r="Y1" s="202" t="s">
        <v>946</v>
      </c>
      <c r="Z1" s="201" t="s">
        <v>945</v>
      </c>
      <c r="AA1" s="202" t="s">
        <v>944</v>
      </c>
      <c r="AB1" s="201" t="s">
        <v>943</v>
      </c>
      <c r="AC1" s="200" t="s">
        <v>942</v>
      </c>
      <c r="AD1" s="199" t="s">
        <v>941</v>
      </c>
      <c r="AE1" s="198" t="s">
        <v>940</v>
      </c>
      <c r="AF1" s="198" t="s">
        <v>939</v>
      </c>
      <c r="AG1" s="198" t="s">
        <v>5</v>
      </c>
      <c r="AH1" s="196" t="s">
        <v>938</v>
      </c>
      <c r="AI1" s="197" t="s">
        <v>937</v>
      </c>
      <c r="AJ1" s="196" t="s">
        <v>936</v>
      </c>
      <c r="AK1" s="195" t="s">
        <v>935</v>
      </c>
      <c r="AL1" s="194" t="s">
        <v>934</v>
      </c>
      <c r="AM1" s="194" t="s">
        <v>933</v>
      </c>
      <c r="AN1" s="193" t="s">
        <v>932</v>
      </c>
      <c r="AO1" s="193" t="s">
        <v>931</v>
      </c>
      <c r="AP1" s="193" t="s">
        <v>930</v>
      </c>
      <c r="AQ1" s="192" t="s">
        <v>929</v>
      </c>
      <c r="AR1" s="191" t="s">
        <v>928</v>
      </c>
      <c r="AS1" s="190" t="s">
        <v>927</v>
      </c>
      <c r="AT1" s="188" t="s">
        <v>926</v>
      </c>
      <c r="AU1" s="189" t="s">
        <v>925</v>
      </c>
      <c r="AV1" s="188" t="s">
        <v>924</v>
      </c>
      <c r="AW1" s="188" t="s">
        <v>923</v>
      </c>
      <c r="AX1" s="187" t="s">
        <v>922</v>
      </c>
      <c r="AY1" s="186" t="s">
        <v>921</v>
      </c>
      <c r="AZ1" s="187" t="s">
        <v>920</v>
      </c>
      <c r="BA1" s="186" t="s">
        <v>919</v>
      </c>
      <c r="BB1" s="186" t="s">
        <v>918</v>
      </c>
      <c r="BC1" s="185" t="s">
        <v>917</v>
      </c>
      <c r="BD1" s="184" t="s">
        <v>916</v>
      </c>
      <c r="BE1" s="184" t="s">
        <v>915</v>
      </c>
      <c r="BF1" s="184" t="s">
        <v>914</v>
      </c>
      <c r="BG1" s="184" t="s">
        <v>913</v>
      </c>
      <c r="BH1" s="184" t="s">
        <v>912</v>
      </c>
      <c r="BI1" s="184" t="s">
        <v>911</v>
      </c>
      <c r="BJ1" s="184" t="s">
        <v>910</v>
      </c>
      <c r="BK1" s="184" t="s">
        <v>909</v>
      </c>
      <c r="BL1" s="183" t="s">
        <v>908</v>
      </c>
      <c r="BM1" s="182" t="s">
        <v>907</v>
      </c>
      <c r="BN1" s="182" t="s">
        <v>906</v>
      </c>
      <c r="BO1" s="182" t="s">
        <v>905</v>
      </c>
      <c r="BP1" s="182" t="s">
        <v>904</v>
      </c>
      <c r="BQ1" s="180" t="s">
        <v>903</v>
      </c>
      <c r="BR1" s="180" t="s">
        <v>902</v>
      </c>
      <c r="BS1" s="181" t="s">
        <v>901</v>
      </c>
      <c r="BT1" s="180" t="s">
        <v>900</v>
      </c>
      <c r="BU1" s="180" t="s">
        <v>899</v>
      </c>
      <c r="BV1" s="179" t="s">
        <v>898</v>
      </c>
      <c r="BW1" s="179" t="s">
        <v>897</v>
      </c>
      <c r="BX1" s="179" t="s">
        <v>896</v>
      </c>
      <c r="BY1" s="179" t="s">
        <v>895</v>
      </c>
      <c r="BZ1" s="179" t="s">
        <v>894</v>
      </c>
      <c r="CA1" s="179" t="s">
        <v>893</v>
      </c>
      <c r="CB1" s="179" t="s">
        <v>892</v>
      </c>
      <c r="CC1" s="179" t="s">
        <v>891</v>
      </c>
      <c r="CD1" s="179" t="s">
        <v>890</v>
      </c>
      <c r="CE1" s="179" t="s">
        <v>889</v>
      </c>
      <c r="CF1" s="179" t="s">
        <v>888</v>
      </c>
      <c r="CG1" s="179" t="s">
        <v>887</v>
      </c>
      <c r="CH1" s="179" t="s">
        <v>886</v>
      </c>
      <c r="CI1" s="179" t="s">
        <v>885</v>
      </c>
      <c r="CJ1" s="179" t="s">
        <v>884</v>
      </c>
      <c r="CK1" s="179" t="s">
        <v>883</v>
      </c>
      <c r="CL1" s="179" t="s">
        <v>882</v>
      </c>
      <c r="CM1" s="179" t="s">
        <v>881</v>
      </c>
      <c r="CN1" s="179" t="s">
        <v>880</v>
      </c>
      <c r="CO1" s="179" t="s">
        <v>879</v>
      </c>
      <c r="CP1" s="179" t="s">
        <v>878</v>
      </c>
      <c r="CQ1" s="179" t="s">
        <v>877</v>
      </c>
      <c r="CR1" s="179" t="s">
        <v>876</v>
      </c>
      <c r="CS1" s="179" t="s">
        <v>875</v>
      </c>
      <c r="CT1" s="179" t="s">
        <v>874</v>
      </c>
      <c r="CU1" s="179" t="s">
        <v>873</v>
      </c>
      <c r="CV1" s="179" t="s">
        <v>872</v>
      </c>
    </row>
    <row r="2" spans="1:100">
      <c r="A2" s="44" t="s">
        <v>1</v>
      </c>
      <c r="B2" s="44"/>
      <c r="C2" s="44" t="s">
        <v>1</v>
      </c>
      <c r="D2" s="44"/>
      <c r="E2" s="44" t="s">
        <v>1</v>
      </c>
      <c r="F2" s="44"/>
      <c r="G2" s="44" t="s">
        <v>1</v>
      </c>
      <c r="H2" s="44"/>
      <c r="I2" s="45" t="s">
        <v>1</v>
      </c>
      <c r="J2" s="46"/>
      <c r="K2" s="45" t="s">
        <v>1</v>
      </c>
      <c r="L2" s="33"/>
      <c r="M2" s="45" t="s">
        <v>1</v>
      </c>
      <c r="N2" s="33"/>
      <c r="O2" s="44" t="s">
        <v>1</v>
      </c>
      <c r="P2" s="44"/>
      <c r="Q2" s="44" t="s">
        <v>0</v>
      </c>
      <c r="R2" s="44"/>
      <c r="S2" s="44" t="s">
        <v>1</v>
      </c>
      <c r="T2" s="44"/>
      <c r="U2" s="44" t="s">
        <v>1</v>
      </c>
      <c r="V2" s="44"/>
      <c r="W2" s="44" t="s">
        <v>1</v>
      </c>
      <c r="X2" s="44"/>
      <c r="Y2" s="44" t="s">
        <v>1</v>
      </c>
      <c r="Z2" s="44"/>
      <c r="AA2" s="44" t="s">
        <v>1</v>
      </c>
      <c r="AB2" s="44"/>
      <c r="AC2" s="51">
        <v>45963</v>
      </c>
      <c r="AD2" s="50">
        <v>45963</v>
      </c>
      <c r="AE2" s="40" t="s">
        <v>1</v>
      </c>
      <c r="AF2" s="40" t="s">
        <v>1</v>
      </c>
      <c r="AG2" s="40" t="s">
        <v>1</v>
      </c>
      <c r="AH2" s="36" t="s">
        <v>1</v>
      </c>
      <c r="AI2" s="49">
        <v>0</v>
      </c>
      <c r="AJ2" s="36" t="s">
        <v>1</v>
      </c>
      <c r="AK2" s="9" t="s">
        <v>1</v>
      </c>
      <c r="AL2" s="36" t="s">
        <v>1</v>
      </c>
      <c r="AM2" s="36" t="s">
        <v>1</v>
      </c>
      <c r="AN2" s="35" t="s">
        <v>1</v>
      </c>
      <c r="AO2" s="35" t="s">
        <v>1</v>
      </c>
      <c r="AP2" s="35" t="s">
        <v>1</v>
      </c>
      <c r="AQ2" s="35" t="s">
        <v>1</v>
      </c>
      <c r="AR2" s="82" t="s">
        <v>1</v>
      </c>
      <c r="AS2" s="63"/>
      <c r="AT2" s="32" t="s">
        <v>1</v>
      </c>
      <c r="AU2" s="31"/>
      <c r="AV2" s="32" t="s">
        <v>1</v>
      </c>
      <c r="AW2" s="31"/>
      <c r="AX2" s="32" t="s">
        <v>1</v>
      </c>
      <c r="AY2" s="31"/>
      <c r="AZ2" s="32" t="s">
        <v>1</v>
      </c>
      <c r="BA2" s="31"/>
      <c r="BB2" s="74" t="s">
        <v>15</v>
      </c>
      <c r="BC2" s="25" t="s">
        <v>14</v>
      </c>
      <c r="BD2" s="24"/>
      <c r="BE2" s="24"/>
      <c r="BF2" s="24"/>
      <c r="BG2" s="24"/>
      <c r="BH2" s="130"/>
      <c r="BI2" s="24"/>
      <c r="BJ2" s="24" t="s">
        <v>11</v>
      </c>
      <c r="BK2" s="24" t="s">
        <v>11</v>
      </c>
      <c r="BL2" s="24" t="s">
        <v>11</v>
      </c>
      <c r="BM2" s="24" t="s">
        <v>11</v>
      </c>
      <c r="BN2" s="24" t="s">
        <v>11</v>
      </c>
      <c r="BO2" s="24" t="s">
        <v>11</v>
      </c>
      <c r="BP2" s="24" t="s">
        <v>11</v>
      </c>
      <c r="BQ2" s="22">
        <f>YEAR([1]!BANCO10[[#This Row],[DATA INÍCIO]])</f>
        <v>2025</v>
      </c>
      <c r="BR2" s="22">
        <f>MONTH([1]!BANCO10[[#This Row],[DATA INÍCIO]])</f>
        <v>11</v>
      </c>
      <c r="BS2" s="129" t="e">
        <f>CONCATENATE(#REF!,#REF!)</f>
        <v>#REF!</v>
      </c>
      <c r="BT2" s="22"/>
      <c r="BU2" s="21" t="s">
        <v>871</v>
      </c>
      <c r="BV2" s="21" t="str">
        <f>IF([1]!BANCO10[[#This Row],[SOLUÇÃO]]=BV$1,[1]!BANCO10[[#This Row],[STATUS DA ETAPA]],"")</f>
        <v>CANCELADO</v>
      </c>
      <c r="BW2" s="21" t="str">
        <f>IF([1]!BANCO10[[#This Row],[SOLUÇÃO]]=BW$1,[1]!BANCO10[[#This Row],[STATUS DA ETAPA]],"")</f>
        <v/>
      </c>
      <c r="BX2" s="21" t="str">
        <f>IF([1]!BANCO10[[#This Row],[SOLUÇÃO]]=BX$1,[1]!BANCO10[[#This Row],[STATUS DA ETAPA]],"")</f>
        <v/>
      </c>
      <c r="BY2" s="21" t="str">
        <f>IF([1]!BANCO10[[#This Row],[SOLUÇÃO]]=BY$1,[1]!BANCO10[[#This Row],[STATUS DA ETAPA]],"")</f>
        <v/>
      </c>
      <c r="BZ2" s="21" t="str">
        <f>IF([1]!BANCO10[[#This Row],[SOLUÇÃO]]=BZ$1,[1]!BANCO10[[#This Row],[STATUS DA ETAPA]],"")</f>
        <v/>
      </c>
      <c r="CA2" s="21" t="str">
        <f>IF([1]!BANCO10[[#This Row],[SOLUÇÃO]]=CA$1,[1]!BANCO10[[#This Row],[STATUS DA ETAPA]],"")</f>
        <v/>
      </c>
      <c r="CB2" s="21" t="str">
        <f>IF([1]!BANCO10[[#This Row],[SOLUÇÃO]]=CB$1,[1]!BANCO10[[#This Row],[STATUS DA ETAPA]],"")</f>
        <v/>
      </c>
      <c r="CC2" s="21" t="str">
        <f>IF([1]!BANCO10[[#This Row],[SOLUÇÃO]]=CC$1,[1]!BANCO10[[#This Row],[STATUS DA ETAPA]],"")</f>
        <v/>
      </c>
      <c r="CD2" s="21" t="str">
        <f>IF([1]!BANCO10[[#This Row],[SOLUÇÃO]]=CD$1,[1]!BANCO10[[#This Row],[STATUS DA ETAPA]],"")</f>
        <v/>
      </c>
      <c r="CE2" s="21" t="str">
        <f>IF([1]!BANCO10[[#This Row],[SOLUÇÃO]]=CE$1,[1]!BANCO10[[#This Row],[STATUS DA ETAPA]],"")</f>
        <v/>
      </c>
      <c r="CF2" s="21" t="str">
        <f>IF([1]!BANCO10[[#This Row],[SOLUÇÃO]]=CF$1,[1]!BANCO10[[#This Row],[STATUS DA ETAPA]],"")</f>
        <v/>
      </c>
      <c r="CG2" s="21" t="str">
        <f>IF([1]!BANCO10[[#This Row],[SOLUÇÃO]]=CG$1,[1]!BANCO10[[#This Row],[STATUS DA ETAPA]],"")</f>
        <v/>
      </c>
      <c r="CH2" s="21" t="str">
        <f>IF([1]!BANCO10[[#This Row],[SOLUÇÃO]]=CH$1,[1]!BANCO10[[#This Row],[STATUS DA ETAPA]],"")</f>
        <v/>
      </c>
      <c r="CI2" s="21" t="str">
        <f>IF([1]!BANCO10[[#This Row],[SOLUÇÃO]]=CI$1,[1]!BANCO10[[#This Row],[STATUS DA ETAPA]],"")</f>
        <v/>
      </c>
      <c r="CJ2" s="21" t="str">
        <f>IF([1]!BANCO10[[#This Row],[SOLUÇÃO]]=CJ$1,[1]!BANCO10[[#This Row],[STATUS DA ETAPA]],"")</f>
        <v/>
      </c>
      <c r="CK2" s="21" t="str">
        <f>IF([1]!BANCO10[[#This Row],[SOLUÇÃO]]=CK$1,[1]!BANCO10[[#This Row],[STATUS DA ETAPA]],"")</f>
        <v/>
      </c>
      <c r="CL2" s="21" t="str">
        <f>IF([1]!BANCO10[[#This Row],[SOLUÇÃO]]=CL$1,[1]!BANCO10[[#This Row],[STATUS DA ETAPA]],"")</f>
        <v/>
      </c>
      <c r="CM2" s="21" t="str">
        <f>IF([1]!BANCO10[[#This Row],[SOLUÇÃO]]=CM$1,[1]!BANCO10[[#This Row],[STATUS DA ETAPA]],"")</f>
        <v/>
      </c>
      <c r="CN2" s="21" t="str">
        <f>IF([1]!BANCO10[[#This Row],[SOLUÇÃO]]=CN$1,[1]!BANCO10[[#This Row],[STATUS DA ETAPA]],"")</f>
        <v/>
      </c>
      <c r="CO2" s="21" t="str">
        <f>IF([1]!BANCO10[[#This Row],[SOLUÇÃO]]=CO$1,[1]!BANCO10[[#This Row],[STATUS DA ETAPA]],"")</f>
        <v/>
      </c>
      <c r="CP2" s="21" t="str">
        <f>IF([1]!BANCO10[[#This Row],[SOLUÇÃO]]=CP$1,[1]!BANCO10[[#This Row],[STATUS DA ETAPA]],"")</f>
        <v/>
      </c>
      <c r="CQ2" s="21" t="str">
        <f>IF([1]!BANCO10[[#This Row],[SOLUÇÃO]]=CQ$1,[1]!BANCO10[[#This Row],[STATUS DA ETAPA]],"")</f>
        <v/>
      </c>
      <c r="CR2" s="21" t="str">
        <f>IF([1]!BANCO10[[#This Row],[SOLUÇÃO]]=CR$1,[1]!BANCO10[[#This Row],[STATUS DA ETAPA]],"")</f>
        <v/>
      </c>
      <c r="CS2" s="21" t="str">
        <f>IF([1]!BANCO10[[#This Row],[SOLUÇÃO]]=CS$1,[1]!BANCO10[[#This Row],[STATUS DA ETAPA]],"")</f>
        <v/>
      </c>
      <c r="CT2" s="21" t="str">
        <f>IF([1]!BANCO10[[#This Row],[SOLUÇÃO]]=CT$1,[1]!BANCO10[[#This Row],[STATUS DA ETAPA]],"")</f>
        <v/>
      </c>
      <c r="CU2" s="21" t="str">
        <f>IF([1]!BANCO10[[#This Row],[SOLUÇÃO]]=CU$1,[1]!BANCO10[[#This Row],[STATUS DA ETAPA]],"")</f>
        <v/>
      </c>
      <c r="CV2" s="21" t="str">
        <f>IF([1]!BANCO10[[#This Row],[SOLUÇÃO]]=CV$1,[1]!BANCO10[[#This Row],[STATUS DA ETAPA]],"")</f>
        <v/>
      </c>
    </row>
    <row r="3" spans="1:100">
      <c r="A3" s="44" t="s">
        <v>2</v>
      </c>
      <c r="B3" s="44">
        <v>45874</v>
      </c>
      <c r="C3" s="44" t="s">
        <v>2</v>
      </c>
      <c r="D3" s="44">
        <v>45890</v>
      </c>
      <c r="E3" s="44" t="s">
        <v>2</v>
      </c>
      <c r="F3" s="44">
        <v>45890</v>
      </c>
      <c r="G3" s="44" t="s">
        <v>2</v>
      </c>
      <c r="H3" s="44">
        <v>45890</v>
      </c>
      <c r="I3" s="45" t="s">
        <v>2</v>
      </c>
      <c r="J3" s="46">
        <v>45875</v>
      </c>
      <c r="K3" s="45" t="s">
        <v>2</v>
      </c>
      <c r="L3" s="33">
        <v>45875</v>
      </c>
      <c r="M3" s="45" t="s">
        <v>2</v>
      </c>
      <c r="N3" s="33">
        <v>45875</v>
      </c>
      <c r="O3" s="44" t="s">
        <v>1</v>
      </c>
      <c r="P3" s="44"/>
      <c r="Q3" s="44" t="s">
        <v>2</v>
      </c>
      <c r="R3" s="44">
        <v>45755</v>
      </c>
      <c r="S3" s="44" t="s">
        <v>0</v>
      </c>
      <c r="T3" s="44"/>
      <c r="U3" s="44" t="s">
        <v>1</v>
      </c>
      <c r="V3" s="44"/>
      <c r="W3" s="44" t="s">
        <v>1</v>
      </c>
      <c r="X3" s="44"/>
      <c r="Y3" s="44" t="s">
        <v>1</v>
      </c>
      <c r="Z3" s="44"/>
      <c r="AA3" s="44" t="s">
        <v>1</v>
      </c>
      <c r="AB3" s="44"/>
      <c r="AC3" s="51">
        <v>46022</v>
      </c>
      <c r="AD3" s="50">
        <v>46022</v>
      </c>
      <c r="AE3" s="41" t="s">
        <v>0</v>
      </c>
      <c r="AF3" s="41" t="s">
        <v>0</v>
      </c>
      <c r="AG3" s="40" t="s">
        <v>5</v>
      </c>
      <c r="AH3" s="36" t="s">
        <v>0</v>
      </c>
      <c r="AI3" s="49">
        <v>22040</v>
      </c>
      <c r="AJ3" s="36" t="s">
        <v>3</v>
      </c>
      <c r="AK3" s="9">
        <v>705314</v>
      </c>
      <c r="AL3" s="36" t="s">
        <v>1</v>
      </c>
      <c r="AM3" s="36" t="s">
        <v>1</v>
      </c>
      <c r="AN3" s="52" t="s">
        <v>0</v>
      </c>
      <c r="AO3" s="52" t="s">
        <v>0</v>
      </c>
      <c r="AP3" s="52" t="s">
        <v>0</v>
      </c>
      <c r="AQ3" s="52" t="s">
        <v>0</v>
      </c>
      <c r="AR3" s="34" t="s">
        <v>0</v>
      </c>
      <c r="AS3" s="33"/>
      <c r="AT3" s="32" t="s">
        <v>0</v>
      </c>
      <c r="AU3" s="31"/>
      <c r="AV3" s="32" t="s">
        <v>0</v>
      </c>
      <c r="AW3" s="31"/>
      <c r="AX3" s="32" t="s">
        <v>0</v>
      </c>
      <c r="AY3" s="31"/>
      <c r="AZ3" s="32" t="s">
        <v>0</v>
      </c>
      <c r="BA3" s="31"/>
      <c r="BB3" s="26" t="s">
        <v>491</v>
      </c>
      <c r="BC3" s="39"/>
      <c r="BD3" s="24"/>
      <c r="BE3" s="24"/>
      <c r="BF3" s="24"/>
      <c r="BG3" s="24"/>
      <c r="BH3" s="24"/>
      <c r="BI3" s="24"/>
      <c r="BJ3" s="24"/>
      <c r="BK3" s="24"/>
      <c r="BL3" s="24"/>
      <c r="BM3" s="24"/>
      <c r="BN3" s="24"/>
      <c r="BO3" s="24"/>
      <c r="BP3" s="24"/>
      <c r="BQ3" s="22">
        <f>YEAR([1]!BANCO10[[#This Row],[DATA INÍCIO]])</f>
        <v>2025</v>
      </c>
      <c r="BR3" s="22">
        <f>MONTH([1]!BANCO10[[#This Row],[DATA INÍCIO]])</f>
        <v>12</v>
      </c>
      <c r="BS3" s="23" t="e">
        <f>CONCATENATE(#REF!,#REF!)</f>
        <v>#REF!</v>
      </c>
      <c r="BT3" s="22"/>
      <c r="BU3" s="22"/>
      <c r="BV3" s="21" t="str">
        <f>IF([1]!BANCO10[[#This Row],[SOLUÇÃO]]=BV$1,[1]!BANCO10[[#This Row],[STATUS DA ETAPA]],"")</f>
        <v/>
      </c>
      <c r="BW3" s="21" t="str">
        <f>IF([1]!BANCO10[[#This Row],[SOLUÇÃO]]=BW$1,[1]!BANCO10[[#This Row],[STATUS DA ETAPA]],"")</f>
        <v/>
      </c>
      <c r="BX3" s="21" t="str">
        <f>IF([1]!BANCO10[[#This Row],[SOLUÇÃO]]=BX$1,[1]!BANCO10[[#This Row],[STATUS DA ETAPA]],"")</f>
        <v/>
      </c>
      <c r="BY3" s="21" t="str">
        <f>IF([1]!BANCO10[[#This Row],[SOLUÇÃO]]=BY$1,[1]!BANCO10[[#This Row],[STATUS DA ETAPA]],"")</f>
        <v/>
      </c>
      <c r="BZ3" s="21" t="str">
        <f>IF([1]!BANCO10[[#This Row],[SOLUÇÃO]]=BZ$1,[1]!BANCO10[[#This Row],[STATUS DA ETAPA]],"")</f>
        <v/>
      </c>
      <c r="CA3" s="21" t="str">
        <f>IF([1]!BANCO10[[#This Row],[SOLUÇÃO]]=CA$1,[1]!BANCO10[[#This Row],[STATUS DA ETAPA]],"")</f>
        <v/>
      </c>
      <c r="CB3" s="21" t="str">
        <f>IF([1]!BANCO10[[#This Row],[SOLUÇÃO]]=CB$1,[1]!BANCO10[[#This Row],[STATUS DA ETAPA]],"")</f>
        <v>AGUARDANDO SALDO</v>
      </c>
      <c r="CC3" s="21" t="str">
        <f>IF([1]!BANCO10[[#This Row],[SOLUÇÃO]]=CC$1,[1]!BANCO10[[#This Row],[STATUS DA ETAPA]],"")</f>
        <v/>
      </c>
      <c r="CD3" s="21" t="str">
        <f>IF([1]!BANCO10[[#This Row],[SOLUÇÃO]]=CD$1,[1]!BANCO10[[#This Row],[STATUS DA ETAPA]],"")</f>
        <v/>
      </c>
      <c r="CE3" s="21" t="str">
        <f>IF([1]!BANCO10[[#This Row],[SOLUÇÃO]]=CE$1,[1]!BANCO10[[#This Row],[STATUS DA ETAPA]],"")</f>
        <v/>
      </c>
      <c r="CF3" s="21" t="str">
        <f>IF([1]!BANCO10[[#This Row],[SOLUÇÃO]]=CF$1,[1]!BANCO10[[#This Row],[STATUS DA ETAPA]],"")</f>
        <v/>
      </c>
      <c r="CG3" s="21" t="str">
        <f>IF([1]!BANCO10[[#This Row],[SOLUÇÃO]]=CG$1,[1]!BANCO10[[#This Row],[STATUS DA ETAPA]],"")</f>
        <v/>
      </c>
      <c r="CH3" s="21" t="str">
        <f>IF([1]!BANCO10[[#This Row],[SOLUÇÃO]]=CH$1,[1]!BANCO10[[#This Row],[STATUS DA ETAPA]],"")</f>
        <v/>
      </c>
      <c r="CI3" s="21" t="str">
        <f>IF([1]!BANCO10[[#This Row],[SOLUÇÃO]]=CI$1,[1]!BANCO10[[#This Row],[STATUS DA ETAPA]],"")</f>
        <v/>
      </c>
      <c r="CJ3" s="21" t="str">
        <f>IF([1]!BANCO10[[#This Row],[SOLUÇÃO]]=CJ$1,[1]!BANCO10[[#This Row],[STATUS DA ETAPA]],"")</f>
        <v/>
      </c>
      <c r="CK3" s="21" t="str">
        <f>IF([1]!BANCO10[[#This Row],[SOLUÇÃO]]=CK$1,[1]!BANCO10[[#This Row],[STATUS DA ETAPA]],"")</f>
        <v/>
      </c>
      <c r="CL3" s="21" t="str">
        <f>IF([1]!BANCO10[[#This Row],[SOLUÇÃO]]=CL$1,[1]!BANCO10[[#This Row],[STATUS DA ETAPA]],"")</f>
        <v/>
      </c>
      <c r="CM3" s="21" t="str">
        <f>IF([1]!BANCO10[[#This Row],[SOLUÇÃO]]=CM$1,[1]!BANCO10[[#This Row],[STATUS DA ETAPA]],"")</f>
        <v/>
      </c>
      <c r="CN3" s="21" t="str">
        <f>IF([1]!BANCO10[[#This Row],[SOLUÇÃO]]=CN$1,[1]!BANCO10[[#This Row],[STATUS DA ETAPA]],"")</f>
        <v/>
      </c>
      <c r="CO3" s="21" t="str">
        <f>IF([1]!BANCO10[[#This Row],[SOLUÇÃO]]=CO$1,[1]!BANCO10[[#This Row],[STATUS DA ETAPA]],"")</f>
        <v/>
      </c>
      <c r="CP3" s="21" t="str">
        <f>IF([1]!BANCO10[[#This Row],[SOLUÇÃO]]=CP$1,[1]!BANCO10[[#This Row],[STATUS DA ETAPA]],"")</f>
        <v/>
      </c>
      <c r="CQ3" s="21" t="str">
        <f>IF([1]!BANCO10[[#This Row],[SOLUÇÃO]]=CQ$1,[1]!BANCO10[[#This Row],[STATUS DA ETAPA]],"")</f>
        <v/>
      </c>
      <c r="CR3" s="21" t="str">
        <f>IF([1]!BANCO10[[#This Row],[SOLUÇÃO]]=CR$1,[1]!BANCO10[[#This Row],[STATUS DA ETAPA]],"")</f>
        <v/>
      </c>
      <c r="CS3" s="21" t="str">
        <f>IF([1]!BANCO10[[#This Row],[SOLUÇÃO]]=CS$1,[1]!BANCO10[[#This Row],[STATUS DA ETAPA]],"")</f>
        <v/>
      </c>
      <c r="CT3" s="21" t="str">
        <f>IF([1]!BANCO10[[#This Row],[SOLUÇÃO]]=CT$1,[1]!BANCO10[[#This Row],[STATUS DA ETAPA]],"")</f>
        <v/>
      </c>
      <c r="CU3" s="21" t="str">
        <f>IF([1]!BANCO10[[#This Row],[SOLUÇÃO]]=CU$1,[1]!BANCO10[[#This Row],[STATUS DA ETAPA]],"")</f>
        <v/>
      </c>
      <c r="CV3" s="21" t="str">
        <f>IF([1]!BANCO10[[#This Row],[SOLUÇÃO]]=CV$1,[1]!BANCO10[[#This Row],[STATUS DA ETAPA]],"")</f>
        <v/>
      </c>
    </row>
    <row r="4" spans="1:100">
      <c r="A4" s="44" t="s">
        <v>1</v>
      </c>
      <c r="B4" s="44"/>
      <c r="C4" s="44" t="s">
        <v>1</v>
      </c>
      <c r="D4" s="44"/>
      <c r="E4" s="44" t="s">
        <v>1</v>
      </c>
      <c r="F4" s="44"/>
      <c r="G4" s="44" t="s">
        <v>1</v>
      </c>
      <c r="H4" s="44"/>
      <c r="I4" s="45" t="s">
        <v>1</v>
      </c>
      <c r="J4" s="46"/>
      <c r="K4" s="45" t="s">
        <v>1</v>
      </c>
      <c r="L4" s="33"/>
      <c r="M4" s="45" t="s">
        <v>1</v>
      </c>
      <c r="N4" s="33"/>
      <c r="O4" s="44" t="s">
        <v>1</v>
      </c>
      <c r="P4" s="44"/>
      <c r="Q4" s="44" t="s">
        <v>1</v>
      </c>
      <c r="R4" s="44"/>
      <c r="S4" s="44" t="s">
        <v>1</v>
      </c>
      <c r="T4" s="44"/>
      <c r="U4" s="44" t="s">
        <v>1</v>
      </c>
      <c r="V4" s="44"/>
      <c r="W4" s="44" t="s">
        <v>1</v>
      </c>
      <c r="X4" s="44"/>
      <c r="Y4" s="44" t="s">
        <v>1</v>
      </c>
      <c r="Z4" s="44"/>
      <c r="AA4" s="44" t="s">
        <v>1</v>
      </c>
      <c r="AB4" s="44"/>
      <c r="AC4" s="51">
        <v>45822</v>
      </c>
      <c r="AD4" s="50">
        <v>45955</v>
      </c>
      <c r="AE4" s="41" t="s">
        <v>1</v>
      </c>
      <c r="AF4" s="41" t="s">
        <v>1</v>
      </c>
      <c r="AG4" s="40" t="s">
        <v>5</v>
      </c>
      <c r="AH4" s="36" t="s">
        <v>1</v>
      </c>
      <c r="AI4" s="49">
        <v>0</v>
      </c>
      <c r="AJ4" s="36" t="s">
        <v>1</v>
      </c>
      <c r="AK4" s="9" t="s">
        <v>1</v>
      </c>
      <c r="AL4" s="36" t="s">
        <v>1</v>
      </c>
      <c r="AM4" s="36" t="s">
        <v>1</v>
      </c>
      <c r="AN4" s="35" t="s">
        <v>1</v>
      </c>
      <c r="AO4" s="35" t="s">
        <v>1</v>
      </c>
      <c r="AP4" s="35" t="s">
        <v>1</v>
      </c>
      <c r="AQ4" s="35" t="s">
        <v>1</v>
      </c>
      <c r="AR4" s="34" t="s">
        <v>1</v>
      </c>
      <c r="AS4" s="63"/>
      <c r="AT4" s="32" t="s">
        <v>1</v>
      </c>
      <c r="AU4" s="31"/>
      <c r="AV4" s="32" t="s">
        <v>1</v>
      </c>
      <c r="AW4" s="31"/>
      <c r="AX4" s="32" t="s">
        <v>1</v>
      </c>
      <c r="AY4" s="31"/>
      <c r="AZ4" s="32" t="s">
        <v>1</v>
      </c>
      <c r="BA4" s="31"/>
      <c r="BB4" s="26" t="s">
        <v>680</v>
      </c>
      <c r="BC4" s="39" t="s">
        <v>84</v>
      </c>
      <c r="BD4" s="24"/>
      <c r="BE4" s="24"/>
      <c r="BF4" s="24"/>
      <c r="BG4" s="24"/>
      <c r="BH4" s="24"/>
      <c r="BI4" s="24"/>
      <c r="BJ4" s="24"/>
      <c r="BK4" s="24"/>
      <c r="BL4" s="24"/>
      <c r="BM4" s="24"/>
      <c r="BN4" s="24"/>
      <c r="BO4" s="24"/>
      <c r="BP4" s="24"/>
      <c r="BQ4" s="22">
        <f>YEAR([1]!BANCO10[[#This Row],[DATA INÍCIO]])</f>
        <v>2025</v>
      </c>
      <c r="BR4" s="22">
        <f>MONTH([1]!BANCO10[[#This Row],[DATA INÍCIO]])</f>
        <v>6</v>
      </c>
      <c r="BS4" s="23" t="e">
        <f>CONCATENATE(#REF!,#REF!)</f>
        <v>#REF!</v>
      </c>
      <c r="BT4" s="22"/>
      <c r="BU4" s="22"/>
      <c r="BV4" s="21" t="str">
        <f>IF([1]!BANCO10[[#This Row],[SOLUÇÃO]]=BV$1,[1]!BANCO10[[#This Row],[STATUS DA ETAPA]],"")</f>
        <v/>
      </c>
      <c r="BW4" s="21" t="str">
        <f>IF([1]!BANCO10[[#This Row],[SOLUÇÃO]]=BW$1,[1]!BANCO10[[#This Row],[STATUS DA ETAPA]],"")</f>
        <v/>
      </c>
      <c r="BX4" s="21" t="str">
        <f>IF([1]!BANCO10[[#This Row],[SOLUÇÃO]]=BX$1,[1]!BANCO10[[#This Row],[STATUS DA ETAPA]],"")</f>
        <v/>
      </c>
      <c r="BY4" s="21" t="str">
        <f>IF([1]!BANCO10[[#This Row],[SOLUÇÃO]]=BY$1,[1]!BANCO10[[#This Row],[STATUS DA ETAPA]],"")</f>
        <v/>
      </c>
      <c r="BZ4" s="21" t="str">
        <f>IF([1]!BANCO10[[#This Row],[SOLUÇÃO]]=BZ$1,[1]!BANCO10[[#This Row],[STATUS DA ETAPA]],"")</f>
        <v/>
      </c>
      <c r="CA4" s="21" t="str">
        <f>IF([1]!BANCO10[[#This Row],[SOLUÇÃO]]=CA$1,[1]!BANCO10[[#This Row],[STATUS DA ETAPA]],"")</f>
        <v/>
      </c>
      <c r="CB4" s="21" t="str">
        <f>IF([1]!BANCO10[[#This Row],[SOLUÇÃO]]=CB$1,[1]!BANCO10[[#This Row],[STATUS DA ETAPA]],"")</f>
        <v>CANCELADO</v>
      </c>
      <c r="CC4" s="21" t="str">
        <f>IF([1]!BANCO10[[#This Row],[SOLUÇÃO]]=CC$1,[1]!BANCO10[[#This Row],[STATUS DA ETAPA]],"")</f>
        <v/>
      </c>
      <c r="CD4" s="21" t="str">
        <f>IF([1]!BANCO10[[#This Row],[SOLUÇÃO]]=CD$1,[1]!BANCO10[[#This Row],[STATUS DA ETAPA]],"")</f>
        <v/>
      </c>
      <c r="CE4" s="21" t="str">
        <f>IF([1]!BANCO10[[#This Row],[SOLUÇÃO]]=CE$1,[1]!BANCO10[[#This Row],[STATUS DA ETAPA]],"")</f>
        <v/>
      </c>
      <c r="CF4" s="21" t="str">
        <f>IF([1]!BANCO10[[#This Row],[SOLUÇÃO]]=CF$1,[1]!BANCO10[[#This Row],[STATUS DA ETAPA]],"")</f>
        <v/>
      </c>
      <c r="CG4" s="21" t="str">
        <f>IF([1]!BANCO10[[#This Row],[SOLUÇÃO]]=CG$1,[1]!BANCO10[[#This Row],[STATUS DA ETAPA]],"")</f>
        <v/>
      </c>
      <c r="CH4" s="21" t="str">
        <f>IF([1]!BANCO10[[#This Row],[SOLUÇÃO]]=CH$1,[1]!BANCO10[[#This Row],[STATUS DA ETAPA]],"")</f>
        <v/>
      </c>
      <c r="CI4" s="21" t="str">
        <f>IF([1]!BANCO10[[#This Row],[SOLUÇÃO]]=CI$1,[1]!BANCO10[[#This Row],[STATUS DA ETAPA]],"")</f>
        <v/>
      </c>
      <c r="CJ4" s="21" t="str">
        <f>IF([1]!BANCO10[[#This Row],[SOLUÇÃO]]=CJ$1,[1]!BANCO10[[#This Row],[STATUS DA ETAPA]],"")</f>
        <v/>
      </c>
      <c r="CK4" s="21" t="str">
        <f>IF([1]!BANCO10[[#This Row],[SOLUÇÃO]]=CK$1,[1]!BANCO10[[#This Row],[STATUS DA ETAPA]],"")</f>
        <v/>
      </c>
      <c r="CL4" s="21" t="str">
        <f>IF([1]!BANCO10[[#This Row],[SOLUÇÃO]]=CL$1,[1]!BANCO10[[#This Row],[STATUS DA ETAPA]],"")</f>
        <v/>
      </c>
      <c r="CM4" s="21" t="str">
        <f>IF([1]!BANCO10[[#This Row],[SOLUÇÃO]]=CM$1,[1]!BANCO10[[#This Row],[STATUS DA ETAPA]],"")</f>
        <v/>
      </c>
      <c r="CN4" s="21" t="str">
        <f>IF([1]!BANCO10[[#This Row],[SOLUÇÃO]]=CN$1,[1]!BANCO10[[#This Row],[STATUS DA ETAPA]],"")</f>
        <v/>
      </c>
      <c r="CO4" s="21" t="str">
        <f>IF([1]!BANCO10[[#This Row],[SOLUÇÃO]]=CO$1,[1]!BANCO10[[#This Row],[STATUS DA ETAPA]],"")</f>
        <v/>
      </c>
      <c r="CP4" s="21" t="str">
        <f>IF([1]!BANCO10[[#This Row],[SOLUÇÃO]]=CP$1,[1]!BANCO10[[#This Row],[STATUS DA ETAPA]],"")</f>
        <v/>
      </c>
      <c r="CQ4" s="21" t="str">
        <f>IF([1]!BANCO10[[#This Row],[SOLUÇÃO]]=CQ$1,[1]!BANCO10[[#This Row],[STATUS DA ETAPA]],"")</f>
        <v/>
      </c>
      <c r="CR4" s="21" t="str">
        <f>IF([1]!BANCO10[[#This Row],[SOLUÇÃO]]=CR$1,[1]!BANCO10[[#This Row],[STATUS DA ETAPA]],"")</f>
        <v/>
      </c>
      <c r="CS4" s="21" t="str">
        <f>IF([1]!BANCO10[[#This Row],[SOLUÇÃO]]=CS$1,[1]!BANCO10[[#This Row],[STATUS DA ETAPA]],"")</f>
        <v/>
      </c>
      <c r="CT4" s="21" t="str">
        <f>IF([1]!BANCO10[[#This Row],[SOLUÇÃO]]=CT$1,[1]!BANCO10[[#This Row],[STATUS DA ETAPA]],"")</f>
        <v/>
      </c>
      <c r="CU4" s="21" t="str">
        <f>IF([1]!BANCO10[[#This Row],[SOLUÇÃO]]=CU$1,[1]!BANCO10[[#This Row],[STATUS DA ETAPA]],"")</f>
        <v/>
      </c>
      <c r="CV4" s="21" t="str">
        <f>IF([1]!BANCO10[[#This Row],[SOLUÇÃO]]=CV$1,[1]!BANCO10[[#This Row],[STATUS DA ETAPA]],"")</f>
        <v/>
      </c>
    </row>
    <row r="5" spans="1:100">
      <c r="A5" s="44" t="s">
        <v>1</v>
      </c>
      <c r="B5" s="44"/>
      <c r="C5" s="44" t="s">
        <v>1</v>
      </c>
      <c r="D5" s="44"/>
      <c r="E5" s="44" t="s">
        <v>1</v>
      </c>
      <c r="F5" s="44"/>
      <c r="G5" s="44" t="s">
        <v>1</v>
      </c>
      <c r="H5" s="44"/>
      <c r="I5" s="45" t="s">
        <v>1</v>
      </c>
      <c r="J5" s="46"/>
      <c r="K5" s="45" t="s">
        <v>1</v>
      </c>
      <c r="L5" s="33"/>
      <c r="M5" s="45" t="s">
        <v>1</v>
      </c>
      <c r="N5" s="33"/>
      <c r="O5" s="44" t="s">
        <v>2</v>
      </c>
      <c r="P5" s="44">
        <v>45000</v>
      </c>
      <c r="Q5" s="44" t="s">
        <v>0</v>
      </c>
      <c r="R5" s="44"/>
      <c r="S5" s="44" t="s">
        <v>1</v>
      </c>
      <c r="T5" s="44"/>
      <c r="U5" s="44" t="s">
        <v>1</v>
      </c>
      <c r="V5" s="44"/>
      <c r="W5" s="44" t="s">
        <v>1</v>
      </c>
      <c r="X5" s="44"/>
      <c r="Y5" s="44" t="s">
        <v>1</v>
      </c>
      <c r="Z5" s="44"/>
      <c r="AA5" s="44" t="s">
        <v>1</v>
      </c>
      <c r="AB5" s="44"/>
      <c r="AC5" s="51">
        <v>44986</v>
      </c>
      <c r="AD5" s="50">
        <v>44986</v>
      </c>
      <c r="AE5" s="40" t="s">
        <v>1</v>
      </c>
      <c r="AF5" s="40" t="s">
        <v>1</v>
      </c>
      <c r="AG5" s="76" t="s">
        <v>5</v>
      </c>
      <c r="AH5" s="36" t="s">
        <v>1</v>
      </c>
      <c r="AI5" s="49">
        <v>0</v>
      </c>
      <c r="AJ5" s="36" t="s">
        <v>1</v>
      </c>
      <c r="AK5" s="9" t="s">
        <v>1</v>
      </c>
      <c r="AL5" s="36" t="s">
        <v>1</v>
      </c>
      <c r="AM5" s="36" t="s">
        <v>1</v>
      </c>
      <c r="AN5" s="35" t="s">
        <v>1</v>
      </c>
      <c r="AO5" s="35" t="s">
        <v>1</v>
      </c>
      <c r="AP5" s="35" t="s">
        <v>1</v>
      </c>
      <c r="AQ5" s="35" t="s">
        <v>1</v>
      </c>
      <c r="AR5" s="82" t="s">
        <v>1</v>
      </c>
      <c r="AS5" s="33"/>
      <c r="AT5" s="30"/>
      <c r="AU5" s="55"/>
      <c r="AV5" s="30"/>
      <c r="AW5" s="55"/>
      <c r="AX5" s="30" t="s">
        <v>1</v>
      </c>
      <c r="AY5" s="55"/>
      <c r="AZ5" s="30" t="s">
        <v>1</v>
      </c>
      <c r="BA5" s="55"/>
      <c r="BB5" s="74"/>
      <c r="BC5" s="25"/>
      <c r="BD5" s="24" t="s">
        <v>11</v>
      </c>
      <c r="BE5" s="24" t="s">
        <v>11</v>
      </c>
      <c r="BF5" s="24" t="s">
        <v>80</v>
      </c>
      <c r="BG5" s="24" t="s">
        <v>21</v>
      </c>
      <c r="BH5" s="130" t="s">
        <v>868</v>
      </c>
      <c r="BI5" s="24"/>
      <c r="BJ5" s="24" t="s">
        <v>11</v>
      </c>
      <c r="BK5" s="24" t="s">
        <v>11</v>
      </c>
      <c r="BL5" s="24" t="s">
        <v>11</v>
      </c>
      <c r="BM5" s="24" t="s">
        <v>11</v>
      </c>
      <c r="BN5" s="24" t="s">
        <v>11</v>
      </c>
      <c r="BO5" s="24" t="s">
        <v>11</v>
      </c>
      <c r="BP5" s="24" t="s">
        <v>11</v>
      </c>
      <c r="BQ5" s="22">
        <f>YEAR([1]!BANCO10[[#This Row],[DATA INÍCIO]])</f>
        <v>2023</v>
      </c>
      <c r="BR5" s="22">
        <f>MONTH([1]!BANCO10[[#This Row],[DATA INÍCIO]])</f>
        <v>3</v>
      </c>
      <c r="BS5" s="129" t="e">
        <f>CONCATENATE(#REF!,#REF!)</f>
        <v>#REF!</v>
      </c>
      <c r="BT5" s="22"/>
      <c r="BU5" s="21" t="s">
        <v>870</v>
      </c>
      <c r="BV5" s="21" t="str">
        <f>IF([1]!BANCO10[[#This Row],[SOLUÇÃO]]=BV$1,[1]!BANCO10[[#This Row],[STATUS DA ETAPA]],"")</f>
        <v>CONCLUÍDO</v>
      </c>
      <c r="BW5" s="21" t="str">
        <f>IF([1]!BANCO10[[#This Row],[SOLUÇÃO]]=BW$1,[1]!BANCO10[[#This Row],[STATUS DA ETAPA]],"")</f>
        <v/>
      </c>
      <c r="BX5" s="21" t="str">
        <f>IF([1]!BANCO10[[#This Row],[SOLUÇÃO]]=BX$1,[1]!BANCO10[[#This Row],[STATUS DA ETAPA]],"")</f>
        <v/>
      </c>
      <c r="BY5" s="21" t="str">
        <f>IF([1]!BANCO10[[#This Row],[SOLUÇÃO]]=BY$1,[1]!BANCO10[[#This Row],[STATUS DA ETAPA]],"")</f>
        <v/>
      </c>
      <c r="BZ5" s="21" t="str">
        <f>IF([1]!BANCO10[[#This Row],[SOLUÇÃO]]=BZ$1,[1]!BANCO10[[#This Row],[STATUS DA ETAPA]],"")</f>
        <v/>
      </c>
      <c r="CA5" s="21" t="str">
        <f>IF([1]!BANCO10[[#This Row],[SOLUÇÃO]]=CA$1,[1]!BANCO10[[#This Row],[STATUS DA ETAPA]],"")</f>
        <v/>
      </c>
      <c r="CB5" s="21" t="str">
        <f>IF([1]!BANCO10[[#This Row],[SOLUÇÃO]]=CB$1,[1]!BANCO10[[#This Row],[STATUS DA ETAPA]],"")</f>
        <v/>
      </c>
      <c r="CC5" s="21" t="str">
        <f>IF([1]!BANCO10[[#This Row],[SOLUÇÃO]]=CC$1,[1]!BANCO10[[#This Row],[STATUS DA ETAPA]],"")</f>
        <v/>
      </c>
      <c r="CD5" s="21" t="str">
        <f>IF([1]!BANCO10[[#This Row],[SOLUÇÃO]]=CD$1,[1]!BANCO10[[#This Row],[STATUS DA ETAPA]],"")</f>
        <v/>
      </c>
      <c r="CE5" s="21" t="str">
        <f>IF([1]!BANCO10[[#This Row],[SOLUÇÃO]]=CE$1,[1]!BANCO10[[#This Row],[STATUS DA ETAPA]],"")</f>
        <v/>
      </c>
      <c r="CF5" s="21" t="str">
        <f>IF([1]!BANCO10[[#This Row],[SOLUÇÃO]]=CF$1,[1]!BANCO10[[#This Row],[STATUS DA ETAPA]],"")</f>
        <v/>
      </c>
      <c r="CG5" s="21" t="str">
        <f>IF([1]!BANCO10[[#This Row],[SOLUÇÃO]]=CG$1,[1]!BANCO10[[#This Row],[STATUS DA ETAPA]],"")</f>
        <v/>
      </c>
      <c r="CH5" s="21" t="str">
        <f>IF([1]!BANCO10[[#This Row],[SOLUÇÃO]]=CH$1,[1]!BANCO10[[#This Row],[STATUS DA ETAPA]],"")</f>
        <v/>
      </c>
      <c r="CI5" s="21" t="str">
        <f>IF([1]!BANCO10[[#This Row],[SOLUÇÃO]]=CI$1,[1]!BANCO10[[#This Row],[STATUS DA ETAPA]],"")</f>
        <v/>
      </c>
      <c r="CJ5" s="21" t="str">
        <f>IF([1]!BANCO10[[#This Row],[SOLUÇÃO]]=CJ$1,[1]!BANCO10[[#This Row],[STATUS DA ETAPA]],"")</f>
        <v/>
      </c>
      <c r="CK5" s="21" t="str">
        <f>IF([1]!BANCO10[[#This Row],[SOLUÇÃO]]=CK$1,[1]!BANCO10[[#This Row],[STATUS DA ETAPA]],"")</f>
        <v/>
      </c>
      <c r="CL5" s="21" t="str">
        <f>IF([1]!BANCO10[[#This Row],[SOLUÇÃO]]=CL$1,[1]!BANCO10[[#This Row],[STATUS DA ETAPA]],"")</f>
        <v/>
      </c>
      <c r="CM5" s="21" t="str">
        <f>IF([1]!BANCO10[[#This Row],[SOLUÇÃO]]=CM$1,[1]!BANCO10[[#This Row],[STATUS DA ETAPA]],"")</f>
        <v/>
      </c>
      <c r="CN5" s="21" t="str">
        <f>IF([1]!BANCO10[[#This Row],[SOLUÇÃO]]=CN$1,[1]!BANCO10[[#This Row],[STATUS DA ETAPA]],"")</f>
        <v/>
      </c>
      <c r="CO5" s="21" t="str">
        <f>IF([1]!BANCO10[[#This Row],[SOLUÇÃO]]=CO$1,[1]!BANCO10[[#This Row],[STATUS DA ETAPA]],"")</f>
        <v/>
      </c>
      <c r="CP5" s="21" t="str">
        <f>IF([1]!BANCO10[[#This Row],[SOLUÇÃO]]=CP$1,[1]!BANCO10[[#This Row],[STATUS DA ETAPA]],"")</f>
        <v/>
      </c>
      <c r="CQ5" s="21" t="str">
        <f>IF([1]!BANCO10[[#This Row],[SOLUÇÃO]]=CQ$1,[1]!BANCO10[[#This Row],[STATUS DA ETAPA]],"")</f>
        <v/>
      </c>
      <c r="CR5" s="21" t="str">
        <f>IF([1]!BANCO10[[#This Row],[SOLUÇÃO]]=CR$1,[1]!BANCO10[[#This Row],[STATUS DA ETAPA]],"")</f>
        <v/>
      </c>
      <c r="CS5" s="21" t="str">
        <f>IF([1]!BANCO10[[#This Row],[SOLUÇÃO]]=CS$1,[1]!BANCO10[[#This Row],[STATUS DA ETAPA]],"")</f>
        <v/>
      </c>
      <c r="CT5" s="21" t="str">
        <f>IF([1]!BANCO10[[#This Row],[SOLUÇÃO]]=CT$1,[1]!BANCO10[[#This Row],[STATUS DA ETAPA]],"")</f>
        <v/>
      </c>
      <c r="CU5" s="21" t="str">
        <f>IF([1]!BANCO10[[#This Row],[SOLUÇÃO]]=CU$1,[1]!BANCO10[[#This Row],[STATUS DA ETAPA]],"")</f>
        <v/>
      </c>
      <c r="CV5" s="21" t="str">
        <f>IF([1]!BANCO10[[#This Row],[SOLUÇÃO]]=CV$1,[1]!BANCO10[[#This Row],[STATUS DA ETAPA]],"")</f>
        <v/>
      </c>
    </row>
    <row r="6" spans="1:100">
      <c r="A6" s="44" t="s">
        <v>1</v>
      </c>
      <c r="B6" s="44"/>
      <c r="C6" s="44" t="s">
        <v>1</v>
      </c>
      <c r="D6" s="44"/>
      <c r="E6" s="44" t="s">
        <v>1</v>
      </c>
      <c r="F6" s="44"/>
      <c r="G6" s="44" t="s">
        <v>1</v>
      </c>
      <c r="H6" s="44"/>
      <c r="I6" s="45" t="s">
        <v>1</v>
      </c>
      <c r="J6" s="46"/>
      <c r="K6" s="45" t="s">
        <v>1</v>
      </c>
      <c r="L6" s="33"/>
      <c r="M6" s="45" t="s">
        <v>1</v>
      </c>
      <c r="N6" s="33"/>
      <c r="O6" s="44" t="s">
        <v>2</v>
      </c>
      <c r="P6" s="44">
        <v>45000</v>
      </c>
      <c r="Q6" s="44" t="s">
        <v>2</v>
      </c>
      <c r="R6" s="44">
        <v>45300</v>
      </c>
      <c r="S6" s="44" t="s">
        <v>1</v>
      </c>
      <c r="T6" s="44"/>
      <c r="U6" s="44" t="s">
        <v>1</v>
      </c>
      <c r="V6" s="44"/>
      <c r="W6" s="44" t="s">
        <v>1</v>
      </c>
      <c r="X6" s="44"/>
      <c r="Y6" s="44" t="s">
        <v>1</v>
      </c>
      <c r="Z6" s="44"/>
      <c r="AA6" s="44" t="s">
        <v>1</v>
      </c>
      <c r="AB6" s="44"/>
      <c r="AC6" s="51">
        <v>45028</v>
      </c>
      <c r="AD6" s="50">
        <v>45161</v>
      </c>
      <c r="AE6" s="41" t="s">
        <v>2</v>
      </c>
      <c r="AF6" s="41" t="s">
        <v>2</v>
      </c>
      <c r="AG6" s="40" t="s">
        <v>5</v>
      </c>
      <c r="AH6" s="36" t="s">
        <v>0</v>
      </c>
      <c r="AI6" s="49">
        <v>22040</v>
      </c>
      <c r="AJ6" s="36" t="s">
        <v>6</v>
      </c>
      <c r="AK6" s="9"/>
      <c r="AL6" s="36" t="s">
        <v>1</v>
      </c>
      <c r="AM6" s="36" t="s">
        <v>1</v>
      </c>
      <c r="AN6" s="35" t="s">
        <v>1</v>
      </c>
      <c r="AO6" s="35" t="s">
        <v>1</v>
      </c>
      <c r="AP6" s="35" t="s">
        <v>2</v>
      </c>
      <c r="AQ6" s="35" t="s">
        <v>1</v>
      </c>
      <c r="AR6" s="34" t="s">
        <v>1</v>
      </c>
      <c r="AS6" s="33"/>
      <c r="AT6" s="32" t="s">
        <v>1</v>
      </c>
      <c r="AU6" s="31"/>
      <c r="AV6" s="32" t="s">
        <v>1</v>
      </c>
      <c r="AW6" s="31"/>
      <c r="AX6" s="30" t="s">
        <v>2</v>
      </c>
      <c r="AY6" s="55">
        <v>45161</v>
      </c>
      <c r="AZ6" s="30" t="s">
        <v>2</v>
      </c>
      <c r="BA6" s="55"/>
      <c r="BB6" s="74"/>
      <c r="BC6" s="25"/>
      <c r="BD6" s="24" t="s">
        <v>11</v>
      </c>
      <c r="BE6" s="24" t="s">
        <v>11</v>
      </c>
      <c r="BF6" s="24" t="s">
        <v>80</v>
      </c>
      <c r="BG6" s="24" t="s">
        <v>21</v>
      </c>
      <c r="BH6" s="130" t="s">
        <v>868</v>
      </c>
      <c r="BI6" s="24"/>
      <c r="BJ6" s="24" t="s">
        <v>11</v>
      </c>
      <c r="BK6" s="24" t="s">
        <v>11</v>
      </c>
      <c r="BL6" s="24" t="s">
        <v>11</v>
      </c>
      <c r="BM6" s="24" t="s">
        <v>11</v>
      </c>
      <c r="BN6" s="24" t="s">
        <v>11</v>
      </c>
      <c r="BO6" s="24" t="s">
        <v>11</v>
      </c>
      <c r="BP6" s="24" t="s">
        <v>11</v>
      </c>
      <c r="BQ6" s="22">
        <f>YEAR([1]!BANCO10[[#This Row],[DATA INÍCIO]])</f>
        <v>2023</v>
      </c>
      <c r="BR6" s="22">
        <f>MONTH([1]!BANCO10[[#This Row],[DATA INÍCIO]])</f>
        <v>4</v>
      </c>
      <c r="BS6" s="129" t="e">
        <f>CONCATENATE(#REF!,#REF!)</f>
        <v>#REF!</v>
      </c>
      <c r="BT6" s="22"/>
      <c r="BU6" s="21" t="s">
        <v>121</v>
      </c>
      <c r="BV6" s="21" t="str">
        <f>IF([1]!BANCO10[[#This Row],[SOLUÇÃO]]=BV$1,[1]!BANCO10[[#This Row],[STATUS DA ETAPA]],"")</f>
        <v/>
      </c>
      <c r="BW6" s="21" t="str">
        <f>IF([1]!BANCO10[[#This Row],[SOLUÇÃO]]=BW$1,[1]!BANCO10[[#This Row],[STATUS DA ETAPA]],"")</f>
        <v/>
      </c>
      <c r="BX6" s="21" t="str">
        <f>IF([1]!BANCO10[[#This Row],[SOLUÇÃO]]=BX$1,[1]!BANCO10[[#This Row],[STATUS DA ETAPA]],"")</f>
        <v/>
      </c>
      <c r="BY6" s="21" t="str">
        <f>IF([1]!BANCO10[[#This Row],[SOLUÇÃO]]=BY$1,[1]!BANCO10[[#This Row],[STATUS DA ETAPA]],"")</f>
        <v/>
      </c>
      <c r="BZ6" s="21" t="str">
        <f>IF([1]!BANCO10[[#This Row],[SOLUÇÃO]]=BZ$1,[1]!BANCO10[[#This Row],[STATUS DA ETAPA]],"")</f>
        <v/>
      </c>
      <c r="CA6" s="21" t="str">
        <f>IF([1]!BANCO10[[#This Row],[SOLUÇÃO]]=CA$1,[1]!BANCO10[[#This Row],[STATUS DA ETAPA]],"")</f>
        <v>CONCLUÍDO</v>
      </c>
      <c r="CB6" s="21" t="str">
        <f>IF([1]!BANCO10[[#This Row],[SOLUÇÃO]]=CB$1,[1]!BANCO10[[#This Row],[STATUS DA ETAPA]],"")</f>
        <v/>
      </c>
      <c r="CC6" s="21" t="str">
        <f>IF([1]!BANCO10[[#This Row],[SOLUÇÃO]]=CC$1,[1]!BANCO10[[#This Row],[STATUS DA ETAPA]],"")</f>
        <v/>
      </c>
      <c r="CD6" s="21" t="str">
        <f>IF([1]!BANCO10[[#This Row],[SOLUÇÃO]]=CD$1,[1]!BANCO10[[#This Row],[STATUS DA ETAPA]],"")</f>
        <v/>
      </c>
      <c r="CE6" s="21" t="str">
        <f>IF([1]!BANCO10[[#This Row],[SOLUÇÃO]]=CE$1,[1]!BANCO10[[#This Row],[STATUS DA ETAPA]],"")</f>
        <v/>
      </c>
      <c r="CF6" s="21" t="str">
        <f>IF([1]!BANCO10[[#This Row],[SOLUÇÃO]]=CF$1,[1]!BANCO10[[#This Row],[STATUS DA ETAPA]],"")</f>
        <v/>
      </c>
      <c r="CG6" s="21" t="str">
        <f>IF([1]!BANCO10[[#This Row],[SOLUÇÃO]]=CG$1,[1]!BANCO10[[#This Row],[STATUS DA ETAPA]],"")</f>
        <v/>
      </c>
      <c r="CH6" s="21" t="str">
        <f>IF([1]!BANCO10[[#This Row],[SOLUÇÃO]]=CH$1,[1]!BANCO10[[#This Row],[STATUS DA ETAPA]],"")</f>
        <v/>
      </c>
      <c r="CI6" s="21" t="str">
        <f>IF([1]!BANCO10[[#This Row],[SOLUÇÃO]]=CI$1,[1]!BANCO10[[#This Row],[STATUS DA ETAPA]],"")</f>
        <v/>
      </c>
      <c r="CJ6" s="21" t="str">
        <f>IF([1]!BANCO10[[#This Row],[SOLUÇÃO]]=CJ$1,[1]!BANCO10[[#This Row],[STATUS DA ETAPA]],"")</f>
        <v/>
      </c>
      <c r="CK6" s="21" t="str">
        <f>IF([1]!BANCO10[[#This Row],[SOLUÇÃO]]=CK$1,[1]!BANCO10[[#This Row],[STATUS DA ETAPA]],"")</f>
        <v/>
      </c>
      <c r="CL6" s="21" t="str">
        <f>IF([1]!BANCO10[[#This Row],[SOLUÇÃO]]=CL$1,[1]!BANCO10[[#This Row],[STATUS DA ETAPA]],"")</f>
        <v/>
      </c>
      <c r="CM6" s="21" t="str">
        <f>IF([1]!BANCO10[[#This Row],[SOLUÇÃO]]=CM$1,[1]!BANCO10[[#This Row],[STATUS DA ETAPA]],"")</f>
        <v/>
      </c>
      <c r="CN6" s="21" t="str">
        <f>IF([1]!BANCO10[[#This Row],[SOLUÇÃO]]=CN$1,[1]!BANCO10[[#This Row],[STATUS DA ETAPA]],"")</f>
        <v/>
      </c>
      <c r="CO6" s="21" t="str">
        <f>IF([1]!BANCO10[[#This Row],[SOLUÇÃO]]=CO$1,[1]!BANCO10[[#This Row],[STATUS DA ETAPA]],"")</f>
        <v/>
      </c>
      <c r="CP6" s="21" t="str">
        <f>IF([1]!BANCO10[[#This Row],[SOLUÇÃO]]=CP$1,[1]!BANCO10[[#This Row],[STATUS DA ETAPA]],"")</f>
        <v/>
      </c>
      <c r="CQ6" s="21" t="str">
        <f>IF([1]!BANCO10[[#This Row],[SOLUÇÃO]]=CQ$1,[1]!BANCO10[[#This Row],[STATUS DA ETAPA]],"")</f>
        <v/>
      </c>
      <c r="CR6" s="21" t="str">
        <f>IF([1]!BANCO10[[#This Row],[SOLUÇÃO]]=CR$1,[1]!BANCO10[[#This Row],[STATUS DA ETAPA]],"")</f>
        <v/>
      </c>
      <c r="CS6" s="21" t="str">
        <f>IF([1]!BANCO10[[#This Row],[SOLUÇÃO]]=CS$1,[1]!BANCO10[[#This Row],[STATUS DA ETAPA]],"")</f>
        <v/>
      </c>
      <c r="CT6" s="21" t="str">
        <f>IF([1]!BANCO10[[#This Row],[SOLUÇÃO]]=CT$1,[1]!BANCO10[[#This Row],[STATUS DA ETAPA]],"")</f>
        <v/>
      </c>
      <c r="CU6" s="21" t="str">
        <f>IF([1]!BANCO10[[#This Row],[SOLUÇÃO]]=CU$1,[1]!BANCO10[[#This Row],[STATUS DA ETAPA]],"")</f>
        <v/>
      </c>
      <c r="CV6" s="21" t="str">
        <f>IF([1]!BANCO10[[#This Row],[SOLUÇÃO]]=CV$1,[1]!BANCO10[[#This Row],[STATUS DA ETAPA]],"")</f>
        <v/>
      </c>
    </row>
    <row r="7" spans="1:100">
      <c r="A7" s="44" t="s">
        <v>1</v>
      </c>
      <c r="B7" s="44"/>
      <c r="C7" s="44" t="s">
        <v>1</v>
      </c>
      <c r="D7" s="44"/>
      <c r="E7" s="44" t="s">
        <v>1</v>
      </c>
      <c r="F7" s="44"/>
      <c r="G7" s="44" t="s">
        <v>1</v>
      </c>
      <c r="H7" s="44"/>
      <c r="I7" s="45" t="s">
        <v>1</v>
      </c>
      <c r="J7" s="46"/>
      <c r="K7" s="45" t="s">
        <v>1</v>
      </c>
      <c r="L7" s="33"/>
      <c r="M7" s="45" t="s">
        <v>1</v>
      </c>
      <c r="N7" s="33"/>
      <c r="O7" s="44" t="s">
        <v>2</v>
      </c>
      <c r="P7" s="44">
        <v>45000</v>
      </c>
      <c r="Q7" s="44" t="s">
        <v>2</v>
      </c>
      <c r="R7" s="44">
        <v>45300</v>
      </c>
      <c r="S7" s="44" t="s">
        <v>1</v>
      </c>
      <c r="T7" s="44"/>
      <c r="U7" s="44" t="s">
        <v>1</v>
      </c>
      <c r="V7" s="44"/>
      <c r="W7" s="44" t="s">
        <v>1</v>
      </c>
      <c r="X7" s="44"/>
      <c r="Y7" s="44" t="s">
        <v>1</v>
      </c>
      <c r="Z7" s="44"/>
      <c r="AA7" s="44" t="s">
        <v>1</v>
      </c>
      <c r="AB7" s="44"/>
      <c r="AC7" s="51">
        <v>45087</v>
      </c>
      <c r="AD7" s="50">
        <v>45274</v>
      </c>
      <c r="AE7" s="40" t="s">
        <v>2</v>
      </c>
      <c r="AF7" s="40" t="s">
        <v>2</v>
      </c>
      <c r="AG7" s="76" t="s">
        <v>5</v>
      </c>
      <c r="AH7" s="36" t="s">
        <v>1</v>
      </c>
      <c r="AI7" s="49">
        <v>0</v>
      </c>
      <c r="AJ7" s="36" t="s">
        <v>1</v>
      </c>
      <c r="AK7" s="9" t="s">
        <v>1</v>
      </c>
      <c r="AL7" s="36" t="s">
        <v>1</v>
      </c>
      <c r="AM7" s="36" t="s">
        <v>1</v>
      </c>
      <c r="AN7" s="35" t="s">
        <v>0</v>
      </c>
      <c r="AO7" s="35" t="s">
        <v>0</v>
      </c>
      <c r="AP7" s="35" t="s">
        <v>2</v>
      </c>
      <c r="AQ7" s="35" t="s">
        <v>1</v>
      </c>
      <c r="AR7" s="34" t="s">
        <v>1</v>
      </c>
      <c r="AS7" s="33"/>
      <c r="AT7" s="30"/>
      <c r="AU7" s="55"/>
      <c r="AV7" s="30"/>
      <c r="AW7" s="55"/>
      <c r="AX7" s="30" t="s">
        <v>2</v>
      </c>
      <c r="AY7" s="55">
        <v>45280</v>
      </c>
      <c r="AZ7" s="30" t="s">
        <v>1</v>
      </c>
      <c r="BA7" s="55"/>
      <c r="BB7" s="74" t="s">
        <v>869</v>
      </c>
      <c r="BC7" s="25"/>
      <c r="BD7" s="24" t="s">
        <v>11</v>
      </c>
      <c r="BE7" s="24" t="s">
        <v>11</v>
      </c>
      <c r="BF7" s="24" t="s">
        <v>80</v>
      </c>
      <c r="BG7" s="24" t="s">
        <v>21</v>
      </c>
      <c r="BH7" s="130" t="s">
        <v>868</v>
      </c>
      <c r="BI7" s="24"/>
      <c r="BJ7" s="24" t="s">
        <v>11</v>
      </c>
      <c r="BK7" s="24" t="s">
        <v>11</v>
      </c>
      <c r="BL7" s="24">
        <v>45565</v>
      </c>
      <c r="BM7" s="24" t="s">
        <v>18</v>
      </c>
      <c r="BN7" s="24" t="s">
        <v>72</v>
      </c>
      <c r="BO7" s="24"/>
      <c r="BP7" s="24" t="s">
        <v>867</v>
      </c>
      <c r="BQ7" s="22">
        <f>YEAR([1]!BANCO10[[#This Row],[DATA INÍCIO]])</f>
        <v>2023</v>
      </c>
      <c r="BR7" s="22">
        <f>MONTH([1]!BANCO10[[#This Row],[DATA INÍCIO]])</f>
        <v>6</v>
      </c>
      <c r="BS7" s="129" t="e">
        <f>CONCATENATE(#REF!,#REF!)</f>
        <v>#REF!</v>
      </c>
      <c r="BT7" s="22"/>
      <c r="BU7" s="21" t="s">
        <v>16</v>
      </c>
      <c r="BV7" s="21" t="str">
        <f>IF([1]!BANCO10[[#This Row],[SOLUÇÃO]]=BV$1,[1]!BANCO10[[#This Row],[STATUS DA ETAPA]],"")</f>
        <v/>
      </c>
      <c r="BW7" s="21" t="str">
        <f>IF([1]!BANCO10[[#This Row],[SOLUÇÃO]]=BW$1,[1]!BANCO10[[#This Row],[STATUS DA ETAPA]],"")</f>
        <v/>
      </c>
      <c r="BX7" s="21" t="str">
        <f>IF([1]!BANCO10[[#This Row],[SOLUÇÃO]]=BX$1,[1]!BANCO10[[#This Row],[STATUS DA ETAPA]],"")</f>
        <v/>
      </c>
      <c r="BY7" s="21" t="str">
        <f>IF([1]!BANCO10[[#This Row],[SOLUÇÃO]]=BY$1,[1]!BANCO10[[#This Row],[STATUS DA ETAPA]],"")</f>
        <v/>
      </c>
      <c r="BZ7" s="21" t="str">
        <f>IF([1]!BANCO10[[#This Row],[SOLUÇÃO]]=BZ$1,[1]!BANCO10[[#This Row],[STATUS DA ETAPA]],"")</f>
        <v/>
      </c>
      <c r="CA7" s="21" t="str">
        <f>IF([1]!BANCO10[[#This Row],[SOLUÇÃO]]=CA$1,[1]!BANCO10[[#This Row],[STATUS DA ETAPA]],"")</f>
        <v/>
      </c>
      <c r="CB7" s="21" t="str">
        <f>IF([1]!BANCO10[[#This Row],[SOLUÇÃO]]=CB$1,[1]!BANCO10[[#This Row],[STATUS DA ETAPA]],"")</f>
        <v/>
      </c>
      <c r="CC7" s="21" t="str">
        <f>IF([1]!BANCO10[[#This Row],[SOLUÇÃO]]=CC$1,[1]!BANCO10[[#This Row],[STATUS DA ETAPA]],"")</f>
        <v/>
      </c>
      <c r="CD7" s="21" t="str">
        <f>IF([1]!BANCO10[[#This Row],[SOLUÇÃO]]=CD$1,[1]!BANCO10[[#This Row],[STATUS DA ETAPA]],"")</f>
        <v/>
      </c>
      <c r="CE7" s="21" t="str">
        <f>IF([1]!BANCO10[[#This Row],[SOLUÇÃO]]=CE$1,[1]!BANCO10[[#This Row],[STATUS DA ETAPA]],"")</f>
        <v/>
      </c>
      <c r="CF7" s="21" t="str">
        <f>IF([1]!BANCO10[[#This Row],[SOLUÇÃO]]=CF$1,[1]!BANCO10[[#This Row],[STATUS DA ETAPA]],"")</f>
        <v/>
      </c>
      <c r="CG7" s="21" t="str">
        <f>IF([1]!BANCO10[[#This Row],[SOLUÇÃO]]=CG$1,[1]!BANCO10[[#This Row],[STATUS DA ETAPA]],"")</f>
        <v/>
      </c>
      <c r="CH7" s="21" t="str">
        <f>IF([1]!BANCO10[[#This Row],[SOLUÇÃO]]=CH$1,[1]!BANCO10[[#This Row],[STATUS DA ETAPA]],"")</f>
        <v/>
      </c>
      <c r="CI7" s="21" t="str">
        <f>IF([1]!BANCO10[[#This Row],[SOLUÇÃO]]=CI$1,[1]!BANCO10[[#This Row],[STATUS DA ETAPA]],"")</f>
        <v/>
      </c>
      <c r="CJ7" s="21" t="str">
        <f>IF([1]!BANCO10[[#This Row],[SOLUÇÃO]]=CJ$1,[1]!BANCO10[[#This Row],[STATUS DA ETAPA]],"")</f>
        <v/>
      </c>
      <c r="CK7" s="21" t="str">
        <f>IF([1]!BANCO10[[#This Row],[SOLUÇÃO]]=CK$1,[1]!BANCO10[[#This Row],[STATUS DA ETAPA]],"")</f>
        <v/>
      </c>
      <c r="CL7" s="21" t="str">
        <f>IF([1]!BANCO10[[#This Row],[SOLUÇÃO]]=CL$1,[1]!BANCO10[[#This Row],[STATUS DA ETAPA]],"")</f>
        <v/>
      </c>
      <c r="CM7" s="21" t="str">
        <f>IF([1]!BANCO10[[#This Row],[SOLUÇÃO]]=CM$1,[1]!BANCO10[[#This Row],[STATUS DA ETAPA]],"")</f>
        <v/>
      </c>
      <c r="CN7" s="21" t="str">
        <f>IF([1]!BANCO10[[#This Row],[SOLUÇÃO]]=CN$1,[1]!BANCO10[[#This Row],[STATUS DA ETAPA]],"")</f>
        <v/>
      </c>
      <c r="CO7" s="21" t="str">
        <f>IF([1]!BANCO10[[#This Row],[SOLUÇÃO]]=CO$1,[1]!BANCO10[[#This Row],[STATUS DA ETAPA]],"")</f>
        <v>CONCLUÍDO</v>
      </c>
      <c r="CP7" s="21" t="str">
        <f>IF([1]!BANCO10[[#This Row],[SOLUÇÃO]]=CP$1,[1]!BANCO10[[#This Row],[STATUS DA ETAPA]],"")</f>
        <v/>
      </c>
      <c r="CQ7" s="21" t="str">
        <f>IF([1]!BANCO10[[#This Row],[SOLUÇÃO]]=CQ$1,[1]!BANCO10[[#This Row],[STATUS DA ETAPA]],"")</f>
        <v/>
      </c>
      <c r="CR7" s="21" t="str">
        <f>IF([1]!BANCO10[[#This Row],[SOLUÇÃO]]=CR$1,[1]!BANCO10[[#This Row],[STATUS DA ETAPA]],"")</f>
        <v/>
      </c>
      <c r="CS7" s="21" t="str">
        <f>IF([1]!BANCO10[[#This Row],[SOLUÇÃO]]=CS$1,[1]!BANCO10[[#This Row],[STATUS DA ETAPA]],"")</f>
        <v/>
      </c>
      <c r="CT7" s="21" t="str">
        <f>IF([1]!BANCO10[[#This Row],[SOLUÇÃO]]=CT$1,[1]!BANCO10[[#This Row],[STATUS DA ETAPA]],"")</f>
        <v/>
      </c>
      <c r="CU7" s="21" t="str">
        <f>IF([1]!BANCO10[[#This Row],[SOLUÇÃO]]=CU$1,[1]!BANCO10[[#This Row],[STATUS DA ETAPA]],"")</f>
        <v/>
      </c>
      <c r="CV7" s="21" t="str">
        <f>IF([1]!BANCO10[[#This Row],[SOLUÇÃO]]=CV$1,[1]!BANCO10[[#This Row],[STATUS DA ETAPA]],"")</f>
        <v/>
      </c>
    </row>
    <row r="8" spans="1:100">
      <c r="A8" s="44" t="s">
        <v>0</v>
      </c>
      <c r="B8" s="44"/>
      <c r="C8" s="44" t="s">
        <v>0</v>
      </c>
      <c r="D8" s="44"/>
      <c r="E8" s="44" t="s">
        <v>0</v>
      </c>
      <c r="F8" s="44"/>
      <c r="G8" s="44" t="s">
        <v>0</v>
      </c>
      <c r="H8" s="44"/>
      <c r="I8" s="45" t="s">
        <v>0</v>
      </c>
      <c r="J8" s="46"/>
      <c r="K8" s="45" t="s">
        <v>0</v>
      </c>
      <c r="L8" s="33"/>
      <c r="M8" s="45" t="s">
        <v>0</v>
      </c>
      <c r="N8" s="33"/>
      <c r="O8" s="44" t="s">
        <v>0</v>
      </c>
      <c r="P8" s="44"/>
      <c r="Q8" s="44" t="s">
        <v>2</v>
      </c>
      <c r="R8" s="44">
        <v>45919</v>
      </c>
      <c r="S8" s="44" t="s">
        <v>0</v>
      </c>
      <c r="T8" s="44"/>
      <c r="U8" s="44" t="s">
        <v>0</v>
      </c>
      <c r="V8" s="44"/>
      <c r="W8" s="44" t="s">
        <v>0</v>
      </c>
      <c r="X8" s="44"/>
      <c r="Y8" s="44" t="s">
        <v>0</v>
      </c>
      <c r="Z8" s="44"/>
      <c r="AA8" s="44" t="s">
        <v>0</v>
      </c>
      <c r="AB8" s="44"/>
      <c r="AC8" s="51">
        <v>46022</v>
      </c>
      <c r="AD8" s="50">
        <v>46022</v>
      </c>
      <c r="AE8" s="41" t="s">
        <v>0</v>
      </c>
      <c r="AF8" s="41" t="s">
        <v>0</v>
      </c>
      <c r="AG8" s="40" t="s">
        <v>5</v>
      </c>
      <c r="AH8" s="36" t="s">
        <v>0</v>
      </c>
      <c r="AI8" s="49">
        <v>22040</v>
      </c>
      <c r="AJ8" s="36"/>
      <c r="AK8" s="9" t="s">
        <v>1</v>
      </c>
      <c r="AL8" s="36" t="s">
        <v>1</v>
      </c>
      <c r="AM8" s="36" t="s">
        <v>1</v>
      </c>
      <c r="AN8" s="35" t="s">
        <v>0</v>
      </c>
      <c r="AO8" s="35" t="s">
        <v>0</v>
      </c>
      <c r="AP8" s="35" t="s">
        <v>0</v>
      </c>
      <c r="AQ8" s="35" t="s">
        <v>0</v>
      </c>
      <c r="AR8" s="178" t="s">
        <v>0</v>
      </c>
      <c r="AS8" s="63"/>
      <c r="AT8" s="30" t="s">
        <v>0</v>
      </c>
      <c r="AU8" s="29"/>
      <c r="AV8" s="30" t="s">
        <v>0</v>
      </c>
      <c r="AW8" s="29"/>
      <c r="AX8" s="30" t="s">
        <v>0</v>
      </c>
      <c r="AY8" s="29"/>
      <c r="AZ8" s="28" t="s">
        <v>0</v>
      </c>
      <c r="BA8" s="27"/>
      <c r="BB8" s="74" t="s">
        <v>866</v>
      </c>
      <c r="BC8" s="25"/>
      <c r="BD8" s="24"/>
      <c r="BE8" s="24"/>
      <c r="BF8" s="24"/>
      <c r="BG8" s="24"/>
      <c r="BH8" s="24"/>
      <c r="BI8" s="24"/>
      <c r="BJ8" s="24"/>
      <c r="BK8" s="24"/>
      <c r="BL8" s="24"/>
      <c r="BM8" s="24"/>
      <c r="BN8" s="24"/>
      <c r="BO8" s="24"/>
      <c r="BP8" s="24"/>
      <c r="BQ8" s="22">
        <f>YEAR([1]!BANCO10[[#This Row],[DATA INÍCIO]])</f>
        <v>2025</v>
      </c>
      <c r="BR8" s="22">
        <f>MONTH([1]!BANCO10[[#This Row],[DATA INÍCIO]])</f>
        <v>12</v>
      </c>
      <c r="BS8" s="23" t="e">
        <f>CONCATENATE(#REF!,#REF!)</f>
        <v>#REF!</v>
      </c>
      <c r="BT8" s="22"/>
      <c r="BU8" s="22"/>
      <c r="BV8" s="21" t="str">
        <f>IF([1]!BANCO10[[#This Row],[SOLUÇÃO]]=BV$1,[1]!BANCO10[[#This Row],[STATUS DA ETAPA]],"")</f>
        <v/>
      </c>
      <c r="BW8" s="21" t="str">
        <f>IF([1]!BANCO10[[#This Row],[SOLUÇÃO]]=BW$1,[1]!BANCO10[[#This Row],[STATUS DA ETAPA]],"")</f>
        <v/>
      </c>
      <c r="BX8" s="21" t="str">
        <f>IF([1]!BANCO10[[#This Row],[SOLUÇÃO]]=BX$1,[1]!BANCO10[[#This Row],[STATUS DA ETAPA]],"")</f>
        <v/>
      </c>
      <c r="BY8" s="21" t="str">
        <f>IF([1]!BANCO10[[#This Row],[SOLUÇÃO]]=BY$1,[1]!BANCO10[[#This Row],[STATUS DA ETAPA]],"")</f>
        <v/>
      </c>
      <c r="BZ8" s="21" t="str">
        <f>IF([1]!BANCO10[[#This Row],[SOLUÇÃO]]=BZ$1,[1]!BANCO10[[#This Row],[STATUS DA ETAPA]],"")</f>
        <v/>
      </c>
      <c r="CA8" s="21" t="str">
        <f>IF([1]!BANCO10[[#This Row],[SOLUÇÃO]]=CA$1,[1]!BANCO10[[#This Row],[STATUS DA ETAPA]],"")</f>
        <v/>
      </c>
      <c r="CB8" s="21" t="str">
        <f>IF([1]!BANCO10[[#This Row],[SOLUÇÃO]]=CB$1,[1]!BANCO10[[#This Row],[STATUS DA ETAPA]],"")</f>
        <v/>
      </c>
      <c r="CC8" s="21" t="str">
        <f>IF([1]!BANCO10[[#This Row],[SOLUÇÃO]]=CC$1,[1]!BANCO10[[#This Row],[STATUS DA ETAPA]],"")</f>
        <v/>
      </c>
      <c r="CD8" s="21" t="str">
        <f>IF([1]!BANCO10[[#This Row],[SOLUÇÃO]]=CD$1,[1]!BANCO10[[#This Row],[STATUS DA ETAPA]],"")</f>
        <v/>
      </c>
      <c r="CE8" s="21" t="str">
        <f>IF([1]!BANCO10[[#This Row],[SOLUÇÃO]]=CE$1,[1]!BANCO10[[#This Row],[STATUS DA ETAPA]],"")</f>
        <v/>
      </c>
      <c r="CF8" s="21" t="str">
        <f>IF([1]!BANCO10[[#This Row],[SOLUÇÃO]]=CF$1,[1]!BANCO10[[#This Row],[STATUS DA ETAPA]],"")</f>
        <v/>
      </c>
      <c r="CG8" s="21" t="str">
        <f>IF([1]!BANCO10[[#This Row],[SOLUÇÃO]]=CG$1,[1]!BANCO10[[#This Row],[STATUS DA ETAPA]],"")</f>
        <v/>
      </c>
      <c r="CH8" s="21" t="str">
        <f>IF([1]!BANCO10[[#This Row],[SOLUÇÃO]]=CH$1,[1]!BANCO10[[#This Row],[STATUS DA ETAPA]],"")</f>
        <v/>
      </c>
      <c r="CI8" s="21" t="str">
        <f>IF([1]!BANCO10[[#This Row],[SOLUÇÃO]]=CI$1,[1]!BANCO10[[#This Row],[STATUS DA ETAPA]],"")</f>
        <v/>
      </c>
      <c r="CJ8" s="21" t="str">
        <f>IF([1]!BANCO10[[#This Row],[SOLUÇÃO]]=CJ$1,[1]!BANCO10[[#This Row],[STATUS DA ETAPA]],"")</f>
        <v/>
      </c>
      <c r="CK8" s="21" t="str">
        <f>IF([1]!BANCO10[[#This Row],[SOLUÇÃO]]=CK$1,[1]!BANCO10[[#This Row],[STATUS DA ETAPA]],"")</f>
        <v/>
      </c>
      <c r="CL8" s="21" t="str">
        <f>IF([1]!BANCO10[[#This Row],[SOLUÇÃO]]=CL$1,[1]!BANCO10[[#This Row],[STATUS DA ETAPA]],"")</f>
        <v/>
      </c>
      <c r="CM8" s="21" t="str">
        <f>IF([1]!BANCO10[[#This Row],[SOLUÇÃO]]=CM$1,[1]!BANCO10[[#This Row],[STATUS DA ETAPA]],"")</f>
        <v/>
      </c>
      <c r="CN8" s="21" t="str">
        <f>IF([1]!BANCO10[[#This Row],[SOLUÇÃO]]=CN$1,[1]!BANCO10[[#This Row],[STATUS DA ETAPA]],"")</f>
        <v/>
      </c>
      <c r="CO8" s="21" t="str">
        <f>IF([1]!BANCO10[[#This Row],[SOLUÇÃO]]=CO$1,[1]!BANCO10[[#This Row],[STATUS DA ETAPA]],"")</f>
        <v/>
      </c>
      <c r="CP8" s="21" t="str">
        <f>IF([1]!BANCO10[[#This Row],[SOLUÇÃO]]=CP$1,[1]!BANCO10[[#This Row],[STATUS DA ETAPA]],"")</f>
        <v/>
      </c>
      <c r="CQ8" s="21" t="str">
        <f>IF([1]!BANCO10[[#This Row],[SOLUÇÃO]]=CQ$1,[1]!BANCO10[[#This Row],[STATUS DA ETAPA]],"")</f>
        <v/>
      </c>
      <c r="CR8" s="21" t="str">
        <f>IF([1]!BANCO10[[#This Row],[SOLUÇÃO]]=CR$1,[1]!BANCO10[[#This Row],[STATUS DA ETAPA]],"")</f>
        <v/>
      </c>
      <c r="CS8" s="21" t="str">
        <f>IF([1]!BANCO10[[#This Row],[SOLUÇÃO]]=CS$1,[1]!BANCO10[[#This Row],[STATUS DA ETAPA]],"")</f>
        <v/>
      </c>
      <c r="CT8" s="21" t="str">
        <f>IF([1]!BANCO10[[#This Row],[SOLUÇÃO]]=CT$1,[1]!BANCO10[[#This Row],[STATUS DA ETAPA]],"")</f>
        <v/>
      </c>
      <c r="CU8" s="21" t="str">
        <f>IF([1]!BANCO10[[#This Row],[SOLUÇÃO]]=CU$1,[1]!BANCO10[[#This Row],[STATUS DA ETAPA]],"")</f>
        <v/>
      </c>
      <c r="CV8" s="21" t="str">
        <f>IF([1]!BANCO10[[#This Row],[SOLUÇÃO]]=CV$1,[1]!BANCO10[[#This Row],[STATUS DA ETAPA]],"")</f>
        <v/>
      </c>
    </row>
    <row r="9" spans="1:100">
      <c r="A9" s="44" t="s">
        <v>1</v>
      </c>
      <c r="B9" s="44"/>
      <c r="C9" s="44" t="s">
        <v>1</v>
      </c>
      <c r="D9" s="44"/>
      <c r="E9" s="44" t="s">
        <v>1</v>
      </c>
      <c r="F9" s="44"/>
      <c r="G9" s="44" t="s">
        <v>1</v>
      </c>
      <c r="H9" s="44"/>
      <c r="I9" s="45" t="s">
        <v>1</v>
      </c>
      <c r="J9" s="46"/>
      <c r="K9" s="45" t="s">
        <v>1</v>
      </c>
      <c r="L9" s="33"/>
      <c r="M9" s="45" t="s">
        <v>1</v>
      </c>
      <c r="N9" s="33"/>
      <c r="O9" s="44" t="s">
        <v>1</v>
      </c>
      <c r="P9" s="44"/>
      <c r="Q9" s="44" t="s">
        <v>1</v>
      </c>
      <c r="R9" s="44"/>
      <c r="S9" s="44" t="s">
        <v>1</v>
      </c>
      <c r="T9" s="44"/>
      <c r="U9" s="44" t="s">
        <v>1</v>
      </c>
      <c r="V9" s="44"/>
      <c r="W9" s="44" t="s">
        <v>1</v>
      </c>
      <c r="X9" s="44"/>
      <c r="Y9" s="44" t="s">
        <v>1</v>
      </c>
      <c r="Z9" s="44"/>
      <c r="AA9" s="44" t="s">
        <v>1</v>
      </c>
      <c r="AB9" s="44"/>
      <c r="AC9" s="51">
        <v>45209</v>
      </c>
      <c r="AD9" s="50">
        <v>45209</v>
      </c>
      <c r="AE9" s="40" t="s">
        <v>1</v>
      </c>
      <c r="AF9" s="40" t="s">
        <v>1</v>
      </c>
      <c r="AG9" s="76" t="s">
        <v>5</v>
      </c>
      <c r="AH9" s="36" t="s">
        <v>1</v>
      </c>
      <c r="AI9" s="49">
        <v>0</v>
      </c>
      <c r="AJ9" s="36" t="s">
        <v>1</v>
      </c>
      <c r="AK9" s="9" t="s">
        <v>1</v>
      </c>
      <c r="AL9" s="36" t="s">
        <v>1</v>
      </c>
      <c r="AM9" s="36" t="s">
        <v>1</v>
      </c>
      <c r="AN9" s="35" t="s">
        <v>1</v>
      </c>
      <c r="AO9" s="35" t="s">
        <v>1</v>
      </c>
      <c r="AP9" s="35" t="s">
        <v>1</v>
      </c>
      <c r="AQ9" s="35" t="s">
        <v>1</v>
      </c>
      <c r="AR9" s="82" t="s">
        <v>1</v>
      </c>
      <c r="AS9" s="33"/>
      <c r="AT9" s="30"/>
      <c r="AU9" s="55"/>
      <c r="AV9" s="30"/>
      <c r="AW9" s="55"/>
      <c r="AX9" s="30" t="s">
        <v>1</v>
      </c>
      <c r="AY9" s="55"/>
      <c r="AZ9" s="30" t="s">
        <v>1</v>
      </c>
      <c r="BA9" s="55"/>
      <c r="BB9" s="74" t="s">
        <v>864</v>
      </c>
      <c r="BC9" s="25"/>
      <c r="BD9" s="24" t="s">
        <v>19</v>
      </c>
      <c r="BE9" s="24" t="s">
        <v>19</v>
      </c>
      <c r="BF9" s="24" t="s">
        <v>51</v>
      </c>
      <c r="BG9" s="24" t="s">
        <v>11</v>
      </c>
      <c r="BH9" s="130" t="s">
        <v>19</v>
      </c>
      <c r="BI9" s="24"/>
      <c r="BJ9" s="24" t="s">
        <v>11</v>
      </c>
      <c r="BK9" s="24" t="s">
        <v>11</v>
      </c>
      <c r="BL9" s="24" t="s">
        <v>11</v>
      </c>
      <c r="BM9" s="24" t="s">
        <v>11</v>
      </c>
      <c r="BN9" s="24" t="s">
        <v>11</v>
      </c>
      <c r="BO9" s="24" t="s">
        <v>11</v>
      </c>
      <c r="BP9" s="24" t="s">
        <v>11</v>
      </c>
      <c r="BQ9" s="22">
        <f>YEAR([1]!BANCO10[[#This Row],[DATA INÍCIO]])</f>
        <v>2023</v>
      </c>
      <c r="BR9" s="22">
        <f>MONTH([1]!BANCO10[[#This Row],[DATA INÍCIO]])</f>
        <v>10</v>
      </c>
      <c r="BS9" s="129" t="e">
        <f>CONCATENATE(#REF!,#REF!)</f>
        <v>#REF!</v>
      </c>
      <c r="BT9" s="22"/>
      <c r="BU9" s="21" t="s">
        <v>865</v>
      </c>
      <c r="BV9" s="21" t="str">
        <f>IF([1]!BANCO10[[#This Row],[SOLUÇÃO]]=BV$1,[1]!BANCO10[[#This Row],[STATUS DA ETAPA]],"")</f>
        <v>CONCLUÍDO</v>
      </c>
      <c r="BW9" s="21" t="str">
        <f>IF([1]!BANCO10[[#This Row],[SOLUÇÃO]]=BW$1,[1]!BANCO10[[#This Row],[STATUS DA ETAPA]],"")</f>
        <v/>
      </c>
      <c r="BX9" s="21" t="str">
        <f>IF([1]!BANCO10[[#This Row],[SOLUÇÃO]]=BX$1,[1]!BANCO10[[#This Row],[STATUS DA ETAPA]],"")</f>
        <v/>
      </c>
      <c r="BY9" s="21" t="str">
        <f>IF([1]!BANCO10[[#This Row],[SOLUÇÃO]]=BY$1,[1]!BANCO10[[#This Row],[STATUS DA ETAPA]],"")</f>
        <v/>
      </c>
      <c r="BZ9" s="21" t="str">
        <f>IF([1]!BANCO10[[#This Row],[SOLUÇÃO]]=BZ$1,[1]!BANCO10[[#This Row],[STATUS DA ETAPA]],"")</f>
        <v/>
      </c>
      <c r="CA9" s="21" t="str">
        <f>IF([1]!BANCO10[[#This Row],[SOLUÇÃO]]=CA$1,[1]!BANCO10[[#This Row],[STATUS DA ETAPA]],"")</f>
        <v/>
      </c>
      <c r="CB9" s="21" t="str">
        <f>IF([1]!BANCO10[[#This Row],[SOLUÇÃO]]=CB$1,[1]!BANCO10[[#This Row],[STATUS DA ETAPA]],"")</f>
        <v/>
      </c>
      <c r="CC9" s="21" t="str">
        <f>IF([1]!BANCO10[[#This Row],[SOLUÇÃO]]=CC$1,[1]!BANCO10[[#This Row],[STATUS DA ETAPA]],"")</f>
        <v/>
      </c>
      <c r="CD9" s="21" t="str">
        <f>IF([1]!BANCO10[[#This Row],[SOLUÇÃO]]=CD$1,[1]!BANCO10[[#This Row],[STATUS DA ETAPA]],"")</f>
        <v/>
      </c>
      <c r="CE9" s="21" t="str">
        <f>IF([1]!BANCO10[[#This Row],[SOLUÇÃO]]=CE$1,[1]!BANCO10[[#This Row],[STATUS DA ETAPA]],"")</f>
        <v/>
      </c>
      <c r="CF9" s="21" t="str">
        <f>IF([1]!BANCO10[[#This Row],[SOLUÇÃO]]=CF$1,[1]!BANCO10[[#This Row],[STATUS DA ETAPA]],"")</f>
        <v/>
      </c>
      <c r="CG9" s="21" t="str">
        <f>IF([1]!BANCO10[[#This Row],[SOLUÇÃO]]=CG$1,[1]!BANCO10[[#This Row],[STATUS DA ETAPA]],"")</f>
        <v/>
      </c>
      <c r="CH9" s="21" t="str">
        <f>IF([1]!BANCO10[[#This Row],[SOLUÇÃO]]=CH$1,[1]!BANCO10[[#This Row],[STATUS DA ETAPA]],"")</f>
        <v/>
      </c>
      <c r="CI9" s="21" t="str">
        <f>IF([1]!BANCO10[[#This Row],[SOLUÇÃO]]=CI$1,[1]!BANCO10[[#This Row],[STATUS DA ETAPA]],"")</f>
        <v/>
      </c>
      <c r="CJ9" s="21" t="str">
        <f>IF([1]!BANCO10[[#This Row],[SOLUÇÃO]]=CJ$1,[1]!BANCO10[[#This Row],[STATUS DA ETAPA]],"")</f>
        <v/>
      </c>
      <c r="CK9" s="21" t="str">
        <f>IF([1]!BANCO10[[#This Row],[SOLUÇÃO]]=CK$1,[1]!BANCO10[[#This Row],[STATUS DA ETAPA]],"")</f>
        <v/>
      </c>
      <c r="CL9" s="21" t="str">
        <f>IF([1]!BANCO10[[#This Row],[SOLUÇÃO]]=CL$1,[1]!BANCO10[[#This Row],[STATUS DA ETAPA]],"")</f>
        <v/>
      </c>
      <c r="CM9" s="21" t="str">
        <f>IF([1]!BANCO10[[#This Row],[SOLUÇÃO]]=CM$1,[1]!BANCO10[[#This Row],[STATUS DA ETAPA]],"")</f>
        <v/>
      </c>
      <c r="CN9" s="21" t="str">
        <f>IF([1]!BANCO10[[#This Row],[SOLUÇÃO]]=CN$1,[1]!BANCO10[[#This Row],[STATUS DA ETAPA]],"")</f>
        <v/>
      </c>
      <c r="CO9" s="21" t="str">
        <f>IF([1]!BANCO10[[#This Row],[SOLUÇÃO]]=CO$1,[1]!BANCO10[[#This Row],[STATUS DA ETAPA]],"")</f>
        <v/>
      </c>
      <c r="CP9" s="21" t="str">
        <f>IF([1]!BANCO10[[#This Row],[SOLUÇÃO]]=CP$1,[1]!BANCO10[[#This Row],[STATUS DA ETAPA]],"")</f>
        <v/>
      </c>
      <c r="CQ9" s="21" t="str">
        <f>IF([1]!BANCO10[[#This Row],[SOLUÇÃO]]=CQ$1,[1]!BANCO10[[#This Row],[STATUS DA ETAPA]],"")</f>
        <v/>
      </c>
      <c r="CR9" s="21" t="str">
        <f>IF([1]!BANCO10[[#This Row],[SOLUÇÃO]]=CR$1,[1]!BANCO10[[#This Row],[STATUS DA ETAPA]],"")</f>
        <v/>
      </c>
      <c r="CS9" s="21" t="str">
        <f>IF([1]!BANCO10[[#This Row],[SOLUÇÃO]]=CS$1,[1]!BANCO10[[#This Row],[STATUS DA ETAPA]],"")</f>
        <v/>
      </c>
      <c r="CT9" s="21" t="str">
        <f>IF([1]!BANCO10[[#This Row],[SOLUÇÃO]]=CT$1,[1]!BANCO10[[#This Row],[STATUS DA ETAPA]],"")</f>
        <v/>
      </c>
      <c r="CU9" s="21" t="str">
        <f>IF([1]!BANCO10[[#This Row],[SOLUÇÃO]]=CU$1,[1]!BANCO10[[#This Row],[STATUS DA ETAPA]],"")</f>
        <v/>
      </c>
      <c r="CV9" s="21" t="str">
        <f>IF([1]!BANCO10[[#This Row],[SOLUÇÃO]]=CV$1,[1]!BANCO10[[#This Row],[STATUS DA ETAPA]],"")</f>
        <v/>
      </c>
    </row>
    <row r="10" spans="1:100">
      <c r="A10" s="44" t="s">
        <v>1</v>
      </c>
      <c r="B10" s="44"/>
      <c r="C10" s="44" t="s">
        <v>1</v>
      </c>
      <c r="D10" s="44"/>
      <c r="E10" s="44" t="s">
        <v>1</v>
      </c>
      <c r="F10" s="44"/>
      <c r="G10" s="44" t="s">
        <v>1</v>
      </c>
      <c r="H10" s="44"/>
      <c r="I10" s="45" t="s">
        <v>1</v>
      </c>
      <c r="J10" s="46"/>
      <c r="K10" s="45" t="s">
        <v>1</v>
      </c>
      <c r="L10" s="33"/>
      <c r="M10" s="45" t="s">
        <v>1</v>
      </c>
      <c r="N10" s="33"/>
      <c r="O10" s="44" t="s">
        <v>1</v>
      </c>
      <c r="P10" s="44"/>
      <c r="Q10" s="44" t="s">
        <v>1</v>
      </c>
      <c r="R10" s="44"/>
      <c r="S10" s="44" t="s">
        <v>1</v>
      </c>
      <c r="T10" s="44"/>
      <c r="U10" s="44" t="s">
        <v>1</v>
      </c>
      <c r="V10" s="44"/>
      <c r="W10" s="44" t="s">
        <v>1</v>
      </c>
      <c r="X10" s="44"/>
      <c r="Y10" s="44" t="s">
        <v>1</v>
      </c>
      <c r="Z10" s="44"/>
      <c r="AA10" s="44" t="s">
        <v>1</v>
      </c>
      <c r="AB10" s="44"/>
      <c r="AC10" s="51">
        <v>45477</v>
      </c>
      <c r="AD10" s="50">
        <v>45477</v>
      </c>
      <c r="AE10" s="41" t="s">
        <v>1</v>
      </c>
      <c r="AF10" s="41" t="s">
        <v>1</v>
      </c>
      <c r="AG10" s="40" t="s">
        <v>5</v>
      </c>
      <c r="AH10" s="36" t="s">
        <v>1</v>
      </c>
      <c r="AI10" s="49">
        <v>0</v>
      </c>
      <c r="AJ10" s="36" t="s">
        <v>1</v>
      </c>
      <c r="AK10" s="9" t="s">
        <v>1</v>
      </c>
      <c r="AL10" s="36" t="s">
        <v>1</v>
      </c>
      <c r="AM10" s="36" t="s">
        <v>1</v>
      </c>
      <c r="AN10" s="35" t="s">
        <v>1</v>
      </c>
      <c r="AO10" s="35" t="s">
        <v>1</v>
      </c>
      <c r="AP10" s="35" t="s">
        <v>1</v>
      </c>
      <c r="AQ10" s="35" t="s">
        <v>1</v>
      </c>
      <c r="AR10" s="82" t="s">
        <v>1</v>
      </c>
      <c r="AS10" s="33"/>
      <c r="AT10" s="30"/>
      <c r="AU10" s="55"/>
      <c r="AV10" s="30"/>
      <c r="AW10" s="55"/>
      <c r="AX10" s="30" t="s">
        <v>1</v>
      </c>
      <c r="AY10" s="55"/>
      <c r="AZ10" s="30" t="s">
        <v>1</v>
      </c>
      <c r="BA10" s="55"/>
      <c r="BB10" s="122" t="s">
        <v>864</v>
      </c>
      <c r="BC10" s="25"/>
      <c r="BD10" s="24" t="s">
        <v>19</v>
      </c>
      <c r="BE10" s="24" t="s">
        <v>19</v>
      </c>
      <c r="BF10" s="24" t="s">
        <v>51</v>
      </c>
      <c r="BG10" s="24" t="s">
        <v>11</v>
      </c>
      <c r="BH10" s="130" t="s">
        <v>19</v>
      </c>
      <c r="BI10" s="24"/>
      <c r="BJ10" s="24" t="s">
        <v>11</v>
      </c>
      <c r="BK10" s="24" t="s">
        <v>11</v>
      </c>
      <c r="BL10" s="24" t="s">
        <v>11</v>
      </c>
      <c r="BM10" s="24" t="s">
        <v>11</v>
      </c>
      <c r="BN10" s="24" t="s">
        <v>11</v>
      </c>
      <c r="BO10" s="24" t="s">
        <v>11</v>
      </c>
      <c r="BP10" s="24" t="s">
        <v>11</v>
      </c>
      <c r="BQ10" s="22">
        <f>YEAR([1]!BANCO10[[#This Row],[DATA INÍCIO]])</f>
        <v>2024</v>
      </c>
      <c r="BR10" s="22">
        <f>MONTH([1]!BANCO10[[#This Row],[DATA INÍCIO]])</f>
        <v>7</v>
      </c>
      <c r="BS10" s="23" t="e">
        <f>CONCATENATE(#REF!,#REF!)</f>
        <v>#REF!</v>
      </c>
      <c r="BT10" s="22"/>
      <c r="BU10" s="21" t="s">
        <v>863</v>
      </c>
      <c r="BV10" s="21" t="str">
        <f>IF([1]!BANCO10[[#This Row],[SOLUÇÃO]]=BV$1,[1]!BANCO10[[#This Row],[STATUS DA ETAPA]],"")</f>
        <v>CONCLUÍDO</v>
      </c>
      <c r="BW10" s="21" t="str">
        <f>IF([1]!BANCO10[[#This Row],[SOLUÇÃO]]=BW$1,[1]!BANCO10[[#This Row],[STATUS DA ETAPA]],"")</f>
        <v/>
      </c>
      <c r="BX10" s="21" t="str">
        <f>IF([1]!BANCO10[[#This Row],[SOLUÇÃO]]=BX$1,[1]!BANCO10[[#This Row],[STATUS DA ETAPA]],"")</f>
        <v/>
      </c>
      <c r="BY10" s="21" t="str">
        <f>IF([1]!BANCO10[[#This Row],[SOLUÇÃO]]=BY$1,[1]!BANCO10[[#This Row],[STATUS DA ETAPA]],"")</f>
        <v/>
      </c>
      <c r="BZ10" s="21" t="str">
        <f>IF([1]!BANCO10[[#This Row],[SOLUÇÃO]]=BZ$1,[1]!BANCO10[[#This Row],[STATUS DA ETAPA]],"")</f>
        <v/>
      </c>
      <c r="CA10" s="21" t="str">
        <f>IF([1]!BANCO10[[#This Row],[SOLUÇÃO]]=CA$1,[1]!BANCO10[[#This Row],[STATUS DA ETAPA]],"")</f>
        <v/>
      </c>
      <c r="CB10" s="21" t="str">
        <f>IF([1]!BANCO10[[#This Row],[SOLUÇÃO]]=CB$1,[1]!BANCO10[[#This Row],[STATUS DA ETAPA]],"")</f>
        <v/>
      </c>
      <c r="CC10" s="21" t="str">
        <f>IF([1]!BANCO10[[#This Row],[SOLUÇÃO]]=CC$1,[1]!BANCO10[[#This Row],[STATUS DA ETAPA]],"")</f>
        <v/>
      </c>
      <c r="CD10" s="21" t="str">
        <f>IF([1]!BANCO10[[#This Row],[SOLUÇÃO]]=CD$1,[1]!BANCO10[[#This Row],[STATUS DA ETAPA]],"")</f>
        <v/>
      </c>
      <c r="CE10" s="21" t="str">
        <f>IF([1]!BANCO10[[#This Row],[SOLUÇÃO]]=CE$1,[1]!BANCO10[[#This Row],[STATUS DA ETAPA]],"")</f>
        <v/>
      </c>
      <c r="CF10" s="21" t="str">
        <f>IF([1]!BANCO10[[#This Row],[SOLUÇÃO]]=CF$1,[1]!BANCO10[[#This Row],[STATUS DA ETAPA]],"")</f>
        <v/>
      </c>
      <c r="CG10" s="21" t="str">
        <f>IF([1]!BANCO10[[#This Row],[SOLUÇÃO]]=CG$1,[1]!BANCO10[[#This Row],[STATUS DA ETAPA]],"")</f>
        <v/>
      </c>
      <c r="CH10" s="21" t="str">
        <f>IF([1]!BANCO10[[#This Row],[SOLUÇÃO]]=CH$1,[1]!BANCO10[[#This Row],[STATUS DA ETAPA]],"")</f>
        <v/>
      </c>
      <c r="CI10" s="21" t="str">
        <f>IF([1]!BANCO10[[#This Row],[SOLUÇÃO]]=CI$1,[1]!BANCO10[[#This Row],[STATUS DA ETAPA]],"")</f>
        <v/>
      </c>
      <c r="CJ10" s="21" t="str">
        <f>IF([1]!BANCO10[[#This Row],[SOLUÇÃO]]=CJ$1,[1]!BANCO10[[#This Row],[STATUS DA ETAPA]],"")</f>
        <v/>
      </c>
      <c r="CK10" s="21" t="str">
        <f>IF([1]!BANCO10[[#This Row],[SOLUÇÃO]]=CK$1,[1]!BANCO10[[#This Row],[STATUS DA ETAPA]],"")</f>
        <v/>
      </c>
      <c r="CL10" s="21" t="str">
        <f>IF([1]!BANCO10[[#This Row],[SOLUÇÃO]]=CL$1,[1]!BANCO10[[#This Row],[STATUS DA ETAPA]],"")</f>
        <v/>
      </c>
      <c r="CM10" s="21" t="str">
        <f>IF([1]!BANCO10[[#This Row],[SOLUÇÃO]]=CM$1,[1]!BANCO10[[#This Row],[STATUS DA ETAPA]],"")</f>
        <v/>
      </c>
      <c r="CN10" s="21" t="str">
        <f>IF([1]!BANCO10[[#This Row],[SOLUÇÃO]]=CN$1,[1]!BANCO10[[#This Row],[STATUS DA ETAPA]],"")</f>
        <v/>
      </c>
      <c r="CO10" s="21" t="str">
        <f>IF([1]!BANCO10[[#This Row],[SOLUÇÃO]]=CO$1,[1]!BANCO10[[#This Row],[STATUS DA ETAPA]],"")</f>
        <v/>
      </c>
      <c r="CP10" s="21" t="str">
        <f>IF([1]!BANCO10[[#This Row],[SOLUÇÃO]]=CP$1,[1]!BANCO10[[#This Row],[STATUS DA ETAPA]],"")</f>
        <v/>
      </c>
      <c r="CQ10" s="21" t="str">
        <f>IF([1]!BANCO10[[#This Row],[SOLUÇÃO]]=CQ$1,[1]!BANCO10[[#This Row],[STATUS DA ETAPA]],"")</f>
        <v/>
      </c>
      <c r="CR10" s="21" t="str">
        <f>IF([1]!BANCO10[[#This Row],[SOLUÇÃO]]=CR$1,[1]!BANCO10[[#This Row],[STATUS DA ETAPA]],"")</f>
        <v/>
      </c>
      <c r="CS10" s="21" t="str">
        <f>IF([1]!BANCO10[[#This Row],[SOLUÇÃO]]=CS$1,[1]!BANCO10[[#This Row],[STATUS DA ETAPA]],"")</f>
        <v/>
      </c>
      <c r="CT10" s="21" t="str">
        <f>IF([1]!BANCO10[[#This Row],[SOLUÇÃO]]=CT$1,[1]!BANCO10[[#This Row],[STATUS DA ETAPA]],"")</f>
        <v/>
      </c>
      <c r="CU10" s="21" t="str">
        <f>IF([1]!BANCO10[[#This Row],[SOLUÇÃO]]=CU$1,[1]!BANCO10[[#This Row],[STATUS DA ETAPA]],"")</f>
        <v/>
      </c>
      <c r="CV10" s="21" t="str">
        <f>IF([1]!BANCO10[[#This Row],[SOLUÇÃO]]=CV$1,[1]!BANCO10[[#This Row],[STATUS DA ETAPA]],"")</f>
        <v/>
      </c>
    </row>
    <row r="11" spans="1:100">
      <c r="A11" s="44" t="s">
        <v>2</v>
      </c>
      <c r="B11" s="44">
        <v>45383</v>
      </c>
      <c r="C11" s="44" t="s">
        <v>2</v>
      </c>
      <c r="D11" s="44">
        <v>45383</v>
      </c>
      <c r="E11" s="44" t="s">
        <v>2</v>
      </c>
      <c r="F11" s="44">
        <v>45383</v>
      </c>
      <c r="G11" s="44" t="s">
        <v>2</v>
      </c>
      <c r="H11" s="44">
        <v>45383</v>
      </c>
      <c r="I11" s="45" t="s">
        <v>2</v>
      </c>
      <c r="J11" s="46">
        <v>45536</v>
      </c>
      <c r="K11" s="45" t="s">
        <v>2</v>
      </c>
      <c r="L11" s="33">
        <v>45536</v>
      </c>
      <c r="M11" s="45" t="s">
        <v>2</v>
      </c>
      <c r="N11" s="33">
        <v>45536</v>
      </c>
      <c r="O11" s="44" t="s">
        <v>2</v>
      </c>
      <c r="P11" s="44">
        <v>45477</v>
      </c>
      <c r="Q11" s="44" t="s">
        <v>2</v>
      </c>
      <c r="R11" s="44">
        <v>45502</v>
      </c>
      <c r="S11" s="44" t="s">
        <v>2</v>
      </c>
      <c r="T11" s="44">
        <v>45536</v>
      </c>
      <c r="U11" s="44" t="s">
        <v>1</v>
      </c>
      <c r="V11" s="44"/>
      <c r="W11" s="44" t="s">
        <v>1</v>
      </c>
      <c r="X11" s="44"/>
      <c r="Y11" s="44" t="s">
        <v>1</v>
      </c>
      <c r="Z11" s="44"/>
      <c r="AA11" s="44" t="s">
        <v>1</v>
      </c>
      <c r="AB11" s="44"/>
      <c r="AC11" s="51">
        <v>45546</v>
      </c>
      <c r="AD11" s="50">
        <v>45644</v>
      </c>
      <c r="AE11" s="41" t="s">
        <v>2</v>
      </c>
      <c r="AF11" s="41" t="s">
        <v>2</v>
      </c>
      <c r="AG11" s="40" t="s">
        <v>5</v>
      </c>
      <c r="AH11" s="36" t="s">
        <v>0</v>
      </c>
      <c r="AI11" s="49">
        <f>116*190</f>
        <v>22040</v>
      </c>
      <c r="AJ11" s="36" t="s">
        <v>6</v>
      </c>
      <c r="AK11" s="9">
        <v>564557</v>
      </c>
      <c r="AL11" s="36" t="s">
        <v>1</v>
      </c>
      <c r="AM11" s="36" t="s">
        <v>1</v>
      </c>
      <c r="AN11" s="35" t="s">
        <v>2</v>
      </c>
      <c r="AO11" s="35" t="s">
        <v>2</v>
      </c>
      <c r="AP11" s="35" t="s">
        <v>2</v>
      </c>
      <c r="AQ11" s="35" t="s">
        <v>2</v>
      </c>
      <c r="AR11" s="34" t="s">
        <v>2</v>
      </c>
      <c r="AS11" s="33">
        <v>45644</v>
      </c>
      <c r="AT11" s="30" t="s">
        <v>1</v>
      </c>
      <c r="AU11" s="31"/>
      <c r="AV11" s="30" t="s">
        <v>1</v>
      </c>
      <c r="AW11" s="31"/>
      <c r="AX11" s="30" t="s">
        <v>2</v>
      </c>
      <c r="AY11" s="31">
        <v>45644</v>
      </c>
      <c r="AZ11" s="30" t="s">
        <v>0</v>
      </c>
      <c r="BA11" s="31"/>
      <c r="BB11" s="74"/>
      <c r="BC11" s="25" t="s">
        <v>45</v>
      </c>
      <c r="BD11" s="24" t="s">
        <v>19</v>
      </c>
      <c r="BE11" s="24" t="s">
        <v>19</v>
      </c>
      <c r="BF11" s="24" t="s">
        <v>51</v>
      </c>
      <c r="BG11" s="24" t="s">
        <v>11</v>
      </c>
      <c r="BH11" s="130" t="s">
        <v>19</v>
      </c>
      <c r="BI11" s="24"/>
      <c r="BJ11" s="24" t="s">
        <v>11</v>
      </c>
      <c r="BK11" s="24" t="s">
        <v>11</v>
      </c>
      <c r="BL11" s="24">
        <v>45412</v>
      </c>
      <c r="BM11" s="24" t="s">
        <v>11</v>
      </c>
      <c r="BN11" s="24" t="s">
        <v>11</v>
      </c>
      <c r="BO11" s="24" t="s">
        <v>11</v>
      </c>
      <c r="BP11" s="24" t="s">
        <v>862</v>
      </c>
      <c r="BQ11" s="22">
        <f>YEAR([1]!BANCO10[[#This Row],[DATA INÍCIO]])</f>
        <v>2024</v>
      </c>
      <c r="BR11" s="22">
        <f>MONTH([1]!BANCO10[[#This Row],[DATA INÍCIO]])</f>
        <v>9</v>
      </c>
      <c r="BS11" s="23" t="e">
        <f>CONCATENATE(#REF!,#REF!)</f>
        <v>#REF!</v>
      </c>
      <c r="BT11" s="22"/>
      <c r="BU11" s="21" t="s">
        <v>861</v>
      </c>
      <c r="BV11" s="21" t="str">
        <f>IF([1]!BANCO10[[#This Row],[SOLUÇÃO]]=BV$1,[1]!BANCO10[[#This Row],[STATUS DA ETAPA]],"")</f>
        <v/>
      </c>
      <c r="BW11" s="21" t="str">
        <f>IF([1]!BANCO10[[#This Row],[SOLUÇÃO]]=BW$1,[1]!BANCO10[[#This Row],[STATUS DA ETAPA]],"")</f>
        <v/>
      </c>
      <c r="BX11" s="21" t="str">
        <f>IF([1]!BANCO10[[#This Row],[SOLUÇÃO]]=BX$1,[1]!BANCO10[[#This Row],[STATUS DA ETAPA]],"")</f>
        <v/>
      </c>
      <c r="BY11" s="21" t="str">
        <f>IF([1]!BANCO10[[#This Row],[SOLUÇÃO]]=BY$1,[1]!BANCO10[[#This Row],[STATUS DA ETAPA]],"")</f>
        <v/>
      </c>
      <c r="BZ11" s="21" t="str">
        <f>IF([1]!BANCO10[[#This Row],[SOLUÇÃO]]=BZ$1,[1]!BANCO10[[#This Row],[STATUS DA ETAPA]],"")</f>
        <v/>
      </c>
      <c r="CA11" s="21" t="str">
        <f>IF([1]!BANCO10[[#This Row],[SOLUÇÃO]]=CA$1,[1]!BANCO10[[#This Row],[STATUS DA ETAPA]],"")</f>
        <v/>
      </c>
      <c r="CB11" s="21" t="str">
        <f>IF([1]!BANCO10[[#This Row],[SOLUÇÃO]]=CB$1,[1]!BANCO10[[#This Row],[STATUS DA ETAPA]],"")</f>
        <v>CONCLUÍDO</v>
      </c>
      <c r="CC11" s="21" t="str">
        <f>IF([1]!BANCO10[[#This Row],[SOLUÇÃO]]=CC$1,[1]!BANCO10[[#This Row],[STATUS DA ETAPA]],"")</f>
        <v/>
      </c>
      <c r="CD11" s="21" t="str">
        <f>IF([1]!BANCO10[[#This Row],[SOLUÇÃO]]=CD$1,[1]!BANCO10[[#This Row],[STATUS DA ETAPA]],"")</f>
        <v/>
      </c>
      <c r="CE11" s="21" t="str">
        <f>IF([1]!BANCO10[[#This Row],[SOLUÇÃO]]=CE$1,[1]!BANCO10[[#This Row],[STATUS DA ETAPA]],"")</f>
        <v/>
      </c>
      <c r="CF11" s="21" t="str">
        <f>IF([1]!BANCO10[[#This Row],[SOLUÇÃO]]=CF$1,[1]!BANCO10[[#This Row],[STATUS DA ETAPA]],"")</f>
        <v/>
      </c>
      <c r="CG11" s="21" t="str">
        <f>IF([1]!BANCO10[[#This Row],[SOLUÇÃO]]=CG$1,[1]!BANCO10[[#This Row],[STATUS DA ETAPA]],"")</f>
        <v/>
      </c>
      <c r="CH11" s="21" t="str">
        <f>IF([1]!BANCO10[[#This Row],[SOLUÇÃO]]=CH$1,[1]!BANCO10[[#This Row],[STATUS DA ETAPA]],"")</f>
        <v/>
      </c>
      <c r="CI11" s="21" t="str">
        <f>IF([1]!BANCO10[[#This Row],[SOLUÇÃO]]=CI$1,[1]!BANCO10[[#This Row],[STATUS DA ETAPA]],"")</f>
        <v/>
      </c>
      <c r="CJ11" s="21" t="str">
        <f>IF([1]!BANCO10[[#This Row],[SOLUÇÃO]]=CJ$1,[1]!BANCO10[[#This Row],[STATUS DA ETAPA]],"")</f>
        <v/>
      </c>
      <c r="CK11" s="21" t="str">
        <f>IF([1]!BANCO10[[#This Row],[SOLUÇÃO]]=CK$1,[1]!BANCO10[[#This Row],[STATUS DA ETAPA]],"")</f>
        <v/>
      </c>
      <c r="CL11" s="21" t="str">
        <f>IF([1]!BANCO10[[#This Row],[SOLUÇÃO]]=CL$1,[1]!BANCO10[[#This Row],[STATUS DA ETAPA]],"")</f>
        <v/>
      </c>
      <c r="CM11" s="21" t="str">
        <f>IF([1]!BANCO10[[#This Row],[SOLUÇÃO]]=CM$1,[1]!BANCO10[[#This Row],[STATUS DA ETAPA]],"")</f>
        <v/>
      </c>
      <c r="CN11" s="21" t="str">
        <f>IF([1]!BANCO10[[#This Row],[SOLUÇÃO]]=CN$1,[1]!BANCO10[[#This Row],[STATUS DA ETAPA]],"")</f>
        <v/>
      </c>
      <c r="CO11" s="21" t="str">
        <f>IF([1]!BANCO10[[#This Row],[SOLUÇÃO]]=CO$1,[1]!BANCO10[[#This Row],[STATUS DA ETAPA]],"")</f>
        <v/>
      </c>
      <c r="CP11" s="21" t="str">
        <f>IF([1]!BANCO10[[#This Row],[SOLUÇÃO]]=CP$1,[1]!BANCO10[[#This Row],[STATUS DA ETAPA]],"")</f>
        <v/>
      </c>
      <c r="CQ11" s="21" t="str">
        <f>IF([1]!BANCO10[[#This Row],[SOLUÇÃO]]=CQ$1,[1]!BANCO10[[#This Row],[STATUS DA ETAPA]],"")</f>
        <v/>
      </c>
      <c r="CR11" s="21" t="str">
        <f>IF([1]!BANCO10[[#This Row],[SOLUÇÃO]]=CR$1,[1]!BANCO10[[#This Row],[STATUS DA ETAPA]],"")</f>
        <v/>
      </c>
      <c r="CS11" s="21" t="str">
        <f>IF([1]!BANCO10[[#This Row],[SOLUÇÃO]]=CS$1,[1]!BANCO10[[#This Row],[STATUS DA ETAPA]],"")</f>
        <v/>
      </c>
      <c r="CT11" s="21" t="str">
        <f>IF([1]!BANCO10[[#This Row],[SOLUÇÃO]]=CT$1,[1]!BANCO10[[#This Row],[STATUS DA ETAPA]],"")</f>
        <v/>
      </c>
      <c r="CU11" s="21" t="str">
        <f>IF([1]!BANCO10[[#This Row],[SOLUÇÃO]]=CU$1,[1]!BANCO10[[#This Row],[STATUS DA ETAPA]],"")</f>
        <v/>
      </c>
      <c r="CV11" s="21" t="str">
        <f>IF([1]!BANCO10[[#This Row],[SOLUÇÃO]]=CV$1,[1]!BANCO10[[#This Row],[STATUS DA ETAPA]],"")</f>
        <v/>
      </c>
    </row>
    <row r="12" spans="1:100">
      <c r="A12" s="44" t="s">
        <v>1</v>
      </c>
      <c r="B12" s="44"/>
      <c r="C12" s="44" t="s">
        <v>1</v>
      </c>
      <c r="D12" s="44"/>
      <c r="E12" s="44" t="s">
        <v>1</v>
      </c>
      <c r="F12" s="44"/>
      <c r="G12" s="44" t="s">
        <v>1</v>
      </c>
      <c r="H12" s="44"/>
      <c r="I12" s="45" t="s">
        <v>1</v>
      </c>
      <c r="J12" s="46"/>
      <c r="K12" s="45" t="s">
        <v>1</v>
      </c>
      <c r="L12" s="33"/>
      <c r="M12" s="45" t="s">
        <v>1</v>
      </c>
      <c r="N12" s="33"/>
      <c r="O12" s="44" t="s">
        <v>1</v>
      </c>
      <c r="P12" s="44"/>
      <c r="Q12" s="44" t="s">
        <v>1</v>
      </c>
      <c r="R12" s="44" t="s">
        <v>1</v>
      </c>
      <c r="S12" s="44" t="s">
        <v>1</v>
      </c>
      <c r="T12" s="44"/>
      <c r="U12" s="44" t="s">
        <v>1</v>
      </c>
      <c r="V12" s="44"/>
      <c r="W12" s="44" t="s">
        <v>1</v>
      </c>
      <c r="X12" s="44"/>
      <c r="Y12" s="44" t="s">
        <v>1</v>
      </c>
      <c r="Z12" s="44"/>
      <c r="AA12" s="44" t="s">
        <v>1</v>
      </c>
      <c r="AB12" s="44"/>
      <c r="AC12" s="51">
        <v>45636</v>
      </c>
      <c r="AD12" s="50">
        <v>45636</v>
      </c>
      <c r="AE12" s="41" t="s">
        <v>1</v>
      </c>
      <c r="AF12" s="41" t="s">
        <v>1</v>
      </c>
      <c r="AG12" s="40" t="s">
        <v>4</v>
      </c>
      <c r="AH12" s="36" t="s">
        <v>0</v>
      </c>
      <c r="AI12" s="49">
        <v>0</v>
      </c>
      <c r="AJ12" s="36" t="s">
        <v>1</v>
      </c>
      <c r="AK12" s="10" t="s">
        <v>1</v>
      </c>
      <c r="AL12" s="36" t="s">
        <v>1</v>
      </c>
      <c r="AM12" s="36" t="s">
        <v>1</v>
      </c>
      <c r="AN12" s="35" t="s">
        <v>1</v>
      </c>
      <c r="AO12" s="35" t="s">
        <v>1</v>
      </c>
      <c r="AP12" s="35" t="s">
        <v>1</v>
      </c>
      <c r="AQ12" s="35" t="s">
        <v>2</v>
      </c>
      <c r="AR12" s="34" t="s">
        <v>0</v>
      </c>
      <c r="AS12" s="33"/>
      <c r="AT12" s="30" t="s">
        <v>0</v>
      </c>
      <c r="AU12" s="31"/>
      <c r="AV12" s="30" t="s">
        <v>0</v>
      </c>
      <c r="AW12" s="31"/>
      <c r="AX12" s="30" t="s">
        <v>0</v>
      </c>
      <c r="AY12" s="29"/>
      <c r="AZ12" s="28" t="s">
        <v>0</v>
      </c>
      <c r="BA12" s="27"/>
      <c r="BB12" s="26"/>
      <c r="BC12" s="25"/>
      <c r="BD12" s="24"/>
      <c r="BE12" s="24"/>
      <c r="BF12" s="24"/>
      <c r="BG12" s="24"/>
      <c r="BH12" s="24"/>
      <c r="BI12" s="24"/>
      <c r="BJ12" s="24"/>
      <c r="BK12" s="24"/>
      <c r="BL12" s="24"/>
      <c r="BM12" s="24"/>
      <c r="BN12" s="24"/>
      <c r="BO12" s="24"/>
      <c r="BP12" s="24"/>
      <c r="BQ12" s="22">
        <f>YEAR([1]!BANCO10[[#This Row],[DATA INÍCIO]])</f>
        <v>2024</v>
      </c>
      <c r="BR12" s="22">
        <f>MONTH([1]!BANCO10[[#This Row],[DATA INÍCIO]])</f>
        <v>12</v>
      </c>
      <c r="BS12" s="23" t="e">
        <f>CONCATENATE(#REF!,#REF!)</f>
        <v>#REF!</v>
      </c>
      <c r="BT12" s="22"/>
      <c r="BU12" s="22"/>
      <c r="BV12" s="21" t="str">
        <f>IF([1]!BANCO10[[#This Row],[SOLUÇÃO]]=BV$1,[1]!BANCO10[[#This Row],[STATUS DA ETAPA]],"")</f>
        <v/>
      </c>
      <c r="BW12" s="21" t="str">
        <f>IF([1]!BANCO10[[#This Row],[SOLUÇÃO]]=BW$1,[1]!BANCO10[[#This Row],[STATUS DA ETAPA]],"")</f>
        <v/>
      </c>
      <c r="BX12" s="21" t="str">
        <f>IF([1]!BANCO10[[#This Row],[SOLUÇÃO]]=BX$1,[1]!BANCO10[[#This Row],[STATUS DA ETAPA]],"")</f>
        <v/>
      </c>
      <c r="BY12" s="21" t="str">
        <f>IF([1]!BANCO10[[#This Row],[SOLUÇÃO]]=BY$1,[1]!BANCO10[[#This Row],[STATUS DA ETAPA]],"")</f>
        <v/>
      </c>
      <c r="BZ12" s="21" t="str">
        <f>IF([1]!BANCO10[[#This Row],[SOLUÇÃO]]=BZ$1,[1]!BANCO10[[#This Row],[STATUS DA ETAPA]],"")</f>
        <v/>
      </c>
      <c r="CA12" s="21" t="str">
        <f>IF([1]!BANCO10[[#This Row],[SOLUÇÃO]]=CA$1,[1]!BANCO10[[#This Row],[STATUS DA ETAPA]],"")</f>
        <v/>
      </c>
      <c r="CB12" s="21" t="str">
        <f>IF([1]!BANCO10[[#This Row],[SOLUÇÃO]]=CB$1,[1]!BANCO10[[#This Row],[STATUS DA ETAPA]],"")</f>
        <v/>
      </c>
      <c r="CC12" s="21" t="str">
        <f>IF([1]!BANCO10[[#This Row],[SOLUÇÃO]]=CC$1,[1]!BANCO10[[#This Row],[STATUS DA ETAPA]],"")</f>
        <v/>
      </c>
      <c r="CD12" s="21" t="str">
        <f>IF([1]!BANCO10[[#This Row],[SOLUÇÃO]]=CD$1,[1]!BANCO10[[#This Row],[STATUS DA ETAPA]],"")</f>
        <v/>
      </c>
      <c r="CE12" s="21" t="str">
        <f>IF([1]!BANCO10[[#This Row],[SOLUÇÃO]]=CE$1,[1]!BANCO10[[#This Row],[STATUS DA ETAPA]],"")</f>
        <v/>
      </c>
      <c r="CF12" s="21" t="str">
        <f>IF([1]!BANCO10[[#This Row],[SOLUÇÃO]]=CF$1,[1]!BANCO10[[#This Row],[STATUS DA ETAPA]],"")</f>
        <v/>
      </c>
      <c r="CG12" s="21" t="str">
        <f>IF([1]!BANCO10[[#This Row],[SOLUÇÃO]]=CG$1,[1]!BANCO10[[#This Row],[STATUS DA ETAPA]],"")</f>
        <v/>
      </c>
      <c r="CH12" s="21" t="str">
        <f>IF([1]!BANCO10[[#This Row],[SOLUÇÃO]]=CH$1,[1]!BANCO10[[#This Row],[STATUS DA ETAPA]],"")</f>
        <v/>
      </c>
      <c r="CI12" s="21" t="str">
        <f>IF([1]!BANCO10[[#This Row],[SOLUÇÃO]]=CI$1,[1]!BANCO10[[#This Row],[STATUS DA ETAPA]],"")</f>
        <v/>
      </c>
      <c r="CJ12" s="21" t="str">
        <f>IF([1]!BANCO10[[#This Row],[SOLUÇÃO]]=CJ$1,[1]!BANCO10[[#This Row],[STATUS DA ETAPA]],"")</f>
        <v/>
      </c>
      <c r="CK12" s="21" t="str">
        <f>IF([1]!BANCO10[[#This Row],[SOLUÇÃO]]=CK$1,[1]!BANCO10[[#This Row],[STATUS DA ETAPA]],"")</f>
        <v/>
      </c>
      <c r="CL12" s="21" t="str">
        <f>IF([1]!BANCO10[[#This Row],[SOLUÇÃO]]=CL$1,[1]!BANCO10[[#This Row],[STATUS DA ETAPA]],"")</f>
        <v/>
      </c>
      <c r="CM12" s="21" t="str">
        <f>IF([1]!BANCO10[[#This Row],[SOLUÇÃO]]=CM$1,[1]!BANCO10[[#This Row],[STATUS DA ETAPA]],"")</f>
        <v/>
      </c>
      <c r="CN12" s="21" t="str">
        <f>IF([1]!BANCO10[[#This Row],[SOLUÇÃO]]=CN$1,[1]!BANCO10[[#This Row],[STATUS DA ETAPA]],"")</f>
        <v/>
      </c>
      <c r="CO12" s="21" t="str">
        <f>IF([1]!BANCO10[[#This Row],[SOLUÇÃO]]=CO$1,[1]!BANCO10[[#This Row],[STATUS DA ETAPA]],"")</f>
        <v/>
      </c>
      <c r="CP12" s="21" t="str">
        <f>IF([1]!BANCO10[[#This Row],[SOLUÇÃO]]=CP$1,[1]!BANCO10[[#This Row],[STATUS DA ETAPA]],"")</f>
        <v/>
      </c>
      <c r="CQ12" s="21" t="str">
        <f>IF([1]!BANCO10[[#This Row],[SOLUÇÃO]]=CQ$1,[1]!BANCO10[[#This Row],[STATUS DA ETAPA]],"")</f>
        <v/>
      </c>
      <c r="CR12" s="21" t="str">
        <f>IF([1]!BANCO10[[#This Row],[SOLUÇÃO]]=CR$1,[1]!BANCO10[[#This Row],[STATUS DA ETAPA]],"")</f>
        <v/>
      </c>
      <c r="CS12" s="21" t="str">
        <f>IF([1]!BANCO10[[#This Row],[SOLUÇÃO]]=CS$1,[1]!BANCO10[[#This Row],[STATUS DA ETAPA]],"")</f>
        <v/>
      </c>
      <c r="CT12" s="21" t="str">
        <f>IF([1]!BANCO10[[#This Row],[SOLUÇÃO]]=CT$1,[1]!BANCO10[[#This Row],[STATUS DA ETAPA]],"")</f>
        <v/>
      </c>
      <c r="CU12" s="21" t="str">
        <f>IF([1]!BANCO10[[#This Row],[SOLUÇÃO]]=CU$1,[1]!BANCO10[[#This Row],[STATUS DA ETAPA]],"")</f>
        <v/>
      </c>
      <c r="CV12" s="21" t="str">
        <f>IF([1]!BANCO10[[#This Row],[SOLUÇÃO]]=CV$1,[1]!BANCO10[[#This Row],[STATUS DA ETAPA]],"")</f>
        <v/>
      </c>
    </row>
    <row r="13" spans="1:100">
      <c r="A13" s="44" t="s">
        <v>2</v>
      </c>
      <c r="B13" s="44">
        <v>45713</v>
      </c>
      <c r="C13" s="44" t="s">
        <v>2</v>
      </c>
      <c r="D13" s="44">
        <v>45713</v>
      </c>
      <c r="E13" s="44" t="s">
        <v>2</v>
      </c>
      <c r="F13" s="44">
        <v>45713</v>
      </c>
      <c r="G13" s="44" t="s">
        <v>2</v>
      </c>
      <c r="H13" s="44">
        <v>45713</v>
      </c>
      <c r="I13" s="45" t="s">
        <v>2</v>
      </c>
      <c r="J13" s="46">
        <v>45715</v>
      </c>
      <c r="K13" s="45" t="s">
        <v>2</v>
      </c>
      <c r="L13" s="33">
        <v>45712</v>
      </c>
      <c r="M13" s="45" t="s">
        <v>2</v>
      </c>
      <c r="N13" s="33">
        <v>45713</v>
      </c>
      <c r="O13" s="44" t="s">
        <v>1</v>
      </c>
      <c r="P13" s="44"/>
      <c r="Q13" s="44" t="s">
        <v>1</v>
      </c>
      <c r="R13" s="44"/>
      <c r="S13" s="44" t="s">
        <v>2</v>
      </c>
      <c r="T13" s="44">
        <v>45708</v>
      </c>
      <c r="U13" s="44" t="s">
        <v>1</v>
      </c>
      <c r="V13" s="44"/>
      <c r="W13" s="44" t="s">
        <v>1</v>
      </c>
      <c r="X13" s="44"/>
      <c r="Y13" s="44" t="s">
        <v>1</v>
      </c>
      <c r="Z13" s="44"/>
      <c r="AA13" s="44" t="s">
        <v>1</v>
      </c>
      <c r="AB13" s="44"/>
      <c r="AC13" s="51">
        <v>46022</v>
      </c>
      <c r="AD13" s="50">
        <v>46022</v>
      </c>
      <c r="AE13" s="41" t="s">
        <v>0</v>
      </c>
      <c r="AF13" s="41" t="s">
        <v>0</v>
      </c>
      <c r="AG13" s="40" t="s">
        <v>5</v>
      </c>
      <c r="AH13" s="36" t="s">
        <v>0</v>
      </c>
      <c r="AI13" s="49">
        <v>20140</v>
      </c>
      <c r="AJ13" s="36" t="s">
        <v>3</v>
      </c>
      <c r="AK13" s="21"/>
      <c r="AL13" s="36" t="s">
        <v>1</v>
      </c>
      <c r="AM13" s="36" t="s">
        <v>1</v>
      </c>
      <c r="AN13" s="35" t="s">
        <v>0</v>
      </c>
      <c r="AO13" s="35" t="s">
        <v>0</v>
      </c>
      <c r="AP13" s="35" t="s">
        <v>0</v>
      </c>
      <c r="AQ13" s="35" t="s">
        <v>0</v>
      </c>
      <c r="AR13" s="34" t="s">
        <v>0</v>
      </c>
      <c r="AS13" s="33"/>
      <c r="AT13" s="32" t="s">
        <v>0</v>
      </c>
      <c r="AU13" s="31"/>
      <c r="AV13" s="32" t="s">
        <v>0</v>
      </c>
      <c r="AW13" s="31"/>
      <c r="AX13" s="32" t="s">
        <v>0</v>
      </c>
      <c r="AY13" s="31"/>
      <c r="AZ13" s="32" t="s">
        <v>0</v>
      </c>
      <c r="BA13" s="31"/>
      <c r="BB13" s="26" t="s">
        <v>7</v>
      </c>
      <c r="BC13" s="25" t="s">
        <v>860</v>
      </c>
      <c r="BD13" s="24"/>
      <c r="BE13" s="24"/>
      <c r="BF13" s="24"/>
      <c r="BG13" s="24"/>
      <c r="BH13" s="24"/>
      <c r="BI13" s="24"/>
      <c r="BJ13" s="24"/>
      <c r="BK13" s="24"/>
      <c r="BL13" s="24"/>
      <c r="BM13" s="24"/>
      <c r="BN13" s="24"/>
      <c r="BO13" s="24"/>
      <c r="BP13" s="24"/>
      <c r="BQ13" s="22">
        <f>YEAR([1]!BANCO10[[#This Row],[DATA INÍCIO]])</f>
        <v>2025</v>
      </c>
      <c r="BR13" s="22">
        <f>MONTH([1]!BANCO10[[#This Row],[DATA INÍCIO]])</f>
        <v>12</v>
      </c>
      <c r="BS13" s="23" t="e">
        <f>CONCATENATE(#REF!,#REF!)</f>
        <v>#REF!</v>
      </c>
      <c r="BT13" s="22"/>
      <c r="BU13" s="22"/>
      <c r="BV13" s="21" t="str">
        <f>IF([1]!BANCO10[[#This Row],[SOLUÇÃO]]=BV$1,[1]!BANCO10[[#This Row],[STATUS DA ETAPA]],"")</f>
        <v/>
      </c>
      <c r="BW13" s="21" t="str">
        <f>IF([1]!BANCO10[[#This Row],[SOLUÇÃO]]=BW$1,[1]!BANCO10[[#This Row],[STATUS DA ETAPA]],"")</f>
        <v/>
      </c>
      <c r="BX13" s="21" t="str">
        <f>IF([1]!BANCO10[[#This Row],[SOLUÇÃO]]=BX$1,[1]!BANCO10[[#This Row],[STATUS DA ETAPA]],"")</f>
        <v/>
      </c>
      <c r="BY13" s="21" t="str">
        <f>IF([1]!BANCO10[[#This Row],[SOLUÇÃO]]=BY$1,[1]!BANCO10[[#This Row],[STATUS DA ETAPA]],"")</f>
        <v/>
      </c>
      <c r="BZ13" s="21" t="str">
        <f>IF([1]!BANCO10[[#This Row],[SOLUÇÃO]]=BZ$1,[1]!BANCO10[[#This Row],[STATUS DA ETAPA]],"")</f>
        <v/>
      </c>
      <c r="CA13" s="21" t="str">
        <f>IF([1]!BANCO10[[#This Row],[SOLUÇÃO]]=CA$1,[1]!BANCO10[[#This Row],[STATUS DA ETAPA]],"")</f>
        <v/>
      </c>
      <c r="CB13" s="21" t="str">
        <f>IF([1]!BANCO10[[#This Row],[SOLUÇÃO]]=CB$1,[1]!BANCO10[[#This Row],[STATUS DA ETAPA]],"")</f>
        <v>AGUARDANDO SALDO</v>
      </c>
      <c r="CC13" s="21" t="str">
        <f>IF([1]!BANCO10[[#This Row],[SOLUÇÃO]]=CC$1,[1]!BANCO10[[#This Row],[STATUS DA ETAPA]],"")</f>
        <v/>
      </c>
      <c r="CD13" s="21" t="str">
        <f>IF([1]!BANCO10[[#This Row],[SOLUÇÃO]]=CD$1,[1]!BANCO10[[#This Row],[STATUS DA ETAPA]],"")</f>
        <v/>
      </c>
      <c r="CE13" s="21" t="str">
        <f>IF([1]!BANCO10[[#This Row],[SOLUÇÃO]]=CE$1,[1]!BANCO10[[#This Row],[STATUS DA ETAPA]],"")</f>
        <v/>
      </c>
      <c r="CF13" s="21" t="str">
        <f>IF([1]!BANCO10[[#This Row],[SOLUÇÃO]]=CF$1,[1]!BANCO10[[#This Row],[STATUS DA ETAPA]],"")</f>
        <v/>
      </c>
      <c r="CG13" s="21" t="str">
        <f>IF([1]!BANCO10[[#This Row],[SOLUÇÃO]]=CG$1,[1]!BANCO10[[#This Row],[STATUS DA ETAPA]],"")</f>
        <v/>
      </c>
      <c r="CH13" s="21" t="str">
        <f>IF([1]!BANCO10[[#This Row],[SOLUÇÃO]]=CH$1,[1]!BANCO10[[#This Row],[STATUS DA ETAPA]],"")</f>
        <v/>
      </c>
      <c r="CI13" s="21" t="str">
        <f>IF([1]!BANCO10[[#This Row],[SOLUÇÃO]]=CI$1,[1]!BANCO10[[#This Row],[STATUS DA ETAPA]],"")</f>
        <v/>
      </c>
      <c r="CJ13" s="21" t="str">
        <f>IF([1]!BANCO10[[#This Row],[SOLUÇÃO]]=CJ$1,[1]!BANCO10[[#This Row],[STATUS DA ETAPA]],"")</f>
        <v/>
      </c>
      <c r="CK13" s="21" t="str">
        <f>IF([1]!BANCO10[[#This Row],[SOLUÇÃO]]=CK$1,[1]!BANCO10[[#This Row],[STATUS DA ETAPA]],"")</f>
        <v/>
      </c>
      <c r="CL13" s="21" t="str">
        <f>IF([1]!BANCO10[[#This Row],[SOLUÇÃO]]=CL$1,[1]!BANCO10[[#This Row],[STATUS DA ETAPA]],"")</f>
        <v/>
      </c>
      <c r="CM13" s="21" t="str">
        <f>IF([1]!BANCO10[[#This Row],[SOLUÇÃO]]=CM$1,[1]!BANCO10[[#This Row],[STATUS DA ETAPA]],"")</f>
        <v/>
      </c>
      <c r="CN13" s="21" t="str">
        <f>IF([1]!BANCO10[[#This Row],[SOLUÇÃO]]=CN$1,[1]!BANCO10[[#This Row],[STATUS DA ETAPA]],"")</f>
        <v/>
      </c>
      <c r="CO13" s="21" t="str">
        <f>IF([1]!BANCO10[[#This Row],[SOLUÇÃO]]=CO$1,[1]!BANCO10[[#This Row],[STATUS DA ETAPA]],"")</f>
        <v/>
      </c>
      <c r="CP13" s="21" t="str">
        <f>IF([1]!BANCO10[[#This Row],[SOLUÇÃO]]=CP$1,[1]!BANCO10[[#This Row],[STATUS DA ETAPA]],"")</f>
        <v/>
      </c>
      <c r="CQ13" s="21" t="str">
        <f>IF([1]!BANCO10[[#This Row],[SOLUÇÃO]]=CQ$1,[1]!BANCO10[[#This Row],[STATUS DA ETAPA]],"")</f>
        <v/>
      </c>
      <c r="CR13" s="21" t="str">
        <f>IF([1]!BANCO10[[#This Row],[SOLUÇÃO]]=CR$1,[1]!BANCO10[[#This Row],[STATUS DA ETAPA]],"")</f>
        <v/>
      </c>
      <c r="CS13" s="21" t="str">
        <f>IF([1]!BANCO10[[#This Row],[SOLUÇÃO]]=CS$1,[1]!BANCO10[[#This Row],[STATUS DA ETAPA]],"")</f>
        <v/>
      </c>
      <c r="CT13" s="21" t="str">
        <f>IF([1]!BANCO10[[#This Row],[SOLUÇÃO]]=CT$1,[1]!BANCO10[[#This Row],[STATUS DA ETAPA]],"")</f>
        <v/>
      </c>
      <c r="CU13" s="21" t="str">
        <f>IF([1]!BANCO10[[#This Row],[SOLUÇÃO]]=CU$1,[1]!BANCO10[[#This Row],[STATUS DA ETAPA]],"")</f>
        <v/>
      </c>
      <c r="CV13" s="21" t="str">
        <f>IF([1]!BANCO10[[#This Row],[SOLUÇÃO]]=CV$1,[1]!BANCO10[[#This Row],[STATUS DA ETAPA]],"")</f>
        <v/>
      </c>
    </row>
    <row r="14" spans="1:100">
      <c r="A14" s="44" t="s">
        <v>1</v>
      </c>
      <c r="B14" s="44"/>
      <c r="C14" s="44" t="s">
        <v>1</v>
      </c>
      <c r="D14" s="44"/>
      <c r="E14" s="44" t="s">
        <v>1</v>
      </c>
      <c r="F14" s="44"/>
      <c r="G14" s="44" t="s">
        <v>1</v>
      </c>
      <c r="H14" s="44"/>
      <c r="I14" s="45" t="s">
        <v>1</v>
      </c>
      <c r="J14" s="46"/>
      <c r="K14" s="45" t="s">
        <v>1</v>
      </c>
      <c r="L14" s="33"/>
      <c r="M14" s="45" t="s">
        <v>1</v>
      </c>
      <c r="N14" s="33"/>
      <c r="O14" s="44" t="s">
        <v>2</v>
      </c>
      <c r="P14" s="44">
        <v>45188</v>
      </c>
      <c r="Q14" s="44" t="s">
        <v>0</v>
      </c>
      <c r="R14" s="44"/>
      <c r="S14" s="44" t="s">
        <v>1</v>
      </c>
      <c r="T14" s="44"/>
      <c r="U14" s="44" t="s">
        <v>1</v>
      </c>
      <c r="V14" s="44"/>
      <c r="W14" s="44" t="s">
        <v>1</v>
      </c>
      <c r="X14" s="44"/>
      <c r="Y14" s="44" t="s">
        <v>1</v>
      </c>
      <c r="Z14" s="44"/>
      <c r="AA14" s="44" t="s">
        <v>1</v>
      </c>
      <c r="AB14" s="44"/>
      <c r="AC14" s="51">
        <v>45187</v>
      </c>
      <c r="AD14" s="50">
        <v>45187</v>
      </c>
      <c r="AE14" s="40" t="s">
        <v>1</v>
      </c>
      <c r="AF14" s="40" t="s">
        <v>1</v>
      </c>
      <c r="AG14" s="76" t="s">
        <v>5</v>
      </c>
      <c r="AH14" s="36" t="s">
        <v>1</v>
      </c>
      <c r="AI14" s="49">
        <v>0</v>
      </c>
      <c r="AJ14" s="36" t="s">
        <v>1</v>
      </c>
      <c r="AK14" s="9" t="s">
        <v>1</v>
      </c>
      <c r="AL14" s="36" t="s">
        <v>1</v>
      </c>
      <c r="AM14" s="36" t="s">
        <v>1</v>
      </c>
      <c r="AN14" s="35" t="s">
        <v>1</v>
      </c>
      <c r="AO14" s="35" t="s">
        <v>1</v>
      </c>
      <c r="AP14" s="35" t="s">
        <v>1</v>
      </c>
      <c r="AQ14" s="35" t="s">
        <v>1</v>
      </c>
      <c r="AR14" s="82" t="s">
        <v>1</v>
      </c>
      <c r="AS14" s="33"/>
      <c r="AT14" s="32" t="s">
        <v>1</v>
      </c>
      <c r="AU14" s="31"/>
      <c r="AV14" s="32" t="s">
        <v>1</v>
      </c>
      <c r="AW14" s="31"/>
      <c r="AX14" s="30" t="s">
        <v>1</v>
      </c>
      <c r="AY14" s="55"/>
      <c r="AZ14" s="30" t="s">
        <v>1</v>
      </c>
      <c r="BA14" s="55"/>
      <c r="BB14" s="74" t="s">
        <v>859</v>
      </c>
      <c r="BC14" s="25"/>
      <c r="BD14" s="24" t="s">
        <v>723</v>
      </c>
      <c r="BE14" s="24" t="s">
        <v>18</v>
      </c>
      <c r="BF14" s="24" t="s">
        <v>51</v>
      </c>
      <c r="BG14" s="24" t="s">
        <v>11</v>
      </c>
      <c r="BH14" s="130" t="s">
        <v>19</v>
      </c>
      <c r="BI14" s="24"/>
      <c r="BJ14" s="24" t="s">
        <v>11</v>
      </c>
      <c r="BK14" s="24" t="s">
        <v>11</v>
      </c>
      <c r="BL14" s="24" t="s">
        <v>11</v>
      </c>
      <c r="BM14" s="24" t="s">
        <v>11</v>
      </c>
      <c r="BN14" s="24" t="s">
        <v>11</v>
      </c>
      <c r="BO14" s="24" t="s">
        <v>11</v>
      </c>
      <c r="BP14" s="24" t="s">
        <v>11</v>
      </c>
      <c r="BQ14" s="22">
        <f>YEAR([1]!BANCO10[[#This Row],[DATA INÍCIO]])</f>
        <v>2023</v>
      </c>
      <c r="BR14" s="22">
        <f>MONTH([1]!BANCO10[[#This Row],[DATA INÍCIO]])</f>
        <v>9</v>
      </c>
      <c r="BS14" s="129" t="e">
        <f>CONCATENATE(#REF!,#REF!)</f>
        <v>#REF!</v>
      </c>
      <c r="BT14" s="22"/>
      <c r="BU14" s="21" t="s">
        <v>858</v>
      </c>
      <c r="BV14" s="21" t="str">
        <f>IF([1]!BANCO10[[#This Row],[SOLUÇÃO]]=BV$1,[1]!BANCO10[[#This Row],[STATUS DA ETAPA]],"")</f>
        <v>CONCLUÍDO</v>
      </c>
      <c r="BW14" s="21" t="str">
        <f>IF([1]!BANCO10[[#This Row],[SOLUÇÃO]]=BW$1,[1]!BANCO10[[#This Row],[STATUS DA ETAPA]],"")</f>
        <v/>
      </c>
      <c r="BX14" s="21" t="str">
        <f>IF([1]!BANCO10[[#This Row],[SOLUÇÃO]]=BX$1,[1]!BANCO10[[#This Row],[STATUS DA ETAPA]],"")</f>
        <v/>
      </c>
      <c r="BY14" s="21" t="str">
        <f>IF([1]!BANCO10[[#This Row],[SOLUÇÃO]]=BY$1,[1]!BANCO10[[#This Row],[STATUS DA ETAPA]],"")</f>
        <v/>
      </c>
      <c r="BZ14" s="21" t="str">
        <f>IF([1]!BANCO10[[#This Row],[SOLUÇÃO]]=BZ$1,[1]!BANCO10[[#This Row],[STATUS DA ETAPA]],"")</f>
        <v/>
      </c>
      <c r="CA14" s="21" t="str">
        <f>IF([1]!BANCO10[[#This Row],[SOLUÇÃO]]=CA$1,[1]!BANCO10[[#This Row],[STATUS DA ETAPA]],"")</f>
        <v/>
      </c>
      <c r="CB14" s="21" t="str">
        <f>IF([1]!BANCO10[[#This Row],[SOLUÇÃO]]=CB$1,[1]!BANCO10[[#This Row],[STATUS DA ETAPA]],"")</f>
        <v/>
      </c>
      <c r="CC14" s="21" t="str">
        <f>IF([1]!BANCO10[[#This Row],[SOLUÇÃO]]=CC$1,[1]!BANCO10[[#This Row],[STATUS DA ETAPA]],"")</f>
        <v/>
      </c>
      <c r="CD14" s="21" t="str">
        <f>IF([1]!BANCO10[[#This Row],[SOLUÇÃO]]=CD$1,[1]!BANCO10[[#This Row],[STATUS DA ETAPA]],"")</f>
        <v/>
      </c>
      <c r="CE14" s="21" t="str">
        <f>IF([1]!BANCO10[[#This Row],[SOLUÇÃO]]=CE$1,[1]!BANCO10[[#This Row],[STATUS DA ETAPA]],"")</f>
        <v/>
      </c>
      <c r="CF14" s="21" t="str">
        <f>IF([1]!BANCO10[[#This Row],[SOLUÇÃO]]=CF$1,[1]!BANCO10[[#This Row],[STATUS DA ETAPA]],"")</f>
        <v/>
      </c>
      <c r="CG14" s="21" t="str">
        <f>IF([1]!BANCO10[[#This Row],[SOLUÇÃO]]=CG$1,[1]!BANCO10[[#This Row],[STATUS DA ETAPA]],"")</f>
        <v/>
      </c>
      <c r="CH14" s="21" t="str">
        <f>IF([1]!BANCO10[[#This Row],[SOLUÇÃO]]=CH$1,[1]!BANCO10[[#This Row],[STATUS DA ETAPA]],"")</f>
        <v/>
      </c>
      <c r="CI14" s="21" t="str">
        <f>IF([1]!BANCO10[[#This Row],[SOLUÇÃO]]=CI$1,[1]!BANCO10[[#This Row],[STATUS DA ETAPA]],"")</f>
        <v/>
      </c>
      <c r="CJ14" s="21" t="str">
        <f>IF([1]!BANCO10[[#This Row],[SOLUÇÃO]]=CJ$1,[1]!BANCO10[[#This Row],[STATUS DA ETAPA]],"")</f>
        <v/>
      </c>
      <c r="CK14" s="21" t="str">
        <f>IF([1]!BANCO10[[#This Row],[SOLUÇÃO]]=CK$1,[1]!BANCO10[[#This Row],[STATUS DA ETAPA]],"")</f>
        <v/>
      </c>
      <c r="CL14" s="21" t="str">
        <f>IF([1]!BANCO10[[#This Row],[SOLUÇÃO]]=CL$1,[1]!BANCO10[[#This Row],[STATUS DA ETAPA]],"")</f>
        <v/>
      </c>
      <c r="CM14" s="21" t="str">
        <f>IF([1]!BANCO10[[#This Row],[SOLUÇÃO]]=CM$1,[1]!BANCO10[[#This Row],[STATUS DA ETAPA]],"")</f>
        <v/>
      </c>
      <c r="CN14" s="21" t="str">
        <f>IF([1]!BANCO10[[#This Row],[SOLUÇÃO]]=CN$1,[1]!BANCO10[[#This Row],[STATUS DA ETAPA]],"")</f>
        <v/>
      </c>
      <c r="CO14" s="21" t="str">
        <f>IF([1]!BANCO10[[#This Row],[SOLUÇÃO]]=CO$1,[1]!BANCO10[[#This Row],[STATUS DA ETAPA]],"")</f>
        <v/>
      </c>
      <c r="CP14" s="21" t="str">
        <f>IF([1]!BANCO10[[#This Row],[SOLUÇÃO]]=CP$1,[1]!BANCO10[[#This Row],[STATUS DA ETAPA]],"")</f>
        <v/>
      </c>
      <c r="CQ14" s="21" t="str">
        <f>IF([1]!BANCO10[[#This Row],[SOLUÇÃO]]=CQ$1,[1]!BANCO10[[#This Row],[STATUS DA ETAPA]],"")</f>
        <v/>
      </c>
      <c r="CR14" s="21" t="str">
        <f>IF([1]!BANCO10[[#This Row],[SOLUÇÃO]]=CR$1,[1]!BANCO10[[#This Row],[STATUS DA ETAPA]],"")</f>
        <v/>
      </c>
      <c r="CS14" s="21" t="str">
        <f>IF([1]!BANCO10[[#This Row],[SOLUÇÃO]]=CS$1,[1]!BANCO10[[#This Row],[STATUS DA ETAPA]],"")</f>
        <v/>
      </c>
      <c r="CT14" s="21" t="str">
        <f>IF([1]!BANCO10[[#This Row],[SOLUÇÃO]]=CT$1,[1]!BANCO10[[#This Row],[STATUS DA ETAPA]],"")</f>
        <v/>
      </c>
      <c r="CU14" s="21" t="str">
        <f>IF([1]!BANCO10[[#This Row],[SOLUÇÃO]]=CU$1,[1]!BANCO10[[#This Row],[STATUS DA ETAPA]],"")</f>
        <v/>
      </c>
      <c r="CV14" s="21" t="str">
        <f>IF([1]!BANCO10[[#This Row],[SOLUÇÃO]]=CV$1,[1]!BANCO10[[#This Row],[STATUS DA ETAPA]],"")</f>
        <v/>
      </c>
    </row>
    <row r="15" spans="1:100">
      <c r="A15" s="44" t="s">
        <v>1</v>
      </c>
      <c r="B15" s="44"/>
      <c r="C15" s="44" t="s">
        <v>1</v>
      </c>
      <c r="D15" s="44"/>
      <c r="E15" s="44" t="s">
        <v>1</v>
      </c>
      <c r="F15" s="44"/>
      <c r="G15" s="44" t="s">
        <v>1</v>
      </c>
      <c r="H15" s="44"/>
      <c r="I15" s="45" t="s">
        <v>1</v>
      </c>
      <c r="J15" s="46"/>
      <c r="K15" s="45" t="s">
        <v>1</v>
      </c>
      <c r="L15" s="33"/>
      <c r="M15" s="45" t="s">
        <v>1</v>
      </c>
      <c r="N15" s="33"/>
      <c r="O15" s="44" t="s">
        <v>2</v>
      </c>
      <c r="P15" s="44">
        <v>45188</v>
      </c>
      <c r="Q15" s="44" t="s">
        <v>2</v>
      </c>
      <c r="R15" s="44">
        <v>45299</v>
      </c>
      <c r="S15" s="44" t="s">
        <v>2</v>
      </c>
      <c r="T15" s="44">
        <v>45190</v>
      </c>
      <c r="U15" s="44" t="s">
        <v>1</v>
      </c>
      <c r="V15" s="44"/>
      <c r="W15" s="44" t="s">
        <v>1</v>
      </c>
      <c r="X15" s="44"/>
      <c r="Y15" s="44" t="s">
        <v>1</v>
      </c>
      <c r="Z15" s="44"/>
      <c r="AA15" s="44" t="s">
        <v>1</v>
      </c>
      <c r="AB15" s="44"/>
      <c r="AC15" s="51">
        <v>45321</v>
      </c>
      <c r="AD15" s="50">
        <v>45412</v>
      </c>
      <c r="AE15" s="40" t="s">
        <v>2</v>
      </c>
      <c r="AF15" s="40" t="s">
        <v>2</v>
      </c>
      <c r="AG15" s="76" t="s">
        <v>5</v>
      </c>
      <c r="AH15" s="36" t="s">
        <v>2</v>
      </c>
      <c r="AI15" s="49">
        <v>0</v>
      </c>
      <c r="AJ15" s="36" t="s">
        <v>1</v>
      </c>
      <c r="AK15" s="9" t="s">
        <v>1</v>
      </c>
      <c r="AL15" s="36" t="s">
        <v>1</v>
      </c>
      <c r="AM15" s="36" t="s">
        <v>1</v>
      </c>
      <c r="AN15" s="35" t="s">
        <v>1</v>
      </c>
      <c r="AO15" s="35" t="s">
        <v>1</v>
      </c>
      <c r="AP15" s="35" t="s">
        <v>2</v>
      </c>
      <c r="AQ15" s="35" t="s">
        <v>1</v>
      </c>
      <c r="AR15" s="34" t="s">
        <v>1</v>
      </c>
      <c r="AS15" s="33"/>
      <c r="AT15" s="32" t="s">
        <v>1</v>
      </c>
      <c r="AU15" s="31"/>
      <c r="AV15" s="32" t="s">
        <v>1</v>
      </c>
      <c r="AW15" s="31"/>
      <c r="AX15" s="30" t="s">
        <v>2</v>
      </c>
      <c r="AY15" s="55">
        <v>45632</v>
      </c>
      <c r="AZ15" s="30" t="s">
        <v>2</v>
      </c>
      <c r="BA15" s="55">
        <v>45412</v>
      </c>
      <c r="BB15" s="74" t="s">
        <v>857</v>
      </c>
      <c r="BC15" s="25"/>
      <c r="BD15" s="24" t="s">
        <v>723</v>
      </c>
      <c r="BE15" s="24" t="s">
        <v>18</v>
      </c>
      <c r="BF15" s="24" t="s">
        <v>51</v>
      </c>
      <c r="BG15" s="24" t="s">
        <v>11</v>
      </c>
      <c r="BH15" s="130" t="s">
        <v>19</v>
      </c>
      <c r="BI15" s="24"/>
      <c r="BJ15" s="24" t="s">
        <v>11</v>
      </c>
      <c r="BK15" s="24" t="s">
        <v>11</v>
      </c>
      <c r="BL15" s="24">
        <v>45391</v>
      </c>
      <c r="BM15" s="24"/>
      <c r="BN15" s="24" t="s">
        <v>11</v>
      </c>
      <c r="BO15" s="24"/>
      <c r="BP15" s="24" t="s">
        <v>856</v>
      </c>
      <c r="BQ15" s="22">
        <f>YEAR([1]!BANCO10[[#This Row],[DATA INÍCIO]])</f>
        <v>2024</v>
      </c>
      <c r="BR15" s="22">
        <f>MONTH([1]!BANCO10[[#This Row],[DATA INÍCIO]])</f>
        <v>1</v>
      </c>
      <c r="BS15" s="129" t="e">
        <f>CONCATENATE(#REF!,#REF!)</f>
        <v>#REF!</v>
      </c>
      <c r="BT15" s="22"/>
      <c r="BU15" s="21" t="s">
        <v>855</v>
      </c>
      <c r="BV15" s="21" t="str">
        <f>IF([1]!BANCO10[[#This Row],[SOLUÇÃO]]=BV$1,[1]!BANCO10[[#This Row],[STATUS DA ETAPA]],"")</f>
        <v/>
      </c>
      <c r="BW15" s="21" t="str">
        <f>IF([1]!BANCO10[[#This Row],[SOLUÇÃO]]=BW$1,[1]!BANCO10[[#This Row],[STATUS DA ETAPA]],"")</f>
        <v/>
      </c>
      <c r="BX15" s="21" t="str">
        <f>IF([1]!BANCO10[[#This Row],[SOLUÇÃO]]=BX$1,[1]!BANCO10[[#This Row],[STATUS DA ETAPA]],"")</f>
        <v/>
      </c>
      <c r="BY15" s="21" t="str">
        <f>IF([1]!BANCO10[[#This Row],[SOLUÇÃO]]=BY$1,[1]!BANCO10[[#This Row],[STATUS DA ETAPA]],"")</f>
        <v/>
      </c>
      <c r="BZ15" s="21" t="str">
        <f>IF([1]!BANCO10[[#This Row],[SOLUÇÃO]]=BZ$1,[1]!BANCO10[[#This Row],[STATUS DA ETAPA]],"")</f>
        <v/>
      </c>
      <c r="CA15" s="21" t="str">
        <f>IF([1]!BANCO10[[#This Row],[SOLUÇÃO]]=CA$1,[1]!BANCO10[[#This Row],[STATUS DA ETAPA]],"")</f>
        <v>CONCLUÍDO</v>
      </c>
      <c r="CB15" s="21" t="str">
        <f>IF([1]!BANCO10[[#This Row],[SOLUÇÃO]]=CB$1,[1]!BANCO10[[#This Row],[STATUS DA ETAPA]],"")</f>
        <v/>
      </c>
      <c r="CC15" s="21" t="str">
        <f>IF([1]!BANCO10[[#This Row],[SOLUÇÃO]]=CC$1,[1]!BANCO10[[#This Row],[STATUS DA ETAPA]],"")</f>
        <v/>
      </c>
      <c r="CD15" s="21" t="str">
        <f>IF([1]!BANCO10[[#This Row],[SOLUÇÃO]]=CD$1,[1]!BANCO10[[#This Row],[STATUS DA ETAPA]],"")</f>
        <v/>
      </c>
      <c r="CE15" s="21" t="str">
        <f>IF([1]!BANCO10[[#This Row],[SOLUÇÃO]]=CE$1,[1]!BANCO10[[#This Row],[STATUS DA ETAPA]],"")</f>
        <v/>
      </c>
      <c r="CF15" s="21" t="str">
        <f>IF([1]!BANCO10[[#This Row],[SOLUÇÃO]]=CF$1,[1]!BANCO10[[#This Row],[STATUS DA ETAPA]],"")</f>
        <v/>
      </c>
      <c r="CG15" s="21" t="str">
        <f>IF([1]!BANCO10[[#This Row],[SOLUÇÃO]]=CG$1,[1]!BANCO10[[#This Row],[STATUS DA ETAPA]],"")</f>
        <v/>
      </c>
      <c r="CH15" s="21" t="str">
        <f>IF([1]!BANCO10[[#This Row],[SOLUÇÃO]]=CH$1,[1]!BANCO10[[#This Row],[STATUS DA ETAPA]],"")</f>
        <v/>
      </c>
      <c r="CI15" s="21" t="str">
        <f>IF([1]!BANCO10[[#This Row],[SOLUÇÃO]]=CI$1,[1]!BANCO10[[#This Row],[STATUS DA ETAPA]],"")</f>
        <v/>
      </c>
      <c r="CJ15" s="21" t="str">
        <f>IF([1]!BANCO10[[#This Row],[SOLUÇÃO]]=CJ$1,[1]!BANCO10[[#This Row],[STATUS DA ETAPA]],"")</f>
        <v/>
      </c>
      <c r="CK15" s="21" t="str">
        <f>IF([1]!BANCO10[[#This Row],[SOLUÇÃO]]=CK$1,[1]!BANCO10[[#This Row],[STATUS DA ETAPA]],"")</f>
        <v/>
      </c>
      <c r="CL15" s="21" t="str">
        <f>IF([1]!BANCO10[[#This Row],[SOLUÇÃO]]=CL$1,[1]!BANCO10[[#This Row],[STATUS DA ETAPA]],"")</f>
        <v/>
      </c>
      <c r="CM15" s="21" t="str">
        <f>IF([1]!BANCO10[[#This Row],[SOLUÇÃO]]=CM$1,[1]!BANCO10[[#This Row],[STATUS DA ETAPA]],"")</f>
        <v/>
      </c>
      <c r="CN15" s="21" t="str">
        <f>IF([1]!BANCO10[[#This Row],[SOLUÇÃO]]=CN$1,[1]!BANCO10[[#This Row],[STATUS DA ETAPA]],"")</f>
        <v/>
      </c>
      <c r="CO15" s="21" t="str">
        <f>IF([1]!BANCO10[[#This Row],[SOLUÇÃO]]=CO$1,[1]!BANCO10[[#This Row],[STATUS DA ETAPA]],"")</f>
        <v/>
      </c>
      <c r="CP15" s="21" t="str">
        <f>IF([1]!BANCO10[[#This Row],[SOLUÇÃO]]=CP$1,[1]!BANCO10[[#This Row],[STATUS DA ETAPA]],"")</f>
        <v/>
      </c>
      <c r="CQ15" s="21" t="str">
        <f>IF([1]!BANCO10[[#This Row],[SOLUÇÃO]]=CQ$1,[1]!BANCO10[[#This Row],[STATUS DA ETAPA]],"")</f>
        <v/>
      </c>
      <c r="CR15" s="21" t="str">
        <f>IF([1]!BANCO10[[#This Row],[SOLUÇÃO]]=CR$1,[1]!BANCO10[[#This Row],[STATUS DA ETAPA]],"")</f>
        <v/>
      </c>
      <c r="CS15" s="21" t="str">
        <f>IF([1]!BANCO10[[#This Row],[SOLUÇÃO]]=CS$1,[1]!BANCO10[[#This Row],[STATUS DA ETAPA]],"")</f>
        <v/>
      </c>
      <c r="CT15" s="21" t="str">
        <f>IF([1]!BANCO10[[#This Row],[SOLUÇÃO]]=CT$1,[1]!BANCO10[[#This Row],[STATUS DA ETAPA]],"")</f>
        <v/>
      </c>
      <c r="CU15" s="21" t="str">
        <f>IF([1]!BANCO10[[#This Row],[SOLUÇÃO]]=CU$1,[1]!BANCO10[[#This Row],[STATUS DA ETAPA]],"")</f>
        <v/>
      </c>
      <c r="CV15" s="21" t="str">
        <f>IF([1]!BANCO10[[#This Row],[SOLUÇÃO]]=CV$1,[1]!BANCO10[[#This Row],[STATUS DA ETAPA]],"")</f>
        <v/>
      </c>
    </row>
    <row r="16" spans="1:100">
      <c r="A16" s="44" t="s">
        <v>1</v>
      </c>
      <c r="B16" s="44"/>
      <c r="C16" s="44" t="s">
        <v>1</v>
      </c>
      <c r="D16" s="44"/>
      <c r="E16" s="44" t="s">
        <v>1</v>
      </c>
      <c r="F16" s="44"/>
      <c r="G16" s="44" t="s">
        <v>1</v>
      </c>
      <c r="H16" s="44"/>
      <c r="I16" s="45" t="s">
        <v>1</v>
      </c>
      <c r="J16" s="46"/>
      <c r="K16" s="45" t="s">
        <v>1</v>
      </c>
      <c r="L16" s="33"/>
      <c r="M16" s="45" t="s">
        <v>1</v>
      </c>
      <c r="N16" s="33"/>
      <c r="O16" s="44" t="s">
        <v>2</v>
      </c>
      <c r="P16" s="44">
        <v>45188</v>
      </c>
      <c r="Q16" s="44" t="s">
        <v>2</v>
      </c>
      <c r="R16" s="44">
        <v>45378</v>
      </c>
      <c r="S16" s="44" t="s">
        <v>2</v>
      </c>
      <c r="T16" s="44">
        <v>45378</v>
      </c>
      <c r="U16" s="44" t="s">
        <v>2</v>
      </c>
      <c r="V16" s="44">
        <v>45379</v>
      </c>
      <c r="W16" s="44" t="s">
        <v>2</v>
      </c>
      <c r="X16" s="44"/>
      <c r="Y16" s="44" t="s">
        <v>2</v>
      </c>
      <c r="Z16" s="44"/>
      <c r="AA16" s="44" t="s">
        <v>2</v>
      </c>
      <c r="AB16" s="44"/>
      <c r="AC16" s="51">
        <v>45425</v>
      </c>
      <c r="AD16" s="50">
        <v>45621</v>
      </c>
      <c r="AE16" s="40" t="s">
        <v>2</v>
      </c>
      <c r="AF16" s="41" t="s">
        <v>2</v>
      </c>
      <c r="AG16" s="76" t="s">
        <v>4</v>
      </c>
      <c r="AH16" s="36" t="s">
        <v>0</v>
      </c>
      <c r="AI16" s="49">
        <v>8259.14</v>
      </c>
      <c r="AJ16" s="36" t="s">
        <v>6</v>
      </c>
      <c r="AK16" s="10" t="s">
        <v>30</v>
      </c>
      <c r="AL16" s="36" t="s">
        <v>89</v>
      </c>
      <c r="AM16" s="36" t="s">
        <v>30</v>
      </c>
      <c r="AN16" s="35" t="s">
        <v>1</v>
      </c>
      <c r="AO16" s="35" t="s">
        <v>1</v>
      </c>
      <c r="AP16" s="35" t="s">
        <v>2</v>
      </c>
      <c r="AQ16" s="35" t="s">
        <v>1</v>
      </c>
      <c r="AR16" s="34" t="s">
        <v>2</v>
      </c>
      <c r="AS16" s="33">
        <v>45632</v>
      </c>
      <c r="AT16" s="32" t="s">
        <v>1</v>
      </c>
      <c r="AU16" s="31"/>
      <c r="AV16" s="32" t="s">
        <v>1</v>
      </c>
      <c r="AW16" s="31"/>
      <c r="AX16" s="28" t="s">
        <v>2</v>
      </c>
      <c r="AY16" s="55">
        <v>45632</v>
      </c>
      <c r="AZ16" s="28" t="s">
        <v>2</v>
      </c>
      <c r="BA16" s="55">
        <v>45630</v>
      </c>
      <c r="BB16" s="74"/>
      <c r="BC16" s="25"/>
      <c r="BD16" s="24"/>
      <c r="BE16" s="24"/>
      <c r="BF16" s="24"/>
      <c r="BG16" s="24"/>
      <c r="BH16" s="130"/>
      <c r="BI16" s="24"/>
      <c r="BJ16" s="24" t="s">
        <v>11</v>
      </c>
      <c r="BK16" s="24" t="s">
        <v>11</v>
      </c>
      <c r="BL16" s="24" t="s">
        <v>11</v>
      </c>
      <c r="BM16" s="24" t="s">
        <v>11</v>
      </c>
      <c r="BN16" s="24" t="s">
        <v>11</v>
      </c>
      <c r="BO16" s="24" t="s">
        <v>11</v>
      </c>
      <c r="BP16" s="24" t="s">
        <v>11</v>
      </c>
      <c r="BQ16" s="22">
        <f>YEAR([1]!BANCO10[[#This Row],[DATA INÍCIO]])</f>
        <v>2024</v>
      </c>
      <c r="BR16" s="22">
        <f>MONTH([1]!BANCO10[[#This Row],[DATA INÍCIO]])</f>
        <v>5</v>
      </c>
      <c r="BS16" s="129" t="e">
        <f>CONCATENATE(#REF!,#REF!)</f>
        <v>#REF!</v>
      </c>
      <c r="BT16" s="22"/>
      <c r="BU16" s="21" t="s">
        <v>854</v>
      </c>
      <c r="BV16" s="21" t="str">
        <f>IF([1]!BANCO10[[#This Row],[SOLUÇÃO]]=BV$1,[1]!BANCO10[[#This Row],[STATUS DA ETAPA]],"")</f>
        <v/>
      </c>
      <c r="BW16" s="21" t="str">
        <f>IF([1]!BANCO10[[#This Row],[SOLUÇÃO]]=BW$1,[1]!BANCO10[[#This Row],[STATUS DA ETAPA]],"")</f>
        <v/>
      </c>
      <c r="BX16" s="21" t="str">
        <f>IF([1]!BANCO10[[#This Row],[SOLUÇÃO]]=BX$1,[1]!BANCO10[[#This Row],[STATUS DA ETAPA]],"")</f>
        <v>CONCLUÍDO</v>
      </c>
      <c r="BY16" s="21" t="str">
        <f>IF([1]!BANCO10[[#This Row],[SOLUÇÃO]]=BY$1,[1]!BANCO10[[#This Row],[STATUS DA ETAPA]],"")</f>
        <v/>
      </c>
      <c r="BZ16" s="21" t="str">
        <f>IF([1]!BANCO10[[#This Row],[SOLUÇÃO]]=BZ$1,[1]!BANCO10[[#This Row],[STATUS DA ETAPA]],"")</f>
        <v/>
      </c>
      <c r="CA16" s="21" t="str">
        <f>IF([1]!BANCO10[[#This Row],[SOLUÇÃO]]=CA$1,[1]!BANCO10[[#This Row],[STATUS DA ETAPA]],"")</f>
        <v/>
      </c>
      <c r="CB16" s="21" t="str">
        <f>IF([1]!BANCO10[[#This Row],[SOLUÇÃO]]=CB$1,[1]!BANCO10[[#This Row],[STATUS DA ETAPA]],"")</f>
        <v/>
      </c>
      <c r="CC16" s="21" t="str">
        <f>IF([1]!BANCO10[[#This Row],[SOLUÇÃO]]=CC$1,[1]!BANCO10[[#This Row],[STATUS DA ETAPA]],"")</f>
        <v/>
      </c>
      <c r="CD16" s="21" t="str">
        <f>IF([1]!BANCO10[[#This Row],[SOLUÇÃO]]=CD$1,[1]!BANCO10[[#This Row],[STATUS DA ETAPA]],"")</f>
        <v/>
      </c>
      <c r="CE16" s="21" t="str">
        <f>IF([1]!BANCO10[[#This Row],[SOLUÇÃO]]=CE$1,[1]!BANCO10[[#This Row],[STATUS DA ETAPA]],"")</f>
        <v/>
      </c>
      <c r="CF16" s="21" t="str">
        <f>IF([1]!BANCO10[[#This Row],[SOLUÇÃO]]=CF$1,[1]!BANCO10[[#This Row],[STATUS DA ETAPA]],"")</f>
        <v/>
      </c>
      <c r="CG16" s="21" t="str">
        <f>IF([1]!BANCO10[[#This Row],[SOLUÇÃO]]=CG$1,[1]!BANCO10[[#This Row],[STATUS DA ETAPA]],"")</f>
        <v/>
      </c>
      <c r="CH16" s="21" t="str">
        <f>IF([1]!BANCO10[[#This Row],[SOLUÇÃO]]=CH$1,[1]!BANCO10[[#This Row],[STATUS DA ETAPA]],"")</f>
        <v/>
      </c>
      <c r="CI16" s="21" t="str">
        <f>IF([1]!BANCO10[[#This Row],[SOLUÇÃO]]=CI$1,[1]!BANCO10[[#This Row],[STATUS DA ETAPA]],"")</f>
        <v/>
      </c>
      <c r="CJ16" s="21" t="str">
        <f>IF([1]!BANCO10[[#This Row],[SOLUÇÃO]]=CJ$1,[1]!BANCO10[[#This Row],[STATUS DA ETAPA]],"")</f>
        <v/>
      </c>
      <c r="CK16" s="21" t="str">
        <f>IF([1]!BANCO10[[#This Row],[SOLUÇÃO]]=CK$1,[1]!BANCO10[[#This Row],[STATUS DA ETAPA]],"")</f>
        <v/>
      </c>
      <c r="CL16" s="21" t="str">
        <f>IF([1]!BANCO10[[#This Row],[SOLUÇÃO]]=CL$1,[1]!BANCO10[[#This Row],[STATUS DA ETAPA]],"")</f>
        <v/>
      </c>
      <c r="CM16" s="21" t="str">
        <f>IF([1]!BANCO10[[#This Row],[SOLUÇÃO]]=CM$1,[1]!BANCO10[[#This Row],[STATUS DA ETAPA]],"")</f>
        <v/>
      </c>
      <c r="CN16" s="21" t="str">
        <f>IF([1]!BANCO10[[#This Row],[SOLUÇÃO]]=CN$1,[1]!BANCO10[[#This Row],[STATUS DA ETAPA]],"")</f>
        <v/>
      </c>
      <c r="CO16" s="21" t="str">
        <f>IF([1]!BANCO10[[#This Row],[SOLUÇÃO]]=CO$1,[1]!BANCO10[[#This Row],[STATUS DA ETAPA]],"")</f>
        <v/>
      </c>
      <c r="CP16" s="21" t="str">
        <f>IF([1]!BANCO10[[#This Row],[SOLUÇÃO]]=CP$1,[1]!BANCO10[[#This Row],[STATUS DA ETAPA]],"")</f>
        <v/>
      </c>
      <c r="CQ16" s="21" t="str">
        <f>IF([1]!BANCO10[[#This Row],[SOLUÇÃO]]=CQ$1,[1]!BANCO10[[#This Row],[STATUS DA ETAPA]],"")</f>
        <v/>
      </c>
      <c r="CR16" s="21" t="str">
        <f>IF([1]!BANCO10[[#This Row],[SOLUÇÃO]]=CR$1,[1]!BANCO10[[#This Row],[STATUS DA ETAPA]],"")</f>
        <v/>
      </c>
      <c r="CS16" s="21" t="str">
        <f>IF([1]!BANCO10[[#This Row],[SOLUÇÃO]]=CS$1,[1]!BANCO10[[#This Row],[STATUS DA ETAPA]],"")</f>
        <v/>
      </c>
      <c r="CT16" s="21" t="str">
        <f>IF([1]!BANCO10[[#This Row],[SOLUÇÃO]]=CT$1,[1]!BANCO10[[#This Row],[STATUS DA ETAPA]],"")</f>
        <v/>
      </c>
      <c r="CU16" s="21" t="str">
        <f>IF([1]!BANCO10[[#This Row],[SOLUÇÃO]]=CU$1,[1]!BANCO10[[#This Row],[STATUS DA ETAPA]],"")</f>
        <v/>
      </c>
      <c r="CV16" s="21" t="str">
        <f>IF([1]!BANCO10[[#This Row],[SOLUÇÃO]]=CV$1,[1]!BANCO10[[#This Row],[STATUS DA ETAPA]],"")</f>
        <v/>
      </c>
    </row>
    <row r="17" spans="1:100">
      <c r="A17" s="44" t="s">
        <v>1</v>
      </c>
      <c r="B17" s="44"/>
      <c r="C17" s="44" t="s">
        <v>1</v>
      </c>
      <c r="D17" s="44"/>
      <c r="E17" s="44" t="s">
        <v>1</v>
      </c>
      <c r="F17" s="44"/>
      <c r="G17" s="44" t="s">
        <v>1</v>
      </c>
      <c r="H17" s="44"/>
      <c r="I17" s="45" t="s">
        <v>1</v>
      </c>
      <c r="J17" s="46"/>
      <c r="K17" s="45" t="s">
        <v>1</v>
      </c>
      <c r="L17" s="33"/>
      <c r="M17" s="45" t="s">
        <v>1</v>
      </c>
      <c r="N17" s="33"/>
      <c r="O17" s="44" t="s">
        <v>1</v>
      </c>
      <c r="P17" s="44"/>
      <c r="Q17" s="44" t="s">
        <v>1</v>
      </c>
      <c r="R17" s="44"/>
      <c r="S17" s="44" t="s">
        <v>1</v>
      </c>
      <c r="T17" s="44"/>
      <c r="U17" s="44" t="s">
        <v>1</v>
      </c>
      <c r="V17" s="44"/>
      <c r="W17" s="44" t="s">
        <v>1</v>
      </c>
      <c r="X17" s="44"/>
      <c r="Y17" s="44" t="s">
        <v>1</v>
      </c>
      <c r="Z17" s="44"/>
      <c r="AA17" s="44" t="s">
        <v>1</v>
      </c>
      <c r="AB17" s="44"/>
      <c r="AC17" s="51">
        <v>45266</v>
      </c>
      <c r="AD17" s="50">
        <v>45266</v>
      </c>
      <c r="AE17" s="40" t="s">
        <v>1</v>
      </c>
      <c r="AF17" s="40" t="s">
        <v>1</v>
      </c>
      <c r="AG17" s="76" t="s">
        <v>5</v>
      </c>
      <c r="AH17" s="36" t="s">
        <v>1</v>
      </c>
      <c r="AI17" s="49">
        <v>0</v>
      </c>
      <c r="AJ17" s="36" t="s">
        <v>1</v>
      </c>
      <c r="AK17" s="10" t="s">
        <v>1</v>
      </c>
      <c r="AL17" s="36" t="s">
        <v>1</v>
      </c>
      <c r="AM17" s="36" t="s">
        <v>1</v>
      </c>
      <c r="AN17" s="35" t="s">
        <v>1</v>
      </c>
      <c r="AO17" s="35" t="s">
        <v>1</v>
      </c>
      <c r="AP17" s="35" t="s">
        <v>1</v>
      </c>
      <c r="AQ17" s="35" t="s">
        <v>1</v>
      </c>
      <c r="AR17" s="82" t="s">
        <v>1</v>
      </c>
      <c r="AS17" s="33"/>
      <c r="AT17" s="32" t="s">
        <v>1</v>
      </c>
      <c r="AU17" s="31"/>
      <c r="AV17" s="32" t="s">
        <v>1</v>
      </c>
      <c r="AW17" s="31"/>
      <c r="AX17" s="30" t="s">
        <v>1</v>
      </c>
      <c r="AY17" s="55"/>
      <c r="AZ17" s="30" t="s">
        <v>1</v>
      </c>
      <c r="BA17" s="55"/>
      <c r="BB17" s="74" t="s">
        <v>15</v>
      </c>
      <c r="BC17" s="25" t="s">
        <v>14</v>
      </c>
      <c r="BD17" s="24"/>
      <c r="BE17" s="24"/>
      <c r="BF17" s="24"/>
      <c r="BG17" s="24"/>
      <c r="BH17" s="130"/>
      <c r="BI17" s="24"/>
      <c r="BJ17" s="24" t="s">
        <v>11</v>
      </c>
      <c r="BK17" s="24" t="s">
        <v>11</v>
      </c>
      <c r="BL17" s="24" t="s">
        <v>11</v>
      </c>
      <c r="BM17" s="24" t="s">
        <v>11</v>
      </c>
      <c r="BN17" s="24" t="s">
        <v>11</v>
      </c>
      <c r="BO17" s="24" t="s">
        <v>11</v>
      </c>
      <c r="BP17" s="24" t="s">
        <v>11</v>
      </c>
      <c r="BQ17" s="22">
        <f>YEAR([1]!BANCO10[[#This Row],[DATA INÍCIO]])</f>
        <v>2023</v>
      </c>
      <c r="BR17" s="22">
        <f>MONTH([1]!BANCO10[[#This Row],[DATA INÍCIO]])</f>
        <v>12</v>
      </c>
      <c r="BS17" s="129" t="e">
        <f>CONCATENATE(#REF!,#REF!)</f>
        <v>#REF!</v>
      </c>
      <c r="BT17" s="22"/>
      <c r="BU17" s="21" t="s">
        <v>853</v>
      </c>
      <c r="BV17" s="21" t="str">
        <f>IF([1]!BANCO10[[#This Row],[SOLUÇÃO]]=BV$1,[1]!BANCO10[[#This Row],[STATUS DA ETAPA]],"")</f>
        <v>CONCLUÍDO</v>
      </c>
      <c r="BW17" s="21" t="str">
        <f>IF([1]!BANCO10[[#This Row],[SOLUÇÃO]]=BW$1,[1]!BANCO10[[#This Row],[STATUS DA ETAPA]],"")</f>
        <v/>
      </c>
      <c r="BX17" s="21" t="str">
        <f>IF([1]!BANCO10[[#This Row],[SOLUÇÃO]]=BX$1,[1]!BANCO10[[#This Row],[STATUS DA ETAPA]],"")</f>
        <v/>
      </c>
      <c r="BY17" s="21" t="str">
        <f>IF([1]!BANCO10[[#This Row],[SOLUÇÃO]]=BY$1,[1]!BANCO10[[#This Row],[STATUS DA ETAPA]],"")</f>
        <v/>
      </c>
      <c r="BZ17" s="21" t="str">
        <f>IF([1]!BANCO10[[#This Row],[SOLUÇÃO]]=BZ$1,[1]!BANCO10[[#This Row],[STATUS DA ETAPA]],"")</f>
        <v/>
      </c>
      <c r="CA17" s="21" t="str">
        <f>IF([1]!BANCO10[[#This Row],[SOLUÇÃO]]=CA$1,[1]!BANCO10[[#This Row],[STATUS DA ETAPA]],"")</f>
        <v/>
      </c>
      <c r="CB17" s="21" t="str">
        <f>IF([1]!BANCO10[[#This Row],[SOLUÇÃO]]=CB$1,[1]!BANCO10[[#This Row],[STATUS DA ETAPA]],"")</f>
        <v/>
      </c>
      <c r="CC17" s="21" t="str">
        <f>IF([1]!BANCO10[[#This Row],[SOLUÇÃO]]=CC$1,[1]!BANCO10[[#This Row],[STATUS DA ETAPA]],"")</f>
        <v/>
      </c>
      <c r="CD17" s="21" t="str">
        <f>IF([1]!BANCO10[[#This Row],[SOLUÇÃO]]=CD$1,[1]!BANCO10[[#This Row],[STATUS DA ETAPA]],"")</f>
        <v/>
      </c>
      <c r="CE17" s="21" t="str">
        <f>IF([1]!BANCO10[[#This Row],[SOLUÇÃO]]=CE$1,[1]!BANCO10[[#This Row],[STATUS DA ETAPA]],"")</f>
        <v/>
      </c>
      <c r="CF17" s="21" t="str">
        <f>IF([1]!BANCO10[[#This Row],[SOLUÇÃO]]=CF$1,[1]!BANCO10[[#This Row],[STATUS DA ETAPA]],"")</f>
        <v/>
      </c>
      <c r="CG17" s="21" t="str">
        <f>IF([1]!BANCO10[[#This Row],[SOLUÇÃO]]=CG$1,[1]!BANCO10[[#This Row],[STATUS DA ETAPA]],"")</f>
        <v/>
      </c>
      <c r="CH17" s="21" t="str">
        <f>IF([1]!BANCO10[[#This Row],[SOLUÇÃO]]=CH$1,[1]!BANCO10[[#This Row],[STATUS DA ETAPA]],"")</f>
        <v/>
      </c>
      <c r="CI17" s="21" t="str">
        <f>IF([1]!BANCO10[[#This Row],[SOLUÇÃO]]=CI$1,[1]!BANCO10[[#This Row],[STATUS DA ETAPA]],"")</f>
        <v/>
      </c>
      <c r="CJ17" s="21" t="str">
        <f>IF([1]!BANCO10[[#This Row],[SOLUÇÃO]]=CJ$1,[1]!BANCO10[[#This Row],[STATUS DA ETAPA]],"")</f>
        <v/>
      </c>
      <c r="CK17" s="21" t="str">
        <f>IF([1]!BANCO10[[#This Row],[SOLUÇÃO]]=CK$1,[1]!BANCO10[[#This Row],[STATUS DA ETAPA]],"")</f>
        <v/>
      </c>
      <c r="CL17" s="21" t="str">
        <f>IF([1]!BANCO10[[#This Row],[SOLUÇÃO]]=CL$1,[1]!BANCO10[[#This Row],[STATUS DA ETAPA]],"")</f>
        <v/>
      </c>
      <c r="CM17" s="21" t="str">
        <f>IF([1]!BANCO10[[#This Row],[SOLUÇÃO]]=CM$1,[1]!BANCO10[[#This Row],[STATUS DA ETAPA]],"")</f>
        <v/>
      </c>
      <c r="CN17" s="21" t="str">
        <f>IF([1]!BANCO10[[#This Row],[SOLUÇÃO]]=CN$1,[1]!BANCO10[[#This Row],[STATUS DA ETAPA]],"")</f>
        <v/>
      </c>
      <c r="CO17" s="21" t="str">
        <f>IF([1]!BANCO10[[#This Row],[SOLUÇÃO]]=CO$1,[1]!BANCO10[[#This Row],[STATUS DA ETAPA]],"")</f>
        <v/>
      </c>
      <c r="CP17" s="21" t="str">
        <f>IF([1]!BANCO10[[#This Row],[SOLUÇÃO]]=CP$1,[1]!BANCO10[[#This Row],[STATUS DA ETAPA]],"")</f>
        <v/>
      </c>
      <c r="CQ17" s="21" t="str">
        <f>IF([1]!BANCO10[[#This Row],[SOLUÇÃO]]=CQ$1,[1]!BANCO10[[#This Row],[STATUS DA ETAPA]],"")</f>
        <v/>
      </c>
      <c r="CR17" s="21" t="str">
        <f>IF([1]!BANCO10[[#This Row],[SOLUÇÃO]]=CR$1,[1]!BANCO10[[#This Row],[STATUS DA ETAPA]],"")</f>
        <v/>
      </c>
      <c r="CS17" s="21" t="str">
        <f>IF([1]!BANCO10[[#This Row],[SOLUÇÃO]]=CS$1,[1]!BANCO10[[#This Row],[STATUS DA ETAPA]],"")</f>
        <v/>
      </c>
      <c r="CT17" s="21" t="str">
        <f>IF([1]!BANCO10[[#This Row],[SOLUÇÃO]]=CT$1,[1]!BANCO10[[#This Row],[STATUS DA ETAPA]],"")</f>
        <v/>
      </c>
      <c r="CU17" s="21" t="str">
        <f>IF([1]!BANCO10[[#This Row],[SOLUÇÃO]]=CU$1,[1]!BANCO10[[#This Row],[STATUS DA ETAPA]],"")</f>
        <v/>
      </c>
      <c r="CV17" s="21" t="str">
        <f>IF([1]!BANCO10[[#This Row],[SOLUÇÃO]]=CV$1,[1]!BANCO10[[#This Row],[STATUS DA ETAPA]],"")</f>
        <v/>
      </c>
    </row>
    <row r="18" spans="1:100">
      <c r="A18" s="44" t="s">
        <v>1</v>
      </c>
      <c r="B18" s="44"/>
      <c r="C18" s="44" t="s">
        <v>1</v>
      </c>
      <c r="D18" s="44"/>
      <c r="E18" s="44" t="s">
        <v>1</v>
      </c>
      <c r="F18" s="44"/>
      <c r="G18" s="44" t="s">
        <v>1</v>
      </c>
      <c r="H18" s="44"/>
      <c r="I18" s="45" t="s">
        <v>1</v>
      </c>
      <c r="J18" s="46"/>
      <c r="K18" s="45" t="s">
        <v>1</v>
      </c>
      <c r="L18" s="33"/>
      <c r="M18" s="45" t="s">
        <v>1</v>
      </c>
      <c r="N18" s="33"/>
      <c r="O18" s="44" t="s">
        <v>2</v>
      </c>
      <c r="P18" s="44">
        <v>44740</v>
      </c>
      <c r="Q18" s="44" t="s">
        <v>0</v>
      </c>
      <c r="R18" s="44"/>
      <c r="S18" s="44" t="s">
        <v>1</v>
      </c>
      <c r="T18" s="44"/>
      <c r="U18" s="44" t="s">
        <v>1</v>
      </c>
      <c r="V18" s="44"/>
      <c r="W18" s="44" t="s">
        <v>1</v>
      </c>
      <c r="X18" s="44"/>
      <c r="Y18" s="44" t="s">
        <v>1</v>
      </c>
      <c r="Z18" s="44"/>
      <c r="AA18" s="44" t="s">
        <v>1</v>
      </c>
      <c r="AB18" s="44"/>
      <c r="AC18" s="51">
        <v>44740</v>
      </c>
      <c r="AD18" s="50">
        <v>44740</v>
      </c>
      <c r="AE18" s="40" t="s">
        <v>1</v>
      </c>
      <c r="AF18" s="40" t="s">
        <v>1</v>
      </c>
      <c r="AG18" s="76" t="s">
        <v>5</v>
      </c>
      <c r="AH18" s="36" t="s">
        <v>1</v>
      </c>
      <c r="AI18" s="49">
        <v>0</v>
      </c>
      <c r="AJ18" s="36" t="s">
        <v>1</v>
      </c>
      <c r="AK18" s="10" t="s">
        <v>1</v>
      </c>
      <c r="AL18" s="36" t="s">
        <v>1</v>
      </c>
      <c r="AM18" s="36" t="s">
        <v>1</v>
      </c>
      <c r="AN18" s="35" t="s">
        <v>1</v>
      </c>
      <c r="AO18" s="35" t="s">
        <v>1</v>
      </c>
      <c r="AP18" s="35" t="s">
        <v>1</v>
      </c>
      <c r="AQ18" s="35" t="s">
        <v>1</v>
      </c>
      <c r="AR18" s="82" t="s">
        <v>1</v>
      </c>
      <c r="AS18" s="33"/>
      <c r="AT18" s="32" t="s">
        <v>1</v>
      </c>
      <c r="AU18" s="31"/>
      <c r="AV18" s="32" t="s">
        <v>1</v>
      </c>
      <c r="AW18" s="31"/>
      <c r="AX18" s="30" t="s">
        <v>1</v>
      </c>
      <c r="AY18" s="55"/>
      <c r="AZ18" s="30" t="s">
        <v>1</v>
      </c>
      <c r="BA18" s="55"/>
      <c r="BB18" s="74" t="s">
        <v>756</v>
      </c>
      <c r="BC18" s="25"/>
      <c r="BD18" s="24" t="s">
        <v>19</v>
      </c>
      <c r="BE18" s="24" t="s">
        <v>19</v>
      </c>
      <c r="BF18" s="24" t="s">
        <v>21</v>
      </c>
      <c r="BG18" s="24" t="s">
        <v>851</v>
      </c>
      <c r="BH18" s="130" t="s">
        <v>19</v>
      </c>
      <c r="BI18" s="24"/>
      <c r="BJ18" s="24" t="s">
        <v>11</v>
      </c>
      <c r="BK18" s="24" t="s">
        <v>11</v>
      </c>
      <c r="BL18" s="24" t="s">
        <v>11</v>
      </c>
      <c r="BM18" s="24" t="s">
        <v>11</v>
      </c>
      <c r="BN18" s="24" t="s">
        <v>11</v>
      </c>
      <c r="BO18" s="24" t="s">
        <v>11</v>
      </c>
      <c r="BP18" s="24" t="s">
        <v>11</v>
      </c>
      <c r="BQ18" s="22">
        <f>YEAR([1]!BANCO10[[#This Row],[DATA INÍCIO]])</f>
        <v>2022</v>
      </c>
      <c r="BR18" s="22">
        <f>MONTH([1]!BANCO10[[#This Row],[DATA INÍCIO]])</f>
        <v>6</v>
      </c>
      <c r="BS18" s="129" t="e">
        <f>CONCATENATE(#REF!,#REF!)</f>
        <v>#REF!</v>
      </c>
      <c r="BT18" s="22"/>
      <c r="BU18" s="21" t="s">
        <v>852</v>
      </c>
      <c r="BV18" s="21" t="str">
        <f>IF([1]!BANCO10[[#This Row],[SOLUÇÃO]]=BV$1,[1]!BANCO10[[#This Row],[STATUS DA ETAPA]],"")</f>
        <v>CONCLUÍDO</v>
      </c>
      <c r="BW18" s="21" t="str">
        <f>IF([1]!BANCO10[[#This Row],[SOLUÇÃO]]=BW$1,[1]!BANCO10[[#This Row],[STATUS DA ETAPA]],"")</f>
        <v/>
      </c>
      <c r="BX18" s="21" t="str">
        <f>IF([1]!BANCO10[[#This Row],[SOLUÇÃO]]=BX$1,[1]!BANCO10[[#This Row],[STATUS DA ETAPA]],"")</f>
        <v/>
      </c>
      <c r="BY18" s="21" t="str">
        <f>IF([1]!BANCO10[[#This Row],[SOLUÇÃO]]=BY$1,[1]!BANCO10[[#This Row],[STATUS DA ETAPA]],"")</f>
        <v/>
      </c>
      <c r="BZ18" s="21" t="str">
        <f>IF([1]!BANCO10[[#This Row],[SOLUÇÃO]]=BZ$1,[1]!BANCO10[[#This Row],[STATUS DA ETAPA]],"")</f>
        <v/>
      </c>
      <c r="CA18" s="21" t="str">
        <f>IF([1]!BANCO10[[#This Row],[SOLUÇÃO]]=CA$1,[1]!BANCO10[[#This Row],[STATUS DA ETAPA]],"")</f>
        <v/>
      </c>
      <c r="CB18" s="21" t="str">
        <f>IF([1]!BANCO10[[#This Row],[SOLUÇÃO]]=CB$1,[1]!BANCO10[[#This Row],[STATUS DA ETAPA]],"")</f>
        <v/>
      </c>
      <c r="CC18" s="21" t="str">
        <f>IF([1]!BANCO10[[#This Row],[SOLUÇÃO]]=CC$1,[1]!BANCO10[[#This Row],[STATUS DA ETAPA]],"")</f>
        <v/>
      </c>
      <c r="CD18" s="21" t="str">
        <f>IF([1]!BANCO10[[#This Row],[SOLUÇÃO]]=CD$1,[1]!BANCO10[[#This Row],[STATUS DA ETAPA]],"")</f>
        <v/>
      </c>
      <c r="CE18" s="21" t="str">
        <f>IF([1]!BANCO10[[#This Row],[SOLUÇÃO]]=CE$1,[1]!BANCO10[[#This Row],[STATUS DA ETAPA]],"")</f>
        <v/>
      </c>
      <c r="CF18" s="21" t="str">
        <f>IF([1]!BANCO10[[#This Row],[SOLUÇÃO]]=CF$1,[1]!BANCO10[[#This Row],[STATUS DA ETAPA]],"")</f>
        <v/>
      </c>
      <c r="CG18" s="21" t="str">
        <f>IF([1]!BANCO10[[#This Row],[SOLUÇÃO]]=CG$1,[1]!BANCO10[[#This Row],[STATUS DA ETAPA]],"")</f>
        <v/>
      </c>
      <c r="CH18" s="21" t="str">
        <f>IF([1]!BANCO10[[#This Row],[SOLUÇÃO]]=CH$1,[1]!BANCO10[[#This Row],[STATUS DA ETAPA]],"")</f>
        <v/>
      </c>
      <c r="CI18" s="21" t="str">
        <f>IF([1]!BANCO10[[#This Row],[SOLUÇÃO]]=CI$1,[1]!BANCO10[[#This Row],[STATUS DA ETAPA]],"")</f>
        <v/>
      </c>
      <c r="CJ18" s="21" t="str">
        <f>IF([1]!BANCO10[[#This Row],[SOLUÇÃO]]=CJ$1,[1]!BANCO10[[#This Row],[STATUS DA ETAPA]],"")</f>
        <v/>
      </c>
      <c r="CK18" s="21" t="str">
        <f>IF([1]!BANCO10[[#This Row],[SOLUÇÃO]]=CK$1,[1]!BANCO10[[#This Row],[STATUS DA ETAPA]],"")</f>
        <v/>
      </c>
      <c r="CL18" s="21" t="str">
        <f>IF([1]!BANCO10[[#This Row],[SOLUÇÃO]]=CL$1,[1]!BANCO10[[#This Row],[STATUS DA ETAPA]],"")</f>
        <v/>
      </c>
      <c r="CM18" s="21" t="str">
        <f>IF([1]!BANCO10[[#This Row],[SOLUÇÃO]]=CM$1,[1]!BANCO10[[#This Row],[STATUS DA ETAPA]],"")</f>
        <v/>
      </c>
      <c r="CN18" s="21" t="str">
        <f>IF([1]!BANCO10[[#This Row],[SOLUÇÃO]]=CN$1,[1]!BANCO10[[#This Row],[STATUS DA ETAPA]],"")</f>
        <v/>
      </c>
      <c r="CO18" s="21" t="str">
        <f>IF([1]!BANCO10[[#This Row],[SOLUÇÃO]]=CO$1,[1]!BANCO10[[#This Row],[STATUS DA ETAPA]],"")</f>
        <v/>
      </c>
      <c r="CP18" s="21" t="str">
        <f>IF([1]!BANCO10[[#This Row],[SOLUÇÃO]]=CP$1,[1]!BANCO10[[#This Row],[STATUS DA ETAPA]],"")</f>
        <v/>
      </c>
      <c r="CQ18" s="21" t="str">
        <f>IF([1]!BANCO10[[#This Row],[SOLUÇÃO]]=CQ$1,[1]!BANCO10[[#This Row],[STATUS DA ETAPA]],"")</f>
        <v/>
      </c>
      <c r="CR18" s="21" t="str">
        <f>IF([1]!BANCO10[[#This Row],[SOLUÇÃO]]=CR$1,[1]!BANCO10[[#This Row],[STATUS DA ETAPA]],"")</f>
        <v/>
      </c>
      <c r="CS18" s="21" t="str">
        <f>IF([1]!BANCO10[[#This Row],[SOLUÇÃO]]=CS$1,[1]!BANCO10[[#This Row],[STATUS DA ETAPA]],"")</f>
        <v/>
      </c>
      <c r="CT18" s="21" t="str">
        <f>IF([1]!BANCO10[[#This Row],[SOLUÇÃO]]=CT$1,[1]!BANCO10[[#This Row],[STATUS DA ETAPA]],"")</f>
        <v/>
      </c>
      <c r="CU18" s="21" t="str">
        <f>IF([1]!BANCO10[[#This Row],[SOLUÇÃO]]=CU$1,[1]!BANCO10[[#This Row],[STATUS DA ETAPA]],"")</f>
        <v/>
      </c>
      <c r="CV18" s="21" t="str">
        <f>IF([1]!BANCO10[[#This Row],[SOLUÇÃO]]=CV$1,[1]!BANCO10[[#This Row],[STATUS DA ETAPA]],"")</f>
        <v/>
      </c>
    </row>
    <row r="19" spans="1:100">
      <c r="A19" s="44" t="s">
        <v>1</v>
      </c>
      <c r="B19" s="44"/>
      <c r="C19" s="44" t="s">
        <v>1</v>
      </c>
      <c r="D19" s="44"/>
      <c r="E19" s="44" t="s">
        <v>1</v>
      </c>
      <c r="F19" s="44"/>
      <c r="G19" s="44" t="s">
        <v>1</v>
      </c>
      <c r="H19" s="44"/>
      <c r="I19" s="45" t="s">
        <v>1</v>
      </c>
      <c r="J19" s="46"/>
      <c r="K19" s="45" t="s">
        <v>1</v>
      </c>
      <c r="L19" s="33"/>
      <c r="M19" s="45" t="s">
        <v>1</v>
      </c>
      <c r="N19" s="33"/>
      <c r="O19" s="44" t="s">
        <v>2</v>
      </c>
      <c r="P19" s="44">
        <v>44740</v>
      </c>
      <c r="Q19" s="44" t="s">
        <v>2</v>
      </c>
      <c r="R19" s="44">
        <v>45299</v>
      </c>
      <c r="S19" s="44" t="s">
        <v>2</v>
      </c>
      <c r="T19" s="44">
        <v>44762</v>
      </c>
      <c r="U19" s="44"/>
      <c r="V19" s="44"/>
      <c r="W19" s="44" t="s">
        <v>1</v>
      </c>
      <c r="X19" s="44"/>
      <c r="Y19" s="44" t="s">
        <v>1</v>
      </c>
      <c r="Z19" s="44"/>
      <c r="AA19" s="44" t="s">
        <v>1</v>
      </c>
      <c r="AB19" s="44"/>
      <c r="AC19" s="51">
        <v>44831</v>
      </c>
      <c r="AD19" s="50">
        <v>44922</v>
      </c>
      <c r="AE19" s="40" t="s">
        <v>2</v>
      </c>
      <c r="AF19" s="40" t="s">
        <v>2</v>
      </c>
      <c r="AG19" s="76" t="s">
        <v>5</v>
      </c>
      <c r="AH19" s="36" t="s">
        <v>2</v>
      </c>
      <c r="AI19" s="49">
        <v>0</v>
      </c>
      <c r="AJ19" s="36" t="s">
        <v>1</v>
      </c>
      <c r="AK19" s="10" t="s">
        <v>1</v>
      </c>
      <c r="AL19" s="36" t="s">
        <v>1</v>
      </c>
      <c r="AM19" s="36" t="s">
        <v>1</v>
      </c>
      <c r="AN19" s="35" t="s">
        <v>1</v>
      </c>
      <c r="AO19" s="35" t="s">
        <v>1</v>
      </c>
      <c r="AP19" s="35" t="s">
        <v>2</v>
      </c>
      <c r="AQ19" s="35" t="s">
        <v>1</v>
      </c>
      <c r="AR19" s="34" t="s">
        <v>1</v>
      </c>
      <c r="AS19" s="33"/>
      <c r="AT19" s="32" t="s">
        <v>1</v>
      </c>
      <c r="AU19" s="31"/>
      <c r="AV19" s="32" t="s">
        <v>1</v>
      </c>
      <c r="AW19" s="31"/>
      <c r="AX19" s="30" t="s">
        <v>2</v>
      </c>
      <c r="AY19" s="55">
        <v>44922</v>
      </c>
      <c r="AZ19" s="30" t="s">
        <v>1</v>
      </c>
      <c r="BA19" s="55"/>
      <c r="BB19" s="74" t="s">
        <v>756</v>
      </c>
      <c r="BC19" s="25" t="s">
        <v>427</v>
      </c>
      <c r="BD19" s="24" t="s">
        <v>11</v>
      </c>
      <c r="BE19" s="24" t="s">
        <v>11</v>
      </c>
      <c r="BF19" s="24" t="s">
        <v>21</v>
      </c>
      <c r="BG19" s="24" t="s">
        <v>851</v>
      </c>
      <c r="BH19" s="130" t="s">
        <v>19</v>
      </c>
      <c r="BI19" s="24"/>
      <c r="BJ19" s="24" t="s">
        <v>11</v>
      </c>
      <c r="BK19" s="24" t="s">
        <v>11</v>
      </c>
      <c r="BL19" s="24" t="s">
        <v>11</v>
      </c>
      <c r="BM19" s="24" t="s">
        <v>11</v>
      </c>
      <c r="BN19" s="24" t="s">
        <v>11</v>
      </c>
      <c r="BO19" s="24"/>
      <c r="BP19" s="24" t="s">
        <v>11</v>
      </c>
      <c r="BQ19" s="22">
        <f>YEAR([1]!BANCO10[[#This Row],[DATA INÍCIO]])</f>
        <v>2022</v>
      </c>
      <c r="BR19" s="22">
        <f>MONTH([1]!BANCO10[[#This Row],[DATA INÍCIO]])</f>
        <v>9</v>
      </c>
      <c r="BS19" s="129" t="e">
        <f>CONCATENATE(#REF!,#REF!)</f>
        <v>#REF!</v>
      </c>
      <c r="BT19" s="22"/>
      <c r="BU19" s="21" t="s">
        <v>850</v>
      </c>
      <c r="BV19" s="21" t="str">
        <f>IF([1]!BANCO10[[#This Row],[SOLUÇÃO]]=BV$1,[1]!BANCO10[[#This Row],[STATUS DA ETAPA]],"")</f>
        <v/>
      </c>
      <c r="BW19" s="21" t="str">
        <f>IF([1]!BANCO10[[#This Row],[SOLUÇÃO]]=BW$1,[1]!BANCO10[[#This Row],[STATUS DA ETAPA]],"")</f>
        <v/>
      </c>
      <c r="BX19" s="21" t="str">
        <f>IF([1]!BANCO10[[#This Row],[SOLUÇÃO]]=BX$1,[1]!BANCO10[[#This Row],[STATUS DA ETAPA]],"")</f>
        <v/>
      </c>
      <c r="BY19" s="21" t="str">
        <f>IF([1]!BANCO10[[#This Row],[SOLUÇÃO]]=BY$1,[1]!BANCO10[[#This Row],[STATUS DA ETAPA]],"")</f>
        <v/>
      </c>
      <c r="BZ19" s="21" t="str">
        <f>IF([1]!BANCO10[[#This Row],[SOLUÇÃO]]=BZ$1,[1]!BANCO10[[#This Row],[STATUS DA ETAPA]],"")</f>
        <v/>
      </c>
      <c r="CA19" s="21" t="str">
        <f>IF([1]!BANCO10[[#This Row],[SOLUÇÃO]]=CA$1,[1]!BANCO10[[#This Row],[STATUS DA ETAPA]],"")</f>
        <v>CONCLUÍDO</v>
      </c>
      <c r="CB19" s="21" t="str">
        <f>IF([1]!BANCO10[[#This Row],[SOLUÇÃO]]=CB$1,[1]!BANCO10[[#This Row],[STATUS DA ETAPA]],"")</f>
        <v/>
      </c>
      <c r="CC19" s="21" t="str">
        <f>IF([1]!BANCO10[[#This Row],[SOLUÇÃO]]=CC$1,[1]!BANCO10[[#This Row],[STATUS DA ETAPA]],"")</f>
        <v/>
      </c>
      <c r="CD19" s="21" t="str">
        <f>IF([1]!BANCO10[[#This Row],[SOLUÇÃO]]=CD$1,[1]!BANCO10[[#This Row],[STATUS DA ETAPA]],"")</f>
        <v/>
      </c>
      <c r="CE19" s="21" t="str">
        <f>IF([1]!BANCO10[[#This Row],[SOLUÇÃO]]=CE$1,[1]!BANCO10[[#This Row],[STATUS DA ETAPA]],"")</f>
        <v/>
      </c>
      <c r="CF19" s="21" t="str">
        <f>IF([1]!BANCO10[[#This Row],[SOLUÇÃO]]=CF$1,[1]!BANCO10[[#This Row],[STATUS DA ETAPA]],"")</f>
        <v/>
      </c>
      <c r="CG19" s="21" t="str">
        <f>IF([1]!BANCO10[[#This Row],[SOLUÇÃO]]=CG$1,[1]!BANCO10[[#This Row],[STATUS DA ETAPA]],"")</f>
        <v/>
      </c>
      <c r="CH19" s="21" t="str">
        <f>IF([1]!BANCO10[[#This Row],[SOLUÇÃO]]=CH$1,[1]!BANCO10[[#This Row],[STATUS DA ETAPA]],"")</f>
        <v/>
      </c>
      <c r="CI19" s="21" t="str">
        <f>IF([1]!BANCO10[[#This Row],[SOLUÇÃO]]=CI$1,[1]!BANCO10[[#This Row],[STATUS DA ETAPA]],"")</f>
        <v/>
      </c>
      <c r="CJ19" s="21" t="str">
        <f>IF([1]!BANCO10[[#This Row],[SOLUÇÃO]]=CJ$1,[1]!BANCO10[[#This Row],[STATUS DA ETAPA]],"")</f>
        <v/>
      </c>
      <c r="CK19" s="21" t="str">
        <f>IF([1]!BANCO10[[#This Row],[SOLUÇÃO]]=CK$1,[1]!BANCO10[[#This Row],[STATUS DA ETAPA]],"")</f>
        <v/>
      </c>
      <c r="CL19" s="21" t="str">
        <f>IF([1]!BANCO10[[#This Row],[SOLUÇÃO]]=CL$1,[1]!BANCO10[[#This Row],[STATUS DA ETAPA]],"")</f>
        <v/>
      </c>
      <c r="CM19" s="21" t="str">
        <f>IF([1]!BANCO10[[#This Row],[SOLUÇÃO]]=CM$1,[1]!BANCO10[[#This Row],[STATUS DA ETAPA]],"")</f>
        <v/>
      </c>
      <c r="CN19" s="21" t="str">
        <f>IF([1]!BANCO10[[#This Row],[SOLUÇÃO]]=CN$1,[1]!BANCO10[[#This Row],[STATUS DA ETAPA]],"")</f>
        <v/>
      </c>
      <c r="CO19" s="21" t="str">
        <f>IF([1]!BANCO10[[#This Row],[SOLUÇÃO]]=CO$1,[1]!BANCO10[[#This Row],[STATUS DA ETAPA]],"")</f>
        <v/>
      </c>
      <c r="CP19" s="21" t="str">
        <f>IF([1]!BANCO10[[#This Row],[SOLUÇÃO]]=CP$1,[1]!BANCO10[[#This Row],[STATUS DA ETAPA]],"")</f>
        <v/>
      </c>
      <c r="CQ19" s="21" t="str">
        <f>IF([1]!BANCO10[[#This Row],[SOLUÇÃO]]=CQ$1,[1]!BANCO10[[#This Row],[STATUS DA ETAPA]],"")</f>
        <v/>
      </c>
      <c r="CR19" s="21" t="str">
        <f>IF([1]!BANCO10[[#This Row],[SOLUÇÃO]]=CR$1,[1]!BANCO10[[#This Row],[STATUS DA ETAPA]],"")</f>
        <v/>
      </c>
      <c r="CS19" s="21" t="str">
        <f>IF([1]!BANCO10[[#This Row],[SOLUÇÃO]]=CS$1,[1]!BANCO10[[#This Row],[STATUS DA ETAPA]],"")</f>
        <v/>
      </c>
      <c r="CT19" s="21" t="str">
        <f>IF([1]!BANCO10[[#This Row],[SOLUÇÃO]]=CT$1,[1]!BANCO10[[#This Row],[STATUS DA ETAPA]],"")</f>
        <v/>
      </c>
      <c r="CU19" s="21" t="str">
        <f>IF([1]!BANCO10[[#This Row],[SOLUÇÃO]]=CU$1,[1]!BANCO10[[#This Row],[STATUS DA ETAPA]],"")</f>
        <v/>
      </c>
      <c r="CV19" s="21" t="str">
        <f>IF([1]!BANCO10[[#This Row],[SOLUÇÃO]]=CV$1,[1]!BANCO10[[#This Row],[STATUS DA ETAPA]],"")</f>
        <v/>
      </c>
    </row>
    <row r="20" spans="1:100">
      <c r="A20" s="44" t="s">
        <v>1</v>
      </c>
      <c r="B20" s="44"/>
      <c r="C20" s="44" t="s">
        <v>1</v>
      </c>
      <c r="D20" s="44"/>
      <c r="E20" s="44" t="s">
        <v>1</v>
      </c>
      <c r="F20" s="44"/>
      <c r="G20" s="44" t="s">
        <v>1</v>
      </c>
      <c r="H20" s="44"/>
      <c r="I20" s="45" t="s">
        <v>1</v>
      </c>
      <c r="J20" s="46"/>
      <c r="K20" s="45" t="s">
        <v>1</v>
      </c>
      <c r="L20" s="33"/>
      <c r="M20" s="45" t="s">
        <v>1</v>
      </c>
      <c r="N20" s="33"/>
      <c r="O20" s="44" t="s">
        <v>2</v>
      </c>
      <c r="P20" s="44">
        <v>44741</v>
      </c>
      <c r="Q20" s="44" t="s">
        <v>0</v>
      </c>
      <c r="R20" s="44"/>
      <c r="S20" s="44" t="s">
        <v>1</v>
      </c>
      <c r="T20" s="44"/>
      <c r="U20" s="44" t="s">
        <v>1</v>
      </c>
      <c r="V20" s="44"/>
      <c r="W20" s="44" t="s">
        <v>1</v>
      </c>
      <c r="X20" s="44"/>
      <c r="Y20" s="44" t="s">
        <v>1</v>
      </c>
      <c r="Z20" s="44"/>
      <c r="AA20" s="44" t="s">
        <v>1</v>
      </c>
      <c r="AB20" s="44"/>
      <c r="AC20" s="51">
        <v>44925</v>
      </c>
      <c r="AD20" s="50">
        <v>44925</v>
      </c>
      <c r="AE20" s="40" t="s">
        <v>1</v>
      </c>
      <c r="AF20" s="40" t="s">
        <v>1</v>
      </c>
      <c r="AG20" s="76" t="s">
        <v>5</v>
      </c>
      <c r="AH20" s="36" t="s">
        <v>1</v>
      </c>
      <c r="AI20" s="49">
        <v>0</v>
      </c>
      <c r="AJ20" s="36" t="s">
        <v>1</v>
      </c>
      <c r="AK20" s="10" t="s">
        <v>1</v>
      </c>
      <c r="AL20" s="36" t="s">
        <v>1</v>
      </c>
      <c r="AM20" s="36" t="s">
        <v>1</v>
      </c>
      <c r="AN20" s="35" t="s">
        <v>1</v>
      </c>
      <c r="AO20" s="35" t="s">
        <v>1</v>
      </c>
      <c r="AP20" s="35" t="s">
        <v>1</v>
      </c>
      <c r="AQ20" s="35" t="s">
        <v>1</v>
      </c>
      <c r="AR20" s="82" t="s">
        <v>1</v>
      </c>
      <c r="AS20" s="33"/>
      <c r="AT20" s="32" t="s">
        <v>1</v>
      </c>
      <c r="AU20" s="31"/>
      <c r="AV20" s="32" t="s">
        <v>1</v>
      </c>
      <c r="AW20" s="31"/>
      <c r="AX20" s="30" t="s">
        <v>1</v>
      </c>
      <c r="AY20" s="55"/>
      <c r="AZ20" s="30" t="s">
        <v>1</v>
      </c>
      <c r="BA20" s="55"/>
      <c r="BB20" s="74"/>
      <c r="BC20" s="25"/>
      <c r="BD20" s="24" t="s">
        <v>11</v>
      </c>
      <c r="BE20" s="24" t="s">
        <v>11</v>
      </c>
      <c r="BF20" s="24" t="s">
        <v>136</v>
      </c>
      <c r="BG20" s="24" t="s">
        <v>21</v>
      </c>
      <c r="BH20" s="130" t="s">
        <v>18</v>
      </c>
      <c r="BI20" s="24" t="s">
        <v>732</v>
      </c>
      <c r="BJ20" s="24" t="s">
        <v>11</v>
      </c>
      <c r="BK20" s="24" t="s">
        <v>11</v>
      </c>
      <c r="BL20" s="24" t="s">
        <v>11</v>
      </c>
      <c r="BM20" s="24" t="s">
        <v>11</v>
      </c>
      <c r="BN20" s="24" t="s">
        <v>11</v>
      </c>
      <c r="BO20" s="24" t="s">
        <v>11</v>
      </c>
      <c r="BP20" s="24" t="s">
        <v>11</v>
      </c>
      <c r="BQ20" s="22">
        <f>YEAR([1]!BANCO10[[#This Row],[DATA INÍCIO]])</f>
        <v>2022</v>
      </c>
      <c r="BR20" s="22">
        <f>MONTH([1]!BANCO10[[#This Row],[DATA INÍCIO]])</f>
        <v>12</v>
      </c>
      <c r="BS20" s="129" t="e">
        <f>CONCATENATE(#REF!,#REF!)</f>
        <v>#REF!</v>
      </c>
      <c r="BT20" s="22"/>
      <c r="BU20" s="21" t="s">
        <v>849</v>
      </c>
      <c r="BV20" s="21" t="str">
        <f>IF([1]!BANCO10[[#This Row],[SOLUÇÃO]]=BV$1,[1]!BANCO10[[#This Row],[STATUS DA ETAPA]],"")</f>
        <v>CONCLUÍDO</v>
      </c>
      <c r="BW20" s="21" t="str">
        <f>IF([1]!BANCO10[[#This Row],[SOLUÇÃO]]=BW$1,[1]!BANCO10[[#This Row],[STATUS DA ETAPA]],"")</f>
        <v/>
      </c>
      <c r="BX20" s="21" t="str">
        <f>IF([1]!BANCO10[[#This Row],[SOLUÇÃO]]=BX$1,[1]!BANCO10[[#This Row],[STATUS DA ETAPA]],"")</f>
        <v/>
      </c>
      <c r="BY20" s="21" t="str">
        <f>IF([1]!BANCO10[[#This Row],[SOLUÇÃO]]=BY$1,[1]!BANCO10[[#This Row],[STATUS DA ETAPA]],"")</f>
        <v/>
      </c>
      <c r="BZ20" s="21" t="str">
        <f>IF([1]!BANCO10[[#This Row],[SOLUÇÃO]]=BZ$1,[1]!BANCO10[[#This Row],[STATUS DA ETAPA]],"")</f>
        <v/>
      </c>
      <c r="CA20" s="21" t="str">
        <f>IF([1]!BANCO10[[#This Row],[SOLUÇÃO]]=CA$1,[1]!BANCO10[[#This Row],[STATUS DA ETAPA]],"")</f>
        <v/>
      </c>
      <c r="CB20" s="21" t="str">
        <f>IF([1]!BANCO10[[#This Row],[SOLUÇÃO]]=CB$1,[1]!BANCO10[[#This Row],[STATUS DA ETAPA]],"")</f>
        <v/>
      </c>
      <c r="CC20" s="21" t="str">
        <f>IF([1]!BANCO10[[#This Row],[SOLUÇÃO]]=CC$1,[1]!BANCO10[[#This Row],[STATUS DA ETAPA]],"")</f>
        <v/>
      </c>
      <c r="CD20" s="21" t="str">
        <f>IF([1]!BANCO10[[#This Row],[SOLUÇÃO]]=CD$1,[1]!BANCO10[[#This Row],[STATUS DA ETAPA]],"")</f>
        <v/>
      </c>
      <c r="CE20" s="21" t="str">
        <f>IF([1]!BANCO10[[#This Row],[SOLUÇÃO]]=CE$1,[1]!BANCO10[[#This Row],[STATUS DA ETAPA]],"")</f>
        <v/>
      </c>
      <c r="CF20" s="21" t="str">
        <f>IF([1]!BANCO10[[#This Row],[SOLUÇÃO]]=CF$1,[1]!BANCO10[[#This Row],[STATUS DA ETAPA]],"")</f>
        <v/>
      </c>
      <c r="CG20" s="21" t="str">
        <f>IF([1]!BANCO10[[#This Row],[SOLUÇÃO]]=CG$1,[1]!BANCO10[[#This Row],[STATUS DA ETAPA]],"")</f>
        <v/>
      </c>
      <c r="CH20" s="21" t="str">
        <f>IF([1]!BANCO10[[#This Row],[SOLUÇÃO]]=CH$1,[1]!BANCO10[[#This Row],[STATUS DA ETAPA]],"")</f>
        <v/>
      </c>
      <c r="CI20" s="21" t="str">
        <f>IF([1]!BANCO10[[#This Row],[SOLUÇÃO]]=CI$1,[1]!BANCO10[[#This Row],[STATUS DA ETAPA]],"")</f>
        <v/>
      </c>
      <c r="CJ20" s="21" t="str">
        <f>IF([1]!BANCO10[[#This Row],[SOLUÇÃO]]=CJ$1,[1]!BANCO10[[#This Row],[STATUS DA ETAPA]],"")</f>
        <v/>
      </c>
      <c r="CK20" s="21" t="str">
        <f>IF([1]!BANCO10[[#This Row],[SOLUÇÃO]]=CK$1,[1]!BANCO10[[#This Row],[STATUS DA ETAPA]],"")</f>
        <v/>
      </c>
      <c r="CL20" s="21" t="str">
        <f>IF([1]!BANCO10[[#This Row],[SOLUÇÃO]]=CL$1,[1]!BANCO10[[#This Row],[STATUS DA ETAPA]],"")</f>
        <v/>
      </c>
      <c r="CM20" s="21" t="str">
        <f>IF([1]!BANCO10[[#This Row],[SOLUÇÃO]]=CM$1,[1]!BANCO10[[#This Row],[STATUS DA ETAPA]],"")</f>
        <v/>
      </c>
      <c r="CN20" s="21" t="str">
        <f>IF([1]!BANCO10[[#This Row],[SOLUÇÃO]]=CN$1,[1]!BANCO10[[#This Row],[STATUS DA ETAPA]],"")</f>
        <v/>
      </c>
      <c r="CO20" s="21" t="str">
        <f>IF([1]!BANCO10[[#This Row],[SOLUÇÃO]]=CO$1,[1]!BANCO10[[#This Row],[STATUS DA ETAPA]],"")</f>
        <v/>
      </c>
      <c r="CP20" s="21" t="str">
        <f>IF([1]!BANCO10[[#This Row],[SOLUÇÃO]]=CP$1,[1]!BANCO10[[#This Row],[STATUS DA ETAPA]],"")</f>
        <v/>
      </c>
      <c r="CQ20" s="21" t="str">
        <f>IF([1]!BANCO10[[#This Row],[SOLUÇÃO]]=CQ$1,[1]!BANCO10[[#This Row],[STATUS DA ETAPA]],"")</f>
        <v/>
      </c>
      <c r="CR20" s="21" t="str">
        <f>IF([1]!BANCO10[[#This Row],[SOLUÇÃO]]=CR$1,[1]!BANCO10[[#This Row],[STATUS DA ETAPA]],"")</f>
        <v/>
      </c>
      <c r="CS20" s="21" t="str">
        <f>IF([1]!BANCO10[[#This Row],[SOLUÇÃO]]=CS$1,[1]!BANCO10[[#This Row],[STATUS DA ETAPA]],"")</f>
        <v/>
      </c>
      <c r="CT20" s="21" t="str">
        <f>IF([1]!BANCO10[[#This Row],[SOLUÇÃO]]=CT$1,[1]!BANCO10[[#This Row],[STATUS DA ETAPA]],"")</f>
        <v/>
      </c>
      <c r="CU20" s="21" t="str">
        <f>IF([1]!BANCO10[[#This Row],[SOLUÇÃO]]=CU$1,[1]!BANCO10[[#This Row],[STATUS DA ETAPA]],"")</f>
        <v/>
      </c>
      <c r="CV20" s="21" t="str">
        <f>IF([1]!BANCO10[[#This Row],[SOLUÇÃO]]=CV$1,[1]!BANCO10[[#This Row],[STATUS DA ETAPA]],"")</f>
        <v/>
      </c>
    </row>
    <row r="21" spans="1:100">
      <c r="A21" s="44" t="s">
        <v>1</v>
      </c>
      <c r="B21" s="44"/>
      <c r="C21" s="44" t="s">
        <v>1</v>
      </c>
      <c r="D21" s="44"/>
      <c r="E21" s="44" t="s">
        <v>1</v>
      </c>
      <c r="F21" s="44"/>
      <c r="G21" s="44" t="s">
        <v>1</v>
      </c>
      <c r="H21" s="44"/>
      <c r="I21" s="45" t="s">
        <v>1</v>
      </c>
      <c r="J21" s="46"/>
      <c r="K21" s="45" t="s">
        <v>1</v>
      </c>
      <c r="L21" s="33"/>
      <c r="M21" s="45" t="s">
        <v>1</v>
      </c>
      <c r="N21" s="33"/>
      <c r="O21" s="44" t="s">
        <v>2</v>
      </c>
      <c r="P21" s="44">
        <v>44741</v>
      </c>
      <c r="Q21" s="44" t="s">
        <v>2</v>
      </c>
      <c r="R21" s="44">
        <v>44742</v>
      </c>
      <c r="S21" s="44" t="s">
        <v>1</v>
      </c>
      <c r="T21" s="44"/>
      <c r="U21" s="44" t="s">
        <v>2</v>
      </c>
      <c r="V21" s="44">
        <v>45005</v>
      </c>
      <c r="W21" s="44" t="s">
        <v>2</v>
      </c>
      <c r="X21" s="44"/>
      <c r="Y21" s="44" t="s">
        <v>2</v>
      </c>
      <c r="Z21" s="44">
        <v>45007</v>
      </c>
      <c r="AA21" s="44" t="s">
        <v>2</v>
      </c>
      <c r="AB21" s="44"/>
      <c r="AC21" s="51">
        <v>45029</v>
      </c>
      <c r="AD21" s="50">
        <v>45089</v>
      </c>
      <c r="AE21" s="40" t="s">
        <v>2</v>
      </c>
      <c r="AF21" s="40" t="s">
        <v>2</v>
      </c>
      <c r="AG21" s="76" t="s">
        <v>5</v>
      </c>
      <c r="AH21" s="36" t="s">
        <v>0</v>
      </c>
      <c r="AI21" s="49">
        <f>60*165</f>
        <v>9900</v>
      </c>
      <c r="AJ21" s="36" t="s">
        <v>6</v>
      </c>
      <c r="AK21" s="10"/>
      <c r="AL21" s="36">
        <v>4728</v>
      </c>
      <c r="AM21" s="36"/>
      <c r="AN21" s="35" t="s">
        <v>1</v>
      </c>
      <c r="AO21" s="35" t="s">
        <v>1</v>
      </c>
      <c r="AP21" s="35" t="s">
        <v>2</v>
      </c>
      <c r="AQ21" s="35" t="s">
        <v>1</v>
      </c>
      <c r="AR21" s="34" t="s">
        <v>1</v>
      </c>
      <c r="AS21" s="33"/>
      <c r="AT21" s="32" t="s">
        <v>1</v>
      </c>
      <c r="AU21" s="31"/>
      <c r="AV21" s="32" t="s">
        <v>1</v>
      </c>
      <c r="AW21" s="31"/>
      <c r="AX21" s="30" t="s">
        <v>2</v>
      </c>
      <c r="AY21" s="55">
        <v>45089</v>
      </c>
      <c r="AZ21" s="30" t="s">
        <v>2</v>
      </c>
      <c r="BA21" s="55"/>
      <c r="BB21" s="74"/>
      <c r="BC21" s="25"/>
      <c r="BD21" s="24" t="s">
        <v>11</v>
      </c>
      <c r="BE21" s="24" t="s">
        <v>11</v>
      </c>
      <c r="BF21" s="24" t="s">
        <v>136</v>
      </c>
      <c r="BG21" s="24" t="s">
        <v>21</v>
      </c>
      <c r="BH21" s="130" t="s">
        <v>18</v>
      </c>
      <c r="BI21" s="24" t="s">
        <v>732</v>
      </c>
      <c r="BJ21" s="24" t="s">
        <v>11</v>
      </c>
      <c r="BK21" s="24" t="s">
        <v>11</v>
      </c>
      <c r="BL21" s="24" t="s">
        <v>11</v>
      </c>
      <c r="BM21" s="24" t="s">
        <v>11</v>
      </c>
      <c r="BN21" s="24" t="s">
        <v>11</v>
      </c>
      <c r="BO21" s="24" t="s">
        <v>11</v>
      </c>
      <c r="BP21" s="24" t="s">
        <v>11</v>
      </c>
      <c r="BQ21" s="22">
        <f>YEAR([1]!BANCO10[[#This Row],[DATA INÍCIO]])</f>
        <v>2023</v>
      </c>
      <c r="BR21" s="22">
        <f>MONTH([1]!BANCO10[[#This Row],[DATA INÍCIO]])</f>
        <v>4</v>
      </c>
      <c r="BS21" s="129" t="e">
        <f>CONCATENATE(#REF!,#REF!)</f>
        <v>#REF!</v>
      </c>
      <c r="BT21" s="22"/>
      <c r="BU21" s="21" t="s">
        <v>196</v>
      </c>
      <c r="BV21" s="21" t="str">
        <f>IF([1]!BANCO10[[#This Row],[SOLUÇÃO]]=BV$1,[1]!BANCO10[[#This Row],[STATUS DA ETAPA]],"")</f>
        <v/>
      </c>
      <c r="BW21" s="21" t="str">
        <f>IF([1]!BANCO10[[#This Row],[SOLUÇÃO]]=BW$1,[1]!BANCO10[[#This Row],[STATUS DA ETAPA]],"")</f>
        <v/>
      </c>
      <c r="BX21" s="21" t="str">
        <f>IF([1]!BANCO10[[#This Row],[SOLUÇÃO]]=BX$1,[1]!BANCO10[[#This Row],[STATUS DA ETAPA]],"")</f>
        <v/>
      </c>
      <c r="BY21" s="21" t="str">
        <f>IF([1]!BANCO10[[#This Row],[SOLUÇÃO]]=BY$1,[1]!BANCO10[[#This Row],[STATUS DA ETAPA]],"")</f>
        <v/>
      </c>
      <c r="BZ21" s="21" t="str">
        <f>IF([1]!BANCO10[[#This Row],[SOLUÇÃO]]=BZ$1,[1]!BANCO10[[#This Row],[STATUS DA ETAPA]],"")</f>
        <v/>
      </c>
      <c r="CA21" s="21" t="str">
        <f>IF([1]!BANCO10[[#This Row],[SOLUÇÃO]]=CA$1,[1]!BANCO10[[#This Row],[STATUS DA ETAPA]],"")</f>
        <v>CONCLUÍDO</v>
      </c>
      <c r="CB21" s="21" t="str">
        <f>IF([1]!BANCO10[[#This Row],[SOLUÇÃO]]=CB$1,[1]!BANCO10[[#This Row],[STATUS DA ETAPA]],"")</f>
        <v/>
      </c>
      <c r="CC21" s="21" t="str">
        <f>IF([1]!BANCO10[[#This Row],[SOLUÇÃO]]=CC$1,[1]!BANCO10[[#This Row],[STATUS DA ETAPA]],"")</f>
        <v/>
      </c>
      <c r="CD21" s="21" t="str">
        <f>IF([1]!BANCO10[[#This Row],[SOLUÇÃO]]=CD$1,[1]!BANCO10[[#This Row],[STATUS DA ETAPA]],"")</f>
        <v/>
      </c>
      <c r="CE21" s="21" t="str">
        <f>IF([1]!BANCO10[[#This Row],[SOLUÇÃO]]=CE$1,[1]!BANCO10[[#This Row],[STATUS DA ETAPA]],"")</f>
        <v/>
      </c>
      <c r="CF21" s="21" t="str">
        <f>IF([1]!BANCO10[[#This Row],[SOLUÇÃO]]=CF$1,[1]!BANCO10[[#This Row],[STATUS DA ETAPA]],"")</f>
        <v/>
      </c>
      <c r="CG21" s="21" t="str">
        <f>IF([1]!BANCO10[[#This Row],[SOLUÇÃO]]=CG$1,[1]!BANCO10[[#This Row],[STATUS DA ETAPA]],"")</f>
        <v/>
      </c>
      <c r="CH21" s="21" t="str">
        <f>IF([1]!BANCO10[[#This Row],[SOLUÇÃO]]=CH$1,[1]!BANCO10[[#This Row],[STATUS DA ETAPA]],"")</f>
        <v/>
      </c>
      <c r="CI21" s="21" t="str">
        <f>IF([1]!BANCO10[[#This Row],[SOLUÇÃO]]=CI$1,[1]!BANCO10[[#This Row],[STATUS DA ETAPA]],"")</f>
        <v/>
      </c>
      <c r="CJ21" s="21" t="str">
        <f>IF([1]!BANCO10[[#This Row],[SOLUÇÃO]]=CJ$1,[1]!BANCO10[[#This Row],[STATUS DA ETAPA]],"")</f>
        <v/>
      </c>
      <c r="CK21" s="21" t="str">
        <f>IF([1]!BANCO10[[#This Row],[SOLUÇÃO]]=CK$1,[1]!BANCO10[[#This Row],[STATUS DA ETAPA]],"")</f>
        <v/>
      </c>
      <c r="CL21" s="21" t="str">
        <f>IF([1]!BANCO10[[#This Row],[SOLUÇÃO]]=CL$1,[1]!BANCO10[[#This Row],[STATUS DA ETAPA]],"")</f>
        <v/>
      </c>
      <c r="CM21" s="21" t="str">
        <f>IF([1]!BANCO10[[#This Row],[SOLUÇÃO]]=CM$1,[1]!BANCO10[[#This Row],[STATUS DA ETAPA]],"")</f>
        <v/>
      </c>
      <c r="CN21" s="21" t="str">
        <f>IF([1]!BANCO10[[#This Row],[SOLUÇÃO]]=CN$1,[1]!BANCO10[[#This Row],[STATUS DA ETAPA]],"")</f>
        <v/>
      </c>
      <c r="CO21" s="21" t="str">
        <f>IF([1]!BANCO10[[#This Row],[SOLUÇÃO]]=CO$1,[1]!BANCO10[[#This Row],[STATUS DA ETAPA]],"")</f>
        <v/>
      </c>
      <c r="CP21" s="21" t="str">
        <f>IF([1]!BANCO10[[#This Row],[SOLUÇÃO]]=CP$1,[1]!BANCO10[[#This Row],[STATUS DA ETAPA]],"")</f>
        <v/>
      </c>
      <c r="CQ21" s="21" t="str">
        <f>IF([1]!BANCO10[[#This Row],[SOLUÇÃO]]=CQ$1,[1]!BANCO10[[#This Row],[STATUS DA ETAPA]],"")</f>
        <v/>
      </c>
      <c r="CR21" s="21" t="str">
        <f>IF([1]!BANCO10[[#This Row],[SOLUÇÃO]]=CR$1,[1]!BANCO10[[#This Row],[STATUS DA ETAPA]],"")</f>
        <v/>
      </c>
      <c r="CS21" s="21" t="str">
        <f>IF([1]!BANCO10[[#This Row],[SOLUÇÃO]]=CS$1,[1]!BANCO10[[#This Row],[STATUS DA ETAPA]],"")</f>
        <v/>
      </c>
      <c r="CT21" s="21" t="str">
        <f>IF([1]!BANCO10[[#This Row],[SOLUÇÃO]]=CT$1,[1]!BANCO10[[#This Row],[STATUS DA ETAPA]],"")</f>
        <v/>
      </c>
      <c r="CU21" s="21" t="str">
        <f>IF([1]!BANCO10[[#This Row],[SOLUÇÃO]]=CU$1,[1]!BANCO10[[#This Row],[STATUS DA ETAPA]],"")</f>
        <v/>
      </c>
      <c r="CV21" s="21" t="str">
        <f>IF([1]!BANCO10[[#This Row],[SOLUÇÃO]]=CV$1,[1]!BANCO10[[#This Row],[STATUS DA ETAPA]],"")</f>
        <v/>
      </c>
    </row>
    <row r="22" spans="1:100">
      <c r="A22" s="44" t="s">
        <v>1</v>
      </c>
      <c r="B22" s="44"/>
      <c r="C22" s="44" t="s">
        <v>1</v>
      </c>
      <c r="D22" s="44"/>
      <c r="E22" s="44" t="s">
        <v>1</v>
      </c>
      <c r="F22" s="44"/>
      <c r="G22" s="44" t="s">
        <v>1</v>
      </c>
      <c r="H22" s="44"/>
      <c r="I22" s="45" t="s">
        <v>1</v>
      </c>
      <c r="J22" s="46"/>
      <c r="K22" s="45" t="s">
        <v>1</v>
      </c>
      <c r="L22" s="33"/>
      <c r="M22" s="45" t="s">
        <v>1</v>
      </c>
      <c r="N22" s="33"/>
      <c r="O22" s="44" t="s">
        <v>2</v>
      </c>
      <c r="P22" s="44">
        <v>44741</v>
      </c>
      <c r="Q22" s="44" t="s">
        <v>2</v>
      </c>
      <c r="R22" s="44">
        <v>45378</v>
      </c>
      <c r="S22" s="44" t="s">
        <v>2</v>
      </c>
      <c r="T22" s="44">
        <v>45378</v>
      </c>
      <c r="U22" s="44" t="s">
        <v>2</v>
      </c>
      <c r="V22" s="44">
        <v>45379</v>
      </c>
      <c r="W22" s="44" t="s">
        <v>2</v>
      </c>
      <c r="X22" s="44"/>
      <c r="Y22" s="44" t="s">
        <v>2</v>
      </c>
      <c r="Z22" s="44">
        <v>45383</v>
      </c>
      <c r="AA22" s="44" t="s">
        <v>2</v>
      </c>
      <c r="AB22" s="44"/>
      <c r="AC22" s="51">
        <v>45415</v>
      </c>
      <c r="AD22" s="50">
        <v>45499</v>
      </c>
      <c r="AE22" s="40" t="s">
        <v>2</v>
      </c>
      <c r="AF22" s="40" t="s">
        <v>2</v>
      </c>
      <c r="AG22" s="76" t="s">
        <v>4</v>
      </c>
      <c r="AH22" s="36" t="s">
        <v>0</v>
      </c>
      <c r="AI22" s="49">
        <v>5082.55</v>
      </c>
      <c r="AJ22" s="36" t="s">
        <v>6</v>
      </c>
      <c r="AK22" s="10">
        <v>0</v>
      </c>
      <c r="AL22" s="36">
        <v>4702</v>
      </c>
      <c r="AM22" s="36">
        <v>0</v>
      </c>
      <c r="AN22" s="35" t="s">
        <v>1</v>
      </c>
      <c r="AO22" s="35" t="s">
        <v>1</v>
      </c>
      <c r="AP22" s="35" t="s">
        <v>2</v>
      </c>
      <c r="AQ22" s="35" t="s">
        <v>1</v>
      </c>
      <c r="AR22" s="34" t="s">
        <v>1</v>
      </c>
      <c r="AS22" s="33"/>
      <c r="AT22" s="32" t="s">
        <v>1</v>
      </c>
      <c r="AU22" s="31"/>
      <c r="AV22" s="32" t="s">
        <v>1</v>
      </c>
      <c r="AW22" s="31"/>
      <c r="AX22" s="30" t="s">
        <v>2</v>
      </c>
      <c r="AY22" s="55">
        <v>45516</v>
      </c>
      <c r="AZ22" s="30" t="s">
        <v>0</v>
      </c>
      <c r="BA22" s="55"/>
      <c r="BB22" s="74"/>
      <c r="BC22" s="25"/>
      <c r="BD22" s="24" t="s">
        <v>11</v>
      </c>
      <c r="BE22" s="24" t="s">
        <v>11</v>
      </c>
      <c r="BF22" s="24" t="s">
        <v>136</v>
      </c>
      <c r="BG22" s="24" t="s">
        <v>21</v>
      </c>
      <c r="BH22" s="130" t="s">
        <v>18</v>
      </c>
      <c r="BI22" s="24" t="s">
        <v>732</v>
      </c>
      <c r="BJ22" s="24" t="s">
        <v>11</v>
      </c>
      <c r="BK22" s="24" t="s">
        <v>11</v>
      </c>
      <c r="BL22" s="24">
        <v>45389</v>
      </c>
      <c r="BM22" s="24" t="s">
        <v>18</v>
      </c>
      <c r="BN22" s="24" t="s">
        <v>11</v>
      </c>
      <c r="BO22" s="24"/>
      <c r="BP22" s="24" t="s">
        <v>86</v>
      </c>
      <c r="BQ22" s="22">
        <f>YEAR([1]!BANCO10[[#This Row],[DATA INÍCIO]])</f>
        <v>2024</v>
      </c>
      <c r="BR22" s="22">
        <f>MONTH([1]!BANCO10[[#This Row],[DATA INÍCIO]])</f>
        <v>5</v>
      </c>
      <c r="BS22" s="129" t="e">
        <f>CONCATENATE(#REF!,#REF!)</f>
        <v>#REF!</v>
      </c>
      <c r="BT22" s="22"/>
      <c r="BU22" s="21" t="s">
        <v>848</v>
      </c>
      <c r="BV22" s="21" t="str">
        <f>IF([1]!BANCO10[[#This Row],[SOLUÇÃO]]=BV$1,[1]!BANCO10[[#This Row],[STATUS DA ETAPA]],"")</f>
        <v/>
      </c>
      <c r="BW22" s="21" t="str">
        <f>IF([1]!BANCO10[[#This Row],[SOLUÇÃO]]=BW$1,[1]!BANCO10[[#This Row],[STATUS DA ETAPA]],"")</f>
        <v/>
      </c>
      <c r="BX22" s="21" t="str">
        <f>IF([1]!BANCO10[[#This Row],[SOLUÇÃO]]=BX$1,[1]!BANCO10[[#This Row],[STATUS DA ETAPA]],"")</f>
        <v>CONCLUÍDO</v>
      </c>
      <c r="BY22" s="21" t="str">
        <f>IF([1]!BANCO10[[#This Row],[SOLUÇÃO]]=BY$1,[1]!BANCO10[[#This Row],[STATUS DA ETAPA]],"")</f>
        <v/>
      </c>
      <c r="BZ22" s="21" t="str">
        <f>IF([1]!BANCO10[[#This Row],[SOLUÇÃO]]=BZ$1,[1]!BANCO10[[#This Row],[STATUS DA ETAPA]],"")</f>
        <v/>
      </c>
      <c r="CA22" s="21" t="str">
        <f>IF([1]!BANCO10[[#This Row],[SOLUÇÃO]]=CA$1,[1]!BANCO10[[#This Row],[STATUS DA ETAPA]],"")</f>
        <v/>
      </c>
      <c r="CB22" s="21" t="str">
        <f>IF([1]!BANCO10[[#This Row],[SOLUÇÃO]]=CB$1,[1]!BANCO10[[#This Row],[STATUS DA ETAPA]],"")</f>
        <v/>
      </c>
      <c r="CC22" s="21" t="str">
        <f>IF([1]!BANCO10[[#This Row],[SOLUÇÃO]]=CC$1,[1]!BANCO10[[#This Row],[STATUS DA ETAPA]],"")</f>
        <v/>
      </c>
      <c r="CD22" s="21" t="str">
        <f>IF([1]!BANCO10[[#This Row],[SOLUÇÃO]]=CD$1,[1]!BANCO10[[#This Row],[STATUS DA ETAPA]],"")</f>
        <v/>
      </c>
      <c r="CE22" s="21" t="str">
        <f>IF([1]!BANCO10[[#This Row],[SOLUÇÃO]]=CE$1,[1]!BANCO10[[#This Row],[STATUS DA ETAPA]],"")</f>
        <v/>
      </c>
      <c r="CF22" s="21" t="str">
        <f>IF([1]!BANCO10[[#This Row],[SOLUÇÃO]]=CF$1,[1]!BANCO10[[#This Row],[STATUS DA ETAPA]],"")</f>
        <v/>
      </c>
      <c r="CG22" s="21" t="str">
        <f>IF([1]!BANCO10[[#This Row],[SOLUÇÃO]]=CG$1,[1]!BANCO10[[#This Row],[STATUS DA ETAPA]],"")</f>
        <v/>
      </c>
      <c r="CH22" s="21" t="str">
        <f>IF([1]!BANCO10[[#This Row],[SOLUÇÃO]]=CH$1,[1]!BANCO10[[#This Row],[STATUS DA ETAPA]],"")</f>
        <v/>
      </c>
      <c r="CI22" s="21" t="str">
        <f>IF([1]!BANCO10[[#This Row],[SOLUÇÃO]]=CI$1,[1]!BANCO10[[#This Row],[STATUS DA ETAPA]],"")</f>
        <v/>
      </c>
      <c r="CJ22" s="21" t="str">
        <f>IF([1]!BANCO10[[#This Row],[SOLUÇÃO]]=CJ$1,[1]!BANCO10[[#This Row],[STATUS DA ETAPA]],"")</f>
        <v/>
      </c>
      <c r="CK22" s="21" t="str">
        <f>IF([1]!BANCO10[[#This Row],[SOLUÇÃO]]=CK$1,[1]!BANCO10[[#This Row],[STATUS DA ETAPA]],"")</f>
        <v/>
      </c>
      <c r="CL22" s="21" t="str">
        <f>IF([1]!BANCO10[[#This Row],[SOLUÇÃO]]=CL$1,[1]!BANCO10[[#This Row],[STATUS DA ETAPA]],"")</f>
        <v/>
      </c>
      <c r="CM22" s="21" t="str">
        <f>IF([1]!BANCO10[[#This Row],[SOLUÇÃO]]=CM$1,[1]!BANCO10[[#This Row],[STATUS DA ETAPA]],"")</f>
        <v/>
      </c>
      <c r="CN22" s="21" t="str">
        <f>IF([1]!BANCO10[[#This Row],[SOLUÇÃO]]=CN$1,[1]!BANCO10[[#This Row],[STATUS DA ETAPA]],"")</f>
        <v/>
      </c>
      <c r="CO22" s="21" t="str">
        <f>IF([1]!BANCO10[[#This Row],[SOLUÇÃO]]=CO$1,[1]!BANCO10[[#This Row],[STATUS DA ETAPA]],"")</f>
        <v/>
      </c>
      <c r="CP22" s="21" t="str">
        <f>IF([1]!BANCO10[[#This Row],[SOLUÇÃO]]=CP$1,[1]!BANCO10[[#This Row],[STATUS DA ETAPA]],"")</f>
        <v/>
      </c>
      <c r="CQ22" s="21" t="str">
        <f>IF([1]!BANCO10[[#This Row],[SOLUÇÃO]]=CQ$1,[1]!BANCO10[[#This Row],[STATUS DA ETAPA]],"")</f>
        <v/>
      </c>
      <c r="CR22" s="21" t="str">
        <f>IF([1]!BANCO10[[#This Row],[SOLUÇÃO]]=CR$1,[1]!BANCO10[[#This Row],[STATUS DA ETAPA]],"")</f>
        <v/>
      </c>
      <c r="CS22" s="21" t="str">
        <f>IF([1]!BANCO10[[#This Row],[SOLUÇÃO]]=CS$1,[1]!BANCO10[[#This Row],[STATUS DA ETAPA]],"")</f>
        <v/>
      </c>
      <c r="CT22" s="21" t="str">
        <f>IF([1]!BANCO10[[#This Row],[SOLUÇÃO]]=CT$1,[1]!BANCO10[[#This Row],[STATUS DA ETAPA]],"")</f>
        <v/>
      </c>
      <c r="CU22" s="21" t="str">
        <f>IF([1]!BANCO10[[#This Row],[SOLUÇÃO]]=CU$1,[1]!BANCO10[[#This Row],[STATUS DA ETAPA]],"")</f>
        <v/>
      </c>
      <c r="CV22" s="21" t="str">
        <f>IF([1]!BANCO10[[#This Row],[SOLUÇÃO]]=CV$1,[1]!BANCO10[[#This Row],[STATUS DA ETAPA]],"")</f>
        <v/>
      </c>
    </row>
    <row r="23" spans="1:100">
      <c r="A23" s="44" t="s">
        <v>2</v>
      </c>
      <c r="B23" s="44">
        <v>45922</v>
      </c>
      <c r="C23" s="44" t="s">
        <v>2</v>
      </c>
      <c r="D23" s="44">
        <v>45932</v>
      </c>
      <c r="E23" s="44" t="s">
        <v>0</v>
      </c>
      <c r="F23" s="44"/>
      <c r="G23" s="44" t="s">
        <v>0</v>
      </c>
      <c r="H23" s="44"/>
      <c r="I23" s="45" t="s">
        <v>0</v>
      </c>
      <c r="J23" s="46"/>
      <c r="K23" s="45" t="s">
        <v>0</v>
      </c>
      <c r="L23" s="33"/>
      <c r="M23" s="45" t="s">
        <v>0</v>
      </c>
      <c r="N23" s="33"/>
      <c r="O23" s="44" t="s">
        <v>0</v>
      </c>
      <c r="P23" s="44"/>
      <c r="Q23" s="44" t="s">
        <v>2</v>
      </c>
      <c r="R23" s="44">
        <v>45933</v>
      </c>
      <c r="S23" s="44" t="s">
        <v>0</v>
      </c>
      <c r="T23" s="44"/>
      <c r="U23" s="44" t="s">
        <v>1</v>
      </c>
      <c r="V23" s="44"/>
      <c r="W23" s="44" t="s">
        <v>1</v>
      </c>
      <c r="X23" s="44"/>
      <c r="Y23" s="44" t="s">
        <v>1</v>
      </c>
      <c r="Z23" s="44"/>
      <c r="AA23" s="44" t="s">
        <v>1</v>
      </c>
      <c r="AB23" s="44"/>
      <c r="AC23" s="51">
        <v>46022</v>
      </c>
      <c r="AD23" s="50">
        <v>46022</v>
      </c>
      <c r="AE23" s="40" t="s">
        <v>0</v>
      </c>
      <c r="AF23" s="40" t="s">
        <v>0</v>
      </c>
      <c r="AG23" s="76" t="s">
        <v>5</v>
      </c>
      <c r="AH23" s="36" t="s">
        <v>0</v>
      </c>
      <c r="AI23" s="49">
        <v>14440</v>
      </c>
      <c r="AJ23" s="36"/>
      <c r="AK23" s="10"/>
      <c r="AL23" s="36" t="s">
        <v>1</v>
      </c>
      <c r="AM23" s="36" t="s">
        <v>1</v>
      </c>
      <c r="AN23" s="35" t="s">
        <v>0</v>
      </c>
      <c r="AO23" s="35" t="s">
        <v>0</v>
      </c>
      <c r="AP23" s="35" t="s">
        <v>0</v>
      </c>
      <c r="AQ23" s="35" t="s">
        <v>0</v>
      </c>
      <c r="AR23" s="34" t="s">
        <v>0</v>
      </c>
      <c r="AS23" s="33"/>
      <c r="AT23" s="32" t="s">
        <v>0</v>
      </c>
      <c r="AU23" s="31"/>
      <c r="AV23" s="32" t="s">
        <v>0</v>
      </c>
      <c r="AW23" s="31"/>
      <c r="AX23" s="30" t="s">
        <v>0</v>
      </c>
      <c r="AY23" s="55"/>
      <c r="AZ23" s="30" t="s">
        <v>0</v>
      </c>
      <c r="BA23" s="55"/>
      <c r="BB23" s="74" t="s">
        <v>847</v>
      </c>
      <c r="BC23" s="25"/>
      <c r="BD23" s="24"/>
      <c r="BE23" s="24"/>
      <c r="BF23" s="24"/>
      <c r="BG23" s="24"/>
      <c r="BH23" s="130"/>
      <c r="BI23" s="24"/>
      <c r="BJ23" s="24"/>
      <c r="BK23" s="24"/>
      <c r="BL23" s="24"/>
      <c r="BM23" s="24"/>
      <c r="BN23" s="24"/>
      <c r="BO23" s="24"/>
      <c r="BP23" s="24"/>
      <c r="BQ23" s="22">
        <f>YEAR([1]!BANCO10[[#This Row],[DATA INÍCIO]])</f>
        <v>2025</v>
      </c>
      <c r="BR23" s="22">
        <f>MONTH([1]!BANCO10[[#This Row],[DATA INÍCIO]])</f>
        <v>12</v>
      </c>
      <c r="BS23" s="129" t="e">
        <f>CONCATENATE(#REF!,#REF!)</f>
        <v>#REF!</v>
      </c>
      <c r="BT23" s="22"/>
      <c r="BU23" s="21"/>
      <c r="BV23" s="21" t="str">
        <f>IF([1]!BANCO10[[#This Row],[SOLUÇÃO]]=BV$1,[1]!BANCO10[[#This Row],[STATUS DA ETAPA]],"")</f>
        <v/>
      </c>
      <c r="BW23" s="21" t="str">
        <f>IF([1]!BANCO10[[#This Row],[SOLUÇÃO]]=BW$1,[1]!BANCO10[[#This Row],[STATUS DA ETAPA]],"")</f>
        <v/>
      </c>
      <c r="BX23" s="21" t="str">
        <f>IF([1]!BANCO10[[#This Row],[SOLUÇÃO]]=BX$1,[1]!BANCO10[[#This Row],[STATUS DA ETAPA]],"")</f>
        <v/>
      </c>
      <c r="BY23" s="21" t="str">
        <f>IF([1]!BANCO10[[#This Row],[SOLUÇÃO]]=BY$1,[1]!BANCO10[[#This Row],[STATUS DA ETAPA]],"")</f>
        <v/>
      </c>
      <c r="BZ23" s="21" t="str">
        <f>IF([1]!BANCO10[[#This Row],[SOLUÇÃO]]=BZ$1,[1]!BANCO10[[#This Row],[STATUS DA ETAPA]],"")</f>
        <v/>
      </c>
      <c r="CA23" s="21" t="str">
        <f>IF([1]!BANCO10[[#This Row],[SOLUÇÃO]]=CA$1,[1]!BANCO10[[#This Row],[STATUS DA ETAPA]],"")</f>
        <v/>
      </c>
      <c r="CB23" s="21" t="str">
        <f>IF([1]!BANCO10[[#This Row],[SOLUÇÃO]]=CB$1,[1]!BANCO10[[#This Row],[STATUS DA ETAPA]],"")</f>
        <v/>
      </c>
      <c r="CC23" s="21" t="str">
        <f>IF([1]!BANCO10[[#This Row],[SOLUÇÃO]]=CC$1,[1]!BANCO10[[#This Row],[STATUS DA ETAPA]],"")</f>
        <v/>
      </c>
      <c r="CD23" s="21" t="str">
        <f>IF([1]!BANCO10[[#This Row],[SOLUÇÃO]]=CD$1,[1]!BANCO10[[#This Row],[STATUS DA ETAPA]],"")</f>
        <v/>
      </c>
      <c r="CE23" s="21" t="str">
        <f>IF([1]!BANCO10[[#This Row],[SOLUÇÃO]]=CE$1,[1]!BANCO10[[#This Row],[STATUS DA ETAPA]],"")</f>
        <v/>
      </c>
      <c r="CF23" s="21" t="str">
        <f>IF([1]!BANCO10[[#This Row],[SOLUÇÃO]]=CF$1,[1]!BANCO10[[#This Row],[STATUS DA ETAPA]],"")</f>
        <v/>
      </c>
      <c r="CG23" s="21" t="str">
        <f>IF([1]!BANCO10[[#This Row],[SOLUÇÃO]]=CG$1,[1]!BANCO10[[#This Row],[STATUS DA ETAPA]],"")</f>
        <v/>
      </c>
      <c r="CH23" s="21" t="str">
        <f>IF([1]!BANCO10[[#This Row],[SOLUÇÃO]]=CH$1,[1]!BANCO10[[#This Row],[STATUS DA ETAPA]],"")</f>
        <v/>
      </c>
      <c r="CI23" s="21" t="str">
        <f>IF([1]!BANCO10[[#This Row],[SOLUÇÃO]]=CI$1,[1]!BANCO10[[#This Row],[STATUS DA ETAPA]],"")</f>
        <v/>
      </c>
      <c r="CJ23" s="21" t="str">
        <f>IF([1]!BANCO10[[#This Row],[SOLUÇÃO]]=CJ$1,[1]!BANCO10[[#This Row],[STATUS DA ETAPA]],"")</f>
        <v/>
      </c>
      <c r="CK23" s="21" t="str">
        <f>IF([1]!BANCO10[[#This Row],[SOLUÇÃO]]=CK$1,[1]!BANCO10[[#This Row],[STATUS DA ETAPA]],"")</f>
        <v/>
      </c>
      <c r="CL23" s="21" t="str">
        <f>IF([1]!BANCO10[[#This Row],[SOLUÇÃO]]=CL$1,[1]!BANCO10[[#This Row],[STATUS DA ETAPA]],"")</f>
        <v/>
      </c>
      <c r="CM23" s="21" t="str">
        <f>IF([1]!BANCO10[[#This Row],[SOLUÇÃO]]=CM$1,[1]!BANCO10[[#This Row],[STATUS DA ETAPA]],"")</f>
        <v/>
      </c>
      <c r="CN23" s="21" t="str">
        <f>IF([1]!BANCO10[[#This Row],[SOLUÇÃO]]=CN$1,[1]!BANCO10[[#This Row],[STATUS DA ETAPA]],"")</f>
        <v/>
      </c>
      <c r="CO23" s="21" t="str">
        <f>IF([1]!BANCO10[[#This Row],[SOLUÇÃO]]=CO$1,[1]!BANCO10[[#This Row],[STATUS DA ETAPA]],"")</f>
        <v/>
      </c>
      <c r="CP23" s="21" t="str">
        <f>IF([1]!BANCO10[[#This Row],[SOLUÇÃO]]=CP$1,[1]!BANCO10[[#This Row],[STATUS DA ETAPA]],"")</f>
        <v/>
      </c>
      <c r="CQ23" s="21" t="str">
        <f>IF([1]!BANCO10[[#This Row],[SOLUÇÃO]]=CQ$1,[1]!BANCO10[[#This Row],[STATUS DA ETAPA]],"")</f>
        <v/>
      </c>
      <c r="CR23" s="21" t="str">
        <f>IF([1]!BANCO10[[#This Row],[SOLUÇÃO]]=CR$1,[1]!BANCO10[[#This Row],[STATUS DA ETAPA]],"")</f>
        <v/>
      </c>
      <c r="CS23" s="21" t="str">
        <f>IF([1]!BANCO10[[#This Row],[SOLUÇÃO]]=CS$1,[1]!BANCO10[[#This Row],[STATUS DA ETAPA]],"")</f>
        <v/>
      </c>
      <c r="CT23" s="21" t="str">
        <f>IF([1]!BANCO10[[#This Row],[SOLUÇÃO]]=CT$1,[1]!BANCO10[[#This Row],[STATUS DA ETAPA]],"")</f>
        <v/>
      </c>
      <c r="CU23" s="21" t="str">
        <f>IF([1]!BANCO10[[#This Row],[SOLUÇÃO]]=CU$1,[1]!BANCO10[[#This Row],[STATUS DA ETAPA]],"")</f>
        <v/>
      </c>
      <c r="CV23" s="21" t="str">
        <f>IF([1]!BANCO10[[#This Row],[SOLUÇÃO]]=CV$1,[1]!BANCO10[[#This Row],[STATUS DA ETAPA]],"")</f>
        <v/>
      </c>
    </row>
    <row r="24" spans="1:100">
      <c r="A24" s="44" t="s">
        <v>1</v>
      </c>
      <c r="B24" s="44"/>
      <c r="C24" s="44" t="s">
        <v>1</v>
      </c>
      <c r="D24" s="44"/>
      <c r="E24" s="44" t="s">
        <v>1</v>
      </c>
      <c r="F24" s="44"/>
      <c r="G24" s="44" t="s">
        <v>1</v>
      </c>
      <c r="H24" s="44"/>
      <c r="I24" s="45" t="s">
        <v>1</v>
      </c>
      <c r="J24" s="46"/>
      <c r="K24" s="45" t="s">
        <v>1</v>
      </c>
      <c r="L24" s="33"/>
      <c r="M24" s="45" t="s">
        <v>1</v>
      </c>
      <c r="N24" s="33"/>
      <c r="O24" s="44" t="s">
        <v>1</v>
      </c>
      <c r="P24" s="44"/>
      <c r="Q24" s="44" t="s">
        <v>1</v>
      </c>
      <c r="R24" s="44"/>
      <c r="S24" s="44" t="s">
        <v>1</v>
      </c>
      <c r="T24" s="44"/>
      <c r="U24" s="44" t="s">
        <v>1</v>
      </c>
      <c r="V24" s="44"/>
      <c r="W24" s="44" t="s">
        <v>1</v>
      </c>
      <c r="X24" s="44"/>
      <c r="Y24" s="44" t="s">
        <v>1</v>
      </c>
      <c r="Z24" s="44"/>
      <c r="AA24" s="44" t="s">
        <v>1</v>
      </c>
      <c r="AB24" s="44"/>
      <c r="AC24" s="51">
        <v>45265</v>
      </c>
      <c r="AD24" s="50">
        <v>45265</v>
      </c>
      <c r="AE24" s="40" t="s">
        <v>1</v>
      </c>
      <c r="AF24" s="40" t="s">
        <v>1</v>
      </c>
      <c r="AG24" s="76" t="s">
        <v>5</v>
      </c>
      <c r="AH24" s="36" t="s">
        <v>1</v>
      </c>
      <c r="AI24" s="49">
        <v>0</v>
      </c>
      <c r="AJ24" s="36" t="s">
        <v>1</v>
      </c>
      <c r="AK24" s="10" t="s">
        <v>1</v>
      </c>
      <c r="AL24" s="36" t="s">
        <v>1</v>
      </c>
      <c r="AM24" s="36" t="s">
        <v>1</v>
      </c>
      <c r="AN24" s="35" t="s">
        <v>1</v>
      </c>
      <c r="AO24" s="35" t="s">
        <v>1</v>
      </c>
      <c r="AP24" s="35" t="s">
        <v>1</v>
      </c>
      <c r="AQ24" s="35" t="s">
        <v>1</v>
      </c>
      <c r="AR24" s="82" t="s">
        <v>1</v>
      </c>
      <c r="AS24" s="33"/>
      <c r="AT24" s="32" t="s">
        <v>1</v>
      </c>
      <c r="AU24" s="31"/>
      <c r="AV24" s="32" t="s">
        <v>1</v>
      </c>
      <c r="AW24" s="31"/>
      <c r="AX24" s="30" t="s">
        <v>1</v>
      </c>
      <c r="AY24" s="55"/>
      <c r="AZ24" s="30" t="s">
        <v>1</v>
      </c>
      <c r="BA24" s="55"/>
      <c r="BB24" s="74" t="s">
        <v>15</v>
      </c>
      <c r="BC24" s="25" t="s">
        <v>14</v>
      </c>
      <c r="BD24" s="24"/>
      <c r="BE24" s="24"/>
      <c r="BF24" s="24"/>
      <c r="BG24" s="24"/>
      <c r="BH24" s="130"/>
      <c r="BI24" s="24"/>
      <c r="BJ24" s="24" t="s">
        <v>11</v>
      </c>
      <c r="BK24" s="24" t="s">
        <v>11</v>
      </c>
      <c r="BL24" s="24" t="s">
        <v>11</v>
      </c>
      <c r="BM24" s="24" t="s">
        <v>11</v>
      </c>
      <c r="BN24" s="24" t="s">
        <v>11</v>
      </c>
      <c r="BO24" s="24" t="s">
        <v>11</v>
      </c>
      <c r="BP24" s="24" t="s">
        <v>11</v>
      </c>
      <c r="BQ24" s="22">
        <f>YEAR([1]!BANCO10[[#This Row],[DATA INÍCIO]])</f>
        <v>2023</v>
      </c>
      <c r="BR24" s="22">
        <f>MONTH([1]!BANCO10[[#This Row],[DATA INÍCIO]])</f>
        <v>12</v>
      </c>
      <c r="BS24" s="129" t="e">
        <f>CONCATENATE(#REF!,#REF!)</f>
        <v>#REF!</v>
      </c>
      <c r="BT24" s="22"/>
      <c r="BU24" s="21" t="s">
        <v>846</v>
      </c>
      <c r="BV24" s="21" t="str">
        <f>IF([1]!BANCO10[[#This Row],[SOLUÇÃO]]=BV$1,[1]!BANCO10[[#This Row],[STATUS DA ETAPA]],"")</f>
        <v>CONCLUÍDO</v>
      </c>
      <c r="BW24" s="21" t="str">
        <f>IF([1]!BANCO10[[#This Row],[SOLUÇÃO]]=BW$1,[1]!BANCO10[[#This Row],[STATUS DA ETAPA]],"")</f>
        <v/>
      </c>
      <c r="BX24" s="21" t="str">
        <f>IF([1]!BANCO10[[#This Row],[SOLUÇÃO]]=BX$1,[1]!BANCO10[[#This Row],[STATUS DA ETAPA]],"")</f>
        <v/>
      </c>
      <c r="BY24" s="21" t="str">
        <f>IF([1]!BANCO10[[#This Row],[SOLUÇÃO]]=BY$1,[1]!BANCO10[[#This Row],[STATUS DA ETAPA]],"")</f>
        <v/>
      </c>
      <c r="BZ24" s="21" t="str">
        <f>IF([1]!BANCO10[[#This Row],[SOLUÇÃO]]=BZ$1,[1]!BANCO10[[#This Row],[STATUS DA ETAPA]],"")</f>
        <v/>
      </c>
      <c r="CA24" s="21" t="str">
        <f>IF([1]!BANCO10[[#This Row],[SOLUÇÃO]]=CA$1,[1]!BANCO10[[#This Row],[STATUS DA ETAPA]],"")</f>
        <v/>
      </c>
      <c r="CB24" s="21" t="str">
        <f>IF([1]!BANCO10[[#This Row],[SOLUÇÃO]]=CB$1,[1]!BANCO10[[#This Row],[STATUS DA ETAPA]],"")</f>
        <v/>
      </c>
      <c r="CC24" s="21" t="str">
        <f>IF([1]!BANCO10[[#This Row],[SOLUÇÃO]]=CC$1,[1]!BANCO10[[#This Row],[STATUS DA ETAPA]],"")</f>
        <v/>
      </c>
      <c r="CD24" s="21" t="str">
        <f>IF([1]!BANCO10[[#This Row],[SOLUÇÃO]]=CD$1,[1]!BANCO10[[#This Row],[STATUS DA ETAPA]],"")</f>
        <v/>
      </c>
      <c r="CE24" s="21" t="str">
        <f>IF([1]!BANCO10[[#This Row],[SOLUÇÃO]]=CE$1,[1]!BANCO10[[#This Row],[STATUS DA ETAPA]],"")</f>
        <v/>
      </c>
      <c r="CF24" s="21" t="str">
        <f>IF([1]!BANCO10[[#This Row],[SOLUÇÃO]]=CF$1,[1]!BANCO10[[#This Row],[STATUS DA ETAPA]],"")</f>
        <v/>
      </c>
      <c r="CG24" s="21" t="str">
        <f>IF([1]!BANCO10[[#This Row],[SOLUÇÃO]]=CG$1,[1]!BANCO10[[#This Row],[STATUS DA ETAPA]],"")</f>
        <v/>
      </c>
      <c r="CH24" s="21" t="str">
        <f>IF([1]!BANCO10[[#This Row],[SOLUÇÃO]]=CH$1,[1]!BANCO10[[#This Row],[STATUS DA ETAPA]],"")</f>
        <v/>
      </c>
      <c r="CI24" s="21" t="str">
        <f>IF([1]!BANCO10[[#This Row],[SOLUÇÃO]]=CI$1,[1]!BANCO10[[#This Row],[STATUS DA ETAPA]],"")</f>
        <v/>
      </c>
      <c r="CJ24" s="21" t="str">
        <f>IF([1]!BANCO10[[#This Row],[SOLUÇÃO]]=CJ$1,[1]!BANCO10[[#This Row],[STATUS DA ETAPA]],"")</f>
        <v/>
      </c>
      <c r="CK24" s="21" t="str">
        <f>IF([1]!BANCO10[[#This Row],[SOLUÇÃO]]=CK$1,[1]!BANCO10[[#This Row],[STATUS DA ETAPA]],"")</f>
        <v/>
      </c>
      <c r="CL24" s="21" t="str">
        <f>IF([1]!BANCO10[[#This Row],[SOLUÇÃO]]=CL$1,[1]!BANCO10[[#This Row],[STATUS DA ETAPA]],"")</f>
        <v/>
      </c>
      <c r="CM24" s="21" t="str">
        <f>IF([1]!BANCO10[[#This Row],[SOLUÇÃO]]=CM$1,[1]!BANCO10[[#This Row],[STATUS DA ETAPA]],"")</f>
        <v/>
      </c>
      <c r="CN24" s="21" t="str">
        <f>IF([1]!BANCO10[[#This Row],[SOLUÇÃO]]=CN$1,[1]!BANCO10[[#This Row],[STATUS DA ETAPA]],"")</f>
        <v/>
      </c>
      <c r="CO24" s="21" t="str">
        <f>IF([1]!BANCO10[[#This Row],[SOLUÇÃO]]=CO$1,[1]!BANCO10[[#This Row],[STATUS DA ETAPA]],"")</f>
        <v/>
      </c>
      <c r="CP24" s="21" t="str">
        <f>IF([1]!BANCO10[[#This Row],[SOLUÇÃO]]=CP$1,[1]!BANCO10[[#This Row],[STATUS DA ETAPA]],"")</f>
        <v/>
      </c>
      <c r="CQ24" s="21" t="str">
        <f>IF([1]!BANCO10[[#This Row],[SOLUÇÃO]]=CQ$1,[1]!BANCO10[[#This Row],[STATUS DA ETAPA]],"")</f>
        <v/>
      </c>
      <c r="CR24" s="21" t="str">
        <f>IF([1]!BANCO10[[#This Row],[SOLUÇÃO]]=CR$1,[1]!BANCO10[[#This Row],[STATUS DA ETAPA]],"")</f>
        <v/>
      </c>
      <c r="CS24" s="21" t="str">
        <f>IF([1]!BANCO10[[#This Row],[SOLUÇÃO]]=CS$1,[1]!BANCO10[[#This Row],[STATUS DA ETAPA]],"")</f>
        <v/>
      </c>
      <c r="CT24" s="21" t="str">
        <f>IF([1]!BANCO10[[#This Row],[SOLUÇÃO]]=CT$1,[1]!BANCO10[[#This Row],[STATUS DA ETAPA]],"")</f>
        <v/>
      </c>
      <c r="CU24" s="21" t="str">
        <f>IF([1]!BANCO10[[#This Row],[SOLUÇÃO]]=CU$1,[1]!BANCO10[[#This Row],[STATUS DA ETAPA]],"")</f>
        <v/>
      </c>
      <c r="CV24" s="21" t="str">
        <f>IF([1]!BANCO10[[#This Row],[SOLUÇÃO]]=CV$1,[1]!BANCO10[[#This Row],[STATUS DA ETAPA]],"")</f>
        <v/>
      </c>
    </row>
    <row r="25" spans="1:100">
      <c r="A25" s="44" t="s">
        <v>1</v>
      </c>
      <c r="B25" s="44"/>
      <c r="C25" s="44" t="s">
        <v>1</v>
      </c>
      <c r="D25" s="44"/>
      <c r="E25" s="44" t="s">
        <v>1</v>
      </c>
      <c r="F25" s="44"/>
      <c r="G25" s="44" t="s">
        <v>1</v>
      </c>
      <c r="H25" s="44"/>
      <c r="I25" s="45" t="s">
        <v>1</v>
      </c>
      <c r="J25" s="46"/>
      <c r="K25" s="45" t="s">
        <v>1</v>
      </c>
      <c r="L25" s="33"/>
      <c r="M25" s="45" t="s">
        <v>1</v>
      </c>
      <c r="N25" s="33"/>
      <c r="O25" s="44" t="s">
        <v>2</v>
      </c>
      <c r="P25" s="44">
        <v>44964</v>
      </c>
      <c r="Q25" s="44" t="s">
        <v>0</v>
      </c>
      <c r="R25" s="44"/>
      <c r="S25" s="44" t="s">
        <v>1</v>
      </c>
      <c r="T25" s="44"/>
      <c r="U25" s="44" t="s">
        <v>1</v>
      </c>
      <c r="V25" s="44"/>
      <c r="W25" s="44" t="s">
        <v>1</v>
      </c>
      <c r="X25" s="44"/>
      <c r="Y25" s="44" t="s">
        <v>1</v>
      </c>
      <c r="Z25" s="44"/>
      <c r="AA25" s="44" t="s">
        <v>1</v>
      </c>
      <c r="AB25" s="44"/>
      <c r="AC25" s="51">
        <v>44963</v>
      </c>
      <c r="AD25" s="50">
        <v>44963</v>
      </c>
      <c r="AE25" s="40" t="s">
        <v>1</v>
      </c>
      <c r="AF25" s="40" t="s">
        <v>1</v>
      </c>
      <c r="AG25" s="76" t="s">
        <v>5</v>
      </c>
      <c r="AH25" s="36" t="s">
        <v>1</v>
      </c>
      <c r="AI25" s="49">
        <v>0</v>
      </c>
      <c r="AJ25" s="36"/>
      <c r="AK25" s="10" t="s">
        <v>1</v>
      </c>
      <c r="AL25" s="36" t="s">
        <v>1</v>
      </c>
      <c r="AM25" s="36" t="s">
        <v>1</v>
      </c>
      <c r="AN25" s="35" t="s">
        <v>1</v>
      </c>
      <c r="AO25" s="35" t="s">
        <v>1</v>
      </c>
      <c r="AP25" s="35" t="s">
        <v>1</v>
      </c>
      <c r="AQ25" s="35" t="s">
        <v>1</v>
      </c>
      <c r="AR25" s="82" t="s">
        <v>1</v>
      </c>
      <c r="AS25" s="33"/>
      <c r="AT25" s="32" t="s">
        <v>1</v>
      </c>
      <c r="AU25" s="31"/>
      <c r="AV25" s="32" t="s">
        <v>1</v>
      </c>
      <c r="AW25" s="31"/>
      <c r="AX25" s="30" t="s">
        <v>1</v>
      </c>
      <c r="AY25" s="55"/>
      <c r="AZ25" s="30" t="s">
        <v>1</v>
      </c>
      <c r="BA25" s="55"/>
      <c r="BB25" s="74"/>
      <c r="BC25" s="25" t="s">
        <v>843</v>
      </c>
      <c r="BD25" s="24" t="s">
        <v>11</v>
      </c>
      <c r="BE25" s="24" t="s">
        <v>11</v>
      </c>
      <c r="BF25" s="24" t="s">
        <v>21</v>
      </c>
      <c r="BG25" s="24" t="s">
        <v>136</v>
      </c>
      <c r="BH25" s="130" t="s">
        <v>19</v>
      </c>
      <c r="BI25" s="24"/>
      <c r="BJ25" s="24" t="s">
        <v>11</v>
      </c>
      <c r="BK25" s="24" t="s">
        <v>11</v>
      </c>
      <c r="BL25" s="24" t="s">
        <v>11</v>
      </c>
      <c r="BM25" s="24" t="s">
        <v>11</v>
      </c>
      <c r="BN25" s="24" t="s">
        <v>11</v>
      </c>
      <c r="BO25" s="24" t="s">
        <v>11</v>
      </c>
      <c r="BP25" s="24" t="s">
        <v>11</v>
      </c>
      <c r="BQ25" s="22">
        <f>YEAR([1]!BANCO10[[#This Row],[DATA INÍCIO]])</f>
        <v>2023</v>
      </c>
      <c r="BR25" s="22">
        <f>MONTH([1]!BANCO10[[#This Row],[DATA INÍCIO]])</f>
        <v>2</v>
      </c>
      <c r="BS25" s="129" t="e">
        <f>CONCATENATE(#REF!,#REF!)</f>
        <v>#REF!</v>
      </c>
      <c r="BT25" s="22"/>
      <c r="BU25" s="21" t="s">
        <v>845</v>
      </c>
      <c r="BV25" s="21" t="str">
        <f>IF([1]!BANCO10[[#This Row],[SOLUÇÃO]]=BV$1,[1]!BANCO10[[#This Row],[STATUS DA ETAPA]],"")</f>
        <v>CONCLUÍDO</v>
      </c>
      <c r="BW25" s="21" t="str">
        <f>IF([1]!BANCO10[[#This Row],[SOLUÇÃO]]=BW$1,[1]!BANCO10[[#This Row],[STATUS DA ETAPA]],"")</f>
        <v/>
      </c>
      <c r="BX25" s="21" t="str">
        <f>IF([1]!BANCO10[[#This Row],[SOLUÇÃO]]=BX$1,[1]!BANCO10[[#This Row],[STATUS DA ETAPA]],"")</f>
        <v/>
      </c>
      <c r="BY25" s="21" t="str">
        <f>IF([1]!BANCO10[[#This Row],[SOLUÇÃO]]=BY$1,[1]!BANCO10[[#This Row],[STATUS DA ETAPA]],"")</f>
        <v/>
      </c>
      <c r="BZ25" s="21" t="str">
        <f>IF([1]!BANCO10[[#This Row],[SOLUÇÃO]]=BZ$1,[1]!BANCO10[[#This Row],[STATUS DA ETAPA]],"")</f>
        <v/>
      </c>
      <c r="CA25" s="21" t="str">
        <f>IF([1]!BANCO10[[#This Row],[SOLUÇÃO]]=CA$1,[1]!BANCO10[[#This Row],[STATUS DA ETAPA]],"")</f>
        <v/>
      </c>
      <c r="CB25" s="21" t="str">
        <f>IF([1]!BANCO10[[#This Row],[SOLUÇÃO]]=CB$1,[1]!BANCO10[[#This Row],[STATUS DA ETAPA]],"")</f>
        <v/>
      </c>
      <c r="CC25" s="21" t="str">
        <f>IF([1]!BANCO10[[#This Row],[SOLUÇÃO]]=CC$1,[1]!BANCO10[[#This Row],[STATUS DA ETAPA]],"")</f>
        <v/>
      </c>
      <c r="CD25" s="21" t="str">
        <f>IF([1]!BANCO10[[#This Row],[SOLUÇÃO]]=CD$1,[1]!BANCO10[[#This Row],[STATUS DA ETAPA]],"")</f>
        <v/>
      </c>
      <c r="CE25" s="21" t="str">
        <f>IF([1]!BANCO10[[#This Row],[SOLUÇÃO]]=CE$1,[1]!BANCO10[[#This Row],[STATUS DA ETAPA]],"")</f>
        <v/>
      </c>
      <c r="CF25" s="21" t="str">
        <f>IF([1]!BANCO10[[#This Row],[SOLUÇÃO]]=CF$1,[1]!BANCO10[[#This Row],[STATUS DA ETAPA]],"")</f>
        <v/>
      </c>
      <c r="CG25" s="21" t="str">
        <f>IF([1]!BANCO10[[#This Row],[SOLUÇÃO]]=CG$1,[1]!BANCO10[[#This Row],[STATUS DA ETAPA]],"")</f>
        <v/>
      </c>
      <c r="CH25" s="21" t="str">
        <f>IF([1]!BANCO10[[#This Row],[SOLUÇÃO]]=CH$1,[1]!BANCO10[[#This Row],[STATUS DA ETAPA]],"")</f>
        <v/>
      </c>
      <c r="CI25" s="21" t="str">
        <f>IF([1]!BANCO10[[#This Row],[SOLUÇÃO]]=CI$1,[1]!BANCO10[[#This Row],[STATUS DA ETAPA]],"")</f>
        <v/>
      </c>
      <c r="CJ25" s="21" t="str">
        <f>IF([1]!BANCO10[[#This Row],[SOLUÇÃO]]=CJ$1,[1]!BANCO10[[#This Row],[STATUS DA ETAPA]],"")</f>
        <v/>
      </c>
      <c r="CK25" s="21" t="str">
        <f>IF([1]!BANCO10[[#This Row],[SOLUÇÃO]]=CK$1,[1]!BANCO10[[#This Row],[STATUS DA ETAPA]],"")</f>
        <v/>
      </c>
      <c r="CL25" s="21" t="str">
        <f>IF([1]!BANCO10[[#This Row],[SOLUÇÃO]]=CL$1,[1]!BANCO10[[#This Row],[STATUS DA ETAPA]],"")</f>
        <v/>
      </c>
      <c r="CM25" s="21" t="str">
        <f>IF([1]!BANCO10[[#This Row],[SOLUÇÃO]]=CM$1,[1]!BANCO10[[#This Row],[STATUS DA ETAPA]],"")</f>
        <v/>
      </c>
      <c r="CN25" s="21" t="str">
        <f>IF([1]!BANCO10[[#This Row],[SOLUÇÃO]]=CN$1,[1]!BANCO10[[#This Row],[STATUS DA ETAPA]],"")</f>
        <v/>
      </c>
      <c r="CO25" s="21" t="str">
        <f>IF([1]!BANCO10[[#This Row],[SOLUÇÃO]]=CO$1,[1]!BANCO10[[#This Row],[STATUS DA ETAPA]],"")</f>
        <v/>
      </c>
      <c r="CP25" s="21" t="str">
        <f>IF([1]!BANCO10[[#This Row],[SOLUÇÃO]]=CP$1,[1]!BANCO10[[#This Row],[STATUS DA ETAPA]],"")</f>
        <v/>
      </c>
      <c r="CQ25" s="21" t="str">
        <f>IF([1]!BANCO10[[#This Row],[SOLUÇÃO]]=CQ$1,[1]!BANCO10[[#This Row],[STATUS DA ETAPA]],"")</f>
        <v/>
      </c>
      <c r="CR25" s="21" t="str">
        <f>IF([1]!BANCO10[[#This Row],[SOLUÇÃO]]=CR$1,[1]!BANCO10[[#This Row],[STATUS DA ETAPA]],"")</f>
        <v/>
      </c>
      <c r="CS25" s="21" t="str">
        <f>IF([1]!BANCO10[[#This Row],[SOLUÇÃO]]=CS$1,[1]!BANCO10[[#This Row],[STATUS DA ETAPA]],"")</f>
        <v/>
      </c>
      <c r="CT25" s="21" t="str">
        <f>IF([1]!BANCO10[[#This Row],[SOLUÇÃO]]=CT$1,[1]!BANCO10[[#This Row],[STATUS DA ETAPA]],"")</f>
        <v/>
      </c>
      <c r="CU25" s="21" t="str">
        <f>IF([1]!BANCO10[[#This Row],[SOLUÇÃO]]=CU$1,[1]!BANCO10[[#This Row],[STATUS DA ETAPA]],"")</f>
        <v/>
      </c>
      <c r="CV25" s="21" t="str">
        <f>IF([1]!BANCO10[[#This Row],[SOLUÇÃO]]=CV$1,[1]!BANCO10[[#This Row],[STATUS DA ETAPA]],"")</f>
        <v/>
      </c>
    </row>
    <row r="26" spans="1:100">
      <c r="A26" s="44" t="s">
        <v>1</v>
      </c>
      <c r="B26" s="44"/>
      <c r="C26" s="44" t="s">
        <v>1</v>
      </c>
      <c r="D26" s="44"/>
      <c r="E26" s="44" t="s">
        <v>1</v>
      </c>
      <c r="F26" s="44"/>
      <c r="G26" s="44" t="s">
        <v>1</v>
      </c>
      <c r="H26" s="44"/>
      <c r="I26" s="45" t="s">
        <v>1</v>
      </c>
      <c r="J26" s="46"/>
      <c r="K26" s="45" t="s">
        <v>1</v>
      </c>
      <c r="L26" s="33"/>
      <c r="M26" s="45" t="s">
        <v>1</v>
      </c>
      <c r="N26" s="33"/>
      <c r="O26" s="44" t="s">
        <v>2</v>
      </c>
      <c r="P26" s="44">
        <v>44964</v>
      </c>
      <c r="Q26" s="44" t="s">
        <v>2</v>
      </c>
      <c r="R26" s="44">
        <v>45299</v>
      </c>
      <c r="S26" s="44" t="s">
        <v>1</v>
      </c>
      <c r="T26" s="44"/>
      <c r="U26" s="44" t="s">
        <v>2</v>
      </c>
      <c r="V26" s="44">
        <v>45008</v>
      </c>
      <c r="W26" s="44" t="s">
        <v>2</v>
      </c>
      <c r="X26" s="44"/>
      <c r="Y26" s="44" t="s">
        <v>2</v>
      </c>
      <c r="Z26" s="44">
        <v>45008</v>
      </c>
      <c r="AA26" s="44" t="s">
        <v>2</v>
      </c>
      <c r="AB26" s="44"/>
      <c r="AC26" s="51">
        <v>45044</v>
      </c>
      <c r="AD26" s="50">
        <v>45132</v>
      </c>
      <c r="AE26" s="40" t="s">
        <v>2</v>
      </c>
      <c r="AF26" s="40" t="s">
        <v>2</v>
      </c>
      <c r="AG26" s="76" t="s">
        <v>5</v>
      </c>
      <c r="AH26" s="36" t="s">
        <v>0</v>
      </c>
      <c r="AI26" s="49">
        <v>16500</v>
      </c>
      <c r="AJ26" s="36" t="s">
        <v>6</v>
      </c>
      <c r="AK26" s="10"/>
      <c r="AL26" s="36">
        <v>4731</v>
      </c>
      <c r="AM26" s="36"/>
      <c r="AN26" s="35" t="s">
        <v>1</v>
      </c>
      <c r="AO26" s="35" t="s">
        <v>1</v>
      </c>
      <c r="AP26" s="35" t="s">
        <v>2</v>
      </c>
      <c r="AQ26" s="35" t="s">
        <v>1</v>
      </c>
      <c r="AR26" s="34" t="s">
        <v>1</v>
      </c>
      <c r="AS26" s="33"/>
      <c r="AT26" s="32" t="s">
        <v>1</v>
      </c>
      <c r="AU26" s="31"/>
      <c r="AV26" s="32" t="s">
        <v>1</v>
      </c>
      <c r="AW26" s="31"/>
      <c r="AX26" s="30" t="s">
        <v>2</v>
      </c>
      <c r="AY26" s="55">
        <v>45135</v>
      </c>
      <c r="AZ26" s="30" t="s">
        <v>2</v>
      </c>
      <c r="BA26" s="55"/>
      <c r="BB26" s="74"/>
      <c r="BC26" s="25" t="s">
        <v>843</v>
      </c>
      <c r="BD26" s="24" t="s">
        <v>11</v>
      </c>
      <c r="BE26" s="24" t="s">
        <v>11</v>
      </c>
      <c r="BF26" s="24" t="s">
        <v>21</v>
      </c>
      <c r="BG26" s="24" t="s">
        <v>136</v>
      </c>
      <c r="BH26" s="130" t="s">
        <v>19</v>
      </c>
      <c r="BI26" s="24"/>
      <c r="BJ26" s="24" t="s">
        <v>19</v>
      </c>
      <c r="BK26" s="24" t="s">
        <v>19</v>
      </c>
      <c r="BL26" s="24">
        <v>45392</v>
      </c>
      <c r="BM26" s="24" t="s">
        <v>18</v>
      </c>
      <c r="BN26" s="24" t="s">
        <v>11</v>
      </c>
      <c r="BO26" s="24"/>
      <c r="BP26" s="24" t="s">
        <v>188</v>
      </c>
      <c r="BQ26" s="22">
        <f>YEAR([1]!BANCO10[[#This Row],[DATA INÍCIO]])</f>
        <v>2023</v>
      </c>
      <c r="BR26" s="22">
        <f>MONTH([1]!BANCO10[[#This Row],[DATA INÍCIO]])</f>
        <v>4</v>
      </c>
      <c r="BS26" s="129" t="e">
        <f>CONCATENATE(#REF!,#REF!)</f>
        <v>#REF!</v>
      </c>
      <c r="BT26" s="22"/>
      <c r="BU26" s="21" t="s">
        <v>268</v>
      </c>
      <c r="BV26" s="21" t="str">
        <f>IF([1]!BANCO10[[#This Row],[SOLUÇÃO]]=BV$1,[1]!BANCO10[[#This Row],[STATUS DA ETAPA]],"")</f>
        <v/>
      </c>
      <c r="BW26" s="21" t="str">
        <f>IF([1]!BANCO10[[#This Row],[SOLUÇÃO]]=BW$1,[1]!BANCO10[[#This Row],[STATUS DA ETAPA]],"")</f>
        <v/>
      </c>
      <c r="BX26" s="21" t="str">
        <f>IF([1]!BANCO10[[#This Row],[SOLUÇÃO]]=BX$1,[1]!BANCO10[[#This Row],[STATUS DA ETAPA]],"")</f>
        <v/>
      </c>
      <c r="BY26" s="21" t="str">
        <f>IF([1]!BANCO10[[#This Row],[SOLUÇÃO]]=BY$1,[1]!BANCO10[[#This Row],[STATUS DA ETAPA]],"")</f>
        <v/>
      </c>
      <c r="BZ26" s="21" t="str">
        <f>IF([1]!BANCO10[[#This Row],[SOLUÇÃO]]=BZ$1,[1]!BANCO10[[#This Row],[STATUS DA ETAPA]],"")</f>
        <v/>
      </c>
      <c r="CA26" s="21" t="str">
        <f>IF([1]!BANCO10[[#This Row],[SOLUÇÃO]]=CA$1,[1]!BANCO10[[#This Row],[STATUS DA ETAPA]],"")</f>
        <v>CONCLUÍDO</v>
      </c>
      <c r="CB26" s="21" t="str">
        <f>IF([1]!BANCO10[[#This Row],[SOLUÇÃO]]=CB$1,[1]!BANCO10[[#This Row],[STATUS DA ETAPA]],"")</f>
        <v/>
      </c>
      <c r="CC26" s="21" t="str">
        <f>IF([1]!BANCO10[[#This Row],[SOLUÇÃO]]=CC$1,[1]!BANCO10[[#This Row],[STATUS DA ETAPA]],"")</f>
        <v/>
      </c>
      <c r="CD26" s="21" t="str">
        <f>IF([1]!BANCO10[[#This Row],[SOLUÇÃO]]=CD$1,[1]!BANCO10[[#This Row],[STATUS DA ETAPA]],"")</f>
        <v/>
      </c>
      <c r="CE26" s="21" t="str">
        <f>IF([1]!BANCO10[[#This Row],[SOLUÇÃO]]=CE$1,[1]!BANCO10[[#This Row],[STATUS DA ETAPA]],"")</f>
        <v/>
      </c>
      <c r="CF26" s="21" t="str">
        <f>IF([1]!BANCO10[[#This Row],[SOLUÇÃO]]=CF$1,[1]!BANCO10[[#This Row],[STATUS DA ETAPA]],"")</f>
        <v/>
      </c>
      <c r="CG26" s="21" t="str">
        <f>IF([1]!BANCO10[[#This Row],[SOLUÇÃO]]=CG$1,[1]!BANCO10[[#This Row],[STATUS DA ETAPA]],"")</f>
        <v/>
      </c>
      <c r="CH26" s="21" t="str">
        <f>IF([1]!BANCO10[[#This Row],[SOLUÇÃO]]=CH$1,[1]!BANCO10[[#This Row],[STATUS DA ETAPA]],"")</f>
        <v/>
      </c>
      <c r="CI26" s="21" t="str">
        <f>IF([1]!BANCO10[[#This Row],[SOLUÇÃO]]=CI$1,[1]!BANCO10[[#This Row],[STATUS DA ETAPA]],"")</f>
        <v/>
      </c>
      <c r="CJ26" s="21" t="str">
        <f>IF([1]!BANCO10[[#This Row],[SOLUÇÃO]]=CJ$1,[1]!BANCO10[[#This Row],[STATUS DA ETAPA]],"")</f>
        <v/>
      </c>
      <c r="CK26" s="21" t="str">
        <f>IF([1]!BANCO10[[#This Row],[SOLUÇÃO]]=CK$1,[1]!BANCO10[[#This Row],[STATUS DA ETAPA]],"")</f>
        <v/>
      </c>
      <c r="CL26" s="21" t="str">
        <f>IF([1]!BANCO10[[#This Row],[SOLUÇÃO]]=CL$1,[1]!BANCO10[[#This Row],[STATUS DA ETAPA]],"")</f>
        <v/>
      </c>
      <c r="CM26" s="21" t="str">
        <f>IF([1]!BANCO10[[#This Row],[SOLUÇÃO]]=CM$1,[1]!BANCO10[[#This Row],[STATUS DA ETAPA]],"")</f>
        <v/>
      </c>
      <c r="CN26" s="21" t="str">
        <f>IF([1]!BANCO10[[#This Row],[SOLUÇÃO]]=CN$1,[1]!BANCO10[[#This Row],[STATUS DA ETAPA]],"")</f>
        <v/>
      </c>
      <c r="CO26" s="21" t="str">
        <f>IF([1]!BANCO10[[#This Row],[SOLUÇÃO]]=CO$1,[1]!BANCO10[[#This Row],[STATUS DA ETAPA]],"")</f>
        <v/>
      </c>
      <c r="CP26" s="21" t="str">
        <f>IF([1]!BANCO10[[#This Row],[SOLUÇÃO]]=CP$1,[1]!BANCO10[[#This Row],[STATUS DA ETAPA]],"")</f>
        <v/>
      </c>
      <c r="CQ26" s="21" t="str">
        <f>IF([1]!BANCO10[[#This Row],[SOLUÇÃO]]=CQ$1,[1]!BANCO10[[#This Row],[STATUS DA ETAPA]],"")</f>
        <v/>
      </c>
      <c r="CR26" s="21" t="str">
        <f>IF([1]!BANCO10[[#This Row],[SOLUÇÃO]]=CR$1,[1]!BANCO10[[#This Row],[STATUS DA ETAPA]],"")</f>
        <v/>
      </c>
      <c r="CS26" s="21" t="str">
        <f>IF([1]!BANCO10[[#This Row],[SOLUÇÃO]]=CS$1,[1]!BANCO10[[#This Row],[STATUS DA ETAPA]],"")</f>
        <v/>
      </c>
      <c r="CT26" s="21" t="str">
        <f>IF([1]!BANCO10[[#This Row],[SOLUÇÃO]]=CT$1,[1]!BANCO10[[#This Row],[STATUS DA ETAPA]],"")</f>
        <v/>
      </c>
      <c r="CU26" s="21" t="str">
        <f>IF([1]!BANCO10[[#This Row],[SOLUÇÃO]]=CU$1,[1]!BANCO10[[#This Row],[STATUS DA ETAPA]],"")</f>
        <v/>
      </c>
      <c r="CV26" s="21" t="str">
        <f>IF([1]!BANCO10[[#This Row],[SOLUÇÃO]]=CV$1,[1]!BANCO10[[#This Row],[STATUS DA ETAPA]],"")</f>
        <v/>
      </c>
    </row>
    <row r="27" spans="1:100">
      <c r="A27" s="44" t="s">
        <v>1</v>
      </c>
      <c r="B27" s="44"/>
      <c r="C27" s="44" t="s">
        <v>1</v>
      </c>
      <c r="D27" s="44"/>
      <c r="E27" s="44" t="s">
        <v>1</v>
      </c>
      <c r="F27" s="44"/>
      <c r="G27" s="44" t="s">
        <v>1</v>
      </c>
      <c r="H27" s="44"/>
      <c r="I27" s="45" t="s">
        <v>0</v>
      </c>
      <c r="J27" s="46"/>
      <c r="K27" s="45" t="s">
        <v>0</v>
      </c>
      <c r="L27" s="33"/>
      <c r="M27" s="45" t="s">
        <v>0</v>
      </c>
      <c r="N27" s="33"/>
      <c r="O27" s="44"/>
      <c r="P27" s="44"/>
      <c r="Q27" s="44"/>
      <c r="R27" s="44"/>
      <c r="S27" s="44" t="s">
        <v>1</v>
      </c>
      <c r="T27" s="44"/>
      <c r="U27" s="44"/>
      <c r="V27" s="44"/>
      <c r="W27" s="44"/>
      <c r="X27" s="44"/>
      <c r="Y27" s="44"/>
      <c r="Z27" s="44"/>
      <c r="AA27" s="44"/>
      <c r="AB27" s="44"/>
      <c r="AC27" s="51">
        <v>45963</v>
      </c>
      <c r="AD27" s="50">
        <v>45963</v>
      </c>
      <c r="AE27" s="41" t="s">
        <v>1</v>
      </c>
      <c r="AF27" s="41" t="s">
        <v>1</v>
      </c>
      <c r="AG27" s="40" t="s">
        <v>5</v>
      </c>
      <c r="AH27" s="36" t="s">
        <v>1</v>
      </c>
      <c r="AI27" s="49">
        <v>0</v>
      </c>
      <c r="AJ27" s="36" t="s">
        <v>1</v>
      </c>
      <c r="AK27" s="10" t="s">
        <v>1</v>
      </c>
      <c r="AL27" s="36" t="s">
        <v>1</v>
      </c>
      <c r="AM27" s="36" t="s">
        <v>1</v>
      </c>
      <c r="AN27" s="35" t="s">
        <v>1</v>
      </c>
      <c r="AO27" s="35" t="s">
        <v>1</v>
      </c>
      <c r="AP27" s="35" t="s">
        <v>1</v>
      </c>
      <c r="AQ27" s="35" t="s">
        <v>1</v>
      </c>
      <c r="AR27" s="34" t="s">
        <v>1</v>
      </c>
      <c r="AS27" s="63"/>
      <c r="AT27" s="32" t="s">
        <v>1</v>
      </c>
      <c r="AU27" s="31"/>
      <c r="AV27" s="32" t="s">
        <v>1</v>
      </c>
      <c r="AW27" s="31"/>
      <c r="AX27" s="32" t="s">
        <v>1</v>
      </c>
      <c r="AY27" s="31"/>
      <c r="AZ27" s="32" t="s">
        <v>1</v>
      </c>
      <c r="BA27" s="31"/>
      <c r="BB27" s="26"/>
      <c r="BC27" s="25"/>
      <c r="BD27" s="24"/>
      <c r="BE27" s="24"/>
      <c r="BF27" s="24"/>
      <c r="BG27" s="24"/>
      <c r="BH27" s="24"/>
      <c r="BI27" s="24"/>
      <c r="BJ27" s="24"/>
      <c r="BK27" s="24"/>
      <c r="BL27" s="24"/>
      <c r="BM27" s="24"/>
      <c r="BN27" s="24"/>
      <c r="BO27" s="24"/>
      <c r="BP27" s="24"/>
      <c r="BQ27" s="22">
        <f>YEAR([1]!BANCO10[[#This Row],[DATA INÍCIO]])</f>
        <v>2025</v>
      </c>
      <c r="BR27" s="22">
        <f>MONTH([1]!BANCO10[[#This Row],[DATA INÍCIO]])</f>
        <v>11</v>
      </c>
      <c r="BS27" s="23" t="e">
        <f>CONCATENATE(#REF!,#REF!)</f>
        <v>#REF!</v>
      </c>
      <c r="BT27" s="22"/>
      <c r="BU27" s="22"/>
      <c r="BV27" s="21" t="str">
        <f>IF([1]!BANCO10[[#This Row],[SOLUÇÃO]]=BV$1,[1]!BANCO10[[#This Row],[STATUS DA ETAPA]],"")</f>
        <v/>
      </c>
      <c r="BW27" s="21" t="str">
        <f>IF([1]!BANCO10[[#This Row],[SOLUÇÃO]]=BW$1,[1]!BANCO10[[#This Row],[STATUS DA ETAPA]],"")</f>
        <v/>
      </c>
      <c r="BX27" s="21" t="str">
        <f>IF([1]!BANCO10[[#This Row],[SOLUÇÃO]]=BX$1,[1]!BANCO10[[#This Row],[STATUS DA ETAPA]],"")</f>
        <v/>
      </c>
      <c r="BY27" s="21" t="str">
        <f>IF([1]!BANCO10[[#This Row],[SOLUÇÃO]]=BY$1,[1]!BANCO10[[#This Row],[STATUS DA ETAPA]],"")</f>
        <v/>
      </c>
      <c r="BZ27" s="21" t="str">
        <f>IF([1]!BANCO10[[#This Row],[SOLUÇÃO]]=BZ$1,[1]!BANCO10[[#This Row],[STATUS DA ETAPA]],"")</f>
        <v/>
      </c>
      <c r="CA27" s="21" t="str">
        <f>IF([1]!BANCO10[[#This Row],[SOLUÇÃO]]=CA$1,[1]!BANCO10[[#This Row],[STATUS DA ETAPA]],"")</f>
        <v/>
      </c>
      <c r="CB27" s="21" t="str">
        <f>IF([1]!BANCO10[[#This Row],[SOLUÇÃO]]=CB$1,[1]!BANCO10[[#This Row],[STATUS DA ETAPA]],"")</f>
        <v>CANCELADO</v>
      </c>
      <c r="CC27" s="21" t="str">
        <f>IF([1]!BANCO10[[#This Row],[SOLUÇÃO]]=CC$1,[1]!BANCO10[[#This Row],[STATUS DA ETAPA]],"")</f>
        <v/>
      </c>
      <c r="CD27" s="21" t="str">
        <f>IF([1]!BANCO10[[#This Row],[SOLUÇÃO]]=CD$1,[1]!BANCO10[[#This Row],[STATUS DA ETAPA]],"")</f>
        <v/>
      </c>
      <c r="CE27" s="21" t="str">
        <f>IF([1]!BANCO10[[#This Row],[SOLUÇÃO]]=CE$1,[1]!BANCO10[[#This Row],[STATUS DA ETAPA]],"")</f>
        <v/>
      </c>
      <c r="CF27" s="21" t="str">
        <f>IF([1]!BANCO10[[#This Row],[SOLUÇÃO]]=CF$1,[1]!BANCO10[[#This Row],[STATUS DA ETAPA]],"")</f>
        <v/>
      </c>
      <c r="CG27" s="21" t="str">
        <f>IF([1]!BANCO10[[#This Row],[SOLUÇÃO]]=CG$1,[1]!BANCO10[[#This Row],[STATUS DA ETAPA]],"")</f>
        <v/>
      </c>
      <c r="CH27" s="21" t="str">
        <f>IF([1]!BANCO10[[#This Row],[SOLUÇÃO]]=CH$1,[1]!BANCO10[[#This Row],[STATUS DA ETAPA]],"")</f>
        <v/>
      </c>
      <c r="CI27" s="21" t="str">
        <f>IF([1]!BANCO10[[#This Row],[SOLUÇÃO]]=CI$1,[1]!BANCO10[[#This Row],[STATUS DA ETAPA]],"")</f>
        <v/>
      </c>
      <c r="CJ27" s="21" t="str">
        <f>IF([1]!BANCO10[[#This Row],[SOLUÇÃO]]=CJ$1,[1]!BANCO10[[#This Row],[STATUS DA ETAPA]],"")</f>
        <v/>
      </c>
      <c r="CK27" s="21" t="str">
        <f>IF([1]!BANCO10[[#This Row],[SOLUÇÃO]]=CK$1,[1]!BANCO10[[#This Row],[STATUS DA ETAPA]],"")</f>
        <v/>
      </c>
      <c r="CL27" s="21" t="str">
        <f>IF([1]!BANCO10[[#This Row],[SOLUÇÃO]]=CL$1,[1]!BANCO10[[#This Row],[STATUS DA ETAPA]],"")</f>
        <v/>
      </c>
      <c r="CM27" s="21" t="str">
        <f>IF([1]!BANCO10[[#This Row],[SOLUÇÃO]]=CM$1,[1]!BANCO10[[#This Row],[STATUS DA ETAPA]],"")</f>
        <v/>
      </c>
      <c r="CN27" s="21" t="str">
        <f>IF([1]!BANCO10[[#This Row],[SOLUÇÃO]]=CN$1,[1]!BANCO10[[#This Row],[STATUS DA ETAPA]],"")</f>
        <v/>
      </c>
      <c r="CO27" s="21" t="str">
        <f>IF([1]!BANCO10[[#This Row],[SOLUÇÃO]]=CO$1,[1]!BANCO10[[#This Row],[STATUS DA ETAPA]],"")</f>
        <v/>
      </c>
      <c r="CP27" s="21" t="str">
        <f>IF([1]!BANCO10[[#This Row],[SOLUÇÃO]]=CP$1,[1]!BANCO10[[#This Row],[STATUS DA ETAPA]],"")</f>
        <v/>
      </c>
      <c r="CQ27" s="21" t="str">
        <f>IF([1]!BANCO10[[#This Row],[SOLUÇÃO]]=CQ$1,[1]!BANCO10[[#This Row],[STATUS DA ETAPA]],"")</f>
        <v/>
      </c>
      <c r="CR27" s="21" t="str">
        <f>IF([1]!BANCO10[[#This Row],[SOLUÇÃO]]=CR$1,[1]!BANCO10[[#This Row],[STATUS DA ETAPA]],"")</f>
        <v/>
      </c>
      <c r="CS27" s="21" t="str">
        <f>IF([1]!BANCO10[[#This Row],[SOLUÇÃO]]=CS$1,[1]!BANCO10[[#This Row],[STATUS DA ETAPA]],"")</f>
        <v/>
      </c>
      <c r="CT27" s="21" t="str">
        <f>IF([1]!BANCO10[[#This Row],[SOLUÇÃO]]=CT$1,[1]!BANCO10[[#This Row],[STATUS DA ETAPA]],"")</f>
        <v/>
      </c>
      <c r="CU27" s="21" t="str">
        <f>IF([1]!BANCO10[[#This Row],[SOLUÇÃO]]=CU$1,[1]!BANCO10[[#This Row],[STATUS DA ETAPA]],"")</f>
        <v/>
      </c>
      <c r="CV27" s="21" t="str">
        <f>IF([1]!BANCO10[[#This Row],[SOLUÇÃO]]=CV$1,[1]!BANCO10[[#This Row],[STATUS DA ETAPA]],"")</f>
        <v/>
      </c>
    </row>
    <row r="28" spans="1:100">
      <c r="A28" s="44" t="s">
        <v>1</v>
      </c>
      <c r="B28" s="44"/>
      <c r="C28" s="44" t="s">
        <v>1</v>
      </c>
      <c r="D28" s="44"/>
      <c r="E28" s="44" t="s">
        <v>1</v>
      </c>
      <c r="F28" s="44"/>
      <c r="G28" s="44" t="s">
        <v>1</v>
      </c>
      <c r="H28" s="44"/>
      <c r="I28" s="45" t="s">
        <v>1</v>
      </c>
      <c r="J28" s="46"/>
      <c r="K28" s="45" t="s">
        <v>1</v>
      </c>
      <c r="L28" s="33"/>
      <c r="M28" s="45" t="s">
        <v>1</v>
      </c>
      <c r="N28" s="33"/>
      <c r="O28" s="44" t="s">
        <v>1</v>
      </c>
      <c r="P28" s="44"/>
      <c r="Q28" s="44" t="s">
        <v>0</v>
      </c>
      <c r="R28" s="44"/>
      <c r="S28" s="44" t="s">
        <v>1</v>
      </c>
      <c r="T28" s="44"/>
      <c r="U28" s="44" t="s">
        <v>1</v>
      </c>
      <c r="V28" s="44"/>
      <c r="W28" s="44" t="s">
        <v>1</v>
      </c>
      <c r="X28" s="44"/>
      <c r="Y28" s="44" t="s">
        <v>1</v>
      </c>
      <c r="Z28" s="44"/>
      <c r="AA28" s="44" t="s">
        <v>1</v>
      </c>
      <c r="AB28" s="44"/>
      <c r="AC28" s="51">
        <v>45963</v>
      </c>
      <c r="AD28" s="50">
        <v>45963</v>
      </c>
      <c r="AE28" s="41" t="s">
        <v>1</v>
      </c>
      <c r="AF28" s="41" t="s">
        <v>1</v>
      </c>
      <c r="AG28" s="40" t="s">
        <v>5</v>
      </c>
      <c r="AH28" s="36" t="s">
        <v>1</v>
      </c>
      <c r="AI28" s="49">
        <v>0</v>
      </c>
      <c r="AJ28" s="36" t="s">
        <v>1</v>
      </c>
      <c r="AK28" s="10" t="s">
        <v>1</v>
      </c>
      <c r="AL28" s="36" t="s">
        <v>1</v>
      </c>
      <c r="AM28" s="36" t="s">
        <v>1</v>
      </c>
      <c r="AN28" s="35" t="s">
        <v>1</v>
      </c>
      <c r="AO28" s="35" t="s">
        <v>1</v>
      </c>
      <c r="AP28" s="35" t="s">
        <v>1</v>
      </c>
      <c r="AQ28" s="35" t="s">
        <v>1</v>
      </c>
      <c r="AR28" s="82" t="s">
        <v>1</v>
      </c>
      <c r="AS28" s="33"/>
      <c r="AT28" s="32" t="s">
        <v>1</v>
      </c>
      <c r="AU28" s="31"/>
      <c r="AV28" s="32" t="s">
        <v>1</v>
      </c>
      <c r="AW28" s="31"/>
      <c r="AX28" s="32" t="s">
        <v>0</v>
      </c>
      <c r="AY28" s="31"/>
      <c r="AZ28" s="32" t="s">
        <v>0</v>
      </c>
      <c r="BA28" s="31"/>
      <c r="BB28" s="26"/>
      <c r="BC28" s="25"/>
      <c r="BD28" s="24"/>
      <c r="BE28" s="24"/>
      <c r="BF28" s="24"/>
      <c r="BG28" s="24"/>
      <c r="BH28" s="24"/>
      <c r="BI28" s="24"/>
      <c r="BJ28" s="24"/>
      <c r="BK28" s="24"/>
      <c r="BL28" s="24"/>
      <c r="BM28" s="24"/>
      <c r="BN28" s="24"/>
      <c r="BO28" s="24"/>
      <c r="BP28" s="24"/>
      <c r="BQ28" s="22">
        <f>YEAR([1]!BANCO10[[#This Row],[DATA INÍCIO]])</f>
        <v>2025</v>
      </c>
      <c r="BR28" s="22">
        <f>MONTH([1]!BANCO10[[#This Row],[DATA INÍCIO]])</f>
        <v>11</v>
      </c>
      <c r="BS28" s="23" t="e">
        <f>CONCATENATE(#REF!,#REF!)</f>
        <v>#REF!</v>
      </c>
      <c r="BT28" s="22"/>
      <c r="BU28" s="22"/>
      <c r="BV28" s="21" t="str">
        <f>IF([1]!BANCO10[[#This Row],[SOLUÇÃO]]=BV$1,[1]!BANCO10[[#This Row],[STATUS DA ETAPA]],"")</f>
        <v>CONCLUÍDO</v>
      </c>
      <c r="BW28" s="21" t="str">
        <f>IF([1]!BANCO10[[#This Row],[SOLUÇÃO]]=BW$1,[1]!BANCO10[[#This Row],[STATUS DA ETAPA]],"")</f>
        <v/>
      </c>
      <c r="BX28" s="21" t="str">
        <f>IF([1]!BANCO10[[#This Row],[SOLUÇÃO]]=BX$1,[1]!BANCO10[[#This Row],[STATUS DA ETAPA]],"")</f>
        <v/>
      </c>
      <c r="BY28" s="21" t="str">
        <f>IF([1]!BANCO10[[#This Row],[SOLUÇÃO]]=BY$1,[1]!BANCO10[[#This Row],[STATUS DA ETAPA]],"")</f>
        <v/>
      </c>
      <c r="BZ28" s="21" t="str">
        <f>IF([1]!BANCO10[[#This Row],[SOLUÇÃO]]=BZ$1,[1]!BANCO10[[#This Row],[STATUS DA ETAPA]],"")</f>
        <v/>
      </c>
      <c r="CA28" s="21" t="str">
        <f>IF([1]!BANCO10[[#This Row],[SOLUÇÃO]]=CA$1,[1]!BANCO10[[#This Row],[STATUS DA ETAPA]],"")</f>
        <v/>
      </c>
      <c r="CB28" s="21" t="str">
        <f>IF([1]!BANCO10[[#This Row],[SOLUÇÃO]]=CB$1,[1]!BANCO10[[#This Row],[STATUS DA ETAPA]],"")</f>
        <v/>
      </c>
      <c r="CC28" s="21" t="str">
        <f>IF([1]!BANCO10[[#This Row],[SOLUÇÃO]]=CC$1,[1]!BANCO10[[#This Row],[STATUS DA ETAPA]],"")</f>
        <v/>
      </c>
      <c r="CD28" s="21" t="str">
        <f>IF([1]!BANCO10[[#This Row],[SOLUÇÃO]]=CD$1,[1]!BANCO10[[#This Row],[STATUS DA ETAPA]],"")</f>
        <v/>
      </c>
      <c r="CE28" s="21" t="str">
        <f>IF([1]!BANCO10[[#This Row],[SOLUÇÃO]]=CE$1,[1]!BANCO10[[#This Row],[STATUS DA ETAPA]],"")</f>
        <v/>
      </c>
      <c r="CF28" s="21" t="str">
        <f>IF([1]!BANCO10[[#This Row],[SOLUÇÃO]]=CF$1,[1]!BANCO10[[#This Row],[STATUS DA ETAPA]],"")</f>
        <v/>
      </c>
      <c r="CG28" s="21" t="str">
        <f>IF([1]!BANCO10[[#This Row],[SOLUÇÃO]]=CG$1,[1]!BANCO10[[#This Row],[STATUS DA ETAPA]],"")</f>
        <v/>
      </c>
      <c r="CH28" s="21" t="str">
        <f>IF([1]!BANCO10[[#This Row],[SOLUÇÃO]]=CH$1,[1]!BANCO10[[#This Row],[STATUS DA ETAPA]],"")</f>
        <v/>
      </c>
      <c r="CI28" s="21" t="str">
        <f>IF([1]!BANCO10[[#This Row],[SOLUÇÃO]]=CI$1,[1]!BANCO10[[#This Row],[STATUS DA ETAPA]],"")</f>
        <v/>
      </c>
      <c r="CJ28" s="21" t="str">
        <f>IF([1]!BANCO10[[#This Row],[SOLUÇÃO]]=CJ$1,[1]!BANCO10[[#This Row],[STATUS DA ETAPA]],"")</f>
        <v/>
      </c>
      <c r="CK28" s="21" t="str">
        <f>IF([1]!BANCO10[[#This Row],[SOLUÇÃO]]=CK$1,[1]!BANCO10[[#This Row],[STATUS DA ETAPA]],"")</f>
        <v/>
      </c>
      <c r="CL28" s="21" t="str">
        <f>IF([1]!BANCO10[[#This Row],[SOLUÇÃO]]=CL$1,[1]!BANCO10[[#This Row],[STATUS DA ETAPA]],"")</f>
        <v/>
      </c>
      <c r="CM28" s="21" t="str">
        <f>IF([1]!BANCO10[[#This Row],[SOLUÇÃO]]=CM$1,[1]!BANCO10[[#This Row],[STATUS DA ETAPA]],"")</f>
        <v/>
      </c>
      <c r="CN28" s="21" t="str">
        <f>IF([1]!BANCO10[[#This Row],[SOLUÇÃO]]=CN$1,[1]!BANCO10[[#This Row],[STATUS DA ETAPA]],"")</f>
        <v/>
      </c>
      <c r="CO28" s="21" t="str">
        <f>IF([1]!BANCO10[[#This Row],[SOLUÇÃO]]=CO$1,[1]!BANCO10[[#This Row],[STATUS DA ETAPA]],"")</f>
        <v/>
      </c>
      <c r="CP28" s="21" t="str">
        <f>IF([1]!BANCO10[[#This Row],[SOLUÇÃO]]=CP$1,[1]!BANCO10[[#This Row],[STATUS DA ETAPA]],"")</f>
        <v/>
      </c>
      <c r="CQ28" s="21" t="str">
        <f>IF([1]!BANCO10[[#This Row],[SOLUÇÃO]]=CQ$1,[1]!BANCO10[[#This Row],[STATUS DA ETAPA]],"")</f>
        <v/>
      </c>
      <c r="CR28" s="21" t="str">
        <f>IF([1]!BANCO10[[#This Row],[SOLUÇÃO]]=CR$1,[1]!BANCO10[[#This Row],[STATUS DA ETAPA]],"")</f>
        <v/>
      </c>
      <c r="CS28" s="21" t="str">
        <f>IF([1]!BANCO10[[#This Row],[SOLUÇÃO]]=CS$1,[1]!BANCO10[[#This Row],[STATUS DA ETAPA]],"")</f>
        <v/>
      </c>
      <c r="CT28" s="21" t="str">
        <f>IF([1]!BANCO10[[#This Row],[SOLUÇÃO]]=CT$1,[1]!BANCO10[[#This Row],[STATUS DA ETAPA]],"")</f>
        <v/>
      </c>
      <c r="CU28" s="21" t="str">
        <f>IF([1]!BANCO10[[#This Row],[SOLUÇÃO]]=CU$1,[1]!BANCO10[[#This Row],[STATUS DA ETAPA]],"")</f>
        <v/>
      </c>
      <c r="CV28" s="21" t="str">
        <f>IF([1]!BANCO10[[#This Row],[SOLUÇÃO]]=CV$1,[1]!BANCO10[[#This Row],[STATUS DA ETAPA]],"")</f>
        <v/>
      </c>
    </row>
    <row r="29" spans="1:100">
      <c r="A29" s="44" t="s">
        <v>1</v>
      </c>
      <c r="B29" s="44"/>
      <c r="C29" s="44" t="s">
        <v>1</v>
      </c>
      <c r="D29" s="44"/>
      <c r="E29" s="44" t="s">
        <v>1</v>
      </c>
      <c r="F29" s="44"/>
      <c r="G29" s="44" t="s">
        <v>1</v>
      </c>
      <c r="H29" s="44"/>
      <c r="I29" s="45" t="s">
        <v>1</v>
      </c>
      <c r="J29" s="46"/>
      <c r="K29" s="45" t="s">
        <v>0</v>
      </c>
      <c r="L29" s="33"/>
      <c r="M29" s="45" t="s">
        <v>0</v>
      </c>
      <c r="N29" s="33"/>
      <c r="O29" s="44"/>
      <c r="P29" s="44"/>
      <c r="Q29" s="44" t="s">
        <v>2</v>
      </c>
      <c r="R29" s="44">
        <v>45701</v>
      </c>
      <c r="S29" s="44" t="s">
        <v>1</v>
      </c>
      <c r="T29" s="44"/>
      <c r="U29" s="44"/>
      <c r="V29" s="44"/>
      <c r="W29" s="44"/>
      <c r="X29" s="44"/>
      <c r="Y29" s="44"/>
      <c r="Z29" s="44"/>
      <c r="AA29" s="44"/>
      <c r="AB29" s="44"/>
      <c r="AC29" s="51">
        <v>45963</v>
      </c>
      <c r="AD29" s="50">
        <v>45963</v>
      </c>
      <c r="AE29" s="41" t="s">
        <v>1</v>
      </c>
      <c r="AF29" s="41" t="s">
        <v>1</v>
      </c>
      <c r="AG29" s="40" t="s">
        <v>5</v>
      </c>
      <c r="AH29" s="36" t="s">
        <v>1</v>
      </c>
      <c r="AI29" s="49">
        <v>0</v>
      </c>
      <c r="AJ29" s="36" t="s">
        <v>1</v>
      </c>
      <c r="AK29" s="10" t="s">
        <v>1</v>
      </c>
      <c r="AL29" s="36" t="s">
        <v>1</v>
      </c>
      <c r="AM29" s="36" t="s">
        <v>1</v>
      </c>
      <c r="AN29" s="35" t="s">
        <v>1</v>
      </c>
      <c r="AO29" s="35" t="s">
        <v>1</v>
      </c>
      <c r="AP29" s="35" t="s">
        <v>1</v>
      </c>
      <c r="AQ29" s="35" t="s">
        <v>1</v>
      </c>
      <c r="AR29" s="34" t="s">
        <v>1</v>
      </c>
      <c r="AS29" s="63"/>
      <c r="AT29" s="32" t="s">
        <v>1</v>
      </c>
      <c r="AU29" s="31"/>
      <c r="AV29" s="32" t="s">
        <v>1</v>
      </c>
      <c r="AW29" s="31"/>
      <c r="AX29" s="32" t="s">
        <v>1</v>
      </c>
      <c r="AY29" s="31"/>
      <c r="AZ29" s="32" t="s">
        <v>1</v>
      </c>
      <c r="BA29" s="31"/>
      <c r="BB29" s="26"/>
      <c r="BC29" s="25"/>
      <c r="BD29" s="24"/>
      <c r="BE29" s="24"/>
      <c r="BF29" s="24"/>
      <c r="BG29" s="24"/>
      <c r="BH29" s="24"/>
      <c r="BI29" s="24"/>
      <c r="BJ29" s="24"/>
      <c r="BK29" s="24"/>
      <c r="BL29" s="24"/>
      <c r="BM29" s="24"/>
      <c r="BN29" s="24"/>
      <c r="BO29" s="24"/>
      <c r="BP29" s="24"/>
      <c r="BQ29" s="22">
        <f>YEAR([1]!BANCO10[[#This Row],[DATA INÍCIO]])</f>
        <v>2025</v>
      </c>
      <c r="BR29" s="22">
        <f>MONTH([1]!BANCO10[[#This Row],[DATA INÍCIO]])</f>
        <v>11</v>
      </c>
      <c r="BS29" s="23" t="e">
        <f>CONCATENATE(#REF!,#REF!)</f>
        <v>#REF!</v>
      </c>
      <c r="BT29" s="22"/>
      <c r="BU29" s="22"/>
      <c r="BV29" s="21" t="str">
        <f>IF([1]!BANCO10[[#This Row],[SOLUÇÃO]]=BV$1,[1]!BANCO10[[#This Row],[STATUS DA ETAPA]],"")</f>
        <v/>
      </c>
      <c r="BW29" s="21" t="str">
        <f>IF([1]!BANCO10[[#This Row],[SOLUÇÃO]]=BW$1,[1]!BANCO10[[#This Row],[STATUS DA ETAPA]],"")</f>
        <v/>
      </c>
      <c r="BX29" s="21" t="str">
        <f>IF([1]!BANCO10[[#This Row],[SOLUÇÃO]]=BX$1,[1]!BANCO10[[#This Row],[STATUS DA ETAPA]],"")</f>
        <v/>
      </c>
      <c r="BY29" s="21" t="str">
        <f>IF([1]!BANCO10[[#This Row],[SOLUÇÃO]]=BY$1,[1]!BANCO10[[#This Row],[STATUS DA ETAPA]],"")</f>
        <v/>
      </c>
      <c r="BZ29" s="21" t="str">
        <f>IF([1]!BANCO10[[#This Row],[SOLUÇÃO]]=BZ$1,[1]!BANCO10[[#This Row],[STATUS DA ETAPA]],"")</f>
        <v/>
      </c>
      <c r="CA29" s="21" t="str">
        <f>IF([1]!BANCO10[[#This Row],[SOLUÇÃO]]=CA$1,[1]!BANCO10[[#This Row],[STATUS DA ETAPA]],"")</f>
        <v/>
      </c>
      <c r="CB29" s="21" t="str">
        <f>IF([1]!BANCO10[[#This Row],[SOLUÇÃO]]=CB$1,[1]!BANCO10[[#This Row],[STATUS DA ETAPA]],"")</f>
        <v>CANCELADO</v>
      </c>
      <c r="CC29" s="21" t="str">
        <f>IF([1]!BANCO10[[#This Row],[SOLUÇÃO]]=CC$1,[1]!BANCO10[[#This Row],[STATUS DA ETAPA]],"")</f>
        <v/>
      </c>
      <c r="CD29" s="21" t="str">
        <f>IF([1]!BANCO10[[#This Row],[SOLUÇÃO]]=CD$1,[1]!BANCO10[[#This Row],[STATUS DA ETAPA]],"")</f>
        <v/>
      </c>
      <c r="CE29" s="21" t="str">
        <f>IF([1]!BANCO10[[#This Row],[SOLUÇÃO]]=CE$1,[1]!BANCO10[[#This Row],[STATUS DA ETAPA]],"")</f>
        <v/>
      </c>
      <c r="CF29" s="21" t="str">
        <f>IF([1]!BANCO10[[#This Row],[SOLUÇÃO]]=CF$1,[1]!BANCO10[[#This Row],[STATUS DA ETAPA]],"")</f>
        <v/>
      </c>
      <c r="CG29" s="21" t="str">
        <f>IF([1]!BANCO10[[#This Row],[SOLUÇÃO]]=CG$1,[1]!BANCO10[[#This Row],[STATUS DA ETAPA]],"")</f>
        <v/>
      </c>
      <c r="CH29" s="21" t="str">
        <f>IF([1]!BANCO10[[#This Row],[SOLUÇÃO]]=CH$1,[1]!BANCO10[[#This Row],[STATUS DA ETAPA]],"")</f>
        <v/>
      </c>
      <c r="CI29" s="21" t="str">
        <f>IF([1]!BANCO10[[#This Row],[SOLUÇÃO]]=CI$1,[1]!BANCO10[[#This Row],[STATUS DA ETAPA]],"")</f>
        <v/>
      </c>
      <c r="CJ29" s="21" t="str">
        <f>IF([1]!BANCO10[[#This Row],[SOLUÇÃO]]=CJ$1,[1]!BANCO10[[#This Row],[STATUS DA ETAPA]],"")</f>
        <v/>
      </c>
      <c r="CK29" s="21" t="str">
        <f>IF([1]!BANCO10[[#This Row],[SOLUÇÃO]]=CK$1,[1]!BANCO10[[#This Row],[STATUS DA ETAPA]],"")</f>
        <v/>
      </c>
      <c r="CL29" s="21" t="str">
        <f>IF([1]!BANCO10[[#This Row],[SOLUÇÃO]]=CL$1,[1]!BANCO10[[#This Row],[STATUS DA ETAPA]],"")</f>
        <v/>
      </c>
      <c r="CM29" s="21" t="str">
        <f>IF([1]!BANCO10[[#This Row],[SOLUÇÃO]]=CM$1,[1]!BANCO10[[#This Row],[STATUS DA ETAPA]],"")</f>
        <v/>
      </c>
      <c r="CN29" s="21" t="str">
        <f>IF([1]!BANCO10[[#This Row],[SOLUÇÃO]]=CN$1,[1]!BANCO10[[#This Row],[STATUS DA ETAPA]],"")</f>
        <v/>
      </c>
      <c r="CO29" s="21" t="str">
        <f>IF([1]!BANCO10[[#This Row],[SOLUÇÃO]]=CO$1,[1]!BANCO10[[#This Row],[STATUS DA ETAPA]],"")</f>
        <v/>
      </c>
      <c r="CP29" s="21" t="str">
        <f>IF([1]!BANCO10[[#This Row],[SOLUÇÃO]]=CP$1,[1]!BANCO10[[#This Row],[STATUS DA ETAPA]],"")</f>
        <v/>
      </c>
      <c r="CQ29" s="21" t="str">
        <f>IF([1]!BANCO10[[#This Row],[SOLUÇÃO]]=CQ$1,[1]!BANCO10[[#This Row],[STATUS DA ETAPA]],"")</f>
        <v/>
      </c>
      <c r="CR29" s="21" t="str">
        <f>IF([1]!BANCO10[[#This Row],[SOLUÇÃO]]=CR$1,[1]!BANCO10[[#This Row],[STATUS DA ETAPA]],"")</f>
        <v/>
      </c>
      <c r="CS29" s="21" t="str">
        <f>IF([1]!BANCO10[[#This Row],[SOLUÇÃO]]=CS$1,[1]!BANCO10[[#This Row],[STATUS DA ETAPA]],"")</f>
        <v/>
      </c>
      <c r="CT29" s="21" t="str">
        <f>IF([1]!BANCO10[[#This Row],[SOLUÇÃO]]=CT$1,[1]!BANCO10[[#This Row],[STATUS DA ETAPA]],"")</f>
        <v/>
      </c>
      <c r="CU29" s="21" t="str">
        <f>IF([1]!BANCO10[[#This Row],[SOLUÇÃO]]=CU$1,[1]!BANCO10[[#This Row],[STATUS DA ETAPA]],"")</f>
        <v/>
      </c>
      <c r="CV29" s="21" t="str">
        <f>IF([1]!BANCO10[[#This Row],[SOLUÇÃO]]=CV$1,[1]!BANCO10[[#This Row],[STATUS DA ETAPA]],"")</f>
        <v/>
      </c>
    </row>
    <row r="30" spans="1:100">
      <c r="A30" s="44" t="s">
        <v>1</v>
      </c>
      <c r="B30" s="44"/>
      <c r="C30" s="44" t="s">
        <v>1</v>
      </c>
      <c r="D30" s="44"/>
      <c r="E30" s="44" t="s">
        <v>1</v>
      </c>
      <c r="F30" s="44"/>
      <c r="G30" s="44" t="s">
        <v>1</v>
      </c>
      <c r="H30" s="44"/>
      <c r="I30" s="45" t="s">
        <v>1</v>
      </c>
      <c r="J30" s="46"/>
      <c r="K30" s="45" t="s">
        <v>1</v>
      </c>
      <c r="L30" s="33"/>
      <c r="M30" s="45" t="s">
        <v>1</v>
      </c>
      <c r="N30" s="33"/>
      <c r="O30" s="44" t="s">
        <v>2</v>
      </c>
      <c r="P30" s="44">
        <v>45008</v>
      </c>
      <c r="Q30" s="44" t="s">
        <v>0</v>
      </c>
      <c r="R30" s="44"/>
      <c r="S30" s="44" t="s">
        <v>1</v>
      </c>
      <c r="T30" s="44"/>
      <c r="U30" s="44" t="s">
        <v>1</v>
      </c>
      <c r="V30" s="44"/>
      <c r="W30" s="44" t="s">
        <v>1</v>
      </c>
      <c r="X30" s="44"/>
      <c r="Y30" s="44" t="s">
        <v>1</v>
      </c>
      <c r="Z30" s="44"/>
      <c r="AA30" s="44" t="s">
        <v>1</v>
      </c>
      <c r="AB30" s="44"/>
      <c r="AC30" s="51">
        <v>45007</v>
      </c>
      <c r="AD30" s="50">
        <v>45007</v>
      </c>
      <c r="AE30" s="40" t="s">
        <v>1</v>
      </c>
      <c r="AF30" s="40" t="s">
        <v>1</v>
      </c>
      <c r="AG30" s="76" t="s">
        <v>5</v>
      </c>
      <c r="AH30" s="36" t="s">
        <v>1</v>
      </c>
      <c r="AI30" s="49">
        <v>0</v>
      </c>
      <c r="AJ30" s="36" t="s">
        <v>1</v>
      </c>
      <c r="AK30" s="10" t="s">
        <v>1</v>
      </c>
      <c r="AL30" s="36" t="s">
        <v>1</v>
      </c>
      <c r="AM30" s="36" t="s">
        <v>1</v>
      </c>
      <c r="AN30" s="35" t="s">
        <v>1</v>
      </c>
      <c r="AO30" s="35" t="s">
        <v>1</v>
      </c>
      <c r="AP30" s="35" t="s">
        <v>1</v>
      </c>
      <c r="AQ30" s="35" t="s">
        <v>1</v>
      </c>
      <c r="AR30" s="82" t="s">
        <v>1</v>
      </c>
      <c r="AS30" s="33"/>
      <c r="AT30" s="32" t="s">
        <v>1</v>
      </c>
      <c r="AU30" s="31"/>
      <c r="AV30" s="32" t="s">
        <v>1</v>
      </c>
      <c r="AW30" s="31"/>
      <c r="AX30" s="30" t="s">
        <v>1</v>
      </c>
      <c r="AY30" s="55"/>
      <c r="AZ30" s="30" t="s">
        <v>1</v>
      </c>
      <c r="BA30" s="55"/>
      <c r="BB30" s="74"/>
      <c r="BC30" s="25" t="s">
        <v>843</v>
      </c>
      <c r="BD30" s="24" t="s">
        <v>11</v>
      </c>
      <c r="BE30" s="24" t="s">
        <v>11</v>
      </c>
      <c r="BF30" s="24" t="s">
        <v>21</v>
      </c>
      <c r="BG30" s="24" t="s">
        <v>20</v>
      </c>
      <c r="BH30" s="130" t="s">
        <v>19</v>
      </c>
      <c r="BI30" s="24"/>
      <c r="BJ30" s="24" t="s">
        <v>11</v>
      </c>
      <c r="BK30" s="24" t="s">
        <v>11</v>
      </c>
      <c r="BL30" s="24" t="s">
        <v>11</v>
      </c>
      <c r="BM30" s="24" t="s">
        <v>11</v>
      </c>
      <c r="BN30" s="24" t="s">
        <v>11</v>
      </c>
      <c r="BO30" s="24" t="s">
        <v>11</v>
      </c>
      <c r="BP30" s="24" t="s">
        <v>11</v>
      </c>
      <c r="BQ30" s="22">
        <f>YEAR([1]!BANCO10[[#This Row],[DATA INÍCIO]])</f>
        <v>2023</v>
      </c>
      <c r="BR30" s="22">
        <f>MONTH([1]!BANCO10[[#This Row],[DATA INÍCIO]])</f>
        <v>3</v>
      </c>
      <c r="BS30" s="129" t="e">
        <f>CONCATENATE(#REF!,#REF!)</f>
        <v>#REF!</v>
      </c>
      <c r="BT30" s="22"/>
      <c r="BU30" s="21" t="s">
        <v>844</v>
      </c>
      <c r="BV30" s="21" t="str">
        <f>IF([1]!BANCO10[[#This Row],[SOLUÇÃO]]=BV$1,[1]!BANCO10[[#This Row],[STATUS DA ETAPA]],"")</f>
        <v>CONCLUÍDO</v>
      </c>
      <c r="BW30" s="21" t="str">
        <f>IF([1]!BANCO10[[#This Row],[SOLUÇÃO]]=BW$1,[1]!BANCO10[[#This Row],[STATUS DA ETAPA]],"")</f>
        <v/>
      </c>
      <c r="BX30" s="21" t="str">
        <f>IF([1]!BANCO10[[#This Row],[SOLUÇÃO]]=BX$1,[1]!BANCO10[[#This Row],[STATUS DA ETAPA]],"")</f>
        <v/>
      </c>
      <c r="BY30" s="21" t="str">
        <f>IF([1]!BANCO10[[#This Row],[SOLUÇÃO]]=BY$1,[1]!BANCO10[[#This Row],[STATUS DA ETAPA]],"")</f>
        <v/>
      </c>
      <c r="BZ30" s="21" t="str">
        <f>IF([1]!BANCO10[[#This Row],[SOLUÇÃO]]=BZ$1,[1]!BANCO10[[#This Row],[STATUS DA ETAPA]],"")</f>
        <v/>
      </c>
      <c r="CA30" s="21" t="str">
        <f>IF([1]!BANCO10[[#This Row],[SOLUÇÃO]]=CA$1,[1]!BANCO10[[#This Row],[STATUS DA ETAPA]],"")</f>
        <v/>
      </c>
      <c r="CB30" s="21" t="str">
        <f>IF([1]!BANCO10[[#This Row],[SOLUÇÃO]]=CB$1,[1]!BANCO10[[#This Row],[STATUS DA ETAPA]],"")</f>
        <v/>
      </c>
      <c r="CC30" s="21" t="str">
        <f>IF([1]!BANCO10[[#This Row],[SOLUÇÃO]]=CC$1,[1]!BANCO10[[#This Row],[STATUS DA ETAPA]],"")</f>
        <v/>
      </c>
      <c r="CD30" s="21" t="str">
        <f>IF([1]!BANCO10[[#This Row],[SOLUÇÃO]]=CD$1,[1]!BANCO10[[#This Row],[STATUS DA ETAPA]],"")</f>
        <v/>
      </c>
      <c r="CE30" s="21" t="str">
        <f>IF([1]!BANCO10[[#This Row],[SOLUÇÃO]]=CE$1,[1]!BANCO10[[#This Row],[STATUS DA ETAPA]],"")</f>
        <v/>
      </c>
      <c r="CF30" s="21" t="str">
        <f>IF([1]!BANCO10[[#This Row],[SOLUÇÃO]]=CF$1,[1]!BANCO10[[#This Row],[STATUS DA ETAPA]],"")</f>
        <v/>
      </c>
      <c r="CG30" s="21" t="str">
        <f>IF([1]!BANCO10[[#This Row],[SOLUÇÃO]]=CG$1,[1]!BANCO10[[#This Row],[STATUS DA ETAPA]],"")</f>
        <v/>
      </c>
      <c r="CH30" s="21" t="str">
        <f>IF([1]!BANCO10[[#This Row],[SOLUÇÃO]]=CH$1,[1]!BANCO10[[#This Row],[STATUS DA ETAPA]],"")</f>
        <v/>
      </c>
      <c r="CI30" s="21" t="str">
        <f>IF([1]!BANCO10[[#This Row],[SOLUÇÃO]]=CI$1,[1]!BANCO10[[#This Row],[STATUS DA ETAPA]],"")</f>
        <v/>
      </c>
      <c r="CJ30" s="21" t="str">
        <f>IF([1]!BANCO10[[#This Row],[SOLUÇÃO]]=CJ$1,[1]!BANCO10[[#This Row],[STATUS DA ETAPA]],"")</f>
        <v/>
      </c>
      <c r="CK30" s="21" t="str">
        <f>IF([1]!BANCO10[[#This Row],[SOLUÇÃO]]=CK$1,[1]!BANCO10[[#This Row],[STATUS DA ETAPA]],"")</f>
        <v/>
      </c>
      <c r="CL30" s="21" t="str">
        <f>IF([1]!BANCO10[[#This Row],[SOLUÇÃO]]=CL$1,[1]!BANCO10[[#This Row],[STATUS DA ETAPA]],"")</f>
        <v/>
      </c>
      <c r="CM30" s="21" t="str">
        <f>IF([1]!BANCO10[[#This Row],[SOLUÇÃO]]=CM$1,[1]!BANCO10[[#This Row],[STATUS DA ETAPA]],"")</f>
        <v/>
      </c>
      <c r="CN30" s="21" t="str">
        <f>IF([1]!BANCO10[[#This Row],[SOLUÇÃO]]=CN$1,[1]!BANCO10[[#This Row],[STATUS DA ETAPA]],"")</f>
        <v/>
      </c>
      <c r="CO30" s="21" t="str">
        <f>IF([1]!BANCO10[[#This Row],[SOLUÇÃO]]=CO$1,[1]!BANCO10[[#This Row],[STATUS DA ETAPA]],"")</f>
        <v/>
      </c>
      <c r="CP30" s="21" t="str">
        <f>IF([1]!BANCO10[[#This Row],[SOLUÇÃO]]=CP$1,[1]!BANCO10[[#This Row],[STATUS DA ETAPA]],"")</f>
        <v/>
      </c>
      <c r="CQ30" s="21" t="str">
        <f>IF([1]!BANCO10[[#This Row],[SOLUÇÃO]]=CQ$1,[1]!BANCO10[[#This Row],[STATUS DA ETAPA]],"")</f>
        <v/>
      </c>
      <c r="CR30" s="21" t="str">
        <f>IF([1]!BANCO10[[#This Row],[SOLUÇÃO]]=CR$1,[1]!BANCO10[[#This Row],[STATUS DA ETAPA]],"")</f>
        <v/>
      </c>
      <c r="CS30" s="21" t="str">
        <f>IF([1]!BANCO10[[#This Row],[SOLUÇÃO]]=CS$1,[1]!BANCO10[[#This Row],[STATUS DA ETAPA]],"")</f>
        <v/>
      </c>
      <c r="CT30" s="21" t="str">
        <f>IF([1]!BANCO10[[#This Row],[SOLUÇÃO]]=CT$1,[1]!BANCO10[[#This Row],[STATUS DA ETAPA]],"")</f>
        <v/>
      </c>
      <c r="CU30" s="21" t="str">
        <f>IF([1]!BANCO10[[#This Row],[SOLUÇÃO]]=CU$1,[1]!BANCO10[[#This Row],[STATUS DA ETAPA]],"")</f>
        <v/>
      </c>
      <c r="CV30" s="21" t="str">
        <f>IF([1]!BANCO10[[#This Row],[SOLUÇÃO]]=CV$1,[1]!BANCO10[[#This Row],[STATUS DA ETAPA]],"")</f>
        <v/>
      </c>
    </row>
    <row r="31" spans="1:100">
      <c r="A31" s="44" t="s">
        <v>1</v>
      </c>
      <c r="B31" s="44"/>
      <c r="C31" s="44" t="s">
        <v>1</v>
      </c>
      <c r="D31" s="44"/>
      <c r="E31" s="44" t="s">
        <v>1</v>
      </c>
      <c r="F31" s="44"/>
      <c r="G31" s="44" t="s">
        <v>1</v>
      </c>
      <c r="H31" s="44"/>
      <c r="I31" s="45" t="s">
        <v>1</v>
      </c>
      <c r="J31" s="46"/>
      <c r="K31" s="45" t="s">
        <v>1</v>
      </c>
      <c r="L31" s="33"/>
      <c r="M31" s="45" t="s">
        <v>1</v>
      </c>
      <c r="N31" s="33"/>
      <c r="O31" s="44" t="s">
        <v>2</v>
      </c>
      <c r="P31" s="44">
        <v>45091</v>
      </c>
      <c r="Q31" s="44" t="s">
        <v>2</v>
      </c>
      <c r="R31" s="44">
        <v>45299</v>
      </c>
      <c r="S31" s="44" t="s">
        <v>1</v>
      </c>
      <c r="T31" s="44"/>
      <c r="U31" s="44" t="s">
        <v>2</v>
      </c>
      <c r="V31" s="44">
        <v>45057</v>
      </c>
      <c r="W31" s="44" t="s">
        <v>2</v>
      </c>
      <c r="X31" s="44"/>
      <c r="Y31" s="44" t="s">
        <v>2</v>
      </c>
      <c r="Z31" s="44">
        <v>45063</v>
      </c>
      <c r="AA31" s="44" t="s">
        <v>2</v>
      </c>
      <c r="AB31" s="44"/>
      <c r="AC31" s="51">
        <v>45092</v>
      </c>
      <c r="AD31" s="50">
        <v>45140</v>
      </c>
      <c r="AE31" s="40" t="s">
        <v>2</v>
      </c>
      <c r="AF31" s="40" t="s">
        <v>2</v>
      </c>
      <c r="AG31" s="76" t="s">
        <v>5</v>
      </c>
      <c r="AH31" s="36" t="s">
        <v>0</v>
      </c>
      <c r="AI31" s="49">
        <f>60*165</f>
        <v>9900</v>
      </c>
      <c r="AJ31" s="36" t="s">
        <v>6</v>
      </c>
      <c r="AK31" s="10"/>
      <c r="AL31" s="36">
        <v>4728</v>
      </c>
      <c r="AM31" s="36"/>
      <c r="AN31" s="35" t="s">
        <v>1</v>
      </c>
      <c r="AO31" s="35" t="s">
        <v>1</v>
      </c>
      <c r="AP31" s="35" t="s">
        <v>2</v>
      </c>
      <c r="AQ31" s="35" t="s">
        <v>1</v>
      </c>
      <c r="AR31" s="34" t="s">
        <v>1</v>
      </c>
      <c r="AS31" s="33"/>
      <c r="AT31" s="32" t="s">
        <v>1</v>
      </c>
      <c r="AU31" s="31"/>
      <c r="AV31" s="32" t="s">
        <v>1</v>
      </c>
      <c r="AW31" s="31"/>
      <c r="AX31" s="30" t="s">
        <v>2</v>
      </c>
      <c r="AY31" s="55">
        <v>45141</v>
      </c>
      <c r="AZ31" s="30" t="s">
        <v>2</v>
      </c>
      <c r="BA31" s="55"/>
      <c r="BB31" s="74"/>
      <c r="BC31" s="25" t="s">
        <v>843</v>
      </c>
      <c r="BD31" s="24" t="s">
        <v>11</v>
      </c>
      <c r="BE31" s="24" t="s">
        <v>11</v>
      </c>
      <c r="BF31" s="24" t="s">
        <v>21</v>
      </c>
      <c r="BG31" s="24" t="s">
        <v>20</v>
      </c>
      <c r="BH31" s="130" t="s">
        <v>19</v>
      </c>
      <c r="BI31" s="24"/>
      <c r="BJ31" s="24" t="s">
        <v>37</v>
      </c>
      <c r="BK31" s="24" t="s">
        <v>19</v>
      </c>
      <c r="BL31" s="24">
        <v>45392</v>
      </c>
      <c r="BM31" s="24" t="s">
        <v>18</v>
      </c>
      <c r="BN31" s="24" t="s">
        <v>11</v>
      </c>
      <c r="BO31" s="24"/>
      <c r="BP31" s="24" t="s">
        <v>188</v>
      </c>
      <c r="BQ31" s="22">
        <f>YEAR([1]!BANCO10[[#This Row],[DATA INÍCIO]])</f>
        <v>2023</v>
      </c>
      <c r="BR31" s="22">
        <f>MONTH([1]!BANCO10[[#This Row],[DATA INÍCIO]])</f>
        <v>6</v>
      </c>
      <c r="BS31" s="129" t="e">
        <f>CONCATENATE(#REF!,#REF!)</f>
        <v>#REF!</v>
      </c>
      <c r="BT31" s="22"/>
      <c r="BU31" s="21" t="s">
        <v>842</v>
      </c>
      <c r="BV31" s="21" t="str">
        <f>IF([1]!BANCO10[[#This Row],[SOLUÇÃO]]=BV$1,[1]!BANCO10[[#This Row],[STATUS DA ETAPA]],"")</f>
        <v/>
      </c>
      <c r="BW31" s="21" t="str">
        <f>IF([1]!BANCO10[[#This Row],[SOLUÇÃO]]=BW$1,[1]!BANCO10[[#This Row],[STATUS DA ETAPA]],"")</f>
        <v/>
      </c>
      <c r="BX31" s="21" t="str">
        <f>IF([1]!BANCO10[[#This Row],[SOLUÇÃO]]=BX$1,[1]!BANCO10[[#This Row],[STATUS DA ETAPA]],"")</f>
        <v/>
      </c>
      <c r="BY31" s="21" t="str">
        <f>IF([1]!BANCO10[[#This Row],[SOLUÇÃO]]=BY$1,[1]!BANCO10[[#This Row],[STATUS DA ETAPA]],"")</f>
        <v/>
      </c>
      <c r="BZ31" s="21" t="str">
        <f>IF([1]!BANCO10[[#This Row],[SOLUÇÃO]]=BZ$1,[1]!BANCO10[[#This Row],[STATUS DA ETAPA]],"")</f>
        <v/>
      </c>
      <c r="CA31" s="21" t="str">
        <f>IF([1]!BANCO10[[#This Row],[SOLUÇÃO]]=CA$1,[1]!BANCO10[[#This Row],[STATUS DA ETAPA]],"")</f>
        <v>CONCLUÍDO</v>
      </c>
      <c r="CB31" s="21" t="str">
        <f>IF([1]!BANCO10[[#This Row],[SOLUÇÃO]]=CB$1,[1]!BANCO10[[#This Row],[STATUS DA ETAPA]],"")</f>
        <v/>
      </c>
      <c r="CC31" s="21" t="str">
        <f>IF([1]!BANCO10[[#This Row],[SOLUÇÃO]]=CC$1,[1]!BANCO10[[#This Row],[STATUS DA ETAPA]],"")</f>
        <v/>
      </c>
      <c r="CD31" s="21" t="str">
        <f>IF([1]!BANCO10[[#This Row],[SOLUÇÃO]]=CD$1,[1]!BANCO10[[#This Row],[STATUS DA ETAPA]],"")</f>
        <v/>
      </c>
      <c r="CE31" s="21" t="str">
        <f>IF([1]!BANCO10[[#This Row],[SOLUÇÃO]]=CE$1,[1]!BANCO10[[#This Row],[STATUS DA ETAPA]],"")</f>
        <v/>
      </c>
      <c r="CF31" s="21" t="str">
        <f>IF([1]!BANCO10[[#This Row],[SOLUÇÃO]]=CF$1,[1]!BANCO10[[#This Row],[STATUS DA ETAPA]],"")</f>
        <v/>
      </c>
      <c r="CG31" s="21" t="str">
        <f>IF([1]!BANCO10[[#This Row],[SOLUÇÃO]]=CG$1,[1]!BANCO10[[#This Row],[STATUS DA ETAPA]],"")</f>
        <v/>
      </c>
      <c r="CH31" s="21" t="str">
        <f>IF([1]!BANCO10[[#This Row],[SOLUÇÃO]]=CH$1,[1]!BANCO10[[#This Row],[STATUS DA ETAPA]],"")</f>
        <v/>
      </c>
      <c r="CI31" s="21" t="str">
        <f>IF([1]!BANCO10[[#This Row],[SOLUÇÃO]]=CI$1,[1]!BANCO10[[#This Row],[STATUS DA ETAPA]],"")</f>
        <v/>
      </c>
      <c r="CJ31" s="21" t="str">
        <f>IF([1]!BANCO10[[#This Row],[SOLUÇÃO]]=CJ$1,[1]!BANCO10[[#This Row],[STATUS DA ETAPA]],"")</f>
        <v/>
      </c>
      <c r="CK31" s="21" t="str">
        <f>IF([1]!BANCO10[[#This Row],[SOLUÇÃO]]=CK$1,[1]!BANCO10[[#This Row],[STATUS DA ETAPA]],"")</f>
        <v/>
      </c>
      <c r="CL31" s="21" t="str">
        <f>IF([1]!BANCO10[[#This Row],[SOLUÇÃO]]=CL$1,[1]!BANCO10[[#This Row],[STATUS DA ETAPA]],"")</f>
        <v/>
      </c>
      <c r="CM31" s="21" t="str">
        <f>IF([1]!BANCO10[[#This Row],[SOLUÇÃO]]=CM$1,[1]!BANCO10[[#This Row],[STATUS DA ETAPA]],"")</f>
        <v/>
      </c>
      <c r="CN31" s="21" t="str">
        <f>IF([1]!BANCO10[[#This Row],[SOLUÇÃO]]=CN$1,[1]!BANCO10[[#This Row],[STATUS DA ETAPA]],"")</f>
        <v/>
      </c>
      <c r="CO31" s="21" t="str">
        <f>IF([1]!BANCO10[[#This Row],[SOLUÇÃO]]=CO$1,[1]!BANCO10[[#This Row],[STATUS DA ETAPA]],"")</f>
        <v/>
      </c>
      <c r="CP31" s="21" t="str">
        <f>IF([1]!BANCO10[[#This Row],[SOLUÇÃO]]=CP$1,[1]!BANCO10[[#This Row],[STATUS DA ETAPA]],"")</f>
        <v/>
      </c>
      <c r="CQ31" s="21" t="str">
        <f>IF([1]!BANCO10[[#This Row],[SOLUÇÃO]]=CQ$1,[1]!BANCO10[[#This Row],[STATUS DA ETAPA]],"")</f>
        <v/>
      </c>
      <c r="CR31" s="21" t="str">
        <f>IF([1]!BANCO10[[#This Row],[SOLUÇÃO]]=CR$1,[1]!BANCO10[[#This Row],[STATUS DA ETAPA]],"")</f>
        <v/>
      </c>
      <c r="CS31" s="21" t="str">
        <f>IF([1]!BANCO10[[#This Row],[SOLUÇÃO]]=CS$1,[1]!BANCO10[[#This Row],[STATUS DA ETAPA]],"")</f>
        <v/>
      </c>
      <c r="CT31" s="21" t="str">
        <f>IF([1]!BANCO10[[#This Row],[SOLUÇÃO]]=CT$1,[1]!BANCO10[[#This Row],[STATUS DA ETAPA]],"")</f>
        <v/>
      </c>
      <c r="CU31" s="21" t="str">
        <f>IF([1]!BANCO10[[#This Row],[SOLUÇÃO]]=CU$1,[1]!BANCO10[[#This Row],[STATUS DA ETAPA]],"")</f>
        <v/>
      </c>
      <c r="CV31" s="21" t="str">
        <f>IF([1]!BANCO10[[#This Row],[SOLUÇÃO]]=CV$1,[1]!BANCO10[[#This Row],[STATUS DA ETAPA]],"")</f>
        <v/>
      </c>
    </row>
    <row r="32" spans="1:100">
      <c r="A32" s="44" t="s">
        <v>1</v>
      </c>
      <c r="B32" s="44"/>
      <c r="C32" s="44" t="s">
        <v>1</v>
      </c>
      <c r="D32" s="44"/>
      <c r="E32" s="44" t="s">
        <v>1</v>
      </c>
      <c r="F32" s="44"/>
      <c r="G32" s="44" t="s">
        <v>1</v>
      </c>
      <c r="H32" s="44"/>
      <c r="I32" s="45" t="s">
        <v>1</v>
      </c>
      <c r="J32" s="46"/>
      <c r="K32" s="45" t="s">
        <v>1</v>
      </c>
      <c r="L32" s="33"/>
      <c r="M32" s="45" t="s">
        <v>1</v>
      </c>
      <c r="N32" s="33"/>
      <c r="O32" s="44" t="s">
        <v>1</v>
      </c>
      <c r="P32" s="44"/>
      <c r="Q32" s="44" t="s">
        <v>1</v>
      </c>
      <c r="R32" s="44"/>
      <c r="S32" s="44" t="s">
        <v>1</v>
      </c>
      <c r="T32" s="44"/>
      <c r="U32" s="44" t="s">
        <v>2</v>
      </c>
      <c r="V32" s="44">
        <v>45617</v>
      </c>
      <c r="W32" s="44" t="s">
        <v>2</v>
      </c>
      <c r="X32" s="44">
        <v>45617</v>
      </c>
      <c r="Y32" s="44" t="s">
        <v>2</v>
      </c>
      <c r="Z32" s="44">
        <v>45617</v>
      </c>
      <c r="AA32" s="44" t="s">
        <v>2</v>
      </c>
      <c r="AB32" s="44">
        <v>45589</v>
      </c>
      <c r="AC32" s="51">
        <v>45635</v>
      </c>
      <c r="AD32" s="50">
        <v>45761</v>
      </c>
      <c r="AE32" s="41" t="s">
        <v>2</v>
      </c>
      <c r="AF32" s="41" t="s">
        <v>2</v>
      </c>
      <c r="AG32" s="76" t="s">
        <v>4</v>
      </c>
      <c r="AH32" s="36" t="s">
        <v>0</v>
      </c>
      <c r="AI32" s="49">
        <v>0</v>
      </c>
      <c r="AJ32" s="36" t="s">
        <v>6</v>
      </c>
      <c r="AK32" s="10" t="s">
        <v>841</v>
      </c>
      <c r="AL32" s="36" t="s">
        <v>182</v>
      </c>
      <c r="AM32" s="36" t="s">
        <v>840</v>
      </c>
      <c r="AN32" s="35" t="s">
        <v>1</v>
      </c>
      <c r="AO32" s="35" t="s">
        <v>1</v>
      </c>
      <c r="AP32" s="35" t="s">
        <v>2</v>
      </c>
      <c r="AQ32" s="35" t="s">
        <v>1</v>
      </c>
      <c r="AR32" s="34" t="s">
        <v>1</v>
      </c>
      <c r="AS32" s="33"/>
      <c r="AT32" s="32" t="s">
        <v>2</v>
      </c>
      <c r="AU32" s="31">
        <v>45771</v>
      </c>
      <c r="AV32" s="32" t="s">
        <v>0</v>
      </c>
      <c r="AW32" s="31"/>
      <c r="AX32" s="32" t="s">
        <v>0</v>
      </c>
      <c r="AY32" s="31"/>
      <c r="AZ32" s="32" t="s">
        <v>0</v>
      </c>
      <c r="BA32" s="31"/>
      <c r="BB32" s="39"/>
      <c r="BC32" s="25" t="s">
        <v>162</v>
      </c>
      <c r="BD32" s="24"/>
      <c r="BE32" s="24"/>
      <c r="BF32" s="79"/>
      <c r="BG32" s="79"/>
      <c r="BH32" s="80"/>
      <c r="BI32" s="79"/>
      <c r="BJ32" s="54"/>
      <c r="BK32" s="78"/>
      <c r="BL32" s="69"/>
      <c r="BM32" s="78"/>
      <c r="BN32" s="78"/>
      <c r="BO32" s="78"/>
      <c r="BP32" s="78"/>
      <c r="BQ32" s="21">
        <f>YEAR([1]!BANCO10[[#This Row],[DATA INÍCIO]])</f>
        <v>2024</v>
      </c>
      <c r="BR32" s="21">
        <f>MONTH([1]!BANCO10[[#This Row],[DATA INÍCIO]])</f>
        <v>12</v>
      </c>
      <c r="BS32" s="21" t="e">
        <f>CONCATENATE(#REF!,#REF!)</f>
        <v>#REF!</v>
      </c>
      <c r="BT32" s="21"/>
      <c r="BU32" s="21"/>
      <c r="BV32" s="21" t="str">
        <f>IF([1]!BANCO10[[#This Row],[SOLUÇÃO]]=BV$1,[1]!BANCO10[[#This Row],[STATUS DA ETAPA]],"")</f>
        <v/>
      </c>
      <c r="BW32" s="21" t="str">
        <f>IF([1]!BANCO10[[#This Row],[SOLUÇÃO]]=BW$1,[1]!BANCO10[[#This Row],[STATUS DA ETAPA]],"")</f>
        <v/>
      </c>
      <c r="BX32" s="21" t="str">
        <f>IF([1]!BANCO10[[#This Row],[SOLUÇÃO]]=BX$1,[1]!BANCO10[[#This Row],[STATUS DA ETAPA]],"")</f>
        <v>CONCLUÍDO</v>
      </c>
      <c r="BY32" s="21" t="str">
        <f>IF([1]!BANCO10[[#This Row],[SOLUÇÃO]]=BY$1,[1]!BANCO10[[#This Row],[STATUS DA ETAPA]],"")</f>
        <v/>
      </c>
      <c r="BZ32" s="21" t="str">
        <f>IF([1]!BANCO10[[#This Row],[SOLUÇÃO]]=BZ$1,[1]!BANCO10[[#This Row],[STATUS DA ETAPA]],"")</f>
        <v/>
      </c>
      <c r="CA32" s="21" t="str">
        <f>IF([1]!BANCO10[[#This Row],[SOLUÇÃO]]=CA$1,[1]!BANCO10[[#This Row],[STATUS DA ETAPA]],"")</f>
        <v/>
      </c>
      <c r="CB32" s="21" t="str">
        <f>IF([1]!BANCO10[[#This Row],[SOLUÇÃO]]=CB$1,[1]!BANCO10[[#This Row],[STATUS DA ETAPA]],"")</f>
        <v/>
      </c>
      <c r="CC32" s="21" t="str">
        <f>IF([1]!BANCO10[[#This Row],[SOLUÇÃO]]=CC$1,[1]!BANCO10[[#This Row],[STATUS DA ETAPA]],"")</f>
        <v/>
      </c>
      <c r="CD32" s="21" t="str">
        <f>IF([1]!BANCO10[[#This Row],[SOLUÇÃO]]=CD$1,[1]!BANCO10[[#This Row],[STATUS DA ETAPA]],"")</f>
        <v/>
      </c>
      <c r="CE32" s="21" t="str">
        <f>IF([1]!BANCO10[[#This Row],[SOLUÇÃO]]=CE$1,[1]!BANCO10[[#This Row],[STATUS DA ETAPA]],"")</f>
        <v/>
      </c>
      <c r="CF32" s="21" t="str">
        <f>IF([1]!BANCO10[[#This Row],[SOLUÇÃO]]=CF$1,[1]!BANCO10[[#This Row],[STATUS DA ETAPA]],"")</f>
        <v/>
      </c>
      <c r="CG32" s="21" t="str">
        <f>IF([1]!BANCO10[[#This Row],[SOLUÇÃO]]=CG$1,[1]!BANCO10[[#This Row],[STATUS DA ETAPA]],"")</f>
        <v/>
      </c>
      <c r="CH32" s="21" t="str">
        <f>IF([1]!BANCO10[[#This Row],[SOLUÇÃO]]=CH$1,[1]!BANCO10[[#This Row],[STATUS DA ETAPA]],"")</f>
        <v/>
      </c>
      <c r="CI32" s="21" t="str">
        <f>IF([1]!BANCO10[[#This Row],[SOLUÇÃO]]=CI$1,[1]!BANCO10[[#This Row],[STATUS DA ETAPA]],"")</f>
        <v/>
      </c>
      <c r="CJ32" s="21" t="str">
        <f>IF([1]!BANCO10[[#This Row],[SOLUÇÃO]]=CJ$1,[1]!BANCO10[[#This Row],[STATUS DA ETAPA]],"")</f>
        <v/>
      </c>
      <c r="CK32" s="21" t="str">
        <f>IF([1]!BANCO10[[#This Row],[SOLUÇÃO]]=CK$1,[1]!BANCO10[[#This Row],[STATUS DA ETAPA]],"")</f>
        <v/>
      </c>
      <c r="CL32" s="22" t="str">
        <f>IF([1]!BANCO10[[#This Row],[SOLUÇÃO]]=CL$1,[1]!BANCO10[[#This Row],[STATUS DA ETAPA]],"")</f>
        <v/>
      </c>
      <c r="CM32" s="64" t="str">
        <f>IF([1]!BANCO10[[#This Row],[SOLUÇÃO]]=CM$1,[1]!BANCO10[[#This Row],[STATUS DA ETAPA]],"")</f>
        <v/>
      </c>
      <c r="CN32" s="64" t="str">
        <f>IF([1]!BANCO10[[#This Row],[SOLUÇÃO]]=CN$1,[1]!BANCO10[[#This Row],[STATUS DA ETAPA]],"")</f>
        <v/>
      </c>
      <c r="CO32" s="64" t="str">
        <f>IF([1]!BANCO10[[#This Row],[SOLUÇÃO]]=CO$1,[1]!BANCO10[[#This Row],[STATUS DA ETAPA]],"")</f>
        <v/>
      </c>
      <c r="CP32" s="64" t="str">
        <f>IF([1]!BANCO10[[#This Row],[SOLUÇÃO]]=CP$1,[1]!BANCO10[[#This Row],[STATUS DA ETAPA]],"")</f>
        <v/>
      </c>
      <c r="CQ32" s="64" t="str">
        <f>IF([1]!BANCO10[[#This Row],[SOLUÇÃO]]=CQ$1,[1]!BANCO10[[#This Row],[STATUS DA ETAPA]],"")</f>
        <v/>
      </c>
      <c r="CR32" s="64" t="str">
        <f>IF([1]!BANCO10[[#This Row],[SOLUÇÃO]]=CR$1,[1]!BANCO10[[#This Row],[STATUS DA ETAPA]],"")</f>
        <v/>
      </c>
      <c r="CS32" s="64" t="str">
        <f>IF([1]!BANCO10[[#This Row],[SOLUÇÃO]]=CS$1,[1]!BANCO10[[#This Row],[STATUS DA ETAPA]],"")</f>
        <v/>
      </c>
      <c r="CT32" s="64" t="str">
        <f>IF([1]!BANCO10[[#This Row],[SOLUÇÃO]]=CT$1,[1]!BANCO10[[#This Row],[STATUS DA ETAPA]],"")</f>
        <v/>
      </c>
      <c r="CU32" s="64" t="str">
        <f>IF([1]!BANCO10[[#This Row],[SOLUÇÃO]]=CU$1,[1]!BANCO10[[#This Row],[STATUS DA ETAPA]],"")</f>
        <v/>
      </c>
      <c r="CV32" s="64" t="str">
        <f>IF([1]!BANCO10[[#This Row],[SOLUÇÃO]]=CV$1,[1]!BANCO10[[#This Row],[STATUS DA ETAPA]],"")</f>
        <v/>
      </c>
    </row>
    <row r="33" spans="1:100">
      <c r="A33" s="44" t="s">
        <v>1</v>
      </c>
      <c r="B33" s="44"/>
      <c r="C33" s="44" t="s">
        <v>1</v>
      </c>
      <c r="D33" s="44"/>
      <c r="E33" s="44" t="s">
        <v>1</v>
      </c>
      <c r="F33" s="44"/>
      <c r="G33" s="44" t="s">
        <v>1</v>
      </c>
      <c r="H33" s="44"/>
      <c r="I33" s="45" t="s">
        <v>1</v>
      </c>
      <c r="J33" s="46"/>
      <c r="K33" s="45" t="s">
        <v>1</v>
      </c>
      <c r="L33" s="33"/>
      <c r="M33" s="45" t="s">
        <v>1</v>
      </c>
      <c r="N33" s="33"/>
      <c r="O33" s="44" t="s">
        <v>1</v>
      </c>
      <c r="P33" s="44"/>
      <c r="Q33" s="44" t="s">
        <v>1</v>
      </c>
      <c r="R33" s="44"/>
      <c r="S33" s="44" t="s">
        <v>1</v>
      </c>
      <c r="T33" s="44"/>
      <c r="U33" s="44" t="s">
        <v>1</v>
      </c>
      <c r="V33" s="44"/>
      <c r="W33" s="44" t="s">
        <v>1</v>
      </c>
      <c r="X33" s="44"/>
      <c r="Y33" s="44" t="s">
        <v>1</v>
      </c>
      <c r="Z33" s="44"/>
      <c r="AA33" s="44" t="s">
        <v>1</v>
      </c>
      <c r="AB33" s="44"/>
      <c r="AC33" s="51">
        <v>45963</v>
      </c>
      <c r="AD33" s="50">
        <v>45963</v>
      </c>
      <c r="AE33" s="40" t="s">
        <v>1</v>
      </c>
      <c r="AF33" s="40" t="s">
        <v>1</v>
      </c>
      <c r="AG33" s="40" t="s">
        <v>1</v>
      </c>
      <c r="AH33" s="36" t="s">
        <v>1</v>
      </c>
      <c r="AI33" s="49">
        <v>0</v>
      </c>
      <c r="AJ33" s="36" t="s">
        <v>1</v>
      </c>
      <c r="AK33" s="10" t="s">
        <v>1</v>
      </c>
      <c r="AL33" s="36" t="s">
        <v>1</v>
      </c>
      <c r="AM33" s="36" t="s">
        <v>1</v>
      </c>
      <c r="AN33" s="35" t="s">
        <v>1</v>
      </c>
      <c r="AO33" s="35" t="s">
        <v>1</v>
      </c>
      <c r="AP33" s="35" t="s">
        <v>1</v>
      </c>
      <c r="AQ33" s="35" t="s">
        <v>1</v>
      </c>
      <c r="AR33" s="34" t="s">
        <v>1</v>
      </c>
      <c r="AS33" s="63"/>
      <c r="AT33" s="32" t="s">
        <v>1</v>
      </c>
      <c r="AU33" s="31"/>
      <c r="AV33" s="32" t="s">
        <v>1</v>
      </c>
      <c r="AW33" s="31"/>
      <c r="AX33" s="32" t="s">
        <v>1</v>
      </c>
      <c r="AY33" s="31"/>
      <c r="AZ33" s="32" t="s">
        <v>1</v>
      </c>
      <c r="BA33" s="31"/>
      <c r="BB33" s="74"/>
      <c r="BC33" s="25"/>
      <c r="BD33" s="24"/>
      <c r="BE33" s="24"/>
      <c r="BF33" s="24"/>
      <c r="BG33" s="24"/>
      <c r="BH33" s="130"/>
      <c r="BI33" s="24"/>
      <c r="BJ33" s="24"/>
      <c r="BK33" s="24"/>
      <c r="BL33" s="24">
        <v>45391</v>
      </c>
      <c r="BM33" s="24" t="s">
        <v>18</v>
      </c>
      <c r="BN33" s="24" t="s">
        <v>11</v>
      </c>
      <c r="BO33" s="24"/>
      <c r="BP33" s="24" t="s">
        <v>718</v>
      </c>
      <c r="BQ33" s="22">
        <f>YEAR([1]!BANCO10[[#This Row],[DATA INÍCIO]])</f>
        <v>2025</v>
      </c>
      <c r="BR33" s="22">
        <f>MONTH([1]!BANCO10[[#This Row],[DATA INÍCIO]])</f>
        <v>11</v>
      </c>
      <c r="BS33" s="129" t="e">
        <f>CONCATENATE(#REF!,#REF!)</f>
        <v>#REF!</v>
      </c>
      <c r="BT33" s="22"/>
      <c r="BU33" s="21" t="s">
        <v>30</v>
      </c>
      <c r="BV33" s="21" t="str">
        <f>IF([1]!BANCO10[[#This Row],[SOLUÇÃO]]=BV$1,[1]!BANCO10[[#This Row],[STATUS DA ETAPA]],"")</f>
        <v/>
      </c>
      <c r="BW33" s="21" t="str">
        <f>IF([1]!BANCO10[[#This Row],[SOLUÇÃO]]=BW$1,[1]!BANCO10[[#This Row],[STATUS DA ETAPA]],"")</f>
        <v/>
      </c>
      <c r="BX33" s="21" t="str">
        <f>IF([1]!BANCO10[[#This Row],[SOLUÇÃO]]=BX$1,[1]!BANCO10[[#This Row],[STATUS DA ETAPA]],"")</f>
        <v/>
      </c>
      <c r="BY33" s="21" t="str">
        <f>IF([1]!BANCO10[[#This Row],[SOLUÇÃO]]=BY$1,[1]!BANCO10[[#This Row],[STATUS DA ETAPA]],"")</f>
        <v/>
      </c>
      <c r="BZ33" s="21" t="str">
        <f>IF([1]!BANCO10[[#This Row],[SOLUÇÃO]]=BZ$1,[1]!BANCO10[[#This Row],[STATUS DA ETAPA]],"")</f>
        <v/>
      </c>
      <c r="CA33" s="21" t="str">
        <f>IF([1]!BANCO10[[#This Row],[SOLUÇÃO]]=CA$1,[1]!BANCO10[[#This Row],[STATUS DA ETAPA]],"")</f>
        <v/>
      </c>
      <c r="CB33" s="21" t="str">
        <f>IF([1]!BANCO10[[#This Row],[SOLUÇÃO]]=CB$1,[1]!BANCO10[[#This Row],[STATUS DA ETAPA]],"")</f>
        <v/>
      </c>
      <c r="CC33" s="21" t="str">
        <f>IF([1]!BANCO10[[#This Row],[SOLUÇÃO]]=CC$1,[1]!BANCO10[[#This Row],[STATUS DA ETAPA]],"")</f>
        <v>CANCELADO</v>
      </c>
      <c r="CD33" s="21" t="str">
        <f>IF([1]!BANCO10[[#This Row],[SOLUÇÃO]]=CD$1,[1]!BANCO10[[#This Row],[STATUS DA ETAPA]],"")</f>
        <v/>
      </c>
      <c r="CE33" s="21" t="str">
        <f>IF([1]!BANCO10[[#This Row],[SOLUÇÃO]]=CE$1,[1]!BANCO10[[#This Row],[STATUS DA ETAPA]],"")</f>
        <v/>
      </c>
      <c r="CF33" s="21" t="str">
        <f>IF([1]!BANCO10[[#This Row],[SOLUÇÃO]]=CF$1,[1]!BANCO10[[#This Row],[STATUS DA ETAPA]],"")</f>
        <v/>
      </c>
      <c r="CG33" s="21" t="str">
        <f>IF([1]!BANCO10[[#This Row],[SOLUÇÃO]]=CG$1,[1]!BANCO10[[#This Row],[STATUS DA ETAPA]],"")</f>
        <v/>
      </c>
      <c r="CH33" s="21" t="str">
        <f>IF([1]!BANCO10[[#This Row],[SOLUÇÃO]]=CH$1,[1]!BANCO10[[#This Row],[STATUS DA ETAPA]],"")</f>
        <v/>
      </c>
      <c r="CI33" s="21" t="str">
        <f>IF([1]!BANCO10[[#This Row],[SOLUÇÃO]]=CI$1,[1]!BANCO10[[#This Row],[STATUS DA ETAPA]],"")</f>
        <v/>
      </c>
      <c r="CJ33" s="21" t="str">
        <f>IF([1]!BANCO10[[#This Row],[SOLUÇÃO]]=CJ$1,[1]!BANCO10[[#This Row],[STATUS DA ETAPA]],"")</f>
        <v/>
      </c>
      <c r="CK33" s="21" t="str">
        <f>IF([1]!BANCO10[[#This Row],[SOLUÇÃO]]=CK$1,[1]!BANCO10[[#This Row],[STATUS DA ETAPA]],"")</f>
        <v/>
      </c>
      <c r="CL33" s="21" t="str">
        <f>IF([1]!BANCO10[[#This Row],[SOLUÇÃO]]=CL$1,[1]!BANCO10[[#This Row],[STATUS DA ETAPA]],"")</f>
        <v/>
      </c>
      <c r="CM33" s="21" t="str">
        <f>IF([1]!BANCO10[[#This Row],[SOLUÇÃO]]=CM$1,[1]!BANCO10[[#This Row],[STATUS DA ETAPA]],"")</f>
        <v/>
      </c>
      <c r="CN33" s="21" t="str">
        <f>IF([1]!BANCO10[[#This Row],[SOLUÇÃO]]=CN$1,[1]!BANCO10[[#This Row],[STATUS DA ETAPA]],"")</f>
        <v/>
      </c>
      <c r="CO33" s="21" t="str">
        <f>IF([1]!BANCO10[[#This Row],[SOLUÇÃO]]=CO$1,[1]!BANCO10[[#This Row],[STATUS DA ETAPA]],"")</f>
        <v/>
      </c>
      <c r="CP33" s="21" t="str">
        <f>IF([1]!BANCO10[[#This Row],[SOLUÇÃO]]=CP$1,[1]!BANCO10[[#This Row],[STATUS DA ETAPA]],"")</f>
        <v/>
      </c>
      <c r="CQ33" s="21" t="str">
        <f>IF([1]!BANCO10[[#This Row],[SOLUÇÃO]]=CQ$1,[1]!BANCO10[[#This Row],[STATUS DA ETAPA]],"")</f>
        <v/>
      </c>
      <c r="CR33" s="21" t="str">
        <f>IF([1]!BANCO10[[#This Row],[SOLUÇÃO]]=CR$1,[1]!BANCO10[[#This Row],[STATUS DA ETAPA]],"")</f>
        <v/>
      </c>
      <c r="CS33" s="21" t="str">
        <f>IF([1]!BANCO10[[#This Row],[SOLUÇÃO]]=CS$1,[1]!BANCO10[[#This Row],[STATUS DA ETAPA]],"")</f>
        <v/>
      </c>
      <c r="CT33" s="21" t="str">
        <f>IF([1]!BANCO10[[#This Row],[SOLUÇÃO]]=CT$1,[1]!BANCO10[[#This Row],[STATUS DA ETAPA]],"")</f>
        <v/>
      </c>
      <c r="CU33" s="21" t="str">
        <f>IF([1]!BANCO10[[#This Row],[SOLUÇÃO]]=CU$1,[1]!BANCO10[[#This Row],[STATUS DA ETAPA]],"")</f>
        <v/>
      </c>
      <c r="CV33" s="21" t="str">
        <f>IF([1]!BANCO10[[#This Row],[SOLUÇÃO]]=CV$1,[1]!BANCO10[[#This Row],[STATUS DA ETAPA]],"")</f>
        <v/>
      </c>
    </row>
    <row r="34" spans="1:100">
      <c r="A34" s="44" t="s">
        <v>1</v>
      </c>
      <c r="B34" s="44"/>
      <c r="C34" s="44" t="s">
        <v>1</v>
      </c>
      <c r="D34" s="44"/>
      <c r="E34" s="44" t="s">
        <v>1</v>
      </c>
      <c r="F34" s="44"/>
      <c r="G34" s="44" t="s">
        <v>1</v>
      </c>
      <c r="H34" s="44"/>
      <c r="I34" s="45" t="s">
        <v>1</v>
      </c>
      <c r="J34" s="46"/>
      <c r="K34" s="45" t="s">
        <v>1</v>
      </c>
      <c r="L34" s="33"/>
      <c r="M34" s="45" t="s">
        <v>1</v>
      </c>
      <c r="N34" s="33"/>
      <c r="O34" s="44" t="s">
        <v>2</v>
      </c>
      <c r="P34" s="44">
        <v>44959</v>
      </c>
      <c r="Q34" s="44" t="s">
        <v>0</v>
      </c>
      <c r="R34" s="44"/>
      <c r="S34" s="44" t="s">
        <v>1</v>
      </c>
      <c r="T34" s="44"/>
      <c r="U34" s="44" t="s">
        <v>1</v>
      </c>
      <c r="V34" s="44"/>
      <c r="W34" s="44" t="s">
        <v>1</v>
      </c>
      <c r="X34" s="44"/>
      <c r="Y34" s="44" t="s">
        <v>1</v>
      </c>
      <c r="Z34" s="44"/>
      <c r="AA34" s="44" t="s">
        <v>1</v>
      </c>
      <c r="AB34" s="44"/>
      <c r="AC34" s="51">
        <v>44958</v>
      </c>
      <c r="AD34" s="50">
        <v>44958</v>
      </c>
      <c r="AE34" s="40" t="s">
        <v>1</v>
      </c>
      <c r="AF34" s="40" t="s">
        <v>1</v>
      </c>
      <c r="AG34" s="76" t="s">
        <v>5</v>
      </c>
      <c r="AH34" s="36" t="s">
        <v>1</v>
      </c>
      <c r="AI34" s="49">
        <v>0</v>
      </c>
      <c r="AJ34" s="36" t="s">
        <v>1</v>
      </c>
      <c r="AK34" s="10" t="s">
        <v>1</v>
      </c>
      <c r="AL34" s="36" t="s">
        <v>1</v>
      </c>
      <c r="AM34" s="36" t="s">
        <v>1</v>
      </c>
      <c r="AN34" s="35" t="s">
        <v>1</v>
      </c>
      <c r="AO34" s="35" t="s">
        <v>1</v>
      </c>
      <c r="AP34" s="35" t="s">
        <v>1</v>
      </c>
      <c r="AQ34" s="35" t="s">
        <v>1</v>
      </c>
      <c r="AR34" s="82" t="s">
        <v>1</v>
      </c>
      <c r="AS34" s="33"/>
      <c r="AT34" s="32" t="s">
        <v>1</v>
      </c>
      <c r="AU34" s="31"/>
      <c r="AV34" s="32" t="s">
        <v>1</v>
      </c>
      <c r="AW34" s="31"/>
      <c r="AX34" s="30" t="s">
        <v>1</v>
      </c>
      <c r="AY34" s="55"/>
      <c r="AZ34" s="30" t="s">
        <v>1</v>
      </c>
      <c r="BA34" s="55"/>
      <c r="BB34" s="74"/>
      <c r="BC34" s="25"/>
      <c r="BD34" s="24" t="s">
        <v>11</v>
      </c>
      <c r="BE34" s="24" t="s">
        <v>11</v>
      </c>
      <c r="BF34" s="24" t="s">
        <v>88</v>
      </c>
      <c r="BG34" s="24" t="s">
        <v>21</v>
      </c>
      <c r="BH34" s="130" t="s">
        <v>18</v>
      </c>
      <c r="BI34" s="24" t="s">
        <v>243</v>
      </c>
      <c r="BJ34" s="24" t="s">
        <v>11</v>
      </c>
      <c r="BK34" s="24" t="s">
        <v>11</v>
      </c>
      <c r="BL34" s="24" t="s">
        <v>11</v>
      </c>
      <c r="BM34" s="24" t="s">
        <v>11</v>
      </c>
      <c r="BN34" s="24" t="s">
        <v>11</v>
      </c>
      <c r="BO34" s="24" t="s">
        <v>11</v>
      </c>
      <c r="BP34" s="24" t="s">
        <v>11</v>
      </c>
      <c r="BQ34" s="22">
        <f>YEAR([1]!BANCO10[[#This Row],[DATA INÍCIO]])</f>
        <v>2023</v>
      </c>
      <c r="BR34" s="22">
        <f>MONTH([1]!BANCO10[[#This Row],[DATA INÍCIO]])</f>
        <v>2</v>
      </c>
      <c r="BS34" s="129" t="e">
        <f>CONCATENATE(#REF!,#REF!)</f>
        <v>#REF!</v>
      </c>
      <c r="BT34" s="22"/>
      <c r="BU34" s="21" t="s">
        <v>839</v>
      </c>
      <c r="BV34" s="21" t="str">
        <f>IF([1]!BANCO10[[#This Row],[SOLUÇÃO]]=BV$1,[1]!BANCO10[[#This Row],[STATUS DA ETAPA]],"")</f>
        <v>CONCLUÍDO</v>
      </c>
      <c r="BW34" s="21" t="str">
        <f>IF([1]!BANCO10[[#This Row],[SOLUÇÃO]]=BW$1,[1]!BANCO10[[#This Row],[STATUS DA ETAPA]],"")</f>
        <v/>
      </c>
      <c r="BX34" s="21" t="str">
        <f>IF([1]!BANCO10[[#This Row],[SOLUÇÃO]]=BX$1,[1]!BANCO10[[#This Row],[STATUS DA ETAPA]],"")</f>
        <v/>
      </c>
      <c r="BY34" s="21" t="str">
        <f>IF([1]!BANCO10[[#This Row],[SOLUÇÃO]]=BY$1,[1]!BANCO10[[#This Row],[STATUS DA ETAPA]],"")</f>
        <v/>
      </c>
      <c r="BZ34" s="21" t="str">
        <f>IF([1]!BANCO10[[#This Row],[SOLUÇÃO]]=BZ$1,[1]!BANCO10[[#This Row],[STATUS DA ETAPA]],"")</f>
        <v/>
      </c>
      <c r="CA34" s="21" t="str">
        <f>IF([1]!BANCO10[[#This Row],[SOLUÇÃO]]=CA$1,[1]!BANCO10[[#This Row],[STATUS DA ETAPA]],"")</f>
        <v/>
      </c>
      <c r="CB34" s="21" t="str">
        <f>IF([1]!BANCO10[[#This Row],[SOLUÇÃO]]=CB$1,[1]!BANCO10[[#This Row],[STATUS DA ETAPA]],"")</f>
        <v/>
      </c>
      <c r="CC34" s="21" t="str">
        <f>IF([1]!BANCO10[[#This Row],[SOLUÇÃO]]=CC$1,[1]!BANCO10[[#This Row],[STATUS DA ETAPA]],"")</f>
        <v/>
      </c>
      <c r="CD34" s="21" t="str">
        <f>IF([1]!BANCO10[[#This Row],[SOLUÇÃO]]=CD$1,[1]!BANCO10[[#This Row],[STATUS DA ETAPA]],"")</f>
        <v/>
      </c>
      <c r="CE34" s="21" t="str">
        <f>IF([1]!BANCO10[[#This Row],[SOLUÇÃO]]=CE$1,[1]!BANCO10[[#This Row],[STATUS DA ETAPA]],"")</f>
        <v/>
      </c>
      <c r="CF34" s="21" t="str">
        <f>IF([1]!BANCO10[[#This Row],[SOLUÇÃO]]=CF$1,[1]!BANCO10[[#This Row],[STATUS DA ETAPA]],"")</f>
        <v/>
      </c>
      <c r="CG34" s="21" t="str">
        <f>IF([1]!BANCO10[[#This Row],[SOLUÇÃO]]=CG$1,[1]!BANCO10[[#This Row],[STATUS DA ETAPA]],"")</f>
        <v/>
      </c>
      <c r="CH34" s="21" t="str">
        <f>IF([1]!BANCO10[[#This Row],[SOLUÇÃO]]=CH$1,[1]!BANCO10[[#This Row],[STATUS DA ETAPA]],"")</f>
        <v/>
      </c>
      <c r="CI34" s="21" t="str">
        <f>IF([1]!BANCO10[[#This Row],[SOLUÇÃO]]=CI$1,[1]!BANCO10[[#This Row],[STATUS DA ETAPA]],"")</f>
        <v/>
      </c>
      <c r="CJ34" s="21" t="str">
        <f>IF([1]!BANCO10[[#This Row],[SOLUÇÃO]]=CJ$1,[1]!BANCO10[[#This Row],[STATUS DA ETAPA]],"")</f>
        <v/>
      </c>
      <c r="CK34" s="21" t="str">
        <f>IF([1]!BANCO10[[#This Row],[SOLUÇÃO]]=CK$1,[1]!BANCO10[[#This Row],[STATUS DA ETAPA]],"")</f>
        <v/>
      </c>
      <c r="CL34" s="21" t="str">
        <f>IF([1]!BANCO10[[#This Row],[SOLUÇÃO]]=CL$1,[1]!BANCO10[[#This Row],[STATUS DA ETAPA]],"")</f>
        <v/>
      </c>
      <c r="CM34" s="21" t="str">
        <f>IF([1]!BANCO10[[#This Row],[SOLUÇÃO]]=CM$1,[1]!BANCO10[[#This Row],[STATUS DA ETAPA]],"")</f>
        <v/>
      </c>
      <c r="CN34" s="21" t="str">
        <f>IF([1]!BANCO10[[#This Row],[SOLUÇÃO]]=CN$1,[1]!BANCO10[[#This Row],[STATUS DA ETAPA]],"")</f>
        <v/>
      </c>
      <c r="CO34" s="21" t="str">
        <f>IF([1]!BANCO10[[#This Row],[SOLUÇÃO]]=CO$1,[1]!BANCO10[[#This Row],[STATUS DA ETAPA]],"")</f>
        <v/>
      </c>
      <c r="CP34" s="21" t="str">
        <f>IF([1]!BANCO10[[#This Row],[SOLUÇÃO]]=CP$1,[1]!BANCO10[[#This Row],[STATUS DA ETAPA]],"")</f>
        <v/>
      </c>
      <c r="CQ34" s="21" t="str">
        <f>IF([1]!BANCO10[[#This Row],[SOLUÇÃO]]=CQ$1,[1]!BANCO10[[#This Row],[STATUS DA ETAPA]],"")</f>
        <v/>
      </c>
      <c r="CR34" s="21" t="str">
        <f>IF([1]!BANCO10[[#This Row],[SOLUÇÃO]]=CR$1,[1]!BANCO10[[#This Row],[STATUS DA ETAPA]],"")</f>
        <v/>
      </c>
      <c r="CS34" s="21" t="str">
        <f>IF([1]!BANCO10[[#This Row],[SOLUÇÃO]]=CS$1,[1]!BANCO10[[#This Row],[STATUS DA ETAPA]],"")</f>
        <v/>
      </c>
      <c r="CT34" s="21" t="str">
        <f>IF([1]!BANCO10[[#This Row],[SOLUÇÃO]]=CT$1,[1]!BANCO10[[#This Row],[STATUS DA ETAPA]],"")</f>
        <v/>
      </c>
      <c r="CU34" s="21" t="str">
        <f>IF([1]!BANCO10[[#This Row],[SOLUÇÃO]]=CU$1,[1]!BANCO10[[#This Row],[STATUS DA ETAPA]],"")</f>
        <v/>
      </c>
      <c r="CV34" s="21" t="str">
        <f>IF([1]!BANCO10[[#This Row],[SOLUÇÃO]]=CV$1,[1]!BANCO10[[#This Row],[STATUS DA ETAPA]],"")</f>
        <v/>
      </c>
    </row>
    <row r="35" spans="1:100">
      <c r="A35" s="44" t="s">
        <v>1</v>
      </c>
      <c r="B35" s="44"/>
      <c r="C35" s="44" t="s">
        <v>1</v>
      </c>
      <c r="D35" s="44"/>
      <c r="E35" s="44" t="s">
        <v>1</v>
      </c>
      <c r="F35" s="44"/>
      <c r="G35" s="44" t="s">
        <v>1</v>
      </c>
      <c r="H35" s="44"/>
      <c r="I35" s="45" t="s">
        <v>1</v>
      </c>
      <c r="J35" s="46"/>
      <c r="K35" s="45" t="s">
        <v>1</v>
      </c>
      <c r="L35" s="33"/>
      <c r="M35" s="45" t="s">
        <v>1</v>
      </c>
      <c r="N35" s="33"/>
      <c r="O35" s="44" t="s">
        <v>2</v>
      </c>
      <c r="P35" s="44">
        <v>44959</v>
      </c>
      <c r="Q35" s="44" t="s">
        <v>2</v>
      </c>
      <c r="R35" s="44">
        <v>45316</v>
      </c>
      <c r="S35" s="44" t="s">
        <v>1</v>
      </c>
      <c r="T35" s="44"/>
      <c r="U35" s="44" t="s">
        <v>2</v>
      </c>
      <c r="V35" s="44">
        <v>45005</v>
      </c>
      <c r="W35" s="44" t="s">
        <v>2</v>
      </c>
      <c r="X35" s="44"/>
      <c r="Y35" s="44" t="s">
        <v>2</v>
      </c>
      <c r="Z35" s="44">
        <v>45007</v>
      </c>
      <c r="AA35" s="44" t="s">
        <v>2</v>
      </c>
      <c r="AB35" s="44"/>
      <c r="AC35" s="51">
        <v>45034</v>
      </c>
      <c r="AD35" s="50">
        <v>45139</v>
      </c>
      <c r="AE35" s="40" t="s">
        <v>2</v>
      </c>
      <c r="AF35" s="40" t="s">
        <v>2</v>
      </c>
      <c r="AG35" s="76" t="s">
        <v>5</v>
      </c>
      <c r="AH35" s="36" t="s">
        <v>0</v>
      </c>
      <c r="AI35" s="49">
        <f>60*165</f>
        <v>9900</v>
      </c>
      <c r="AJ35" s="36" t="s">
        <v>6</v>
      </c>
      <c r="AK35" s="10"/>
      <c r="AL35" s="36">
        <v>4728</v>
      </c>
      <c r="AM35" s="36"/>
      <c r="AN35" s="35" t="s">
        <v>1</v>
      </c>
      <c r="AO35" s="35" t="s">
        <v>1</v>
      </c>
      <c r="AP35" s="35" t="s">
        <v>2</v>
      </c>
      <c r="AQ35" s="35" t="s">
        <v>1</v>
      </c>
      <c r="AR35" s="34" t="s">
        <v>1</v>
      </c>
      <c r="AS35" s="33"/>
      <c r="AT35" s="32" t="s">
        <v>1</v>
      </c>
      <c r="AU35" s="31"/>
      <c r="AV35" s="32" t="s">
        <v>1</v>
      </c>
      <c r="AW35" s="31"/>
      <c r="AX35" s="30" t="s">
        <v>2</v>
      </c>
      <c r="AY35" s="55">
        <v>45139</v>
      </c>
      <c r="AZ35" s="30" t="s">
        <v>2</v>
      </c>
      <c r="BA35" s="55"/>
      <c r="BB35" s="74"/>
      <c r="BC35" s="25"/>
      <c r="BD35" s="24" t="s">
        <v>11</v>
      </c>
      <c r="BE35" s="24" t="s">
        <v>11</v>
      </c>
      <c r="BF35" s="24" t="s">
        <v>88</v>
      </c>
      <c r="BG35" s="24" t="s">
        <v>21</v>
      </c>
      <c r="BH35" s="130" t="s">
        <v>18</v>
      </c>
      <c r="BI35" s="24" t="s">
        <v>243</v>
      </c>
      <c r="BJ35" s="24" t="s">
        <v>11</v>
      </c>
      <c r="BK35" s="24" t="s">
        <v>11</v>
      </c>
      <c r="BL35" s="24" t="s">
        <v>11</v>
      </c>
      <c r="BM35" s="24" t="s">
        <v>11</v>
      </c>
      <c r="BN35" s="24" t="s">
        <v>11</v>
      </c>
      <c r="BO35" s="24" t="s">
        <v>11</v>
      </c>
      <c r="BP35" s="24" t="s">
        <v>11</v>
      </c>
      <c r="BQ35" s="22">
        <f>YEAR([1]!BANCO10[[#This Row],[DATA INÍCIO]])</f>
        <v>2023</v>
      </c>
      <c r="BR35" s="22">
        <f>MONTH([1]!BANCO10[[#This Row],[DATA INÍCIO]])</f>
        <v>4</v>
      </c>
      <c r="BS35" s="129" t="e">
        <f>CONCATENATE(#REF!,#REF!)</f>
        <v>#REF!</v>
      </c>
      <c r="BT35" s="22"/>
      <c r="BU35" s="21" t="s">
        <v>838</v>
      </c>
      <c r="BV35" s="21" t="str">
        <f>IF([1]!BANCO10[[#This Row],[SOLUÇÃO]]=BV$1,[1]!BANCO10[[#This Row],[STATUS DA ETAPA]],"")</f>
        <v/>
      </c>
      <c r="BW35" s="21" t="str">
        <f>IF([1]!BANCO10[[#This Row],[SOLUÇÃO]]=BW$1,[1]!BANCO10[[#This Row],[STATUS DA ETAPA]],"")</f>
        <v/>
      </c>
      <c r="BX35" s="21" t="str">
        <f>IF([1]!BANCO10[[#This Row],[SOLUÇÃO]]=BX$1,[1]!BANCO10[[#This Row],[STATUS DA ETAPA]],"")</f>
        <v/>
      </c>
      <c r="BY35" s="21" t="str">
        <f>IF([1]!BANCO10[[#This Row],[SOLUÇÃO]]=BY$1,[1]!BANCO10[[#This Row],[STATUS DA ETAPA]],"")</f>
        <v/>
      </c>
      <c r="BZ35" s="21" t="str">
        <f>IF([1]!BANCO10[[#This Row],[SOLUÇÃO]]=BZ$1,[1]!BANCO10[[#This Row],[STATUS DA ETAPA]],"")</f>
        <v/>
      </c>
      <c r="CA35" s="21" t="str">
        <f>IF([1]!BANCO10[[#This Row],[SOLUÇÃO]]=CA$1,[1]!BANCO10[[#This Row],[STATUS DA ETAPA]],"")</f>
        <v>CONCLUÍDO</v>
      </c>
      <c r="CB35" s="21" t="str">
        <f>IF([1]!BANCO10[[#This Row],[SOLUÇÃO]]=CB$1,[1]!BANCO10[[#This Row],[STATUS DA ETAPA]],"")</f>
        <v/>
      </c>
      <c r="CC35" s="21" t="str">
        <f>IF([1]!BANCO10[[#This Row],[SOLUÇÃO]]=CC$1,[1]!BANCO10[[#This Row],[STATUS DA ETAPA]],"")</f>
        <v/>
      </c>
      <c r="CD35" s="21" t="str">
        <f>IF([1]!BANCO10[[#This Row],[SOLUÇÃO]]=CD$1,[1]!BANCO10[[#This Row],[STATUS DA ETAPA]],"")</f>
        <v/>
      </c>
      <c r="CE35" s="21" t="str">
        <f>IF([1]!BANCO10[[#This Row],[SOLUÇÃO]]=CE$1,[1]!BANCO10[[#This Row],[STATUS DA ETAPA]],"")</f>
        <v/>
      </c>
      <c r="CF35" s="21" t="str">
        <f>IF([1]!BANCO10[[#This Row],[SOLUÇÃO]]=CF$1,[1]!BANCO10[[#This Row],[STATUS DA ETAPA]],"")</f>
        <v/>
      </c>
      <c r="CG35" s="21" t="str">
        <f>IF([1]!BANCO10[[#This Row],[SOLUÇÃO]]=CG$1,[1]!BANCO10[[#This Row],[STATUS DA ETAPA]],"")</f>
        <v/>
      </c>
      <c r="CH35" s="21" t="str">
        <f>IF([1]!BANCO10[[#This Row],[SOLUÇÃO]]=CH$1,[1]!BANCO10[[#This Row],[STATUS DA ETAPA]],"")</f>
        <v/>
      </c>
      <c r="CI35" s="21" t="str">
        <f>IF([1]!BANCO10[[#This Row],[SOLUÇÃO]]=CI$1,[1]!BANCO10[[#This Row],[STATUS DA ETAPA]],"")</f>
        <v/>
      </c>
      <c r="CJ35" s="21" t="str">
        <f>IF([1]!BANCO10[[#This Row],[SOLUÇÃO]]=CJ$1,[1]!BANCO10[[#This Row],[STATUS DA ETAPA]],"")</f>
        <v/>
      </c>
      <c r="CK35" s="21" t="str">
        <f>IF([1]!BANCO10[[#This Row],[SOLUÇÃO]]=CK$1,[1]!BANCO10[[#This Row],[STATUS DA ETAPA]],"")</f>
        <v/>
      </c>
      <c r="CL35" s="21" t="str">
        <f>IF([1]!BANCO10[[#This Row],[SOLUÇÃO]]=CL$1,[1]!BANCO10[[#This Row],[STATUS DA ETAPA]],"")</f>
        <v/>
      </c>
      <c r="CM35" s="21" t="str">
        <f>IF([1]!BANCO10[[#This Row],[SOLUÇÃO]]=CM$1,[1]!BANCO10[[#This Row],[STATUS DA ETAPA]],"")</f>
        <v/>
      </c>
      <c r="CN35" s="21" t="str">
        <f>IF([1]!BANCO10[[#This Row],[SOLUÇÃO]]=CN$1,[1]!BANCO10[[#This Row],[STATUS DA ETAPA]],"")</f>
        <v/>
      </c>
      <c r="CO35" s="21" t="str">
        <f>IF([1]!BANCO10[[#This Row],[SOLUÇÃO]]=CO$1,[1]!BANCO10[[#This Row],[STATUS DA ETAPA]],"")</f>
        <v/>
      </c>
      <c r="CP35" s="21" t="str">
        <f>IF([1]!BANCO10[[#This Row],[SOLUÇÃO]]=CP$1,[1]!BANCO10[[#This Row],[STATUS DA ETAPA]],"")</f>
        <v/>
      </c>
      <c r="CQ35" s="21" t="str">
        <f>IF([1]!BANCO10[[#This Row],[SOLUÇÃO]]=CQ$1,[1]!BANCO10[[#This Row],[STATUS DA ETAPA]],"")</f>
        <v/>
      </c>
      <c r="CR35" s="21" t="str">
        <f>IF([1]!BANCO10[[#This Row],[SOLUÇÃO]]=CR$1,[1]!BANCO10[[#This Row],[STATUS DA ETAPA]],"")</f>
        <v/>
      </c>
      <c r="CS35" s="21" t="str">
        <f>IF([1]!BANCO10[[#This Row],[SOLUÇÃO]]=CS$1,[1]!BANCO10[[#This Row],[STATUS DA ETAPA]],"")</f>
        <v/>
      </c>
      <c r="CT35" s="21" t="str">
        <f>IF([1]!BANCO10[[#This Row],[SOLUÇÃO]]=CT$1,[1]!BANCO10[[#This Row],[STATUS DA ETAPA]],"")</f>
        <v/>
      </c>
      <c r="CU35" s="21" t="str">
        <f>IF([1]!BANCO10[[#This Row],[SOLUÇÃO]]=CU$1,[1]!BANCO10[[#This Row],[STATUS DA ETAPA]],"")</f>
        <v/>
      </c>
      <c r="CV35" s="21" t="str">
        <f>IF([1]!BANCO10[[#This Row],[SOLUÇÃO]]=CV$1,[1]!BANCO10[[#This Row],[STATUS DA ETAPA]],"")</f>
        <v/>
      </c>
    </row>
    <row r="36" spans="1:100">
      <c r="A36" s="44" t="s">
        <v>1</v>
      </c>
      <c r="B36" s="44"/>
      <c r="C36" s="44" t="s">
        <v>1</v>
      </c>
      <c r="D36" s="44"/>
      <c r="E36" s="44" t="s">
        <v>1</v>
      </c>
      <c r="F36" s="44"/>
      <c r="G36" s="44" t="s">
        <v>1</v>
      </c>
      <c r="H36" s="44"/>
      <c r="I36" s="45" t="s">
        <v>1</v>
      </c>
      <c r="J36" s="46"/>
      <c r="K36" s="45" t="s">
        <v>1</v>
      </c>
      <c r="L36" s="33"/>
      <c r="M36" s="45" t="s">
        <v>1</v>
      </c>
      <c r="N36" s="33"/>
      <c r="O36" s="44" t="s">
        <v>2</v>
      </c>
      <c r="P36" s="44">
        <v>44728</v>
      </c>
      <c r="Q36" s="44" t="s">
        <v>0</v>
      </c>
      <c r="R36" s="44"/>
      <c r="S36" s="44" t="s">
        <v>1</v>
      </c>
      <c r="T36" s="44"/>
      <c r="U36" s="44" t="s">
        <v>1</v>
      </c>
      <c r="V36" s="44"/>
      <c r="W36" s="44" t="s">
        <v>1</v>
      </c>
      <c r="X36" s="44"/>
      <c r="Y36" s="44" t="s">
        <v>1</v>
      </c>
      <c r="Z36" s="44"/>
      <c r="AA36" s="44" t="s">
        <v>1</v>
      </c>
      <c r="AB36" s="44"/>
      <c r="AC36" s="51">
        <v>44727</v>
      </c>
      <c r="AD36" s="50">
        <v>44727</v>
      </c>
      <c r="AE36" s="40" t="s">
        <v>1</v>
      </c>
      <c r="AF36" s="40" t="s">
        <v>1</v>
      </c>
      <c r="AG36" s="76" t="s">
        <v>5</v>
      </c>
      <c r="AH36" s="36" t="s">
        <v>1</v>
      </c>
      <c r="AI36" s="49">
        <v>0</v>
      </c>
      <c r="AJ36" s="36" t="s">
        <v>1</v>
      </c>
      <c r="AK36" s="10" t="s">
        <v>1</v>
      </c>
      <c r="AL36" s="36" t="s">
        <v>1</v>
      </c>
      <c r="AM36" s="36" t="s">
        <v>1</v>
      </c>
      <c r="AN36" s="35" t="s">
        <v>1</v>
      </c>
      <c r="AO36" s="35" t="s">
        <v>1</v>
      </c>
      <c r="AP36" s="35" t="s">
        <v>1</v>
      </c>
      <c r="AQ36" s="35" t="s">
        <v>1</v>
      </c>
      <c r="AR36" s="82" t="s">
        <v>1</v>
      </c>
      <c r="AS36" s="33"/>
      <c r="AT36" s="30"/>
      <c r="AU36" s="55"/>
      <c r="AV36" s="30"/>
      <c r="AW36" s="55"/>
      <c r="AX36" s="30" t="s">
        <v>1</v>
      </c>
      <c r="AY36" s="55"/>
      <c r="AZ36" s="30" t="s">
        <v>1</v>
      </c>
      <c r="BA36" s="55"/>
      <c r="BB36" s="74" t="s">
        <v>836</v>
      </c>
      <c r="BC36" s="25"/>
      <c r="BD36" s="24" t="s">
        <v>11</v>
      </c>
      <c r="BE36" s="24" t="s">
        <v>11</v>
      </c>
      <c r="BF36" s="24" t="s">
        <v>11</v>
      </c>
      <c r="BG36" s="24" t="s">
        <v>11</v>
      </c>
      <c r="BH36" s="130" t="s">
        <v>11</v>
      </c>
      <c r="BI36" s="24"/>
      <c r="BJ36" s="24" t="s">
        <v>11</v>
      </c>
      <c r="BK36" s="24" t="s">
        <v>11</v>
      </c>
      <c r="BL36" s="24" t="s">
        <v>11</v>
      </c>
      <c r="BM36" s="24" t="s">
        <v>11</v>
      </c>
      <c r="BN36" s="24" t="s">
        <v>11</v>
      </c>
      <c r="BO36" s="24" t="s">
        <v>11</v>
      </c>
      <c r="BP36" s="24" t="s">
        <v>11</v>
      </c>
      <c r="BQ36" s="22">
        <f>YEAR([1]!BANCO10[[#This Row],[DATA INÍCIO]])</f>
        <v>2022</v>
      </c>
      <c r="BR36" s="22">
        <f>MONTH([1]!BANCO10[[#This Row],[DATA INÍCIO]])</f>
        <v>6</v>
      </c>
      <c r="BS36" s="129" t="e">
        <f>CONCATENATE(#REF!,#REF!)</f>
        <v>#REF!</v>
      </c>
      <c r="BT36" s="22"/>
      <c r="BU36" s="21" t="s">
        <v>837</v>
      </c>
      <c r="BV36" s="21" t="str">
        <f>IF([1]!BANCO10[[#This Row],[SOLUÇÃO]]=BV$1,[1]!BANCO10[[#This Row],[STATUS DA ETAPA]],"")</f>
        <v>CONCLUÍDO</v>
      </c>
      <c r="BW36" s="21" t="str">
        <f>IF([1]!BANCO10[[#This Row],[SOLUÇÃO]]=BW$1,[1]!BANCO10[[#This Row],[STATUS DA ETAPA]],"")</f>
        <v/>
      </c>
      <c r="BX36" s="21" t="str">
        <f>IF([1]!BANCO10[[#This Row],[SOLUÇÃO]]=BX$1,[1]!BANCO10[[#This Row],[STATUS DA ETAPA]],"")</f>
        <v/>
      </c>
      <c r="BY36" s="21" t="str">
        <f>IF([1]!BANCO10[[#This Row],[SOLUÇÃO]]=BY$1,[1]!BANCO10[[#This Row],[STATUS DA ETAPA]],"")</f>
        <v/>
      </c>
      <c r="BZ36" s="21" t="str">
        <f>IF([1]!BANCO10[[#This Row],[SOLUÇÃO]]=BZ$1,[1]!BANCO10[[#This Row],[STATUS DA ETAPA]],"")</f>
        <v/>
      </c>
      <c r="CA36" s="21" t="str">
        <f>IF([1]!BANCO10[[#This Row],[SOLUÇÃO]]=CA$1,[1]!BANCO10[[#This Row],[STATUS DA ETAPA]],"")</f>
        <v/>
      </c>
      <c r="CB36" s="21" t="str">
        <f>IF([1]!BANCO10[[#This Row],[SOLUÇÃO]]=CB$1,[1]!BANCO10[[#This Row],[STATUS DA ETAPA]],"")</f>
        <v/>
      </c>
      <c r="CC36" s="21" t="str">
        <f>IF([1]!BANCO10[[#This Row],[SOLUÇÃO]]=CC$1,[1]!BANCO10[[#This Row],[STATUS DA ETAPA]],"")</f>
        <v/>
      </c>
      <c r="CD36" s="21" t="str">
        <f>IF([1]!BANCO10[[#This Row],[SOLUÇÃO]]=CD$1,[1]!BANCO10[[#This Row],[STATUS DA ETAPA]],"")</f>
        <v/>
      </c>
      <c r="CE36" s="21" t="str">
        <f>IF([1]!BANCO10[[#This Row],[SOLUÇÃO]]=CE$1,[1]!BANCO10[[#This Row],[STATUS DA ETAPA]],"")</f>
        <v/>
      </c>
      <c r="CF36" s="21" t="str">
        <f>IF([1]!BANCO10[[#This Row],[SOLUÇÃO]]=CF$1,[1]!BANCO10[[#This Row],[STATUS DA ETAPA]],"")</f>
        <v/>
      </c>
      <c r="CG36" s="21" t="str">
        <f>IF([1]!BANCO10[[#This Row],[SOLUÇÃO]]=CG$1,[1]!BANCO10[[#This Row],[STATUS DA ETAPA]],"")</f>
        <v/>
      </c>
      <c r="CH36" s="21" t="str">
        <f>IF([1]!BANCO10[[#This Row],[SOLUÇÃO]]=CH$1,[1]!BANCO10[[#This Row],[STATUS DA ETAPA]],"")</f>
        <v/>
      </c>
      <c r="CI36" s="21" t="str">
        <f>IF([1]!BANCO10[[#This Row],[SOLUÇÃO]]=CI$1,[1]!BANCO10[[#This Row],[STATUS DA ETAPA]],"")</f>
        <v/>
      </c>
      <c r="CJ36" s="21" t="str">
        <f>IF([1]!BANCO10[[#This Row],[SOLUÇÃO]]=CJ$1,[1]!BANCO10[[#This Row],[STATUS DA ETAPA]],"")</f>
        <v/>
      </c>
      <c r="CK36" s="21" t="str">
        <f>IF([1]!BANCO10[[#This Row],[SOLUÇÃO]]=CK$1,[1]!BANCO10[[#This Row],[STATUS DA ETAPA]],"")</f>
        <v/>
      </c>
      <c r="CL36" s="21" t="str">
        <f>IF([1]!BANCO10[[#This Row],[SOLUÇÃO]]=CL$1,[1]!BANCO10[[#This Row],[STATUS DA ETAPA]],"")</f>
        <v/>
      </c>
      <c r="CM36" s="21" t="str">
        <f>IF([1]!BANCO10[[#This Row],[SOLUÇÃO]]=CM$1,[1]!BANCO10[[#This Row],[STATUS DA ETAPA]],"")</f>
        <v/>
      </c>
      <c r="CN36" s="21" t="str">
        <f>IF([1]!BANCO10[[#This Row],[SOLUÇÃO]]=CN$1,[1]!BANCO10[[#This Row],[STATUS DA ETAPA]],"")</f>
        <v/>
      </c>
      <c r="CO36" s="21" t="str">
        <f>IF([1]!BANCO10[[#This Row],[SOLUÇÃO]]=CO$1,[1]!BANCO10[[#This Row],[STATUS DA ETAPA]],"")</f>
        <v/>
      </c>
      <c r="CP36" s="21" t="str">
        <f>IF([1]!BANCO10[[#This Row],[SOLUÇÃO]]=CP$1,[1]!BANCO10[[#This Row],[STATUS DA ETAPA]],"")</f>
        <v/>
      </c>
      <c r="CQ36" s="21" t="str">
        <f>IF([1]!BANCO10[[#This Row],[SOLUÇÃO]]=CQ$1,[1]!BANCO10[[#This Row],[STATUS DA ETAPA]],"")</f>
        <v/>
      </c>
      <c r="CR36" s="21" t="str">
        <f>IF([1]!BANCO10[[#This Row],[SOLUÇÃO]]=CR$1,[1]!BANCO10[[#This Row],[STATUS DA ETAPA]],"")</f>
        <v/>
      </c>
      <c r="CS36" s="21" t="str">
        <f>IF([1]!BANCO10[[#This Row],[SOLUÇÃO]]=CS$1,[1]!BANCO10[[#This Row],[STATUS DA ETAPA]],"")</f>
        <v/>
      </c>
      <c r="CT36" s="21" t="str">
        <f>IF([1]!BANCO10[[#This Row],[SOLUÇÃO]]=CT$1,[1]!BANCO10[[#This Row],[STATUS DA ETAPA]],"")</f>
        <v/>
      </c>
      <c r="CU36" s="21" t="str">
        <f>IF([1]!BANCO10[[#This Row],[SOLUÇÃO]]=CU$1,[1]!BANCO10[[#This Row],[STATUS DA ETAPA]],"")</f>
        <v/>
      </c>
      <c r="CV36" s="21" t="str">
        <f>IF([1]!BANCO10[[#This Row],[SOLUÇÃO]]=CV$1,[1]!BANCO10[[#This Row],[STATUS DA ETAPA]],"")</f>
        <v/>
      </c>
    </row>
    <row r="37" spans="1:100">
      <c r="A37" s="44" t="s">
        <v>1</v>
      </c>
      <c r="B37" s="44"/>
      <c r="C37" s="44" t="s">
        <v>1</v>
      </c>
      <c r="D37" s="44"/>
      <c r="E37" s="44" t="s">
        <v>1</v>
      </c>
      <c r="F37" s="44"/>
      <c r="G37" s="44" t="s">
        <v>1</v>
      </c>
      <c r="H37" s="44"/>
      <c r="I37" s="45" t="s">
        <v>1</v>
      </c>
      <c r="J37" s="46"/>
      <c r="K37" s="45" t="s">
        <v>1</v>
      </c>
      <c r="L37" s="33"/>
      <c r="M37" s="45" t="s">
        <v>1</v>
      </c>
      <c r="N37" s="33"/>
      <c r="O37" s="44" t="s">
        <v>2</v>
      </c>
      <c r="P37" s="44">
        <v>44728</v>
      </c>
      <c r="Q37" s="44" t="s">
        <v>2</v>
      </c>
      <c r="R37" s="44">
        <v>45260</v>
      </c>
      <c r="S37" s="44"/>
      <c r="T37" s="44"/>
      <c r="U37" s="44" t="s">
        <v>1</v>
      </c>
      <c r="V37" s="44"/>
      <c r="W37" s="44" t="s">
        <v>1</v>
      </c>
      <c r="X37" s="44"/>
      <c r="Y37" s="44" t="s">
        <v>1</v>
      </c>
      <c r="Z37" s="44"/>
      <c r="AA37" s="44" t="s">
        <v>1</v>
      </c>
      <c r="AB37" s="44"/>
      <c r="AC37" s="51">
        <v>45963</v>
      </c>
      <c r="AD37" s="50">
        <v>45963</v>
      </c>
      <c r="AE37" s="41" t="s">
        <v>1</v>
      </c>
      <c r="AF37" s="41" t="s">
        <v>1</v>
      </c>
      <c r="AG37" s="76" t="s">
        <v>5</v>
      </c>
      <c r="AH37" s="36" t="s">
        <v>0</v>
      </c>
      <c r="AI37" s="49">
        <v>0</v>
      </c>
      <c r="AJ37" s="36"/>
      <c r="AK37" s="10" t="s">
        <v>30</v>
      </c>
      <c r="AL37" s="36" t="s">
        <v>30</v>
      </c>
      <c r="AM37" s="36" t="s">
        <v>30</v>
      </c>
      <c r="AN37" s="35" t="s">
        <v>1</v>
      </c>
      <c r="AO37" s="35" t="s">
        <v>1</v>
      </c>
      <c r="AP37" s="35"/>
      <c r="AQ37" s="35" t="s">
        <v>1</v>
      </c>
      <c r="AR37" s="34" t="s">
        <v>1</v>
      </c>
      <c r="AS37" s="33"/>
      <c r="AT37" s="32"/>
      <c r="AU37" s="31"/>
      <c r="AV37" s="32"/>
      <c r="AW37" s="31"/>
      <c r="AX37" s="30" t="s">
        <v>0</v>
      </c>
      <c r="AY37" s="29"/>
      <c r="AZ37" s="28" t="s">
        <v>0</v>
      </c>
      <c r="BA37" s="27"/>
      <c r="BB37" s="74" t="s">
        <v>836</v>
      </c>
      <c r="BC37" s="25"/>
      <c r="BD37" s="24" t="s">
        <v>11</v>
      </c>
      <c r="BE37" s="24" t="s">
        <v>11</v>
      </c>
      <c r="BF37" s="24" t="s">
        <v>11</v>
      </c>
      <c r="BG37" s="24" t="s">
        <v>11</v>
      </c>
      <c r="BH37" s="130" t="s">
        <v>11</v>
      </c>
      <c r="BI37" s="24"/>
      <c r="BJ37" s="24" t="s">
        <v>11</v>
      </c>
      <c r="BK37" s="24" t="s">
        <v>11</v>
      </c>
      <c r="BL37" s="24" t="s">
        <v>11</v>
      </c>
      <c r="BM37" s="24" t="s">
        <v>11</v>
      </c>
      <c r="BN37" s="24" t="s">
        <v>11</v>
      </c>
      <c r="BO37" s="24" t="s">
        <v>11</v>
      </c>
      <c r="BP37" s="24" t="s">
        <v>11</v>
      </c>
      <c r="BQ37" s="22">
        <f>YEAR([1]!BANCO10[[#This Row],[DATA INÍCIO]])</f>
        <v>2025</v>
      </c>
      <c r="BR37" s="22">
        <f>MONTH([1]!BANCO10[[#This Row],[DATA INÍCIO]])</f>
        <v>11</v>
      </c>
      <c r="BS37" s="129" t="e">
        <f>CONCATENATE(#REF!,#REF!)</f>
        <v>#REF!</v>
      </c>
      <c r="BT37" s="22"/>
      <c r="BU37" s="21" t="s">
        <v>30</v>
      </c>
      <c r="BV37" s="21" t="str">
        <f>IF([1]!BANCO10[[#This Row],[SOLUÇÃO]]=BV$1,[1]!BANCO10[[#This Row],[STATUS DA ETAPA]],"")</f>
        <v/>
      </c>
      <c r="BW37" s="21" t="str">
        <f>IF([1]!BANCO10[[#This Row],[SOLUÇÃO]]=BW$1,[1]!BANCO10[[#This Row],[STATUS DA ETAPA]],"")</f>
        <v/>
      </c>
      <c r="BX37" s="21" t="str">
        <f>IF([1]!BANCO10[[#This Row],[SOLUÇÃO]]=BX$1,[1]!BANCO10[[#This Row],[STATUS DA ETAPA]],"")</f>
        <v/>
      </c>
      <c r="BY37" s="21" t="str">
        <f>IF([1]!BANCO10[[#This Row],[SOLUÇÃO]]=BY$1,[1]!BANCO10[[#This Row],[STATUS DA ETAPA]],"")</f>
        <v/>
      </c>
      <c r="BZ37" s="21" t="str">
        <f>IF([1]!BANCO10[[#This Row],[SOLUÇÃO]]=BZ$1,[1]!BANCO10[[#This Row],[STATUS DA ETAPA]],"")</f>
        <v/>
      </c>
      <c r="CA37" s="21" t="str">
        <f>IF([1]!BANCO10[[#This Row],[SOLUÇÃO]]=CA$1,[1]!BANCO10[[#This Row],[STATUS DA ETAPA]],"")</f>
        <v>PROSPECÇÃO</v>
      </c>
      <c r="CB37" s="21" t="str">
        <f>IF([1]!BANCO10[[#This Row],[SOLUÇÃO]]=CB$1,[1]!BANCO10[[#This Row],[STATUS DA ETAPA]],"")</f>
        <v/>
      </c>
      <c r="CC37" s="21" t="str">
        <f>IF([1]!BANCO10[[#This Row],[SOLUÇÃO]]=CC$1,[1]!BANCO10[[#This Row],[STATUS DA ETAPA]],"")</f>
        <v/>
      </c>
      <c r="CD37" s="21" t="str">
        <f>IF([1]!BANCO10[[#This Row],[SOLUÇÃO]]=CD$1,[1]!BANCO10[[#This Row],[STATUS DA ETAPA]],"")</f>
        <v/>
      </c>
      <c r="CE37" s="21" t="str">
        <f>IF([1]!BANCO10[[#This Row],[SOLUÇÃO]]=CE$1,[1]!BANCO10[[#This Row],[STATUS DA ETAPA]],"")</f>
        <v/>
      </c>
      <c r="CF37" s="21" t="str">
        <f>IF([1]!BANCO10[[#This Row],[SOLUÇÃO]]=CF$1,[1]!BANCO10[[#This Row],[STATUS DA ETAPA]],"")</f>
        <v/>
      </c>
      <c r="CG37" s="21" t="str">
        <f>IF([1]!BANCO10[[#This Row],[SOLUÇÃO]]=CG$1,[1]!BANCO10[[#This Row],[STATUS DA ETAPA]],"")</f>
        <v/>
      </c>
      <c r="CH37" s="21" t="str">
        <f>IF([1]!BANCO10[[#This Row],[SOLUÇÃO]]=CH$1,[1]!BANCO10[[#This Row],[STATUS DA ETAPA]],"")</f>
        <v/>
      </c>
      <c r="CI37" s="21" t="str">
        <f>IF([1]!BANCO10[[#This Row],[SOLUÇÃO]]=CI$1,[1]!BANCO10[[#This Row],[STATUS DA ETAPA]],"")</f>
        <v/>
      </c>
      <c r="CJ37" s="21" t="str">
        <f>IF([1]!BANCO10[[#This Row],[SOLUÇÃO]]=CJ$1,[1]!BANCO10[[#This Row],[STATUS DA ETAPA]],"")</f>
        <v/>
      </c>
      <c r="CK37" s="21" t="str">
        <f>IF([1]!BANCO10[[#This Row],[SOLUÇÃO]]=CK$1,[1]!BANCO10[[#This Row],[STATUS DA ETAPA]],"")</f>
        <v/>
      </c>
      <c r="CL37" s="21" t="str">
        <f>IF([1]!BANCO10[[#This Row],[SOLUÇÃO]]=CL$1,[1]!BANCO10[[#This Row],[STATUS DA ETAPA]],"")</f>
        <v/>
      </c>
      <c r="CM37" s="21" t="str">
        <f>IF([1]!BANCO10[[#This Row],[SOLUÇÃO]]=CM$1,[1]!BANCO10[[#This Row],[STATUS DA ETAPA]],"")</f>
        <v/>
      </c>
      <c r="CN37" s="21" t="str">
        <f>IF([1]!BANCO10[[#This Row],[SOLUÇÃO]]=CN$1,[1]!BANCO10[[#This Row],[STATUS DA ETAPA]],"")</f>
        <v/>
      </c>
      <c r="CO37" s="21" t="str">
        <f>IF([1]!BANCO10[[#This Row],[SOLUÇÃO]]=CO$1,[1]!BANCO10[[#This Row],[STATUS DA ETAPA]],"")</f>
        <v/>
      </c>
      <c r="CP37" s="21" t="str">
        <f>IF([1]!BANCO10[[#This Row],[SOLUÇÃO]]=CP$1,[1]!BANCO10[[#This Row],[STATUS DA ETAPA]],"")</f>
        <v/>
      </c>
      <c r="CQ37" s="21" t="str">
        <f>IF([1]!BANCO10[[#This Row],[SOLUÇÃO]]=CQ$1,[1]!BANCO10[[#This Row],[STATUS DA ETAPA]],"")</f>
        <v/>
      </c>
      <c r="CR37" s="21" t="str">
        <f>IF([1]!BANCO10[[#This Row],[SOLUÇÃO]]=CR$1,[1]!BANCO10[[#This Row],[STATUS DA ETAPA]],"")</f>
        <v/>
      </c>
      <c r="CS37" s="21" t="str">
        <f>IF([1]!BANCO10[[#This Row],[SOLUÇÃO]]=CS$1,[1]!BANCO10[[#This Row],[STATUS DA ETAPA]],"")</f>
        <v/>
      </c>
      <c r="CT37" s="21" t="str">
        <f>IF([1]!BANCO10[[#This Row],[SOLUÇÃO]]=CT$1,[1]!BANCO10[[#This Row],[STATUS DA ETAPA]],"")</f>
        <v/>
      </c>
      <c r="CU37" s="21" t="str">
        <f>IF([1]!BANCO10[[#This Row],[SOLUÇÃO]]=CU$1,[1]!BANCO10[[#This Row],[STATUS DA ETAPA]],"")</f>
        <v/>
      </c>
      <c r="CV37" s="21" t="str">
        <f>IF([1]!BANCO10[[#This Row],[SOLUÇÃO]]=CV$1,[1]!BANCO10[[#This Row],[STATUS DA ETAPA]],"")</f>
        <v/>
      </c>
    </row>
    <row r="38" spans="1:100">
      <c r="A38" s="44" t="s">
        <v>1</v>
      </c>
      <c r="B38" s="44"/>
      <c r="C38" s="44" t="s">
        <v>1</v>
      </c>
      <c r="D38" s="44"/>
      <c r="E38" s="44" t="s">
        <v>1</v>
      </c>
      <c r="F38" s="44"/>
      <c r="G38" s="44" t="s">
        <v>1</v>
      </c>
      <c r="H38" s="44"/>
      <c r="I38" s="45" t="s">
        <v>1</v>
      </c>
      <c r="J38" s="46"/>
      <c r="K38" s="45" t="s">
        <v>1</v>
      </c>
      <c r="L38" s="33"/>
      <c r="M38" s="45" t="s">
        <v>1</v>
      </c>
      <c r="N38" s="33"/>
      <c r="O38" s="44" t="s">
        <v>2</v>
      </c>
      <c r="P38" s="44">
        <v>45152</v>
      </c>
      <c r="Q38" s="44" t="s">
        <v>0</v>
      </c>
      <c r="R38" s="44"/>
      <c r="S38" s="44" t="s">
        <v>1</v>
      </c>
      <c r="T38" s="44"/>
      <c r="U38" s="44" t="s">
        <v>1</v>
      </c>
      <c r="V38" s="44"/>
      <c r="W38" s="44" t="s">
        <v>1</v>
      </c>
      <c r="X38" s="44"/>
      <c r="Y38" s="44" t="s">
        <v>1</v>
      </c>
      <c r="Z38" s="44"/>
      <c r="AA38" s="44" t="s">
        <v>1</v>
      </c>
      <c r="AB38" s="44"/>
      <c r="AC38" s="51">
        <v>45148</v>
      </c>
      <c r="AD38" s="50">
        <v>45148</v>
      </c>
      <c r="AE38" s="40" t="s">
        <v>1</v>
      </c>
      <c r="AF38" s="40" t="s">
        <v>1</v>
      </c>
      <c r="AG38" s="76" t="s">
        <v>5</v>
      </c>
      <c r="AH38" s="36" t="s">
        <v>1</v>
      </c>
      <c r="AI38" s="49">
        <v>0</v>
      </c>
      <c r="AJ38" s="36" t="s">
        <v>1</v>
      </c>
      <c r="AK38" s="10" t="s">
        <v>1</v>
      </c>
      <c r="AL38" s="36" t="s">
        <v>1</v>
      </c>
      <c r="AM38" s="36" t="s">
        <v>1</v>
      </c>
      <c r="AN38" s="35" t="s">
        <v>1</v>
      </c>
      <c r="AO38" s="35" t="s">
        <v>1</v>
      </c>
      <c r="AP38" s="35" t="s">
        <v>1</v>
      </c>
      <c r="AQ38" s="35" t="s">
        <v>1</v>
      </c>
      <c r="AR38" s="82" t="s">
        <v>1</v>
      </c>
      <c r="AS38" s="33"/>
      <c r="AT38" s="32" t="s">
        <v>1</v>
      </c>
      <c r="AU38" s="31"/>
      <c r="AV38" s="32" t="s">
        <v>1</v>
      </c>
      <c r="AW38" s="31"/>
      <c r="AX38" s="30" t="s">
        <v>1</v>
      </c>
      <c r="AY38" s="55"/>
      <c r="AZ38" s="30" t="s">
        <v>1</v>
      </c>
      <c r="BA38" s="55"/>
      <c r="BB38" s="74"/>
      <c r="BC38" s="25"/>
      <c r="BD38" s="24" t="s">
        <v>18</v>
      </c>
      <c r="BE38" s="24" t="s">
        <v>11</v>
      </c>
      <c r="BF38" s="24" t="s">
        <v>51</v>
      </c>
      <c r="BG38" s="24" t="s">
        <v>11</v>
      </c>
      <c r="BH38" s="130" t="s">
        <v>19</v>
      </c>
      <c r="BI38" s="24"/>
      <c r="BJ38" s="24" t="s">
        <v>11</v>
      </c>
      <c r="BK38" s="24" t="s">
        <v>11</v>
      </c>
      <c r="BL38" s="24" t="s">
        <v>11</v>
      </c>
      <c r="BM38" s="24" t="s">
        <v>11</v>
      </c>
      <c r="BN38" s="24" t="s">
        <v>11</v>
      </c>
      <c r="BO38" s="24" t="s">
        <v>11</v>
      </c>
      <c r="BP38" s="24" t="s">
        <v>11</v>
      </c>
      <c r="BQ38" s="22">
        <f>YEAR([1]!BANCO10[[#This Row],[DATA INÍCIO]])</f>
        <v>2023</v>
      </c>
      <c r="BR38" s="22">
        <f>MONTH([1]!BANCO10[[#This Row],[DATA INÍCIO]])</f>
        <v>8</v>
      </c>
      <c r="BS38" s="129" t="e">
        <f>CONCATENATE(#REF!,#REF!)</f>
        <v>#REF!</v>
      </c>
      <c r="BT38" s="22"/>
      <c r="BU38" s="21" t="s">
        <v>835</v>
      </c>
      <c r="BV38" s="21" t="str">
        <f>IF([1]!BANCO10[[#This Row],[SOLUÇÃO]]=BV$1,[1]!BANCO10[[#This Row],[STATUS DA ETAPA]],"")</f>
        <v>CONCLUÍDO</v>
      </c>
      <c r="BW38" s="21" t="str">
        <f>IF([1]!BANCO10[[#This Row],[SOLUÇÃO]]=BW$1,[1]!BANCO10[[#This Row],[STATUS DA ETAPA]],"")</f>
        <v/>
      </c>
      <c r="BX38" s="21" t="str">
        <f>IF([1]!BANCO10[[#This Row],[SOLUÇÃO]]=BX$1,[1]!BANCO10[[#This Row],[STATUS DA ETAPA]],"")</f>
        <v/>
      </c>
      <c r="BY38" s="21" t="str">
        <f>IF([1]!BANCO10[[#This Row],[SOLUÇÃO]]=BY$1,[1]!BANCO10[[#This Row],[STATUS DA ETAPA]],"")</f>
        <v/>
      </c>
      <c r="BZ38" s="21" t="str">
        <f>IF([1]!BANCO10[[#This Row],[SOLUÇÃO]]=BZ$1,[1]!BANCO10[[#This Row],[STATUS DA ETAPA]],"")</f>
        <v/>
      </c>
      <c r="CA38" s="21" t="str">
        <f>IF([1]!BANCO10[[#This Row],[SOLUÇÃO]]=CA$1,[1]!BANCO10[[#This Row],[STATUS DA ETAPA]],"")</f>
        <v/>
      </c>
      <c r="CB38" s="21" t="str">
        <f>IF([1]!BANCO10[[#This Row],[SOLUÇÃO]]=CB$1,[1]!BANCO10[[#This Row],[STATUS DA ETAPA]],"")</f>
        <v/>
      </c>
      <c r="CC38" s="21" t="str">
        <f>IF([1]!BANCO10[[#This Row],[SOLUÇÃO]]=CC$1,[1]!BANCO10[[#This Row],[STATUS DA ETAPA]],"")</f>
        <v/>
      </c>
      <c r="CD38" s="21" t="str">
        <f>IF([1]!BANCO10[[#This Row],[SOLUÇÃO]]=CD$1,[1]!BANCO10[[#This Row],[STATUS DA ETAPA]],"")</f>
        <v/>
      </c>
      <c r="CE38" s="21" t="str">
        <f>IF([1]!BANCO10[[#This Row],[SOLUÇÃO]]=CE$1,[1]!BANCO10[[#This Row],[STATUS DA ETAPA]],"")</f>
        <v/>
      </c>
      <c r="CF38" s="21" t="str">
        <f>IF([1]!BANCO10[[#This Row],[SOLUÇÃO]]=CF$1,[1]!BANCO10[[#This Row],[STATUS DA ETAPA]],"")</f>
        <v/>
      </c>
      <c r="CG38" s="21" t="str">
        <f>IF([1]!BANCO10[[#This Row],[SOLUÇÃO]]=CG$1,[1]!BANCO10[[#This Row],[STATUS DA ETAPA]],"")</f>
        <v/>
      </c>
      <c r="CH38" s="21" t="str">
        <f>IF([1]!BANCO10[[#This Row],[SOLUÇÃO]]=CH$1,[1]!BANCO10[[#This Row],[STATUS DA ETAPA]],"")</f>
        <v/>
      </c>
      <c r="CI38" s="21" t="str">
        <f>IF([1]!BANCO10[[#This Row],[SOLUÇÃO]]=CI$1,[1]!BANCO10[[#This Row],[STATUS DA ETAPA]],"")</f>
        <v/>
      </c>
      <c r="CJ38" s="21" t="str">
        <f>IF([1]!BANCO10[[#This Row],[SOLUÇÃO]]=CJ$1,[1]!BANCO10[[#This Row],[STATUS DA ETAPA]],"")</f>
        <v/>
      </c>
      <c r="CK38" s="21" t="str">
        <f>IF([1]!BANCO10[[#This Row],[SOLUÇÃO]]=CK$1,[1]!BANCO10[[#This Row],[STATUS DA ETAPA]],"")</f>
        <v/>
      </c>
      <c r="CL38" s="21" t="str">
        <f>IF([1]!BANCO10[[#This Row],[SOLUÇÃO]]=CL$1,[1]!BANCO10[[#This Row],[STATUS DA ETAPA]],"")</f>
        <v/>
      </c>
      <c r="CM38" s="21" t="str">
        <f>IF([1]!BANCO10[[#This Row],[SOLUÇÃO]]=CM$1,[1]!BANCO10[[#This Row],[STATUS DA ETAPA]],"")</f>
        <v/>
      </c>
      <c r="CN38" s="21" t="str">
        <f>IF([1]!BANCO10[[#This Row],[SOLUÇÃO]]=CN$1,[1]!BANCO10[[#This Row],[STATUS DA ETAPA]],"")</f>
        <v/>
      </c>
      <c r="CO38" s="21" t="str">
        <f>IF([1]!BANCO10[[#This Row],[SOLUÇÃO]]=CO$1,[1]!BANCO10[[#This Row],[STATUS DA ETAPA]],"")</f>
        <v/>
      </c>
      <c r="CP38" s="21" t="str">
        <f>IF([1]!BANCO10[[#This Row],[SOLUÇÃO]]=CP$1,[1]!BANCO10[[#This Row],[STATUS DA ETAPA]],"")</f>
        <v/>
      </c>
      <c r="CQ38" s="21" t="str">
        <f>IF([1]!BANCO10[[#This Row],[SOLUÇÃO]]=CQ$1,[1]!BANCO10[[#This Row],[STATUS DA ETAPA]],"")</f>
        <v/>
      </c>
      <c r="CR38" s="21" t="str">
        <f>IF([1]!BANCO10[[#This Row],[SOLUÇÃO]]=CR$1,[1]!BANCO10[[#This Row],[STATUS DA ETAPA]],"")</f>
        <v/>
      </c>
      <c r="CS38" s="21" t="str">
        <f>IF([1]!BANCO10[[#This Row],[SOLUÇÃO]]=CS$1,[1]!BANCO10[[#This Row],[STATUS DA ETAPA]],"")</f>
        <v/>
      </c>
      <c r="CT38" s="21" t="str">
        <f>IF([1]!BANCO10[[#This Row],[SOLUÇÃO]]=CT$1,[1]!BANCO10[[#This Row],[STATUS DA ETAPA]],"")</f>
        <v/>
      </c>
      <c r="CU38" s="21" t="str">
        <f>IF([1]!BANCO10[[#This Row],[SOLUÇÃO]]=CU$1,[1]!BANCO10[[#This Row],[STATUS DA ETAPA]],"")</f>
        <v/>
      </c>
      <c r="CV38" s="21" t="str">
        <f>IF([1]!BANCO10[[#This Row],[SOLUÇÃO]]=CV$1,[1]!BANCO10[[#This Row],[STATUS DA ETAPA]],"")</f>
        <v/>
      </c>
    </row>
    <row r="39" spans="1:100">
      <c r="A39" s="44" t="s">
        <v>1</v>
      </c>
      <c r="B39" s="44"/>
      <c r="C39" s="44" t="s">
        <v>1</v>
      </c>
      <c r="D39" s="44"/>
      <c r="E39" s="44" t="s">
        <v>1</v>
      </c>
      <c r="F39" s="44"/>
      <c r="G39" s="44" t="s">
        <v>1</v>
      </c>
      <c r="H39" s="44"/>
      <c r="I39" s="45" t="s">
        <v>1</v>
      </c>
      <c r="J39" s="46"/>
      <c r="K39" s="45" t="s">
        <v>1</v>
      </c>
      <c r="L39" s="33"/>
      <c r="M39" s="45" t="s">
        <v>1</v>
      </c>
      <c r="N39" s="33"/>
      <c r="O39" s="44" t="s">
        <v>2</v>
      </c>
      <c r="P39" s="44">
        <v>45152</v>
      </c>
      <c r="Q39" s="44" t="s">
        <v>2</v>
      </c>
      <c r="R39" s="44">
        <v>45159</v>
      </c>
      <c r="S39" s="44" t="s">
        <v>2</v>
      </c>
      <c r="T39" s="44"/>
      <c r="U39" s="44" t="s">
        <v>2</v>
      </c>
      <c r="V39" s="44"/>
      <c r="W39" s="44"/>
      <c r="X39" s="44"/>
      <c r="Y39" s="44"/>
      <c r="Z39" s="44"/>
      <c r="AA39" s="44" t="s">
        <v>1</v>
      </c>
      <c r="AB39" s="44"/>
      <c r="AC39" s="51">
        <v>45963</v>
      </c>
      <c r="AD39" s="50">
        <v>45963</v>
      </c>
      <c r="AE39" s="41" t="s">
        <v>1</v>
      </c>
      <c r="AF39" s="41" t="s">
        <v>1</v>
      </c>
      <c r="AG39" s="76" t="s">
        <v>5</v>
      </c>
      <c r="AH39" s="36" t="s">
        <v>0</v>
      </c>
      <c r="AI39" s="49">
        <v>0</v>
      </c>
      <c r="AJ39" s="36"/>
      <c r="AK39" s="10" t="s">
        <v>30</v>
      </c>
      <c r="AL39" s="36" t="s">
        <v>30</v>
      </c>
      <c r="AM39" s="36" t="s">
        <v>30</v>
      </c>
      <c r="AN39" s="35" t="s">
        <v>1</v>
      </c>
      <c r="AO39" s="35" t="s">
        <v>1</v>
      </c>
      <c r="AP39" s="35"/>
      <c r="AQ39" s="35" t="s">
        <v>1</v>
      </c>
      <c r="AR39" s="34" t="s">
        <v>1</v>
      </c>
      <c r="AS39" s="33"/>
      <c r="AT39" s="32"/>
      <c r="AU39" s="31"/>
      <c r="AV39" s="32"/>
      <c r="AW39" s="31"/>
      <c r="AX39" s="30" t="s">
        <v>0</v>
      </c>
      <c r="AY39" s="29"/>
      <c r="AZ39" s="28" t="s">
        <v>0</v>
      </c>
      <c r="BA39" s="27"/>
      <c r="BB39" s="74"/>
      <c r="BC39" s="25"/>
      <c r="BD39" s="24" t="s">
        <v>18</v>
      </c>
      <c r="BE39" s="24" t="s">
        <v>11</v>
      </c>
      <c r="BF39" s="24" t="s">
        <v>51</v>
      </c>
      <c r="BG39" s="24" t="s">
        <v>11</v>
      </c>
      <c r="BH39" s="130" t="s">
        <v>19</v>
      </c>
      <c r="BI39" s="24"/>
      <c r="BJ39" s="24" t="s">
        <v>11</v>
      </c>
      <c r="BK39" s="24" t="s">
        <v>11</v>
      </c>
      <c r="BL39" s="24">
        <v>45402</v>
      </c>
      <c r="BM39" s="24"/>
      <c r="BN39" s="24" t="s">
        <v>11</v>
      </c>
      <c r="BO39" s="24"/>
      <c r="BP39" s="24" t="s">
        <v>823</v>
      </c>
      <c r="BQ39" s="22">
        <f>YEAR([1]!BANCO10[[#This Row],[DATA INÍCIO]])</f>
        <v>2025</v>
      </c>
      <c r="BR39" s="22">
        <f>MONTH([1]!BANCO10[[#This Row],[DATA INÍCIO]])</f>
        <v>11</v>
      </c>
      <c r="BS39" s="129" t="e">
        <f>CONCATENATE(#REF!,#REF!)</f>
        <v>#REF!</v>
      </c>
      <c r="BT39" s="22"/>
      <c r="BU39" s="21" t="s">
        <v>30</v>
      </c>
      <c r="BV39" s="21" t="str">
        <f>IF([1]!BANCO10[[#This Row],[SOLUÇÃO]]=BV$1,[1]!BANCO10[[#This Row],[STATUS DA ETAPA]],"")</f>
        <v/>
      </c>
      <c r="BW39" s="21" t="str">
        <f>IF([1]!BANCO10[[#This Row],[SOLUÇÃO]]=BW$1,[1]!BANCO10[[#This Row],[STATUS DA ETAPA]],"")</f>
        <v/>
      </c>
      <c r="BX39" s="21" t="str">
        <f>IF([1]!BANCO10[[#This Row],[SOLUÇÃO]]=BX$1,[1]!BANCO10[[#This Row],[STATUS DA ETAPA]],"")</f>
        <v/>
      </c>
      <c r="BY39" s="21" t="str">
        <f>IF([1]!BANCO10[[#This Row],[SOLUÇÃO]]=BY$1,[1]!BANCO10[[#This Row],[STATUS DA ETAPA]],"")</f>
        <v/>
      </c>
      <c r="BZ39" s="21" t="str">
        <f>IF([1]!BANCO10[[#This Row],[SOLUÇÃO]]=BZ$1,[1]!BANCO10[[#This Row],[STATUS DA ETAPA]],"")</f>
        <v/>
      </c>
      <c r="CA39" s="21" t="str">
        <f>IF([1]!BANCO10[[#This Row],[SOLUÇÃO]]=CA$1,[1]!BANCO10[[#This Row],[STATUS DA ETAPA]],"")</f>
        <v>PROSPECÇÃO</v>
      </c>
      <c r="CB39" s="21" t="str">
        <f>IF([1]!BANCO10[[#This Row],[SOLUÇÃO]]=CB$1,[1]!BANCO10[[#This Row],[STATUS DA ETAPA]],"")</f>
        <v/>
      </c>
      <c r="CC39" s="21" t="str">
        <f>IF([1]!BANCO10[[#This Row],[SOLUÇÃO]]=CC$1,[1]!BANCO10[[#This Row],[STATUS DA ETAPA]],"")</f>
        <v/>
      </c>
      <c r="CD39" s="21" t="str">
        <f>IF([1]!BANCO10[[#This Row],[SOLUÇÃO]]=CD$1,[1]!BANCO10[[#This Row],[STATUS DA ETAPA]],"")</f>
        <v/>
      </c>
      <c r="CE39" s="21" t="str">
        <f>IF([1]!BANCO10[[#This Row],[SOLUÇÃO]]=CE$1,[1]!BANCO10[[#This Row],[STATUS DA ETAPA]],"")</f>
        <v/>
      </c>
      <c r="CF39" s="21" t="str">
        <f>IF([1]!BANCO10[[#This Row],[SOLUÇÃO]]=CF$1,[1]!BANCO10[[#This Row],[STATUS DA ETAPA]],"")</f>
        <v/>
      </c>
      <c r="CG39" s="21" t="str">
        <f>IF([1]!BANCO10[[#This Row],[SOLUÇÃO]]=CG$1,[1]!BANCO10[[#This Row],[STATUS DA ETAPA]],"")</f>
        <v/>
      </c>
      <c r="CH39" s="21" t="str">
        <f>IF([1]!BANCO10[[#This Row],[SOLUÇÃO]]=CH$1,[1]!BANCO10[[#This Row],[STATUS DA ETAPA]],"")</f>
        <v/>
      </c>
      <c r="CI39" s="21" t="str">
        <f>IF([1]!BANCO10[[#This Row],[SOLUÇÃO]]=CI$1,[1]!BANCO10[[#This Row],[STATUS DA ETAPA]],"")</f>
        <v/>
      </c>
      <c r="CJ39" s="21" t="str">
        <f>IF([1]!BANCO10[[#This Row],[SOLUÇÃO]]=CJ$1,[1]!BANCO10[[#This Row],[STATUS DA ETAPA]],"")</f>
        <v/>
      </c>
      <c r="CK39" s="21" t="str">
        <f>IF([1]!BANCO10[[#This Row],[SOLUÇÃO]]=CK$1,[1]!BANCO10[[#This Row],[STATUS DA ETAPA]],"")</f>
        <v/>
      </c>
      <c r="CL39" s="21" t="str">
        <f>IF([1]!BANCO10[[#This Row],[SOLUÇÃO]]=CL$1,[1]!BANCO10[[#This Row],[STATUS DA ETAPA]],"")</f>
        <v/>
      </c>
      <c r="CM39" s="21" t="str">
        <f>IF([1]!BANCO10[[#This Row],[SOLUÇÃO]]=CM$1,[1]!BANCO10[[#This Row],[STATUS DA ETAPA]],"")</f>
        <v/>
      </c>
      <c r="CN39" s="21" t="str">
        <f>IF([1]!BANCO10[[#This Row],[SOLUÇÃO]]=CN$1,[1]!BANCO10[[#This Row],[STATUS DA ETAPA]],"")</f>
        <v/>
      </c>
      <c r="CO39" s="21" t="str">
        <f>IF([1]!BANCO10[[#This Row],[SOLUÇÃO]]=CO$1,[1]!BANCO10[[#This Row],[STATUS DA ETAPA]],"")</f>
        <v/>
      </c>
      <c r="CP39" s="21" t="str">
        <f>IF([1]!BANCO10[[#This Row],[SOLUÇÃO]]=CP$1,[1]!BANCO10[[#This Row],[STATUS DA ETAPA]],"")</f>
        <v/>
      </c>
      <c r="CQ39" s="21" t="str">
        <f>IF([1]!BANCO10[[#This Row],[SOLUÇÃO]]=CQ$1,[1]!BANCO10[[#This Row],[STATUS DA ETAPA]],"")</f>
        <v/>
      </c>
      <c r="CR39" s="21" t="str">
        <f>IF([1]!BANCO10[[#This Row],[SOLUÇÃO]]=CR$1,[1]!BANCO10[[#This Row],[STATUS DA ETAPA]],"")</f>
        <v/>
      </c>
      <c r="CS39" s="21" t="str">
        <f>IF([1]!BANCO10[[#This Row],[SOLUÇÃO]]=CS$1,[1]!BANCO10[[#This Row],[STATUS DA ETAPA]],"")</f>
        <v/>
      </c>
      <c r="CT39" s="21" t="str">
        <f>IF([1]!BANCO10[[#This Row],[SOLUÇÃO]]=CT$1,[1]!BANCO10[[#This Row],[STATUS DA ETAPA]],"")</f>
        <v/>
      </c>
      <c r="CU39" s="21" t="str">
        <f>IF([1]!BANCO10[[#This Row],[SOLUÇÃO]]=CU$1,[1]!BANCO10[[#This Row],[STATUS DA ETAPA]],"")</f>
        <v/>
      </c>
      <c r="CV39" s="21" t="str">
        <f>IF([1]!BANCO10[[#This Row],[SOLUÇÃO]]=CV$1,[1]!BANCO10[[#This Row],[STATUS DA ETAPA]],"")</f>
        <v/>
      </c>
    </row>
    <row r="40" spans="1:100">
      <c r="A40" s="44" t="s">
        <v>1</v>
      </c>
      <c r="B40" s="44"/>
      <c r="C40" s="44" t="s">
        <v>1</v>
      </c>
      <c r="D40" s="44"/>
      <c r="E40" s="44" t="s">
        <v>1</v>
      </c>
      <c r="F40" s="44"/>
      <c r="G40" s="44" t="s">
        <v>1</v>
      </c>
      <c r="H40" s="44"/>
      <c r="I40" s="45" t="s">
        <v>1</v>
      </c>
      <c r="J40" s="46"/>
      <c r="K40" s="45" t="s">
        <v>1</v>
      </c>
      <c r="L40" s="33"/>
      <c r="M40" s="45" t="s">
        <v>1</v>
      </c>
      <c r="N40" s="33"/>
      <c r="O40" s="44" t="s">
        <v>2</v>
      </c>
      <c r="P40" s="44">
        <v>45273</v>
      </c>
      <c r="Q40" s="44" t="s">
        <v>2</v>
      </c>
      <c r="R40" s="44">
        <v>45384</v>
      </c>
      <c r="S40" s="44" t="s">
        <v>1</v>
      </c>
      <c r="T40" s="44"/>
      <c r="U40" s="44"/>
      <c r="V40" s="44"/>
      <c r="W40" s="44" t="s">
        <v>1</v>
      </c>
      <c r="X40" s="44"/>
      <c r="Y40" s="44" t="s">
        <v>1</v>
      </c>
      <c r="Z40" s="44"/>
      <c r="AA40" s="44" t="s">
        <v>1</v>
      </c>
      <c r="AB40" s="44"/>
      <c r="AC40" s="51">
        <v>45258</v>
      </c>
      <c r="AD40" s="50">
        <v>45258</v>
      </c>
      <c r="AE40" s="40" t="s">
        <v>2</v>
      </c>
      <c r="AF40" s="40" t="s">
        <v>2</v>
      </c>
      <c r="AG40" s="76" t="s">
        <v>5</v>
      </c>
      <c r="AH40" s="36" t="s">
        <v>1</v>
      </c>
      <c r="AI40" s="49">
        <v>0</v>
      </c>
      <c r="AJ40" s="36" t="s">
        <v>1</v>
      </c>
      <c r="AK40" s="10" t="s">
        <v>1</v>
      </c>
      <c r="AL40" s="36" t="s">
        <v>1</v>
      </c>
      <c r="AM40" s="36" t="s">
        <v>1</v>
      </c>
      <c r="AN40" s="35" t="s">
        <v>1</v>
      </c>
      <c r="AO40" s="35" t="s">
        <v>1</v>
      </c>
      <c r="AP40" s="35" t="s">
        <v>1</v>
      </c>
      <c r="AQ40" s="35" t="s">
        <v>1</v>
      </c>
      <c r="AR40" s="82" t="s">
        <v>1</v>
      </c>
      <c r="AS40" s="33"/>
      <c r="AT40" s="32" t="s">
        <v>1</v>
      </c>
      <c r="AU40" s="31"/>
      <c r="AV40" s="32" t="s">
        <v>1</v>
      </c>
      <c r="AW40" s="31"/>
      <c r="AX40" s="30" t="s">
        <v>1</v>
      </c>
      <c r="AY40" s="55"/>
      <c r="AZ40" s="30" t="s">
        <v>1</v>
      </c>
      <c r="BA40" s="55"/>
      <c r="BB40" s="74" t="s">
        <v>833</v>
      </c>
      <c r="BC40" s="25"/>
      <c r="BD40" s="24" t="s">
        <v>19</v>
      </c>
      <c r="BE40" s="24" t="s">
        <v>19</v>
      </c>
      <c r="BF40" s="24" t="s">
        <v>51</v>
      </c>
      <c r="BG40" s="24" t="s">
        <v>11</v>
      </c>
      <c r="BH40" s="130" t="s">
        <v>770</v>
      </c>
      <c r="BI40" s="24"/>
      <c r="BJ40" s="24" t="s">
        <v>11</v>
      </c>
      <c r="BK40" s="24" t="s">
        <v>11</v>
      </c>
      <c r="BL40" s="24" t="s">
        <v>11</v>
      </c>
      <c r="BM40" s="24" t="s">
        <v>11</v>
      </c>
      <c r="BN40" s="24" t="s">
        <v>11</v>
      </c>
      <c r="BO40" s="24" t="s">
        <v>11</v>
      </c>
      <c r="BP40" s="24" t="s">
        <v>11</v>
      </c>
      <c r="BQ40" s="22">
        <f>YEAR([1]!BANCO10[[#This Row],[DATA INÍCIO]])</f>
        <v>2023</v>
      </c>
      <c r="BR40" s="22">
        <f>MONTH([1]!BANCO10[[#This Row],[DATA INÍCIO]])</f>
        <v>11</v>
      </c>
      <c r="BS40" s="129" t="e">
        <f>CONCATENATE(#REF!,#REF!)</f>
        <v>#REF!</v>
      </c>
      <c r="BT40" s="22"/>
      <c r="BU40" s="21" t="s">
        <v>834</v>
      </c>
      <c r="BV40" s="21" t="str">
        <f>IF([1]!BANCO10[[#This Row],[SOLUÇÃO]]=BV$1,[1]!BANCO10[[#This Row],[STATUS DA ETAPA]],"")</f>
        <v>CONCLUÍDO</v>
      </c>
      <c r="BW40" s="21" t="str">
        <f>IF([1]!BANCO10[[#This Row],[SOLUÇÃO]]=BW$1,[1]!BANCO10[[#This Row],[STATUS DA ETAPA]],"")</f>
        <v/>
      </c>
      <c r="BX40" s="21" t="str">
        <f>IF([1]!BANCO10[[#This Row],[SOLUÇÃO]]=BX$1,[1]!BANCO10[[#This Row],[STATUS DA ETAPA]],"")</f>
        <v/>
      </c>
      <c r="BY40" s="21" t="str">
        <f>IF([1]!BANCO10[[#This Row],[SOLUÇÃO]]=BY$1,[1]!BANCO10[[#This Row],[STATUS DA ETAPA]],"")</f>
        <v/>
      </c>
      <c r="BZ40" s="21" t="str">
        <f>IF([1]!BANCO10[[#This Row],[SOLUÇÃO]]=BZ$1,[1]!BANCO10[[#This Row],[STATUS DA ETAPA]],"")</f>
        <v/>
      </c>
      <c r="CA40" s="21" t="str">
        <f>IF([1]!BANCO10[[#This Row],[SOLUÇÃO]]=CA$1,[1]!BANCO10[[#This Row],[STATUS DA ETAPA]],"")</f>
        <v/>
      </c>
      <c r="CB40" s="21" t="str">
        <f>IF([1]!BANCO10[[#This Row],[SOLUÇÃO]]=CB$1,[1]!BANCO10[[#This Row],[STATUS DA ETAPA]],"")</f>
        <v/>
      </c>
      <c r="CC40" s="21" t="str">
        <f>IF([1]!BANCO10[[#This Row],[SOLUÇÃO]]=CC$1,[1]!BANCO10[[#This Row],[STATUS DA ETAPA]],"")</f>
        <v/>
      </c>
      <c r="CD40" s="21" t="str">
        <f>IF([1]!BANCO10[[#This Row],[SOLUÇÃO]]=CD$1,[1]!BANCO10[[#This Row],[STATUS DA ETAPA]],"")</f>
        <v/>
      </c>
      <c r="CE40" s="21" t="str">
        <f>IF([1]!BANCO10[[#This Row],[SOLUÇÃO]]=CE$1,[1]!BANCO10[[#This Row],[STATUS DA ETAPA]],"")</f>
        <v/>
      </c>
      <c r="CF40" s="21" t="str">
        <f>IF([1]!BANCO10[[#This Row],[SOLUÇÃO]]=CF$1,[1]!BANCO10[[#This Row],[STATUS DA ETAPA]],"")</f>
        <v/>
      </c>
      <c r="CG40" s="21" t="str">
        <f>IF([1]!BANCO10[[#This Row],[SOLUÇÃO]]=CG$1,[1]!BANCO10[[#This Row],[STATUS DA ETAPA]],"")</f>
        <v/>
      </c>
      <c r="CH40" s="21" t="str">
        <f>IF([1]!BANCO10[[#This Row],[SOLUÇÃO]]=CH$1,[1]!BANCO10[[#This Row],[STATUS DA ETAPA]],"")</f>
        <v/>
      </c>
      <c r="CI40" s="21" t="str">
        <f>IF([1]!BANCO10[[#This Row],[SOLUÇÃO]]=CI$1,[1]!BANCO10[[#This Row],[STATUS DA ETAPA]],"")</f>
        <v/>
      </c>
      <c r="CJ40" s="21" t="str">
        <f>IF([1]!BANCO10[[#This Row],[SOLUÇÃO]]=CJ$1,[1]!BANCO10[[#This Row],[STATUS DA ETAPA]],"")</f>
        <v/>
      </c>
      <c r="CK40" s="21" t="str">
        <f>IF([1]!BANCO10[[#This Row],[SOLUÇÃO]]=CK$1,[1]!BANCO10[[#This Row],[STATUS DA ETAPA]],"")</f>
        <v/>
      </c>
      <c r="CL40" s="21" t="str">
        <f>IF([1]!BANCO10[[#This Row],[SOLUÇÃO]]=CL$1,[1]!BANCO10[[#This Row],[STATUS DA ETAPA]],"")</f>
        <v/>
      </c>
      <c r="CM40" s="21" t="str">
        <f>IF([1]!BANCO10[[#This Row],[SOLUÇÃO]]=CM$1,[1]!BANCO10[[#This Row],[STATUS DA ETAPA]],"")</f>
        <v/>
      </c>
      <c r="CN40" s="21" t="str">
        <f>IF([1]!BANCO10[[#This Row],[SOLUÇÃO]]=CN$1,[1]!BANCO10[[#This Row],[STATUS DA ETAPA]],"")</f>
        <v/>
      </c>
      <c r="CO40" s="21" t="str">
        <f>IF([1]!BANCO10[[#This Row],[SOLUÇÃO]]=CO$1,[1]!BANCO10[[#This Row],[STATUS DA ETAPA]],"")</f>
        <v/>
      </c>
      <c r="CP40" s="21" t="str">
        <f>IF([1]!BANCO10[[#This Row],[SOLUÇÃO]]=CP$1,[1]!BANCO10[[#This Row],[STATUS DA ETAPA]],"")</f>
        <v/>
      </c>
      <c r="CQ40" s="21" t="str">
        <f>IF([1]!BANCO10[[#This Row],[SOLUÇÃO]]=CQ$1,[1]!BANCO10[[#This Row],[STATUS DA ETAPA]],"")</f>
        <v/>
      </c>
      <c r="CR40" s="21" t="str">
        <f>IF([1]!BANCO10[[#This Row],[SOLUÇÃO]]=CR$1,[1]!BANCO10[[#This Row],[STATUS DA ETAPA]],"")</f>
        <v/>
      </c>
      <c r="CS40" s="21" t="str">
        <f>IF([1]!BANCO10[[#This Row],[SOLUÇÃO]]=CS$1,[1]!BANCO10[[#This Row],[STATUS DA ETAPA]],"")</f>
        <v/>
      </c>
      <c r="CT40" s="21" t="str">
        <f>IF([1]!BANCO10[[#This Row],[SOLUÇÃO]]=CT$1,[1]!BANCO10[[#This Row],[STATUS DA ETAPA]],"")</f>
        <v/>
      </c>
      <c r="CU40" s="21" t="str">
        <f>IF([1]!BANCO10[[#This Row],[SOLUÇÃO]]=CU$1,[1]!BANCO10[[#This Row],[STATUS DA ETAPA]],"")</f>
        <v/>
      </c>
      <c r="CV40" s="21" t="str">
        <f>IF([1]!BANCO10[[#This Row],[SOLUÇÃO]]=CV$1,[1]!BANCO10[[#This Row],[STATUS DA ETAPA]],"")</f>
        <v/>
      </c>
    </row>
    <row r="41" spans="1:100">
      <c r="A41" s="44" t="s">
        <v>1</v>
      </c>
      <c r="B41" s="44"/>
      <c r="C41" s="44" t="s">
        <v>1</v>
      </c>
      <c r="D41" s="44"/>
      <c r="E41" s="44" t="s">
        <v>1</v>
      </c>
      <c r="F41" s="44"/>
      <c r="G41" s="44" t="s">
        <v>1</v>
      </c>
      <c r="H41" s="44"/>
      <c r="I41" s="45" t="s">
        <v>1</v>
      </c>
      <c r="J41" s="46"/>
      <c r="K41" s="45" t="s">
        <v>1</v>
      </c>
      <c r="L41" s="33"/>
      <c r="M41" s="45" t="s">
        <v>1</v>
      </c>
      <c r="N41" s="33"/>
      <c r="O41" s="44" t="s">
        <v>2</v>
      </c>
      <c r="P41" s="44">
        <v>45091</v>
      </c>
      <c r="Q41" s="44" t="s">
        <v>2</v>
      </c>
      <c r="R41" s="44">
        <v>45384</v>
      </c>
      <c r="S41" s="44" t="s">
        <v>2</v>
      </c>
      <c r="T41" s="44"/>
      <c r="U41" s="44" t="s">
        <v>2</v>
      </c>
      <c r="V41" s="44"/>
      <c r="W41" s="44"/>
      <c r="X41" s="44"/>
      <c r="Y41" s="44"/>
      <c r="Z41" s="44"/>
      <c r="AA41" s="44" t="s">
        <v>1</v>
      </c>
      <c r="AB41" s="44"/>
      <c r="AC41" s="51">
        <v>45963</v>
      </c>
      <c r="AD41" s="50">
        <v>45963</v>
      </c>
      <c r="AE41" s="41" t="s">
        <v>1</v>
      </c>
      <c r="AF41" s="41" t="s">
        <v>1</v>
      </c>
      <c r="AG41" s="76" t="s">
        <v>5</v>
      </c>
      <c r="AH41" s="36" t="s">
        <v>0</v>
      </c>
      <c r="AI41" s="49">
        <v>0</v>
      </c>
      <c r="AJ41" s="36"/>
      <c r="AK41" s="10" t="s">
        <v>30</v>
      </c>
      <c r="AL41" s="36" t="s">
        <v>30</v>
      </c>
      <c r="AM41" s="36" t="s">
        <v>30</v>
      </c>
      <c r="AN41" s="35" t="s">
        <v>1</v>
      </c>
      <c r="AO41" s="35" t="s">
        <v>1</v>
      </c>
      <c r="AP41" s="35"/>
      <c r="AQ41" s="35" t="s">
        <v>1</v>
      </c>
      <c r="AR41" s="34" t="s">
        <v>1</v>
      </c>
      <c r="AS41" s="33"/>
      <c r="AT41" s="32"/>
      <c r="AU41" s="31"/>
      <c r="AV41" s="32"/>
      <c r="AW41" s="31"/>
      <c r="AX41" s="30" t="s">
        <v>0</v>
      </c>
      <c r="AY41" s="29"/>
      <c r="AZ41" s="28" t="s">
        <v>0</v>
      </c>
      <c r="BA41" s="27"/>
      <c r="BB41" s="74" t="s">
        <v>833</v>
      </c>
      <c r="BC41" s="25"/>
      <c r="BD41" s="24" t="s">
        <v>19</v>
      </c>
      <c r="BE41" s="24" t="s">
        <v>19</v>
      </c>
      <c r="BF41" s="24" t="s">
        <v>51</v>
      </c>
      <c r="BG41" s="24" t="s">
        <v>11</v>
      </c>
      <c r="BH41" s="130" t="s">
        <v>770</v>
      </c>
      <c r="BI41" s="24"/>
      <c r="BJ41" s="24" t="s">
        <v>11</v>
      </c>
      <c r="BK41" s="24" t="s">
        <v>11</v>
      </c>
      <c r="BL41" s="24">
        <v>45391</v>
      </c>
      <c r="BM41" s="24"/>
      <c r="BN41" s="24" t="s">
        <v>11</v>
      </c>
      <c r="BO41" s="24"/>
      <c r="BP41" s="24" t="s">
        <v>67</v>
      </c>
      <c r="BQ41" s="22">
        <f>YEAR([1]!BANCO10[[#This Row],[DATA INÍCIO]])</f>
        <v>2025</v>
      </c>
      <c r="BR41" s="22">
        <f>MONTH([1]!BANCO10[[#This Row],[DATA INÍCIO]])</f>
        <v>11</v>
      </c>
      <c r="BS41" s="129" t="e">
        <f>CONCATENATE(#REF!,#REF!)</f>
        <v>#REF!</v>
      </c>
      <c r="BT41" s="22"/>
      <c r="BU41" s="21" t="s">
        <v>30</v>
      </c>
      <c r="BV41" s="21" t="str">
        <f>IF([1]!BANCO10[[#This Row],[SOLUÇÃO]]=BV$1,[1]!BANCO10[[#This Row],[STATUS DA ETAPA]],"")</f>
        <v/>
      </c>
      <c r="BW41" s="21" t="str">
        <f>IF([1]!BANCO10[[#This Row],[SOLUÇÃO]]=BW$1,[1]!BANCO10[[#This Row],[STATUS DA ETAPA]],"")</f>
        <v/>
      </c>
      <c r="BX41" s="21" t="str">
        <f>IF([1]!BANCO10[[#This Row],[SOLUÇÃO]]=BX$1,[1]!BANCO10[[#This Row],[STATUS DA ETAPA]],"")</f>
        <v/>
      </c>
      <c r="BY41" s="21" t="str">
        <f>IF([1]!BANCO10[[#This Row],[SOLUÇÃO]]=BY$1,[1]!BANCO10[[#This Row],[STATUS DA ETAPA]],"")</f>
        <v/>
      </c>
      <c r="BZ41" s="21" t="str">
        <f>IF([1]!BANCO10[[#This Row],[SOLUÇÃO]]=BZ$1,[1]!BANCO10[[#This Row],[STATUS DA ETAPA]],"")</f>
        <v/>
      </c>
      <c r="CA41" s="21" t="str">
        <f>IF([1]!BANCO10[[#This Row],[SOLUÇÃO]]=CA$1,[1]!BANCO10[[#This Row],[STATUS DA ETAPA]],"")</f>
        <v>PROSPECÇÃO</v>
      </c>
      <c r="CB41" s="21" t="str">
        <f>IF([1]!BANCO10[[#This Row],[SOLUÇÃO]]=CB$1,[1]!BANCO10[[#This Row],[STATUS DA ETAPA]],"")</f>
        <v/>
      </c>
      <c r="CC41" s="21" t="str">
        <f>IF([1]!BANCO10[[#This Row],[SOLUÇÃO]]=CC$1,[1]!BANCO10[[#This Row],[STATUS DA ETAPA]],"")</f>
        <v/>
      </c>
      <c r="CD41" s="21" t="str">
        <f>IF([1]!BANCO10[[#This Row],[SOLUÇÃO]]=CD$1,[1]!BANCO10[[#This Row],[STATUS DA ETAPA]],"")</f>
        <v/>
      </c>
      <c r="CE41" s="21" t="str">
        <f>IF([1]!BANCO10[[#This Row],[SOLUÇÃO]]=CE$1,[1]!BANCO10[[#This Row],[STATUS DA ETAPA]],"")</f>
        <v/>
      </c>
      <c r="CF41" s="21" t="str">
        <f>IF([1]!BANCO10[[#This Row],[SOLUÇÃO]]=CF$1,[1]!BANCO10[[#This Row],[STATUS DA ETAPA]],"")</f>
        <v/>
      </c>
      <c r="CG41" s="21" t="str">
        <f>IF([1]!BANCO10[[#This Row],[SOLUÇÃO]]=CG$1,[1]!BANCO10[[#This Row],[STATUS DA ETAPA]],"")</f>
        <v/>
      </c>
      <c r="CH41" s="21" t="str">
        <f>IF([1]!BANCO10[[#This Row],[SOLUÇÃO]]=CH$1,[1]!BANCO10[[#This Row],[STATUS DA ETAPA]],"")</f>
        <v/>
      </c>
      <c r="CI41" s="21" t="str">
        <f>IF([1]!BANCO10[[#This Row],[SOLUÇÃO]]=CI$1,[1]!BANCO10[[#This Row],[STATUS DA ETAPA]],"")</f>
        <v/>
      </c>
      <c r="CJ41" s="21" t="str">
        <f>IF([1]!BANCO10[[#This Row],[SOLUÇÃO]]=CJ$1,[1]!BANCO10[[#This Row],[STATUS DA ETAPA]],"")</f>
        <v/>
      </c>
      <c r="CK41" s="21" t="str">
        <f>IF([1]!BANCO10[[#This Row],[SOLUÇÃO]]=CK$1,[1]!BANCO10[[#This Row],[STATUS DA ETAPA]],"")</f>
        <v/>
      </c>
      <c r="CL41" s="21" t="str">
        <f>IF([1]!BANCO10[[#This Row],[SOLUÇÃO]]=CL$1,[1]!BANCO10[[#This Row],[STATUS DA ETAPA]],"")</f>
        <v/>
      </c>
      <c r="CM41" s="21" t="str">
        <f>IF([1]!BANCO10[[#This Row],[SOLUÇÃO]]=CM$1,[1]!BANCO10[[#This Row],[STATUS DA ETAPA]],"")</f>
        <v/>
      </c>
      <c r="CN41" s="21" t="str">
        <f>IF([1]!BANCO10[[#This Row],[SOLUÇÃO]]=CN$1,[1]!BANCO10[[#This Row],[STATUS DA ETAPA]],"")</f>
        <v/>
      </c>
      <c r="CO41" s="21" t="str">
        <f>IF([1]!BANCO10[[#This Row],[SOLUÇÃO]]=CO$1,[1]!BANCO10[[#This Row],[STATUS DA ETAPA]],"")</f>
        <v/>
      </c>
      <c r="CP41" s="21" t="str">
        <f>IF([1]!BANCO10[[#This Row],[SOLUÇÃO]]=CP$1,[1]!BANCO10[[#This Row],[STATUS DA ETAPA]],"")</f>
        <v/>
      </c>
      <c r="CQ41" s="21" t="str">
        <f>IF([1]!BANCO10[[#This Row],[SOLUÇÃO]]=CQ$1,[1]!BANCO10[[#This Row],[STATUS DA ETAPA]],"")</f>
        <v/>
      </c>
      <c r="CR41" s="21" t="str">
        <f>IF([1]!BANCO10[[#This Row],[SOLUÇÃO]]=CR$1,[1]!BANCO10[[#This Row],[STATUS DA ETAPA]],"")</f>
        <v/>
      </c>
      <c r="CS41" s="21" t="str">
        <f>IF([1]!BANCO10[[#This Row],[SOLUÇÃO]]=CS$1,[1]!BANCO10[[#This Row],[STATUS DA ETAPA]],"")</f>
        <v/>
      </c>
      <c r="CT41" s="21" t="str">
        <f>IF([1]!BANCO10[[#This Row],[SOLUÇÃO]]=CT$1,[1]!BANCO10[[#This Row],[STATUS DA ETAPA]],"")</f>
        <v/>
      </c>
      <c r="CU41" s="21" t="str">
        <f>IF([1]!BANCO10[[#This Row],[SOLUÇÃO]]=CU$1,[1]!BANCO10[[#This Row],[STATUS DA ETAPA]],"")</f>
        <v/>
      </c>
      <c r="CV41" s="21" t="str">
        <f>IF([1]!BANCO10[[#This Row],[SOLUÇÃO]]=CV$1,[1]!BANCO10[[#This Row],[STATUS DA ETAPA]],"")</f>
        <v/>
      </c>
    </row>
    <row r="42" spans="1:100">
      <c r="A42" s="44" t="s">
        <v>1</v>
      </c>
      <c r="B42" s="44"/>
      <c r="C42" s="44" t="s">
        <v>1</v>
      </c>
      <c r="D42" s="44"/>
      <c r="E42" s="44" t="s">
        <v>1</v>
      </c>
      <c r="F42" s="44"/>
      <c r="G42" s="44" t="s">
        <v>1</v>
      </c>
      <c r="H42" s="44"/>
      <c r="I42" s="45" t="s">
        <v>1</v>
      </c>
      <c r="J42" s="46"/>
      <c r="K42" s="45" t="s">
        <v>1</v>
      </c>
      <c r="L42" s="33"/>
      <c r="M42" s="45" t="s">
        <v>1</v>
      </c>
      <c r="N42" s="33"/>
      <c r="O42" s="44" t="s">
        <v>1</v>
      </c>
      <c r="P42" s="44"/>
      <c r="Q42" s="44" t="s">
        <v>1</v>
      </c>
      <c r="R42" s="44"/>
      <c r="S42" s="44" t="s">
        <v>1</v>
      </c>
      <c r="T42" s="44"/>
      <c r="U42" s="44" t="s">
        <v>1</v>
      </c>
      <c r="V42" s="44"/>
      <c r="W42" s="44" t="s">
        <v>1</v>
      </c>
      <c r="X42" s="44"/>
      <c r="Y42" s="44" t="s">
        <v>1</v>
      </c>
      <c r="Z42" s="44"/>
      <c r="AA42" s="44" t="s">
        <v>1</v>
      </c>
      <c r="AB42" s="44"/>
      <c r="AC42" s="51">
        <v>45307</v>
      </c>
      <c r="AD42" s="83">
        <v>45307</v>
      </c>
      <c r="AE42" s="40" t="s">
        <v>1</v>
      </c>
      <c r="AF42" s="40" t="s">
        <v>1</v>
      </c>
      <c r="AG42" s="76" t="s">
        <v>5</v>
      </c>
      <c r="AH42" s="36" t="s">
        <v>1</v>
      </c>
      <c r="AI42" s="49">
        <v>0</v>
      </c>
      <c r="AJ42" s="36" t="s">
        <v>1</v>
      </c>
      <c r="AK42" s="10" t="s">
        <v>1</v>
      </c>
      <c r="AL42" s="36" t="s">
        <v>1</v>
      </c>
      <c r="AM42" s="36" t="s">
        <v>1</v>
      </c>
      <c r="AN42" s="35" t="s">
        <v>1</v>
      </c>
      <c r="AO42" s="35" t="s">
        <v>1</v>
      </c>
      <c r="AP42" s="35" t="s">
        <v>1</v>
      </c>
      <c r="AQ42" s="35" t="s">
        <v>1</v>
      </c>
      <c r="AR42" s="82" t="s">
        <v>1</v>
      </c>
      <c r="AS42" s="33"/>
      <c r="AT42" s="32" t="s">
        <v>1</v>
      </c>
      <c r="AU42" s="31"/>
      <c r="AV42" s="32" t="s">
        <v>1</v>
      </c>
      <c r="AW42" s="31"/>
      <c r="AX42" s="30" t="s">
        <v>1</v>
      </c>
      <c r="AY42" s="55"/>
      <c r="AZ42" s="30" t="s">
        <v>1</v>
      </c>
      <c r="BA42" s="55"/>
      <c r="BB42" s="74" t="s">
        <v>15</v>
      </c>
      <c r="BC42" s="25" t="s">
        <v>14</v>
      </c>
      <c r="BD42" s="24"/>
      <c r="BE42" s="24"/>
      <c r="BF42" s="24"/>
      <c r="BG42" s="24"/>
      <c r="BH42" s="130"/>
      <c r="BI42" s="24"/>
      <c r="BJ42" s="24" t="s">
        <v>11</v>
      </c>
      <c r="BK42" s="24" t="s">
        <v>11</v>
      </c>
      <c r="BL42" s="24" t="s">
        <v>11</v>
      </c>
      <c r="BM42" s="24" t="s">
        <v>11</v>
      </c>
      <c r="BN42" s="24" t="s">
        <v>11</v>
      </c>
      <c r="BO42" s="24" t="s">
        <v>11</v>
      </c>
      <c r="BP42" s="24" t="s">
        <v>11</v>
      </c>
      <c r="BQ42" s="22">
        <f>YEAR([1]!BANCO10[[#This Row],[DATA INÍCIO]])</f>
        <v>2024</v>
      </c>
      <c r="BR42" s="22">
        <f>MONTH([1]!BANCO10[[#This Row],[DATA INÍCIO]])</f>
        <v>1</v>
      </c>
      <c r="BS42" s="129" t="e">
        <f>CONCATENATE(#REF!,#REF!)</f>
        <v>#REF!</v>
      </c>
      <c r="BT42" s="22"/>
      <c r="BU42" s="21" t="s">
        <v>832</v>
      </c>
      <c r="BV42" s="21" t="str">
        <f>IF([1]!BANCO10[[#This Row],[SOLUÇÃO]]=BV$1,[1]!BANCO10[[#This Row],[STATUS DA ETAPA]],"")</f>
        <v>CONCLUÍDO</v>
      </c>
      <c r="BW42" s="21" t="str">
        <f>IF([1]!BANCO10[[#This Row],[SOLUÇÃO]]=BW$1,[1]!BANCO10[[#This Row],[STATUS DA ETAPA]],"")</f>
        <v/>
      </c>
      <c r="BX42" s="21" t="str">
        <f>IF([1]!BANCO10[[#This Row],[SOLUÇÃO]]=BX$1,[1]!BANCO10[[#This Row],[STATUS DA ETAPA]],"")</f>
        <v/>
      </c>
      <c r="BY42" s="21" t="str">
        <f>IF([1]!BANCO10[[#This Row],[SOLUÇÃO]]=BY$1,[1]!BANCO10[[#This Row],[STATUS DA ETAPA]],"")</f>
        <v/>
      </c>
      <c r="BZ42" s="21" t="str">
        <f>IF([1]!BANCO10[[#This Row],[SOLUÇÃO]]=BZ$1,[1]!BANCO10[[#This Row],[STATUS DA ETAPA]],"")</f>
        <v/>
      </c>
      <c r="CA42" s="21" t="str">
        <f>IF([1]!BANCO10[[#This Row],[SOLUÇÃO]]=CA$1,[1]!BANCO10[[#This Row],[STATUS DA ETAPA]],"")</f>
        <v/>
      </c>
      <c r="CB42" s="21" t="str">
        <f>IF([1]!BANCO10[[#This Row],[SOLUÇÃO]]=CB$1,[1]!BANCO10[[#This Row],[STATUS DA ETAPA]],"")</f>
        <v/>
      </c>
      <c r="CC42" s="21" t="str">
        <f>IF([1]!BANCO10[[#This Row],[SOLUÇÃO]]=CC$1,[1]!BANCO10[[#This Row],[STATUS DA ETAPA]],"")</f>
        <v/>
      </c>
      <c r="CD42" s="21" t="str">
        <f>IF([1]!BANCO10[[#This Row],[SOLUÇÃO]]=CD$1,[1]!BANCO10[[#This Row],[STATUS DA ETAPA]],"")</f>
        <v/>
      </c>
      <c r="CE42" s="21" t="str">
        <f>IF([1]!BANCO10[[#This Row],[SOLUÇÃO]]=CE$1,[1]!BANCO10[[#This Row],[STATUS DA ETAPA]],"")</f>
        <v/>
      </c>
      <c r="CF42" s="21" t="str">
        <f>IF([1]!BANCO10[[#This Row],[SOLUÇÃO]]=CF$1,[1]!BANCO10[[#This Row],[STATUS DA ETAPA]],"")</f>
        <v/>
      </c>
      <c r="CG42" s="21" t="str">
        <f>IF([1]!BANCO10[[#This Row],[SOLUÇÃO]]=CG$1,[1]!BANCO10[[#This Row],[STATUS DA ETAPA]],"")</f>
        <v/>
      </c>
      <c r="CH42" s="21" t="str">
        <f>IF([1]!BANCO10[[#This Row],[SOLUÇÃO]]=CH$1,[1]!BANCO10[[#This Row],[STATUS DA ETAPA]],"")</f>
        <v/>
      </c>
      <c r="CI42" s="21" t="str">
        <f>IF([1]!BANCO10[[#This Row],[SOLUÇÃO]]=CI$1,[1]!BANCO10[[#This Row],[STATUS DA ETAPA]],"")</f>
        <v/>
      </c>
      <c r="CJ42" s="21" t="str">
        <f>IF([1]!BANCO10[[#This Row],[SOLUÇÃO]]=CJ$1,[1]!BANCO10[[#This Row],[STATUS DA ETAPA]],"")</f>
        <v/>
      </c>
      <c r="CK42" s="21" t="str">
        <f>IF([1]!BANCO10[[#This Row],[SOLUÇÃO]]=CK$1,[1]!BANCO10[[#This Row],[STATUS DA ETAPA]],"")</f>
        <v/>
      </c>
      <c r="CL42" s="21" t="str">
        <f>IF([1]!BANCO10[[#This Row],[SOLUÇÃO]]=CL$1,[1]!BANCO10[[#This Row],[STATUS DA ETAPA]],"")</f>
        <v/>
      </c>
      <c r="CM42" s="21" t="str">
        <f>IF([1]!BANCO10[[#This Row],[SOLUÇÃO]]=CM$1,[1]!BANCO10[[#This Row],[STATUS DA ETAPA]],"")</f>
        <v/>
      </c>
      <c r="CN42" s="21" t="str">
        <f>IF([1]!BANCO10[[#This Row],[SOLUÇÃO]]=CN$1,[1]!BANCO10[[#This Row],[STATUS DA ETAPA]],"")</f>
        <v/>
      </c>
      <c r="CO42" s="21" t="str">
        <f>IF([1]!BANCO10[[#This Row],[SOLUÇÃO]]=CO$1,[1]!BANCO10[[#This Row],[STATUS DA ETAPA]],"")</f>
        <v/>
      </c>
      <c r="CP42" s="21" t="str">
        <f>IF([1]!BANCO10[[#This Row],[SOLUÇÃO]]=CP$1,[1]!BANCO10[[#This Row],[STATUS DA ETAPA]],"")</f>
        <v/>
      </c>
      <c r="CQ42" s="21" t="str">
        <f>IF([1]!BANCO10[[#This Row],[SOLUÇÃO]]=CQ$1,[1]!BANCO10[[#This Row],[STATUS DA ETAPA]],"")</f>
        <v/>
      </c>
      <c r="CR42" s="21" t="str">
        <f>IF([1]!BANCO10[[#This Row],[SOLUÇÃO]]=CR$1,[1]!BANCO10[[#This Row],[STATUS DA ETAPA]],"")</f>
        <v/>
      </c>
      <c r="CS42" s="21" t="str">
        <f>IF([1]!BANCO10[[#This Row],[SOLUÇÃO]]=CS$1,[1]!BANCO10[[#This Row],[STATUS DA ETAPA]],"")</f>
        <v/>
      </c>
      <c r="CT42" s="21" t="str">
        <f>IF([1]!BANCO10[[#This Row],[SOLUÇÃO]]=CT$1,[1]!BANCO10[[#This Row],[STATUS DA ETAPA]],"")</f>
        <v/>
      </c>
      <c r="CU42" s="21" t="str">
        <f>IF([1]!BANCO10[[#This Row],[SOLUÇÃO]]=CU$1,[1]!BANCO10[[#This Row],[STATUS DA ETAPA]],"")</f>
        <v/>
      </c>
      <c r="CV42" s="21" t="str">
        <f>IF([1]!BANCO10[[#This Row],[SOLUÇÃO]]=CV$1,[1]!BANCO10[[#This Row],[STATUS DA ETAPA]],"")</f>
        <v/>
      </c>
    </row>
    <row r="43" spans="1:100">
      <c r="A43" s="44" t="s">
        <v>1</v>
      </c>
      <c r="B43" s="44"/>
      <c r="C43" s="44" t="s">
        <v>1</v>
      </c>
      <c r="D43" s="44"/>
      <c r="E43" s="44" t="s">
        <v>1</v>
      </c>
      <c r="F43" s="44"/>
      <c r="G43" s="44" t="s">
        <v>1</v>
      </c>
      <c r="H43" s="44"/>
      <c r="I43" s="45" t="s">
        <v>1</v>
      </c>
      <c r="J43" s="46"/>
      <c r="K43" s="45" t="s">
        <v>1</v>
      </c>
      <c r="L43" s="33"/>
      <c r="M43" s="45" t="s">
        <v>1</v>
      </c>
      <c r="N43" s="33"/>
      <c r="O43" s="44" t="s">
        <v>1</v>
      </c>
      <c r="P43" s="44"/>
      <c r="Q43" s="44" t="s">
        <v>1</v>
      </c>
      <c r="R43" s="44"/>
      <c r="S43" s="44" t="s">
        <v>1</v>
      </c>
      <c r="T43" s="44"/>
      <c r="U43" s="44" t="s">
        <v>1</v>
      </c>
      <c r="V43" s="44"/>
      <c r="W43" s="44" t="s">
        <v>1</v>
      </c>
      <c r="X43" s="44"/>
      <c r="Y43" s="44" t="s">
        <v>1</v>
      </c>
      <c r="Z43" s="44"/>
      <c r="AA43" s="44" t="s">
        <v>1</v>
      </c>
      <c r="AB43" s="44"/>
      <c r="AC43" s="51">
        <v>45056</v>
      </c>
      <c r="AD43" s="83">
        <v>45056</v>
      </c>
      <c r="AE43" s="40" t="s">
        <v>1</v>
      </c>
      <c r="AF43" s="40" t="s">
        <v>1</v>
      </c>
      <c r="AG43" s="76" t="s">
        <v>5</v>
      </c>
      <c r="AH43" s="36" t="s">
        <v>0</v>
      </c>
      <c r="AI43" s="49">
        <v>0</v>
      </c>
      <c r="AJ43" s="36" t="s">
        <v>1</v>
      </c>
      <c r="AK43" s="10" t="s">
        <v>1</v>
      </c>
      <c r="AL43" s="36" t="s">
        <v>1</v>
      </c>
      <c r="AM43" s="36" t="s">
        <v>1</v>
      </c>
      <c r="AN43" s="35" t="s">
        <v>1</v>
      </c>
      <c r="AO43" s="35" t="s">
        <v>1</v>
      </c>
      <c r="AP43" s="35" t="s">
        <v>1</v>
      </c>
      <c r="AQ43" s="35" t="s">
        <v>1</v>
      </c>
      <c r="AR43" s="171" t="s">
        <v>1</v>
      </c>
      <c r="AS43" s="46"/>
      <c r="AT43" s="30"/>
      <c r="AU43" s="55"/>
      <c r="AV43" s="30"/>
      <c r="AW43" s="55"/>
      <c r="AX43" s="30" t="s">
        <v>1</v>
      </c>
      <c r="AY43" s="55"/>
      <c r="AZ43" s="30" t="s">
        <v>1</v>
      </c>
      <c r="BA43" s="55"/>
      <c r="BB43" s="74" t="s">
        <v>115</v>
      </c>
      <c r="BC43" s="25"/>
      <c r="BD43" s="24" t="s">
        <v>11</v>
      </c>
      <c r="BE43" s="24" t="s">
        <v>11</v>
      </c>
      <c r="BF43" s="24" t="s">
        <v>112</v>
      </c>
      <c r="BG43" s="24" t="s">
        <v>11</v>
      </c>
      <c r="BH43" s="130" t="s">
        <v>11</v>
      </c>
      <c r="BI43" s="24"/>
      <c r="BJ43" s="24" t="s">
        <v>11</v>
      </c>
      <c r="BK43" s="24" t="s">
        <v>11</v>
      </c>
      <c r="BL43" s="24" t="s">
        <v>11</v>
      </c>
      <c r="BM43" s="24" t="s">
        <v>11</v>
      </c>
      <c r="BN43" s="24" t="s">
        <v>11</v>
      </c>
      <c r="BO43" s="24" t="s">
        <v>11</v>
      </c>
      <c r="BP43" s="24" t="s">
        <v>11</v>
      </c>
      <c r="BQ43" s="22">
        <f>YEAR([1]!BANCO10[[#This Row],[DATA INÍCIO]])</f>
        <v>2023</v>
      </c>
      <c r="BR43" s="22">
        <f>MONTH([1]!BANCO10[[#This Row],[DATA INÍCIO]])</f>
        <v>5</v>
      </c>
      <c r="BS43" s="129" t="e">
        <f>CONCATENATE(#REF!,#REF!)</f>
        <v>#REF!</v>
      </c>
      <c r="BT43" s="22"/>
      <c r="BU43" s="21" t="s">
        <v>831</v>
      </c>
      <c r="BV43" s="21" t="str">
        <f>IF([1]!BANCO10[[#This Row],[SOLUÇÃO]]=BV$1,[1]!BANCO10[[#This Row],[STATUS DA ETAPA]],"")</f>
        <v>CONCLUÍDO</v>
      </c>
      <c r="BW43" s="21" t="str">
        <f>IF([1]!BANCO10[[#This Row],[SOLUÇÃO]]=BW$1,[1]!BANCO10[[#This Row],[STATUS DA ETAPA]],"")</f>
        <v/>
      </c>
      <c r="BX43" s="21" t="str">
        <f>IF([1]!BANCO10[[#This Row],[SOLUÇÃO]]=BX$1,[1]!BANCO10[[#This Row],[STATUS DA ETAPA]],"")</f>
        <v/>
      </c>
      <c r="BY43" s="21" t="str">
        <f>IF([1]!BANCO10[[#This Row],[SOLUÇÃO]]=BY$1,[1]!BANCO10[[#This Row],[STATUS DA ETAPA]],"")</f>
        <v/>
      </c>
      <c r="BZ43" s="21" t="str">
        <f>IF([1]!BANCO10[[#This Row],[SOLUÇÃO]]=BZ$1,[1]!BANCO10[[#This Row],[STATUS DA ETAPA]],"")</f>
        <v/>
      </c>
      <c r="CA43" s="21" t="str">
        <f>IF([1]!BANCO10[[#This Row],[SOLUÇÃO]]=CA$1,[1]!BANCO10[[#This Row],[STATUS DA ETAPA]],"")</f>
        <v/>
      </c>
      <c r="CB43" s="21" t="str">
        <f>IF([1]!BANCO10[[#This Row],[SOLUÇÃO]]=CB$1,[1]!BANCO10[[#This Row],[STATUS DA ETAPA]],"")</f>
        <v/>
      </c>
      <c r="CC43" s="21" t="str">
        <f>IF([1]!BANCO10[[#This Row],[SOLUÇÃO]]=CC$1,[1]!BANCO10[[#This Row],[STATUS DA ETAPA]],"")</f>
        <v/>
      </c>
      <c r="CD43" s="21" t="str">
        <f>IF([1]!BANCO10[[#This Row],[SOLUÇÃO]]=CD$1,[1]!BANCO10[[#This Row],[STATUS DA ETAPA]],"")</f>
        <v/>
      </c>
      <c r="CE43" s="21" t="str">
        <f>IF([1]!BANCO10[[#This Row],[SOLUÇÃO]]=CE$1,[1]!BANCO10[[#This Row],[STATUS DA ETAPA]],"")</f>
        <v/>
      </c>
      <c r="CF43" s="21" t="str">
        <f>IF([1]!BANCO10[[#This Row],[SOLUÇÃO]]=CF$1,[1]!BANCO10[[#This Row],[STATUS DA ETAPA]],"")</f>
        <v/>
      </c>
      <c r="CG43" s="21" t="str">
        <f>IF([1]!BANCO10[[#This Row],[SOLUÇÃO]]=CG$1,[1]!BANCO10[[#This Row],[STATUS DA ETAPA]],"")</f>
        <v/>
      </c>
      <c r="CH43" s="21" t="str">
        <f>IF([1]!BANCO10[[#This Row],[SOLUÇÃO]]=CH$1,[1]!BANCO10[[#This Row],[STATUS DA ETAPA]],"")</f>
        <v/>
      </c>
      <c r="CI43" s="21" t="str">
        <f>IF([1]!BANCO10[[#This Row],[SOLUÇÃO]]=CI$1,[1]!BANCO10[[#This Row],[STATUS DA ETAPA]],"")</f>
        <v/>
      </c>
      <c r="CJ43" s="21" t="str">
        <f>IF([1]!BANCO10[[#This Row],[SOLUÇÃO]]=CJ$1,[1]!BANCO10[[#This Row],[STATUS DA ETAPA]],"")</f>
        <v/>
      </c>
      <c r="CK43" s="21" t="str">
        <f>IF([1]!BANCO10[[#This Row],[SOLUÇÃO]]=CK$1,[1]!BANCO10[[#This Row],[STATUS DA ETAPA]],"")</f>
        <v/>
      </c>
      <c r="CL43" s="21" t="str">
        <f>IF([1]!BANCO10[[#This Row],[SOLUÇÃO]]=CL$1,[1]!BANCO10[[#This Row],[STATUS DA ETAPA]],"")</f>
        <v/>
      </c>
      <c r="CM43" s="21" t="str">
        <f>IF([1]!BANCO10[[#This Row],[SOLUÇÃO]]=CM$1,[1]!BANCO10[[#This Row],[STATUS DA ETAPA]],"")</f>
        <v/>
      </c>
      <c r="CN43" s="21" t="str">
        <f>IF([1]!BANCO10[[#This Row],[SOLUÇÃO]]=CN$1,[1]!BANCO10[[#This Row],[STATUS DA ETAPA]],"")</f>
        <v/>
      </c>
      <c r="CO43" s="21" t="str">
        <f>IF([1]!BANCO10[[#This Row],[SOLUÇÃO]]=CO$1,[1]!BANCO10[[#This Row],[STATUS DA ETAPA]],"")</f>
        <v/>
      </c>
      <c r="CP43" s="21" t="str">
        <f>IF([1]!BANCO10[[#This Row],[SOLUÇÃO]]=CP$1,[1]!BANCO10[[#This Row],[STATUS DA ETAPA]],"")</f>
        <v/>
      </c>
      <c r="CQ43" s="21" t="str">
        <f>IF([1]!BANCO10[[#This Row],[SOLUÇÃO]]=CQ$1,[1]!BANCO10[[#This Row],[STATUS DA ETAPA]],"")</f>
        <v/>
      </c>
      <c r="CR43" s="21" t="str">
        <f>IF([1]!BANCO10[[#This Row],[SOLUÇÃO]]=CR$1,[1]!BANCO10[[#This Row],[STATUS DA ETAPA]],"")</f>
        <v/>
      </c>
      <c r="CS43" s="21" t="str">
        <f>IF([1]!BANCO10[[#This Row],[SOLUÇÃO]]=CS$1,[1]!BANCO10[[#This Row],[STATUS DA ETAPA]],"")</f>
        <v/>
      </c>
      <c r="CT43" s="21" t="str">
        <f>IF([1]!BANCO10[[#This Row],[SOLUÇÃO]]=CT$1,[1]!BANCO10[[#This Row],[STATUS DA ETAPA]],"")</f>
        <v/>
      </c>
      <c r="CU43" s="21" t="str">
        <f>IF([1]!BANCO10[[#This Row],[SOLUÇÃO]]=CU$1,[1]!BANCO10[[#This Row],[STATUS DA ETAPA]],"")</f>
        <v/>
      </c>
      <c r="CV43" s="21" t="str">
        <f>IF([1]!BANCO10[[#This Row],[SOLUÇÃO]]=CV$1,[1]!BANCO10[[#This Row],[STATUS DA ETAPA]],"")</f>
        <v/>
      </c>
    </row>
    <row r="44" spans="1:100">
      <c r="A44" s="44" t="s">
        <v>1</v>
      </c>
      <c r="B44" s="44"/>
      <c r="C44" s="44" t="s">
        <v>1</v>
      </c>
      <c r="D44" s="44"/>
      <c r="E44" s="44" t="s">
        <v>1</v>
      </c>
      <c r="F44" s="44"/>
      <c r="G44" s="44" t="s">
        <v>1</v>
      </c>
      <c r="H44" s="44"/>
      <c r="I44" s="45" t="s">
        <v>1</v>
      </c>
      <c r="J44" s="46"/>
      <c r="K44" s="45" t="s">
        <v>1</v>
      </c>
      <c r="L44" s="33"/>
      <c r="M44" s="45" t="s">
        <v>1</v>
      </c>
      <c r="N44" s="33"/>
      <c r="O44" s="44" t="s">
        <v>2</v>
      </c>
      <c r="P44" s="44">
        <v>45271</v>
      </c>
      <c r="Q44" s="44" t="s">
        <v>0</v>
      </c>
      <c r="R44" s="44"/>
      <c r="S44" s="44" t="s">
        <v>1</v>
      </c>
      <c r="T44" s="44"/>
      <c r="U44" s="44" t="s">
        <v>1</v>
      </c>
      <c r="V44" s="44"/>
      <c r="W44" s="44" t="s">
        <v>1</v>
      </c>
      <c r="X44" s="44"/>
      <c r="Y44" s="44" t="s">
        <v>1</v>
      </c>
      <c r="Z44" s="44"/>
      <c r="AA44" s="44" t="s">
        <v>1</v>
      </c>
      <c r="AB44" s="44"/>
      <c r="AC44" s="51">
        <v>45271</v>
      </c>
      <c r="AD44" s="83">
        <v>45271</v>
      </c>
      <c r="AE44" s="40" t="s">
        <v>1</v>
      </c>
      <c r="AF44" s="40" t="s">
        <v>1</v>
      </c>
      <c r="AG44" s="76" t="s">
        <v>5</v>
      </c>
      <c r="AH44" s="36" t="s">
        <v>0</v>
      </c>
      <c r="AI44" s="49">
        <v>0</v>
      </c>
      <c r="AJ44" s="36" t="s">
        <v>1</v>
      </c>
      <c r="AK44" s="10" t="s">
        <v>1</v>
      </c>
      <c r="AL44" s="36" t="s">
        <v>1</v>
      </c>
      <c r="AM44" s="36" t="s">
        <v>1</v>
      </c>
      <c r="AN44" s="35" t="s">
        <v>1</v>
      </c>
      <c r="AO44" s="35" t="s">
        <v>1</v>
      </c>
      <c r="AP44" s="35" t="s">
        <v>1</v>
      </c>
      <c r="AQ44" s="35" t="s">
        <v>1</v>
      </c>
      <c r="AR44" s="171" t="s">
        <v>1</v>
      </c>
      <c r="AS44" s="46"/>
      <c r="AT44" s="30"/>
      <c r="AU44" s="55"/>
      <c r="AV44" s="30"/>
      <c r="AW44" s="55"/>
      <c r="AX44" s="30" t="s">
        <v>1</v>
      </c>
      <c r="AY44" s="55"/>
      <c r="AZ44" s="30" t="s">
        <v>1</v>
      </c>
      <c r="BA44" s="55"/>
      <c r="BB44" s="74"/>
      <c r="BC44" s="25"/>
      <c r="BD44" s="24" t="s">
        <v>11</v>
      </c>
      <c r="BE44" s="24" t="s">
        <v>11</v>
      </c>
      <c r="BF44" s="24" t="s">
        <v>112</v>
      </c>
      <c r="BG44" s="24"/>
      <c r="BH44" s="130"/>
      <c r="BI44" s="24"/>
      <c r="BJ44" s="24" t="s">
        <v>11</v>
      </c>
      <c r="BK44" s="24" t="s">
        <v>11</v>
      </c>
      <c r="BL44" s="24" t="s">
        <v>11</v>
      </c>
      <c r="BM44" s="24" t="s">
        <v>11</v>
      </c>
      <c r="BN44" s="24" t="s">
        <v>11</v>
      </c>
      <c r="BO44" s="24" t="s">
        <v>11</v>
      </c>
      <c r="BP44" s="24" t="s">
        <v>11</v>
      </c>
      <c r="BQ44" s="22">
        <f>YEAR([1]!BANCO10[[#This Row],[DATA INÍCIO]])</f>
        <v>2023</v>
      </c>
      <c r="BR44" s="22">
        <f>MONTH([1]!BANCO10[[#This Row],[DATA INÍCIO]])</f>
        <v>12</v>
      </c>
      <c r="BS44" s="129" t="e">
        <f>CONCATENATE(#REF!,#REF!)</f>
        <v>#REF!</v>
      </c>
      <c r="BT44" s="22"/>
      <c r="BU44" s="21" t="s">
        <v>830</v>
      </c>
      <c r="BV44" s="21" t="str">
        <f>IF([1]!BANCO10[[#This Row],[SOLUÇÃO]]=BV$1,[1]!BANCO10[[#This Row],[STATUS DA ETAPA]],"")</f>
        <v>CONCLUÍDO</v>
      </c>
      <c r="BW44" s="21" t="str">
        <f>IF([1]!BANCO10[[#This Row],[SOLUÇÃO]]=BW$1,[1]!BANCO10[[#This Row],[STATUS DA ETAPA]],"")</f>
        <v/>
      </c>
      <c r="BX44" s="21" t="str">
        <f>IF([1]!BANCO10[[#This Row],[SOLUÇÃO]]=BX$1,[1]!BANCO10[[#This Row],[STATUS DA ETAPA]],"")</f>
        <v/>
      </c>
      <c r="BY44" s="21" t="str">
        <f>IF([1]!BANCO10[[#This Row],[SOLUÇÃO]]=BY$1,[1]!BANCO10[[#This Row],[STATUS DA ETAPA]],"")</f>
        <v/>
      </c>
      <c r="BZ44" s="21" t="str">
        <f>IF([1]!BANCO10[[#This Row],[SOLUÇÃO]]=BZ$1,[1]!BANCO10[[#This Row],[STATUS DA ETAPA]],"")</f>
        <v/>
      </c>
      <c r="CA44" s="21" t="str">
        <f>IF([1]!BANCO10[[#This Row],[SOLUÇÃO]]=CA$1,[1]!BANCO10[[#This Row],[STATUS DA ETAPA]],"")</f>
        <v/>
      </c>
      <c r="CB44" s="21" t="str">
        <f>IF([1]!BANCO10[[#This Row],[SOLUÇÃO]]=CB$1,[1]!BANCO10[[#This Row],[STATUS DA ETAPA]],"")</f>
        <v/>
      </c>
      <c r="CC44" s="21" t="str">
        <f>IF([1]!BANCO10[[#This Row],[SOLUÇÃO]]=CC$1,[1]!BANCO10[[#This Row],[STATUS DA ETAPA]],"")</f>
        <v/>
      </c>
      <c r="CD44" s="21" t="str">
        <f>IF([1]!BANCO10[[#This Row],[SOLUÇÃO]]=CD$1,[1]!BANCO10[[#This Row],[STATUS DA ETAPA]],"")</f>
        <v/>
      </c>
      <c r="CE44" s="21" t="str">
        <f>IF([1]!BANCO10[[#This Row],[SOLUÇÃO]]=CE$1,[1]!BANCO10[[#This Row],[STATUS DA ETAPA]],"")</f>
        <v/>
      </c>
      <c r="CF44" s="21" t="str">
        <f>IF([1]!BANCO10[[#This Row],[SOLUÇÃO]]=CF$1,[1]!BANCO10[[#This Row],[STATUS DA ETAPA]],"")</f>
        <v/>
      </c>
      <c r="CG44" s="21" t="str">
        <f>IF([1]!BANCO10[[#This Row],[SOLUÇÃO]]=CG$1,[1]!BANCO10[[#This Row],[STATUS DA ETAPA]],"")</f>
        <v/>
      </c>
      <c r="CH44" s="21" t="str">
        <f>IF([1]!BANCO10[[#This Row],[SOLUÇÃO]]=CH$1,[1]!BANCO10[[#This Row],[STATUS DA ETAPA]],"")</f>
        <v/>
      </c>
      <c r="CI44" s="21" t="str">
        <f>IF([1]!BANCO10[[#This Row],[SOLUÇÃO]]=CI$1,[1]!BANCO10[[#This Row],[STATUS DA ETAPA]],"")</f>
        <v/>
      </c>
      <c r="CJ44" s="21" t="str">
        <f>IF([1]!BANCO10[[#This Row],[SOLUÇÃO]]=CJ$1,[1]!BANCO10[[#This Row],[STATUS DA ETAPA]],"")</f>
        <v/>
      </c>
      <c r="CK44" s="21" t="str">
        <f>IF([1]!BANCO10[[#This Row],[SOLUÇÃO]]=CK$1,[1]!BANCO10[[#This Row],[STATUS DA ETAPA]],"")</f>
        <v/>
      </c>
      <c r="CL44" s="21" t="str">
        <f>IF([1]!BANCO10[[#This Row],[SOLUÇÃO]]=CL$1,[1]!BANCO10[[#This Row],[STATUS DA ETAPA]],"")</f>
        <v/>
      </c>
      <c r="CM44" s="21" t="str">
        <f>IF([1]!BANCO10[[#This Row],[SOLUÇÃO]]=CM$1,[1]!BANCO10[[#This Row],[STATUS DA ETAPA]],"")</f>
        <v/>
      </c>
      <c r="CN44" s="21" t="str">
        <f>IF([1]!BANCO10[[#This Row],[SOLUÇÃO]]=CN$1,[1]!BANCO10[[#This Row],[STATUS DA ETAPA]],"")</f>
        <v/>
      </c>
      <c r="CO44" s="21" t="str">
        <f>IF([1]!BANCO10[[#This Row],[SOLUÇÃO]]=CO$1,[1]!BANCO10[[#This Row],[STATUS DA ETAPA]],"")</f>
        <v/>
      </c>
      <c r="CP44" s="21" t="str">
        <f>IF([1]!BANCO10[[#This Row],[SOLUÇÃO]]=CP$1,[1]!BANCO10[[#This Row],[STATUS DA ETAPA]],"")</f>
        <v/>
      </c>
      <c r="CQ44" s="21" t="str">
        <f>IF([1]!BANCO10[[#This Row],[SOLUÇÃO]]=CQ$1,[1]!BANCO10[[#This Row],[STATUS DA ETAPA]],"")</f>
        <v/>
      </c>
      <c r="CR44" s="21" t="str">
        <f>IF([1]!BANCO10[[#This Row],[SOLUÇÃO]]=CR$1,[1]!BANCO10[[#This Row],[STATUS DA ETAPA]],"")</f>
        <v/>
      </c>
      <c r="CS44" s="21" t="str">
        <f>IF([1]!BANCO10[[#This Row],[SOLUÇÃO]]=CS$1,[1]!BANCO10[[#This Row],[STATUS DA ETAPA]],"")</f>
        <v/>
      </c>
      <c r="CT44" s="21" t="str">
        <f>IF([1]!BANCO10[[#This Row],[SOLUÇÃO]]=CT$1,[1]!BANCO10[[#This Row],[STATUS DA ETAPA]],"")</f>
        <v/>
      </c>
      <c r="CU44" s="21" t="str">
        <f>IF([1]!BANCO10[[#This Row],[SOLUÇÃO]]=CU$1,[1]!BANCO10[[#This Row],[STATUS DA ETAPA]],"")</f>
        <v/>
      </c>
      <c r="CV44" s="21" t="str">
        <f>IF([1]!BANCO10[[#This Row],[SOLUÇÃO]]=CV$1,[1]!BANCO10[[#This Row],[STATUS DA ETAPA]],"")</f>
        <v/>
      </c>
    </row>
    <row r="45" spans="1:100">
      <c r="A45" s="44" t="s">
        <v>1</v>
      </c>
      <c r="B45" s="44"/>
      <c r="C45" s="44" t="s">
        <v>1</v>
      </c>
      <c r="D45" s="44"/>
      <c r="E45" s="44" t="s">
        <v>1</v>
      </c>
      <c r="F45" s="44"/>
      <c r="G45" s="44" t="s">
        <v>1</v>
      </c>
      <c r="H45" s="44"/>
      <c r="I45" s="45" t="s">
        <v>1</v>
      </c>
      <c r="J45" s="46"/>
      <c r="K45" s="45" t="s">
        <v>1</v>
      </c>
      <c r="L45" s="33"/>
      <c r="M45" s="45" t="s">
        <v>1</v>
      </c>
      <c r="N45" s="33"/>
      <c r="O45" s="44" t="s">
        <v>1</v>
      </c>
      <c r="P45" s="44"/>
      <c r="Q45" s="44" t="s">
        <v>1</v>
      </c>
      <c r="R45" s="44"/>
      <c r="S45" s="44" t="s">
        <v>1</v>
      </c>
      <c r="T45" s="44"/>
      <c r="U45" s="44" t="s">
        <v>1</v>
      </c>
      <c r="V45" s="44"/>
      <c r="W45" s="44" t="s">
        <v>1</v>
      </c>
      <c r="X45" s="44"/>
      <c r="Y45" s="44" t="s">
        <v>1</v>
      </c>
      <c r="Z45" s="44"/>
      <c r="AA45" s="44" t="s">
        <v>1</v>
      </c>
      <c r="AB45" s="44"/>
      <c r="AC45" s="51">
        <v>45421</v>
      </c>
      <c r="AD45" s="50">
        <v>45625</v>
      </c>
      <c r="AE45" s="40" t="s">
        <v>2</v>
      </c>
      <c r="AF45" s="41" t="s">
        <v>2</v>
      </c>
      <c r="AG45" s="76" t="s">
        <v>5</v>
      </c>
      <c r="AH45" s="36" t="s">
        <v>0</v>
      </c>
      <c r="AI45" s="49">
        <v>30000</v>
      </c>
      <c r="AJ45" s="36" t="s">
        <v>6</v>
      </c>
      <c r="AK45" s="10" t="s">
        <v>1</v>
      </c>
      <c r="AL45" s="36" t="s">
        <v>1</v>
      </c>
      <c r="AM45" s="36" t="s">
        <v>1</v>
      </c>
      <c r="AN45" s="35" t="s">
        <v>1</v>
      </c>
      <c r="AO45" s="35" t="s">
        <v>1</v>
      </c>
      <c r="AP45" s="35" t="s">
        <v>1</v>
      </c>
      <c r="AQ45" s="35" t="s">
        <v>1</v>
      </c>
      <c r="AR45" s="33" t="s">
        <v>1</v>
      </c>
      <c r="AS45" s="33"/>
      <c r="AT45" s="30"/>
      <c r="AU45" s="55"/>
      <c r="AV45" s="30"/>
      <c r="AW45" s="55"/>
      <c r="AX45" s="30" t="s">
        <v>2</v>
      </c>
      <c r="AY45" s="55">
        <v>45649</v>
      </c>
      <c r="AZ45" s="30" t="s">
        <v>0</v>
      </c>
      <c r="BA45" s="55"/>
      <c r="BB45" s="74"/>
      <c r="BC45" s="25"/>
      <c r="BD45" s="24" t="s">
        <v>11</v>
      </c>
      <c r="BE45" s="24" t="s">
        <v>11</v>
      </c>
      <c r="BF45" s="24" t="s">
        <v>112</v>
      </c>
      <c r="BG45" s="24"/>
      <c r="BH45" s="130"/>
      <c r="BI45" s="24"/>
      <c r="BJ45" s="24" t="s">
        <v>11</v>
      </c>
      <c r="BK45" s="24" t="s">
        <v>11</v>
      </c>
      <c r="BL45" s="24">
        <v>45389</v>
      </c>
      <c r="BM45" s="24" t="s">
        <v>11</v>
      </c>
      <c r="BN45" s="24" t="s">
        <v>11</v>
      </c>
      <c r="BO45" s="24" t="s">
        <v>11</v>
      </c>
      <c r="BP45" s="24" t="s">
        <v>108</v>
      </c>
      <c r="BQ45" s="22">
        <f>YEAR([1]!BANCO10[[#This Row],[DATA INÍCIO]])</f>
        <v>2024</v>
      </c>
      <c r="BR45" s="22">
        <f>MONTH([1]!BANCO10[[#This Row],[DATA INÍCIO]])</f>
        <v>5</v>
      </c>
      <c r="BS45" s="129" t="e">
        <f>CONCATENATE(#REF!,#REF!)</f>
        <v>#REF!</v>
      </c>
      <c r="BT45" s="22"/>
      <c r="BU45" s="21" t="s">
        <v>828</v>
      </c>
      <c r="BV45" s="21" t="str">
        <f>IF([1]!BANCO10[[#This Row],[SOLUÇÃO]]=BV$1,[1]!BANCO10[[#This Row],[STATUS DA ETAPA]],"")</f>
        <v/>
      </c>
      <c r="BW45" s="21" t="str">
        <f>IF([1]!BANCO10[[#This Row],[SOLUÇÃO]]=BW$1,[1]!BANCO10[[#This Row],[STATUS DA ETAPA]],"")</f>
        <v/>
      </c>
      <c r="BX45" s="21" t="str">
        <f>IF([1]!BANCO10[[#This Row],[SOLUÇÃO]]=BX$1,[1]!BANCO10[[#This Row],[STATUS DA ETAPA]],"")</f>
        <v/>
      </c>
      <c r="BY45" s="21" t="str">
        <f>IF([1]!BANCO10[[#This Row],[SOLUÇÃO]]=BY$1,[1]!BANCO10[[#This Row],[STATUS DA ETAPA]],"")</f>
        <v/>
      </c>
      <c r="BZ45" s="21" t="str">
        <f>IF([1]!BANCO10[[#This Row],[SOLUÇÃO]]=BZ$1,[1]!BANCO10[[#This Row],[STATUS DA ETAPA]],"")</f>
        <v/>
      </c>
      <c r="CA45" s="21" t="str">
        <f>IF([1]!BANCO10[[#This Row],[SOLUÇÃO]]=CA$1,[1]!BANCO10[[#This Row],[STATUS DA ETAPA]],"")</f>
        <v/>
      </c>
      <c r="CB45" s="21" t="str">
        <f>IF([1]!BANCO10[[#This Row],[SOLUÇÃO]]=CB$1,[1]!BANCO10[[#This Row],[STATUS DA ETAPA]],"")</f>
        <v>CONCLUÍDO</v>
      </c>
      <c r="CC45" s="21" t="str">
        <f>IF([1]!BANCO10[[#This Row],[SOLUÇÃO]]=CC$1,[1]!BANCO10[[#This Row],[STATUS DA ETAPA]],"")</f>
        <v/>
      </c>
      <c r="CD45" s="21" t="str">
        <f>IF([1]!BANCO10[[#This Row],[SOLUÇÃO]]=CD$1,[1]!BANCO10[[#This Row],[STATUS DA ETAPA]],"")</f>
        <v/>
      </c>
      <c r="CE45" s="21" t="str">
        <f>IF([1]!BANCO10[[#This Row],[SOLUÇÃO]]=CE$1,[1]!BANCO10[[#This Row],[STATUS DA ETAPA]],"")</f>
        <v/>
      </c>
      <c r="CF45" s="21" t="str">
        <f>IF([1]!BANCO10[[#This Row],[SOLUÇÃO]]=CF$1,[1]!BANCO10[[#This Row],[STATUS DA ETAPA]],"")</f>
        <v/>
      </c>
      <c r="CG45" s="21" t="str">
        <f>IF([1]!BANCO10[[#This Row],[SOLUÇÃO]]=CG$1,[1]!BANCO10[[#This Row],[STATUS DA ETAPA]],"")</f>
        <v/>
      </c>
      <c r="CH45" s="21" t="str">
        <f>IF([1]!BANCO10[[#This Row],[SOLUÇÃO]]=CH$1,[1]!BANCO10[[#This Row],[STATUS DA ETAPA]],"")</f>
        <v/>
      </c>
      <c r="CI45" s="21" t="str">
        <f>IF([1]!BANCO10[[#This Row],[SOLUÇÃO]]=CI$1,[1]!BANCO10[[#This Row],[STATUS DA ETAPA]],"")</f>
        <v/>
      </c>
      <c r="CJ45" s="21" t="str">
        <f>IF([1]!BANCO10[[#This Row],[SOLUÇÃO]]=CJ$1,[1]!BANCO10[[#This Row],[STATUS DA ETAPA]],"")</f>
        <v/>
      </c>
      <c r="CK45" s="21" t="str">
        <f>IF([1]!BANCO10[[#This Row],[SOLUÇÃO]]=CK$1,[1]!BANCO10[[#This Row],[STATUS DA ETAPA]],"")</f>
        <v/>
      </c>
      <c r="CL45" s="21" t="str">
        <f>IF([1]!BANCO10[[#This Row],[SOLUÇÃO]]=CL$1,[1]!BANCO10[[#This Row],[STATUS DA ETAPA]],"")</f>
        <v/>
      </c>
      <c r="CM45" s="21" t="str">
        <f>IF([1]!BANCO10[[#This Row],[SOLUÇÃO]]=CM$1,[1]!BANCO10[[#This Row],[STATUS DA ETAPA]],"")</f>
        <v/>
      </c>
      <c r="CN45" s="21" t="str">
        <f>IF([1]!BANCO10[[#This Row],[SOLUÇÃO]]=CN$1,[1]!BANCO10[[#This Row],[STATUS DA ETAPA]],"")</f>
        <v/>
      </c>
      <c r="CO45" s="21" t="str">
        <f>IF([1]!BANCO10[[#This Row],[SOLUÇÃO]]=CO$1,[1]!BANCO10[[#This Row],[STATUS DA ETAPA]],"")</f>
        <v/>
      </c>
      <c r="CP45" s="21" t="str">
        <f>IF([1]!BANCO10[[#This Row],[SOLUÇÃO]]=CP$1,[1]!BANCO10[[#This Row],[STATUS DA ETAPA]],"")</f>
        <v/>
      </c>
      <c r="CQ45" s="21" t="str">
        <f>IF([1]!BANCO10[[#This Row],[SOLUÇÃO]]=CQ$1,[1]!BANCO10[[#This Row],[STATUS DA ETAPA]],"")</f>
        <v/>
      </c>
      <c r="CR45" s="21" t="str">
        <f>IF([1]!BANCO10[[#This Row],[SOLUÇÃO]]=CR$1,[1]!BANCO10[[#This Row],[STATUS DA ETAPA]],"")</f>
        <v/>
      </c>
      <c r="CS45" s="21" t="str">
        <f>IF([1]!BANCO10[[#This Row],[SOLUÇÃO]]=CS$1,[1]!BANCO10[[#This Row],[STATUS DA ETAPA]],"")</f>
        <v/>
      </c>
      <c r="CT45" s="21" t="str">
        <f>IF([1]!BANCO10[[#This Row],[SOLUÇÃO]]=CT$1,[1]!BANCO10[[#This Row],[STATUS DA ETAPA]],"")</f>
        <v/>
      </c>
      <c r="CU45" s="21" t="str">
        <f>IF([1]!BANCO10[[#This Row],[SOLUÇÃO]]=CU$1,[1]!BANCO10[[#This Row],[STATUS DA ETAPA]],"")</f>
        <v/>
      </c>
      <c r="CV45" s="21" t="str">
        <f>IF([1]!BANCO10[[#This Row],[SOLUÇÃO]]=CV$1,[1]!BANCO10[[#This Row],[STATUS DA ETAPA]],"")</f>
        <v/>
      </c>
    </row>
    <row r="46" spans="1:100">
      <c r="A46" s="44" t="s">
        <v>1</v>
      </c>
      <c r="B46" s="44"/>
      <c r="C46" s="44" t="s">
        <v>1</v>
      </c>
      <c r="D46" s="44"/>
      <c r="E46" s="44" t="s">
        <v>1</v>
      </c>
      <c r="F46" s="44"/>
      <c r="G46" s="44" t="s">
        <v>1</v>
      </c>
      <c r="H46" s="44"/>
      <c r="I46" s="45" t="s">
        <v>1</v>
      </c>
      <c r="J46" s="46"/>
      <c r="K46" s="45" t="s">
        <v>1</v>
      </c>
      <c r="L46" s="33"/>
      <c r="M46" s="45" t="s">
        <v>1</v>
      </c>
      <c r="N46" s="33"/>
      <c r="O46" s="44" t="s">
        <v>1</v>
      </c>
      <c r="P46" s="44"/>
      <c r="Q46" s="44" t="s">
        <v>1</v>
      </c>
      <c r="R46" s="44"/>
      <c r="S46" s="44" t="s">
        <v>1</v>
      </c>
      <c r="T46" s="44"/>
      <c r="U46" s="44" t="s">
        <v>1</v>
      </c>
      <c r="V46" s="44"/>
      <c r="W46" s="44" t="s">
        <v>1</v>
      </c>
      <c r="X46" s="44"/>
      <c r="Y46" s="44" t="s">
        <v>1</v>
      </c>
      <c r="Z46" s="44"/>
      <c r="AA46" s="44" t="s">
        <v>1</v>
      </c>
      <c r="AB46" s="44"/>
      <c r="AC46" s="51">
        <v>45421</v>
      </c>
      <c r="AD46" s="83">
        <v>45625</v>
      </c>
      <c r="AE46" s="40" t="s">
        <v>2</v>
      </c>
      <c r="AF46" s="41" t="s">
        <v>2</v>
      </c>
      <c r="AG46" s="76" t="s">
        <v>5</v>
      </c>
      <c r="AH46" s="36" t="s">
        <v>0</v>
      </c>
      <c r="AI46" s="49">
        <v>30000</v>
      </c>
      <c r="AJ46" s="36" t="s">
        <v>6</v>
      </c>
      <c r="AK46" s="10" t="s">
        <v>1</v>
      </c>
      <c r="AL46" s="36" t="s">
        <v>1</v>
      </c>
      <c r="AM46" s="36" t="s">
        <v>1</v>
      </c>
      <c r="AN46" s="35" t="s">
        <v>1</v>
      </c>
      <c r="AO46" s="35" t="s">
        <v>1</v>
      </c>
      <c r="AP46" s="35" t="s">
        <v>1</v>
      </c>
      <c r="AQ46" s="35" t="s">
        <v>1</v>
      </c>
      <c r="AR46" s="45" t="s">
        <v>1</v>
      </c>
      <c r="AS46" s="46"/>
      <c r="AT46" s="30"/>
      <c r="AU46" s="55"/>
      <c r="AV46" s="30"/>
      <c r="AW46" s="55"/>
      <c r="AX46" s="30" t="s">
        <v>2</v>
      </c>
      <c r="AY46" s="55">
        <v>45649</v>
      </c>
      <c r="AZ46" s="30" t="s">
        <v>0</v>
      </c>
      <c r="BA46" s="55"/>
      <c r="BB46" s="74" t="s">
        <v>829</v>
      </c>
      <c r="BC46" s="25"/>
      <c r="BD46" s="24" t="s">
        <v>11</v>
      </c>
      <c r="BE46" s="24" t="s">
        <v>11</v>
      </c>
      <c r="BF46" s="24" t="s">
        <v>112</v>
      </c>
      <c r="BG46" s="24"/>
      <c r="BH46" s="130"/>
      <c r="BI46" s="24"/>
      <c r="BJ46" s="24" t="s">
        <v>11</v>
      </c>
      <c r="BK46" s="24" t="s">
        <v>11</v>
      </c>
      <c r="BL46" s="24">
        <v>45389</v>
      </c>
      <c r="BM46" s="24" t="s">
        <v>11</v>
      </c>
      <c r="BN46" s="24" t="s">
        <v>11</v>
      </c>
      <c r="BO46" s="24" t="s">
        <v>11</v>
      </c>
      <c r="BP46" s="24" t="s">
        <v>108</v>
      </c>
      <c r="BQ46" s="22">
        <f>YEAR([1]!BANCO10[[#This Row],[DATA INÍCIO]])</f>
        <v>2024</v>
      </c>
      <c r="BR46" s="22">
        <f>MONTH([1]!BANCO10[[#This Row],[DATA INÍCIO]])</f>
        <v>5</v>
      </c>
      <c r="BS46" s="129" t="e">
        <f>CONCATENATE(#REF!,#REF!)</f>
        <v>#REF!</v>
      </c>
      <c r="BT46" s="22"/>
      <c r="BU46" s="21" t="s">
        <v>828</v>
      </c>
      <c r="BV46" s="21" t="str">
        <f>IF([1]!BANCO10[[#This Row],[SOLUÇÃO]]=BV$1,[1]!BANCO10[[#This Row],[STATUS DA ETAPA]],"")</f>
        <v/>
      </c>
      <c r="BW46" s="21" t="str">
        <f>IF([1]!BANCO10[[#This Row],[SOLUÇÃO]]=BW$1,[1]!BANCO10[[#This Row],[STATUS DA ETAPA]],"")</f>
        <v/>
      </c>
      <c r="BX46" s="21" t="str">
        <f>IF([1]!BANCO10[[#This Row],[SOLUÇÃO]]=BX$1,[1]!BANCO10[[#This Row],[STATUS DA ETAPA]],"")</f>
        <v/>
      </c>
      <c r="BY46" s="21" t="str">
        <f>IF([1]!BANCO10[[#This Row],[SOLUÇÃO]]=BY$1,[1]!BANCO10[[#This Row],[STATUS DA ETAPA]],"")</f>
        <v/>
      </c>
      <c r="BZ46" s="21" t="str">
        <f>IF([1]!BANCO10[[#This Row],[SOLUÇÃO]]=BZ$1,[1]!BANCO10[[#This Row],[STATUS DA ETAPA]],"")</f>
        <v/>
      </c>
      <c r="CA46" s="21" t="str">
        <f>IF([1]!BANCO10[[#This Row],[SOLUÇÃO]]=CA$1,[1]!BANCO10[[#This Row],[STATUS DA ETAPA]],"")</f>
        <v/>
      </c>
      <c r="CB46" s="21" t="str">
        <f>IF([1]!BANCO10[[#This Row],[SOLUÇÃO]]=CB$1,[1]!BANCO10[[#This Row],[STATUS DA ETAPA]],"")</f>
        <v>CONCLUÍDO</v>
      </c>
      <c r="CC46" s="21" t="str">
        <f>IF([1]!BANCO10[[#This Row],[SOLUÇÃO]]=CC$1,[1]!BANCO10[[#This Row],[STATUS DA ETAPA]],"")</f>
        <v/>
      </c>
      <c r="CD46" s="21" t="str">
        <f>IF([1]!BANCO10[[#This Row],[SOLUÇÃO]]=CD$1,[1]!BANCO10[[#This Row],[STATUS DA ETAPA]],"")</f>
        <v/>
      </c>
      <c r="CE46" s="21" t="str">
        <f>IF([1]!BANCO10[[#This Row],[SOLUÇÃO]]=CE$1,[1]!BANCO10[[#This Row],[STATUS DA ETAPA]],"")</f>
        <v/>
      </c>
      <c r="CF46" s="21" t="str">
        <f>IF([1]!BANCO10[[#This Row],[SOLUÇÃO]]=CF$1,[1]!BANCO10[[#This Row],[STATUS DA ETAPA]],"")</f>
        <v/>
      </c>
      <c r="CG46" s="21" t="str">
        <f>IF([1]!BANCO10[[#This Row],[SOLUÇÃO]]=CG$1,[1]!BANCO10[[#This Row],[STATUS DA ETAPA]],"")</f>
        <v/>
      </c>
      <c r="CH46" s="21" t="str">
        <f>IF([1]!BANCO10[[#This Row],[SOLUÇÃO]]=CH$1,[1]!BANCO10[[#This Row],[STATUS DA ETAPA]],"")</f>
        <v/>
      </c>
      <c r="CI46" s="21" t="str">
        <f>IF([1]!BANCO10[[#This Row],[SOLUÇÃO]]=CI$1,[1]!BANCO10[[#This Row],[STATUS DA ETAPA]],"")</f>
        <v/>
      </c>
      <c r="CJ46" s="21" t="str">
        <f>IF([1]!BANCO10[[#This Row],[SOLUÇÃO]]=CJ$1,[1]!BANCO10[[#This Row],[STATUS DA ETAPA]],"")</f>
        <v/>
      </c>
      <c r="CK46" s="21" t="str">
        <f>IF([1]!BANCO10[[#This Row],[SOLUÇÃO]]=CK$1,[1]!BANCO10[[#This Row],[STATUS DA ETAPA]],"")</f>
        <v/>
      </c>
      <c r="CL46" s="21" t="str">
        <f>IF([1]!BANCO10[[#This Row],[SOLUÇÃO]]=CL$1,[1]!BANCO10[[#This Row],[STATUS DA ETAPA]],"")</f>
        <v/>
      </c>
      <c r="CM46" s="21" t="str">
        <f>IF([1]!BANCO10[[#This Row],[SOLUÇÃO]]=CM$1,[1]!BANCO10[[#This Row],[STATUS DA ETAPA]],"")</f>
        <v/>
      </c>
      <c r="CN46" s="21" t="str">
        <f>IF([1]!BANCO10[[#This Row],[SOLUÇÃO]]=CN$1,[1]!BANCO10[[#This Row],[STATUS DA ETAPA]],"")</f>
        <v/>
      </c>
      <c r="CO46" s="21" t="str">
        <f>IF([1]!BANCO10[[#This Row],[SOLUÇÃO]]=CO$1,[1]!BANCO10[[#This Row],[STATUS DA ETAPA]],"")</f>
        <v/>
      </c>
      <c r="CP46" s="21" t="str">
        <f>IF([1]!BANCO10[[#This Row],[SOLUÇÃO]]=CP$1,[1]!BANCO10[[#This Row],[STATUS DA ETAPA]],"")</f>
        <v/>
      </c>
      <c r="CQ46" s="21" t="str">
        <f>IF([1]!BANCO10[[#This Row],[SOLUÇÃO]]=CQ$1,[1]!BANCO10[[#This Row],[STATUS DA ETAPA]],"")</f>
        <v/>
      </c>
      <c r="CR46" s="21" t="str">
        <f>IF([1]!BANCO10[[#This Row],[SOLUÇÃO]]=CR$1,[1]!BANCO10[[#This Row],[STATUS DA ETAPA]],"")</f>
        <v/>
      </c>
      <c r="CS46" s="21" t="str">
        <f>IF([1]!BANCO10[[#This Row],[SOLUÇÃO]]=CS$1,[1]!BANCO10[[#This Row],[STATUS DA ETAPA]],"")</f>
        <v/>
      </c>
      <c r="CT46" s="21" t="str">
        <f>IF([1]!BANCO10[[#This Row],[SOLUÇÃO]]=CT$1,[1]!BANCO10[[#This Row],[STATUS DA ETAPA]],"")</f>
        <v/>
      </c>
      <c r="CU46" s="21" t="str">
        <f>IF([1]!BANCO10[[#This Row],[SOLUÇÃO]]=CU$1,[1]!BANCO10[[#This Row],[STATUS DA ETAPA]],"")</f>
        <v/>
      </c>
      <c r="CV46" s="21" t="str">
        <f>IF([1]!BANCO10[[#This Row],[SOLUÇÃO]]=CV$1,[1]!BANCO10[[#This Row],[STATUS DA ETAPA]],"")</f>
        <v/>
      </c>
    </row>
    <row r="47" spans="1:100">
      <c r="A47" s="44" t="s">
        <v>1</v>
      </c>
      <c r="B47" s="44"/>
      <c r="C47" s="44" t="s">
        <v>1</v>
      </c>
      <c r="D47" s="44"/>
      <c r="E47" s="44" t="s">
        <v>1</v>
      </c>
      <c r="F47" s="44"/>
      <c r="G47" s="44" t="s">
        <v>1</v>
      </c>
      <c r="H47" s="44"/>
      <c r="I47" s="45" t="s">
        <v>1</v>
      </c>
      <c r="J47" s="46"/>
      <c r="K47" s="45" t="s">
        <v>1</v>
      </c>
      <c r="L47" s="33"/>
      <c r="M47" s="45" t="s">
        <v>1</v>
      </c>
      <c r="N47" s="33"/>
      <c r="O47" s="44"/>
      <c r="P47" s="44"/>
      <c r="Q47" s="44"/>
      <c r="R47" s="44"/>
      <c r="S47" s="44"/>
      <c r="T47" s="44"/>
      <c r="U47" s="44"/>
      <c r="V47" s="44"/>
      <c r="W47" s="44"/>
      <c r="X47" s="44"/>
      <c r="Y47" s="44"/>
      <c r="Z47" s="44"/>
      <c r="AA47" s="44"/>
      <c r="AB47" s="44"/>
      <c r="AC47" s="51">
        <v>45931</v>
      </c>
      <c r="AD47" s="50">
        <v>46022</v>
      </c>
      <c r="AE47" s="41" t="s">
        <v>1</v>
      </c>
      <c r="AF47" s="41" t="s">
        <v>1</v>
      </c>
      <c r="AG47" s="76" t="s">
        <v>5</v>
      </c>
      <c r="AH47" s="36" t="s">
        <v>0</v>
      </c>
      <c r="AI47" s="49">
        <v>0</v>
      </c>
      <c r="AJ47" s="36" t="s">
        <v>1</v>
      </c>
      <c r="AK47" s="10" t="s">
        <v>1</v>
      </c>
      <c r="AL47" s="36" t="s">
        <v>1</v>
      </c>
      <c r="AM47" s="36" t="s">
        <v>1</v>
      </c>
      <c r="AN47" s="35" t="s">
        <v>1</v>
      </c>
      <c r="AO47" s="35" t="s">
        <v>1</v>
      </c>
      <c r="AP47" s="35" t="s">
        <v>1</v>
      </c>
      <c r="AQ47" s="35" t="s">
        <v>1</v>
      </c>
      <c r="AR47" s="45" t="s">
        <v>1</v>
      </c>
      <c r="AS47" s="46"/>
      <c r="AT47" s="32" t="s">
        <v>0</v>
      </c>
      <c r="AU47" s="31"/>
      <c r="AV47" s="32" t="s">
        <v>0</v>
      </c>
      <c r="AW47" s="31"/>
      <c r="AX47" s="30" t="s">
        <v>0</v>
      </c>
      <c r="AY47" s="29"/>
      <c r="AZ47" s="28" t="s">
        <v>0</v>
      </c>
      <c r="BA47" s="27"/>
      <c r="BB47" s="26" t="s">
        <v>7</v>
      </c>
      <c r="BC47" s="25"/>
      <c r="BD47" s="24"/>
      <c r="BE47" s="24"/>
      <c r="BF47" s="24"/>
      <c r="BG47" s="24"/>
      <c r="BH47" s="24"/>
      <c r="BI47" s="24"/>
      <c r="BJ47" s="24"/>
      <c r="BK47" s="24"/>
      <c r="BL47" s="24"/>
      <c r="BM47" s="24"/>
      <c r="BN47" s="24"/>
      <c r="BO47" s="24"/>
      <c r="BP47" s="24"/>
      <c r="BQ47" s="22">
        <f>YEAR([1]!BANCO10[[#This Row],[DATA INÍCIO]])</f>
        <v>2025</v>
      </c>
      <c r="BR47" s="22">
        <f>MONTH([1]!BANCO10[[#This Row],[DATA INÍCIO]])</f>
        <v>10</v>
      </c>
      <c r="BS47" s="23" t="e">
        <f>CONCATENATE(#REF!,#REF!)</f>
        <v>#REF!</v>
      </c>
      <c r="BT47" s="22"/>
      <c r="BU47" s="22"/>
      <c r="BV47" s="21" t="str">
        <f>IF([1]!BANCO10[[#This Row],[SOLUÇÃO]]=BV$1,[1]!BANCO10[[#This Row],[STATUS DA ETAPA]],"")</f>
        <v/>
      </c>
      <c r="BW47" s="21" t="str">
        <f>IF([1]!BANCO10[[#This Row],[SOLUÇÃO]]=BW$1,[1]!BANCO10[[#This Row],[STATUS DA ETAPA]],"")</f>
        <v/>
      </c>
      <c r="BX47" s="21" t="str">
        <f>IF([1]!BANCO10[[#This Row],[SOLUÇÃO]]=BX$1,[1]!BANCO10[[#This Row],[STATUS DA ETAPA]],"")</f>
        <v/>
      </c>
      <c r="BY47" s="21" t="str">
        <f>IF([1]!BANCO10[[#This Row],[SOLUÇÃO]]=BY$1,[1]!BANCO10[[#This Row],[STATUS DA ETAPA]],"")</f>
        <v/>
      </c>
      <c r="BZ47" s="21" t="str">
        <f>IF([1]!BANCO10[[#This Row],[SOLUÇÃO]]=BZ$1,[1]!BANCO10[[#This Row],[STATUS DA ETAPA]],"")</f>
        <v/>
      </c>
      <c r="CA47" s="21" t="str">
        <f>IF([1]!BANCO10[[#This Row],[SOLUÇÃO]]=CA$1,[1]!BANCO10[[#This Row],[STATUS DA ETAPA]],"")</f>
        <v/>
      </c>
      <c r="CB47" s="21" t="str">
        <f>IF([1]!BANCO10[[#This Row],[SOLUÇÃO]]=CB$1,[1]!BANCO10[[#This Row],[STATUS DA ETAPA]],"")</f>
        <v>CANCELADO</v>
      </c>
      <c r="CC47" s="21" t="str">
        <f>IF([1]!BANCO10[[#This Row],[SOLUÇÃO]]=CC$1,[1]!BANCO10[[#This Row],[STATUS DA ETAPA]],"")</f>
        <v/>
      </c>
      <c r="CD47" s="21" t="str">
        <f>IF([1]!BANCO10[[#This Row],[SOLUÇÃO]]=CD$1,[1]!BANCO10[[#This Row],[STATUS DA ETAPA]],"")</f>
        <v/>
      </c>
      <c r="CE47" s="21" t="str">
        <f>IF([1]!BANCO10[[#This Row],[SOLUÇÃO]]=CE$1,[1]!BANCO10[[#This Row],[STATUS DA ETAPA]],"")</f>
        <v/>
      </c>
      <c r="CF47" s="21" t="str">
        <f>IF([1]!BANCO10[[#This Row],[SOLUÇÃO]]=CF$1,[1]!BANCO10[[#This Row],[STATUS DA ETAPA]],"")</f>
        <v/>
      </c>
      <c r="CG47" s="21" t="str">
        <f>IF([1]!BANCO10[[#This Row],[SOLUÇÃO]]=CG$1,[1]!BANCO10[[#This Row],[STATUS DA ETAPA]],"")</f>
        <v/>
      </c>
      <c r="CH47" s="21" t="str">
        <f>IF([1]!BANCO10[[#This Row],[SOLUÇÃO]]=CH$1,[1]!BANCO10[[#This Row],[STATUS DA ETAPA]],"")</f>
        <v/>
      </c>
      <c r="CI47" s="21" t="str">
        <f>IF([1]!BANCO10[[#This Row],[SOLUÇÃO]]=CI$1,[1]!BANCO10[[#This Row],[STATUS DA ETAPA]],"")</f>
        <v/>
      </c>
      <c r="CJ47" s="21" t="str">
        <f>IF([1]!BANCO10[[#This Row],[SOLUÇÃO]]=CJ$1,[1]!BANCO10[[#This Row],[STATUS DA ETAPA]],"")</f>
        <v/>
      </c>
      <c r="CK47" s="21" t="str">
        <f>IF([1]!BANCO10[[#This Row],[SOLUÇÃO]]=CK$1,[1]!BANCO10[[#This Row],[STATUS DA ETAPA]],"")</f>
        <v/>
      </c>
      <c r="CL47" s="21" t="str">
        <f>IF([1]!BANCO10[[#This Row],[SOLUÇÃO]]=CL$1,[1]!BANCO10[[#This Row],[STATUS DA ETAPA]],"")</f>
        <v/>
      </c>
      <c r="CM47" s="21" t="str">
        <f>IF([1]!BANCO10[[#This Row],[SOLUÇÃO]]=CM$1,[1]!BANCO10[[#This Row],[STATUS DA ETAPA]],"")</f>
        <v/>
      </c>
      <c r="CN47" s="21" t="str">
        <f>IF([1]!BANCO10[[#This Row],[SOLUÇÃO]]=CN$1,[1]!BANCO10[[#This Row],[STATUS DA ETAPA]],"")</f>
        <v/>
      </c>
      <c r="CO47" s="21" t="str">
        <f>IF([1]!BANCO10[[#This Row],[SOLUÇÃO]]=CO$1,[1]!BANCO10[[#This Row],[STATUS DA ETAPA]],"")</f>
        <v/>
      </c>
      <c r="CP47" s="21" t="str">
        <f>IF([1]!BANCO10[[#This Row],[SOLUÇÃO]]=CP$1,[1]!BANCO10[[#This Row],[STATUS DA ETAPA]],"")</f>
        <v/>
      </c>
      <c r="CQ47" s="21" t="str">
        <f>IF([1]!BANCO10[[#This Row],[SOLUÇÃO]]=CQ$1,[1]!BANCO10[[#This Row],[STATUS DA ETAPA]],"")</f>
        <v/>
      </c>
      <c r="CR47" s="21" t="str">
        <f>IF([1]!BANCO10[[#This Row],[SOLUÇÃO]]=CR$1,[1]!BANCO10[[#This Row],[STATUS DA ETAPA]],"")</f>
        <v/>
      </c>
      <c r="CS47" s="21" t="str">
        <f>IF([1]!BANCO10[[#This Row],[SOLUÇÃO]]=CS$1,[1]!BANCO10[[#This Row],[STATUS DA ETAPA]],"")</f>
        <v/>
      </c>
      <c r="CT47" s="21" t="str">
        <f>IF([1]!BANCO10[[#This Row],[SOLUÇÃO]]=CT$1,[1]!BANCO10[[#This Row],[STATUS DA ETAPA]],"")</f>
        <v/>
      </c>
      <c r="CU47" s="21" t="str">
        <f>IF([1]!BANCO10[[#This Row],[SOLUÇÃO]]=CU$1,[1]!BANCO10[[#This Row],[STATUS DA ETAPA]],"")</f>
        <v/>
      </c>
      <c r="CV47" s="21" t="str">
        <f>IF([1]!BANCO10[[#This Row],[SOLUÇÃO]]=CV$1,[1]!BANCO10[[#This Row],[STATUS DA ETAPA]],"")</f>
        <v/>
      </c>
    </row>
    <row r="48" spans="1:100">
      <c r="A48" s="44" t="s">
        <v>1</v>
      </c>
      <c r="B48" s="44"/>
      <c r="C48" s="44" t="s">
        <v>1</v>
      </c>
      <c r="D48" s="44"/>
      <c r="E48" s="44" t="s">
        <v>1</v>
      </c>
      <c r="F48" s="44"/>
      <c r="G48" s="44" t="s">
        <v>1</v>
      </c>
      <c r="H48" s="44"/>
      <c r="I48" s="45" t="s">
        <v>1</v>
      </c>
      <c r="J48" s="46"/>
      <c r="K48" s="45" t="s">
        <v>1</v>
      </c>
      <c r="L48" s="33"/>
      <c r="M48" s="45" t="s">
        <v>1</v>
      </c>
      <c r="N48" s="33"/>
      <c r="O48" s="44" t="s">
        <v>1</v>
      </c>
      <c r="P48" s="44"/>
      <c r="Q48" s="44" t="s">
        <v>0</v>
      </c>
      <c r="R48" s="44"/>
      <c r="S48" s="44" t="s">
        <v>1</v>
      </c>
      <c r="T48" s="44"/>
      <c r="U48" s="44" t="s">
        <v>1</v>
      </c>
      <c r="V48" s="44"/>
      <c r="W48" s="44" t="s">
        <v>1</v>
      </c>
      <c r="X48" s="44"/>
      <c r="Y48" s="44" t="s">
        <v>1</v>
      </c>
      <c r="Z48" s="44"/>
      <c r="AA48" s="44" t="s">
        <v>1</v>
      </c>
      <c r="AB48" s="44"/>
      <c r="AC48" s="51">
        <v>45963</v>
      </c>
      <c r="AD48" s="50">
        <v>45963</v>
      </c>
      <c r="AE48" s="40" t="s">
        <v>1</v>
      </c>
      <c r="AF48" s="40" t="s">
        <v>1</v>
      </c>
      <c r="AG48" s="40" t="s">
        <v>1</v>
      </c>
      <c r="AH48" s="36" t="s">
        <v>1</v>
      </c>
      <c r="AI48" s="49">
        <v>0</v>
      </c>
      <c r="AJ48" s="36" t="s">
        <v>1</v>
      </c>
      <c r="AK48" s="10" t="s">
        <v>1</v>
      </c>
      <c r="AL48" s="36" t="s">
        <v>1</v>
      </c>
      <c r="AM48" s="36" t="s">
        <v>1</v>
      </c>
      <c r="AN48" s="35" t="s">
        <v>1</v>
      </c>
      <c r="AO48" s="35" t="s">
        <v>1</v>
      </c>
      <c r="AP48" s="35" t="s">
        <v>1</v>
      </c>
      <c r="AQ48" s="35" t="s">
        <v>1</v>
      </c>
      <c r="AR48" s="82" t="s">
        <v>1</v>
      </c>
      <c r="AS48" s="63"/>
      <c r="AT48" s="32" t="s">
        <v>1</v>
      </c>
      <c r="AU48" s="31"/>
      <c r="AV48" s="32" t="s">
        <v>1</v>
      </c>
      <c r="AW48" s="31"/>
      <c r="AX48" s="32" t="s">
        <v>1</v>
      </c>
      <c r="AY48" s="31"/>
      <c r="AZ48" s="32" t="s">
        <v>1</v>
      </c>
      <c r="BA48" s="31"/>
      <c r="BB48" s="74" t="s">
        <v>827</v>
      </c>
      <c r="BC48" s="25" t="s">
        <v>14</v>
      </c>
      <c r="BD48" s="24"/>
      <c r="BE48" s="24"/>
      <c r="BF48" s="24"/>
      <c r="BG48" s="24"/>
      <c r="BH48" s="130"/>
      <c r="BI48" s="24"/>
      <c r="BJ48" s="24" t="s">
        <v>11</v>
      </c>
      <c r="BK48" s="24" t="s">
        <v>11</v>
      </c>
      <c r="BL48" s="24" t="s">
        <v>11</v>
      </c>
      <c r="BM48" s="24" t="s">
        <v>11</v>
      </c>
      <c r="BN48" s="24" t="s">
        <v>11</v>
      </c>
      <c r="BO48" s="24" t="s">
        <v>11</v>
      </c>
      <c r="BP48" s="24" t="s">
        <v>11</v>
      </c>
      <c r="BQ48" s="22">
        <f>YEAR([1]!BANCO10[[#This Row],[DATA INÍCIO]])</f>
        <v>2025</v>
      </c>
      <c r="BR48" s="22">
        <f>MONTH([1]!BANCO10[[#This Row],[DATA INÍCIO]])</f>
        <v>11</v>
      </c>
      <c r="BS48" s="129" t="e">
        <f>CONCATENATE(#REF!,#REF!)</f>
        <v>#REF!</v>
      </c>
      <c r="BT48" s="22"/>
      <c r="BU48" s="21" t="s">
        <v>826</v>
      </c>
      <c r="BV48" s="21" t="str">
        <f>IF([1]!BANCO10[[#This Row],[SOLUÇÃO]]=BV$1,[1]!BANCO10[[#This Row],[STATUS DA ETAPA]],"")</f>
        <v>CANCELADO</v>
      </c>
      <c r="BW48" s="21" t="str">
        <f>IF([1]!BANCO10[[#This Row],[SOLUÇÃO]]=BW$1,[1]!BANCO10[[#This Row],[STATUS DA ETAPA]],"")</f>
        <v/>
      </c>
      <c r="BX48" s="21" t="str">
        <f>IF([1]!BANCO10[[#This Row],[SOLUÇÃO]]=BX$1,[1]!BANCO10[[#This Row],[STATUS DA ETAPA]],"")</f>
        <v/>
      </c>
      <c r="BY48" s="21" t="str">
        <f>IF([1]!BANCO10[[#This Row],[SOLUÇÃO]]=BY$1,[1]!BANCO10[[#This Row],[STATUS DA ETAPA]],"")</f>
        <v/>
      </c>
      <c r="BZ48" s="21" t="str">
        <f>IF([1]!BANCO10[[#This Row],[SOLUÇÃO]]=BZ$1,[1]!BANCO10[[#This Row],[STATUS DA ETAPA]],"")</f>
        <v/>
      </c>
      <c r="CA48" s="21" t="str">
        <f>IF([1]!BANCO10[[#This Row],[SOLUÇÃO]]=CA$1,[1]!BANCO10[[#This Row],[STATUS DA ETAPA]],"")</f>
        <v/>
      </c>
      <c r="CB48" s="21" t="str">
        <f>IF([1]!BANCO10[[#This Row],[SOLUÇÃO]]=CB$1,[1]!BANCO10[[#This Row],[STATUS DA ETAPA]],"")</f>
        <v/>
      </c>
      <c r="CC48" s="21" t="str">
        <f>IF([1]!BANCO10[[#This Row],[SOLUÇÃO]]=CC$1,[1]!BANCO10[[#This Row],[STATUS DA ETAPA]],"")</f>
        <v/>
      </c>
      <c r="CD48" s="21" t="str">
        <f>IF([1]!BANCO10[[#This Row],[SOLUÇÃO]]=CD$1,[1]!BANCO10[[#This Row],[STATUS DA ETAPA]],"")</f>
        <v/>
      </c>
      <c r="CE48" s="21" t="str">
        <f>IF([1]!BANCO10[[#This Row],[SOLUÇÃO]]=CE$1,[1]!BANCO10[[#This Row],[STATUS DA ETAPA]],"")</f>
        <v/>
      </c>
      <c r="CF48" s="21" t="str">
        <f>IF([1]!BANCO10[[#This Row],[SOLUÇÃO]]=CF$1,[1]!BANCO10[[#This Row],[STATUS DA ETAPA]],"")</f>
        <v/>
      </c>
      <c r="CG48" s="21" t="str">
        <f>IF([1]!BANCO10[[#This Row],[SOLUÇÃO]]=CG$1,[1]!BANCO10[[#This Row],[STATUS DA ETAPA]],"")</f>
        <v/>
      </c>
      <c r="CH48" s="21" t="str">
        <f>IF([1]!BANCO10[[#This Row],[SOLUÇÃO]]=CH$1,[1]!BANCO10[[#This Row],[STATUS DA ETAPA]],"")</f>
        <v/>
      </c>
      <c r="CI48" s="21" t="str">
        <f>IF([1]!BANCO10[[#This Row],[SOLUÇÃO]]=CI$1,[1]!BANCO10[[#This Row],[STATUS DA ETAPA]],"")</f>
        <v/>
      </c>
      <c r="CJ48" s="21" t="str">
        <f>IF([1]!BANCO10[[#This Row],[SOLUÇÃO]]=CJ$1,[1]!BANCO10[[#This Row],[STATUS DA ETAPA]],"")</f>
        <v/>
      </c>
      <c r="CK48" s="21" t="str">
        <f>IF([1]!BANCO10[[#This Row],[SOLUÇÃO]]=CK$1,[1]!BANCO10[[#This Row],[STATUS DA ETAPA]],"")</f>
        <v/>
      </c>
      <c r="CL48" s="21" t="str">
        <f>IF([1]!BANCO10[[#This Row],[SOLUÇÃO]]=CL$1,[1]!BANCO10[[#This Row],[STATUS DA ETAPA]],"")</f>
        <v/>
      </c>
      <c r="CM48" s="21" t="str">
        <f>IF([1]!BANCO10[[#This Row],[SOLUÇÃO]]=CM$1,[1]!BANCO10[[#This Row],[STATUS DA ETAPA]],"")</f>
        <v/>
      </c>
      <c r="CN48" s="21" t="str">
        <f>IF([1]!BANCO10[[#This Row],[SOLUÇÃO]]=CN$1,[1]!BANCO10[[#This Row],[STATUS DA ETAPA]],"")</f>
        <v/>
      </c>
      <c r="CO48" s="21" t="str">
        <f>IF([1]!BANCO10[[#This Row],[SOLUÇÃO]]=CO$1,[1]!BANCO10[[#This Row],[STATUS DA ETAPA]],"")</f>
        <v/>
      </c>
      <c r="CP48" s="21" t="str">
        <f>IF([1]!BANCO10[[#This Row],[SOLUÇÃO]]=CP$1,[1]!BANCO10[[#This Row],[STATUS DA ETAPA]],"")</f>
        <v/>
      </c>
      <c r="CQ48" s="21" t="str">
        <f>IF([1]!BANCO10[[#This Row],[SOLUÇÃO]]=CQ$1,[1]!BANCO10[[#This Row],[STATUS DA ETAPA]],"")</f>
        <v/>
      </c>
      <c r="CR48" s="21" t="str">
        <f>IF([1]!BANCO10[[#This Row],[SOLUÇÃO]]=CR$1,[1]!BANCO10[[#This Row],[STATUS DA ETAPA]],"")</f>
        <v/>
      </c>
      <c r="CS48" s="21" t="str">
        <f>IF([1]!BANCO10[[#This Row],[SOLUÇÃO]]=CS$1,[1]!BANCO10[[#This Row],[STATUS DA ETAPA]],"")</f>
        <v/>
      </c>
      <c r="CT48" s="21" t="str">
        <f>IF([1]!BANCO10[[#This Row],[SOLUÇÃO]]=CT$1,[1]!BANCO10[[#This Row],[STATUS DA ETAPA]],"")</f>
        <v/>
      </c>
      <c r="CU48" s="21" t="str">
        <f>IF([1]!BANCO10[[#This Row],[SOLUÇÃO]]=CU$1,[1]!BANCO10[[#This Row],[STATUS DA ETAPA]],"")</f>
        <v/>
      </c>
      <c r="CV48" s="21" t="str">
        <f>IF([1]!BANCO10[[#This Row],[SOLUÇÃO]]=CV$1,[1]!BANCO10[[#This Row],[STATUS DA ETAPA]],"")</f>
        <v/>
      </c>
    </row>
    <row r="49" spans="1:100">
      <c r="A49" s="44" t="s">
        <v>1</v>
      </c>
      <c r="B49" s="44"/>
      <c r="C49" s="44" t="s">
        <v>1</v>
      </c>
      <c r="D49" s="44"/>
      <c r="E49" s="44" t="s">
        <v>1</v>
      </c>
      <c r="F49" s="44"/>
      <c r="G49" s="44" t="s">
        <v>1</v>
      </c>
      <c r="H49" s="44"/>
      <c r="I49" s="45" t="s">
        <v>1</v>
      </c>
      <c r="J49" s="46"/>
      <c r="K49" s="45" t="s">
        <v>1</v>
      </c>
      <c r="L49" s="33"/>
      <c r="M49" s="45" t="s">
        <v>1</v>
      </c>
      <c r="N49" s="33"/>
      <c r="O49" s="44" t="s">
        <v>2</v>
      </c>
      <c r="P49" s="44">
        <v>45001</v>
      </c>
      <c r="Q49" s="44" t="s">
        <v>0</v>
      </c>
      <c r="R49" s="44"/>
      <c r="S49" s="44" t="s">
        <v>1</v>
      </c>
      <c r="T49" s="44"/>
      <c r="U49" s="44" t="s">
        <v>1</v>
      </c>
      <c r="V49" s="44"/>
      <c r="W49" s="44" t="s">
        <v>1</v>
      </c>
      <c r="X49" s="44"/>
      <c r="Y49" s="44" t="s">
        <v>1</v>
      </c>
      <c r="Z49" s="44"/>
      <c r="AA49" s="44" t="s">
        <v>1</v>
      </c>
      <c r="AB49" s="44"/>
      <c r="AC49" s="51">
        <v>45000</v>
      </c>
      <c r="AD49" s="83">
        <v>45000</v>
      </c>
      <c r="AE49" s="40" t="s">
        <v>1</v>
      </c>
      <c r="AF49" s="40" t="s">
        <v>1</v>
      </c>
      <c r="AG49" s="76" t="s">
        <v>5</v>
      </c>
      <c r="AH49" s="36" t="s">
        <v>1</v>
      </c>
      <c r="AI49" s="49">
        <v>0</v>
      </c>
      <c r="AJ49" s="36" t="s">
        <v>1</v>
      </c>
      <c r="AK49" s="10" t="s">
        <v>1</v>
      </c>
      <c r="AL49" s="36" t="s">
        <v>1</v>
      </c>
      <c r="AM49" s="36" t="s">
        <v>1</v>
      </c>
      <c r="AN49" s="35" t="s">
        <v>1</v>
      </c>
      <c r="AO49" s="35" t="s">
        <v>1</v>
      </c>
      <c r="AP49" s="35" t="s">
        <v>1</v>
      </c>
      <c r="AQ49" s="35" t="s">
        <v>1</v>
      </c>
      <c r="AR49" s="82" t="s">
        <v>1</v>
      </c>
      <c r="AS49" s="46"/>
      <c r="AT49" s="32" t="s">
        <v>1</v>
      </c>
      <c r="AU49" s="31"/>
      <c r="AV49" s="32" t="s">
        <v>1</v>
      </c>
      <c r="AW49" s="31"/>
      <c r="AX49" s="30" t="s">
        <v>1</v>
      </c>
      <c r="AY49" s="55"/>
      <c r="AZ49" s="30" t="s">
        <v>1</v>
      </c>
      <c r="BA49" s="55"/>
      <c r="BB49" s="74" t="s">
        <v>824</v>
      </c>
      <c r="BC49" s="25"/>
      <c r="BD49" s="24" t="s">
        <v>19</v>
      </c>
      <c r="BE49" s="24" t="s">
        <v>19</v>
      </c>
      <c r="BF49" s="24" t="s">
        <v>51</v>
      </c>
      <c r="BG49" s="24" t="s">
        <v>11</v>
      </c>
      <c r="BH49" s="130" t="s">
        <v>19</v>
      </c>
      <c r="BI49" s="24"/>
      <c r="BJ49" s="24" t="s">
        <v>11</v>
      </c>
      <c r="BK49" s="24" t="s">
        <v>11</v>
      </c>
      <c r="BL49" s="24" t="s">
        <v>11</v>
      </c>
      <c r="BM49" s="24" t="s">
        <v>11</v>
      </c>
      <c r="BN49" s="24" t="s">
        <v>11</v>
      </c>
      <c r="BO49" s="24" t="s">
        <v>11</v>
      </c>
      <c r="BP49" s="24" t="s">
        <v>11</v>
      </c>
      <c r="BQ49" s="22">
        <f>YEAR([1]!BANCO10[[#This Row],[DATA INÍCIO]])</f>
        <v>2023</v>
      </c>
      <c r="BR49" s="22">
        <f>MONTH([1]!BANCO10[[#This Row],[DATA INÍCIO]])</f>
        <v>3</v>
      </c>
      <c r="BS49" s="129" t="e">
        <f>CONCATENATE(#REF!,#REF!)</f>
        <v>#REF!</v>
      </c>
      <c r="BT49" s="22"/>
      <c r="BU49" s="21" t="s">
        <v>825</v>
      </c>
      <c r="BV49" s="21" t="str">
        <f>IF([1]!BANCO10[[#This Row],[SOLUÇÃO]]=BV$1,[1]!BANCO10[[#This Row],[STATUS DA ETAPA]],"")</f>
        <v>CONCLUÍDO</v>
      </c>
      <c r="BW49" s="21" t="str">
        <f>IF([1]!BANCO10[[#This Row],[SOLUÇÃO]]=BW$1,[1]!BANCO10[[#This Row],[STATUS DA ETAPA]],"")</f>
        <v/>
      </c>
      <c r="BX49" s="21" t="str">
        <f>IF([1]!BANCO10[[#This Row],[SOLUÇÃO]]=BX$1,[1]!BANCO10[[#This Row],[STATUS DA ETAPA]],"")</f>
        <v/>
      </c>
      <c r="BY49" s="21" t="str">
        <f>IF([1]!BANCO10[[#This Row],[SOLUÇÃO]]=BY$1,[1]!BANCO10[[#This Row],[STATUS DA ETAPA]],"")</f>
        <v/>
      </c>
      <c r="BZ49" s="21" t="str">
        <f>IF([1]!BANCO10[[#This Row],[SOLUÇÃO]]=BZ$1,[1]!BANCO10[[#This Row],[STATUS DA ETAPA]],"")</f>
        <v/>
      </c>
      <c r="CA49" s="21" t="str">
        <f>IF([1]!BANCO10[[#This Row],[SOLUÇÃO]]=CA$1,[1]!BANCO10[[#This Row],[STATUS DA ETAPA]],"")</f>
        <v/>
      </c>
      <c r="CB49" s="21" t="str">
        <f>IF([1]!BANCO10[[#This Row],[SOLUÇÃO]]=CB$1,[1]!BANCO10[[#This Row],[STATUS DA ETAPA]],"")</f>
        <v/>
      </c>
      <c r="CC49" s="21" t="str">
        <f>IF([1]!BANCO10[[#This Row],[SOLUÇÃO]]=CC$1,[1]!BANCO10[[#This Row],[STATUS DA ETAPA]],"")</f>
        <v/>
      </c>
      <c r="CD49" s="21" t="str">
        <f>IF([1]!BANCO10[[#This Row],[SOLUÇÃO]]=CD$1,[1]!BANCO10[[#This Row],[STATUS DA ETAPA]],"")</f>
        <v/>
      </c>
      <c r="CE49" s="21" t="str">
        <f>IF([1]!BANCO10[[#This Row],[SOLUÇÃO]]=CE$1,[1]!BANCO10[[#This Row],[STATUS DA ETAPA]],"")</f>
        <v/>
      </c>
      <c r="CF49" s="21" t="str">
        <f>IF([1]!BANCO10[[#This Row],[SOLUÇÃO]]=CF$1,[1]!BANCO10[[#This Row],[STATUS DA ETAPA]],"")</f>
        <v/>
      </c>
      <c r="CG49" s="21" t="str">
        <f>IF([1]!BANCO10[[#This Row],[SOLUÇÃO]]=CG$1,[1]!BANCO10[[#This Row],[STATUS DA ETAPA]],"")</f>
        <v/>
      </c>
      <c r="CH49" s="21" t="str">
        <f>IF([1]!BANCO10[[#This Row],[SOLUÇÃO]]=CH$1,[1]!BANCO10[[#This Row],[STATUS DA ETAPA]],"")</f>
        <v/>
      </c>
      <c r="CI49" s="21" t="str">
        <f>IF([1]!BANCO10[[#This Row],[SOLUÇÃO]]=CI$1,[1]!BANCO10[[#This Row],[STATUS DA ETAPA]],"")</f>
        <v/>
      </c>
      <c r="CJ49" s="21" t="str">
        <f>IF([1]!BANCO10[[#This Row],[SOLUÇÃO]]=CJ$1,[1]!BANCO10[[#This Row],[STATUS DA ETAPA]],"")</f>
        <v/>
      </c>
      <c r="CK49" s="21" t="str">
        <f>IF([1]!BANCO10[[#This Row],[SOLUÇÃO]]=CK$1,[1]!BANCO10[[#This Row],[STATUS DA ETAPA]],"")</f>
        <v/>
      </c>
      <c r="CL49" s="21" t="str">
        <f>IF([1]!BANCO10[[#This Row],[SOLUÇÃO]]=CL$1,[1]!BANCO10[[#This Row],[STATUS DA ETAPA]],"")</f>
        <v/>
      </c>
      <c r="CM49" s="21" t="str">
        <f>IF([1]!BANCO10[[#This Row],[SOLUÇÃO]]=CM$1,[1]!BANCO10[[#This Row],[STATUS DA ETAPA]],"")</f>
        <v/>
      </c>
      <c r="CN49" s="21" t="str">
        <f>IF([1]!BANCO10[[#This Row],[SOLUÇÃO]]=CN$1,[1]!BANCO10[[#This Row],[STATUS DA ETAPA]],"")</f>
        <v/>
      </c>
      <c r="CO49" s="21" t="str">
        <f>IF([1]!BANCO10[[#This Row],[SOLUÇÃO]]=CO$1,[1]!BANCO10[[#This Row],[STATUS DA ETAPA]],"")</f>
        <v/>
      </c>
      <c r="CP49" s="21" t="str">
        <f>IF([1]!BANCO10[[#This Row],[SOLUÇÃO]]=CP$1,[1]!BANCO10[[#This Row],[STATUS DA ETAPA]],"")</f>
        <v/>
      </c>
      <c r="CQ49" s="21" t="str">
        <f>IF([1]!BANCO10[[#This Row],[SOLUÇÃO]]=CQ$1,[1]!BANCO10[[#This Row],[STATUS DA ETAPA]],"")</f>
        <v/>
      </c>
      <c r="CR49" s="21" t="str">
        <f>IF([1]!BANCO10[[#This Row],[SOLUÇÃO]]=CR$1,[1]!BANCO10[[#This Row],[STATUS DA ETAPA]],"")</f>
        <v/>
      </c>
      <c r="CS49" s="21" t="str">
        <f>IF([1]!BANCO10[[#This Row],[SOLUÇÃO]]=CS$1,[1]!BANCO10[[#This Row],[STATUS DA ETAPA]],"")</f>
        <v/>
      </c>
      <c r="CT49" s="21" t="str">
        <f>IF([1]!BANCO10[[#This Row],[SOLUÇÃO]]=CT$1,[1]!BANCO10[[#This Row],[STATUS DA ETAPA]],"")</f>
        <v/>
      </c>
      <c r="CU49" s="21" t="str">
        <f>IF([1]!BANCO10[[#This Row],[SOLUÇÃO]]=CU$1,[1]!BANCO10[[#This Row],[STATUS DA ETAPA]],"")</f>
        <v/>
      </c>
      <c r="CV49" s="21" t="str">
        <f>IF([1]!BANCO10[[#This Row],[SOLUÇÃO]]=CV$1,[1]!BANCO10[[#This Row],[STATUS DA ETAPA]],"")</f>
        <v/>
      </c>
    </row>
    <row r="50" spans="1:100">
      <c r="A50" s="44" t="s">
        <v>1</v>
      </c>
      <c r="B50" s="44"/>
      <c r="C50" s="44" t="s">
        <v>1</v>
      </c>
      <c r="D50" s="44"/>
      <c r="E50" s="44" t="s">
        <v>1</v>
      </c>
      <c r="F50" s="44"/>
      <c r="G50" s="44" t="s">
        <v>1</v>
      </c>
      <c r="H50" s="44"/>
      <c r="I50" s="45" t="s">
        <v>1</v>
      </c>
      <c r="J50" s="46"/>
      <c r="K50" s="45" t="s">
        <v>1</v>
      </c>
      <c r="L50" s="33"/>
      <c r="M50" s="45" t="s">
        <v>1</v>
      </c>
      <c r="N50" s="33"/>
      <c r="O50" s="44" t="s">
        <v>2</v>
      </c>
      <c r="P50" s="44">
        <v>45001</v>
      </c>
      <c r="Q50" s="44" t="s">
        <v>2</v>
      </c>
      <c r="R50" s="44">
        <v>45299</v>
      </c>
      <c r="S50" s="44" t="s">
        <v>2</v>
      </c>
      <c r="T50" s="44"/>
      <c r="U50" s="44" t="s">
        <v>2</v>
      </c>
      <c r="V50" s="44"/>
      <c r="W50" s="44"/>
      <c r="X50" s="44"/>
      <c r="Y50" s="44"/>
      <c r="Z50" s="44"/>
      <c r="AA50" s="44" t="s">
        <v>1</v>
      </c>
      <c r="AB50" s="44"/>
      <c r="AC50" s="51">
        <v>45963</v>
      </c>
      <c r="AD50" s="50">
        <v>45963</v>
      </c>
      <c r="AE50" s="41" t="s">
        <v>1</v>
      </c>
      <c r="AF50" s="41" t="s">
        <v>1</v>
      </c>
      <c r="AG50" s="76" t="s">
        <v>5</v>
      </c>
      <c r="AH50" s="36" t="s">
        <v>0</v>
      </c>
      <c r="AI50" s="49">
        <v>0</v>
      </c>
      <c r="AJ50" s="36"/>
      <c r="AK50" s="10" t="s">
        <v>30</v>
      </c>
      <c r="AL50" s="36" t="s">
        <v>30</v>
      </c>
      <c r="AM50" s="36" t="s">
        <v>30</v>
      </c>
      <c r="AN50" s="35" t="s">
        <v>1</v>
      </c>
      <c r="AO50" s="35" t="s">
        <v>1</v>
      </c>
      <c r="AP50" s="35"/>
      <c r="AQ50" s="35" t="s">
        <v>1</v>
      </c>
      <c r="AR50" s="45" t="s">
        <v>1</v>
      </c>
      <c r="AS50" s="46"/>
      <c r="AT50" s="32"/>
      <c r="AU50" s="31"/>
      <c r="AV50" s="32"/>
      <c r="AW50" s="31"/>
      <c r="AX50" s="30" t="s">
        <v>0</v>
      </c>
      <c r="AY50" s="29"/>
      <c r="AZ50" s="28" t="s">
        <v>0</v>
      </c>
      <c r="BA50" s="27"/>
      <c r="BB50" s="74" t="s">
        <v>824</v>
      </c>
      <c r="BC50" s="25"/>
      <c r="BD50" s="24" t="s">
        <v>19</v>
      </c>
      <c r="BE50" s="24" t="s">
        <v>19</v>
      </c>
      <c r="BF50" s="24" t="s">
        <v>51</v>
      </c>
      <c r="BG50" s="24" t="s">
        <v>11</v>
      </c>
      <c r="BH50" s="130" t="s">
        <v>19</v>
      </c>
      <c r="BI50" s="24"/>
      <c r="BJ50" s="24" t="s">
        <v>19</v>
      </c>
      <c r="BK50" s="24" t="s">
        <v>19</v>
      </c>
      <c r="BL50" s="24">
        <v>45402</v>
      </c>
      <c r="BM50" s="24"/>
      <c r="BN50" s="24" t="s">
        <v>11</v>
      </c>
      <c r="BO50" s="24"/>
      <c r="BP50" s="24" t="s">
        <v>823</v>
      </c>
      <c r="BQ50" s="22">
        <f>YEAR([1]!BANCO10[[#This Row],[DATA INÍCIO]])</f>
        <v>2025</v>
      </c>
      <c r="BR50" s="22">
        <f>MONTH([1]!BANCO10[[#This Row],[DATA INÍCIO]])</f>
        <v>11</v>
      </c>
      <c r="BS50" s="129" t="e">
        <f>CONCATENATE(#REF!,#REF!)</f>
        <v>#REF!</v>
      </c>
      <c r="BT50" s="22"/>
      <c r="BU50" s="21" t="s">
        <v>30</v>
      </c>
      <c r="BV50" s="21" t="str">
        <f>IF([1]!BANCO10[[#This Row],[SOLUÇÃO]]=BV$1,[1]!BANCO10[[#This Row],[STATUS DA ETAPA]],"")</f>
        <v/>
      </c>
      <c r="BW50" s="21" t="str">
        <f>IF([1]!BANCO10[[#This Row],[SOLUÇÃO]]=BW$1,[1]!BANCO10[[#This Row],[STATUS DA ETAPA]],"")</f>
        <v/>
      </c>
      <c r="BX50" s="21" t="str">
        <f>IF([1]!BANCO10[[#This Row],[SOLUÇÃO]]=BX$1,[1]!BANCO10[[#This Row],[STATUS DA ETAPA]],"")</f>
        <v/>
      </c>
      <c r="BY50" s="21" t="str">
        <f>IF([1]!BANCO10[[#This Row],[SOLUÇÃO]]=BY$1,[1]!BANCO10[[#This Row],[STATUS DA ETAPA]],"")</f>
        <v/>
      </c>
      <c r="BZ50" s="21" t="str">
        <f>IF([1]!BANCO10[[#This Row],[SOLUÇÃO]]=BZ$1,[1]!BANCO10[[#This Row],[STATUS DA ETAPA]],"")</f>
        <v/>
      </c>
      <c r="CA50" s="21" t="str">
        <f>IF([1]!BANCO10[[#This Row],[SOLUÇÃO]]=CA$1,[1]!BANCO10[[#This Row],[STATUS DA ETAPA]],"")</f>
        <v>PROSPECÇÃO</v>
      </c>
      <c r="CB50" s="21" t="str">
        <f>IF([1]!BANCO10[[#This Row],[SOLUÇÃO]]=CB$1,[1]!BANCO10[[#This Row],[STATUS DA ETAPA]],"")</f>
        <v/>
      </c>
      <c r="CC50" s="21" t="str">
        <f>IF([1]!BANCO10[[#This Row],[SOLUÇÃO]]=CC$1,[1]!BANCO10[[#This Row],[STATUS DA ETAPA]],"")</f>
        <v/>
      </c>
      <c r="CD50" s="21" t="str">
        <f>IF([1]!BANCO10[[#This Row],[SOLUÇÃO]]=CD$1,[1]!BANCO10[[#This Row],[STATUS DA ETAPA]],"")</f>
        <v/>
      </c>
      <c r="CE50" s="21" t="str">
        <f>IF([1]!BANCO10[[#This Row],[SOLUÇÃO]]=CE$1,[1]!BANCO10[[#This Row],[STATUS DA ETAPA]],"")</f>
        <v/>
      </c>
      <c r="CF50" s="21" t="str">
        <f>IF([1]!BANCO10[[#This Row],[SOLUÇÃO]]=CF$1,[1]!BANCO10[[#This Row],[STATUS DA ETAPA]],"")</f>
        <v/>
      </c>
      <c r="CG50" s="21" t="str">
        <f>IF([1]!BANCO10[[#This Row],[SOLUÇÃO]]=CG$1,[1]!BANCO10[[#This Row],[STATUS DA ETAPA]],"")</f>
        <v/>
      </c>
      <c r="CH50" s="21" t="str">
        <f>IF([1]!BANCO10[[#This Row],[SOLUÇÃO]]=CH$1,[1]!BANCO10[[#This Row],[STATUS DA ETAPA]],"")</f>
        <v/>
      </c>
      <c r="CI50" s="21" t="str">
        <f>IF([1]!BANCO10[[#This Row],[SOLUÇÃO]]=CI$1,[1]!BANCO10[[#This Row],[STATUS DA ETAPA]],"")</f>
        <v/>
      </c>
      <c r="CJ50" s="21" t="str">
        <f>IF([1]!BANCO10[[#This Row],[SOLUÇÃO]]=CJ$1,[1]!BANCO10[[#This Row],[STATUS DA ETAPA]],"")</f>
        <v/>
      </c>
      <c r="CK50" s="21" t="str">
        <f>IF([1]!BANCO10[[#This Row],[SOLUÇÃO]]=CK$1,[1]!BANCO10[[#This Row],[STATUS DA ETAPA]],"")</f>
        <v/>
      </c>
      <c r="CL50" s="21" t="str">
        <f>IF([1]!BANCO10[[#This Row],[SOLUÇÃO]]=CL$1,[1]!BANCO10[[#This Row],[STATUS DA ETAPA]],"")</f>
        <v/>
      </c>
      <c r="CM50" s="21" t="str">
        <f>IF([1]!BANCO10[[#This Row],[SOLUÇÃO]]=CM$1,[1]!BANCO10[[#This Row],[STATUS DA ETAPA]],"")</f>
        <v/>
      </c>
      <c r="CN50" s="21" t="str">
        <f>IF([1]!BANCO10[[#This Row],[SOLUÇÃO]]=CN$1,[1]!BANCO10[[#This Row],[STATUS DA ETAPA]],"")</f>
        <v/>
      </c>
      <c r="CO50" s="21" t="str">
        <f>IF([1]!BANCO10[[#This Row],[SOLUÇÃO]]=CO$1,[1]!BANCO10[[#This Row],[STATUS DA ETAPA]],"")</f>
        <v/>
      </c>
      <c r="CP50" s="21" t="str">
        <f>IF([1]!BANCO10[[#This Row],[SOLUÇÃO]]=CP$1,[1]!BANCO10[[#This Row],[STATUS DA ETAPA]],"")</f>
        <v/>
      </c>
      <c r="CQ50" s="21" t="str">
        <f>IF([1]!BANCO10[[#This Row],[SOLUÇÃO]]=CQ$1,[1]!BANCO10[[#This Row],[STATUS DA ETAPA]],"")</f>
        <v/>
      </c>
      <c r="CR50" s="21" t="str">
        <f>IF([1]!BANCO10[[#This Row],[SOLUÇÃO]]=CR$1,[1]!BANCO10[[#This Row],[STATUS DA ETAPA]],"")</f>
        <v/>
      </c>
      <c r="CS50" s="21" t="str">
        <f>IF([1]!BANCO10[[#This Row],[SOLUÇÃO]]=CS$1,[1]!BANCO10[[#This Row],[STATUS DA ETAPA]],"")</f>
        <v/>
      </c>
      <c r="CT50" s="21" t="str">
        <f>IF([1]!BANCO10[[#This Row],[SOLUÇÃO]]=CT$1,[1]!BANCO10[[#This Row],[STATUS DA ETAPA]],"")</f>
        <v/>
      </c>
      <c r="CU50" s="21" t="str">
        <f>IF([1]!BANCO10[[#This Row],[SOLUÇÃO]]=CU$1,[1]!BANCO10[[#This Row],[STATUS DA ETAPA]],"")</f>
        <v/>
      </c>
      <c r="CV50" s="21" t="str">
        <f>IF([1]!BANCO10[[#This Row],[SOLUÇÃO]]=CV$1,[1]!BANCO10[[#This Row],[STATUS DA ETAPA]],"")</f>
        <v/>
      </c>
    </row>
    <row r="51" spans="1:100">
      <c r="A51" s="44" t="s">
        <v>1</v>
      </c>
      <c r="B51" s="44"/>
      <c r="C51" s="44" t="s">
        <v>1</v>
      </c>
      <c r="D51" s="44"/>
      <c r="E51" s="44" t="s">
        <v>1</v>
      </c>
      <c r="F51" s="44"/>
      <c r="G51" s="44" t="s">
        <v>1</v>
      </c>
      <c r="H51" s="44"/>
      <c r="I51" s="45" t="s">
        <v>1</v>
      </c>
      <c r="J51" s="46"/>
      <c r="K51" s="45" t="s">
        <v>1</v>
      </c>
      <c r="L51" s="33"/>
      <c r="M51" s="45" t="s">
        <v>1</v>
      </c>
      <c r="N51" s="33"/>
      <c r="O51" s="44" t="s">
        <v>2</v>
      </c>
      <c r="P51" s="44">
        <v>44984</v>
      </c>
      <c r="Q51" s="44" t="s">
        <v>0</v>
      </c>
      <c r="R51" s="44"/>
      <c r="S51" s="44" t="s">
        <v>1</v>
      </c>
      <c r="T51" s="44"/>
      <c r="U51" s="44" t="s">
        <v>1</v>
      </c>
      <c r="V51" s="44"/>
      <c r="W51" s="44" t="s">
        <v>1</v>
      </c>
      <c r="X51" s="44"/>
      <c r="Y51" s="44" t="s">
        <v>1</v>
      </c>
      <c r="Z51" s="44"/>
      <c r="AA51" s="44" t="s">
        <v>1</v>
      </c>
      <c r="AB51" s="44"/>
      <c r="AC51" s="51">
        <v>45001</v>
      </c>
      <c r="AD51" s="83">
        <v>45001</v>
      </c>
      <c r="AE51" s="40" t="s">
        <v>1</v>
      </c>
      <c r="AF51" s="40" t="s">
        <v>1</v>
      </c>
      <c r="AG51" s="76" t="s">
        <v>5</v>
      </c>
      <c r="AH51" s="36" t="s">
        <v>1</v>
      </c>
      <c r="AI51" s="49">
        <v>0</v>
      </c>
      <c r="AJ51" s="36" t="s">
        <v>1</v>
      </c>
      <c r="AK51" s="10" t="s">
        <v>1</v>
      </c>
      <c r="AL51" s="36" t="s">
        <v>1</v>
      </c>
      <c r="AM51" s="36" t="s">
        <v>1</v>
      </c>
      <c r="AN51" s="35" t="s">
        <v>1</v>
      </c>
      <c r="AO51" s="35" t="s">
        <v>1</v>
      </c>
      <c r="AP51" s="35" t="s">
        <v>1</v>
      </c>
      <c r="AQ51" s="35" t="s">
        <v>1</v>
      </c>
      <c r="AR51" s="82" t="s">
        <v>1</v>
      </c>
      <c r="AS51" s="46"/>
      <c r="AT51" s="32" t="s">
        <v>1</v>
      </c>
      <c r="AU51" s="31"/>
      <c r="AV51" s="32" t="s">
        <v>1</v>
      </c>
      <c r="AW51" s="31"/>
      <c r="AX51" s="30" t="s">
        <v>1</v>
      </c>
      <c r="AY51" s="55"/>
      <c r="AZ51" s="30" t="s">
        <v>1</v>
      </c>
      <c r="BA51" s="55"/>
      <c r="BB51" s="74"/>
      <c r="BC51" s="25"/>
      <c r="BD51" s="24" t="s">
        <v>11</v>
      </c>
      <c r="BE51" s="24" t="s">
        <v>11</v>
      </c>
      <c r="BF51" s="24" t="s">
        <v>21</v>
      </c>
      <c r="BG51" s="24" t="s">
        <v>11</v>
      </c>
      <c r="BH51" s="130" t="s">
        <v>18</v>
      </c>
      <c r="BI51" s="24" t="s">
        <v>243</v>
      </c>
      <c r="BJ51" s="24" t="s">
        <v>11</v>
      </c>
      <c r="BK51" s="24" t="s">
        <v>11</v>
      </c>
      <c r="BL51" s="24" t="s">
        <v>11</v>
      </c>
      <c r="BM51" s="24" t="s">
        <v>11</v>
      </c>
      <c r="BN51" s="24" t="s">
        <v>11</v>
      </c>
      <c r="BO51" s="24" t="s">
        <v>11</v>
      </c>
      <c r="BP51" s="24" t="s">
        <v>11</v>
      </c>
      <c r="BQ51" s="22">
        <f>YEAR([1]!BANCO10[[#This Row],[DATA INÍCIO]])</f>
        <v>2023</v>
      </c>
      <c r="BR51" s="22">
        <f>MONTH([1]!BANCO10[[#This Row],[DATA INÍCIO]])</f>
        <v>3</v>
      </c>
      <c r="BS51" s="129" t="e">
        <f>CONCATENATE(#REF!,#REF!)</f>
        <v>#REF!</v>
      </c>
      <c r="BT51" s="22"/>
      <c r="BU51" s="21" t="s">
        <v>822</v>
      </c>
      <c r="BV51" s="21" t="str">
        <f>IF([1]!BANCO10[[#This Row],[SOLUÇÃO]]=BV$1,[1]!BANCO10[[#This Row],[STATUS DA ETAPA]],"")</f>
        <v>CONCLUÍDO</v>
      </c>
      <c r="BW51" s="21" t="str">
        <f>IF([1]!BANCO10[[#This Row],[SOLUÇÃO]]=BW$1,[1]!BANCO10[[#This Row],[STATUS DA ETAPA]],"")</f>
        <v/>
      </c>
      <c r="BX51" s="21" t="str">
        <f>IF([1]!BANCO10[[#This Row],[SOLUÇÃO]]=BX$1,[1]!BANCO10[[#This Row],[STATUS DA ETAPA]],"")</f>
        <v/>
      </c>
      <c r="BY51" s="21" t="str">
        <f>IF([1]!BANCO10[[#This Row],[SOLUÇÃO]]=BY$1,[1]!BANCO10[[#This Row],[STATUS DA ETAPA]],"")</f>
        <v/>
      </c>
      <c r="BZ51" s="21" t="str">
        <f>IF([1]!BANCO10[[#This Row],[SOLUÇÃO]]=BZ$1,[1]!BANCO10[[#This Row],[STATUS DA ETAPA]],"")</f>
        <v/>
      </c>
      <c r="CA51" s="21" t="str">
        <f>IF([1]!BANCO10[[#This Row],[SOLUÇÃO]]=CA$1,[1]!BANCO10[[#This Row],[STATUS DA ETAPA]],"")</f>
        <v/>
      </c>
      <c r="CB51" s="21" t="str">
        <f>IF([1]!BANCO10[[#This Row],[SOLUÇÃO]]=CB$1,[1]!BANCO10[[#This Row],[STATUS DA ETAPA]],"")</f>
        <v/>
      </c>
      <c r="CC51" s="21" t="str">
        <f>IF([1]!BANCO10[[#This Row],[SOLUÇÃO]]=CC$1,[1]!BANCO10[[#This Row],[STATUS DA ETAPA]],"")</f>
        <v/>
      </c>
      <c r="CD51" s="21" t="str">
        <f>IF([1]!BANCO10[[#This Row],[SOLUÇÃO]]=CD$1,[1]!BANCO10[[#This Row],[STATUS DA ETAPA]],"")</f>
        <v/>
      </c>
      <c r="CE51" s="21" t="str">
        <f>IF([1]!BANCO10[[#This Row],[SOLUÇÃO]]=CE$1,[1]!BANCO10[[#This Row],[STATUS DA ETAPA]],"")</f>
        <v/>
      </c>
      <c r="CF51" s="21" t="str">
        <f>IF([1]!BANCO10[[#This Row],[SOLUÇÃO]]=CF$1,[1]!BANCO10[[#This Row],[STATUS DA ETAPA]],"")</f>
        <v/>
      </c>
      <c r="CG51" s="21" t="str">
        <f>IF([1]!BANCO10[[#This Row],[SOLUÇÃO]]=CG$1,[1]!BANCO10[[#This Row],[STATUS DA ETAPA]],"")</f>
        <v/>
      </c>
      <c r="CH51" s="21" t="str">
        <f>IF([1]!BANCO10[[#This Row],[SOLUÇÃO]]=CH$1,[1]!BANCO10[[#This Row],[STATUS DA ETAPA]],"")</f>
        <v/>
      </c>
      <c r="CI51" s="21" t="str">
        <f>IF([1]!BANCO10[[#This Row],[SOLUÇÃO]]=CI$1,[1]!BANCO10[[#This Row],[STATUS DA ETAPA]],"")</f>
        <v/>
      </c>
      <c r="CJ51" s="21" t="str">
        <f>IF([1]!BANCO10[[#This Row],[SOLUÇÃO]]=CJ$1,[1]!BANCO10[[#This Row],[STATUS DA ETAPA]],"")</f>
        <v/>
      </c>
      <c r="CK51" s="21" t="str">
        <f>IF([1]!BANCO10[[#This Row],[SOLUÇÃO]]=CK$1,[1]!BANCO10[[#This Row],[STATUS DA ETAPA]],"")</f>
        <v/>
      </c>
      <c r="CL51" s="21" t="str">
        <f>IF([1]!BANCO10[[#This Row],[SOLUÇÃO]]=CL$1,[1]!BANCO10[[#This Row],[STATUS DA ETAPA]],"")</f>
        <v/>
      </c>
      <c r="CM51" s="21" t="str">
        <f>IF([1]!BANCO10[[#This Row],[SOLUÇÃO]]=CM$1,[1]!BANCO10[[#This Row],[STATUS DA ETAPA]],"")</f>
        <v/>
      </c>
      <c r="CN51" s="21" t="str">
        <f>IF([1]!BANCO10[[#This Row],[SOLUÇÃO]]=CN$1,[1]!BANCO10[[#This Row],[STATUS DA ETAPA]],"")</f>
        <v/>
      </c>
      <c r="CO51" s="21" t="str">
        <f>IF([1]!BANCO10[[#This Row],[SOLUÇÃO]]=CO$1,[1]!BANCO10[[#This Row],[STATUS DA ETAPA]],"")</f>
        <v/>
      </c>
      <c r="CP51" s="21" t="str">
        <f>IF([1]!BANCO10[[#This Row],[SOLUÇÃO]]=CP$1,[1]!BANCO10[[#This Row],[STATUS DA ETAPA]],"")</f>
        <v/>
      </c>
      <c r="CQ51" s="21" t="str">
        <f>IF([1]!BANCO10[[#This Row],[SOLUÇÃO]]=CQ$1,[1]!BANCO10[[#This Row],[STATUS DA ETAPA]],"")</f>
        <v/>
      </c>
      <c r="CR51" s="21" t="str">
        <f>IF([1]!BANCO10[[#This Row],[SOLUÇÃO]]=CR$1,[1]!BANCO10[[#This Row],[STATUS DA ETAPA]],"")</f>
        <v/>
      </c>
      <c r="CS51" s="21" t="str">
        <f>IF([1]!BANCO10[[#This Row],[SOLUÇÃO]]=CS$1,[1]!BANCO10[[#This Row],[STATUS DA ETAPA]],"")</f>
        <v/>
      </c>
      <c r="CT51" s="21" t="str">
        <f>IF([1]!BANCO10[[#This Row],[SOLUÇÃO]]=CT$1,[1]!BANCO10[[#This Row],[STATUS DA ETAPA]],"")</f>
        <v/>
      </c>
      <c r="CU51" s="21" t="str">
        <f>IF([1]!BANCO10[[#This Row],[SOLUÇÃO]]=CU$1,[1]!BANCO10[[#This Row],[STATUS DA ETAPA]],"")</f>
        <v/>
      </c>
      <c r="CV51" s="21" t="str">
        <f>IF([1]!BANCO10[[#This Row],[SOLUÇÃO]]=CV$1,[1]!BANCO10[[#This Row],[STATUS DA ETAPA]],"")</f>
        <v/>
      </c>
    </row>
    <row r="52" spans="1:100">
      <c r="A52" s="44" t="s">
        <v>1</v>
      </c>
      <c r="B52" s="44"/>
      <c r="C52" s="44" t="s">
        <v>1</v>
      </c>
      <c r="D52" s="44"/>
      <c r="E52" s="44" t="s">
        <v>1</v>
      </c>
      <c r="F52" s="44"/>
      <c r="G52" s="44" t="s">
        <v>1</v>
      </c>
      <c r="H52" s="44"/>
      <c r="I52" s="45" t="s">
        <v>1</v>
      </c>
      <c r="J52" s="46"/>
      <c r="K52" s="45" t="s">
        <v>1</v>
      </c>
      <c r="L52" s="33"/>
      <c r="M52" s="45" t="s">
        <v>1</v>
      </c>
      <c r="N52" s="33"/>
      <c r="O52" s="44" t="s">
        <v>2</v>
      </c>
      <c r="P52" s="44">
        <v>44984</v>
      </c>
      <c r="Q52" s="44" t="s">
        <v>2</v>
      </c>
      <c r="R52" s="44">
        <v>45299</v>
      </c>
      <c r="S52" s="44" t="s">
        <v>2</v>
      </c>
      <c r="T52" s="44">
        <v>45005</v>
      </c>
      <c r="U52" s="44" t="s">
        <v>2</v>
      </c>
      <c r="V52" s="44">
        <v>45016</v>
      </c>
      <c r="W52" s="44" t="s">
        <v>2</v>
      </c>
      <c r="X52" s="44"/>
      <c r="Y52" s="44" t="s">
        <v>2</v>
      </c>
      <c r="Z52" s="44">
        <v>45016</v>
      </c>
      <c r="AA52" s="44" t="s">
        <v>2</v>
      </c>
      <c r="AB52" s="44"/>
      <c r="AC52" s="51">
        <v>45051</v>
      </c>
      <c r="AD52" s="83">
        <v>45173</v>
      </c>
      <c r="AE52" s="40" t="s">
        <v>2</v>
      </c>
      <c r="AF52" s="40" t="s">
        <v>2</v>
      </c>
      <c r="AG52" s="76" t="s">
        <v>5</v>
      </c>
      <c r="AH52" s="36" t="s">
        <v>0</v>
      </c>
      <c r="AI52" s="49">
        <v>16500</v>
      </c>
      <c r="AJ52" s="36"/>
      <c r="AK52" s="10"/>
      <c r="AL52" s="36" t="s">
        <v>1</v>
      </c>
      <c r="AM52" s="36" t="s">
        <v>1</v>
      </c>
      <c r="AN52" s="35" t="s">
        <v>1</v>
      </c>
      <c r="AO52" s="35" t="s">
        <v>1</v>
      </c>
      <c r="AP52" s="35" t="s">
        <v>2</v>
      </c>
      <c r="AQ52" s="35" t="s">
        <v>1</v>
      </c>
      <c r="AR52" s="34" t="s">
        <v>1</v>
      </c>
      <c r="AS52" s="46"/>
      <c r="AT52" s="32" t="s">
        <v>1</v>
      </c>
      <c r="AU52" s="31"/>
      <c r="AV52" s="32" t="s">
        <v>1</v>
      </c>
      <c r="AW52" s="31"/>
      <c r="AX52" s="30" t="s">
        <v>2</v>
      </c>
      <c r="AY52" s="55">
        <v>45173</v>
      </c>
      <c r="AZ52" s="30" t="s">
        <v>2</v>
      </c>
      <c r="BA52" s="55"/>
      <c r="BB52" s="74"/>
      <c r="BC52" s="25"/>
      <c r="BD52" s="24" t="s">
        <v>11</v>
      </c>
      <c r="BE52" s="24" t="s">
        <v>11</v>
      </c>
      <c r="BF52" s="24" t="s">
        <v>21</v>
      </c>
      <c r="BG52" s="24" t="s">
        <v>11</v>
      </c>
      <c r="BH52" s="130" t="s">
        <v>18</v>
      </c>
      <c r="BI52" s="24" t="s">
        <v>243</v>
      </c>
      <c r="BJ52" s="24" t="s">
        <v>37</v>
      </c>
      <c r="BK52" s="24" t="s">
        <v>19</v>
      </c>
      <c r="BL52" s="24">
        <v>45402</v>
      </c>
      <c r="BM52" s="24" t="s">
        <v>18</v>
      </c>
      <c r="BN52" s="24" t="s">
        <v>11</v>
      </c>
      <c r="BO52" s="24"/>
      <c r="BP52" s="24" t="s">
        <v>821</v>
      </c>
      <c r="BQ52" s="22">
        <f>YEAR([1]!BANCO10[[#This Row],[DATA INÍCIO]])</f>
        <v>2023</v>
      </c>
      <c r="BR52" s="22">
        <f>MONTH([1]!BANCO10[[#This Row],[DATA INÍCIO]])</f>
        <v>5</v>
      </c>
      <c r="BS52" s="129" t="e">
        <f>CONCATENATE(#REF!,#REF!)</f>
        <v>#REF!</v>
      </c>
      <c r="BT52" s="22"/>
      <c r="BU52" s="21" t="s">
        <v>820</v>
      </c>
      <c r="BV52" s="21" t="str">
        <f>IF([1]!BANCO10[[#This Row],[SOLUÇÃO]]=BV$1,[1]!BANCO10[[#This Row],[STATUS DA ETAPA]],"")</f>
        <v/>
      </c>
      <c r="BW52" s="21" t="str">
        <f>IF([1]!BANCO10[[#This Row],[SOLUÇÃO]]=BW$1,[1]!BANCO10[[#This Row],[STATUS DA ETAPA]],"")</f>
        <v/>
      </c>
      <c r="BX52" s="21" t="str">
        <f>IF([1]!BANCO10[[#This Row],[SOLUÇÃO]]=BX$1,[1]!BANCO10[[#This Row],[STATUS DA ETAPA]],"")</f>
        <v/>
      </c>
      <c r="BY52" s="21" t="str">
        <f>IF([1]!BANCO10[[#This Row],[SOLUÇÃO]]=BY$1,[1]!BANCO10[[#This Row],[STATUS DA ETAPA]],"")</f>
        <v/>
      </c>
      <c r="BZ52" s="21" t="str">
        <f>IF([1]!BANCO10[[#This Row],[SOLUÇÃO]]=BZ$1,[1]!BANCO10[[#This Row],[STATUS DA ETAPA]],"")</f>
        <v/>
      </c>
      <c r="CA52" s="21" t="str">
        <f>IF([1]!BANCO10[[#This Row],[SOLUÇÃO]]=CA$1,[1]!BANCO10[[#This Row],[STATUS DA ETAPA]],"")</f>
        <v>CONCLUÍDO</v>
      </c>
      <c r="CB52" s="21" t="str">
        <f>IF([1]!BANCO10[[#This Row],[SOLUÇÃO]]=CB$1,[1]!BANCO10[[#This Row],[STATUS DA ETAPA]],"")</f>
        <v/>
      </c>
      <c r="CC52" s="21" t="str">
        <f>IF([1]!BANCO10[[#This Row],[SOLUÇÃO]]=CC$1,[1]!BANCO10[[#This Row],[STATUS DA ETAPA]],"")</f>
        <v/>
      </c>
      <c r="CD52" s="21" t="str">
        <f>IF([1]!BANCO10[[#This Row],[SOLUÇÃO]]=CD$1,[1]!BANCO10[[#This Row],[STATUS DA ETAPA]],"")</f>
        <v/>
      </c>
      <c r="CE52" s="21" t="str">
        <f>IF([1]!BANCO10[[#This Row],[SOLUÇÃO]]=CE$1,[1]!BANCO10[[#This Row],[STATUS DA ETAPA]],"")</f>
        <v/>
      </c>
      <c r="CF52" s="21" t="str">
        <f>IF([1]!BANCO10[[#This Row],[SOLUÇÃO]]=CF$1,[1]!BANCO10[[#This Row],[STATUS DA ETAPA]],"")</f>
        <v/>
      </c>
      <c r="CG52" s="21" t="str">
        <f>IF([1]!BANCO10[[#This Row],[SOLUÇÃO]]=CG$1,[1]!BANCO10[[#This Row],[STATUS DA ETAPA]],"")</f>
        <v/>
      </c>
      <c r="CH52" s="21" t="str">
        <f>IF([1]!BANCO10[[#This Row],[SOLUÇÃO]]=CH$1,[1]!BANCO10[[#This Row],[STATUS DA ETAPA]],"")</f>
        <v/>
      </c>
      <c r="CI52" s="21" t="str">
        <f>IF([1]!BANCO10[[#This Row],[SOLUÇÃO]]=CI$1,[1]!BANCO10[[#This Row],[STATUS DA ETAPA]],"")</f>
        <v/>
      </c>
      <c r="CJ52" s="21" t="str">
        <f>IF([1]!BANCO10[[#This Row],[SOLUÇÃO]]=CJ$1,[1]!BANCO10[[#This Row],[STATUS DA ETAPA]],"")</f>
        <v/>
      </c>
      <c r="CK52" s="21" t="str">
        <f>IF([1]!BANCO10[[#This Row],[SOLUÇÃO]]=CK$1,[1]!BANCO10[[#This Row],[STATUS DA ETAPA]],"")</f>
        <v/>
      </c>
      <c r="CL52" s="21" t="str">
        <f>IF([1]!BANCO10[[#This Row],[SOLUÇÃO]]=CL$1,[1]!BANCO10[[#This Row],[STATUS DA ETAPA]],"")</f>
        <v/>
      </c>
      <c r="CM52" s="21" t="str">
        <f>IF([1]!BANCO10[[#This Row],[SOLUÇÃO]]=CM$1,[1]!BANCO10[[#This Row],[STATUS DA ETAPA]],"")</f>
        <v/>
      </c>
      <c r="CN52" s="21" t="str">
        <f>IF([1]!BANCO10[[#This Row],[SOLUÇÃO]]=CN$1,[1]!BANCO10[[#This Row],[STATUS DA ETAPA]],"")</f>
        <v/>
      </c>
      <c r="CO52" s="21" t="str">
        <f>IF([1]!BANCO10[[#This Row],[SOLUÇÃO]]=CO$1,[1]!BANCO10[[#This Row],[STATUS DA ETAPA]],"")</f>
        <v/>
      </c>
      <c r="CP52" s="21" t="str">
        <f>IF([1]!BANCO10[[#This Row],[SOLUÇÃO]]=CP$1,[1]!BANCO10[[#This Row],[STATUS DA ETAPA]],"")</f>
        <v/>
      </c>
      <c r="CQ52" s="21" t="str">
        <f>IF([1]!BANCO10[[#This Row],[SOLUÇÃO]]=CQ$1,[1]!BANCO10[[#This Row],[STATUS DA ETAPA]],"")</f>
        <v/>
      </c>
      <c r="CR52" s="21" t="str">
        <f>IF([1]!BANCO10[[#This Row],[SOLUÇÃO]]=CR$1,[1]!BANCO10[[#This Row],[STATUS DA ETAPA]],"")</f>
        <v/>
      </c>
      <c r="CS52" s="21" t="str">
        <f>IF([1]!BANCO10[[#This Row],[SOLUÇÃO]]=CS$1,[1]!BANCO10[[#This Row],[STATUS DA ETAPA]],"")</f>
        <v/>
      </c>
      <c r="CT52" s="21" t="str">
        <f>IF([1]!BANCO10[[#This Row],[SOLUÇÃO]]=CT$1,[1]!BANCO10[[#This Row],[STATUS DA ETAPA]],"")</f>
        <v/>
      </c>
      <c r="CU52" s="21" t="str">
        <f>IF([1]!BANCO10[[#This Row],[SOLUÇÃO]]=CU$1,[1]!BANCO10[[#This Row],[STATUS DA ETAPA]],"")</f>
        <v/>
      </c>
      <c r="CV52" s="21" t="str">
        <f>IF([1]!BANCO10[[#This Row],[SOLUÇÃO]]=CV$1,[1]!BANCO10[[#This Row],[STATUS DA ETAPA]],"")</f>
        <v/>
      </c>
    </row>
    <row r="53" spans="1:100">
      <c r="A53" s="44" t="s">
        <v>1</v>
      </c>
      <c r="B53" s="44"/>
      <c r="C53" s="44" t="s">
        <v>1</v>
      </c>
      <c r="D53" s="44"/>
      <c r="E53" s="44" t="s">
        <v>1</v>
      </c>
      <c r="F53" s="44"/>
      <c r="G53" s="44" t="s">
        <v>1</v>
      </c>
      <c r="H53" s="44"/>
      <c r="I53" s="45" t="s">
        <v>1</v>
      </c>
      <c r="J53" s="46"/>
      <c r="K53" s="45" t="s">
        <v>1</v>
      </c>
      <c r="L53" s="33"/>
      <c r="M53" s="45" t="s">
        <v>1</v>
      </c>
      <c r="N53" s="33"/>
      <c r="O53" s="44" t="s">
        <v>2</v>
      </c>
      <c r="P53" s="44">
        <v>45091</v>
      </c>
      <c r="Q53" s="44" t="s">
        <v>2</v>
      </c>
      <c r="R53" s="44">
        <v>45300</v>
      </c>
      <c r="S53" s="44"/>
      <c r="T53" s="44"/>
      <c r="U53" s="44" t="s">
        <v>1</v>
      </c>
      <c r="V53" s="44"/>
      <c r="W53" s="44" t="s">
        <v>1</v>
      </c>
      <c r="X53" s="44"/>
      <c r="Y53" s="44" t="s">
        <v>1</v>
      </c>
      <c r="Z53" s="44"/>
      <c r="AA53" s="44" t="s">
        <v>1</v>
      </c>
      <c r="AB53" s="44"/>
      <c r="AC53" s="51">
        <v>45931</v>
      </c>
      <c r="AD53" s="50">
        <v>46022</v>
      </c>
      <c r="AE53" s="41" t="s">
        <v>1</v>
      </c>
      <c r="AF53" s="41" t="s">
        <v>1</v>
      </c>
      <c r="AG53" s="76" t="s">
        <v>5</v>
      </c>
      <c r="AH53" s="36" t="s">
        <v>0</v>
      </c>
      <c r="AI53" s="49">
        <v>0</v>
      </c>
      <c r="AJ53" s="36" t="s">
        <v>1</v>
      </c>
      <c r="AK53" s="10" t="s">
        <v>1</v>
      </c>
      <c r="AL53" s="36" t="s">
        <v>1</v>
      </c>
      <c r="AM53" s="36" t="s">
        <v>1</v>
      </c>
      <c r="AN53" s="35"/>
      <c r="AO53" s="35"/>
      <c r="AP53" s="35"/>
      <c r="AQ53" s="35" t="s">
        <v>1</v>
      </c>
      <c r="AR53" s="34" t="s">
        <v>1</v>
      </c>
      <c r="AS53" s="46"/>
      <c r="AT53" s="32"/>
      <c r="AU53" s="31"/>
      <c r="AV53" s="32"/>
      <c r="AW53" s="31"/>
      <c r="AX53" s="30" t="s">
        <v>0</v>
      </c>
      <c r="AY53" s="29"/>
      <c r="AZ53" s="28" t="s">
        <v>0</v>
      </c>
      <c r="BA53" s="27"/>
      <c r="BB53" s="26" t="s">
        <v>7</v>
      </c>
      <c r="BC53" s="25"/>
      <c r="BD53" s="24" t="s">
        <v>11</v>
      </c>
      <c r="BE53" s="24" t="s">
        <v>11</v>
      </c>
      <c r="BF53" s="24" t="s">
        <v>112</v>
      </c>
      <c r="BG53" s="24"/>
      <c r="BH53" s="130"/>
      <c r="BI53" s="24"/>
      <c r="BJ53" s="24" t="s">
        <v>11</v>
      </c>
      <c r="BK53" s="24" t="s">
        <v>11</v>
      </c>
      <c r="BL53" s="24">
        <v>45402</v>
      </c>
      <c r="BM53" s="24"/>
      <c r="BN53" s="24" t="s">
        <v>11</v>
      </c>
      <c r="BO53" s="24"/>
      <c r="BP53" s="24" t="s">
        <v>799</v>
      </c>
      <c r="BQ53" s="22">
        <f>YEAR([1]!BANCO10[[#This Row],[DATA INÍCIO]])</f>
        <v>2025</v>
      </c>
      <c r="BR53" s="22">
        <f>MONTH([1]!BANCO10[[#This Row],[DATA INÍCIO]])</f>
        <v>10</v>
      </c>
      <c r="BS53" s="129" t="e">
        <f>CONCATENATE(#REF!,#REF!)</f>
        <v>#REF!</v>
      </c>
      <c r="BT53" s="22"/>
      <c r="BU53" s="21" t="s">
        <v>30</v>
      </c>
      <c r="BV53" s="21" t="str">
        <f>IF([1]!BANCO10[[#This Row],[SOLUÇÃO]]=BV$1,[1]!BANCO10[[#This Row],[STATUS DA ETAPA]],"")</f>
        <v/>
      </c>
      <c r="BW53" s="21" t="str">
        <f>IF([1]!BANCO10[[#This Row],[SOLUÇÃO]]=BW$1,[1]!BANCO10[[#This Row],[STATUS DA ETAPA]],"")</f>
        <v/>
      </c>
      <c r="BX53" s="21" t="str">
        <f>IF([1]!BANCO10[[#This Row],[SOLUÇÃO]]=BX$1,[1]!BANCO10[[#This Row],[STATUS DA ETAPA]],"")</f>
        <v/>
      </c>
      <c r="BY53" s="21" t="str">
        <f>IF([1]!BANCO10[[#This Row],[SOLUÇÃO]]=BY$1,[1]!BANCO10[[#This Row],[STATUS DA ETAPA]],"")</f>
        <v/>
      </c>
      <c r="BZ53" s="21" t="str">
        <f>IF([1]!BANCO10[[#This Row],[SOLUÇÃO]]=BZ$1,[1]!BANCO10[[#This Row],[STATUS DA ETAPA]],"")</f>
        <v/>
      </c>
      <c r="CA53" s="21" t="str">
        <f>IF([1]!BANCO10[[#This Row],[SOLUÇÃO]]=CA$1,[1]!BANCO10[[#This Row],[STATUS DA ETAPA]],"")</f>
        <v/>
      </c>
      <c r="CB53" s="21" t="str">
        <f>IF([1]!BANCO10[[#This Row],[SOLUÇÃO]]=CB$1,[1]!BANCO10[[#This Row],[STATUS DA ETAPA]],"")</f>
        <v>CANCELADO</v>
      </c>
      <c r="CC53" s="21" t="str">
        <f>IF([1]!BANCO10[[#This Row],[SOLUÇÃO]]=CC$1,[1]!BANCO10[[#This Row],[STATUS DA ETAPA]],"")</f>
        <v/>
      </c>
      <c r="CD53" s="21" t="str">
        <f>IF([1]!BANCO10[[#This Row],[SOLUÇÃO]]=CD$1,[1]!BANCO10[[#This Row],[STATUS DA ETAPA]],"")</f>
        <v/>
      </c>
      <c r="CE53" s="21" t="str">
        <f>IF([1]!BANCO10[[#This Row],[SOLUÇÃO]]=CE$1,[1]!BANCO10[[#This Row],[STATUS DA ETAPA]],"")</f>
        <v/>
      </c>
      <c r="CF53" s="21" t="str">
        <f>IF([1]!BANCO10[[#This Row],[SOLUÇÃO]]=CF$1,[1]!BANCO10[[#This Row],[STATUS DA ETAPA]],"")</f>
        <v/>
      </c>
      <c r="CG53" s="21" t="str">
        <f>IF([1]!BANCO10[[#This Row],[SOLUÇÃO]]=CG$1,[1]!BANCO10[[#This Row],[STATUS DA ETAPA]],"")</f>
        <v/>
      </c>
      <c r="CH53" s="21" t="str">
        <f>IF([1]!BANCO10[[#This Row],[SOLUÇÃO]]=CH$1,[1]!BANCO10[[#This Row],[STATUS DA ETAPA]],"")</f>
        <v/>
      </c>
      <c r="CI53" s="21" t="str">
        <f>IF([1]!BANCO10[[#This Row],[SOLUÇÃO]]=CI$1,[1]!BANCO10[[#This Row],[STATUS DA ETAPA]],"")</f>
        <v/>
      </c>
      <c r="CJ53" s="21" t="str">
        <f>IF([1]!BANCO10[[#This Row],[SOLUÇÃO]]=CJ$1,[1]!BANCO10[[#This Row],[STATUS DA ETAPA]],"")</f>
        <v/>
      </c>
      <c r="CK53" s="21" t="str">
        <f>IF([1]!BANCO10[[#This Row],[SOLUÇÃO]]=CK$1,[1]!BANCO10[[#This Row],[STATUS DA ETAPA]],"")</f>
        <v/>
      </c>
      <c r="CL53" s="21" t="str">
        <f>IF([1]!BANCO10[[#This Row],[SOLUÇÃO]]=CL$1,[1]!BANCO10[[#This Row],[STATUS DA ETAPA]],"")</f>
        <v/>
      </c>
      <c r="CM53" s="21" t="str">
        <f>IF([1]!BANCO10[[#This Row],[SOLUÇÃO]]=CM$1,[1]!BANCO10[[#This Row],[STATUS DA ETAPA]],"")</f>
        <v/>
      </c>
      <c r="CN53" s="21" t="str">
        <f>IF([1]!BANCO10[[#This Row],[SOLUÇÃO]]=CN$1,[1]!BANCO10[[#This Row],[STATUS DA ETAPA]],"")</f>
        <v/>
      </c>
      <c r="CO53" s="21" t="str">
        <f>IF([1]!BANCO10[[#This Row],[SOLUÇÃO]]=CO$1,[1]!BANCO10[[#This Row],[STATUS DA ETAPA]],"")</f>
        <v/>
      </c>
      <c r="CP53" s="21" t="str">
        <f>IF([1]!BANCO10[[#This Row],[SOLUÇÃO]]=CP$1,[1]!BANCO10[[#This Row],[STATUS DA ETAPA]],"")</f>
        <v/>
      </c>
      <c r="CQ53" s="21" t="str">
        <f>IF([1]!BANCO10[[#This Row],[SOLUÇÃO]]=CQ$1,[1]!BANCO10[[#This Row],[STATUS DA ETAPA]],"")</f>
        <v/>
      </c>
      <c r="CR53" s="21" t="str">
        <f>IF([1]!BANCO10[[#This Row],[SOLUÇÃO]]=CR$1,[1]!BANCO10[[#This Row],[STATUS DA ETAPA]],"")</f>
        <v/>
      </c>
      <c r="CS53" s="21" t="str">
        <f>IF([1]!BANCO10[[#This Row],[SOLUÇÃO]]=CS$1,[1]!BANCO10[[#This Row],[STATUS DA ETAPA]],"")</f>
        <v/>
      </c>
      <c r="CT53" s="21" t="str">
        <f>IF([1]!BANCO10[[#This Row],[SOLUÇÃO]]=CT$1,[1]!BANCO10[[#This Row],[STATUS DA ETAPA]],"")</f>
        <v/>
      </c>
      <c r="CU53" s="21" t="str">
        <f>IF([1]!BANCO10[[#This Row],[SOLUÇÃO]]=CU$1,[1]!BANCO10[[#This Row],[STATUS DA ETAPA]],"")</f>
        <v/>
      </c>
      <c r="CV53" s="21" t="str">
        <f>IF([1]!BANCO10[[#This Row],[SOLUÇÃO]]=CV$1,[1]!BANCO10[[#This Row],[STATUS DA ETAPA]],"")</f>
        <v/>
      </c>
    </row>
    <row r="54" spans="1:100">
      <c r="A54" s="44" t="s">
        <v>2</v>
      </c>
      <c r="B54" s="44">
        <v>45889</v>
      </c>
      <c r="C54" s="44" t="s">
        <v>2</v>
      </c>
      <c r="D54" s="44">
        <v>45889</v>
      </c>
      <c r="E54" s="44" t="s">
        <v>2</v>
      </c>
      <c r="F54" s="44">
        <v>45910</v>
      </c>
      <c r="G54" s="44" t="s">
        <v>2</v>
      </c>
      <c r="H54" s="44">
        <v>45910</v>
      </c>
      <c r="I54" s="45" t="s">
        <v>2</v>
      </c>
      <c r="J54" s="46">
        <v>45902</v>
      </c>
      <c r="K54" s="45" t="s">
        <v>2</v>
      </c>
      <c r="L54" s="33">
        <v>45902</v>
      </c>
      <c r="M54" s="45" t="s">
        <v>2</v>
      </c>
      <c r="N54" s="33">
        <v>45902</v>
      </c>
      <c r="O54" s="44" t="s">
        <v>1</v>
      </c>
      <c r="P54" s="44"/>
      <c r="Q54" s="44" t="s">
        <v>0</v>
      </c>
      <c r="R54" s="44">
        <v>45796</v>
      </c>
      <c r="S54" s="44"/>
      <c r="T54" s="44"/>
      <c r="U54" s="44" t="s">
        <v>1</v>
      </c>
      <c r="V54" s="44"/>
      <c r="W54" s="44" t="s">
        <v>0</v>
      </c>
      <c r="X54" s="44"/>
      <c r="Y54" s="44" t="s">
        <v>0</v>
      </c>
      <c r="Z54" s="44"/>
      <c r="AA54" s="44" t="s">
        <v>0</v>
      </c>
      <c r="AB54" s="44"/>
      <c r="AC54" s="51">
        <v>45932</v>
      </c>
      <c r="AD54" s="50">
        <v>45981</v>
      </c>
      <c r="AE54" s="54" t="s">
        <v>2</v>
      </c>
      <c r="AF54" s="41" t="s">
        <v>0</v>
      </c>
      <c r="AG54" s="40" t="s">
        <v>5</v>
      </c>
      <c r="AH54" s="36" t="s">
        <v>0</v>
      </c>
      <c r="AI54" s="49">
        <v>20140</v>
      </c>
      <c r="AJ54" s="36" t="s">
        <v>6</v>
      </c>
      <c r="AK54" s="10">
        <v>710781</v>
      </c>
      <c r="AL54" s="36" t="s">
        <v>1</v>
      </c>
      <c r="AM54" s="36" t="s">
        <v>1</v>
      </c>
      <c r="AN54" s="35" t="s">
        <v>0</v>
      </c>
      <c r="AO54" s="35" t="s">
        <v>0</v>
      </c>
      <c r="AP54" s="35" t="s">
        <v>0</v>
      </c>
      <c r="AQ54" s="35" t="s">
        <v>0</v>
      </c>
      <c r="AR54" s="45" t="s">
        <v>0</v>
      </c>
      <c r="AS54" s="46"/>
      <c r="AT54" s="32" t="s">
        <v>0</v>
      </c>
      <c r="AU54" s="31"/>
      <c r="AV54" s="32" t="s">
        <v>0</v>
      </c>
      <c r="AW54" s="31"/>
      <c r="AX54" s="32" t="s">
        <v>0</v>
      </c>
      <c r="AY54" s="31"/>
      <c r="AZ54" s="32" t="s">
        <v>0</v>
      </c>
      <c r="BA54" s="31"/>
      <c r="BB54" s="74" t="s">
        <v>7</v>
      </c>
      <c r="BC54" s="25"/>
      <c r="BD54" s="24"/>
      <c r="BE54" s="24"/>
      <c r="BF54" s="24"/>
      <c r="BG54" s="24"/>
      <c r="BH54" s="24"/>
      <c r="BI54" s="24"/>
      <c r="BJ54" s="24"/>
      <c r="BK54" s="24"/>
      <c r="BL54" s="24"/>
      <c r="BM54" s="24"/>
      <c r="BN54" s="24"/>
      <c r="BO54" s="24"/>
      <c r="BP54" s="24"/>
      <c r="BQ54" s="22">
        <f>YEAR([1]!BANCO10[[#This Row],[DATA INÍCIO]])</f>
        <v>2025</v>
      </c>
      <c r="BR54" s="22">
        <f>MONTH([1]!BANCO10[[#This Row],[DATA INÍCIO]])</f>
        <v>10</v>
      </c>
      <c r="BS54" s="23" t="e">
        <f>CONCATENATE(#REF!,#REF!)</f>
        <v>#REF!</v>
      </c>
      <c r="BT54" s="22"/>
      <c r="BU54" s="22"/>
      <c r="BV54" s="21" t="str">
        <f>IF([1]!BANCO10[[#This Row],[SOLUÇÃO]]=BV$1,[1]!BANCO10[[#This Row],[STATUS DA ETAPA]],"")</f>
        <v/>
      </c>
      <c r="BW54" s="21" t="str">
        <f>IF([1]!BANCO10[[#This Row],[SOLUÇÃO]]=BW$1,[1]!BANCO10[[#This Row],[STATUS DA ETAPA]],"")</f>
        <v/>
      </c>
      <c r="BX54" s="21" t="str">
        <f>IF([1]!BANCO10[[#This Row],[SOLUÇÃO]]=BX$1,[1]!BANCO10[[#This Row],[STATUS DA ETAPA]],"")</f>
        <v/>
      </c>
      <c r="BY54" s="21" t="str">
        <f>IF([1]!BANCO10[[#This Row],[SOLUÇÃO]]=BY$1,[1]!BANCO10[[#This Row],[STATUS DA ETAPA]],"")</f>
        <v/>
      </c>
      <c r="BZ54" s="21" t="str">
        <f>IF([1]!BANCO10[[#This Row],[SOLUÇÃO]]=BZ$1,[1]!BANCO10[[#This Row],[STATUS DA ETAPA]],"")</f>
        <v/>
      </c>
      <c r="CA54" s="21" t="str">
        <f>IF([1]!BANCO10[[#This Row],[SOLUÇÃO]]=CA$1,[1]!BANCO10[[#This Row],[STATUS DA ETAPA]],"")</f>
        <v/>
      </c>
      <c r="CB54" s="21" t="str">
        <f>IF([1]!BANCO10[[#This Row],[SOLUÇÃO]]=CB$1,[1]!BANCO10[[#This Row],[STATUS DA ETAPA]],"")</f>
        <v>EM ANDAMENTO</v>
      </c>
      <c r="CC54" s="21" t="str">
        <f>IF([1]!BANCO10[[#This Row],[SOLUÇÃO]]=CC$1,[1]!BANCO10[[#This Row],[STATUS DA ETAPA]],"")</f>
        <v/>
      </c>
      <c r="CD54" s="21" t="str">
        <f>IF([1]!BANCO10[[#This Row],[SOLUÇÃO]]=CD$1,[1]!BANCO10[[#This Row],[STATUS DA ETAPA]],"")</f>
        <v/>
      </c>
      <c r="CE54" s="21" t="str">
        <f>IF([1]!BANCO10[[#This Row],[SOLUÇÃO]]=CE$1,[1]!BANCO10[[#This Row],[STATUS DA ETAPA]],"")</f>
        <v/>
      </c>
      <c r="CF54" s="21" t="str">
        <f>IF([1]!BANCO10[[#This Row],[SOLUÇÃO]]=CF$1,[1]!BANCO10[[#This Row],[STATUS DA ETAPA]],"")</f>
        <v/>
      </c>
      <c r="CG54" s="21" t="str">
        <f>IF([1]!BANCO10[[#This Row],[SOLUÇÃO]]=CG$1,[1]!BANCO10[[#This Row],[STATUS DA ETAPA]],"")</f>
        <v/>
      </c>
      <c r="CH54" s="21" t="str">
        <f>IF([1]!BANCO10[[#This Row],[SOLUÇÃO]]=CH$1,[1]!BANCO10[[#This Row],[STATUS DA ETAPA]],"")</f>
        <v/>
      </c>
      <c r="CI54" s="21" t="str">
        <f>IF([1]!BANCO10[[#This Row],[SOLUÇÃO]]=CI$1,[1]!BANCO10[[#This Row],[STATUS DA ETAPA]],"")</f>
        <v/>
      </c>
      <c r="CJ54" s="21" t="str">
        <f>IF([1]!BANCO10[[#This Row],[SOLUÇÃO]]=CJ$1,[1]!BANCO10[[#This Row],[STATUS DA ETAPA]],"")</f>
        <v/>
      </c>
      <c r="CK54" s="21" t="str">
        <f>IF([1]!BANCO10[[#This Row],[SOLUÇÃO]]=CK$1,[1]!BANCO10[[#This Row],[STATUS DA ETAPA]],"")</f>
        <v/>
      </c>
      <c r="CL54" s="21" t="str">
        <f>IF([1]!BANCO10[[#This Row],[SOLUÇÃO]]=CL$1,[1]!BANCO10[[#This Row],[STATUS DA ETAPA]],"")</f>
        <v/>
      </c>
      <c r="CM54" s="21" t="str">
        <f>IF([1]!BANCO10[[#This Row],[SOLUÇÃO]]=CM$1,[1]!BANCO10[[#This Row],[STATUS DA ETAPA]],"")</f>
        <v/>
      </c>
      <c r="CN54" s="21" t="str">
        <f>IF([1]!BANCO10[[#This Row],[SOLUÇÃO]]=CN$1,[1]!BANCO10[[#This Row],[STATUS DA ETAPA]],"")</f>
        <v/>
      </c>
      <c r="CO54" s="21" t="str">
        <f>IF([1]!BANCO10[[#This Row],[SOLUÇÃO]]=CO$1,[1]!BANCO10[[#This Row],[STATUS DA ETAPA]],"")</f>
        <v/>
      </c>
      <c r="CP54" s="21" t="str">
        <f>IF([1]!BANCO10[[#This Row],[SOLUÇÃO]]=CP$1,[1]!BANCO10[[#This Row],[STATUS DA ETAPA]],"")</f>
        <v/>
      </c>
      <c r="CQ54" s="21" t="str">
        <f>IF([1]!BANCO10[[#This Row],[SOLUÇÃO]]=CQ$1,[1]!BANCO10[[#This Row],[STATUS DA ETAPA]],"")</f>
        <v/>
      </c>
      <c r="CR54" s="21" t="str">
        <f>IF([1]!BANCO10[[#This Row],[SOLUÇÃO]]=CR$1,[1]!BANCO10[[#This Row],[STATUS DA ETAPA]],"")</f>
        <v/>
      </c>
      <c r="CS54" s="21" t="str">
        <f>IF([1]!BANCO10[[#This Row],[SOLUÇÃO]]=CS$1,[1]!BANCO10[[#This Row],[STATUS DA ETAPA]],"")</f>
        <v/>
      </c>
      <c r="CT54" s="21" t="str">
        <f>IF([1]!BANCO10[[#This Row],[SOLUÇÃO]]=CT$1,[1]!BANCO10[[#This Row],[STATUS DA ETAPA]],"")</f>
        <v/>
      </c>
      <c r="CU54" s="21" t="str">
        <f>IF([1]!BANCO10[[#This Row],[SOLUÇÃO]]=CU$1,[1]!BANCO10[[#This Row],[STATUS DA ETAPA]],"")</f>
        <v/>
      </c>
      <c r="CV54" s="21" t="str">
        <f>IF([1]!BANCO10[[#This Row],[SOLUÇÃO]]=CV$1,[1]!BANCO10[[#This Row],[STATUS DA ETAPA]],"")</f>
        <v/>
      </c>
    </row>
    <row r="55" spans="1:100">
      <c r="A55" s="44" t="s">
        <v>1</v>
      </c>
      <c r="B55" s="44"/>
      <c r="C55" s="44" t="s">
        <v>1</v>
      </c>
      <c r="D55" s="44"/>
      <c r="E55" s="44" t="s">
        <v>1</v>
      </c>
      <c r="F55" s="44"/>
      <c r="G55" s="44" t="s">
        <v>1</v>
      </c>
      <c r="H55" s="44"/>
      <c r="I55" s="45" t="s">
        <v>1</v>
      </c>
      <c r="J55" s="46"/>
      <c r="K55" s="45" t="s">
        <v>1</v>
      </c>
      <c r="L55" s="33"/>
      <c r="M55" s="45" t="s">
        <v>1</v>
      </c>
      <c r="N55" s="33"/>
      <c r="O55" s="44" t="s">
        <v>1</v>
      </c>
      <c r="P55" s="44"/>
      <c r="Q55" s="44" t="s">
        <v>1</v>
      </c>
      <c r="R55" s="44"/>
      <c r="S55" s="44" t="s">
        <v>1</v>
      </c>
      <c r="T55" s="44"/>
      <c r="U55" s="44" t="s">
        <v>1</v>
      </c>
      <c r="V55" s="44"/>
      <c r="W55" s="44" t="s">
        <v>1</v>
      </c>
      <c r="X55" s="44"/>
      <c r="Y55" s="44" t="s">
        <v>1</v>
      </c>
      <c r="Z55" s="44"/>
      <c r="AA55" s="44" t="s">
        <v>1</v>
      </c>
      <c r="AB55" s="44"/>
      <c r="AC55" s="51">
        <v>45577</v>
      </c>
      <c r="AD55" s="83">
        <v>45577</v>
      </c>
      <c r="AE55" s="41" t="s">
        <v>1</v>
      </c>
      <c r="AF55" s="41" t="s">
        <v>1</v>
      </c>
      <c r="AG55" s="40" t="s">
        <v>5</v>
      </c>
      <c r="AH55" s="36" t="s">
        <v>1</v>
      </c>
      <c r="AI55" s="49">
        <v>0</v>
      </c>
      <c r="AJ55" s="36" t="s">
        <v>1</v>
      </c>
      <c r="AK55" s="10" t="s">
        <v>1</v>
      </c>
      <c r="AL55" s="36" t="s">
        <v>1</v>
      </c>
      <c r="AM55" s="36" t="s">
        <v>1</v>
      </c>
      <c r="AN55" s="35" t="s">
        <v>1</v>
      </c>
      <c r="AO55" s="35" t="s">
        <v>1</v>
      </c>
      <c r="AP55" s="35" t="s">
        <v>1</v>
      </c>
      <c r="AQ55" s="35" t="s">
        <v>1</v>
      </c>
      <c r="AR55" s="173" t="s">
        <v>1</v>
      </c>
      <c r="AS55" s="172"/>
      <c r="AT55" s="88"/>
      <c r="AU55" s="25"/>
      <c r="AV55" s="88"/>
      <c r="AW55" s="25"/>
      <c r="AX55" s="88" t="s">
        <v>1</v>
      </c>
      <c r="AY55" s="25"/>
      <c r="AZ55" s="88" t="s">
        <v>1</v>
      </c>
      <c r="BA55" s="25"/>
      <c r="BB55" s="39"/>
      <c r="BC55" s="25"/>
      <c r="BD55" s="24"/>
      <c r="BE55" s="24"/>
      <c r="BF55" s="79"/>
      <c r="BG55" s="79"/>
      <c r="BH55" s="80"/>
      <c r="BI55" s="79"/>
      <c r="BJ55" s="54"/>
      <c r="BK55" s="78"/>
      <c r="BL55" s="69"/>
      <c r="BM55" s="78"/>
      <c r="BN55" s="78"/>
      <c r="BO55" s="78"/>
      <c r="BP55" s="78"/>
      <c r="BQ55" s="21">
        <f>YEAR([1]!BANCO10[[#This Row],[DATA INÍCIO]])</f>
        <v>2024</v>
      </c>
      <c r="BR55" s="21">
        <f>MONTH([1]!BANCO10[[#This Row],[DATA INÍCIO]])</f>
        <v>10</v>
      </c>
      <c r="BS55" s="21" t="e">
        <f>CONCATENATE(#REF!,#REF!)</f>
        <v>#REF!</v>
      </c>
      <c r="BT55" s="21"/>
      <c r="BU55" s="21"/>
      <c r="BV55" s="21" t="str">
        <f>IF([1]!BANCO10[[#This Row],[SOLUÇÃO]]=BV$1,[1]!BANCO10[[#This Row],[STATUS DA ETAPA]],"")</f>
        <v>CONCLUÍDO</v>
      </c>
      <c r="BW55" s="21" t="str">
        <f>IF([1]!BANCO10[[#This Row],[SOLUÇÃO]]=BW$1,[1]!BANCO10[[#This Row],[STATUS DA ETAPA]],"")</f>
        <v/>
      </c>
      <c r="BX55" s="21" t="str">
        <f>IF([1]!BANCO10[[#This Row],[SOLUÇÃO]]=BX$1,[1]!BANCO10[[#This Row],[STATUS DA ETAPA]],"")</f>
        <v/>
      </c>
      <c r="BY55" s="21" t="str">
        <f>IF([1]!BANCO10[[#This Row],[SOLUÇÃO]]=BY$1,[1]!BANCO10[[#This Row],[STATUS DA ETAPA]],"")</f>
        <v/>
      </c>
      <c r="BZ55" s="21" t="str">
        <f>IF([1]!BANCO10[[#This Row],[SOLUÇÃO]]=BZ$1,[1]!BANCO10[[#This Row],[STATUS DA ETAPA]],"")</f>
        <v/>
      </c>
      <c r="CA55" s="21" t="str">
        <f>IF([1]!BANCO10[[#This Row],[SOLUÇÃO]]=CA$1,[1]!BANCO10[[#This Row],[STATUS DA ETAPA]],"")</f>
        <v/>
      </c>
      <c r="CB55" s="21" t="str">
        <f>IF([1]!BANCO10[[#This Row],[SOLUÇÃO]]=CB$1,[1]!BANCO10[[#This Row],[STATUS DA ETAPA]],"")</f>
        <v/>
      </c>
      <c r="CC55" s="21" t="str">
        <f>IF([1]!BANCO10[[#This Row],[SOLUÇÃO]]=CC$1,[1]!BANCO10[[#This Row],[STATUS DA ETAPA]],"")</f>
        <v/>
      </c>
      <c r="CD55" s="21" t="str">
        <f>IF([1]!BANCO10[[#This Row],[SOLUÇÃO]]=CD$1,[1]!BANCO10[[#This Row],[STATUS DA ETAPA]],"")</f>
        <v/>
      </c>
      <c r="CE55" s="21" t="str">
        <f>IF([1]!BANCO10[[#This Row],[SOLUÇÃO]]=CE$1,[1]!BANCO10[[#This Row],[STATUS DA ETAPA]],"")</f>
        <v/>
      </c>
      <c r="CF55" s="21" t="str">
        <f>IF([1]!BANCO10[[#This Row],[SOLUÇÃO]]=CF$1,[1]!BANCO10[[#This Row],[STATUS DA ETAPA]],"")</f>
        <v/>
      </c>
      <c r="CG55" s="21" t="str">
        <f>IF([1]!BANCO10[[#This Row],[SOLUÇÃO]]=CG$1,[1]!BANCO10[[#This Row],[STATUS DA ETAPA]],"")</f>
        <v/>
      </c>
      <c r="CH55" s="21" t="str">
        <f>IF([1]!BANCO10[[#This Row],[SOLUÇÃO]]=CH$1,[1]!BANCO10[[#This Row],[STATUS DA ETAPA]],"")</f>
        <v/>
      </c>
      <c r="CI55" s="21" t="str">
        <f>IF([1]!BANCO10[[#This Row],[SOLUÇÃO]]=CI$1,[1]!BANCO10[[#This Row],[STATUS DA ETAPA]],"")</f>
        <v/>
      </c>
      <c r="CJ55" s="21" t="str">
        <f>IF([1]!BANCO10[[#This Row],[SOLUÇÃO]]=CJ$1,[1]!BANCO10[[#This Row],[STATUS DA ETAPA]],"")</f>
        <v/>
      </c>
      <c r="CK55" s="21" t="str">
        <f>IF([1]!BANCO10[[#This Row],[SOLUÇÃO]]=CK$1,[1]!BANCO10[[#This Row],[STATUS DA ETAPA]],"")</f>
        <v/>
      </c>
      <c r="CL55" s="22" t="str">
        <f>IF([1]!BANCO10[[#This Row],[SOLUÇÃO]]=CL$1,[1]!BANCO10[[#This Row],[STATUS DA ETAPA]],"")</f>
        <v/>
      </c>
      <c r="CM55" s="64" t="str">
        <f>IF([1]!BANCO10[[#This Row],[SOLUÇÃO]]=CM$1,[1]!BANCO10[[#This Row],[STATUS DA ETAPA]],"")</f>
        <v/>
      </c>
      <c r="CN55" s="64" t="str">
        <f>IF([1]!BANCO10[[#This Row],[SOLUÇÃO]]=CN$1,[1]!BANCO10[[#This Row],[STATUS DA ETAPA]],"")</f>
        <v/>
      </c>
      <c r="CO55" s="64" t="str">
        <f>IF([1]!BANCO10[[#This Row],[SOLUÇÃO]]=CO$1,[1]!BANCO10[[#This Row],[STATUS DA ETAPA]],"")</f>
        <v/>
      </c>
      <c r="CP55" s="64" t="str">
        <f>IF([1]!BANCO10[[#This Row],[SOLUÇÃO]]=CP$1,[1]!BANCO10[[#This Row],[STATUS DA ETAPA]],"")</f>
        <v/>
      </c>
      <c r="CQ55" s="64" t="str">
        <f>IF([1]!BANCO10[[#This Row],[SOLUÇÃO]]=CQ$1,[1]!BANCO10[[#This Row],[STATUS DA ETAPA]],"")</f>
        <v/>
      </c>
      <c r="CR55" s="64" t="str">
        <f>IF([1]!BANCO10[[#This Row],[SOLUÇÃO]]=CR$1,[1]!BANCO10[[#This Row],[STATUS DA ETAPA]],"")</f>
        <v/>
      </c>
      <c r="CS55" s="64" t="str">
        <f>IF([1]!BANCO10[[#This Row],[SOLUÇÃO]]=CS$1,[1]!BANCO10[[#This Row],[STATUS DA ETAPA]],"")</f>
        <v/>
      </c>
      <c r="CT55" s="64" t="str">
        <f>IF([1]!BANCO10[[#This Row],[SOLUÇÃO]]=CT$1,[1]!BANCO10[[#This Row],[STATUS DA ETAPA]],"")</f>
        <v/>
      </c>
      <c r="CU55" s="64" t="str">
        <f>IF([1]!BANCO10[[#This Row],[SOLUÇÃO]]=CU$1,[1]!BANCO10[[#This Row],[STATUS DA ETAPA]],"")</f>
        <v/>
      </c>
      <c r="CV55" s="64" t="str">
        <f>IF([1]!BANCO10[[#This Row],[SOLUÇÃO]]=CV$1,[1]!BANCO10[[#This Row],[STATUS DA ETAPA]],"")</f>
        <v/>
      </c>
    </row>
    <row r="56" spans="1:100">
      <c r="A56" s="44" t="s">
        <v>1</v>
      </c>
      <c r="B56" s="44"/>
      <c r="C56" s="44" t="s">
        <v>1</v>
      </c>
      <c r="D56" s="44"/>
      <c r="E56" s="44" t="s">
        <v>1</v>
      </c>
      <c r="F56" s="44"/>
      <c r="G56" s="44" t="s">
        <v>1</v>
      </c>
      <c r="H56" s="44"/>
      <c r="I56" s="45" t="s">
        <v>1</v>
      </c>
      <c r="J56" s="46"/>
      <c r="K56" s="45" t="s">
        <v>1</v>
      </c>
      <c r="L56" s="33"/>
      <c r="M56" s="45" t="s">
        <v>1</v>
      </c>
      <c r="N56" s="33"/>
      <c r="O56" s="44" t="s">
        <v>2</v>
      </c>
      <c r="P56" s="44">
        <v>45536</v>
      </c>
      <c r="Q56" s="44" t="s">
        <v>2</v>
      </c>
      <c r="R56" s="44">
        <v>45590</v>
      </c>
      <c r="S56" s="44" t="s">
        <v>2</v>
      </c>
      <c r="T56" s="44">
        <v>45594</v>
      </c>
      <c r="U56" s="44" t="s">
        <v>1</v>
      </c>
      <c r="V56" s="44"/>
      <c r="W56" s="44" t="s">
        <v>1</v>
      </c>
      <c r="X56" s="44"/>
      <c r="Y56" s="44" t="s">
        <v>1</v>
      </c>
      <c r="Z56" s="44"/>
      <c r="AA56" s="44" t="s">
        <v>1</v>
      </c>
      <c r="AB56" s="44"/>
      <c r="AC56" s="51">
        <v>45667</v>
      </c>
      <c r="AD56" s="50">
        <v>45777</v>
      </c>
      <c r="AE56" s="41" t="s">
        <v>2</v>
      </c>
      <c r="AF56" s="41" t="s">
        <v>2</v>
      </c>
      <c r="AG56" s="40" t="s">
        <v>5</v>
      </c>
      <c r="AH56" s="36" t="s">
        <v>0</v>
      </c>
      <c r="AI56" s="49">
        <v>14440</v>
      </c>
      <c r="AJ56" s="36" t="s">
        <v>6</v>
      </c>
      <c r="AK56" s="10">
        <v>564855</v>
      </c>
      <c r="AL56" s="36" t="s">
        <v>1</v>
      </c>
      <c r="AM56" s="36" t="s">
        <v>1</v>
      </c>
      <c r="AN56" s="35" t="s">
        <v>2</v>
      </c>
      <c r="AO56" s="35" t="s">
        <v>2</v>
      </c>
      <c r="AP56" s="35" t="s">
        <v>2</v>
      </c>
      <c r="AQ56" s="35" t="s">
        <v>2</v>
      </c>
      <c r="AR56" s="45" t="s">
        <v>2</v>
      </c>
      <c r="AS56" s="46">
        <v>45803</v>
      </c>
      <c r="AT56" s="32" t="s">
        <v>1</v>
      </c>
      <c r="AU56" s="31"/>
      <c r="AV56" s="32" t="s">
        <v>1</v>
      </c>
      <c r="AW56" s="31"/>
      <c r="AX56" s="30" t="s">
        <v>2</v>
      </c>
      <c r="AY56" s="29">
        <v>45803</v>
      </c>
      <c r="AZ56" s="28" t="s">
        <v>0</v>
      </c>
      <c r="BA56" s="27"/>
      <c r="BB56" s="95" t="s">
        <v>143</v>
      </c>
      <c r="BC56" s="25" t="s">
        <v>41</v>
      </c>
      <c r="BD56" s="24"/>
      <c r="BE56" s="24"/>
      <c r="BF56" s="79"/>
      <c r="BG56" s="79"/>
      <c r="BH56" s="80"/>
      <c r="BI56" s="79"/>
      <c r="BJ56" s="54"/>
      <c r="BK56" s="78"/>
      <c r="BL56" s="69"/>
      <c r="BM56" s="78"/>
      <c r="BN56" s="78"/>
      <c r="BO56" s="78"/>
      <c r="BP56" s="78"/>
      <c r="BQ56" s="21">
        <f>YEAR([1]!BANCO10[[#This Row],[DATA INÍCIO]])</f>
        <v>2025</v>
      </c>
      <c r="BR56" s="21">
        <f>MONTH([1]!BANCO10[[#This Row],[DATA INÍCIO]])</f>
        <v>1</v>
      </c>
      <c r="BS56" s="21" t="e">
        <f>CONCATENATE(#REF!,#REF!)</f>
        <v>#REF!</v>
      </c>
      <c r="BT56" s="21"/>
      <c r="BU56" s="21"/>
      <c r="BV56" s="21" t="str">
        <f>IF([1]!BANCO10[[#This Row],[SOLUÇÃO]]=BV$1,[1]!BANCO10[[#This Row],[STATUS DA ETAPA]],"")</f>
        <v/>
      </c>
      <c r="BW56" s="21" t="str">
        <f>IF([1]!BANCO10[[#This Row],[SOLUÇÃO]]=BW$1,[1]!BANCO10[[#This Row],[STATUS DA ETAPA]],"")</f>
        <v/>
      </c>
      <c r="BX56" s="21" t="str">
        <f>IF([1]!BANCO10[[#This Row],[SOLUÇÃO]]=BX$1,[1]!BANCO10[[#This Row],[STATUS DA ETAPA]],"")</f>
        <v/>
      </c>
      <c r="BY56" s="21" t="str">
        <f>IF([1]!BANCO10[[#This Row],[SOLUÇÃO]]=BY$1,[1]!BANCO10[[#This Row],[STATUS DA ETAPA]],"")</f>
        <v/>
      </c>
      <c r="BZ56" s="21" t="str">
        <f>IF([1]!BANCO10[[#This Row],[SOLUÇÃO]]=BZ$1,[1]!BANCO10[[#This Row],[STATUS DA ETAPA]],"")</f>
        <v/>
      </c>
      <c r="CA56" s="21" t="str">
        <f>IF([1]!BANCO10[[#This Row],[SOLUÇÃO]]=CA$1,[1]!BANCO10[[#This Row],[STATUS DA ETAPA]],"")</f>
        <v/>
      </c>
      <c r="CB56" s="21" t="str">
        <f>IF([1]!BANCO10[[#This Row],[SOLUÇÃO]]=CB$1,[1]!BANCO10[[#This Row],[STATUS DA ETAPA]],"")</f>
        <v>CONCLUÍDO</v>
      </c>
      <c r="CC56" s="21" t="str">
        <f>IF([1]!BANCO10[[#This Row],[SOLUÇÃO]]=CC$1,[1]!BANCO10[[#This Row],[STATUS DA ETAPA]],"")</f>
        <v/>
      </c>
      <c r="CD56" s="21" t="str">
        <f>IF([1]!BANCO10[[#This Row],[SOLUÇÃO]]=CD$1,[1]!BANCO10[[#This Row],[STATUS DA ETAPA]],"")</f>
        <v/>
      </c>
      <c r="CE56" s="21" t="str">
        <f>IF([1]!BANCO10[[#This Row],[SOLUÇÃO]]=CE$1,[1]!BANCO10[[#This Row],[STATUS DA ETAPA]],"")</f>
        <v/>
      </c>
      <c r="CF56" s="21" t="str">
        <f>IF([1]!BANCO10[[#This Row],[SOLUÇÃO]]=CF$1,[1]!BANCO10[[#This Row],[STATUS DA ETAPA]],"")</f>
        <v/>
      </c>
      <c r="CG56" s="21" t="str">
        <f>IF([1]!BANCO10[[#This Row],[SOLUÇÃO]]=CG$1,[1]!BANCO10[[#This Row],[STATUS DA ETAPA]],"")</f>
        <v/>
      </c>
      <c r="CH56" s="21" t="str">
        <f>IF([1]!BANCO10[[#This Row],[SOLUÇÃO]]=CH$1,[1]!BANCO10[[#This Row],[STATUS DA ETAPA]],"")</f>
        <v/>
      </c>
      <c r="CI56" s="21" t="str">
        <f>IF([1]!BANCO10[[#This Row],[SOLUÇÃO]]=CI$1,[1]!BANCO10[[#This Row],[STATUS DA ETAPA]],"")</f>
        <v/>
      </c>
      <c r="CJ56" s="21" t="str">
        <f>IF([1]!BANCO10[[#This Row],[SOLUÇÃO]]=CJ$1,[1]!BANCO10[[#This Row],[STATUS DA ETAPA]],"")</f>
        <v/>
      </c>
      <c r="CK56" s="21" t="str">
        <f>IF([1]!BANCO10[[#This Row],[SOLUÇÃO]]=CK$1,[1]!BANCO10[[#This Row],[STATUS DA ETAPA]],"")</f>
        <v/>
      </c>
      <c r="CL56" s="22" t="str">
        <f>IF([1]!BANCO10[[#This Row],[SOLUÇÃO]]=CL$1,[1]!BANCO10[[#This Row],[STATUS DA ETAPA]],"")</f>
        <v/>
      </c>
      <c r="CM56" s="64" t="str">
        <f>IF([1]!BANCO10[[#This Row],[SOLUÇÃO]]=CM$1,[1]!BANCO10[[#This Row],[STATUS DA ETAPA]],"")</f>
        <v/>
      </c>
      <c r="CN56" s="64" t="str">
        <f>IF([1]!BANCO10[[#This Row],[SOLUÇÃO]]=CN$1,[1]!BANCO10[[#This Row],[STATUS DA ETAPA]],"")</f>
        <v/>
      </c>
      <c r="CO56" s="64" t="str">
        <f>IF([1]!BANCO10[[#This Row],[SOLUÇÃO]]=CO$1,[1]!BANCO10[[#This Row],[STATUS DA ETAPA]],"")</f>
        <v/>
      </c>
      <c r="CP56" s="64" t="str">
        <f>IF([1]!BANCO10[[#This Row],[SOLUÇÃO]]=CP$1,[1]!BANCO10[[#This Row],[STATUS DA ETAPA]],"")</f>
        <v/>
      </c>
      <c r="CQ56" s="64" t="str">
        <f>IF([1]!BANCO10[[#This Row],[SOLUÇÃO]]=CQ$1,[1]!BANCO10[[#This Row],[STATUS DA ETAPA]],"")</f>
        <v/>
      </c>
      <c r="CR56" s="64" t="str">
        <f>IF([1]!BANCO10[[#This Row],[SOLUÇÃO]]=CR$1,[1]!BANCO10[[#This Row],[STATUS DA ETAPA]],"")</f>
        <v/>
      </c>
      <c r="CS56" s="64" t="str">
        <f>IF([1]!BANCO10[[#This Row],[SOLUÇÃO]]=CS$1,[1]!BANCO10[[#This Row],[STATUS DA ETAPA]],"")</f>
        <v/>
      </c>
      <c r="CT56" s="64" t="str">
        <f>IF([1]!BANCO10[[#This Row],[SOLUÇÃO]]=CT$1,[1]!BANCO10[[#This Row],[STATUS DA ETAPA]],"")</f>
        <v/>
      </c>
      <c r="CU56" s="64" t="str">
        <f>IF([1]!BANCO10[[#This Row],[SOLUÇÃO]]=CU$1,[1]!BANCO10[[#This Row],[STATUS DA ETAPA]],"")</f>
        <v/>
      </c>
      <c r="CV56" s="64" t="str">
        <f>IF([1]!BANCO10[[#This Row],[SOLUÇÃO]]=CV$1,[1]!BANCO10[[#This Row],[STATUS DA ETAPA]],"")</f>
        <v/>
      </c>
    </row>
    <row r="57" spans="1:100">
      <c r="A57" s="44" t="s">
        <v>1</v>
      </c>
      <c r="B57" s="44"/>
      <c r="C57" s="44" t="s">
        <v>1</v>
      </c>
      <c r="D57" s="44"/>
      <c r="E57" s="44" t="s">
        <v>1</v>
      </c>
      <c r="F57" s="44"/>
      <c r="G57" s="44" t="s">
        <v>1</v>
      </c>
      <c r="H57" s="44"/>
      <c r="I57" s="45" t="s">
        <v>1</v>
      </c>
      <c r="J57" s="46"/>
      <c r="K57" s="45" t="s">
        <v>1</v>
      </c>
      <c r="L57" s="33"/>
      <c r="M57" s="45" t="s">
        <v>1</v>
      </c>
      <c r="N57" s="33"/>
      <c r="O57" s="44" t="s">
        <v>1</v>
      </c>
      <c r="P57" s="44"/>
      <c r="Q57" s="44" t="s">
        <v>1</v>
      </c>
      <c r="R57" s="44" t="s">
        <v>1</v>
      </c>
      <c r="S57" s="44" t="s">
        <v>1</v>
      </c>
      <c r="T57" s="44"/>
      <c r="U57" s="44" t="s">
        <v>1</v>
      </c>
      <c r="V57" s="44"/>
      <c r="W57" s="44" t="s">
        <v>1</v>
      </c>
      <c r="X57" s="44"/>
      <c r="Y57" s="44" t="s">
        <v>1</v>
      </c>
      <c r="Z57" s="44"/>
      <c r="AA57" s="44" t="s">
        <v>1</v>
      </c>
      <c r="AB57" s="44"/>
      <c r="AC57" s="51">
        <v>45690</v>
      </c>
      <c r="AD57" s="50">
        <v>45690</v>
      </c>
      <c r="AE57" s="41" t="s">
        <v>1</v>
      </c>
      <c r="AF57" s="41" t="s">
        <v>1</v>
      </c>
      <c r="AG57" s="40" t="s">
        <v>4</v>
      </c>
      <c r="AH57" s="36" t="s">
        <v>0</v>
      </c>
      <c r="AI57" s="49">
        <v>0</v>
      </c>
      <c r="AJ57" s="36" t="s">
        <v>1</v>
      </c>
      <c r="AK57" s="10" t="s">
        <v>1</v>
      </c>
      <c r="AL57" s="36" t="s">
        <v>1</v>
      </c>
      <c r="AM57" s="36" t="s">
        <v>1</v>
      </c>
      <c r="AN57" s="35" t="s">
        <v>1</v>
      </c>
      <c r="AO57" s="35" t="s">
        <v>1</v>
      </c>
      <c r="AP57" s="35" t="s">
        <v>1</v>
      </c>
      <c r="AQ57" s="35" t="s">
        <v>2</v>
      </c>
      <c r="AR57" s="45" t="s">
        <v>0</v>
      </c>
      <c r="AS57" s="46"/>
      <c r="AT57" s="30" t="s">
        <v>0</v>
      </c>
      <c r="AU57" s="31"/>
      <c r="AV57" s="30" t="s">
        <v>0</v>
      </c>
      <c r="AW57" s="31"/>
      <c r="AX57" s="30" t="s">
        <v>0</v>
      </c>
      <c r="AY57" s="29"/>
      <c r="AZ57" s="28" t="s">
        <v>0</v>
      </c>
      <c r="BA57" s="27"/>
      <c r="BB57" s="26"/>
      <c r="BC57" s="25"/>
      <c r="BD57" s="24"/>
      <c r="BE57" s="24"/>
      <c r="BF57" s="24"/>
      <c r="BG57" s="24"/>
      <c r="BH57" s="24"/>
      <c r="BI57" s="24"/>
      <c r="BJ57" s="24"/>
      <c r="BK57" s="24"/>
      <c r="BL57" s="24"/>
      <c r="BM57" s="24"/>
      <c r="BN57" s="24"/>
      <c r="BO57" s="24"/>
      <c r="BP57" s="24"/>
      <c r="BQ57" s="22">
        <f>YEAR([1]!BANCO10[[#This Row],[DATA INÍCIO]])</f>
        <v>2025</v>
      </c>
      <c r="BR57" s="22">
        <f>MONTH([1]!BANCO10[[#This Row],[DATA INÍCIO]])</f>
        <v>2</v>
      </c>
      <c r="BS57" s="23" t="e">
        <f>CONCATENATE(#REF!,#REF!)</f>
        <v>#REF!</v>
      </c>
      <c r="BT57" s="22"/>
      <c r="BU57" s="22"/>
      <c r="BV57" s="21" t="str">
        <f>IF([1]!BANCO10[[#This Row],[SOLUÇÃO]]=BV$1,[1]!BANCO10[[#This Row],[STATUS DA ETAPA]],"")</f>
        <v/>
      </c>
      <c r="BW57" s="21" t="str">
        <f>IF([1]!BANCO10[[#This Row],[SOLUÇÃO]]=BW$1,[1]!BANCO10[[#This Row],[STATUS DA ETAPA]],"")</f>
        <v/>
      </c>
      <c r="BX57" s="21" t="str">
        <f>IF([1]!BANCO10[[#This Row],[SOLUÇÃO]]=BX$1,[1]!BANCO10[[#This Row],[STATUS DA ETAPA]],"")</f>
        <v/>
      </c>
      <c r="BY57" s="21" t="str">
        <f>IF([1]!BANCO10[[#This Row],[SOLUÇÃO]]=BY$1,[1]!BANCO10[[#This Row],[STATUS DA ETAPA]],"")</f>
        <v/>
      </c>
      <c r="BZ57" s="21" t="str">
        <f>IF([1]!BANCO10[[#This Row],[SOLUÇÃO]]=BZ$1,[1]!BANCO10[[#This Row],[STATUS DA ETAPA]],"")</f>
        <v/>
      </c>
      <c r="CA57" s="21" t="str">
        <f>IF([1]!BANCO10[[#This Row],[SOLUÇÃO]]=CA$1,[1]!BANCO10[[#This Row],[STATUS DA ETAPA]],"")</f>
        <v/>
      </c>
      <c r="CB57" s="21" t="str">
        <f>IF([1]!BANCO10[[#This Row],[SOLUÇÃO]]=CB$1,[1]!BANCO10[[#This Row],[STATUS DA ETAPA]],"")</f>
        <v/>
      </c>
      <c r="CC57" s="21" t="str">
        <f>IF([1]!BANCO10[[#This Row],[SOLUÇÃO]]=CC$1,[1]!BANCO10[[#This Row],[STATUS DA ETAPA]],"")</f>
        <v/>
      </c>
      <c r="CD57" s="21" t="str">
        <f>IF([1]!BANCO10[[#This Row],[SOLUÇÃO]]=CD$1,[1]!BANCO10[[#This Row],[STATUS DA ETAPA]],"")</f>
        <v/>
      </c>
      <c r="CE57" s="21" t="str">
        <f>IF([1]!BANCO10[[#This Row],[SOLUÇÃO]]=CE$1,[1]!BANCO10[[#This Row],[STATUS DA ETAPA]],"")</f>
        <v/>
      </c>
      <c r="CF57" s="21" t="str">
        <f>IF([1]!BANCO10[[#This Row],[SOLUÇÃO]]=CF$1,[1]!BANCO10[[#This Row],[STATUS DA ETAPA]],"")</f>
        <v/>
      </c>
      <c r="CG57" s="21" t="str">
        <f>IF([1]!BANCO10[[#This Row],[SOLUÇÃO]]=CG$1,[1]!BANCO10[[#This Row],[STATUS DA ETAPA]],"")</f>
        <v/>
      </c>
      <c r="CH57" s="21" t="str">
        <f>IF([1]!BANCO10[[#This Row],[SOLUÇÃO]]=CH$1,[1]!BANCO10[[#This Row],[STATUS DA ETAPA]],"")</f>
        <v/>
      </c>
      <c r="CI57" s="21" t="str">
        <f>IF([1]!BANCO10[[#This Row],[SOLUÇÃO]]=CI$1,[1]!BANCO10[[#This Row],[STATUS DA ETAPA]],"")</f>
        <v/>
      </c>
      <c r="CJ57" s="21" t="str">
        <f>IF([1]!BANCO10[[#This Row],[SOLUÇÃO]]=CJ$1,[1]!BANCO10[[#This Row],[STATUS DA ETAPA]],"")</f>
        <v/>
      </c>
      <c r="CK57" s="21" t="str">
        <f>IF([1]!BANCO10[[#This Row],[SOLUÇÃO]]=CK$1,[1]!BANCO10[[#This Row],[STATUS DA ETAPA]],"")</f>
        <v/>
      </c>
      <c r="CL57" s="21" t="str">
        <f>IF([1]!BANCO10[[#This Row],[SOLUÇÃO]]=CL$1,[1]!BANCO10[[#This Row],[STATUS DA ETAPA]],"")</f>
        <v/>
      </c>
      <c r="CM57" s="21" t="str">
        <f>IF([1]!BANCO10[[#This Row],[SOLUÇÃO]]=CM$1,[1]!BANCO10[[#This Row],[STATUS DA ETAPA]],"")</f>
        <v/>
      </c>
      <c r="CN57" s="21" t="str">
        <f>IF([1]!BANCO10[[#This Row],[SOLUÇÃO]]=CN$1,[1]!BANCO10[[#This Row],[STATUS DA ETAPA]],"")</f>
        <v/>
      </c>
      <c r="CO57" s="21" t="str">
        <f>IF([1]!BANCO10[[#This Row],[SOLUÇÃO]]=CO$1,[1]!BANCO10[[#This Row],[STATUS DA ETAPA]],"")</f>
        <v/>
      </c>
      <c r="CP57" s="21" t="str">
        <f>IF([1]!BANCO10[[#This Row],[SOLUÇÃO]]=CP$1,[1]!BANCO10[[#This Row],[STATUS DA ETAPA]],"")</f>
        <v/>
      </c>
      <c r="CQ57" s="21" t="str">
        <f>IF([1]!BANCO10[[#This Row],[SOLUÇÃO]]=CQ$1,[1]!BANCO10[[#This Row],[STATUS DA ETAPA]],"")</f>
        <v/>
      </c>
      <c r="CR57" s="21" t="str">
        <f>IF([1]!BANCO10[[#This Row],[SOLUÇÃO]]=CR$1,[1]!BANCO10[[#This Row],[STATUS DA ETAPA]],"")</f>
        <v/>
      </c>
      <c r="CS57" s="21" t="str">
        <f>IF([1]!BANCO10[[#This Row],[SOLUÇÃO]]=CS$1,[1]!BANCO10[[#This Row],[STATUS DA ETAPA]],"")</f>
        <v/>
      </c>
      <c r="CT57" s="21" t="str">
        <f>IF([1]!BANCO10[[#This Row],[SOLUÇÃO]]=CT$1,[1]!BANCO10[[#This Row],[STATUS DA ETAPA]],"")</f>
        <v/>
      </c>
      <c r="CU57" s="21" t="str">
        <f>IF([1]!BANCO10[[#This Row],[SOLUÇÃO]]=CU$1,[1]!BANCO10[[#This Row],[STATUS DA ETAPA]],"")</f>
        <v/>
      </c>
      <c r="CV57" s="21" t="str">
        <f>IF([1]!BANCO10[[#This Row],[SOLUÇÃO]]=CV$1,[1]!BANCO10[[#This Row],[STATUS DA ETAPA]],"")</f>
        <v/>
      </c>
    </row>
    <row r="58" spans="1:100">
      <c r="A58" s="44" t="s">
        <v>1</v>
      </c>
      <c r="B58" s="44"/>
      <c r="C58" s="44" t="s">
        <v>1</v>
      </c>
      <c r="D58" s="44"/>
      <c r="E58" s="44" t="s">
        <v>1</v>
      </c>
      <c r="F58" s="44"/>
      <c r="G58" s="44" t="s">
        <v>1</v>
      </c>
      <c r="H58" s="44"/>
      <c r="I58" s="45" t="s">
        <v>1</v>
      </c>
      <c r="J58" s="46"/>
      <c r="K58" s="45" t="s">
        <v>1</v>
      </c>
      <c r="L58" s="33"/>
      <c r="M58" s="45" t="s">
        <v>1</v>
      </c>
      <c r="N58" s="33"/>
      <c r="O58" s="44" t="s">
        <v>2</v>
      </c>
      <c r="P58" s="44">
        <v>44704</v>
      </c>
      <c r="Q58" s="44" t="s">
        <v>0</v>
      </c>
      <c r="R58" s="44"/>
      <c r="S58" s="44" t="s">
        <v>1</v>
      </c>
      <c r="T58" s="44"/>
      <c r="U58" s="44" t="s">
        <v>1</v>
      </c>
      <c r="V58" s="44"/>
      <c r="W58" s="44" t="s">
        <v>1</v>
      </c>
      <c r="X58" s="44"/>
      <c r="Y58" s="44" t="s">
        <v>1</v>
      </c>
      <c r="Z58" s="44"/>
      <c r="AA58" s="44" t="s">
        <v>1</v>
      </c>
      <c r="AB58" s="44"/>
      <c r="AC58" s="51">
        <v>44704</v>
      </c>
      <c r="AD58" s="50">
        <v>44704</v>
      </c>
      <c r="AE58" s="40" t="s">
        <v>1</v>
      </c>
      <c r="AF58" s="40" t="s">
        <v>1</v>
      </c>
      <c r="AG58" s="76" t="s">
        <v>5</v>
      </c>
      <c r="AH58" s="36" t="s">
        <v>1</v>
      </c>
      <c r="AI58" s="49">
        <v>0</v>
      </c>
      <c r="AJ58" s="36" t="s">
        <v>1</v>
      </c>
      <c r="AK58" s="10" t="s">
        <v>1</v>
      </c>
      <c r="AL58" s="36" t="s">
        <v>1</v>
      </c>
      <c r="AM58" s="36" t="s">
        <v>1</v>
      </c>
      <c r="AN58" s="35" t="s">
        <v>1</v>
      </c>
      <c r="AO58" s="35" t="s">
        <v>1</v>
      </c>
      <c r="AP58" s="35" t="s">
        <v>1</v>
      </c>
      <c r="AQ58" s="35" t="s">
        <v>1</v>
      </c>
      <c r="AR58" s="171" t="s">
        <v>1</v>
      </c>
      <c r="AS58" s="46"/>
      <c r="AT58" s="32" t="s">
        <v>1</v>
      </c>
      <c r="AU58" s="31"/>
      <c r="AV58" s="32" t="s">
        <v>1</v>
      </c>
      <c r="AW58" s="31"/>
      <c r="AX58" s="30" t="s">
        <v>1</v>
      </c>
      <c r="AY58" s="55"/>
      <c r="AZ58" s="30" t="s">
        <v>1</v>
      </c>
      <c r="BA58" s="55"/>
      <c r="BB58" s="74" t="s">
        <v>19</v>
      </c>
      <c r="BC58" s="25"/>
      <c r="BD58" s="24" t="s">
        <v>11</v>
      </c>
      <c r="BE58" s="24" t="s">
        <v>11</v>
      </c>
      <c r="BF58" s="24" t="s">
        <v>80</v>
      </c>
      <c r="BG58" s="24" t="s">
        <v>770</v>
      </c>
      <c r="BH58" s="130" t="s">
        <v>19</v>
      </c>
      <c r="BI58" s="24"/>
      <c r="BJ58" s="24" t="s">
        <v>11</v>
      </c>
      <c r="BK58" s="24" t="s">
        <v>11</v>
      </c>
      <c r="BL58" s="24" t="s">
        <v>11</v>
      </c>
      <c r="BM58" s="24" t="s">
        <v>11</v>
      </c>
      <c r="BN58" s="24" t="s">
        <v>11</v>
      </c>
      <c r="BO58" s="24" t="s">
        <v>11</v>
      </c>
      <c r="BP58" s="24" t="s">
        <v>11</v>
      </c>
      <c r="BQ58" s="22">
        <f>YEAR([1]!BANCO10[[#This Row],[DATA INÍCIO]])</f>
        <v>2022</v>
      </c>
      <c r="BR58" s="22">
        <f>MONTH([1]!BANCO10[[#This Row],[DATA INÍCIO]])</f>
        <v>5</v>
      </c>
      <c r="BS58" s="129" t="e">
        <f>CONCATENATE(#REF!,#REF!)</f>
        <v>#REF!</v>
      </c>
      <c r="BT58" s="22"/>
      <c r="BU58" s="21" t="s">
        <v>819</v>
      </c>
      <c r="BV58" s="21" t="str">
        <f>IF([1]!BANCO10[[#This Row],[SOLUÇÃO]]=BV$1,[1]!BANCO10[[#This Row],[STATUS DA ETAPA]],"")</f>
        <v>CONCLUÍDO</v>
      </c>
      <c r="BW58" s="21" t="str">
        <f>IF([1]!BANCO10[[#This Row],[SOLUÇÃO]]=BW$1,[1]!BANCO10[[#This Row],[STATUS DA ETAPA]],"")</f>
        <v/>
      </c>
      <c r="BX58" s="21" t="str">
        <f>IF([1]!BANCO10[[#This Row],[SOLUÇÃO]]=BX$1,[1]!BANCO10[[#This Row],[STATUS DA ETAPA]],"")</f>
        <v/>
      </c>
      <c r="BY58" s="21" t="str">
        <f>IF([1]!BANCO10[[#This Row],[SOLUÇÃO]]=BY$1,[1]!BANCO10[[#This Row],[STATUS DA ETAPA]],"")</f>
        <v/>
      </c>
      <c r="BZ58" s="21" t="str">
        <f>IF([1]!BANCO10[[#This Row],[SOLUÇÃO]]=BZ$1,[1]!BANCO10[[#This Row],[STATUS DA ETAPA]],"")</f>
        <v/>
      </c>
      <c r="CA58" s="21" t="str">
        <f>IF([1]!BANCO10[[#This Row],[SOLUÇÃO]]=CA$1,[1]!BANCO10[[#This Row],[STATUS DA ETAPA]],"")</f>
        <v/>
      </c>
      <c r="CB58" s="21" t="str">
        <f>IF([1]!BANCO10[[#This Row],[SOLUÇÃO]]=CB$1,[1]!BANCO10[[#This Row],[STATUS DA ETAPA]],"")</f>
        <v/>
      </c>
      <c r="CC58" s="21" t="str">
        <f>IF([1]!BANCO10[[#This Row],[SOLUÇÃO]]=CC$1,[1]!BANCO10[[#This Row],[STATUS DA ETAPA]],"")</f>
        <v/>
      </c>
      <c r="CD58" s="21" t="str">
        <f>IF([1]!BANCO10[[#This Row],[SOLUÇÃO]]=CD$1,[1]!BANCO10[[#This Row],[STATUS DA ETAPA]],"")</f>
        <v/>
      </c>
      <c r="CE58" s="21" t="str">
        <f>IF([1]!BANCO10[[#This Row],[SOLUÇÃO]]=CE$1,[1]!BANCO10[[#This Row],[STATUS DA ETAPA]],"")</f>
        <v/>
      </c>
      <c r="CF58" s="21" t="str">
        <f>IF([1]!BANCO10[[#This Row],[SOLUÇÃO]]=CF$1,[1]!BANCO10[[#This Row],[STATUS DA ETAPA]],"")</f>
        <v/>
      </c>
      <c r="CG58" s="21" t="str">
        <f>IF([1]!BANCO10[[#This Row],[SOLUÇÃO]]=CG$1,[1]!BANCO10[[#This Row],[STATUS DA ETAPA]],"")</f>
        <v/>
      </c>
      <c r="CH58" s="21" t="str">
        <f>IF([1]!BANCO10[[#This Row],[SOLUÇÃO]]=CH$1,[1]!BANCO10[[#This Row],[STATUS DA ETAPA]],"")</f>
        <v/>
      </c>
      <c r="CI58" s="21" t="str">
        <f>IF([1]!BANCO10[[#This Row],[SOLUÇÃO]]=CI$1,[1]!BANCO10[[#This Row],[STATUS DA ETAPA]],"")</f>
        <v/>
      </c>
      <c r="CJ58" s="21" t="str">
        <f>IF([1]!BANCO10[[#This Row],[SOLUÇÃO]]=CJ$1,[1]!BANCO10[[#This Row],[STATUS DA ETAPA]],"")</f>
        <v/>
      </c>
      <c r="CK58" s="21" t="str">
        <f>IF([1]!BANCO10[[#This Row],[SOLUÇÃO]]=CK$1,[1]!BANCO10[[#This Row],[STATUS DA ETAPA]],"")</f>
        <v/>
      </c>
      <c r="CL58" s="21" t="str">
        <f>IF([1]!BANCO10[[#This Row],[SOLUÇÃO]]=CL$1,[1]!BANCO10[[#This Row],[STATUS DA ETAPA]],"")</f>
        <v/>
      </c>
      <c r="CM58" s="21" t="str">
        <f>IF([1]!BANCO10[[#This Row],[SOLUÇÃO]]=CM$1,[1]!BANCO10[[#This Row],[STATUS DA ETAPA]],"")</f>
        <v/>
      </c>
      <c r="CN58" s="21" t="str">
        <f>IF([1]!BANCO10[[#This Row],[SOLUÇÃO]]=CN$1,[1]!BANCO10[[#This Row],[STATUS DA ETAPA]],"")</f>
        <v/>
      </c>
      <c r="CO58" s="21" t="str">
        <f>IF([1]!BANCO10[[#This Row],[SOLUÇÃO]]=CO$1,[1]!BANCO10[[#This Row],[STATUS DA ETAPA]],"")</f>
        <v/>
      </c>
      <c r="CP58" s="21" t="str">
        <f>IF([1]!BANCO10[[#This Row],[SOLUÇÃO]]=CP$1,[1]!BANCO10[[#This Row],[STATUS DA ETAPA]],"")</f>
        <v/>
      </c>
      <c r="CQ58" s="21" t="str">
        <f>IF([1]!BANCO10[[#This Row],[SOLUÇÃO]]=CQ$1,[1]!BANCO10[[#This Row],[STATUS DA ETAPA]],"")</f>
        <v/>
      </c>
      <c r="CR58" s="21" t="str">
        <f>IF([1]!BANCO10[[#This Row],[SOLUÇÃO]]=CR$1,[1]!BANCO10[[#This Row],[STATUS DA ETAPA]],"")</f>
        <v/>
      </c>
      <c r="CS58" s="21" t="str">
        <f>IF([1]!BANCO10[[#This Row],[SOLUÇÃO]]=CS$1,[1]!BANCO10[[#This Row],[STATUS DA ETAPA]],"")</f>
        <v/>
      </c>
      <c r="CT58" s="21" t="str">
        <f>IF([1]!BANCO10[[#This Row],[SOLUÇÃO]]=CT$1,[1]!BANCO10[[#This Row],[STATUS DA ETAPA]],"")</f>
        <v/>
      </c>
      <c r="CU58" s="21" t="str">
        <f>IF([1]!BANCO10[[#This Row],[SOLUÇÃO]]=CU$1,[1]!BANCO10[[#This Row],[STATUS DA ETAPA]],"")</f>
        <v/>
      </c>
      <c r="CV58" s="21" t="str">
        <f>IF([1]!BANCO10[[#This Row],[SOLUÇÃO]]=CV$1,[1]!BANCO10[[#This Row],[STATUS DA ETAPA]],"")</f>
        <v/>
      </c>
    </row>
    <row r="59" spans="1:100">
      <c r="A59" s="44" t="s">
        <v>1</v>
      </c>
      <c r="B59" s="44"/>
      <c r="C59" s="44" t="s">
        <v>1</v>
      </c>
      <c r="D59" s="44"/>
      <c r="E59" s="44" t="s">
        <v>1</v>
      </c>
      <c r="F59" s="44"/>
      <c r="G59" s="44" t="s">
        <v>1</v>
      </c>
      <c r="H59" s="44"/>
      <c r="I59" s="45" t="s">
        <v>1</v>
      </c>
      <c r="J59" s="46"/>
      <c r="K59" s="45" t="s">
        <v>1</v>
      </c>
      <c r="L59" s="33"/>
      <c r="M59" s="45" t="s">
        <v>1</v>
      </c>
      <c r="N59" s="33"/>
      <c r="O59" s="44" t="s">
        <v>2</v>
      </c>
      <c r="P59" s="44">
        <v>44704</v>
      </c>
      <c r="Q59" s="44" t="s">
        <v>2</v>
      </c>
      <c r="R59" s="44">
        <v>45300</v>
      </c>
      <c r="S59" s="44" t="s">
        <v>2</v>
      </c>
      <c r="T59" s="44">
        <v>44705</v>
      </c>
      <c r="U59" s="44" t="s">
        <v>2</v>
      </c>
      <c r="V59" s="44">
        <v>44979</v>
      </c>
      <c r="W59" s="44" t="s">
        <v>2</v>
      </c>
      <c r="X59" s="44"/>
      <c r="Y59" s="44" t="s">
        <v>2</v>
      </c>
      <c r="Z59" s="44">
        <v>44984</v>
      </c>
      <c r="AA59" s="44" t="s">
        <v>2</v>
      </c>
      <c r="AB59" s="44"/>
      <c r="AC59" s="51">
        <v>45019</v>
      </c>
      <c r="AD59" s="50">
        <v>45138</v>
      </c>
      <c r="AE59" s="40" t="s">
        <v>2</v>
      </c>
      <c r="AF59" s="40" t="s">
        <v>2</v>
      </c>
      <c r="AG59" s="76" t="s">
        <v>5</v>
      </c>
      <c r="AH59" s="36" t="s">
        <v>0</v>
      </c>
      <c r="AI59" s="49">
        <v>16500</v>
      </c>
      <c r="AJ59" s="36"/>
      <c r="AK59" s="10"/>
      <c r="AL59" s="36">
        <v>4731</v>
      </c>
      <c r="AM59" s="36" t="s">
        <v>1</v>
      </c>
      <c r="AN59" s="35" t="s">
        <v>1</v>
      </c>
      <c r="AO59" s="35" t="s">
        <v>1</v>
      </c>
      <c r="AP59" s="35" t="s">
        <v>2</v>
      </c>
      <c r="AQ59" s="35" t="s">
        <v>1</v>
      </c>
      <c r="AR59" s="45" t="s">
        <v>1</v>
      </c>
      <c r="AS59" s="33"/>
      <c r="AT59" s="32" t="s">
        <v>1</v>
      </c>
      <c r="AU59" s="31"/>
      <c r="AV59" s="32" t="s">
        <v>1</v>
      </c>
      <c r="AW59" s="31"/>
      <c r="AX59" s="30" t="s">
        <v>2</v>
      </c>
      <c r="AY59" s="55">
        <v>45140</v>
      </c>
      <c r="AZ59" s="30" t="s">
        <v>2</v>
      </c>
      <c r="BA59" s="55"/>
      <c r="BB59" s="74"/>
      <c r="BC59" s="25"/>
      <c r="BD59" s="24" t="s">
        <v>11</v>
      </c>
      <c r="BE59" s="24" t="s">
        <v>11</v>
      </c>
      <c r="BF59" s="24" t="s">
        <v>80</v>
      </c>
      <c r="BG59" s="24" t="s">
        <v>770</v>
      </c>
      <c r="BH59" s="130" t="s">
        <v>19</v>
      </c>
      <c r="BI59" s="24"/>
      <c r="BJ59" s="24" t="s">
        <v>37</v>
      </c>
      <c r="BK59" s="24" t="s">
        <v>19</v>
      </c>
      <c r="BL59" s="24">
        <v>45402</v>
      </c>
      <c r="BM59" s="24" t="s">
        <v>18</v>
      </c>
      <c r="BN59" s="24" t="s">
        <v>11</v>
      </c>
      <c r="BO59" s="24"/>
      <c r="BP59" s="24" t="s">
        <v>799</v>
      </c>
      <c r="BQ59" s="22">
        <f>YEAR([1]!BANCO10[[#This Row],[DATA INÍCIO]])</f>
        <v>2023</v>
      </c>
      <c r="BR59" s="22">
        <f>MONTH([1]!BANCO10[[#This Row],[DATA INÍCIO]])</f>
        <v>4</v>
      </c>
      <c r="BS59" s="129" t="e">
        <f>CONCATENATE(#REF!,#REF!)</f>
        <v>#REF!</v>
      </c>
      <c r="BT59" s="22"/>
      <c r="BU59" s="21" t="s">
        <v>818</v>
      </c>
      <c r="BV59" s="21" t="str">
        <f>IF([1]!BANCO10[[#This Row],[SOLUÇÃO]]=BV$1,[1]!BANCO10[[#This Row],[STATUS DA ETAPA]],"")</f>
        <v/>
      </c>
      <c r="BW59" s="21" t="str">
        <f>IF([1]!BANCO10[[#This Row],[SOLUÇÃO]]=BW$1,[1]!BANCO10[[#This Row],[STATUS DA ETAPA]],"")</f>
        <v/>
      </c>
      <c r="BX59" s="21" t="str">
        <f>IF([1]!BANCO10[[#This Row],[SOLUÇÃO]]=BX$1,[1]!BANCO10[[#This Row],[STATUS DA ETAPA]],"")</f>
        <v/>
      </c>
      <c r="BY59" s="21" t="str">
        <f>IF([1]!BANCO10[[#This Row],[SOLUÇÃO]]=BY$1,[1]!BANCO10[[#This Row],[STATUS DA ETAPA]],"")</f>
        <v/>
      </c>
      <c r="BZ59" s="21" t="str">
        <f>IF([1]!BANCO10[[#This Row],[SOLUÇÃO]]=BZ$1,[1]!BANCO10[[#This Row],[STATUS DA ETAPA]],"")</f>
        <v/>
      </c>
      <c r="CA59" s="21" t="str">
        <f>IF([1]!BANCO10[[#This Row],[SOLUÇÃO]]=CA$1,[1]!BANCO10[[#This Row],[STATUS DA ETAPA]],"")</f>
        <v>CONCLUÍDO</v>
      </c>
      <c r="CB59" s="21" t="str">
        <f>IF([1]!BANCO10[[#This Row],[SOLUÇÃO]]=CB$1,[1]!BANCO10[[#This Row],[STATUS DA ETAPA]],"")</f>
        <v/>
      </c>
      <c r="CC59" s="21" t="str">
        <f>IF([1]!BANCO10[[#This Row],[SOLUÇÃO]]=CC$1,[1]!BANCO10[[#This Row],[STATUS DA ETAPA]],"")</f>
        <v/>
      </c>
      <c r="CD59" s="21" t="str">
        <f>IF([1]!BANCO10[[#This Row],[SOLUÇÃO]]=CD$1,[1]!BANCO10[[#This Row],[STATUS DA ETAPA]],"")</f>
        <v/>
      </c>
      <c r="CE59" s="21" t="str">
        <f>IF([1]!BANCO10[[#This Row],[SOLUÇÃO]]=CE$1,[1]!BANCO10[[#This Row],[STATUS DA ETAPA]],"")</f>
        <v/>
      </c>
      <c r="CF59" s="21" t="str">
        <f>IF([1]!BANCO10[[#This Row],[SOLUÇÃO]]=CF$1,[1]!BANCO10[[#This Row],[STATUS DA ETAPA]],"")</f>
        <v/>
      </c>
      <c r="CG59" s="21" t="str">
        <f>IF([1]!BANCO10[[#This Row],[SOLUÇÃO]]=CG$1,[1]!BANCO10[[#This Row],[STATUS DA ETAPA]],"")</f>
        <v/>
      </c>
      <c r="CH59" s="21" t="str">
        <f>IF([1]!BANCO10[[#This Row],[SOLUÇÃO]]=CH$1,[1]!BANCO10[[#This Row],[STATUS DA ETAPA]],"")</f>
        <v/>
      </c>
      <c r="CI59" s="21" t="str">
        <f>IF([1]!BANCO10[[#This Row],[SOLUÇÃO]]=CI$1,[1]!BANCO10[[#This Row],[STATUS DA ETAPA]],"")</f>
        <v/>
      </c>
      <c r="CJ59" s="21" t="str">
        <f>IF([1]!BANCO10[[#This Row],[SOLUÇÃO]]=CJ$1,[1]!BANCO10[[#This Row],[STATUS DA ETAPA]],"")</f>
        <v/>
      </c>
      <c r="CK59" s="21" t="str">
        <f>IF([1]!BANCO10[[#This Row],[SOLUÇÃO]]=CK$1,[1]!BANCO10[[#This Row],[STATUS DA ETAPA]],"")</f>
        <v/>
      </c>
      <c r="CL59" s="21" t="str">
        <f>IF([1]!BANCO10[[#This Row],[SOLUÇÃO]]=CL$1,[1]!BANCO10[[#This Row],[STATUS DA ETAPA]],"")</f>
        <v/>
      </c>
      <c r="CM59" s="21" t="str">
        <f>IF([1]!BANCO10[[#This Row],[SOLUÇÃO]]=CM$1,[1]!BANCO10[[#This Row],[STATUS DA ETAPA]],"")</f>
        <v/>
      </c>
      <c r="CN59" s="21" t="str">
        <f>IF([1]!BANCO10[[#This Row],[SOLUÇÃO]]=CN$1,[1]!BANCO10[[#This Row],[STATUS DA ETAPA]],"")</f>
        <v/>
      </c>
      <c r="CO59" s="21" t="str">
        <f>IF([1]!BANCO10[[#This Row],[SOLUÇÃO]]=CO$1,[1]!BANCO10[[#This Row],[STATUS DA ETAPA]],"")</f>
        <v/>
      </c>
      <c r="CP59" s="21" t="str">
        <f>IF([1]!BANCO10[[#This Row],[SOLUÇÃO]]=CP$1,[1]!BANCO10[[#This Row],[STATUS DA ETAPA]],"")</f>
        <v/>
      </c>
      <c r="CQ59" s="21" t="str">
        <f>IF([1]!BANCO10[[#This Row],[SOLUÇÃO]]=CQ$1,[1]!BANCO10[[#This Row],[STATUS DA ETAPA]],"")</f>
        <v/>
      </c>
      <c r="CR59" s="21" t="str">
        <f>IF([1]!BANCO10[[#This Row],[SOLUÇÃO]]=CR$1,[1]!BANCO10[[#This Row],[STATUS DA ETAPA]],"")</f>
        <v/>
      </c>
      <c r="CS59" s="21" t="str">
        <f>IF([1]!BANCO10[[#This Row],[SOLUÇÃO]]=CS$1,[1]!BANCO10[[#This Row],[STATUS DA ETAPA]],"")</f>
        <v/>
      </c>
      <c r="CT59" s="21" t="str">
        <f>IF([1]!BANCO10[[#This Row],[SOLUÇÃO]]=CT$1,[1]!BANCO10[[#This Row],[STATUS DA ETAPA]],"")</f>
        <v/>
      </c>
      <c r="CU59" s="21" t="str">
        <f>IF([1]!BANCO10[[#This Row],[SOLUÇÃO]]=CU$1,[1]!BANCO10[[#This Row],[STATUS DA ETAPA]],"")</f>
        <v/>
      </c>
      <c r="CV59" s="21" t="str">
        <f>IF([1]!BANCO10[[#This Row],[SOLUÇÃO]]=CV$1,[1]!BANCO10[[#This Row],[STATUS DA ETAPA]],"")</f>
        <v/>
      </c>
    </row>
    <row r="60" spans="1:100">
      <c r="A60" s="44" t="s">
        <v>1</v>
      </c>
      <c r="B60" s="44"/>
      <c r="C60" s="44" t="s">
        <v>1</v>
      </c>
      <c r="D60" s="44"/>
      <c r="E60" s="44" t="s">
        <v>1</v>
      </c>
      <c r="F60" s="44"/>
      <c r="G60" s="44" t="s">
        <v>1</v>
      </c>
      <c r="H60" s="44"/>
      <c r="I60" s="45" t="s">
        <v>1</v>
      </c>
      <c r="J60" s="46"/>
      <c r="K60" s="45" t="s">
        <v>1</v>
      </c>
      <c r="L60" s="33"/>
      <c r="M60" s="45" t="s">
        <v>1</v>
      </c>
      <c r="N60" s="33"/>
      <c r="O60" s="44" t="s">
        <v>2</v>
      </c>
      <c r="P60" s="44">
        <v>45635</v>
      </c>
      <c r="Q60" s="44" t="s">
        <v>0</v>
      </c>
      <c r="R60" s="44"/>
      <c r="S60" s="44" t="s">
        <v>1</v>
      </c>
      <c r="T60" s="44"/>
      <c r="U60" s="44" t="s">
        <v>1</v>
      </c>
      <c r="V60" s="44"/>
      <c r="W60" s="44" t="s">
        <v>1</v>
      </c>
      <c r="X60" s="44"/>
      <c r="Y60" s="44" t="s">
        <v>1</v>
      </c>
      <c r="Z60" s="44"/>
      <c r="AA60" s="44" t="s">
        <v>1</v>
      </c>
      <c r="AB60" s="44"/>
      <c r="AC60" s="51">
        <v>45306</v>
      </c>
      <c r="AD60" s="50">
        <v>45306</v>
      </c>
      <c r="AE60" s="40" t="s">
        <v>1</v>
      </c>
      <c r="AF60" s="40" t="s">
        <v>1</v>
      </c>
      <c r="AG60" s="76" t="s">
        <v>5</v>
      </c>
      <c r="AH60" s="36" t="s">
        <v>1</v>
      </c>
      <c r="AI60" s="49">
        <v>0</v>
      </c>
      <c r="AJ60" s="36" t="s">
        <v>1</v>
      </c>
      <c r="AK60" s="10" t="s">
        <v>1</v>
      </c>
      <c r="AL60" s="36" t="s">
        <v>1</v>
      </c>
      <c r="AM60" s="36" t="s">
        <v>1</v>
      </c>
      <c r="AN60" s="35" t="s">
        <v>1</v>
      </c>
      <c r="AO60" s="35" t="s">
        <v>1</v>
      </c>
      <c r="AP60" s="35" t="s">
        <v>1</v>
      </c>
      <c r="AQ60" s="35" t="s">
        <v>1</v>
      </c>
      <c r="AR60" s="171" t="s">
        <v>1</v>
      </c>
      <c r="AS60" s="46"/>
      <c r="AT60" s="32" t="s">
        <v>1</v>
      </c>
      <c r="AU60" s="31"/>
      <c r="AV60" s="32" t="s">
        <v>1</v>
      </c>
      <c r="AW60" s="31"/>
      <c r="AX60" s="30" t="s">
        <v>1</v>
      </c>
      <c r="AY60" s="55"/>
      <c r="AZ60" s="30" t="s">
        <v>1</v>
      </c>
      <c r="BA60" s="55"/>
      <c r="BB60" s="74" t="s">
        <v>817</v>
      </c>
      <c r="BC60" s="25" t="s">
        <v>390</v>
      </c>
      <c r="BD60" s="24" t="s">
        <v>19</v>
      </c>
      <c r="BE60" s="24" t="s">
        <v>19</v>
      </c>
      <c r="BF60" s="24" t="s">
        <v>51</v>
      </c>
      <c r="BG60" s="24" t="s">
        <v>11</v>
      </c>
      <c r="BH60" s="130" t="s">
        <v>770</v>
      </c>
      <c r="BI60" s="24"/>
      <c r="BJ60" s="24" t="s">
        <v>11</v>
      </c>
      <c r="BK60" s="24" t="s">
        <v>11</v>
      </c>
      <c r="BL60" s="24" t="s">
        <v>11</v>
      </c>
      <c r="BM60" s="24" t="s">
        <v>11</v>
      </c>
      <c r="BN60" s="24" t="s">
        <v>11</v>
      </c>
      <c r="BO60" s="24" t="s">
        <v>11</v>
      </c>
      <c r="BP60" s="24" t="s">
        <v>11</v>
      </c>
      <c r="BQ60" s="22">
        <f>YEAR([1]!BANCO10[[#This Row],[DATA INÍCIO]])</f>
        <v>2024</v>
      </c>
      <c r="BR60" s="22">
        <f>MONTH([1]!BANCO10[[#This Row],[DATA INÍCIO]])</f>
        <v>1</v>
      </c>
      <c r="BS60" s="129" t="e">
        <f>CONCATENATE(#REF!,#REF!)</f>
        <v>#REF!</v>
      </c>
      <c r="BT60" s="22"/>
      <c r="BU60" s="21" t="s">
        <v>816</v>
      </c>
      <c r="BV60" s="21" t="str">
        <f>IF([1]!BANCO10[[#This Row],[SOLUÇÃO]]=BV$1,[1]!BANCO10[[#This Row],[STATUS DA ETAPA]],"")</f>
        <v>CONCLUÍDO</v>
      </c>
      <c r="BW60" s="21" t="str">
        <f>IF([1]!BANCO10[[#This Row],[SOLUÇÃO]]=BW$1,[1]!BANCO10[[#This Row],[STATUS DA ETAPA]],"")</f>
        <v/>
      </c>
      <c r="BX60" s="21" t="str">
        <f>IF([1]!BANCO10[[#This Row],[SOLUÇÃO]]=BX$1,[1]!BANCO10[[#This Row],[STATUS DA ETAPA]],"")</f>
        <v/>
      </c>
      <c r="BY60" s="21" t="str">
        <f>IF([1]!BANCO10[[#This Row],[SOLUÇÃO]]=BY$1,[1]!BANCO10[[#This Row],[STATUS DA ETAPA]],"")</f>
        <v/>
      </c>
      <c r="BZ60" s="21" t="str">
        <f>IF([1]!BANCO10[[#This Row],[SOLUÇÃO]]=BZ$1,[1]!BANCO10[[#This Row],[STATUS DA ETAPA]],"")</f>
        <v/>
      </c>
      <c r="CA60" s="21" t="str">
        <f>IF([1]!BANCO10[[#This Row],[SOLUÇÃO]]=CA$1,[1]!BANCO10[[#This Row],[STATUS DA ETAPA]],"")</f>
        <v/>
      </c>
      <c r="CB60" s="21" t="str">
        <f>IF([1]!BANCO10[[#This Row],[SOLUÇÃO]]=CB$1,[1]!BANCO10[[#This Row],[STATUS DA ETAPA]],"")</f>
        <v/>
      </c>
      <c r="CC60" s="21" t="str">
        <f>IF([1]!BANCO10[[#This Row],[SOLUÇÃO]]=CC$1,[1]!BANCO10[[#This Row],[STATUS DA ETAPA]],"")</f>
        <v/>
      </c>
      <c r="CD60" s="21" t="str">
        <f>IF([1]!BANCO10[[#This Row],[SOLUÇÃO]]=CD$1,[1]!BANCO10[[#This Row],[STATUS DA ETAPA]],"")</f>
        <v/>
      </c>
      <c r="CE60" s="21" t="str">
        <f>IF([1]!BANCO10[[#This Row],[SOLUÇÃO]]=CE$1,[1]!BANCO10[[#This Row],[STATUS DA ETAPA]],"")</f>
        <v/>
      </c>
      <c r="CF60" s="21" t="str">
        <f>IF([1]!BANCO10[[#This Row],[SOLUÇÃO]]=CF$1,[1]!BANCO10[[#This Row],[STATUS DA ETAPA]],"")</f>
        <v/>
      </c>
      <c r="CG60" s="21" t="str">
        <f>IF([1]!BANCO10[[#This Row],[SOLUÇÃO]]=CG$1,[1]!BANCO10[[#This Row],[STATUS DA ETAPA]],"")</f>
        <v/>
      </c>
      <c r="CH60" s="21" t="str">
        <f>IF([1]!BANCO10[[#This Row],[SOLUÇÃO]]=CH$1,[1]!BANCO10[[#This Row],[STATUS DA ETAPA]],"")</f>
        <v/>
      </c>
      <c r="CI60" s="21" t="str">
        <f>IF([1]!BANCO10[[#This Row],[SOLUÇÃO]]=CI$1,[1]!BANCO10[[#This Row],[STATUS DA ETAPA]],"")</f>
        <v/>
      </c>
      <c r="CJ60" s="21" t="str">
        <f>IF([1]!BANCO10[[#This Row],[SOLUÇÃO]]=CJ$1,[1]!BANCO10[[#This Row],[STATUS DA ETAPA]],"")</f>
        <v/>
      </c>
      <c r="CK60" s="21" t="str">
        <f>IF([1]!BANCO10[[#This Row],[SOLUÇÃO]]=CK$1,[1]!BANCO10[[#This Row],[STATUS DA ETAPA]],"")</f>
        <v/>
      </c>
      <c r="CL60" s="21" t="str">
        <f>IF([1]!BANCO10[[#This Row],[SOLUÇÃO]]=CL$1,[1]!BANCO10[[#This Row],[STATUS DA ETAPA]],"")</f>
        <v/>
      </c>
      <c r="CM60" s="21" t="str">
        <f>IF([1]!BANCO10[[#This Row],[SOLUÇÃO]]=CM$1,[1]!BANCO10[[#This Row],[STATUS DA ETAPA]],"")</f>
        <v/>
      </c>
      <c r="CN60" s="21" t="str">
        <f>IF([1]!BANCO10[[#This Row],[SOLUÇÃO]]=CN$1,[1]!BANCO10[[#This Row],[STATUS DA ETAPA]],"")</f>
        <v/>
      </c>
      <c r="CO60" s="21" t="str">
        <f>IF([1]!BANCO10[[#This Row],[SOLUÇÃO]]=CO$1,[1]!BANCO10[[#This Row],[STATUS DA ETAPA]],"")</f>
        <v/>
      </c>
      <c r="CP60" s="21" t="str">
        <f>IF([1]!BANCO10[[#This Row],[SOLUÇÃO]]=CP$1,[1]!BANCO10[[#This Row],[STATUS DA ETAPA]],"")</f>
        <v/>
      </c>
      <c r="CQ60" s="21" t="str">
        <f>IF([1]!BANCO10[[#This Row],[SOLUÇÃO]]=CQ$1,[1]!BANCO10[[#This Row],[STATUS DA ETAPA]],"")</f>
        <v/>
      </c>
      <c r="CR60" s="21" t="str">
        <f>IF([1]!BANCO10[[#This Row],[SOLUÇÃO]]=CR$1,[1]!BANCO10[[#This Row],[STATUS DA ETAPA]],"")</f>
        <v/>
      </c>
      <c r="CS60" s="21" t="str">
        <f>IF([1]!BANCO10[[#This Row],[SOLUÇÃO]]=CS$1,[1]!BANCO10[[#This Row],[STATUS DA ETAPA]],"")</f>
        <v/>
      </c>
      <c r="CT60" s="21" t="str">
        <f>IF([1]!BANCO10[[#This Row],[SOLUÇÃO]]=CT$1,[1]!BANCO10[[#This Row],[STATUS DA ETAPA]],"")</f>
        <v/>
      </c>
      <c r="CU60" s="21" t="str">
        <f>IF([1]!BANCO10[[#This Row],[SOLUÇÃO]]=CU$1,[1]!BANCO10[[#This Row],[STATUS DA ETAPA]],"")</f>
        <v/>
      </c>
      <c r="CV60" s="21" t="str">
        <f>IF([1]!BANCO10[[#This Row],[SOLUÇÃO]]=CV$1,[1]!BANCO10[[#This Row],[STATUS DA ETAPA]],"")</f>
        <v/>
      </c>
    </row>
    <row r="61" spans="1:100">
      <c r="A61" s="44" t="s">
        <v>1</v>
      </c>
      <c r="B61" s="44"/>
      <c r="C61" s="44" t="s">
        <v>1</v>
      </c>
      <c r="D61" s="44"/>
      <c r="E61" s="44" t="s">
        <v>1</v>
      </c>
      <c r="F61" s="44"/>
      <c r="G61" s="44" t="s">
        <v>1</v>
      </c>
      <c r="H61" s="44"/>
      <c r="I61" s="45" t="s">
        <v>1</v>
      </c>
      <c r="J61" s="46"/>
      <c r="K61" s="45" t="s">
        <v>1</v>
      </c>
      <c r="L61" s="33"/>
      <c r="M61" s="45" t="s">
        <v>1</v>
      </c>
      <c r="N61" s="33"/>
      <c r="O61" s="44" t="s">
        <v>2</v>
      </c>
      <c r="P61" s="44">
        <v>45091</v>
      </c>
      <c r="Q61" s="44"/>
      <c r="R61" s="44"/>
      <c r="S61" s="44"/>
      <c r="T61" s="44"/>
      <c r="U61" s="44"/>
      <c r="V61" s="44"/>
      <c r="W61" s="44"/>
      <c r="X61" s="44"/>
      <c r="Y61" s="44"/>
      <c r="Z61" s="44"/>
      <c r="AA61" s="44" t="s">
        <v>1</v>
      </c>
      <c r="AB61" s="44"/>
      <c r="AC61" s="51">
        <v>45963</v>
      </c>
      <c r="AD61" s="50">
        <v>45963</v>
      </c>
      <c r="AE61" s="41" t="s">
        <v>1</v>
      </c>
      <c r="AF61" s="41" t="s">
        <v>1</v>
      </c>
      <c r="AG61" s="76" t="s">
        <v>5</v>
      </c>
      <c r="AH61" s="36" t="s">
        <v>0</v>
      </c>
      <c r="AI61" s="49">
        <v>0</v>
      </c>
      <c r="AJ61" s="36"/>
      <c r="AK61" s="10" t="s">
        <v>30</v>
      </c>
      <c r="AL61" s="36" t="s">
        <v>30</v>
      </c>
      <c r="AM61" s="36" t="s">
        <v>30</v>
      </c>
      <c r="AN61" s="35" t="s">
        <v>1</v>
      </c>
      <c r="AO61" s="35" t="s">
        <v>1</v>
      </c>
      <c r="AP61" s="35"/>
      <c r="AQ61" s="35" t="s">
        <v>1</v>
      </c>
      <c r="AR61" s="45" t="s">
        <v>1</v>
      </c>
      <c r="AS61" s="46"/>
      <c r="AT61" s="32"/>
      <c r="AU61" s="31"/>
      <c r="AV61" s="32"/>
      <c r="AW61" s="31"/>
      <c r="AX61" s="30" t="s">
        <v>0</v>
      </c>
      <c r="AY61" s="29"/>
      <c r="AZ61" s="28" t="s">
        <v>0</v>
      </c>
      <c r="BA61" s="27"/>
      <c r="BB61" s="74"/>
      <c r="BC61" s="25" t="s">
        <v>390</v>
      </c>
      <c r="BD61" s="24" t="s">
        <v>19</v>
      </c>
      <c r="BE61" s="24" t="s">
        <v>19</v>
      </c>
      <c r="BF61" s="24" t="s">
        <v>51</v>
      </c>
      <c r="BG61" s="24" t="s">
        <v>11</v>
      </c>
      <c r="BH61" s="130" t="s">
        <v>770</v>
      </c>
      <c r="BI61" s="24"/>
      <c r="BJ61" s="24" t="s">
        <v>11</v>
      </c>
      <c r="BK61" s="24" t="s">
        <v>11</v>
      </c>
      <c r="BL61" s="24">
        <v>45402</v>
      </c>
      <c r="BM61" s="24"/>
      <c r="BN61" s="24" t="s">
        <v>11</v>
      </c>
      <c r="BO61" s="24"/>
      <c r="BP61" s="24" t="s">
        <v>815</v>
      </c>
      <c r="BQ61" s="22">
        <f>YEAR([1]!BANCO10[[#This Row],[DATA INÍCIO]])</f>
        <v>2025</v>
      </c>
      <c r="BR61" s="22">
        <f>MONTH([1]!BANCO10[[#This Row],[DATA INÍCIO]])</f>
        <v>11</v>
      </c>
      <c r="BS61" s="129" t="e">
        <f>CONCATENATE(#REF!,#REF!)</f>
        <v>#REF!</v>
      </c>
      <c r="BT61" s="22"/>
      <c r="BU61" s="21" t="s">
        <v>30</v>
      </c>
      <c r="BV61" s="21" t="str">
        <f>IF([1]!BANCO10[[#This Row],[SOLUÇÃO]]=BV$1,[1]!BANCO10[[#This Row],[STATUS DA ETAPA]],"")</f>
        <v/>
      </c>
      <c r="BW61" s="21" t="str">
        <f>IF([1]!BANCO10[[#This Row],[SOLUÇÃO]]=BW$1,[1]!BANCO10[[#This Row],[STATUS DA ETAPA]],"")</f>
        <v/>
      </c>
      <c r="BX61" s="21" t="str">
        <f>IF([1]!BANCO10[[#This Row],[SOLUÇÃO]]=BX$1,[1]!BANCO10[[#This Row],[STATUS DA ETAPA]],"")</f>
        <v/>
      </c>
      <c r="BY61" s="21" t="str">
        <f>IF([1]!BANCO10[[#This Row],[SOLUÇÃO]]=BY$1,[1]!BANCO10[[#This Row],[STATUS DA ETAPA]],"")</f>
        <v/>
      </c>
      <c r="BZ61" s="21" t="str">
        <f>IF([1]!BANCO10[[#This Row],[SOLUÇÃO]]=BZ$1,[1]!BANCO10[[#This Row],[STATUS DA ETAPA]],"")</f>
        <v/>
      </c>
      <c r="CA61" s="21" t="str">
        <f>IF([1]!BANCO10[[#This Row],[SOLUÇÃO]]=CA$1,[1]!BANCO10[[#This Row],[STATUS DA ETAPA]],"")</f>
        <v>PROSPECÇÃO</v>
      </c>
      <c r="CB61" s="21" t="str">
        <f>IF([1]!BANCO10[[#This Row],[SOLUÇÃO]]=CB$1,[1]!BANCO10[[#This Row],[STATUS DA ETAPA]],"")</f>
        <v/>
      </c>
      <c r="CC61" s="21" t="str">
        <f>IF([1]!BANCO10[[#This Row],[SOLUÇÃO]]=CC$1,[1]!BANCO10[[#This Row],[STATUS DA ETAPA]],"")</f>
        <v/>
      </c>
      <c r="CD61" s="21" t="str">
        <f>IF([1]!BANCO10[[#This Row],[SOLUÇÃO]]=CD$1,[1]!BANCO10[[#This Row],[STATUS DA ETAPA]],"")</f>
        <v/>
      </c>
      <c r="CE61" s="21" t="str">
        <f>IF([1]!BANCO10[[#This Row],[SOLUÇÃO]]=CE$1,[1]!BANCO10[[#This Row],[STATUS DA ETAPA]],"")</f>
        <v/>
      </c>
      <c r="CF61" s="21" t="str">
        <f>IF([1]!BANCO10[[#This Row],[SOLUÇÃO]]=CF$1,[1]!BANCO10[[#This Row],[STATUS DA ETAPA]],"")</f>
        <v/>
      </c>
      <c r="CG61" s="21" t="str">
        <f>IF([1]!BANCO10[[#This Row],[SOLUÇÃO]]=CG$1,[1]!BANCO10[[#This Row],[STATUS DA ETAPA]],"")</f>
        <v/>
      </c>
      <c r="CH61" s="21" t="str">
        <f>IF([1]!BANCO10[[#This Row],[SOLUÇÃO]]=CH$1,[1]!BANCO10[[#This Row],[STATUS DA ETAPA]],"")</f>
        <v/>
      </c>
      <c r="CI61" s="21" t="str">
        <f>IF([1]!BANCO10[[#This Row],[SOLUÇÃO]]=CI$1,[1]!BANCO10[[#This Row],[STATUS DA ETAPA]],"")</f>
        <v/>
      </c>
      <c r="CJ61" s="21" t="str">
        <f>IF([1]!BANCO10[[#This Row],[SOLUÇÃO]]=CJ$1,[1]!BANCO10[[#This Row],[STATUS DA ETAPA]],"")</f>
        <v/>
      </c>
      <c r="CK61" s="21" t="str">
        <f>IF([1]!BANCO10[[#This Row],[SOLUÇÃO]]=CK$1,[1]!BANCO10[[#This Row],[STATUS DA ETAPA]],"")</f>
        <v/>
      </c>
      <c r="CL61" s="21" t="str">
        <f>IF([1]!BANCO10[[#This Row],[SOLUÇÃO]]=CL$1,[1]!BANCO10[[#This Row],[STATUS DA ETAPA]],"")</f>
        <v/>
      </c>
      <c r="CM61" s="21" t="str">
        <f>IF([1]!BANCO10[[#This Row],[SOLUÇÃO]]=CM$1,[1]!BANCO10[[#This Row],[STATUS DA ETAPA]],"")</f>
        <v/>
      </c>
      <c r="CN61" s="21" t="str">
        <f>IF([1]!BANCO10[[#This Row],[SOLUÇÃO]]=CN$1,[1]!BANCO10[[#This Row],[STATUS DA ETAPA]],"")</f>
        <v/>
      </c>
      <c r="CO61" s="21" t="str">
        <f>IF([1]!BANCO10[[#This Row],[SOLUÇÃO]]=CO$1,[1]!BANCO10[[#This Row],[STATUS DA ETAPA]],"")</f>
        <v/>
      </c>
      <c r="CP61" s="21" t="str">
        <f>IF([1]!BANCO10[[#This Row],[SOLUÇÃO]]=CP$1,[1]!BANCO10[[#This Row],[STATUS DA ETAPA]],"")</f>
        <v/>
      </c>
      <c r="CQ61" s="21" t="str">
        <f>IF([1]!BANCO10[[#This Row],[SOLUÇÃO]]=CQ$1,[1]!BANCO10[[#This Row],[STATUS DA ETAPA]],"")</f>
        <v/>
      </c>
      <c r="CR61" s="21" t="str">
        <f>IF([1]!BANCO10[[#This Row],[SOLUÇÃO]]=CR$1,[1]!BANCO10[[#This Row],[STATUS DA ETAPA]],"")</f>
        <v/>
      </c>
      <c r="CS61" s="21" t="str">
        <f>IF([1]!BANCO10[[#This Row],[SOLUÇÃO]]=CS$1,[1]!BANCO10[[#This Row],[STATUS DA ETAPA]],"")</f>
        <v/>
      </c>
      <c r="CT61" s="21" t="str">
        <f>IF([1]!BANCO10[[#This Row],[SOLUÇÃO]]=CT$1,[1]!BANCO10[[#This Row],[STATUS DA ETAPA]],"")</f>
        <v/>
      </c>
      <c r="CU61" s="21" t="str">
        <f>IF([1]!BANCO10[[#This Row],[SOLUÇÃO]]=CU$1,[1]!BANCO10[[#This Row],[STATUS DA ETAPA]],"")</f>
        <v/>
      </c>
      <c r="CV61" s="21" t="str">
        <f>IF([1]!BANCO10[[#This Row],[SOLUÇÃO]]=CV$1,[1]!BANCO10[[#This Row],[STATUS DA ETAPA]],"")</f>
        <v/>
      </c>
    </row>
    <row r="62" spans="1:100">
      <c r="A62" s="44" t="s">
        <v>1</v>
      </c>
      <c r="B62" s="44"/>
      <c r="C62" s="44" t="s">
        <v>1</v>
      </c>
      <c r="D62" s="44"/>
      <c r="E62" s="44" t="s">
        <v>1</v>
      </c>
      <c r="F62" s="44"/>
      <c r="G62" s="44" t="s">
        <v>1</v>
      </c>
      <c r="H62" s="44"/>
      <c r="I62" s="45" t="s">
        <v>1</v>
      </c>
      <c r="J62" s="46"/>
      <c r="K62" s="45" t="s">
        <v>1</v>
      </c>
      <c r="L62" s="33"/>
      <c r="M62" s="45" t="s">
        <v>1</v>
      </c>
      <c r="N62" s="33"/>
      <c r="O62" s="44" t="s">
        <v>1</v>
      </c>
      <c r="P62" s="44"/>
      <c r="Q62" s="44" t="s">
        <v>1</v>
      </c>
      <c r="R62" s="44"/>
      <c r="S62" s="44" t="s">
        <v>1</v>
      </c>
      <c r="T62" s="44"/>
      <c r="U62" s="44" t="s">
        <v>2</v>
      </c>
      <c r="V62" s="44">
        <v>45825</v>
      </c>
      <c r="W62" s="44" t="s">
        <v>2</v>
      </c>
      <c r="X62" s="44"/>
      <c r="Y62" s="44" t="s">
        <v>2</v>
      </c>
      <c r="Z62" s="44"/>
      <c r="AA62" s="44" t="s">
        <v>2</v>
      </c>
      <c r="AB62" s="44"/>
      <c r="AC62" s="51">
        <v>45840</v>
      </c>
      <c r="AD62" s="50">
        <v>45924</v>
      </c>
      <c r="AE62" s="68" t="s">
        <v>2</v>
      </c>
      <c r="AF62" s="68" t="s">
        <v>2</v>
      </c>
      <c r="AG62" s="76" t="s">
        <v>5</v>
      </c>
      <c r="AH62" s="36" t="s">
        <v>0</v>
      </c>
      <c r="AI62" s="49">
        <v>0</v>
      </c>
      <c r="AJ62" s="36" t="s">
        <v>6</v>
      </c>
      <c r="AK62" s="128" t="s">
        <v>814</v>
      </c>
      <c r="AL62" s="36">
        <v>0</v>
      </c>
      <c r="AM62" s="36">
        <v>0</v>
      </c>
      <c r="AN62" s="35" t="s">
        <v>1</v>
      </c>
      <c r="AO62" s="35" t="s">
        <v>1</v>
      </c>
      <c r="AP62" s="35" t="s">
        <v>2</v>
      </c>
      <c r="AQ62" s="35" t="s">
        <v>1</v>
      </c>
      <c r="AR62" s="34" t="s">
        <v>1</v>
      </c>
      <c r="AS62" s="33"/>
      <c r="AT62" s="28" t="s">
        <v>2</v>
      </c>
      <c r="AU62" s="96">
        <v>45923</v>
      </c>
      <c r="AV62" s="32" t="s">
        <v>0</v>
      </c>
      <c r="AW62" s="31"/>
      <c r="AX62" s="30" t="s">
        <v>0</v>
      </c>
      <c r="AY62" s="29"/>
      <c r="AZ62" s="28" t="s">
        <v>0</v>
      </c>
      <c r="BA62" s="27"/>
      <c r="BB62" s="177"/>
      <c r="BC62" s="25"/>
      <c r="BD62" s="24"/>
      <c r="BE62" s="24"/>
      <c r="BF62" s="24"/>
      <c r="BG62" s="24"/>
      <c r="BH62" s="24"/>
      <c r="BI62" s="24"/>
      <c r="BJ62" s="24"/>
      <c r="BK62" s="24"/>
      <c r="BL62" s="24"/>
      <c r="BM62" s="24"/>
      <c r="BN62" s="24"/>
      <c r="BO62" s="24"/>
      <c r="BP62" s="24"/>
      <c r="BQ62" s="22">
        <f>YEAR([1]!BANCO10[[#This Row],[DATA INÍCIO]])</f>
        <v>2025</v>
      </c>
      <c r="BR62" s="22">
        <f>MONTH([1]!BANCO10[[#This Row],[DATA INÍCIO]])</f>
        <v>7</v>
      </c>
      <c r="BS62" s="23" t="e">
        <f>CONCATENATE(#REF!,#REF!)</f>
        <v>#REF!</v>
      </c>
      <c r="BT62" s="22"/>
      <c r="BU62" s="22"/>
      <c r="BV62" s="21" t="str">
        <f>IF([1]!BANCO10[[#This Row],[SOLUÇÃO]]=BV$1,[1]!BANCO10[[#This Row],[STATUS DA ETAPA]],"")</f>
        <v/>
      </c>
      <c r="BW62" s="21" t="str">
        <f>IF([1]!BANCO10[[#This Row],[SOLUÇÃO]]=BW$1,[1]!BANCO10[[#This Row],[STATUS DA ETAPA]],"")</f>
        <v/>
      </c>
      <c r="BX62" s="21" t="str">
        <f>IF([1]!BANCO10[[#This Row],[SOLUÇÃO]]=BX$1,[1]!BANCO10[[#This Row],[STATUS DA ETAPA]],"")</f>
        <v/>
      </c>
      <c r="BY62" s="21" t="str">
        <f>IF([1]!BANCO10[[#This Row],[SOLUÇÃO]]=BY$1,[1]!BANCO10[[#This Row],[STATUS DA ETAPA]],"")</f>
        <v/>
      </c>
      <c r="BZ62" s="21" t="str">
        <f>IF([1]!BANCO10[[#This Row],[SOLUÇÃO]]=BZ$1,[1]!BANCO10[[#This Row],[STATUS DA ETAPA]],"")</f>
        <v/>
      </c>
      <c r="CA62" s="21" t="str">
        <f>IF([1]!BANCO10[[#This Row],[SOLUÇÃO]]=CA$1,[1]!BANCO10[[#This Row],[STATUS DA ETAPA]],"")</f>
        <v/>
      </c>
      <c r="CB62" s="21" t="str">
        <f>IF([1]!BANCO10[[#This Row],[SOLUÇÃO]]=CB$1,[1]!BANCO10[[#This Row],[STATUS DA ETAPA]],"")</f>
        <v/>
      </c>
      <c r="CC62" s="21" t="str">
        <f>IF([1]!BANCO10[[#This Row],[SOLUÇÃO]]=CC$1,[1]!BANCO10[[#This Row],[STATUS DA ETAPA]],"")</f>
        <v/>
      </c>
      <c r="CD62" s="21" t="str">
        <f>IF([1]!BANCO10[[#This Row],[SOLUÇÃO]]=CD$1,[1]!BANCO10[[#This Row],[STATUS DA ETAPA]],"")</f>
        <v/>
      </c>
      <c r="CE62" s="21" t="str">
        <f>IF([1]!BANCO10[[#This Row],[SOLUÇÃO]]=CE$1,[1]!BANCO10[[#This Row],[STATUS DA ETAPA]],"")</f>
        <v/>
      </c>
      <c r="CF62" s="21" t="str">
        <f>IF([1]!BANCO10[[#This Row],[SOLUÇÃO]]=CF$1,[1]!BANCO10[[#This Row],[STATUS DA ETAPA]],"")</f>
        <v/>
      </c>
      <c r="CG62" s="21" t="str">
        <f>IF([1]!BANCO10[[#This Row],[SOLUÇÃO]]=CG$1,[1]!BANCO10[[#This Row],[STATUS DA ETAPA]],"")</f>
        <v/>
      </c>
      <c r="CH62" s="21" t="str">
        <f>IF([1]!BANCO10[[#This Row],[SOLUÇÃO]]=CH$1,[1]!BANCO10[[#This Row],[STATUS DA ETAPA]],"")</f>
        <v/>
      </c>
      <c r="CI62" s="21" t="str">
        <f>IF([1]!BANCO10[[#This Row],[SOLUÇÃO]]=CI$1,[1]!BANCO10[[#This Row],[STATUS DA ETAPA]],"")</f>
        <v/>
      </c>
      <c r="CJ62" s="21" t="str">
        <f>IF([1]!BANCO10[[#This Row],[SOLUÇÃO]]=CJ$1,[1]!BANCO10[[#This Row],[STATUS DA ETAPA]],"")</f>
        <v/>
      </c>
      <c r="CK62" s="21" t="str">
        <f>IF([1]!BANCO10[[#This Row],[SOLUÇÃO]]=CK$1,[1]!BANCO10[[#This Row],[STATUS DA ETAPA]],"")</f>
        <v/>
      </c>
      <c r="CL62" s="21" t="str">
        <f>IF([1]!BANCO10[[#This Row],[SOLUÇÃO]]=CL$1,[1]!BANCO10[[#This Row],[STATUS DA ETAPA]],"")</f>
        <v/>
      </c>
      <c r="CM62" s="21" t="str">
        <f>IF([1]!BANCO10[[#This Row],[SOLUÇÃO]]=CM$1,[1]!BANCO10[[#This Row],[STATUS DA ETAPA]],"")</f>
        <v/>
      </c>
      <c r="CN62" s="21" t="str">
        <f>IF([1]!BANCO10[[#This Row],[SOLUÇÃO]]=CN$1,[1]!BANCO10[[#This Row],[STATUS DA ETAPA]],"")</f>
        <v/>
      </c>
      <c r="CO62" s="21" t="str">
        <f>IF([1]!BANCO10[[#This Row],[SOLUÇÃO]]=CO$1,[1]!BANCO10[[#This Row],[STATUS DA ETAPA]],"")</f>
        <v>CONCLUÍDO</v>
      </c>
      <c r="CP62" s="21" t="str">
        <f>IF([1]!BANCO10[[#This Row],[SOLUÇÃO]]=CP$1,[1]!BANCO10[[#This Row],[STATUS DA ETAPA]],"")</f>
        <v/>
      </c>
      <c r="CQ62" s="21" t="str">
        <f>IF([1]!BANCO10[[#This Row],[SOLUÇÃO]]=CQ$1,[1]!BANCO10[[#This Row],[STATUS DA ETAPA]],"")</f>
        <v/>
      </c>
      <c r="CR62" s="21" t="str">
        <f>IF([1]!BANCO10[[#This Row],[SOLUÇÃO]]=CR$1,[1]!BANCO10[[#This Row],[STATUS DA ETAPA]],"")</f>
        <v/>
      </c>
      <c r="CS62" s="21" t="str">
        <f>IF([1]!BANCO10[[#This Row],[SOLUÇÃO]]=CS$1,[1]!BANCO10[[#This Row],[STATUS DA ETAPA]],"")</f>
        <v/>
      </c>
      <c r="CT62" s="21" t="str">
        <f>IF([1]!BANCO10[[#This Row],[SOLUÇÃO]]=CT$1,[1]!BANCO10[[#This Row],[STATUS DA ETAPA]],"")</f>
        <v/>
      </c>
      <c r="CU62" s="21" t="str">
        <f>IF([1]!BANCO10[[#This Row],[SOLUÇÃO]]=CU$1,[1]!BANCO10[[#This Row],[STATUS DA ETAPA]],"")</f>
        <v/>
      </c>
      <c r="CV62" s="21" t="str">
        <f>IF([1]!BANCO10[[#This Row],[SOLUÇÃO]]=CV$1,[1]!BANCO10[[#This Row],[STATUS DA ETAPA]],"")</f>
        <v/>
      </c>
    </row>
    <row r="63" spans="1:100">
      <c r="A63" s="44" t="s">
        <v>1</v>
      </c>
      <c r="B63" s="44"/>
      <c r="C63" s="44" t="s">
        <v>1</v>
      </c>
      <c r="D63" s="44"/>
      <c r="E63" s="44" t="s">
        <v>1</v>
      </c>
      <c r="F63" s="44"/>
      <c r="G63" s="44" t="s">
        <v>1</v>
      </c>
      <c r="H63" s="44"/>
      <c r="I63" s="45" t="s">
        <v>1</v>
      </c>
      <c r="J63" s="46"/>
      <c r="K63" s="45" t="s">
        <v>1</v>
      </c>
      <c r="L63" s="33"/>
      <c r="M63" s="45" t="s">
        <v>1</v>
      </c>
      <c r="N63" s="33"/>
      <c r="O63" s="44" t="s">
        <v>1</v>
      </c>
      <c r="P63" s="44"/>
      <c r="Q63" s="44" t="s">
        <v>1</v>
      </c>
      <c r="R63" s="44"/>
      <c r="S63" s="44" t="s">
        <v>1</v>
      </c>
      <c r="T63" s="44"/>
      <c r="U63" s="44" t="s">
        <v>1</v>
      </c>
      <c r="V63" s="44"/>
      <c r="W63" s="44" t="s">
        <v>1</v>
      </c>
      <c r="X63" s="44"/>
      <c r="Y63" s="44" t="s">
        <v>1</v>
      </c>
      <c r="Z63" s="44"/>
      <c r="AA63" s="44" t="s">
        <v>1</v>
      </c>
      <c r="AB63" s="44"/>
      <c r="AC63" s="51">
        <v>45614</v>
      </c>
      <c r="AD63" s="83">
        <v>45614</v>
      </c>
      <c r="AE63" s="41" t="s">
        <v>1</v>
      </c>
      <c r="AF63" s="41" t="s">
        <v>1</v>
      </c>
      <c r="AG63" s="40" t="s">
        <v>5</v>
      </c>
      <c r="AH63" s="36" t="s">
        <v>1</v>
      </c>
      <c r="AI63" s="49">
        <v>0</v>
      </c>
      <c r="AJ63" s="36" t="s">
        <v>1</v>
      </c>
      <c r="AK63" s="10" t="s">
        <v>1</v>
      </c>
      <c r="AL63" s="36" t="s">
        <v>1</v>
      </c>
      <c r="AM63" s="36" t="s">
        <v>1</v>
      </c>
      <c r="AN63" s="35" t="s">
        <v>1</v>
      </c>
      <c r="AO63" s="35" t="s">
        <v>1</v>
      </c>
      <c r="AP63" s="35" t="s">
        <v>1</v>
      </c>
      <c r="AQ63" s="35" t="s">
        <v>1</v>
      </c>
      <c r="AR63" s="173" t="s">
        <v>1</v>
      </c>
      <c r="AS63" s="172"/>
      <c r="AT63" s="88"/>
      <c r="AU63" s="133"/>
      <c r="AV63" s="88"/>
      <c r="AW63" s="133"/>
      <c r="AX63" s="88" t="s">
        <v>1</v>
      </c>
      <c r="AY63" s="133"/>
      <c r="AZ63" s="88" t="s">
        <v>1</v>
      </c>
      <c r="BA63" s="21"/>
      <c r="BB63" s="26"/>
      <c r="BC63" s="86"/>
      <c r="BD63" s="24"/>
      <c r="BE63" s="24"/>
      <c r="BF63" s="24"/>
      <c r="BG63" s="24"/>
      <c r="BH63" s="24"/>
      <c r="BI63" s="24"/>
      <c r="BJ63" s="24"/>
      <c r="BK63" s="24"/>
      <c r="BL63" s="24"/>
      <c r="BM63" s="24"/>
      <c r="BN63" s="24"/>
      <c r="BO63" s="24"/>
      <c r="BP63" s="24"/>
      <c r="BQ63" s="22">
        <f>YEAR([1]!BANCO10[[#This Row],[DATA INÍCIO]])</f>
        <v>2024</v>
      </c>
      <c r="BR63" s="22">
        <f>MONTH([1]!BANCO10[[#This Row],[DATA INÍCIO]])</f>
        <v>11</v>
      </c>
      <c r="BS63" s="23" t="e">
        <f>CONCATENATE(#REF!,#REF!)</f>
        <v>#REF!</v>
      </c>
      <c r="BT63" s="22"/>
      <c r="BU63" s="22"/>
      <c r="BV63" s="21" t="str">
        <f>IF([1]!BANCO10[[#This Row],[SOLUÇÃO]]=BV$1,[1]!BANCO10[[#This Row],[STATUS DA ETAPA]],"")</f>
        <v>CONCLUÍDO</v>
      </c>
      <c r="BW63" s="21" t="str">
        <f>IF([1]!BANCO10[[#This Row],[SOLUÇÃO]]=BW$1,[1]!BANCO10[[#This Row],[STATUS DA ETAPA]],"")</f>
        <v/>
      </c>
      <c r="BX63" s="21" t="str">
        <f>IF([1]!BANCO10[[#This Row],[SOLUÇÃO]]=BX$1,[1]!BANCO10[[#This Row],[STATUS DA ETAPA]],"")</f>
        <v/>
      </c>
      <c r="BY63" s="21" t="str">
        <f>IF([1]!BANCO10[[#This Row],[SOLUÇÃO]]=BY$1,[1]!BANCO10[[#This Row],[STATUS DA ETAPA]],"")</f>
        <v/>
      </c>
      <c r="BZ63" s="21" t="str">
        <f>IF([1]!BANCO10[[#This Row],[SOLUÇÃO]]=BZ$1,[1]!BANCO10[[#This Row],[STATUS DA ETAPA]],"")</f>
        <v/>
      </c>
      <c r="CA63" s="21" t="str">
        <f>IF([1]!BANCO10[[#This Row],[SOLUÇÃO]]=CA$1,[1]!BANCO10[[#This Row],[STATUS DA ETAPA]],"")</f>
        <v/>
      </c>
      <c r="CB63" s="21" t="str">
        <f>IF([1]!BANCO10[[#This Row],[SOLUÇÃO]]=CB$1,[1]!BANCO10[[#This Row],[STATUS DA ETAPA]],"")</f>
        <v/>
      </c>
      <c r="CC63" s="21" t="str">
        <f>IF([1]!BANCO10[[#This Row],[SOLUÇÃO]]=CC$1,[1]!BANCO10[[#This Row],[STATUS DA ETAPA]],"")</f>
        <v/>
      </c>
      <c r="CD63" s="21" t="str">
        <f>IF([1]!BANCO10[[#This Row],[SOLUÇÃO]]=CD$1,[1]!BANCO10[[#This Row],[STATUS DA ETAPA]],"")</f>
        <v/>
      </c>
      <c r="CE63" s="21" t="str">
        <f>IF([1]!BANCO10[[#This Row],[SOLUÇÃO]]=CE$1,[1]!BANCO10[[#This Row],[STATUS DA ETAPA]],"")</f>
        <v/>
      </c>
      <c r="CF63" s="21" t="str">
        <f>IF([1]!BANCO10[[#This Row],[SOLUÇÃO]]=CF$1,[1]!BANCO10[[#This Row],[STATUS DA ETAPA]],"")</f>
        <v/>
      </c>
      <c r="CG63" s="21" t="str">
        <f>IF([1]!BANCO10[[#This Row],[SOLUÇÃO]]=CG$1,[1]!BANCO10[[#This Row],[STATUS DA ETAPA]],"")</f>
        <v/>
      </c>
      <c r="CH63" s="21" t="str">
        <f>IF([1]!BANCO10[[#This Row],[SOLUÇÃO]]=CH$1,[1]!BANCO10[[#This Row],[STATUS DA ETAPA]],"")</f>
        <v/>
      </c>
      <c r="CI63" s="21" t="str">
        <f>IF([1]!BANCO10[[#This Row],[SOLUÇÃO]]=CI$1,[1]!BANCO10[[#This Row],[STATUS DA ETAPA]],"")</f>
        <v/>
      </c>
      <c r="CJ63" s="21" t="str">
        <f>IF([1]!BANCO10[[#This Row],[SOLUÇÃO]]=CJ$1,[1]!BANCO10[[#This Row],[STATUS DA ETAPA]],"")</f>
        <v/>
      </c>
      <c r="CK63" s="21" t="str">
        <f>IF([1]!BANCO10[[#This Row],[SOLUÇÃO]]=CK$1,[1]!BANCO10[[#This Row],[STATUS DA ETAPA]],"")</f>
        <v/>
      </c>
      <c r="CL63" s="21" t="str">
        <f>IF([1]!BANCO10[[#This Row],[SOLUÇÃO]]=CL$1,[1]!BANCO10[[#This Row],[STATUS DA ETAPA]],"")</f>
        <v/>
      </c>
      <c r="CM63" s="21" t="str">
        <f>IF([1]!BANCO10[[#This Row],[SOLUÇÃO]]=CM$1,[1]!BANCO10[[#This Row],[STATUS DA ETAPA]],"")</f>
        <v/>
      </c>
      <c r="CN63" s="21" t="str">
        <f>IF([1]!BANCO10[[#This Row],[SOLUÇÃO]]=CN$1,[1]!BANCO10[[#This Row],[STATUS DA ETAPA]],"")</f>
        <v/>
      </c>
      <c r="CO63" s="21" t="str">
        <f>IF([1]!BANCO10[[#This Row],[SOLUÇÃO]]=CO$1,[1]!BANCO10[[#This Row],[STATUS DA ETAPA]],"")</f>
        <v/>
      </c>
      <c r="CP63" s="21" t="str">
        <f>IF([1]!BANCO10[[#This Row],[SOLUÇÃO]]=CP$1,[1]!BANCO10[[#This Row],[STATUS DA ETAPA]],"")</f>
        <v/>
      </c>
      <c r="CQ63" s="21" t="str">
        <f>IF([1]!BANCO10[[#This Row],[SOLUÇÃO]]=CQ$1,[1]!BANCO10[[#This Row],[STATUS DA ETAPA]],"")</f>
        <v/>
      </c>
      <c r="CR63" s="21" t="str">
        <f>IF([1]!BANCO10[[#This Row],[SOLUÇÃO]]=CR$1,[1]!BANCO10[[#This Row],[STATUS DA ETAPA]],"")</f>
        <v/>
      </c>
      <c r="CS63" s="21" t="str">
        <f>IF([1]!BANCO10[[#This Row],[SOLUÇÃO]]=CS$1,[1]!BANCO10[[#This Row],[STATUS DA ETAPA]],"")</f>
        <v/>
      </c>
      <c r="CT63" s="21" t="str">
        <f>IF([1]!BANCO10[[#This Row],[SOLUÇÃO]]=CT$1,[1]!BANCO10[[#This Row],[STATUS DA ETAPA]],"")</f>
        <v/>
      </c>
      <c r="CU63" s="21" t="str">
        <f>IF([1]!BANCO10[[#This Row],[SOLUÇÃO]]=CU$1,[1]!BANCO10[[#This Row],[STATUS DA ETAPA]],"")</f>
        <v/>
      </c>
      <c r="CV63" s="21" t="str">
        <f>IF([1]!BANCO10[[#This Row],[SOLUÇÃO]]=CV$1,[1]!BANCO10[[#This Row],[STATUS DA ETAPA]],"")</f>
        <v/>
      </c>
    </row>
    <row r="64" spans="1:100">
      <c r="A64" s="44" t="s">
        <v>1</v>
      </c>
      <c r="B64" s="44"/>
      <c r="C64" s="44" t="s">
        <v>1</v>
      </c>
      <c r="D64" s="44"/>
      <c r="E64" s="44" t="s">
        <v>1</v>
      </c>
      <c r="F64" s="44"/>
      <c r="G64" s="44" t="s">
        <v>1</v>
      </c>
      <c r="H64" s="44"/>
      <c r="I64" s="45" t="s">
        <v>1</v>
      </c>
      <c r="J64" s="46"/>
      <c r="K64" s="45" t="s">
        <v>1</v>
      </c>
      <c r="L64" s="33"/>
      <c r="M64" s="45" t="s">
        <v>1</v>
      </c>
      <c r="N64" s="33"/>
      <c r="O64" s="44" t="s">
        <v>1</v>
      </c>
      <c r="P64" s="44"/>
      <c r="Q64" s="44" t="s">
        <v>2</v>
      </c>
      <c r="R64" s="44">
        <v>45610</v>
      </c>
      <c r="S64" s="44" t="s">
        <v>2</v>
      </c>
      <c r="T64" s="44">
        <v>45610</v>
      </c>
      <c r="U64" s="44" t="s">
        <v>1</v>
      </c>
      <c r="V64" s="44"/>
      <c r="W64" s="44" t="s">
        <v>1</v>
      </c>
      <c r="X64" s="44"/>
      <c r="Y64" s="44" t="s">
        <v>1</v>
      </c>
      <c r="Z64" s="44"/>
      <c r="AA64" s="44" t="s">
        <v>1</v>
      </c>
      <c r="AB64" s="44"/>
      <c r="AC64" s="51">
        <v>45672</v>
      </c>
      <c r="AD64" s="50">
        <v>45761</v>
      </c>
      <c r="AE64" s="41" t="s">
        <v>2</v>
      </c>
      <c r="AF64" s="41" t="s">
        <v>2</v>
      </c>
      <c r="AG64" s="40" t="s">
        <v>5</v>
      </c>
      <c r="AH64" s="36" t="s">
        <v>0</v>
      </c>
      <c r="AI64" s="49">
        <v>0</v>
      </c>
      <c r="AJ64" s="36" t="s">
        <v>6</v>
      </c>
      <c r="AK64" s="10">
        <v>562881</v>
      </c>
      <c r="AL64" s="36" t="s">
        <v>1</v>
      </c>
      <c r="AM64" s="36" t="s">
        <v>1</v>
      </c>
      <c r="AN64" s="35" t="s">
        <v>1</v>
      </c>
      <c r="AO64" s="35" t="s">
        <v>1</v>
      </c>
      <c r="AP64" s="35" t="s">
        <v>1</v>
      </c>
      <c r="AQ64" s="35" t="s">
        <v>1</v>
      </c>
      <c r="AR64" s="45" t="s">
        <v>2</v>
      </c>
      <c r="AS64" s="46">
        <v>45814</v>
      </c>
      <c r="AT64" s="32" t="s">
        <v>1</v>
      </c>
      <c r="AU64" s="31"/>
      <c r="AV64" s="32" t="s">
        <v>1</v>
      </c>
      <c r="AW64" s="31"/>
      <c r="AX64" s="30" t="s">
        <v>2</v>
      </c>
      <c r="AY64" s="29">
        <v>45814</v>
      </c>
      <c r="AZ64" s="28" t="s">
        <v>0</v>
      </c>
      <c r="BA64" s="27"/>
      <c r="BB64" s="74" t="s">
        <v>42</v>
      </c>
      <c r="BC64" s="25" t="s">
        <v>41</v>
      </c>
      <c r="BD64" s="24"/>
      <c r="BE64" s="24"/>
      <c r="BF64" s="24"/>
      <c r="BG64" s="24"/>
      <c r="BH64" s="24"/>
      <c r="BI64" s="24"/>
      <c r="BJ64" s="24"/>
      <c r="BK64" s="24"/>
      <c r="BL64" s="24"/>
      <c r="BM64" s="24"/>
      <c r="BN64" s="24"/>
      <c r="BO64" s="24"/>
      <c r="BP64" s="24"/>
      <c r="BQ64" s="22">
        <f>YEAR([1]!BANCO10[[#This Row],[DATA INÍCIO]])</f>
        <v>2025</v>
      </c>
      <c r="BR64" s="22">
        <f>MONTH([1]!BANCO10[[#This Row],[DATA INÍCIO]])</f>
        <v>1</v>
      </c>
      <c r="BS64" s="23" t="e">
        <f>CONCATENATE(#REF!,#REF!)</f>
        <v>#REF!</v>
      </c>
      <c r="BT64" s="22"/>
      <c r="BU64" s="22"/>
      <c r="BV64" s="21" t="str">
        <f>IF([1]!BANCO10[[#This Row],[SOLUÇÃO]]=BV$1,[1]!BANCO10[[#This Row],[STATUS DA ETAPA]],"")</f>
        <v/>
      </c>
      <c r="BW64" s="21" t="str">
        <f>IF([1]!BANCO10[[#This Row],[SOLUÇÃO]]=BW$1,[1]!BANCO10[[#This Row],[STATUS DA ETAPA]],"")</f>
        <v/>
      </c>
      <c r="BX64" s="21" t="str">
        <f>IF([1]!BANCO10[[#This Row],[SOLUÇÃO]]=BX$1,[1]!BANCO10[[#This Row],[STATUS DA ETAPA]],"")</f>
        <v/>
      </c>
      <c r="BY64" s="21" t="str">
        <f>IF([1]!BANCO10[[#This Row],[SOLUÇÃO]]=BY$1,[1]!BANCO10[[#This Row],[STATUS DA ETAPA]],"")</f>
        <v/>
      </c>
      <c r="BZ64" s="21" t="str">
        <f>IF([1]!BANCO10[[#This Row],[SOLUÇÃO]]=BZ$1,[1]!BANCO10[[#This Row],[STATUS DA ETAPA]],"")</f>
        <v/>
      </c>
      <c r="CA64" s="21" t="str">
        <f>IF([1]!BANCO10[[#This Row],[SOLUÇÃO]]=CA$1,[1]!BANCO10[[#This Row],[STATUS DA ETAPA]],"")</f>
        <v/>
      </c>
      <c r="CB64" s="21" t="str">
        <f>IF([1]!BANCO10[[#This Row],[SOLUÇÃO]]=CB$1,[1]!BANCO10[[#This Row],[STATUS DA ETAPA]],"")</f>
        <v/>
      </c>
      <c r="CC64" s="21" t="str">
        <f>IF([1]!BANCO10[[#This Row],[SOLUÇÃO]]=CC$1,[1]!BANCO10[[#This Row],[STATUS DA ETAPA]],"")</f>
        <v/>
      </c>
      <c r="CD64" s="21" t="str">
        <f>IF([1]!BANCO10[[#This Row],[SOLUÇÃO]]=CD$1,[1]!BANCO10[[#This Row],[STATUS DA ETAPA]],"")</f>
        <v/>
      </c>
      <c r="CE64" s="21" t="str">
        <f>IF([1]!BANCO10[[#This Row],[SOLUÇÃO]]=CE$1,[1]!BANCO10[[#This Row],[STATUS DA ETAPA]],"")</f>
        <v/>
      </c>
      <c r="CF64" s="21" t="str">
        <f>IF([1]!BANCO10[[#This Row],[SOLUÇÃO]]=CF$1,[1]!BANCO10[[#This Row],[STATUS DA ETAPA]],"")</f>
        <v/>
      </c>
      <c r="CG64" s="21" t="str">
        <f>IF([1]!BANCO10[[#This Row],[SOLUÇÃO]]=CG$1,[1]!BANCO10[[#This Row],[STATUS DA ETAPA]],"")</f>
        <v/>
      </c>
      <c r="CH64" s="21" t="str">
        <f>IF([1]!BANCO10[[#This Row],[SOLUÇÃO]]=CH$1,[1]!BANCO10[[#This Row],[STATUS DA ETAPA]],"")</f>
        <v/>
      </c>
      <c r="CI64" s="21" t="str">
        <f>IF([1]!BANCO10[[#This Row],[SOLUÇÃO]]=CI$1,[1]!BANCO10[[#This Row],[STATUS DA ETAPA]],"")</f>
        <v/>
      </c>
      <c r="CJ64" s="21" t="str">
        <f>IF([1]!BANCO10[[#This Row],[SOLUÇÃO]]=CJ$1,[1]!BANCO10[[#This Row],[STATUS DA ETAPA]],"")</f>
        <v/>
      </c>
      <c r="CK64" s="21" t="str">
        <f>IF([1]!BANCO10[[#This Row],[SOLUÇÃO]]=CK$1,[1]!BANCO10[[#This Row],[STATUS DA ETAPA]],"")</f>
        <v/>
      </c>
      <c r="CL64" s="21" t="str">
        <f>IF([1]!BANCO10[[#This Row],[SOLUÇÃO]]=CL$1,[1]!BANCO10[[#This Row],[STATUS DA ETAPA]],"")</f>
        <v/>
      </c>
      <c r="CM64" s="21" t="str">
        <f>IF([1]!BANCO10[[#This Row],[SOLUÇÃO]]=CM$1,[1]!BANCO10[[#This Row],[STATUS DA ETAPA]],"")</f>
        <v/>
      </c>
      <c r="CN64" s="21" t="str">
        <f>IF([1]!BANCO10[[#This Row],[SOLUÇÃO]]=CN$1,[1]!BANCO10[[#This Row],[STATUS DA ETAPA]],"")</f>
        <v/>
      </c>
      <c r="CO64" s="21" t="str">
        <f>IF([1]!BANCO10[[#This Row],[SOLUÇÃO]]=CO$1,[1]!BANCO10[[#This Row],[STATUS DA ETAPA]],"")</f>
        <v/>
      </c>
      <c r="CP64" s="21" t="str">
        <f>IF([1]!BANCO10[[#This Row],[SOLUÇÃO]]=CP$1,[1]!BANCO10[[#This Row],[STATUS DA ETAPA]],"")</f>
        <v/>
      </c>
      <c r="CQ64" s="21" t="str">
        <f>IF([1]!BANCO10[[#This Row],[SOLUÇÃO]]=CQ$1,[1]!BANCO10[[#This Row],[STATUS DA ETAPA]],"")</f>
        <v/>
      </c>
      <c r="CR64" s="21" t="str">
        <f>IF([1]!BANCO10[[#This Row],[SOLUÇÃO]]=CR$1,[1]!BANCO10[[#This Row],[STATUS DA ETAPA]],"")</f>
        <v/>
      </c>
      <c r="CS64" s="21" t="str">
        <f>IF([1]!BANCO10[[#This Row],[SOLUÇÃO]]=CS$1,[1]!BANCO10[[#This Row],[STATUS DA ETAPA]],"")</f>
        <v/>
      </c>
      <c r="CT64" s="21" t="str">
        <f>IF([1]!BANCO10[[#This Row],[SOLUÇÃO]]=CT$1,[1]!BANCO10[[#This Row],[STATUS DA ETAPA]],"")</f>
        <v/>
      </c>
      <c r="CU64" s="21" t="str">
        <f>IF([1]!BANCO10[[#This Row],[SOLUÇÃO]]=CU$1,[1]!BANCO10[[#This Row],[STATUS DA ETAPA]],"")</f>
        <v/>
      </c>
      <c r="CV64" s="21" t="str">
        <f>IF([1]!BANCO10[[#This Row],[SOLUÇÃO]]=CV$1,[1]!BANCO10[[#This Row],[STATUS DA ETAPA]],"")</f>
        <v/>
      </c>
    </row>
    <row r="65" spans="1:100">
      <c r="A65" s="44" t="s">
        <v>1</v>
      </c>
      <c r="B65" s="44"/>
      <c r="C65" s="44" t="s">
        <v>1</v>
      </c>
      <c r="D65" s="44"/>
      <c r="E65" s="44" t="s">
        <v>1</v>
      </c>
      <c r="F65" s="44"/>
      <c r="G65" s="44" t="s">
        <v>1</v>
      </c>
      <c r="H65" s="44"/>
      <c r="I65" s="45" t="s">
        <v>1</v>
      </c>
      <c r="J65" s="46"/>
      <c r="K65" s="45" t="s">
        <v>1</v>
      </c>
      <c r="L65" s="33"/>
      <c r="M65" s="45" t="s">
        <v>1</v>
      </c>
      <c r="N65" s="33"/>
      <c r="O65" s="44" t="s">
        <v>2</v>
      </c>
      <c r="P65" s="44">
        <v>45310</v>
      </c>
      <c r="Q65" s="44"/>
      <c r="R65" s="44"/>
      <c r="S65" s="44"/>
      <c r="T65" s="44"/>
      <c r="U65" s="44" t="s">
        <v>1</v>
      </c>
      <c r="V65" s="44"/>
      <c r="W65" s="44" t="s">
        <v>1</v>
      </c>
      <c r="X65" s="44"/>
      <c r="Y65" s="44" t="s">
        <v>1</v>
      </c>
      <c r="Z65" s="44"/>
      <c r="AA65" s="44" t="s">
        <v>1</v>
      </c>
      <c r="AB65" s="44"/>
      <c r="AC65" s="51">
        <v>45315</v>
      </c>
      <c r="AD65" s="50">
        <v>45371</v>
      </c>
      <c r="AE65" s="40" t="s">
        <v>2</v>
      </c>
      <c r="AF65" s="40" t="s">
        <v>2</v>
      </c>
      <c r="AG65" s="76" t="s">
        <v>5</v>
      </c>
      <c r="AH65" s="36" t="s">
        <v>2</v>
      </c>
      <c r="AI65" s="49">
        <v>0</v>
      </c>
      <c r="AJ65" s="36" t="s">
        <v>1</v>
      </c>
      <c r="AK65" s="10" t="s">
        <v>1</v>
      </c>
      <c r="AL65" s="36" t="s">
        <v>1</v>
      </c>
      <c r="AM65" s="36" t="s">
        <v>1</v>
      </c>
      <c r="AN65" s="35" t="s">
        <v>1</v>
      </c>
      <c r="AO65" s="35" t="s">
        <v>1</v>
      </c>
      <c r="AP65" s="35" t="s">
        <v>2</v>
      </c>
      <c r="AQ65" s="35" t="s">
        <v>1</v>
      </c>
      <c r="AR65" s="45" t="s">
        <v>1</v>
      </c>
      <c r="AS65" s="46"/>
      <c r="AT65" s="32" t="s">
        <v>1</v>
      </c>
      <c r="AU65" s="31"/>
      <c r="AV65" s="32" t="s">
        <v>1</v>
      </c>
      <c r="AW65" s="31"/>
      <c r="AX65" s="30" t="s">
        <v>2</v>
      </c>
      <c r="AY65" s="55">
        <v>45371</v>
      </c>
      <c r="AZ65" s="30" t="s">
        <v>2</v>
      </c>
      <c r="BA65" s="55">
        <v>45625</v>
      </c>
      <c r="BB65" s="74" t="s">
        <v>34</v>
      </c>
      <c r="BC65" s="25"/>
      <c r="BD65" s="24"/>
      <c r="BE65" s="24"/>
      <c r="BF65" s="24"/>
      <c r="BG65" s="24"/>
      <c r="BH65" s="130"/>
      <c r="BI65" s="24"/>
      <c r="BJ65" s="24" t="s">
        <v>19</v>
      </c>
      <c r="BK65" s="24" t="s">
        <v>19</v>
      </c>
      <c r="BL65" s="24" t="s">
        <v>19</v>
      </c>
      <c r="BM65" s="24" t="s">
        <v>19</v>
      </c>
      <c r="BN65" s="24" t="s">
        <v>19</v>
      </c>
      <c r="BO65" s="24" t="s">
        <v>19</v>
      </c>
      <c r="BP65" s="24" t="s">
        <v>19</v>
      </c>
      <c r="BQ65" s="22">
        <f>YEAR([1]!BANCO10[[#This Row],[DATA INÍCIO]])</f>
        <v>2024</v>
      </c>
      <c r="BR65" s="22">
        <f>MONTH([1]!BANCO10[[#This Row],[DATA INÍCIO]])</f>
        <v>1</v>
      </c>
      <c r="BS65" s="129" t="e">
        <f>CONCATENATE(#REF!,#REF!)</f>
        <v>#REF!</v>
      </c>
      <c r="BT65" s="22"/>
      <c r="BU65" s="21" t="s">
        <v>813</v>
      </c>
      <c r="BV65" s="21" t="str">
        <f>IF([1]!BANCO10[[#This Row],[SOLUÇÃO]]=BV$1,[1]!BANCO10[[#This Row],[STATUS DA ETAPA]],"")</f>
        <v/>
      </c>
      <c r="BW65" s="21" t="str">
        <f>IF([1]!BANCO10[[#This Row],[SOLUÇÃO]]=BW$1,[1]!BANCO10[[#This Row],[STATUS DA ETAPA]],"")</f>
        <v/>
      </c>
      <c r="BX65" s="21" t="str">
        <f>IF([1]!BANCO10[[#This Row],[SOLUÇÃO]]=BX$1,[1]!BANCO10[[#This Row],[STATUS DA ETAPA]],"")</f>
        <v/>
      </c>
      <c r="BY65" s="21" t="str">
        <f>IF([1]!BANCO10[[#This Row],[SOLUÇÃO]]=BY$1,[1]!BANCO10[[#This Row],[STATUS DA ETAPA]],"")</f>
        <v/>
      </c>
      <c r="BZ65" s="21" t="str">
        <f>IF([1]!BANCO10[[#This Row],[SOLUÇÃO]]=BZ$1,[1]!BANCO10[[#This Row],[STATUS DA ETAPA]],"")</f>
        <v/>
      </c>
      <c r="CA65" s="21" t="str">
        <f>IF([1]!BANCO10[[#This Row],[SOLUÇÃO]]=CA$1,[1]!BANCO10[[#This Row],[STATUS DA ETAPA]],"")</f>
        <v>CONCLUÍDO</v>
      </c>
      <c r="CB65" s="21" t="str">
        <f>IF([1]!BANCO10[[#This Row],[SOLUÇÃO]]=CB$1,[1]!BANCO10[[#This Row],[STATUS DA ETAPA]],"")</f>
        <v/>
      </c>
      <c r="CC65" s="21" t="str">
        <f>IF([1]!BANCO10[[#This Row],[SOLUÇÃO]]=CC$1,[1]!BANCO10[[#This Row],[STATUS DA ETAPA]],"")</f>
        <v/>
      </c>
      <c r="CD65" s="21" t="str">
        <f>IF([1]!BANCO10[[#This Row],[SOLUÇÃO]]=CD$1,[1]!BANCO10[[#This Row],[STATUS DA ETAPA]],"")</f>
        <v/>
      </c>
      <c r="CE65" s="21" t="str">
        <f>IF([1]!BANCO10[[#This Row],[SOLUÇÃO]]=CE$1,[1]!BANCO10[[#This Row],[STATUS DA ETAPA]],"")</f>
        <v/>
      </c>
      <c r="CF65" s="21" t="str">
        <f>IF([1]!BANCO10[[#This Row],[SOLUÇÃO]]=CF$1,[1]!BANCO10[[#This Row],[STATUS DA ETAPA]],"")</f>
        <v/>
      </c>
      <c r="CG65" s="21" t="str">
        <f>IF([1]!BANCO10[[#This Row],[SOLUÇÃO]]=CG$1,[1]!BANCO10[[#This Row],[STATUS DA ETAPA]],"")</f>
        <v/>
      </c>
      <c r="CH65" s="21" t="str">
        <f>IF([1]!BANCO10[[#This Row],[SOLUÇÃO]]=CH$1,[1]!BANCO10[[#This Row],[STATUS DA ETAPA]],"")</f>
        <v/>
      </c>
      <c r="CI65" s="21" t="str">
        <f>IF([1]!BANCO10[[#This Row],[SOLUÇÃO]]=CI$1,[1]!BANCO10[[#This Row],[STATUS DA ETAPA]],"")</f>
        <v/>
      </c>
      <c r="CJ65" s="21" t="str">
        <f>IF([1]!BANCO10[[#This Row],[SOLUÇÃO]]=CJ$1,[1]!BANCO10[[#This Row],[STATUS DA ETAPA]],"")</f>
        <v/>
      </c>
      <c r="CK65" s="21" t="str">
        <f>IF([1]!BANCO10[[#This Row],[SOLUÇÃO]]=CK$1,[1]!BANCO10[[#This Row],[STATUS DA ETAPA]],"")</f>
        <v/>
      </c>
      <c r="CL65" s="21" t="str">
        <f>IF([1]!BANCO10[[#This Row],[SOLUÇÃO]]=CL$1,[1]!BANCO10[[#This Row],[STATUS DA ETAPA]],"")</f>
        <v/>
      </c>
      <c r="CM65" s="21" t="str">
        <f>IF([1]!BANCO10[[#This Row],[SOLUÇÃO]]=CM$1,[1]!BANCO10[[#This Row],[STATUS DA ETAPA]],"")</f>
        <v/>
      </c>
      <c r="CN65" s="21" t="str">
        <f>IF([1]!BANCO10[[#This Row],[SOLUÇÃO]]=CN$1,[1]!BANCO10[[#This Row],[STATUS DA ETAPA]],"")</f>
        <v/>
      </c>
      <c r="CO65" s="21" t="str">
        <f>IF([1]!BANCO10[[#This Row],[SOLUÇÃO]]=CO$1,[1]!BANCO10[[#This Row],[STATUS DA ETAPA]],"")</f>
        <v/>
      </c>
      <c r="CP65" s="21" t="str">
        <f>IF([1]!BANCO10[[#This Row],[SOLUÇÃO]]=CP$1,[1]!BANCO10[[#This Row],[STATUS DA ETAPA]],"")</f>
        <v/>
      </c>
      <c r="CQ65" s="21" t="str">
        <f>IF([1]!BANCO10[[#This Row],[SOLUÇÃO]]=CQ$1,[1]!BANCO10[[#This Row],[STATUS DA ETAPA]],"")</f>
        <v/>
      </c>
      <c r="CR65" s="21" t="str">
        <f>IF([1]!BANCO10[[#This Row],[SOLUÇÃO]]=CR$1,[1]!BANCO10[[#This Row],[STATUS DA ETAPA]],"")</f>
        <v/>
      </c>
      <c r="CS65" s="21" t="str">
        <f>IF([1]!BANCO10[[#This Row],[SOLUÇÃO]]=CS$1,[1]!BANCO10[[#This Row],[STATUS DA ETAPA]],"")</f>
        <v/>
      </c>
      <c r="CT65" s="21" t="str">
        <f>IF([1]!BANCO10[[#This Row],[SOLUÇÃO]]=CT$1,[1]!BANCO10[[#This Row],[STATUS DA ETAPA]],"")</f>
        <v/>
      </c>
      <c r="CU65" s="21" t="str">
        <f>IF([1]!BANCO10[[#This Row],[SOLUÇÃO]]=CU$1,[1]!BANCO10[[#This Row],[STATUS DA ETAPA]],"")</f>
        <v/>
      </c>
      <c r="CV65" s="21" t="str">
        <f>IF([1]!BANCO10[[#This Row],[SOLUÇÃO]]=CV$1,[1]!BANCO10[[#This Row],[STATUS DA ETAPA]],"")</f>
        <v/>
      </c>
    </row>
    <row r="66" spans="1:100">
      <c r="A66" s="44" t="s">
        <v>1</v>
      </c>
      <c r="B66" s="44"/>
      <c r="C66" s="44" t="s">
        <v>1</v>
      </c>
      <c r="D66" s="44"/>
      <c r="E66" s="44" t="s">
        <v>1</v>
      </c>
      <c r="F66" s="44"/>
      <c r="G66" s="44" t="s">
        <v>1</v>
      </c>
      <c r="H66" s="44"/>
      <c r="I66" s="45" t="s">
        <v>1</v>
      </c>
      <c r="J66" s="46"/>
      <c r="K66" s="45" t="s">
        <v>1</v>
      </c>
      <c r="L66" s="33"/>
      <c r="M66" s="45" t="s">
        <v>1</v>
      </c>
      <c r="N66" s="33"/>
      <c r="O66" s="44" t="s">
        <v>1</v>
      </c>
      <c r="P66" s="44"/>
      <c r="Q66" s="44" t="s">
        <v>1</v>
      </c>
      <c r="R66" s="44"/>
      <c r="S66" s="44" t="s">
        <v>1</v>
      </c>
      <c r="T66" s="44"/>
      <c r="U66" s="44" t="s">
        <v>1</v>
      </c>
      <c r="V66" s="44"/>
      <c r="W66" s="44" t="s">
        <v>2</v>
      </c>
      <c r="X66" s="44"/>
      <c r="Y66" s="44" t="s">
        <v>1</v>
      </c>
      <c r="Z66" s="44"/>
      <c r="AA66" s="44" t="s">
        <v>1</v>
      </c>
      <c r="AB66" s="44"/>
      <c r="AC66" s="51">
        <v>45963</v>
      </c>
      <c r="AD66" s="50">
        <v>45963</v>
      </c>
      <c r="AE66" s="40" t="s">
        <v>1</v>
      </c>
      <c r="AF66" s="40" t="s">
        <v>1</v>
      </c>
      <c r="AG66" s="40" t="s">
        <v>1</v>
      </c>
      <c r="AH66" s="36" t="s">
        <v>1</v>
      </c>
      <c r="AI66" s="49">
        <v>0</v>
      </c>
      <c r="AJ66" s="36" t="s">
        <v>1</v>
      </c>
      <c r="AK66" s="10" t="s">
        <v>1</v>
      </c>
      <c r="AL66" s="36" t="s">
        <v>1</v>
      </c>
      <c r="AM66" s="36" t="s">
        <v>1</v>
      </c>
      <c r="AN66" s="35" t="s">
        <v>1</v>
      </c>
      <c r="AO66" s="35" t="s">
        <v>1</v>
      </c>
      <c r="AP66" s="35" t="s">
        <v>1</v>
      </c>
      <c r="AQ66" s="35" t="s">
        <v>1</v>
      </c>
      <c r="AR66" s="45" t="s">
        <v>1</v>
      </c>
      <c r="AS66" s="61"/>
      <c r="AT66" s="32" t="s">
        <v>1</v>
      </c>
      <c r="AU66" s="31"/>
      <c r="AV66" s="32" t="s">
        <v>1</v>
      </c>
      <c r="AW66" s="31"/>
      <c r="AX66" s="32" t="s">
        <v>1</v>
      </c>
      <c r="AY66" s="31"/>
      <c r="AZ66" s="32" t="s">
        <v>1</v>
      </c>
      <c r="BA66" s="31"/>
      <c r="BB66" s="74" t="s">
        <v>812</v>
      </c>
      <c r="BC66" s="25"/>
      <c r="BD66" s="24"/>
      <c r="BE66" s="24"/>
      <c r="BF66" s="24"/>
      <c r="BG66" s="24"/>
      <c r="BH66" s="130"/>
      <c r="BI66" s="24"/>
      <c r="BJ66" s="24"/>
      <c r="BK66" s="24"/>
      <c r="BL66" s="24"/>
      <c r="BM66" s="24"/>
      <c r="BN66" s="24"/>
      <c r="BO66" s="24"/>
      <c r="BP66" s="24"/>
      <c r="BQ66" s="22">
        <f>YEAR([1]!BANCO10[[#This Row],[DATA INÍCIO]])</f>
        <v>2025</v>
      </c>
      <c r="BR66" s="22">
        <f>MONTH([1]!BANCO10[[#This Row],[DATA INÍCIO]])</f>
        <v>11</v>
      </c>
      <c r="BS66" s="129" t="e">
        <f>CONCATENATE(#REF!,#REF!)</f>
        <v>#REF!</v>
      </c>
      <c r="BT66" s="22"/>
      <c r="BU66" s="21" t="s">
        <v>30</v>
      </c>
      <c r="BV66" s="21" t="str">
        <f>IF([1]!BANCO10[[#This Row],[SOLUÇÃO]]=BV$1,[1]!BANCO10[[#This Row],[STATUS DA ETAPA]],"")</f>
        <v/>
      </c>
      <c r="BW66" s="21" t="str">
        <f>IF([1]!BANCO10[[#This Row],[SOLUÇÃO]]=BW$1,[1]!BANCO10[[#This Row],[STATUS DA ETAPA]],"")</f>
        <v>CANCELADO</v>
      </c>
      <c r="BX66" s="21" t="str">
        <f>IF([1]!BANCO10[[#This Row],[SOLUÇÃO]]=BX$1,[1]!BANCO10[[#This Row],[STATUS DA ETAPA]],"")</f>
        <v/>
      </c>
      <c r="BY66" s="21" t="str">
        <f>IF([1]!BANCO10[[#This Row],[SOLUÇÃO]]=BY$1,[1]!BANCO10[[#This Row],[STATUS DA ETAPA]],"")</f>
        <v/>
      </c>
      <c r="BZ66" s="21" t="str">
        <f>IF([1]!BANCO10[[#This Row],[SOLUÇÃO]]=BZ$1,[1]!BANCO10[[#This Row],[STATUS DA ETAPA]],"")</f>
        <v/>
      </c>
      <c r="CA66" s="21" t="str">
        <f>IF([1]!BANCO10[[#This Row],[SOLUÇÃO]]=CA$1,[1]!BANCO10[[#This Row],[STATUS DA ETAPA]],"")</f>
        <v/>
      </c>
      <c r="CB66" s="21" t="str">
        <f>IF([1]!BANCO10[[#This Row],[SOLUÇÃO]]=CB$1,[1]!BANCO10[[#This Row],[STATUS DA ETAPA]],"")</f>
        <v/>
      </c>
      <c r="CC66" s="21" t="str">
        <f>IF([1]!BANCO10[[#This Row],[SOLUÇÃO]]=CC$1,[1]!BANCO10[[#This Row],[STATUS DA ETAPA]],"")</f>
        <v/>
      </c>
      <c r="CD66" s="21" t="str">
        <f>IF([1]!BANCO10[[#This Row],[SOLUÇÃO]]=CD$1,[1]!BANCO10[[#This Row],[STATUS DA ETAPA]],"")</f>
        <v/>
      </c>
      <c r="CE66" s="21" t="str">
        <f>IF([1]!BANCO10[[#This Row],[SOLUÇÃO]]=CE$1,[1]!BANCO10[[#This Row],[STATUS DA ETAPA]],"")</f>
        <v/>
      </c>
      <c r="CF66" s="21" t="str">
        <f>IF([1]!BANCO10[[#This Row],[SOLUÇÃO]]=CF$1,[1]!BANCO10[[#This Row],[STATUS DA ETAPA]],"")</f>
        <v/>
      </c>
      <c r="CG66" s="21" t="str">
        <f>IF([1]!BANCO10[[#This Row],[SOLUÇÃO]]=CG$1,[1]!BANCO10[[#This Row],[STATUS DA ETAPA]],"")</f>
        <v/>
      </c>
      <c r="CH66" s="21" t="str">
        <f>IF([1]!BANCO10[[#This Row],[SOLUÇÃO]]=CH$1,[1]!BANCO10[[#This Row],[STATUS DA ETAPA]],"")</f>
        <v/>
      </c>
      <c r="CI66" s="21" t="str">
        <f>IF([1]!BANCO10[[#This Row],[SOLUÇÃO]]=CI$1,[1]!BANCO10[[#This Row],[STATUS DA ETAPA]],"")</f>
        <v/>
      </c>
      <c r="CJ66" s="21" t="str">
        <f>IF([1]!BANCO10[[#This Row],[SOLUÇÃO]]=CJ$1,[1]!BANCO10[[#This Row],[STATUS DA ETAPA]],"")</f>
        <v/>
      </c>
      <c r="CK66" s="21" t="str">
        <f>IF([1]!BANCO10[[#This Row],[SOLUÇÃO]]=CK$1,[1]!BANCO10[[#This Row],[STATUS DA ETAPA]],"")</f>
        <v/>
      </c>
      <c r="CL66" s="21" t="str">
        <f>IF([1]!BANCO10[[#This Row],[SOLUÇÃO]]=CL$1,[1]!BANCO10[[#This Row],[STATUS DA ETAPA]],"")</f>
        <v/>
      </c>
      <c r="CM66" s="21" t="str">
        <f>IF([1]!BANCO10[[#This Row],[SOLUÇÃO]]=CM$1,[1]!BANCO10[[#This Row],[STATUS DA ETAPA]],"")</f>
        <v/>
      </c>
      <c r="CN66" s="21" t="str">
        <f>IF([1]!BANCO10[[#This Row],[SOLUÇÃO]]=CN$1,[1]!BANCO10[[#This Row],[STATUS DA ETAPA]],"")</f>
        <v/>
      </c>
      <c r="CO66" s="21" t="str">
        <f>IF([1]!BANCO10[[#This Row],[SOLUÇÃO]]=CO$1,[1]!BANCO10[[#This Row],[STATUS DA ETAPA]],"")</f>
        <v/>
      </c>
      <c r="CP66" s="21" t="str">
        <f>IF([1]!BANCO10[[#This Row],[SOLUÇÃO]]=CP$1,[1]!BANCO10[[#This Row],[STATUS DA ETAPA]],"")</f>
        <v/>
      </c>
      <c r="CQ66" s="21" t="str">
        <f>IF([1]!BANCO10[[#This Row],[SOLUÇÃO]]=CQ$1,[1]!BANCO10[[#This Row],[STATUS DA ETAPA]],"")</f>
        <v/>
      </c>
      <c r="CR66" s="21" t="str">
        <f>IF([1]!BANCO10[[#This Row],[SOLUÇÃO]]=CR$1,[1]!BANCO10[[#This Row],[STATUS DA ETAPA]],"")</f>
        <v/>
      </c>
      <c r="CS66" s="21" t="str">
        <f>IF([1]!BANCO10[[#This Row],[SOLUÇÃO]]=CS$1,[1]!BANCO10[[#This Row],[STATUS DA ETAPA]],"")</f>
        <v/>
      </c>
      <c r="CT66" s="21" t="str">
        <f>IF([1]!BANCO10[[#This Row],[SOLUÇÃO]]=CT$1,[1]!BANCO10[[#This Row],[STATUS DA ETAPA]],"")</f>
        <v/>
      </c>
      <c r="CU66" s="21" t="str">
        <f>IF([1]!BANCO10[[#This Row],[SOLUÇÃO]]=CU$1,[1]!BANCO10[[#This Row],[STATUS DA ETAPA]],"")</f>
        <v/>
      </c>
      <c r="CV66" s="21" t="str">
        <f>IF([1]!BANCO10[[#This Row],[SOLUÇÃO]]=CV$1,[1]!BANCO10[[#This Row],[STATUS DA ETAPA]],"")</f>
        <v/>
      </c>
    </row>
    <row r="67" spans="1:100">
      <c r="A67" s="44" t="s">
        <v>1</v>
      </c>
      <c r="B67" s="44"/>
      <c r="C67" s="44" t="s">
        <v>1</v>
      </c>
      <c r="D67" s="44"/>
      <c r="E67" s="44" t="s">
        <v>1</v>
      </c>
      <c r="F67" s="44"/>
      <c r="G67" s="44" t="s">
        <v>1</v>
      </c>
      <c r="H67" s="44"/>
      <c r="I67" s="45" t="s">
        <v>1</v>
      </c>
      <c r="J67" s="46"/>
      <c r="K67" s="45" t="s">
        <v>1</v>
      </c>
      <c r="L67" s="33"/>
      <c r="M67" s="45" t="s">
        <v>1</v>
      </c>
      <c r="N67" s="33"/>
      <c r="O67" s="44" t="s">
        <v>2</v>
      </c>
      <c r="P67" s="44">
        <v>45310</v>
      </c>
      <c r="Q67" s="44"/>
      <c r="R67" s="44"/>
      <c r="S67" s="44"/>
      <c r="T67" s="44"/>
      <c r="U67" s="44" t="s">
        <v>1</v>
      </c>
      <c r="V67" s="44"/>
      <c r="W67" s="44" t="s">
        <v>1</v>
      </c>
      <c r="X67" s="44"/>
      <c r="Y67" s="44" t="s">
        <v>1</v>
      </c>
      <c r="Z67" s="44"/>
      <c r="AA67" s="44" t="s">
        <v>1</v>
      </c>
      <c r="AB67" s="44"/>
      <c r="AC67" s="51">
        <v>45307</v>
      </c>
      <c r="AD67" s="50">
        <v>45418</v>
      </c>
      <c r="AE67" s="40" t="s">
        <v>2</v>
      </c>
      <c r="AF67" s="40" t="s">
        <v>2</v>
      </c>
      <c r="AG67" s="76" t="s">
        <v>5</v>
      </c>
      <c r="AH67" s="36" t="s">
        <v>2</v>
      </c>
      <c r="AI67" s="49">
        <v>0</v>
      </c>
      <c r="AJ67" s="36" t="s">
        <v>1</v>
      </c>
      <c r="AK67" s="10" t="s">
        <v>1</v>
      </c>
      <c r="AL67" s="36" t="s">
        <v>1</v>
      </c>
      <c r="AM67" s="36" t="s">
        <v>1</v>
      </c>
      <c r="AN67" s="35" t="s">
        <v>1</v>
      </c>
      <c r="AO67" s="35" t="s">
        <v>1</v>
      </c>
      <c r="AP67" s="35" t="s">
        <v>2</v>
      </c>
      <c r="AQ67" s="35" t="s">
        <v>1</v>
      </c>
      <c r="AR67" s="45" t="s">
        <v>1</v>
      </c>
      <c r="AS67" s="46"/>
      <c r="AT67" s="32" t="s">
        <v>1</v>
      </c>
      <c r="AU67" s="31"/>
      <c r="AV67" s="32" t="s">
        <v>1</v>
      </c>
      <c r="AW67" s="31"/>
      <c r="AX67" s="30" t="s">
        <v>2</v>
      </c>
      <c r="AY67" s="55">
        <v>45418</v>
      </c>
      <c r="AZ67" s="30" t="s">
        <v>0</v>
      </c>
      <c r="BA67" s="55"/>
      <c r="BB67" s="74" t="s">
        <v>34</v>
      </c>
      <c r="BC67" s="25"/>
      <c r="BD67" s="24"/>
      <c r="BE67" s="24"/>
      <c r="BF67" s="24"/>
      <c r="BG67" s="24"/>
      <c r="BH67" s="130"/>
      <c r="BI67" s="24"/>
      <c r="BJ67" s="24"/>
      <c r="BK67" s="24"/>
      <c r="BL67" s="24">
        <v>45392</v>
      </c>
      <c r="BM67" s="24"/>
      <c r="BN67" s="24"/>
      <c r="BO67" s="24"/>
      <c r="BP67" s="24" t="s">
        <v>188</v>
      </c>
      <c r="BQ67" s="22">
        <f>YEAR([1]!BANCO10[[#This Row],[DATA INÍCIO]])</f>
        <v>2024</v>
      </c>
      <c r="BR67" s="22">
        <f>MONTH([1]!BANCO10[[#This Row],[DATA INÍCIO]])</f>
        <v>1</v>
      </c>
      <c r="BS67" s="129" t="e">
        <f>CONCATENATE(#REF!,#REF!)</f>
        <v>#REF!</v>
      </c>
      <c r="BT67" s="22"/>
      <c r="BU67" s="21" t="s">
        <v>811</v>
      </c>
      <c r="BV67" s="21" t="str">
        <f>IF([1]!BANCO10[[#This Row],[SOLUÇÃO]]=BV$1,[1]!BANCO10[[#This Row],[STATUS DA ETAPA]],"")</f>
        <v/>
      </c>
      <c r="BW67" s="21" t="str">
        <f>IF([1]!BANCO10[[#This Row],[SOLUÇÃO]]=BW$1,[1]!BANCO10[[#This Row],[STATUS DA ETAPA]],"")</f>
        <v/>
      </c>
      <c r="BX67" s="21" t="str">
        <f>IF([1]!BANCO10[[#This Row],[SOLUÇÃO]]=BX$1,[1]!BANCO10[[#This Row],[STATUS DA ETAPA]],"")</f>
        <v/>
      </c>
      <c r="BY67" s="21" t="str">
        <f>IF([1]!BANCO10[[#This Row],[SOLUÇÃO]]=BY$1,[1]!BANCO10[[#This Row],[STATUS DA ETAPA]],"")</f>
        <v/>
      </c>
      <c r="BZ67" s="21" t="str">
        <f>IF([1]!BANCO10[[#This Row],[SOLUÇÃO]]=BZ$1,[1]!BANCO10[[#This Row],[STATUS DA ETAPA]],"")</f>
        <v/>
      </c>
      <c r="CA67" s="21" t="str">
        <f>IF([1]!BANCO10[[#This Row],[SOLUÇÃO]]=CA$1,[1]!BANCO10[[#This Row],[STATUS DA ETAPA]],"")</f>
        <v>CONCLUÍDO</v>
      </c>
      <c r="CB67" s="21" t="str">
        <f>IF([1]!BANCO10[[#This Row],[SOLUÇÃO]]=CB$1,[1]!BANCO10[[#This Row],[STATUS DA ETAPA]],"")</f>
        <v/>
      </c>
      <c r="CC67" s="21" t="str">
        <f>IF([1]!BANCO10[[#This Row],[SOLUÇÃO]]=CC$1,[1]!BANCO10[[#This Row],[STATUS DA ETAPA]],"")</f>
        <v/>
      </c>
      <c r="CD67" s="21" t="str">
        <f>IF([1]!BANCO10[[#This Row],[SOLUÇÃO]]=CD$1,[1]!BANCO10[[#This Row],[STATUS DA ETAPA]],"")</f>
        <v/>
      </c>
      <c r="CE67" s="21" t="str">
        <f>IF([1]!BANCO10[[#This Row],[SOLUÇÃO]]=CE$1,[1]!BANCO10[[#This Row],[STATUS DA ETAPA]],"")</f>
        <v/>
      </c>
      <c r="CF67" s="21" t="str">
        <f>IF([1]!BANCO10[[#This Row],[SOLUÇÃO]]=CF$1,[1]!BANCO10[[#This Row],[STATUS DA ETAPA]],"")</f>
        <v/>
      </c>
      <c r="CG67" s="21" t="str">
        <f>IF([1]!BANCO10[[#This Row],[SOLUÇÃO]]=CG$1,[1]!BANCO10[[#This Row],[STATUS DA ETAPA]],"")</f>
        <v/>
      </c>
      <c r="CH67" s="21" t="str">
        <f>IF([1]!BANCO10[[#This Row],[SOLUÇÃO]]=CH$1,[1]!BANCO10[[#This Row],[STATUS DA ETAPA]],"")</f>
        <v/>
      </c>
      <c r="CI67" s="21" t="str">
        <f>IF([1]!BANCO10[[#This Row],[SOLUÇÃO]]=CI$1,[1]!BANCO10[[#This Row],[STATUS DA ETAPA]],"")</f>
        <v/>
      </c>
      <c r="CJ67" s="21" t="str">
        <f>IF([1]!BANCO10[[#This Row],[SOLUÇÃO]]=CJ$1,[1]!BANCO10[[#This Row],[STATUS DA ETAPA]],"")</f>
        <v/>
      </c>
      <c r="CK67" s="21" t="str">
        <f>IF([1]!BANCO10[[#This Row],[SOLUÇÃO]]=CK$1,[1]!BANCO10[[#This Row],[STATUS DA ETAPA]],"")</f>
        <v/>
      </c>
      <c r="CL67" s="21" t="str">
        <f>IF([1]!BANCO10[[#This Row],[SOLUÇÃO]]=CL$1,[1]!BANCO10[[#This Row],[STATUS DA ETAPA]],"")</f>
        <v/>
      </c>
      <c r="CM67" s="21" t="str">
        <f>IF([1]!BANCO10[[#This Row],[SOLUÇÃO]]=CM$1,[1]!BANCO10[[#This Row],[STATUS DA ETAPA]],"")</f>
        <v/>
      </c>
      <c r="CN67" s="21" t="str">
        <f>IF([1]!BANCO10[[#This Row],[SOLUÇÃO]]=CN$1,[1]!BANCO10[[#This Row],[STATUS DA ETAPA]],"")</f>
        <v/>
      </c>
      <c r="CO67" s="21" t="str">
        <f>IF([1]!BANCO10[[#This Row],[SOLUÇÃO]]=CO$1,[1]!BANCO10[[#This Row],[STATUS DA ETAPA]],"")</f>
        <v/>
      </c>
      <c r="CP67" s="21" t="str">
        <f>IF([1]!BANCO10[[#This Row],[SOLUÇÃO]]=CP$1,[1]!BANCO10[[#This Row],[STATUS DA ETAPA]],"")</f>
        <v/>
      </c>
      <c r="CQ67" s="21" t="str">
        <f>IF([1]!BANCO10[[#This Row],[SOLUÇÃO]]=CQ$1,[1]!BANCO10[[#This Row],[STATUS DA ETAPA]],"")</f>
        <v/>
      </c>
      <c r="CR67" s="21" t="str">
        <f>IF([1]!BANCO10[[#This Row],[SOLUÇÃO]]=CR$1,[1]!BANCO10[[#This Row],[STATUS DA ETAPA]],"")</f>
        <v/>
      </c>
      <c r="CS67" s="21" t="str">
        <f>IF([1]!BANCO10[[#This Row],[SOLUÇÃO]]=CS$1,[1]!BANCO10[[#This Row],[STATUS DA ETAPA]],"")</f>
        <v/>
      </c>
      <c r="CT67" s="21" t="str">
        <f>IF([1]!BANCO10[[#This Row],[SOLUÇÃO]]=CT$1,[1]!BANCO10[[#This Row],[STATUS DA ETAPA]],"")</f>
        <v/>
      </c>
      <c r="CU67" s="21" t="str">
        <f>IF([1]!BANCO10[[#This Row],[SOLUÇÃO]]=CU$1,[1]!BANCO10[[#This Row],[STATUS DA ETAPA]],"")</f>
        <v/>
      </c>
      <c r="CV67" s="21" t="str">
        <f>IF([1]!BANCO10[[#This Row],[SOLUÇÃO]]=CV$1,[1]!BANCO10[[#This Row],[STATUS DA ETAPA]],"")</f>
        <v/>
      </c>
    </row>
    <row r="68" spans="1:100">
      <c r="A68" s="44" t="s">
        <v>1</v>
      </c>
      <c r="B68" s="44"/>
      <c r="C68" s="44" t="s">
        <v>1</v>
      </c>
      <c r="D68" s="44"/>
      <c r="E68" s="44" t="s">
        <v>1</v>
      </c>
      <c r="F68" s="44"/>
      <c r="G68" s="44" t="s">
        <v>1</v>
      </c>
      <c r="H68" s="44"/>
      <c r="I68" s="45" t="s">
        <v>1</v>
      </c>
      <c r="J68" s="46"/>
      <c r="K68" s="45" t="s">
        <v>1</v>
      </c>
      <c r="L68" s="33"/>
      <c r="M68" s="45" t="s">
        <v>1</v>
      </c>
      <c r="N68" s="33"/>
      <c r="O68" s="44" t="s">
        <v>2</v>
      </c>
      <c r="P68" s="44">
        <v>45310</v>
      </c>
      <c r="Q68" s="44"/>
      <c r="R68" s="44"/>
      <c r="S68" s="44"/>
      <c r="T68" s="44"/>
      <c r="U68" s="44" t="s">
        <v>1</v>
      </c>
      <c r="V68" s="44"/>
      <c r="W68" s="44" t="s">
        <v>1</v>
      </c>
      <c r="X68" s="44"/>
      <c r="Y68" s="44" t="s">
        <v>1</v>
      </c>
      <c r="Z68" s="44"/>
      <c r="AA68" s="44" t="s">
        <v>1</v>
      </c>
      <c r="AB68" s="44"/>
      <c r="AC68" s="51">
        <v>45322</v>
      </c>
      <c r="AD68" s="50">
        <v>45446</v>
      </c>
      <c r="AE68" s="40" t="s">
        <v>2</v>
      </c>
      <c r="AF68" s="40" t="s">
        <v>2</v>
      </c>
      <c r="AG68" s="76" t="s">
        <v>5</v>
      </c>
      <c r="AH68" s="36" t="s">
        <v>2</v>
      </c>
      <c r="AI68" s="49">
        <v>0</v>
      </c>
      <c r="AJ68" s="36" t="s">
        <v>1</v>
      </c>
      <c r="AK68" s="10" t="s">
        <v>1</v>
      </c>
      <c r="AL68" s="36" t="s">
        <v>1</v>
      </c>
      <c r="AM68" s="36" t="s">
        <v>1</v>
      </c>
      <c r="AN68" s="35" t="s">
        <v>1</v>
      </c>
      <c r="AO68" s="35" t="s">
        <v>1</v>
      </c>
      <c r="AP68" s="35" t="s">
        <v>2</v>
      </c>
      <c r="AQ68" s="35" t="s">
        <v>1</v>
      </c>
      <c r="AR68" s="45" t="s">
        <v>1</v>
      </c>
      <c r="AS68" s="33"/>
      <c r="AT68" s="32" t="s">
        <v>1</v>
      </c>
      <c r="AU68" s="31"/>
      <c r="AV68" s="32" t="s">
        <v>1</v>
      </c>
      <c r="AW68" s="31"/>
      <c r="AX68" s="30" t="s">
        <v>2</v>
      </c>
      <c r="AY68" s="55">
        <v>45449</v>
      </c>
      <c r="AZ68" s="30" t="s">
        <v>2</v>
      </c>
      <c r="BA68" s="55">
        <v>45446</v>
      </c>
      <c r="BB68" s="74" t="s">
        <v>34</v>
      </c>
      <c r="BC68" s="25"/>
      <c r="BD68" s="24"/>
      <c r="BE68" s="24"/>
      <c r="BF68" s="24"/>
      <c r="BG68" s="24"/>
      <c r="BH68" s="130"/>
      <c r="BI68" s="24"/>
      <c r="BJ68" s="24"/>
      <c r="BK68" s="24"/>
      <c r="BL68" s="24">
        <v>45392</v>
      </c>
      <c r="BM68" s="24"/>
      <c r="BN68" s="24"/>
      <c r="BO68" s="24"/>
      <c r="BP68" s="24" t="s">
        <v>188</v>
      </c>
      <c r="BQ68" s="22">
        <f>YEAR([1]!BANCO10[[#This Row],[DATA INÍCIO]])</f>
        <v>2024</v>
      </c>
      <c r="BR68" s="22">
        <f>MONTH([1]!BANCO10[[#This Row],[DATA INÍCIO]])</f>
        <v>1</v>
      </c>
      <c r="BS68" s="129" t="e">
        <f>CONCATENATE(#REF!,#REF!)</f>
        <v>#REF!</v>
      </c>
      <c r="BT68" s="22"/>
      <c r="BU68" s="21" t="s">
        <v>810</v>
      </c>
      <c r="BV68" s="21" t="str">
        <f>IF([1]!BANCO10[[#This Row],[SOLUÇÃO]]=BV$1,[1]!BANCO10[[#This Row],[STATUS DA ETAPA]],"")</f>
        <v/>
      </c>
      <c r="BW68" s="21" t="str">
        <f>IF([1]!BANCO10[[#This Row],[SOLUÇÃO]]=BW$1,[1]!BANCO10[[#This Row],[STATUS DA ETAPA]],"")</f>
        <v/>
      </c>
      <c r="BX68" s="21" t="str">
        <f>IF([1]!BANCO10[[#This Row],[SOLUÇÃO]]=BX$1,[1]!BANCO10[[#This Row],[STATUS DA ETAPA]],"")</f>
        <v/>
      </c>
      <c r="BY68" s="21" t="str">
        <f>IF([1]!BANCO10[[#This Row],[SOLUÇÃO]]=BY$1,[1]!BANCO10[[#This Row],[STATUS DA ETAPA]],"")</f>
        <v/>
      </c>
      <c r="BZ68" s="21" t="str">
        <f>IF([1]!BANCO10[[#This Row],[SOLUÇÃO]]=BZ$1,[1]!BANCO10[[#This Row],[STATUS DA ETAPA]],"")</f>
        <v/>
      </c>
      <c r="CA68" s="21" t="str">
        <f>IF([1]!BANCO10[[#This Row],[SOLUÇÃO]]=CA$1,[1]!BANCO10[[#This Row],[STATUS DA ETAPA]],"")</f>
        <v>CONCLUÍDO</v>
      </c>
      <c r="CB68" s="21" t="str">
        <f>IF([1]!BANCO10[[#This Row],[SOLUÇÃO]]=CB$1,[1]!BANCO10[[#This Row],[STATUS DA ETAPA]],"")</f>
        <v/>
      </c>
      <c r="CC68" s="21" t="str">
        <f>IF([1]!BANCO10[[#This Row],[SOLUÇÃO]]=CC$1,[1]!BANCO10[[#This Row],[STATUS DA ETAPA]],"")</f>
        <v/>
      </c>
      <c r="CD68" s="21" t="str">
        <f>IF([1]!BANCO10[[#This Row],[SOLUÇÃO]]=CD$1,[1]!BANCO10[[#This Row],[STATUS DA ETAPA]],"")</f>
        <v/>
      </c>
      <c r="CE68" s="21" t="str">
        <f>IF([1]!BANCO10[[#This Row],[SOLUÇÃO]]=CE$1,[1]!BANCO10[[#This Row],[STATUS DA ETAPA]],"")</f>
        <v/>
      </c>
      <c r="CF68" s="21" t="str">
        <f>IF([1]!BANCO10[[#This Row],[SOLUÇÃO]]=CF$1,[1]!BANCO10[[#This Row],[STATUS DA ETAPA]],"")</f>
        <v/>
      </c>
      <c r="CG68" s="21" t="str">
        <f>IF([1]!BANCO10[[#This Row],[SOLUÇÃO]]=CG$1,[1]!BANCO10[[#This Row],[STATUS DA ETAPA]],"")</f>
        <v/>
      </c>
      <c r="CH68" s="21" t="str">
        <f>IF([1]!BANCO10[[#This Row],[SOLUÇÃO]]=CH$1,[1]!BANCO10[[#This Row],[STATUS DA ETAPA]],"")</f>
        <v/>
      </c>
      <c r="CI68" s="21" t="str">
        <f>IF([1]!BANCO10[[#This Row],[SOLUÇÃO]]=CI$1,[1]!BANCO10[[#This Row],[STATUS DA ETAPA]],"")</f>
        <v/>
      </c>
      <c r="CJ68" s="21" t="str">
        <f>IF([1]!BANCO10[[#This Row],[SOLUÇÃO]]=CJ$1,[1]!BANCO10[[#This Row],[STATUS DA ETAPA]],"")</f>
        <v/>
      </c>
      <c r="CK68" s="21" t="str">
        <f>IF([1]!BANCO10[[#This Row],[SOLUÇÃO]]=CK$1,[1]!BANCO10[[#This Row],[STATUS DA ETAPA]],"")</f>
        <v/>
      </c>
      <c r="CL68" s="21" t="str">
        <f>IF([1]!BANCO10[[#This Row],[SOLUÇÃO]]=CL$1,[1]!BANCO10[[#This Row],[STATUS DA ETAPA]],"")</f>
        <v/>
      </c>
      <c r="CM68" s="21" t="str">
        <f>IF([1]!BANCO10[[#This Row],[SOLUÇÃO]]=CM$1,[1]!BANCO10[[#This Row],[STATUS DA ETAPA]],"")</f>
        <v/>
      </c>
      <c r="CN68" s="21" t="str">
        <f>IF([1]!BANCO10[[#This Row],[SOLUÇÃO]]=CN$1,[1]!BANCO10[[#This Row],[STATUS DA ETAPA]],"")</f>
        <v/>
      </c>
      <c r="CO68" s="21" t="str">
        <f>IF([1]!BANCO10[[#This Row],[SOLUÇÃO]]=CO$1,[1]!BANCO10[[#This Row],[STATUS DA ETAPA]],"")</f>
        <v/>
      </c>
      <c r="CP68" s="21" t="str">
        <f>IF([1]!BANCO10[[#This Row],[SOLUÇÃO]]=CP$1,[1]!BANCO10[[#This Row],[STATUS DA ETAPA]],"")</f>
        <v/>
      </c>
      <c r="CQ68" s="21" t="str">
        <f>IF([1]!BANCO10[[#This Row],[SOLUÇÃO]]=CQ$1,[1]!BANCO10[[#This Row],[STATUS DA ETAPA]],"")</f>
        <v/>
      </c>
      <c r="CR68" s="21" t="str">
        <f>IF([1]!BANCO10[[#This Row],[SOLUÇÃO]]=CR$1,[1]!BANCO10[[#This Row],[STATUS DA ETAPA]],"")</f>
        <v/>
      </c>
      <c r="CS68" s="21" t="str">
        <f>IF([1]!BANCO10[[#This Row],[SOLUÇÃO]]=CS$1,[1]!BANCO10[[#This Row],[STATUS DA ETAPA]],"")</f>
        <v/>
      </c>
      <c r="CT68" s="21" t="str">
        <f>IF([1]!BANCO10[[#This Row],[SOLUÇÃO]]=CT$1,[1]!BANCO10[[#This Row],[STATUS DA ETAPA]],"")</f>
        <v/>
      </c>
      <c r="CU68" s="21" t="str">
        <f>IF([1]!BANCO10[[#This Row],[SOLUÇÃO]]=CU$1,[1]!BANCO10[[#This Row],[STATUS DA ETAPA]],"")</f>
        <v/>
      </c>
      <c r="CV68" s="21" t="str">
        <f>IF([1]!BANCO10[[#This Row],[SOLUÇÃO]]=CV$1,[1]!BANCO10[[#This Row],[STATUS DA ETAPA]],"")</f>
        <v/>
      </c>
    </row>
    <row r="69" spans="1:100">
      <c r="A69" s="44" t="s">
        <v>1</v>
      </c>
      <c r="B69" s="44"/>
      <c r="C69" s="44" t="s">
        <v>1</v>
      </c>
      <c r="D69" s="44"/>
      <c r="E69" s="44" t="s">
        <v>1</v>
      </c>
      <c r="F69" s="44"/>
      <c r="G69" s="44" t="s">
        <v>1</v>
      </c>
      <c r="H69" s="44"/>
      <c r="I69" s="45" t="s">
        <v>1</v>
      </c>
      <c r="J69" s="46"/>
      <c r="K69" s="45" t="s">
        <v>1</v>
      </c>
      <c r="L69" s="33"/>
      <c r="M69" s="45" t="s">
        <v>1</v>
      </c>
      <c r="N69" s="33"/>
      <c r="O69" s="44" t="s">
        <v>2</v>
      </c>
      <c r="P69" s="44">
        <v>44927</v>
      </c>
      <c r="Q69" s="44"/>
      <c r="R69" s="44"/>
      <c r="S69" s="44" t="s">
        <v>1</v>
      </c>
      <c r="T69" s="44"/>
      <c r="U69" s="44" t="s">
        <v>1</v>
      </c>
      <c r="V69" s="44"/>
      <c r="W69" s="44" t="s">
        <v>1</v>
      </c>
      <c r="X69" s="44"/>
      <c r="Y69" s="44" t="s">
        <v>1</v>
      </c>
      <c r="Z69" s="44"/>
      <c r="AA69" s="44" t="s">
        <v>1</v>
      </c>
      <c r="AB69" s="44"/>
      <c r="AC69" s="51">
        <v>45274</v>
      </c>
      <c r="AD69" s="83">
        <v>45447</v>
      </c>
      <c r="AE69" s="40" t="s">
        <v>2</v>
      </c>
      <c r="AF69" s="40" t="s">
        <v>2</v>
      </c>
      <c r="AG69" s="76" t="s">
        <v>5</v>
      </c>
      <c r="AH69" s="36" t="s">
        <v>2</v>
      </c>
      <c r="AI69" s="49">
        <v>0</v>
      </c>
      <c r="AJ69" s="36" t="s">
        <v>1</v>
      </c>
      <c r="AK69" s="10" t="s">
        <v>1</v>
      </c>
      <c r="AL69" s="36" t="s">
        <v>1</v>
      </c>
      <c r="AM69" s="36" t="s">
        <v>1</v>
      </c>
      <c r="AN69" s="35" t="s">
        <v>1</v>
      </c>
      <c r="AO69" s="35" t="s">
        <v>1</v>
      </c>
      <c r="AP69" s="35" t="s">
        <v>2</v>
      </c>
      <c r="AQ69" s="35" t="s">
        <v>1</v>
      </c>
      <c r="AR69" s="45" t="s">
        <v>1</v>
      </c>
      <c r="AS69" s="46"/>
      <c r="AT69" s="32" t="s">
        <v>1</v>
      </c>
      <c r="AU69" s="31"/>
      <c r="AV69" s="32" t="s">
        <v>1</v>
      </c>
      <c r="AW69" s="31"/>
      <c r="AX69" s="30" t="s">
        <v>2</v>
      </c>
      <c r="AY69" s="55">
        <v>45447</v>
      </c>
      <c r="AZ69" s="30" t="s">
        <v>0</v>
      </c>
      <c r="BA69" s="55"/>
      <c r="BB69" s="74" t="s">
        <v>34</v>
      </c>
      <c r="BC69" s="25"/>
      <c r="BD69" s="24" t="s">
        <v>19</v>
      </c>
      <c r="BE69" s="24" t="s">
        <v>19</v>
      </c>
      <c r="BF69" s="24" t="s">
        <v>11</v>
      </c>
      <c r="BG69" s="24" t="s">
        <v>19</v>
      </c>
      <c r="BH69" s="130" t="s">
        <v>770</v>
      </c>
      <c r="BI69" s="24"/>
      <c r="BJ69" s="24" t="s">
        <v>11</v>
      </c>
      <c r="BK69" s="24" t="s">
        <v>11</v>
      </c>
      <c r="BL69" s="24">
        <v>45392</v>
      </c>
      <c r="BM69" s="24"/>
      <c r="BN69" s="24" t="s">
        <v>11</v>
      </c>
      <c r="BO69" s="24"/>
      <c r="BP69" s="24" t="s">
        <v>188</v>
      </c>
      <c r="BQ69" s="22">
        <f>YEAR([1]!BANCO10[[#This Row],[DATA INÍCIO]])</f>
        <v>2023</v>
      </c>
      <c r="BR69" s="22">
        <f>MONTH([1]!BANCO10[[#This Row],[DATA INÍCIO]])</f>
        <v>12</v>
      </c>
      <c r="BS69" s="129" t="e">
        <f>CONCATENATE(#REF!,#REF!)</f>
        <v>#REF!</v>
      </c>
      <c r="BT69" s="22"/>
      <c r="BU69" s="21" t="s">
        <v>809</v>
      </c>
      <c r="BV69" s="21" t="str">
        <f>IF([1]!BANCO10[[#This Row],[SOLUÇÃO]]=BV$1,[1]!BANCO10[[#This Row],[STATUS DA ETAPA]],"")</f>
        <v/>
      </c>
      <c r="BW69" s="21" t="str">
        <f>IF([1]!BANCO10[[#This Row],[SOLUÇÃO]]=BW$1,[1]!BANCO10[[#This Row],[STATUS DA ETAPA]],"")</f>
        <v/>
      </c>
      <c r="BX69" s="21" t="str">
        <f>IF([1]!BANCO10[[#This Row],[SOLUÇÃO]]=BX$1,[1]!BANCO10[[#This Row],[STATUS DA ETAPA]],"")</f>
        <v/>
      </c>
      <c r="BY69" s="21" t="str">
        <f>IF([1]!BANCO10[[#This Row],[SOLUÇÃO]]=BY$1,[1]!BANCO10[[#This Row],[STATUS DA ETAPA]],"")</f>
        <v/>
      </c>
      <c r="BZ69" s="21" t="str">
        <f>IF([1]!BANCO10[[#This Row],[SOLUÇÃO]]=BZ$1,[1]!BANCO10[[#This Row],[STATUS DA ETAPA]],"")</f>
        <v/>
      </c>
      <c r="CA69" s="21" t="str">
        <f>IF([1]!BANCO10[[#This Row],[SOLUÇÃO]]=CA$1,[1]!BANCO10[[#This Row],[STATUS DA ETAPA]],"")</f>
        <v>CONCLUÍDO</v>
      </c>
      <c r="CB69" s="21" t="str">
        <f>IF([1]!BANCO10[[#This Row],[SOLUÇÃO]]=CB$1,[1]!BANCO10[[#This Row],[STATUS DA ETAPA]],"")</f>
        <v/>
      </c>
      <c r="CC69" s="21" t="str">
        <f>IF([1]!BANCO10[[#This Row],[SOLUÇÃO]]=CC$1,[1]!BANCO10[[#This Row],[STATUS DA ETAPA]],"")</f>
        <v/>
      </c>
      <c r="CD69" s="21" t="str">
        <f>IF([1]!BANCO10[[#This Row],[SOLUÇÃO]]=CD$1,[1]!BANCO10[[#This Row],[STATUS DA ETAPA]],"")</f>
        <v/>
      </c>
      <c r="CE69" s="21" t="str">
        <f>IF([1]!BANCO10[[#This Row],[SOLUÇÃO]]=CE$1,[1]!BANCO10[[#This Row],[STATUS DA ETAPA]],"")</f>
        <v/>
      </c>
      <c r="CF69" s="21" t="str">
        <f>IF([1]!BANCO10[[#This Row],[SOLUÇÃO]]=CF$1,[1]!BANCO10[[#This Row],[STATUS DA ETAPA]],"")</f>
        <v/>
      </c>
      <c r="CG69" s="21" t="str">
        <f>IF([1]!BANCO10[[#This Row],[SOLUÇÃO]]=CG$1,[1]!BANCO10[[#This Row],[STATUS DA ETAPA]],"")</f>
        <v/>
      </c>
      <c r="CH69" s="21" t="str">
        <f>IF([1]!BANCO10[[#This Row],[SOLUÇÃO]]=CH$1,[1]!BANCO10[[#This Row],[STATUS DA ETAPA]],"")</f>
        <v/>
      </c>
      <c r="CI69" s="21" t="str">
        <f>IF([1]!BANCO10[[#This Row],[SOLUÇÃO]]=CI$1,[1]!BANCO10[[#This Row],[STATUS DA ETAPA]],"")</f>
        <v/>
      </c>
      <c r="CJ69" s="21" t="str">
        <f>IF([1]!BANCO10[[#This Row],[SOLUÇÃO]]=CJ$1,[1]!BANCO10[[#This Row],[STATUS DA ETAPA]],"")</f>
        <v/>
      </c>
      <c r="CK69" s="21" t="str">
        <f>IF([1]!BANCO10[[#This Row],[SOLUÇÃO]]=CK$1,[1]!BANCO10[[#This Row],[STATUS DA ETAPA]],"")</f>
        <v/>
      </c>
      <c r="CL69" s="21" t="str">
        <f>IF([1]!BANCO10[[#This Row],[SOLUÇÃO]]=CL$1,[1]!BANCO10[[#This Row],[STATUS DA ETAPA]],"")</f>
        <v/>
      </c>
      <c r="CM69" s="21" t="str">
        <f>IF([1]!BANCO10[[#This Row],[SOLUÇÃO]]=CM$1,[1]!BANCO10[[#This Row],[STATUS DA ETAPA]],"")</f>
        <v/>
      </c>
      <c r="CN69" s="21" t="str">
        <f>IF([1]!BANCO10[[#This Row],[SOLUÇÃO]]=CN$1,[1]!BANCO10[[#This Row],[STATUS DA ETAPA]],"")</f>
        <v/>
      </c>
      <c r="CO69" s="21" t="str">
        <f>IF([1]!BANCO10[[#This Row],[SOLUÇÃO]]=CO$1,[1]!BANCO10[[#This Row],[STATUS DA ETAPA]],"")</f>
        <v/>
      </c>
      <c r="CP69" s="21" t="str">
        <f>IF([1]!BANCO10[[#This Row],[SOLUÇÃO]]=CP$1,[1]!BANCO10[[#This Row],[STATUS DA ETAPA]],"")</f>
        <v/>
      </c>
      <c r="CQ69" s="21" t="str">
        <f>IF([1]!BANCO10[[#This Row],[SOLUÇÃO]]=CQ$1,[1]!BANCO10[[#This Row],[STATUS DA ETAPA]],"")</f>
        <v/>
      </c>
      <c r="CR69" s="21" t="str">
        <f>IF([1]!BANCO10[[#This Row],[SOLUÇÃO]]=CR$1,[1]!BANCO10[[#This Row],[STATUS DA ETAPA]],"")</f>
        <v/>
      </c>
      <c r="CS69" s="21" t="str">
        <f>IF([1]!BANCO10[[#This Row],[SOLUÇÃO]]=CS$1,[1]!BANCO10[[#This Row],[STATUS DA ETAPA]],"")</f>
        <v/>
      </c>
      <c r="CT69" s="21" t="str">
        <f>IF([1]!BANCO10[[#This Row],[SOLUÇÃO]]=CT$1,[1]!BANCO10[[#This Row],[STATUS DA ETAPA]],"")</f>
        <v/>
      </c>
      <c r="CU69" s="21" t="str">
        <f>IF([1]!BANCO10[[#This Row],[SOLUÇÃO]]=CU$1,[1]!BANCO10[[#This Row],[STATUS DA ETAPA]],"")</f>
        <v/>
      </c>
      <c r="CV69" s="21" t="str">
        <f>IF([1]!BANCO10[[#This Row],[SOLUÇÃO]]=CV$1,[1]!BANCO10[[#This Row],[STATUS DA ETAPA]],"")</f>
        <v/>
      </c>
    </row>
    <row r="70" spans="1:100">
      <c r="A70" s="44" t="s">
        <v>1</v>
      </c>
      <c r="B70" s="44"/>
      <c r="C70" s="44" t="s">
        <v>1</v>
      </c>
      <c r="D70" s="44"/>
      <c r="E70" s="44" t="s">
        <v>1</v>
      </c>
      <c r="F70" s="44"/>
      <c r="G70" s="44" t="s">
        <v>1</v>
      </c>
      <c r="H70" s="44"/>
      <c r="I70" s="45" t="s">
        <v>1</v>
      </c>
      <c r="J70" s="46"/>
      <c r="K70" s="45" t="s">
        <v>1</v>
      </c>
      <c r="L70" s="33"/>
      <c r="M70" s="45" t="s">
        <v>1</v>
      </c>
      <c r="N70" s="33"/>
      <c r="O70" s="44" t="s">
        <v>1</v>
      </c>
      <c r="P70" s="44"/>
      <c r="Q70" s="44" t="s">
        <v>1</v>
      </c>
      <c r="R70" s="44"/>
      <c r="S70" s="44" t="s">
        <v>1</v>
      </c>
      <c r="T70" s="44"/>
      <c r="U70" s="44" t="s">
        <v>1</v>
      </c>
      <c r="V70" s="44"/>
      <c r="W70" s="44" t="s">
        <v>1</v>
      </c>
      <c r="X70" s="44"/>
      <c r="Y70" s="44" t="s">
        <v>1</v>
      </c>
      <c r="Z70" s="44"/>
      <c r="AA70" s="44" t="s">
        <v>1</v>
      </c>
      <c r="AB70" s="44"/>
      <c r="AC70" s="51">
        <v>45474</v>
      </c>
      <c r="AD70" s="50">
        <v>45474</v>
      </c>
      <c r="AE70" s="41" t="s">
        <v>1</v>
      </c>
      <c r="AF70" s="41" t="s">
        <v>1</v>
      </c>
      <c r="AG70" s="40" t="s">
        <v>5</v>
      </c>
      <c r="AH70" s="36" t="s">
        <v>1</v>
      </c>
      <c r="AI70" s="49">
        <v>0</v>
      </c>
      <c r="AJ70" s="36" t="s">
        <v>1</v>
      </c>
      <c r="AK70" s="10" t="s">
        <v>1</v>
      </c>
      <c r="AL70" s="36" t="s">
        <v>1</v>
      </c>
      <c r="AM70" s="36" t="s">
        <v>1</v>
      </c>
      <c r="AN70" s="35" t="s">
        <v>1</v>
      </c>
      <c r="AO70" s="35" t="s">
        <v>1</v>
      </c>
      <c r="AP70" s="35" t="s">
        <v>1</v>
      </c>
      <c r="AQ70" s="35" t="s">
        <v>1</v>
      </c>
      <c r="AR70" s="171" t="s">
        <v>1</v>
      </c>
      <c r="AS70" s="46"/>
      <c r="AT70" s="30"/>
      <c r="AU70" s="55"/>
      <c r="AV70" s="30"/>
      <c r="AW70" s="55"/>
      <c r="AX70" s="30" t="s">
        <v>1</v>
      </c>
      <c r="AY70" s="55"/>
      <c r="AZ70" s="30" t="s">
        <v>1</v>
      </c>
      <c r="BA70" s="55"/>
      <c r="BB70" s="39" t="s">
        <v>808</v>
      </c>
      <c r="BC70" s="25"/>
      <c r="BD70" s="24"/>
      <c r="BE70" s="24"/>
      <c r="BF70" s="24"/>
      <c r="BG70" s="79"/>
      <c r="BH70" s="79"/>
      <c r="BI70" s="80"/>
      <c r="BJ70" s="79"/>
      <c r="BK70" s="78"/>
      <c r="BL70" s="69"/>
      <c r="BM70" s="78"/>
      <c r="BN70" s="78"/>
      <c r="BO70" s="78"/>
      <c r="BP70" s="78"/>
      <c r="BQ70" s="21">
        <f>YEAR([1]!BANCO10[[#This Row],[DATA INÍCIO]])</f>
        <v>2024</v>
      </c>
      <c r="BR70" s="21">
        <f>MONTH([1]!BANCO10[[#This Row],[DATA INÍCIO]])</f>
        <v>7</v>
      </c>
      <c r="BS70" s="21" t="e">
        <f>CONCATENATE(#REF!,#REF!)</f>
        <v>#REF!</v>
      </c>
      <c r="BT70" s="21"/>
      <c r="BU70" s="21" t="s">
        <v>807</v>
      </c>
      <c r="BV70" s="21" t="str">
        <f>IF([1]!BANCO10[[#This Row],[SOLUÇÃO]]=BV$1,[1]!BANCO10[[#This Row],[STATUS DA ETAPA]],"")</f>
        <v>CONCLUÍDO</v>
      </c>
      <c r="BW70" s="21" t="str">
        <f>IF([1]!BANCO10[[#This Row],[SOLUÇÃO]]=BW$1,[1]!BANCO10[[#This Row],[STATUS DA ETAPA]],"")</f>
        <v/>
      </c>
      <c r="BX70" s="21" t="str">
        <f>IF([1]!BANCO10[[#This Row],[SOLUÇÃO]]=BX$1,[1]!BANCO10[[#This Row],[STATUS DA ETAPA]],"")</f>
        <v/>
      </c>
      <c r="BY70" s="21" t="str">
        <f>IF([1]!BANCO10[[#This Row],[SOLUÇÃO]]=BY$1,[1]!BANCO10[[#This Row],[STATUS DA ETAPA]],"")</f>
        <v/>
      </c>
      <c r="BZ70" s="21" t="str">
        <f>IF([1]!BANCO10[[#This Row],[SOLUÇÃO]]=BZ$1,[1]!BANCO10[[#This Row],[STATUS DA ETAPA]],"")</f>
        <v/>
      </c>
      <c r="CA70" s="21" t="str">
        <f>IF([1]!BANCO10[[#This Row],[SOLUÇÃO]]=CA$1,[1]!BANCO10[[#This Row],[STATUS DA ETAPA]],"")</f>
        <v/>
      </c>
      <c r="CB70" s="21" t="str">
        <f>IF([1]!BANCO10[[#This Row],[SOLUÇÃO]]=CB$1,[1]!BANCO10[[#This Row],[STATUS DA ETAPA]],"")</f>
        <v/>
      </c>
      <c r="CC70" s="21" t="str">
        <f>IF([1]!BANCO10[[#This Row],[SOLUÇÃO]]=CC$1,[1]!BANCO10[[#This Row],[STATUS DA ETAPA]],"")</f>
        <v/>
      </c>
      <c r="CD70" s="21" t="str">
        <f>IF([1]!BANCO10[[#This Row],[SOLUÇÃO]]=CD$1,[1]!BANCO10[[#This Row],[STATUS DA ETAPA]],"")</f>
        <v/>
      </c>
      <c r="CE70" s="21" t="str">
        <f>IF([1]!BANCO10[[#This Row],[SOLUÇÃO]]=CE$1,[1]!BANCO10[[#This Row],[STATUS DA ETAPA]],"")</f>
        <v/>
      </c>
      <c r="CF70" s="21" t="str">
        <f>IF([1]!BANCO10[[#This Row],[SOLUÇÃO]]=CF$1,[1]!BANCO10[[#This Row],[STATUS DA ETAPA]],"")</f>
        <v/>
      </c>
      <c r="CG70" s="21" t="str">
        <f>IF([1]!BANCO10[[#This Row],[SOLUÇÃO]]=CG$1,[1]!BANCO10[[#This Row],[STATUS DA ETAPA]],"")</f>
        <v/>
      </c>
      <c r="CH70" s="21" t="str">
        <f>IF([1]!BANCO10[[#This Row],[SOLUÇÃO]]=CH$1,[1]!BANCO10[[#This Row],[STATUS DA ETAPA]],"")</f>
        <v/>
      </c>
      <c r="CI70" s="21" t="str">
        <f>IF([1]!BANCO10[[#This Row],[SOLUÇÃO]]=CI$1,[1]!BANCO10[[#This Row],[STATUS DA ETAPA]],"")</f>
        <v/>
      </c>
      <c r="CJ70" s="21" t="str">
        <f>IF([1]!BANCO10[[#This Row],[SOLUÇÃO]]=CJ$1,[1]!BANCO10[[#This Row],[STATUS DA ETAPA]],"")</f>
        <v/>
      </c>
      <c r="CK70" s="21" t="str">
        <f>IF([1]!BANCO10[[#This Row],[SOLUÇÃO]]=CK$1,[1]!BANCO10[[#This Row],[STATUS DA ETAPA]],"")</f>
        <v/>
      </c>
      <c r="CL70" s="21" t="str">
        <f>IF([1]!BANCO10[[#This Row],[SOLUÇÃO]]=CL$1,[1]!BANCO10[[#This Row],[STATUS DA ETAPA]],"")</f>
        <v/>
      </c>
      <c r="CM70" s="22" t="str">
        <f>IF([1]!BANCO10[[#This Row],[SOLUÇÃO]]=CM$1,[1]!BANCO10[[#This Row],[STATUS DA ETAPA]],"")</f>
        <v/>
      </c>
      <c r="CN70" s="64" t="str">
        <f>IF([1]!BANCO10[[#This Row],[SOLUÇÃO]]=CN$1,[1]!BANCO10[[#This Row],[STATUS DA ETAPA]],"")</f>
        <v/>
      </c>
      <c r="CO70" s="64" t="str">
        <f>IF([1]!BANCO10[[#This Row],[SOLUÇÃO]]=CO$1,[1]!BANCO10[[#This Row],[STATUS DA ETAPA]],"")</f>
        <v/>
      </c>
      <c r="CP70" s="64" t="str">
        <f>IF([1]!BANCO10[[#This Row],[SOLUÇÃO]]=CP$1,[1]!BANCO10[[#This Row],[STATUS DA ETAPA]],"")</f>
        <v/>
      </c>
      <c r="CQ70" s="25" t="str">
        <f>IF([1]!BANCO10[[#This Row],[SOLUÇÃO]]=CQ$1,[1]!BANCO10[[#This Row],[STATUS DA ETAPA]],"")</f>
        <v/>
      </c>
      <c r="CR70" s="133" t="str">
        <f>IF([1]!BANCO10[[#This Row],[SOLUÇÃO]]=CR$1,[1]!BANCO10[[#This Row],[STATUS DA ETAPA]],"")</f>
        <v/>
      </c>
      <c r="CS70" s="152" t="str">
        <f>IF([1]!BANCO10[[#This Row],[SOLUÇÃO]]=CS$1,[1]!BANCO10[[#This Row],[STATUS DA ETAPA]],"")</f>
        <v/>
      </c>
      <c r="CT70" s="21" t="str">
        <f>IF([1]!BANCO10[[#This Row],[SOLUÇÃO]]=CT$1,[1]!BANCO10[[#This Row],[STATUS DA ETAPA]],"")</f>
        <v/>
      </c>
      <c r="CU70" s="21" t="str">
        <f>IF([1]!BANCO10[[#This Row],[SOLUÇÃO]]=CU$1,[1]!BANCO10[[#This Row],[STATUS DA ETAPA]],"")</f>
        <v/>
      </c>
      <c r="CV70" s="152" t="str">
        <f>IF([1]!BANCO10[[#This Row],[SOLUÇÃO]]=CV$1,[1]!BANCO10[[#This Row],[STATUS DA ETAPA]],"")</f>
        <v/>
      </c>
    </row>
    <row r="71" spans="1:100">
      <c r="A71" s="44" t="s">
        <v>2</v>
      </c>
      <c r="B71" s="44">
        <v>45383</v>
      </c>
      <c r="C71" s="44" t="s">
        <v>2</v>
      </c>
      <c r="D71" s="44">
        <v>45383</v>
      </c>
      <c r="E71" s="44" t="s">
        <v>2</v>
      </c>
      <c r="F71" s="44">
        <v>45383</v>
      </c>
      <c r="G71" s="44" t="s">
        <v>2</v>
      </c>
      <c r="H71" s="44">
        <v>45383</v>
      </c>
      <c r="I71" s="45" t="s">
        <v>2</v>
      </c>
      <c r="J71" s="46">
        <v>45536</v>
      </c>
      <c r="K71" s="45" t="s">
        <v>2</v>
      </c>
      <c r="L71" s="33">
        <v>45536</v>
      </c>
      <c r="M71" s="45" t="s">
        <v>2</v>
      </c>
      <c r="N71" s="33">
        <v>45536</v>
      </c>
      <c r="O71" s="44" t="s">
        <v>2</v>
      </c>
      <c r="P71" s="44">
        <v>45477</v>
      </c>
      <c r="Q71" s="44" t="s">
        <v>2</v>
      </c>
      <c r="R71" s="44">
        <v>45502</v>
      </c>
      <c r="S71" s="44" t="s">
        <v>2</v>
      </c>
      <c r="T71" s="44">
        <v>45536</v>
      </c>
      <c r="U71" s="44" t="s">
        <v>1</v>
      </c>
      <c r="V71" s="44"/>
      <c r="W71" s="44" t="s">
        <v>1</v>
      </c>
      <c r="X71" s="44"/>
      <c r="Y71" s="44" t="s">
        <v>1</v>
      </c>
      <c r="Z71" s="44"/>
      <c r="AA71" s="44" t="s">
        <v>1</v>
      </c>
      <c r="AB71" s="44"/>
      <c r="AC71" s="51">
        <v>45532</v>
      </c>
      <c r="AD71" s="50">
        <v>45622</v>
      </c>
      <c r="AE71" s="41" t="s">
        <v>2</v>
      </c>
      <c r="AF71" s="41" t="s">
        <v>2</v>
      </c>
      <c r="AG71" s="40" t="s">
        <v>5</v>
      </c>
      <c r="AH71" s="36" t="s">
        <v>0</v>
      </c>
      <c r="AI71" s="49">
        <f>106*190</f>
        <v>20140</v>
      </c>
      <c r="AJ71" s="36" t="s">
        <v>6</v>
      </c>
      <c r="AK71" s="10">
        <v>566059</v>
      </c>
      <c r="AL71" s="36" t="s">
        <v>1</v>
      </c>
      <c r="AM71" s="36" t="s">
        <v>1</v>
      </c>
      <c r="AN71" s="35" t="s">
        <v>2</v>
      </c>
      <c r="AO71" s="35" t="s">
        <v>2</v>
      </c>
      <c r="AP71" s="35" t="s">
        <v>2</v>
      </c>
      <c r="AQ71" s="35" t="s">
        <v>2</v>
      </c>
      <c r="AR71" s="45" t="s">
        <v>2</v>
      </c>
      <c r="AS71" s="46">
        <v>45643</v>
      </c>
      <c r="AT71" s="30"/>
      <c r="AU71" s="31"/>
      <c r="AV71" s="30"/>
      <c r="AW71" s="31"/>
      <c r="AX71" s="30" t="s">
        <v>2</v>
      </c>
      <c r="AY71" s="31">
        <v>45643</v>
      </c>
      <c r="AZ71" s="30" t="s">
        <v>2</v>
      </c>
      <c r="BA71" s="55">
        <v>45649</v>
      </c>
      <c r="BB71" s="26"/>
      <c r="BC71" s="25" t="s">
        <v>41</v>
      </c>
      <c r="BD71" s="24"/>
      <c r="BE71" s="24"/>
      <c r="BF71" s="24"/>
      <c r="BG71" s="24"/>
      <c r="BH71" s="130"/>
      <c r="BI71" s="24"/>
      <c r="BJ71" s="24"/>
      <c r="BK71" s="24"/>
      <c r="BL71" s="24"/>
      <c r="BM71" s="24"/>
      <c r="BN71" s="24"/>
      <c r="BO71" s="24"/>
      <c r="BP71" s="24"/>
      <c r="BQ71" s="22">
        <f>YEAR([1]!BANCO10[[#This Row],[DATA INÍCIO]])</f>
        <v>2024</v>
      </c>
      <c r="BR71" s="22">
        <f>MONTH([1]!BANCO10[[#This Row],[DATA INÍCIO]])</f>
        <v>8</v>
      </c>
      <c r="BS71" s="23" t="e">
        <f>CONCATENATE(#REF!,#REF!)</f>
        <v>#REF!</v>
      </c>
      <c r="BT71" s="22"/>
      <c r="BU71" s="97" t="s">
        <v>806</v>
      </c>
      <c r="BV71" s="21" t="str">
        <f>IF([1]!BANCO10[[#This Row],[SOLUÇÃO]]=BV$1,[1]!BANCO10[[#This Row],[STATUS DA ETAPA]],"")</f>
        <v/>
      </c>
      <c r="BW71" s="21" t="str">
        <f>IF([1]!BANCO10[[#This Row],[SOLUÇÃO]]=BW$1,[1]!BANCO10[[#This Row],[STATUS DA ETAPA]],"")</f>
        <v/>
      </c>
      <c r="BX71" s="21" t="str">
        <f>IF([1]!BANCO10[[#This Row],[SOLUÇÃO]]=BX$1,[1]!BANCO10[[#This Row],[STATUS DA ETAPA]],"")</f>
        <v/>
      </c>
      <c r="BY71" s="21" t="str">
        <f>IF([1]!BANCO10[[#This Row],[SOLUÇÃO]]=BY$1,[1]!BANCO10[[#This Row],[STATUS DA ETAPA]],"")</f>
        <v/>
      </c>
      <c r="BZ71" s="21" t="str">
        <f>IF([1]!BANCO10[[#This Row],[SOLUÇÃO]]=BZ$1,[1]!BANCO10[[#This Row],[STATUS DA ETAPA]],"")</f>
        <v/>
      </c>
      <c r="CA71" s="21" t="str">
        <f>IF([1]!BANCO10[[#This Row],[SOLUÇÃO]]=CA$1,[1]!BANCO10[[#This Row],[STATUS DA ETAPA]],"")</f>
        <v/>
      </c>
      <c r="CB71" s="21" t="str">
        <f>IF([1]!BANCO10[[#This Row],[SOLUÇÃO]]=CB$1,[1]!BANCO10[[#This Row],[STATUS DA ETAPA]],"")</f>
        <v>CONCLUÍDO</v>
      </c>
      <c r="CC71" s="21" t="str">
        <f>IF([1]!BANCO10[[#This Row],[SOLUÇÃO]]=CC$1,[1]!BANCO10[[#This Row],[STATUS DA ETAPA]],"")</f>
        <v/>
      </c>
      <c r="CD71" s="21" t="str">
        <f>IF([1]!BANCO10[[#This Row],[SOLUÇÃO]]=CD$1,[1]!BANCO10[[#This Row],[STATUS DA ETAPA]],"")</f>
        <v/>
      </c>
      <c r="CE71" s="21" t="str">
        <f>IF([1]!BANCO10[[#This Row],[SOLUÇÃO]]=CE$1,[1]!BANCO10[[#This Row],[STATUS DA ETAPA]],"")</f>
        <v/>
      </c>
      <c r="CF71" s="21" t="str">
        <f>IF([1]!BANCO10[[#This Row],[SOLUÇÃO]]=CF$1,[1]!BANCO10[[#This Row],[STATUS DA ETAPA]],"")</f>
        <v/>
      </c>
      <c r="CG71" s="21" t="str">
        <f>IF([1]!BANCO10[[#This Row],[SOLUÇÃO]]=CG$1,[1]!BANCO10[[#This Row],[STATUS DA ETAPA]],"")</f>
        <v/>
      </c>
      <c r="CH71" s="21" t="str">
        <f>IF([1]!BANCO10[[#This Row],[SOLUÇÃO]]=CH$1,[1]!BANCO10[[#This Row],[STATUS DA ETAPA]],"")</f>
        <v/>
      </c>
      <c r="CI71" s="21" t="str">
        <f>IF([1]!BANCO10[[#This Row],[SOLUÇÃO]]=CI$1,[1]!BANCO10[[#This Row],[STATUS DA ETAPA]],"")</f>
        <v/>
      </c>
      <c r="CJ71" s="21" t="str">
        <f>IF([1]!BANCO10[[#This Row],[SOLUÇÃO]]=CJ$1,[1]!BANCO10[[#This Row],[STATUS DA ETAPA]],"")</f>
        <v/>
      </c>
      <c r="CK71" s="21" t="str">
        <f>IF([1]!BANCO10[[#This Row],[SOLUÇÃO]]=CK$1,[1]!BANCO10[[#This Row],[STATUS DA ETAPA]],"")</f>
        <v/>
      </c>
      <c r="CL71" s="21" t="str">
        <f>IF([1]!BANCO10[[#This Row],[SOLUÇÃO]]=CL$1,[1]!BANCO10[[#This Row],[STATUS DA ETAPA]],"")</f>
        <v/>
      </c>
      <c r="CM71" s="21" t="str">
        <f>IF([1]!BANCO10[[#This Row],[SOLUÇÃO]]=CM$1,[1]!BANCO10[[#This Row],[STATUS DA ETAPA]],"")</f>
        <v/>
      </c>
      <c r="CN71" s="21" t="str">
        <f>IF([1]!BANCO10[[#This Row],[SOLUÇÃO]]=CN$1,[1]!BANCO10[[#This Row],[STATUS DA ETAPA]],"")</f>
        <v/>
      </c>
      <c r="CO71" s="21" t="str">
        <f>IF([1]!BANCO10[[#This Row],[SOLUÇÃO]]=CO$1,[1]!BANCO10[[#This Row],[STATUS DA ETAPA]],"")</f>
        <v/>
      </c>
      <c r="CP71" s="21" t="str">
        <f>IF([1]!BANCO10[[#This Row],[SOLUÇÃO]]=CP$1,[1]!BANCO10[[#This Row],[STATUS DA ETAPA]],"")</f>
        <v/>
      </c>
      <c r="CQ71" s="21" t="str">
        <f>IF([1]!BANCO10[[#This Row],[SOLUÇÃO]]=CQ$1,[1]!BANCO10[[#This Row],[STATUS DA ETAPA]],"")</f>
        <v/>
      </c>
      <c r="CR71" s="21" t="str">
        <f>IF([1]!BANCO10[[#This Row],[SOLUÇÃO]]=CR$1,[1]!BANCO10[[#This Row],[STATUS DA ETAPA]],"")</f>
        <v/>
      </c>
      <c r="CS71" s="21" t="str">
        <f>IF([1]!BANCO10[[#This Row],[SOLUÇÃO]]=CS$1,[1]!BANCO10[[#This Row],[STATUS DA ETAPA]],"")</f>
        <v/>
      </c>
      <c r="CT71" s="21" t="str">
        <f>IF([1]!BANCO10[[#This Row],[SOLUÇÃO]]=CT$1,[1]!BANCO10[[#This Row],[STATUS DA ETAPA]],"")</f>
        <v/>
      </c>
      <c r="CU71" s="21" t="str">
        <f>IF([1]!BANCO10[[#This Row],[SOLUÇÃO]]=CU$1,[1]!BANCO10[[#This Row],[STATUS DA ETAPA]],"")</f>
        <v/>
      </c>
      <c r="CV71" s="21" t="str">
        <f>IF([1]!BANCO10[[#This Row],[SOLUÇÃO]]=CV$1,[1]!BANCO10[[#This Row],[STATUS DA ETAPA]],"")</f>
        <v/>
      </c>
    </row>
    <row r="72" spans="1:100">
      <c r="A72" s="44" t="s">
        <v>1</v>
      </c>
      <c r="B72" s="44"/>
      <c r="C72" s="44" t="s">
        <v>1</v>
      </c>
      <c r="D72" s="44"/>
      <c r="E72" s="44" t="s">
        <v>1</v>
      </c>
      <c r="F72" s="44"/>
      <c r="G72" s="44" t="s">
        <v>1</v>
      </c>
      <c r="H72" s="44"/>
      <c r="I72" s="45" t="s">
        <v>0</v>
      </c>
      <c r="J72" s="46"/>
      <c r="K72" s="45" t="s">
        <v>0</v>
      </c>
      <c r="L72" s="33"/>
      <c r="M72" s="45" t="s">
        <v>0</v>
      </c>
      <c r="N72" s="33"/>
      <c r="O72" s="44"/>
      <c r="P72" s="44"/>
      <c r="Q72" s="44" t="s">
        <v>1</v>
      </c>
      <c r="R72" s="44"/>
      <c r="S72" s="44"/>
      <c r="T72" s="44"/>
      <c r="U72" s="44"/>
      <c r="V72" s="44"/>
      <c r="W72" s="44"/>
      <c r="X72" s="44"/>
      <c r="Y72" s="44"/>
      <c r="Z72" s="44"/>
      <c r="AA72" s="44"/>
      <c r="AB72" s="44"/>
      <c r="AC72" s="51">
        <v>45636</v>
      </c>
      <c r="AD72" s="83">
        <v>45636</v>
      </c>
      <c r="AE72" s="41" t="s">
        <v>1</v>
      </c>
      <c r="AF72" s="41" t="s">
        <v>1</v>
      </c>
      <c r="AG72" s="40" t="s">
        <v>4</v>
      </c>
      <c r="AH72" s="36" t="s">
        <v>0</v>
      </c>
      <c r="AI72" s="49">
        <v>0</v>
      </c>
      <c r="AJ72" s="36" t="s">
        <v>1</v>
      </c>
      <c r="AK72" s="10" t="s">
        <v>1</v>
      </c>
      <c r="AL72" s="36" t="s">
        <v>1</v>
      </c>
      <c r="AM72" s="36" t="s">
        <v>1</v>
      </c>
      <c r="AN72" s="35" t="s">
        <v>1</v>
      </c>
      <c r="AO72" s="35" t="s">
        <v>1</v>
      </c>
      <c r="AP72" s="35" t="s">
        <v>1</v>
      </c>
      <c r="AQ72" s="35" t="s">
        <v>2</v>
      </c>
      <c r="AR72" s="45" t="s">
        <v>0</v>
      </c>
      <c r="AS72" s="46"/>
      <c r="AT72" s="30" t="s">
        <v>0</v>
      </c>
      <c r="AU72" s="31"/>
      <c r="AV72" s="30" t="s">
        <v>0</v>
      </c>
      <c r="AW72" s="31"/>
      <c r="AX72" s="30" t="s">
        <v>0</v>
      </c>
      <c r="AY72" s="29"/>
      <c r="AZ72" s="28" t="s">
        <v>0</v>
      </c>
      <c r="BA72" s="27"/>
      <c r="BB72" s="26"/>
      <c r="BC72" s="25"/>
      <c r="BD72" s="24"/>
      <c r="BE72" s="24"/>
      <c r="BF72" s="24"/>
      <c r="BG72" s="24"/>
      <c r="BH72" s="24"/>
      <c r="BI72" s="24"/>
      <c r="BJ72" s="24"/>
      <c r="BK72" s="24"/>
      <c r="BL72" s="24"/>
      <c r="BM72" s="24"/>
      <c r="BN72" s="24"/>
      <c r="BO72" s="24"/>
      <c r="BP72" s="24"/>
      <c r="BQ72" s="22">
        <f>YEAR([1]!BANCO10[[#This Row],[DATA INÍCIO]])</f>
        <v>2024</v>
      </c>
      <c r="BR72" s="22">
        <f>MONTH([1]!BANCO10[[#This Row],[DATA INÍCIO]])</f>
        <v>12</v>
      </c>
      <c r="BS72" s="23" t="e">
        <f>CONCATENATE(#REF!,#REF!)</f>
        <v>#REF!</v>
      </c>
      <c r="BT72" s="22"/>
      <c r="BU72" s="22"/>
      <c r="BV72" s="21" t="str">
        <f>IF([1]!BANCO10[[#This Row],[SOLUÇÃO]]=BV$1,[1]!BANCO10[[#This Row],[STATUS DA ETAPA]],"")</f>
        <v/>
      </c>
      <c r="BW72" s="21" t="str">
        <f>IF([1]!BANCO10[[#This Row],[SOLUÇÃO]]=BW$1,[1]!BANCO10[[#This Row],[STATUS DA ETAPA]],"")</f>
        <v/>
      </c>
      <c r="BX72" s="21" t="str">
        <f>IF([1]!BANCO10[[#This Row],[SOLUÇÃO]]=BX$1,[1]!BANCO10[[#This Row],[STATUS DA ETAPA]],"")</f>
        <v/>
      </c>
      <c r="BY72" s="21" t="str">
        <f>IF([1]!BANCO10[[#This Row],[SOLUÇÃO]]=BY$1,[1]!BANCO10[[#This Row],[STATUS DA ETAPA]],"")</f>
        <v/>
      </c>
      <c r="BZ72" s="21" t="str">
        <f>IF([1]!BANCO10[[#This Row],[SOLUÇÃO]]=BZ$1,[1]!BANCO10[[#This Row],[STATUS DA ETAPA]],"")</f>
        <v/>
      </c>
      <c r="CA72" s="21" t="str">
        <f>IF([1]!BANCO10[[#This Row],[SOLUÇÃO]]=CA$1,[1]!BANCO10[[#This Row],[STATUS DA ETAPA]],"")</f>
        <v/>
      </c>
      <c r="CB72" s="21" t="str">
        <f>IF([1]!BANCO10[[#This Row],[SOLUÇÃO]]=CB$1,[1]!BANCO10[[#This Row],[STATUS DA ETAPA]],"")</f>
        <v/>
      </c>
      <c r="CC72" s="21" t="str">
        <f>IF([1]!BANCO10[[#This Row],[SOLUÇÃO]]=CC$1,[1]!BANCO10[[#This Row],[STATUS DA ETAPA]],"")</f>
        <v/>
      </c>
      <c r="CD72" s="21" t="str">
        <f>IF([1]!BANCO10[[#This Row],[SOLUÇÃO]]=CD$1,[1]!BANCO10[[#This Row],[STATUS DA ETAPA]],"")</f>
        <v/>
      </c>
      <c r="CE72" s="21" t="str">
        <f>IF([1]!BANCO10[[#This Row],[SOLUÇÃO]]=CE$1,[1]!BANCO10[[#This Row],[STATUS DA ETAPA]],"")</f>
        <v/>
      </c>
      <c r="CF72" s="21" t="str">
        <f>IF([1]!BANCO10[[#This Row],[SOLUÇÃO]]=CF$1,[1]!BANCO10[[#This Row],[STATUS DA ETAPA]],"")</f>
        <v/>
      </c>
      <c r="CG72" s="21" t="str">
        <f>IF([1]!BANCO10[[#This Row],[SOLUÇÃO]]=CG$1,[1]!BANCO10[[#This Row],[STATUS DA ETAPA]],"")</f>
        <v/>
      </c>
      <c r="CH72" s="21" t="str">
        <f>IF([1]!BANCO10[[#This Row],[SOLUÇÃO]]=CH$1,[1]!BANCO10[[#This Row],[STATUS DA ETAPA]],"")</f>
        <v/>
      </c>
      <c r="CI72" s="21" t="str">
        <f>IF([1]!BANCO10[[#This Row],[SOLUÇÃO]]=CI$1,[1]!BANCO10[[#This Row],[STATUS DA ETAPA]],"")</f>
        <v/>
      </c>
      <c r="CJ72" s="21" t="str">
        <f>IF([1]!BANCO10[[#This Row],[SOLUÇÃO]]=CJ$1,[1]!BANCO10[[#This Row],[STATUS DA ETAPA]],"")</f>
        <v/>
      </c>
      <c r="CK72" s="21" t="str">
        <f>IF([1]!BANCO10[[#This Row],[SOLUÇÃO]]=CK$1,[1]!BANCO10[[#This Row],[STATUS DA ETAPA]],"")</f>
        <v/>
      </c>
      <c r="CL72" s="21" t="str">
        <f>IF([1]!BANCO10[[#This Row],[SOLUÇÃO]]=CL$1,[1]!BANCO10[[#This Row],[STATUS DA ETAPA]],"")</f>
        <v/>
      </c>
      <c r="CM72" s="21" t="str">
        <f>IF([1]!BANCO10[[#This Row],[SOLUÇÃO]]=CM$1,[1]!BANCO10[[#This Row],[STATUS DA ETAPA]],"")</f>
        <v/>
      </c>
      <c r="CN72" s="21" t="str">
        <f>IF([1]!BANCO10[[#This Row],[SOLUÇÃO]]=CN$1,[1]!BANCO10[[#This Row],[STATUS DA ETAPA]],"")</f>
        <v/>
      </c>
      <c r="CO72" s="21" t="str">
        <f>IF([1]!BANCO10[[#This Row],[SOLUÇÃO]]=CO$1,[1]!BANCO10[[#This Row],[STATUS DA ETAPA]],"")</f>
        <v/>
      </c>
      <c r="CP72" s="21" t="str">
        <f>IF([1]!BANCO10[[#This Row],[SOLUÇÃO]]=CP$1,[1]!BANCO10[[#This Row],[STATUS DA ETAPA]],"")</f>
        <v/>
      </c>
      <c r="CQ72" s="21" t="str">
        <f>IF([1]!BANCO10[[#This Row],[SOLUÇÃO]]=CQ$1,[1]!BANCO10[[#This Row],[STATUS DA ETAPA]],"")</f>
        <v/>
      </c>
      <c r="CR72" s="21" t="str">
        <f>IF([1]!BANCO10[[#This Row],[SOLUÇÃO]]=CR$1,[1]!BANCO10[[#This Row],[STATUS DA ETAPA]],"")</f>
        <v/>
      </c>
      <c r="CS72" s="21" t="str">
        <f>IF([1]!BANCO10[[#This Row],[SOLUÇÃO]]=CS$1,[1]!BANCO10[[#This Row],[STATUS DA ETAPA]],"")</f>
        <v/>
      </c>
      <c r="CT72" s="21" t="str">
        <f>IF([1]!BANCO10[[#This Row],[SOLUÇÃO]]=CT$1,[1]!BANCO10[[#This Row],[STATUS DA ETAPA]],"")</f>
        <v/>
      </c>
      <c r="CU72" s="21" t="str">
        <f>IF([1]!BANCO10[[#This Row],[SOLUÇÃO]]=CU$1,[1]!BANCO10[[#This Row],[STATUS DA ETAPA]],"")</f>
        <v/>
      </c>
      <c r="CV72" s="21" t="str">
        <f>IF([1]!BANCO10[[#This Row],[SOLUÇÃO]]=CV$1,[1]!BANCO10[[#This Row],[STATUS DA ETAPA]],"")</f>
        <v/>
      </c>
    </row>
    <row r="73" spans="1:100">
      <c r="A73" s="44" t="s">
        <v>1</v>
      </c>
      <c r="B73" s="44"/>
      <c r="C73" s="44" t="s">
        <v>1</v>
      </c>
      <c r="D73" s="44"/>
      <c r="E73" s="44" t="s">
        <v>1</v>
      </c>
      <c r="F73" s="44"/>
      <c r="G73" s="44" t="s">
        <v>1</v>
      </c>
      <c r="H73" s="44"/>
      <c r="I73" s="45" t="s">
        <v>1</v>
      </c>
      <c r="J73" s="46"/>
      <c r="K73" s="45" t="s">
        <v>1</v>
      </c>
      <c r="L73" s="33"/>
      <c r="M73" s="45" t="s">
        <v>1</v>
      </c>
      <c r="N73" s="33"/>
      <c r="O73" s="44" t="s">
        <v>1</v>
      </c>
      <c r="P73" s="44"/>
      <c r="Q73" s="44" t="s">
        <v>1</v>
      </c>
      <c r="R73" s="44"/>
      <c r="S73" s="44" t="s">
        <v>1</v>
      </c>
      <c r="T73" s="44"/>
      <c r="U73" s="44" t="s">
        <v>1</v>
      </c>
      <c r="V73" s="44"/>
      <c r="W73" s="44" t="s">
        <v>1</v>
      </c>
      <c r="X73" s="44"/>
      <c r="Y73" s="44" t="s">
        <v>1</v>
      </c>
      <c r="Z73" s="44"/>
      <c r="AA73" s="44" t="s">
        <v>1</v>
      </c>
      <c r="AB73" s="44"/>
      <c r="AC73" s="51">
        <v>45963</v>
      </c>
      <c r="AD73" s="50">
        <v>45963</v>
      </c>
      <c r="AE73" s="40" t="s">
        <v>1</v>
      </c>
      <c r="AF73" s="40" t="s">
        <v>1</v>
      </c>
      <c r="AG73" s="40" t="s">
        <v>1</v>
      </c>
      <c r="AH73" s="36" t="s">
        <v>1</v>
      </c>
      <c r="AI73" s="49">
        <v>0</v>
      </c>
      <c r="AJ73" s="36" t="s">
        <v>1</v>
      </c>
      <c r="AK73" s="10" t="s">
        <v>1</v>
      </c>
      <c r="AL73" s="36" t="s">
        <v>1</v>
      </c>
      <c r="AM73" s="36" t="s">
        <v>1</v>
      </c>
      <c r="AN73" s="35" t="s">
        <v>1</v>
      </c>
      <c r="AO73" s="35" t="s">
        <v>1</v>
      </c>
      <c r="AP73" s="35" t="s">
        <v>1</v>
      </c>
      <c r="AQ73" s="35" t="s">
        <v>1</v>
      </c>
      <c r="AR73" s="45" t="s">
        <v>1</v>
      </c>
      <c r="AS73" s="61"/>
      <c r="AT73" s="32" t="s">
        <v>1</v>
      </c>
      <c r="AU73" s="31"/>
      <c r="AV73" s="32" t="s">
        <v>1</v>
      </c>
      <c r="AW73" s="31"/>
      <c r="AX73" s="32" t="s">
        <v>1</v>
      </c>
      <c r="AY73" s="31"/>
      <c r="AZ73" s="32" t="s">
        <v>1</v>
      </c>
      <c r="BA73" s="31"/>
      <c r="BB73" s="74" t="s">
        <v>804</v>
      </c>
      <c r="BC73" s="25"/>
      <c r="BD73" s="24" t="s">
        <v>11</v>
      </c>
      <c r="BE73" s="24" t="s">
        <v>11</v>
      </c>
      <c r="BF73" s="24" t="s">
        <v>11</v>
      </c>
      <c r="BG73" s="24" t="s">
        <v>11</v>
      </c>
      <c r="BH73" s="130" t="s">
        <v>11</v>
      </c>
      <c r="BI73" s="24"/>
      <c r="BJ73" s="24" t="s">
        <v>11</v>
      </c>
      <c r="BK73" s="24" t="s">
        <v>11</v>
      </c>
      <c r="BL73" s="24" t="s">
        <v>11</v>
      </c>
      <c r="BM73" s="24" t="s">
        <v>11</v>
      </c>
      <c r="BN73" s="24" t="s">
        <v>11</v>
      </c>
      <c r="BO73" s="24" t="s">
        <v>11</v>
      </c>
      <c r="BP73" s="24" t="s">
        <v>11</v>
      </c>
      <c r="BQ73" s="22">
        <f>YEAR([1]!BANCO10[[#This Row],[DATA INÍCIO]])</f>
        <v>2025</v>
      </c>
      <c r="BR73" s="22">
        <f>MONTH([1]!BANCO10[[#This Row],[DATA INÍCIO]])</f>
        <v>11</v>
      </c>
      <c r="BS73" s="129" t="e">
        <f>CONCATENATE(#REF!,#REF!)</f>
        <v>#REF!</v>
      </c>
      <c r="BT73" s="22"/>
      <c r="BU73" s="21" t="s">
        <v>805</v>
      </c>
      <c r="BV73" s="21" t="str">
        <f>IF([1]!BANCO10[[#This Row],[SOLUÇÃO]]=BV$1,[1]!BANCO10[[#This Row],[STATUS DA ETAPA]],"")</f>
        <v/>
      </c>
      <c r="BW73" s="21" t="str">
        <f>IF([1]!BANCO10[[#This Row],[SOLUÇÃO]]=BW$1,[1]!BANCO10[[#This Row],[STATUS DA ETAPA]],"")</f>
        <v/>
      </c>
      <c r="BX73" s="21" t="str">
        <f>IF([1]!BANCO10[[#This Row],[SOLUÇÃO]]=BX$1,[1]!BANCO10[[#This Row],[STATUS DA ETAPA]],"")</f>
        <v/>
      </c>
      <c r="BY73" s="21" t="str">
        <f>IF([1]!BANCO10[[#This Row],[SOLUÇÃO]]=BY$1,[1]!BANCO10[[#This Row],[STATUS DA ETAPA]],"")</f>
        <v/>
      </c>
      <c r="BZ73" s="21" t="str">
        <f>IF([1]!BANCO10[[#This Row],[SOLUÇÃO]]=BZ$1,[1]!BANCO10[[#This Row],[STATUS DA ETAPA]],"")</f>
        <v/>
      </c>
      <c r="CA73" s="21" t="str">
        <f>IF([1]!BANCO10[[#This Row],[SOLUÇÃO]]=CA$1,[1]!BANCO10[[#This Row],[STATUS DA ETAPA]],"")</f>
        <v>CANCELADO</v>
      </c>
      <c r="CB73" s="21" t="str">
        <f>IF([1]!BANCO10[[#This Row],[SOLUÇÃO]]=CB$1,[1]!BANCO10[[#This Row],[STATUS DA ETAPA]],"")</f>
        <v/>
      </c>
      <c r="CC73" s="21" t="str">
        <f>IF([1]!BANCO10[[#This Row],[SOLUÇÃO]]=CC$1,[1]!BANCO10[[#This Row],[STATUS DA ETAPA]],"")</f>
        <v/>
      </c>
      <c r="CD73" s="21" t="str">
        <f>IF([1]!BANCO10[[#This Row],[SOLUÇÃO]]=CD$1,[1]!BANCO10[[#This Row],[STATUS DA ETAPA]],"")</f>
        <v/>
      </c>
      <c r="CE73" s="21" t="str">
        <f>IF([1]!BANCO10[[#This Row],[SOLUÇÃO]]=CE$1,[1]!BANCO10[[#This Row],[STATUS DA ETAPA]],"")</f>
        <v/>
      </c>
      <c r="CF73" s="21" t="str">
        <f>IF([1]!BANCO10[[#This Row],[SOLUÇÃO]]=CF$1,[1]!BANCO10[[#This Row],[STATUS DA ETAPA]],"")</f>
        <v/>
      </c>
      <c r="CG73" s="21" t="str">
        <f>IF([1]!BANCO10[[#This Row],[SOLUÇÃO]]=CG$1,[1]!BANCO10[[#This Row],[STATUS DA ETAPA]],"")</f>
        <v/>
      </c>
      <c r="CH73" s="21" t="str">
        <f>IF([1]!BANCO10[[#This Row],[SOLUÇÃO]]=CH$1,[1]!BANCO10[[#This Row],[STATUS DA ETAPA]],"")</f>
        <v/>
      </c>
      <c r="CI73" s="21" t="str">
        <f>IF([1]!BANCO10[[#This Row],[SOLUÇÃO]]=CI$1,[1]!BANCO10[[#This Row],[STATUS DA ETAPA]],"")</f>
        <v/>
      </c>
      <c r="CJ73" s="21" t="str">
        <f>IF([1]!BANCO10[[#This Row],[SOLUÇÃO]]=CJ$1,[1]!BANCO10[[#This Row],[STATUS DA ETAPA]],"")</f>
        <v/>
      </c>
      <c r="CK73" s="21" t="str">
        <f>IF([1]!BANCO10[[#This Row],[SOLUÇÃO]]=CK$1,[1]!BANCO10[[#This Row],[STATUS DA ETAPA]],"")</f>
        <v/>
      </c>
      <c r="CL73" s="21" t="str">
        <f>IF([1]!BANCO10[[#This Row],[SOLUÇÃO]]=CL$1,[1]!BANCO10[[#This Row],[STATUS DA ETAPA]],"")</f>
        <v/>
      </c>
      <c r="CM73" s="21" t="str">
        <f>IF([1]!BANCO10[[#This Row],[SOLUÇÃO]]=CM$1,[1]!BANCO10[[#This Row],[STATUS DA ETAPA]],"")</f>
        <v/>
      </c>
      <c r="CN73" s="21" t="str">
        <f>IF([1]!BANCO10[[#This Row],[SOLUÇÃO]]=CN$1,[1]!BANCO10[[#This Row],[STATUS DA ETAPA]],"")</f>
        <v/>
      </c>
      <c r="CO73" s="21" t="str">
        <f>IF([1]!BANCO10[[#This Row],[SOLUÇÃO]]=CO$1,[1]!BANCO10[[#This Row],[STATUS DA ETAPA]],"")</f>
        <v/>
      </c>
      <c r="CP73" s="21" t="str">
        <f>IF([1]!BANCO10[[#This Row],[SOLUÇÃO]]=CP$1,[1]!BANCO10[[#This Row],[STATUS DA ETAPA]],"")</f>
        <v/>
      </c>
      <c r="CQ73" s="21" t="str">
        <f>IF([1]!BANCO10[[#This Row],[SOLUÇÃO]]=CQ$1,[1]!BANCO10[[#This Row],[STATUS DA ETAPA]],"")</f>
        <v/>
      </c>
      <c r="CR73" s="21" t="str">
        <f>IF([1]!BANCO10[[#This Row],[SOLUÇÃO]]=CR$1,[1]!BANCO10[[#This Row],[STATUS DA ETAPA]],"")</f>
        <v/>
      </c>
      <c r="CS73" s="21" t="str">
        <f>IF([1]!BANCO10[[#This Row],[SOLUÇÃO]]=CS$1,[1]!BANCO10[[#This Row],[STATUS DA ETAPA]],"")</f>
        <v/>
      </c>
      <c r="CT73" s="21" t="str">
        <f>IF([1]!BANCO10[[#This Row],[SOLUÇÃO]]=CT$1,[1]!BANCO10[[#This Row],[STATUS DA ETAPA]],"")</f>
        <v/>
      </c>
      <c r="CU73" s="21" t="str">
        <f>IF([1]!BANCO10[[#This Row],[SOLUÇÃO]]=CU$1,[1]!BANCO10[[#This Row],[STATUS DA ETAPA]],"")</f>
        <v/>
      </c>
      <c r="CV73" s="21" t="str">
        <f>IF([1]!BANCO10[[#This Row],[SOLUÇÃO]]=CV$1,[1]!BANCO10[[#This Row],[STATUS DA ETAPA]],"")</f>
        <v/>
      </c>
    </row>
    <row r="74" spans="1:100">
      <c r="A74" s="44" t="s">
        <v>1</v>
      </c>
      <c r="B74" s="44"/>
      <c r="C74" s="44" t="s">
        <v>1</v>
      </c>
      <c r="D74" s="44"/>
      <c r="E74" s="44" t="s">
        <v>1</v>
      </c>
      <c r="F74" s="44"/>
      <c r="G74" s="44" t="s">
        <v>1</v>
      </c>
      <c r="H74" s="44"/>
      <c r="I74" s="45" t="s">
        <v>1</v>
      </c>
      <c r="J74" s="46"/>
      <c r="K74" s="45" t="s">
        <v>1</v>
      </c>
      <c r="L74" s="33"/>
      <c r="M74" s="45" t="s">
        <v>1</v>
      </c>
      <c r="N74" s="33"/>
      <c r="O74" s="44" t="s">
        <v>2</v>
      </c>
      <c r="P74" s="44">
        <v>45005</v>
      </c>
      <c r="Q74" s="44" t="s">
        <v>0</v>
      </c>
      <c r="R74" s="44"/>
      <c r="S74" s="44" t="s">
        <v>1</v>
      </c>
      <c r="T74" s="44"/>
      <c r="U74" s="44" t="s">
        <v>1</v>
      </c>
      <c r="V74" s="44"/>
      <c r="W74" s="44" t="s">
        <v>1</v>
      </c>
      <c r="X74" s="44"/>
      <c r="Y74" s="44" t="s">
        <v>1</v>
      </c>
      <c r="Z74" s="44"/>
      <c r="AA74" s="44" t="s">
        <v>1</v>
      </c>
      <c r="AB74" s="44"/>
      <c r="AC74" s="51">
        <v>45005</v>
      </c>
      <c r="AD74" s="83">
        <v>45005</v>
      </c>
      <c r="AE74" s="40" t="s">
        <v>1</v>
      </c>
      <c r="AF74" s="40" t="s">
        <v>1</v>
      </c>
      <c r="AG74" s="76" t="s">
        <v>5</v>
      </c>
      <c r="AH74" s="36" t="s">
        <v>1</v>
      </c>
      <c r="AI74" s="49">
        <v>0</v>
      </c>
      <c r="AJ74" s="36" t="s">
        <v>1</v>
      </c>
      <c r="AK74" s="10" t="s">
        <v>1</v>
      </c>
      <c r="AL74" s="36" t="s">
        <v>1</v>
      </c>
      <c r="AM74" s="36" t="s">
        <v>1</v>
      </c>
      <c r="AN74" s="35" t="s">
        <v>1</v>
      </c>
      <c r="AO74" s="35" t="s">
        <v>1</v>
      </c>
      <c r="AP74" s="35" t="s">
        <v>1</v>
      </c>
      <c r="AQ74" s="35" t="s">
        <v>1</v>
      </c>
      <c r="AR74" s="171" t="s">
        <v>1</v>
      </c>
      <c r="AS74" s="46"/>
      <c r="AT74" s="32" t="s">
        <v>1</v>
      </c>
      <c r="AU74" s="31"/>
      <c r="AV74" s="32" t="s">
        <v>1</v>
      </c>
      <c r="AW74" s="31"/>
      <c r="AX74" s="30" t="s">
        <v>1</v>
      </c>
      <c r="AY74" s="55"/>
      <c r="AZ74" s="30" t="s">
        <v>1</v>
      </c>
      <c r="BA74" s="55"/>
      <c r="BB74" s="74" t="s">
        <v>804</v>
      </c>
      <c r="BC74" s="25"/>
      <c r="BD74" s="24" t="s">
        <v>11</v>
      </c>
      <c r="BE74" s="24" t="s">
        <v>11</v>
      </c>
      <c r="BF74" s="24" t="s">
        <v>11</v>
      </c>
      <c r="BG74" s="24" t="s">
        <v>11</v>
      </c>
      <c r="BH74" s="130" t="s">
        <v>11</v>
      </c>
      <c r="BI74" s="24"/>
      <c r="BJ74" s="24" t="s">
        <v>11</v>
      </c>
      <c r="BK74" s="24" t="s">
        <v>11</v>
      </c>
      <c r="BL74" s="24" t="s">
        <v>11</v>
      </c>
      <c r="BM74" s="24" t="s">
        <v>11</v>
      </c>
      <c r="BN74" s="24" t="s">
        <v>11</v>
      </c>
      <c r="BO74" s="24" t="s">
        <v>11</v>
      </c>
      <c r="BP74" s="24" t="s">
        <v>11</v>
      </c>
      <c r="BQ74" s="22">
        <f>YEAR([1]!BANCO10[[#This Row],[DATA INÍCIO]])</f>
        <v>2023</v>
      </c>
      <c r="BR74" s="22">
        <f>MONTH([1]!BANCO10[[#This Row],[DATA INÍCIO]])</f>
        <v>3</v>
      </c>
      <c r="BS74" s="129" t="e">
        <f>CONCATENATE(#REF!,#REF!)</f>
        <v>#REF!</v>
      </c>
      <c r="BT74" s="22"/>
      <c r="BU74" s="21" t="s">
        <v>803</v>
      </c>
      <c r="BV74" s="21" t="str">
        <f>IF([1]!BANCO10[[#This Row],[SOLUÇÃO]]=BV$1,[1]!BANCO10[[#This Row],[STATUS DA ETAPA]],"")</f>
        <v>CONCLUÍDO</v>
      </c>
      <c r="BW74" s="21" t="str">
        <f>IF([1]!BANCO10[[#This Row],[SOLUÇÃO]]=BW$1,[1]!BANCO10[[#This Row],[STATUS DA ETAPA]],"")</f>
        <v/>
      </c>
      <c r="BX74" s="21" t="str">
        <f>IF([1]!BANCO10[[#This Row],[SOLUÇÃO]]=BX$1,[1]!BANCO10[[#This Row],[STATUS DA ETAPA]],"")</f>
        <v/>
      </c>
      <c r="BY74" s="21" t="str">
        <f>IF([1]!BANCO10[[#This Row],[SOLUÇÃO]]=BY$1,[1]!BANCO10[[#This Row],[STATUS DA ETAPA]],"")</f>
        <v/>
      </c>
      <c r="BZ74" s="21" t="str">
        <f>IF([1]!BANCO10[[#This Row],[SOLUÇÃO]]=BZ$1,[1]!BANCO10[[#This Row],[STATUS DA ETAPA]],"")</f>
        <v/>
      </c>
      <c r="CA74" s="21" t="str">
        <f>IF([1]!BANCO10[[#This Row],[SOLUÇÃO]]=CA$1,[1]!BANCO10[[#This Row],[STATUS DA ETAPA]],"")</f>
        <v/>
      </c>
      <c r="CB74" s="21" t="str">
        <f>IF([1]!BANCO10[[#This Row],[SOLUÇÃO]]=CB$1,[1]!BANCO10[[#This Row],[STATUS DA ETAPA]],"")</f>
        <v/>
      </c>
      <c r="CC74" s="21" t="str">
        <f>IF([1]!BANCO10[[#This Row],[SOLUÇÃO]]=CC$1,[1]!BANCO10[[#This Row],[STATUS DA ETAPA]],"")</f>
        <v/>
      </c>
      <c r="CD74" s="21" t="str">
        <f>IF([1]!BANCO10[[#This Row],[SOLUÇÃO]]=CD$1,[1]!BANCO10[[#This Row],[STATUS DA ETAPA]],"")</f>
        <v/>
      </c>
      <c r="CE74" s="21" t="str">
        <f>IF([1]!BANCO10[[#This Row],[SOLUÇÃO]]=CE$1,[1]!BANCO10[[#This Row],[STATUS DA ETAPA]],"")</f>
        <v/>
      </c>
      <c r="CF74" s="21" t="str">
        <f>IF([1]!BANCO10[[#This Row],[SOLUÇÃO]]=CF$1,[1]!BANCO10[[#This Row],[STATUS DA ETAPA]],"")</f>
        <v/>
      </c>
      <c r="CG74" s="21" t="str">
        <f>IF([1]!BANCO10[[#This Row],[SOLUÇÃO]]=CG$1,[1]!BANCO10[[#This Row],[STATUS DA ETAPA]],"")</f>
        <v/>
      </c>
      <c r="CH74" s="21" t="str">
        <f>IF([1]!BANCO10[[#This Row],[SOLUÇÃO]]=CH$1,[1]!BANCO10[[#This Row],[STATUS DA ETAPA]],"")</f>
        <v/>
      </c>
      <c r="CI74" s="21" t="str">
        <f>IF([1]!BANCO10[[#This Row],[SOLUÇÃO]]=CI$1,[1]!BANCO10[[#This Row],[STATUS DA ETAPA]],"")</f>
        <v/>
      </c>
      <c r="CJ74" s="21" t="str">
        <f>IF([1]!BANCO10[[#This Row],[SOLUÇÃO]]=CJ$1,[1]!BANCO10[[#This Row],[STATUS DA ETAPA]],"")</f>
        <v/>
      </c>
      <c r="CK74" s="21" t="str">
        <f>IF([1]!BANCO10[[#This Row],[SOLUÇÃO]]=CK$1,[1]!BANCO10[[#This Row],[STATUS DA ETAPA]],"")</f>
        <v/>
      </c>
      <c r="CL74" s="21" t="str">
        <f>IF([1]!BANCO10[[#This Row],[SOLUÇÃO]]=CL$1,[1]!BANCO10[[#This Row],[STATUS DA ETAPA]],"")</f>
        <v/>
      </c>
      <c r="CM74" s="21" t="str">
        <f>IF([1]!BANCO10[[#This Row],[SOLUÇÃO]]=CM$1,[1]!BANCO10[[#This Row],[STATUS DA ETAPA]],"")</f>
        <v/>
      </c>
      <c r="CN74" s="21" t="str">
        <f>IF([1]!BANCO10[[#This Row],[SOLUÇÃO]]=CN$1,[1]!BANCO10[[#This Row],[STATUS DA ETAPA]],"")</f>
        <v/>
      </c>
      <c r="CO74" s="21" t="str">
        <f>IF([1]!BANCO10[[#This Row],[SOLUÇÃO]]=CO$1,[1]!BANCO10[[#This Row],[STATUS DA ETAPA]],"")</f>
        <v/>
      </c>
      <c r="CP74" s="21" t="str">
        <f>IF([1]!BANCO10[[#This Row],[SOLUÇÃO]]=CP$1,[1]!BANCO10[[#This Row],[STATUS DA ETAPA]],"")</f>
        <v/>
      </c>
      <c r="CQ74" s="21" t="str">
        <f>IF([1]!BANCO10[[#This Row],[SOLUÇÃO]]=CQ$1,[1]!BANCO10[[#This Row],[STATUS DA ETAPA]],"")</f>
        <v/>
      </c>
      <c r="CR74" s="21" t="str">
        <f>IF([1]!BANCO10[[#This Row],[SOLUÇÃO]]=CR$1,[1]!BANCO10[[#This Row],[STATUS DA ETAPA]],"")</f>
        <v/>
      </c>
      <c r="CS74" s="21" t="str">
        <f>IF([1]!BANCO10[[#This Row],[SOLUÇÃO]]=CS$1,[1]!BANCO10[[#This Row],[STATUS DA ETAPA]],"")</f>
        <v/>
      </c>
      <c r="CT74" s="21" t="str">
        <f>IF([1]!BANCO10[[#This Row],[SOLUÇÃO]]=CT$1,[1]!BANCO10[[#This Row],[STATUS DA ETAPA]],"")</f>
        <v/>
      </c>
      <c r="CU74" s="21" t="str">
        <f>IF([1]!BANCO10[[#This Row],[SOLUÇÃO]]=CU$1,[1]!BANCO10[[#This Row],[STATUS DA ETAPA]],"")</f>
        <v/>
      </c>
      <c r="CV74" s="21" t="str">
        <f>IF([1]!BANCO10[[#This Row],[SOLUÇÃO]]=CV$1,[1]!BANCO10[[#This Row],[STATUS DA ETAPA]],"")</f>
        <v/>
      </c>
    </row>
    <row r="75" spans="1:100">
      <c r="A75" s="44" t="s">
        <v>1</v>
      </c>
      <c r="B75" s="44"/>
      <c r="C75" s="44" t="s">
        <v>1</v>
      </c>
      <c r="D75" s="44"/>
      <c r="E75" s="44" t="s">
        <v>1</v>
      </c>
      <c r="F75" s="44"/>
      <c r="G75" s="44" t="s">
        <v>1</v>
      </c>
      <c r="H75" s="44"/>
      <c r="I75" s="45" t="s">
        <v>1</v>
      </c>
      <c r="J75" s="46"/>
      <c r="K75" s="45" t="s">
        <v>1</v>
      </c>
      <c r="L75" s="33"/>
      <c r="M75" s="45" t="s">
        <v>1</v>
      </c>
      <c r="N75" s="33"/>
      <c r="O75" s="44" t="s">
        <v>2</v>
      </c>
      <c r="P75" s="44">
        <v>45106</v>
      </c>
      <c r="Q75" s="44" t="s">
        <v>0</v>
      </c>
      <c r="R75" s="44"/>
      <c r="S75" s="44" t="s">
        <v>1</v>
      </c>
      <c r="T75" s="44"/>
      <c r="U75" s="44" t="s">
        <v>1</v>
      </c>
      <c r="V75" s="44"/>
      <c r="W75" s="44" t="s">
        <v>1</v>
      </c>
      <c r="X75" s="44"/>
      <c r="Y75" s="44" t="s">
        <v>1</v>
      </c>
      <c r="Z75" s="44"/>
      <c r="AA75" s="44" t="s">
        <v>1</v>
      </c>
      <c r="AB75" s="44"/>
      <c r="AC75" s="51">
        <v>45077</v>
      </c>
      <c r="AD75" s="50">
        <v>45077</v>
      </c>
      <c r="AE75" s="40" t="s">
        <v>1</v>
      </c>
      <c r="AF75" s="40" t="s">
        <v>1</v>
      </c>
      <c r="AG75" s="76" t="s">
        <v>5</v>
      </c>
      <c r="AH75" s="36" t="s">
        <v>1</v>
      </c>
      <c r="AI75" s="49">
        <v>0</v>
      </c>
      <c r="AJ75" s="36" t="s">
        <v>1</v>
      </c>
      <c r="AK75" s="10" t="s">
        <v>1</v>
      </c>
      <c r="AL75" s="36" t="s">
        <v>1</v>
      </c>
      <c r="AM75" s="36" t="s">
        <v>1</v>
      </c>
      <c r="AN75" s="35" t="s">
        <v>1</v>
      </c>
      <c r="AO75" s="35" t="s">
        <v>1</v>
      </c>
      <c r="AP75" s="35" t="s">
        <v>1</v>
      </c>
      <c r="AQ75" s="35" t="s">
        <v>1</v>
      </c>
      <c r="AR75" s="171" t="s">
        <v>1</v>
      </c>
      <c r="AS75" s="46"/>
      <c r="AT75" s="30"/>
      <c r="AU75" s="55"/>
      <c r="AV75" s="30"/>
      <c r="AW75" s="55"/>
      <c r="AX75" s="30" t="s">
        <v>1</v>
      </c>
      <c r="AY75" s="55"/>
      <c r="AZ75" s="30" t="s">
        <v>1</v>
      </c>
      <c r="BA75" s="55"/>
      <c r="BB75" s="74"/>
      <c r="BC75" s="25"/>
      <c r="BD75" s="24" t="s">
        <v>11</v>
      </c>
      <c r="BE75" s="24" t="s">
        <v>11</v>
      </c>
      <c r="BF75" s="24" t="s">
        <v>19</v>
      </c>
      <c r="BG75" s="24" t="s">
        <v>11</v>
      </c>
      <c r="BH75" s="130" t="s">
        <v>19</v>
      </c>
      <c r="BI75" s="24"/>
      <c r="BJ75" s="24" t="s">
        <v>11</v>
      </c>
      <c r="BK75" s="24" t="s">
        <v>11</v>
      </c>
      <c r="BL75" s="24" t="s">
        <v>11</v>
      </c>
      <c r="BM75" s="24" t="s">
        <v>11</v>
      </c>
      <c r="BN75" s="24" t="s">
        <v>11</v>
      </c>
      <c r="BO75" s="24" t="s">
        <v>11</v>
      </c>
      <c r="BP75" s="24" t="s">
        <v>11</v>
      </c>
      <c r="BQ75" s="22">
        <f>YEAR([1]!BANCO10[[#This Row],[DATA INÍCIO]])</f>
        <v>2023</v>
      </c>
      <c r="BR75" s="22">
        <f>MONTH([1]!BANCO10[[#This Row],[DATA INÍCIO]])</f>
        <v>5</v>
      </c>
      <c r="BS75" s="129" t="e">
        <f>CONCATENATE(#REF!,#REF!)</f>
        <v>#REF!</v>
      </c>
      <c r="BT75" s="22"/>
      <c r="BU75" s="21" t="s">
        <v>802</v>
      </c>
      <c r="BV75" s="21" t="str">
        <f>IF([1]!BANCO10[[#This Row],[SOLUÇÃO]]=BV$1,[1]!BANCO10[[#This Row],[STATUS DA ETAPA]],"")</f>
        <v>CONCLUÍDO</v>
      </c>
      <c r="BW75" s="21" t="str">
        <f>IF([1]!BANCO10[[#This Row],[SOLUÇÃO]]=BW$1,[1]!BANCO10[[#This Row],[STATUS DA ETAPA]],"")</f>
        <v/>
      </c>
      <c r="BX75" s="21" t="str">
        <f>IF([1]!BANCO10[[#This Row],[SOLUÇÃO]]=BX$1,[1]!BANCO10[[#This Row],[STATUS DA ETAPA]],"")</f>
        <v/>
      </c>
      <c r="BY75" s="21" t="str">
        <f>IF([1]!BANCO10[[#This Row],[SOLUÇÃO]]=BY$1,[1]!BANCO10[[#This Row],[STATUS DA ETAPA]],"")</f>
        <v/>
      </c>
      <c r="BZ75" s="21" t="str">
        <f>IF([1]!BANCO10[[#This Row],[SOLUÇÃO]]=BZ$1,[1]!BANCO10[[#This Row],[STATUS DA ETAPA]],"")</f>
        <v/>
      </c>
      <c r="CA75" s="21" t="str">
        <f>IF([1]!BANCO10[[#This Row],[SOLUÇÃO]]=CA$1,[1]!BANCO10[[#This Row],[STATUS DA ETAPA]],"")</f>
        <v/>
      </c>
      <c r="CB75" s="21" t="str">
        <f>IF([1]!BANCO10[[#This Row],[SOLUÇÃO]]=CB$1,[1]!BANCO10[[#This Row],[STATUS DA ETAPA]],"")</f>
        <v/>
      </c>
      <c r="CC75" s="21" t="str">
        <f>IF([1]!BANCO10[[#This Row],[SOLUÇÃO]]=CC$1,[1]!BANCO10[[#This Row],[STATUS DA ETAPA]],"")</f>
        <v/>
      </c>
      <c r="CD75" s="21" t="str">
        <f>IF([1]!BANCO10[[#This Row],[SOLUÇÃO]]=CD$1,[1]!BANCO10[[#This Row],[STATUS DA ETAPA]],"")</f>
        <v/>
      </c>
      <c r="CE75" s="21" t="str">
        <f>IF([1]!BANCO10[[#This Row],[SOLUÇÃO]]=CE$1,[1]!BANCO10[[#This Row],[STATUS DA ETAPA]],"")</f>
        <v/>
      </c>
      <c r="CF75" s="21" t="str">
        <f>IF([1]!BANCO10[[#This Row],[SOLUÇÃO]]=CF$1,[1]!BANCO10[[#This Row],[STATUS DA ETAPA]],"")</f>
        <v/>
      </c>
      <c r="CG75" s="21" t="str">
        <f>IF([1]!BANCO10[[#This Row],[SOLUÇÃO]]=CG$1,[1]!BANCO10[[#This Row],[STATUS DA ETAPA]],"")</f>
        <v/>
      </c>
      <c r="CH75" s="21" t="str">
        <f>IF([1]!BANCO10[[#This Row],[SOLUÇÃO]]=CH$1,[1]!BANCO10[[#This Row],[STATUS DA ETAPA]],"")</f>
        <v/>
      </c>
      <c r="CI75" s="21" t="str">
        <f>IF([1]!BANCO10[[#This Row],[SOLUÇÃO]]=CI$1,[1]!BANCO10[[#This Row],[STATUS DA ETAPA]],"")</f>
        <v/>
      </c>
      <c r="CJ75" s="21" t="str">
        <f>IF([1]!BANCO10[[#This Row],[SOLUÇÃO]]=CJ$1,[1]!BANCO10[[#This Row],[STATUS DA ETAPA]],"")</f>
        <v/>
      </c>
      <c r="CK75" s="21" t="str">
        <f>IF([1]!BANCO10[[#This Row],[SOLUÇÃO]]=CK$1,[1]!BANCO10[[#This Row],[STATUS DA ETAPA]],"")</f>
        <v/>
      </c>
      <c r="CL75" s="21" t="str">
        <f>IF([1]!BANCO10[[#This Row],[SOLUÇÃO]]=CL$1,[1]!BANCO10[[#This Row],[STATUS DA ETAPA]],"")</f>
        <v/>
      </c>
      <c r="CM75" s="21" t="str">
        <f>IF([1]!BANCO10[[#This Row],[SOLUÇÃO]]=CM$1,[1]!BANCO10[[#This Row],[STATUS DA ETAPA]],"")</f>
        <v/>
      </c>
      <c r="CN75" s="21" t="str">
        <f>IF([1]!BANCO10[[#This Row],[SOLUÇÃO]]=CN$1,[1]!BANCO10[[#This Row],[STATUS DA ETAPA]],"")</f>
        <v/>
      </c>
      <c r="CO75" s="21" t="str">
        <f>IF([1]!BANCO10[[#This Row],[SOLUÇÃO]]=CO$1,[1]!BANCO10[[#This Row],[STATUS DA ETAPA]],"")</f>
        <v/>
      </c>
      <c r="CP75" s="21" t="str">
        <f>IF([1]!BANCO10[[#This Row],[SOLUÇÃO]]=CP$1,[1]!BANCO10[[#This Row],[STATUS DA ETAPA]],"")</f>
        <v/>
      </c>
      <c r="CQ75" s="21" t="str">
        <f>IF([1]!BANCO10[[#This Row],[SOLUÇÃO]]=CQ$1,[1]!BANCO10[[#This Row],[STATUS DA ETAPA]],"")</f>
        <v/>
      </c>
      <c r="CR75" s="21" t="str">
        <f>IF([1]!BANCO10[[#This Row],[SOLUÇÃO]]=CR$1,[1]!BANCO10[[#This Row],[STATUS DA ETAPA]],"")</f>
        <v/>
      </c>
      <c r="CS75" s="21" t="str">
        <f>IF([1]!BANCO10[[#This Row],[SOLUÇÃO]]=CS$1,[1]!BANCO10[[#This Row],[STATUS DA ETAPA]],"")</f>
        <v/>
      </c>
      <c r="CT75" s="21" t="str">
        <f>IF([1]!BANCO10[[#This Row],[SOLUÇÃO]]=CT$1,[1]!BANCO10[[#This Row],[STATUS DA ETAPA]],"")</f>
        <v/>
      </c>
      <c r="CU75" s="21" t="str">
        <f>IF([1]!BANCO10[[#This Row],[SOLUÇÃO]]=CU$1,[1]!BANCO10[[#This Row],[STATUS DA ETAPA]],"")</f>
        <v/>
      </c>
      <c r="CV75" s="21" t="str">
        <f>IF([1]!BANCO10[[#This Row],[SOLUÇÃO]]=CV$1,[1]!BANCO10[[#This Row],[STATUS DA ETAPA]],"")</f>
        <v/>
      </c>
    </row>
    <row r="76" spans="1:100">
      <c r="A76" s="44" t="s">
        <v>1</v>
      </c>
      <c r="B76" s="44"/>
      <c r="C76" s="44" t="s">
        <v>1</v>
      </c>
      <c r="D76" s="44"/>
      <c r="E76" s="44" t="s">
        <v>1</v>
      </c>
      <c r="F76" s="44"/>
      <c r="G76" s="44" t="s">
        <v>1</v>
      </c>
      <c r="H76" s="44"/>
      <c r="I76" s="45" t="s">
        <v>1</v>
      </c>
      <c r="J76" s="46"/>
      <c r="K76" s="45" t="s">
        <v>1</v>
      </c>
      <c r="L76" s="33"/>
      <c r="M76" s="45" t="s">
        <v>1</v>
      </c>
      <c r="N76" s="33"/>
      <c r="O76" s="44" t="s">
        <v>1</v>
      </c>
      <c r="P76" s="44"/>
      <c r="Q76" s="44" t="s">
        <v>1</v>
      </c>
      <c r="R76" s="44"/>
      <c r="S76" s="44" t="s">
        <v>1</v>
      </c>
      <c r="T76" s="44"/>
      <c r="U76" s="44" t="s">
        <v>1</v>
      </c>
      <c r="V76" s="44"/>
      <c r="W76" s="44" t="s">
        <v>1</v>
      </c>
      <c r="X76" s="44"/>
      <c r="Y76" s="44" t="s">
        <v>1</v>
      </c>
      <c r="Z76" s="44"/>
      <c r="AA76" s="44" t="s">
        <v>1</v>
      </c>
      <c r="AB76" s="44"/>
      <c r="AC76" s="51">
        <v>45475</v>
      </c>
      <c r="AD76" s="83">
        <v>45475</v>
      </c>
      <c r="AE76" s="41" t="s">
        <v>1</v>
      </c>
      <c r="AF76" s="41" t="s">
        <v>1</v>
      </c>
      <c r="AG76" s="40" t="s">
        <v>5</v>
      </c>
      <c r="AH76" s="36" t="s">
        <v>1</v>
      </c>
      <c r="AI76" s="49">
        <v>0</v>
      </c>
      <c r="AJ76" s="36" t="s">
        <v>1</v>
      </c>
      <c r="AK76" s="10" t="s">
        <v>1</v>
      </c>
      <c r="AL76" s="36" t="s">
        <v>1</v>
      </c>
      <c r="AM76" s="36" t="s">
        <v>1</v>
      </c>
      <c r="AN76" s="35" t="s">
        <v>1</v>
      </c>
      <c r="AO76" s="35" t="s">
        <v>1</v>
      </c>
      <c r="AP76" s="35" t="s">
        <v>1</v>
      </c>
      <c r="AQ76" s="35" t="s">
        <v>1</v>
      </c>
      <c r="AR76" s="171" t="s">
        <v>1</v>
      </c>
      <c r="AS76" s="46"/>
      <c r="AT76" s="30"/>
      <c r="AU76" s="55"/>
      <c r="AV76" s="30"/>
      <c r="AW76" s="55"/>
      <c r="AX76" s="30" t="s">
        <v>1</v>
      </c>
      <c r="AY76" s="55"/>
      <c r="AZ76" s="30" t="s">
        <v>1</v>
      </c>
      <c r="BA76" s="55"/>
      <c r="BB76" s="74" t="s">
        <v>750</v>
      </c>
      <c r="BC76" s="25" t="s">
        <v>41</v>
      </c>
      <c r="BD76" s="24"/>
      <c r="BE76" s="24"/>
      <c r="BF76" s="24"/>
      <c r="BG76" s="24"/>
      <c r="BH76" s="130"/>
      <c r="BI76" s="24"/>
      <c r="BJ76" s="24"/>
      <c r="BK76" s="24"/>
      <c r="BL76" s="24"/>
      <c r="BM76" s="24"/>
      <c r="BN76" s="24"/>
      <c r="BO76" s="24"/>
      <c r="BP76" s="24"/>
      <c r="BQ76" s="22">
        <f>YEAR([1]!BANCO10[[#This Row],[DATA INÍCIO]])</f>
        <v>2024</v>
      </c>
      <c r="BR76" s="22">
        <f>MONTH([1]!BANCO10[[#This Row],[DATA INÍCIO]])</f>
        <v>7</v>
      </c>
      <c r="BS76" s="23" t="e">
        <f>CONCATENATE(#REF!,#REF!)</f>
        <v>#REF!</v>
      </c>
      <c r="BT76" s="22"/>
      <c r="BU76" s="97" t="s">
        <v>801</v>
      </c>
      <c r="BV76" s="21" t="str">
        <f>IF([1]!BANCO10[[#This Row],[SOLUÇÃO]]=BV$1,[1]!BANCO10[[#This Row],[STATUS DA ETAPA]],"")</f>
        <v>CONCLUÍDO</v>
      </c>
      <c r="BW76" s="21" t="str">
        <f>IF([1]!BANCO10[[#This Row],[SOLUÇÃO]]=BW$1,[1]!BANCO10[[#This Row],[STATUS DA ETAPA]],"")</f>
        <v/>
      </c>
      <c r="BX76" s="21" t="str">
        <f>IF([1]!BANCO10[[#This Row],[SOLUÇÃO]]=BX$1,[1]!BANCO10[[#This Row],[STATUS DA ETAPA]],"")</f>
        <v/>
      </c>
      <c r="BY76" s="21" t="str">
        <f>IF([1]!BANCO10[[#This Row],[SOLUÇÃO]]=BY$1,[1]!BANCO10[[#This Row],[STATUS DA ETAPA]],"")</f>
        <v/>
      </c>
      <c r="BZ76" s="21" t="str">
        <f>IF([1]!BANCO10[[#This Row],[SOLUÇÃO]]=BZ$1,[1]!BANCO10[[#This Row],[STATUS DA ETAPA]],"")</f>
        <v/>
      </c>
      <c r="CA76" s="21" t="str">
        <f>IF([1]!BANCO10[[#This Row],[SOLUÇÃO]]=CA$1,[1]!BANCO10[[#This Row],[STATUS DA ETAPA]],"")</f>
        <v/>
      </c>
      <c r="CB76" s="21" t="str">
        <f>IF([1]!BANCO10[[#This Row],[SOLUÇÃO]]=CB$1,[1]!BANCO10[[#This Row],[STATUS DA ETAPA]],"")</f>
        <v/>
      </c>
      <c r="CC76" s="21" t="str">
        <f>IF([1]!BANCO10[[#This Row],[SOLUÇÃO]]=CC$1,[1]!BANCO10[[#This Row],[STATUS DA ETAPA]],"")</f>
        <v/>
      </c>
      <c r="CD76" s="21" t="str">
        <f>IF([1]!BANCO10[[#This Row],[SOLUÇÃO]]=CD$1,[1]!BANCO10[[#This Row],[STATUS DA ETAPA]],"")</f>
        <v/>
      </c>
      <c r="CE76" s="21" t="str">
        <f>IF([1]!BANCO10[[#This Row],[SOLUÇÃO]]=CE$1,[1]!BANCO10[[#This Row],[STATUS DA ETAPA]],"")</f>
        <v/>
      </c>
      <c r="CF76" s="21" t="str">
        <f>IF([1]!BANCO10[[#This Row],[SOLUÇÃO]]=CF$1,[1]!BANCO10[[#This Row],[STATUS DA ETAPA]],"")</f>
        <v/>
      </c>
      <c r="CG76" s="21" t="str">
        <f>IF([1]!BANCO10[[#This Row],[SOLUÇÃO]]=CG$1,[1]!BANCO10[[#This Row],[STATUS DA ETAPA]],"")</f>
        <v/>
      </c>
      <c r="CH76" s="21" t="str">
        <f>IF([1]!BANCO10[[#This Row],[SOLUÇÃO]]=CH$1,[1]!BANCO10[[#This Row],[STATUS DA ETAPA]],"")</f>
        <v/>
      </c>
      <c r="CI76" s="21" t="str">
        <f>IF([1]!BANCO10[[#This Row],[SOLUÇÃO]]=CI$1,[1]!BANCO10[[#This Row],[STATUS DA ETAPA]],"")</f>
        <v/>
      </c>
      <c r="CJ76" s="21" t="str">
        <f>IF([1]!BANCO10[[#This Row],[SOLUÇÃO]]=CJ$1,[1]!BANCO10[[#This Row],[STATUS DA ETAPA]],"")</f>
        <v/>
      </c>
      <c r="CK76" s="21" t="str">
        <f>IF([1]!BANCO10[[#This Row],[SOLUÇÃO]]=CK$1,[1]!BANCO10[[#This Row],[STATUS DA ETAPA]],"")</f>
        <v/>
      </c>
      <c r="CL76" s="21" t="str">
        <f>IF([1]!BANCO10[[#This Row],[SOLUÇÃO]]=CL$1,[1]!BANCO10[[#This Row],[STATUS DA ETAPA]],"")</f>
        <v/>
      </c>
      <c r="CM76" s="21" t="str">
        <f>IF([1]!BANCO10[[#This Row],[SOLUÇÃO]]=CM$1,[1]!BANCO10[[#This Row],[STATUS DA ETAPA]],"")</f>
        <v/>
      </c>
      <c r="CN76" s="21" t="str">
        <f>IF([1]!BANCO10[[#This Row],[SOLUÇÃO]]=CN$1,[1]!BANCO10[[#This Row],[STATUS DA ETAPA]],"")</f>
        <v/>
      </c>
      <c r="CO76" s="21" t="str">
        <f>IF([1]!BANCO10[[#This Row],[SOLUÇÃO]]=CO$1,[1]!BANCO10[[#This Row],[STATUS DA ETAPA]],"")</f>
        <v/>
      </c>
      <c r="CP76" s="21" t="str">
        <f>IF([1]!BANCO10[[#This Row],[SOLUÇÃO]]=CP$1,[1]!BANCO10[[#This Row],[STATUS DA ETAPA]],"")</f>
        <v/>
      </c>
      <c r="CQ76" s="21" t="str">
        <f>IF([1]!BANCO10[[#This Row],[SOLUÇÃO]]=CQ$1,[1]!BANCO10[[#This Row],[STATUS DA ETAPA]],"")</f>
        <v/>
      </c>
      <c r="CR76" s="21" t="str">
        <f>IF([1]!BANCO10[[#This Row],[SOLUÇÃO]]=CR$1,[1]!BANCO10[[#This Row],[STATUS DA ETAPA]],"")</f>
        <v/>
      </c>
      <c r="CS76" s="21" t="str">
        <f>IF([1]!BANCO10[[#This Row],[SOLUÇÃO]]=CS$1,[1]!BANCO10[[#This Row],[STATUS DA ETAPA]],"")</f>
        <v/>
      </c>
      <c r="CT76" s="21" t="str">
        <f>IF([1]!BANCO10[[#This Row],[SOLUÇÃO]]=CT$1,[1]!BANCO10[[#This Row],[STATUS DA ETAPA]],"")</f>
        <v/>
      </c>
      <c r="CU76" s="21" t="str">
        <f>IF([1]!BANCO10[[#This Row],[SOLUÇÃO]]=CU$1,[1]!BANCO10[[#This Row],[STATUS DA ETAPA]],"")</f>
        <v/>
      </c>
      <c r="CV76" s="21" t="str">
        <f>IF([1]!BANCO10[[#This Row],[SOLUÇÃO]]=CV$1,[1]!BANCO10[[#This Row],[STATUS DA ETAPA]],"")</f>
        <v/>
      </c>
    </row>
    <row r="77" spans="1:100">
      <c r="A77" s="44" t="s">
        <v>2</v>
      </c>
      <c r="B77" s="44">
        <v>45383</v>
      </c>
      <c r="C77" s="44" t="s">
        <v>2</v>
      </c>
      <c r="D77" s="44">
        <v>45383</v>
      </c>
      <c r="E77" s="44" t="s">
        <v>2</v>
      </c>
      <c r="F77" s="44">
        <v>45383</v>
      </c>
      <c r="G77" s="44" t="s">
        <v>2</v>
      </c>
      <c r="H77" s="44">
        <v>45383</v>
      </c>
      <c r="I77" s="45" t="s">
        <v>2</v>
      </c>
      <c r="J77" s="46">
        <v>45536</v>
      </c>
      <c r="K77" s="45" t="s">
        <v>2</v>
      </c>
      <c r="L77" s="33">
        <v>45536</v>
      </c>
      <c r="M77" s="45" t="s">
        <v>2</v>
      </c>
      <c r="N77" s="33">
        <v>45536</v>
      </c>
      <c r="O77" s="44" t="s">
        <v>2</v>
      </c>
      <c r="P77" s="44">
        <v>45475</v>
      </c>
      <c r="Q77" s="44" t="s">
        <v>2</v>
      </c>
      <c r="R77" s="44">
        <v>45478</v>
      </c>
      <c r="S77" s="44" t="s">
        <v>2</v>
      </c>
      <c r="T77" s="44">
        <v>45536</v>
      </c>
      <c r="U77" s="44" t="s">
        <v>1</v>
      </c>
      <c r="V77" s="44"/>
      <c r="W77" s="44" t="s">
        <v>1</v>
      </c>
      <c r="X77" s="44"/>
      <c r="Y77" s="44" t="s">
        <v>1</v>
      </c>
      <c r="Z77" s="44"/>
      <c r="AA77" s="44" t="s">
        <v>1</v>
      </c>
      <c r="AB77" s="44"/>
      <c r="AC77" s="51">
        <v>45538</v>
      </c>
      <c r="AD77" s="50">
        <v>45640</v>
      </c>
      <c r="AE77" s="41" t="s">
        <v>2</v>
      </c>
      <c r="AF77" s="41" t="s">
        <v>2</v>
      </c>
      <c r="AG77" s="40" t="s">
        <v>5</v>
      </c>
      <c r="AH77" s="36" t="s">
        <v>0</v>
      </c>
      <c r="AI77" s="49">
        <v>11020</v>
      </c>
      <c r="AJ77" s="36" t="s">
        <v>6</v>
      </c>
      <c r="AK77" s="10">
        <v>564990</v>
      </c>
      <c r="AL77" s="36" t="s">
        <v>1</v>
      </c>
      <c r="AM77" s="36" t="s">
        <v>1</v>
      </c>
      <c r="AN77" s="35" t="s">
        <v>2</v>
      </c>
      <c r="AO77" s="35" t="s">
        <v>2</v>
      </c>
      <c r="AP77" s="35" t="s">
        <v>2</v>
      </c>
      <c r="AQ77" s="35" t="s">
        <v>2</v>
      </c>
      <c r="AR77" s="45" t="s">
        <v>2</v>
      </c>
      <c r="AS77" s="46">
        <v>45643</v>
      </c>
      <c r="AT77" s="30" t="s">
        <v>1</v>
      </c>
      <c r="AU77" s="31"/>
      <c r="AV77" s="30" t="s">
        <v>1</v>
      </c>
      <c r="AW77" s="31"/>
      <c r="AX77" s="30" t="s">
        <v>2</v>
      </c>
      <c r="AY77" s="31">
        <v>45643</v>
      </c>
      <c r="AZ77" s="30" t="s">
        <v>0</v>
      </c>
      <c r="BA77" s="31"/>
      <c r="BB77" s="74"/>
      <c r="BC77" s="25" t="s">
        <v>45</v>
      </c>
      <c r="BD77" s="24"/>
      <c r="BE77" s="24"/>
      <c r="BF77" s="24"/>
      <c r="BG77" s="24"/>
      <c r="BH77" s="130"/>
      <c r="BI77" s="24"/>
      <c r="BJ77" s="24"/>
      <c r="BK77" s="24"/>
      <c r="BL77" s="24"/>
      <c r="BM77" s="24"/>
      <c r="BN77" s="24"/>
      <c r="BO77" s="24"/>
      <c r="BP77" s="24"/>
      <c r="BQ77" s="22">
        <f>YEAR([1]!BANCO10[[#This Row],[DATA INÍCIO]])</f>
        <v>2024</v>
      </c>
      <c r="BR77" s="22">
        <f>MONTH([1]!BANCO10[[#This Row],[DATA INÍCIO]])</f>
        <v>9</v>
      </c>
      <c r="BS77" s="23" t="e">
        <f>CONCATENATE(#REF!,#REF!)</f>
        <v>#REF!</v>
      </c>
      <c r="BT77" s="22"/>
      <c r="BU77" s="97" t="s">
        <v>800</v>
      </c>
      <c r="BV77" s="21" t="str">
        <f>IF([1]!BANCO10[[#This Row],[SOLUÇÃO]]=BV$1,[1]!BANCO10[[#This Row],[STATUS DA ETAPA]],"")</f>
        <v/>
      </c>
      <c r="BW77" s="21" t="str">
        <f>IF([1]!BANCO10[[#This Row],[SOLUÇÃO]]=BW$1,[1]!BANCO10[[#This Row],[STATUS DA ETAPA]],"")</f>
        <v/>
      </c>
      <c r="BX77" s="21" t="str">
        <f>IF([1]!BANCO10[[#This Row],[SOLUÇÃO]]=BX$1,[1]!BANCO10[[#This Row],[STATUS DA ETAPA]],"")</f>
        <v/>
      </c>
      <c r="BY77" s="21" t="str">
        <f>IF([1]!BANCO10[[#This Row],[SOLUÇÃO]]=BY$1,[1]!BANCO10[[#This Row],[STATUS DA ETAPA]],"")</f>
        <v/>
      </c>
      <c r="BZ77" s="21" t="str">
        <f>IF([1]!BANCO10[[#This Row],[SOLUÇÃO]]=BZ$1,[1]!BANCO10[[#This Row],[STATUS DA ETAPA]],"")</f>
        <v/>
      </c>
      <c r="CA77" s="21" t="str">
        <f>IF([1]!BANCO10[[#This Row],[SOLUÇÃO]]=CA$1,[1]!BANCO10[[#This Row],[STATUS DA ETAPA]],"")</f>
        <v/>
      </c>
      <c r="CB77" s="21" t="str">
        <f>IF([1]!BANCO10[[#This Row],[SOLUÇÃO]]=CB$1,[1]!BANCO10[[#This Row],[STATUS DA ETAPA]],"")</f>
        <v>CONCLUÍDO</v>
      </c>
      <c r="CC77" s="21" t="str">
        <f>IF([1]!BANCO10[[#This Row],[SOLUÇÃO]]=CC$1,[1]!BANCO10[[#This Row],[STATUS DA ETAPA]],"")</f>
        <v/>
      </c>
      <c r="CD77" s="21" t="str">
        <f>IF([1]!BANCO10[[#This Row],[SOLUÇÃO]]=CD$1,[1]!BANCO10[[#This Row],[STATUS DA ETAPA]],"")</f>
        <v/>
      </c>
      <c r="CE77" s="21" t="str">
        <f>IF([1]!BANCO10[[#This Row],[SOLUÇÃO]]=CE$1,[1]!BANCO10[[#This Row],[STATUS DA ETAPA]],"")</f>
        <v/>
      </c>
      <c r="CF77" s="21" t="str">
        <f>IF([1]!BANCO10[[#This Row],[SOLUÇÃO]]=CF$1,[1]!BANCO10[[#This Row],[STATUS DA ETAPA]],"")</f>
        <v/>
      </c>
      <c r="CG77" s="21" t="str">
        <f>IF([1]!BANCO10[[#This Row],[SOLUÇÃO]]=CG$1,[1]!BANCO10[[#This Row],[STATUS DA ETAPA]],"")</f>
        <v/>
      </c>
      <c r="CH77" s="21" t="str">
        <f>IF([1]!BANCO10[[#This Row],[SOLUÇÃO]]=CH$1,[1]!BANCO10[[#This Row],[STATUS DA ETAPA]],"")</f>
        <v/>
      </c>
      <c r="CI77" s="21" t="str">
        <f>IF([1]!BANCO10[[#This Row],[SOLUÇÃO]]=CI$1,[1]!BANCO10[[#This Row],[STATUS DA ETAPA]],"")</f>
        <v/>
      </c>
      <c r="CJ77" s="21" t="str">
        <f>IF([1]!BANCO10[[#This Row],[SOLUÇÃO]]=CJ$1,[1]!BANCO10[[#This Row],[STATUS DA ETAPA]],"")</f>
        <v/>
      </c>
      <c r="CK77" s="21" t="str">
        <f>IF([1]!BANCO10[[#This Row],[SOLUÇÃO]]=CK$1,[1]!BANCO10[[#This Row],[STATUS DA ETAPA]],"")</f>
        <v/>
      </c>
      <c r="CL77" s="21" t="str">
        <f>IF([1]!BANCO10[[#This Row],[SOLUÇÃO]]=CL$1,[1]!BANCO10[[#This Row],[STATUS DA ETAPA]],"")</f>
        <v/>
      </c>
      <c r="CM77" s="21" t="str">
        <f>IF([1]!BANCO10[[#This Row],[SOLUÇÃO]]=CM$1,[1]!BANCO10[[#This Row],[STATUS DA ETAPA]],"")</f>
        <v/>
      </c>
      <c r="CN77" s="21" t="str">
        <f>IF([1]!BANCO10[[#This Row],[SOLUÇÃO]]=CN$1,[1]!BANCO10[[#This Row],[STATUS DA ETAPA]],"")</f>
        <v/>
      </c>
      <c r="CO77" s="21" t="str">
        <f>IF([1]!BANCO10[[#This Row],[SOLUÇÃO]]=CO$1,[1]!BANCO10[[#This Row],[STATUS DA ETAPA]],"")</f>
        <v/>
      </c>
      <c r="CP77" s="21" t="str">
        <f>IF([1]!BANCO10[[#This Row],[SOLUÇÃO]]=CP$1,[1]!BANCO10[[#This Row],[STATUS DA ETAPA]],"")</f>
        <v/>
      </c>
      <c r="CQ77" s="21" t="str">
        <f>IF([1]!BANCO10[[#This Row],[SOLUÇÃO]]=CQ$1,[1]!BANCO10[[#This Row],[STATUS DA ETAPA]],"")</f>
        <v/>
      </c>
      <c r="CR77" s="21" t="str">
        <f>IF([1]!BANCO10[[#This Row],[SOLUÇÃO]]=CR$1,[1]!BANCO10[[#This Row],[STATUS DA ETAPA]],"")</f>
        <v/>
      </c>
      <c r="CS77" s="21" t="str">
        <f>IF([1]!BANCO10[[#This Row],[SOLUÇÃO]]=CS$1,[1]!BANCO10[[#This Row],[STATUS DA ETAPA]],"")</f>
        <v/>
      </c>
      <c r="CT77" s="21" t="str">
        <f>IF([1]!BANCO10[[#This Row],[SOLUÇÃO]]=CT$1,[1]!BANCO10[[#This Row],[STATUS DA ETAPA]],"")</f>
        <v/>
      </c>
      <c r="CU77" s="21" t="str">
        <f>IF([1]!BANCO10[[#This Row],[SOLUÇÃO]]=CU$1,[1]!BANCO10[[#This Row],[STATUS DA ETAPA]],"")</f>
        <v/>
      </c>
      <c r="CV77" s="21" t="str">
        <f>IF([1]!BANCO10[[#This Row],[SOLUÇÃO]]=CV$1,[1]!BANCO10[[#This Row],[STATUS DA ETAPA]],"")</f>
        <v/>
      </c>
    </row>
    <row r="78" spans="1:100">
      <c r="A78" s="44" t="s">
        <v>2</v>
      </c>
      <c r="B78" s="44">
        <v>45383</v>
      </c>
      <c r="C78" s="44" t="s">
        <v>2</v>
      </c>
      <c r="D78" s="44">
        <v>45383</v>
      </c>
      <c r="E78" s="44" t="s">
        <v>2</v>
      </c>
      <c r="F78" s="44">
        <v>45383</v>
      </c>
      <c r="G78" s="44" t="s">
        <v>2</v>
      </c>
      <c r="H78" s="44">
        <v>45383</v>
      </c>
      <c r="I78" s="45" t="s">
        <v>2</v>
      </c>
      <c r="J78" s="46">
        <v>45536</v>
      </c>
      <c r="K78" s="45" t="s">
        <v>2</v>
      </c>
      <c r="L78" s="33">
        <v>45536</v>
      </c>
      <c r="M78" s="45" t="s">
        <v>2</v>
      </c>
      <c r="N78" s="33">
        <v>45536</v>
      </c>
      <c r="O78" s="44" t="s">
        <v>2</v>
      </c>
      <c r="P78" s="44">
        <v>45475</v>
      </c>
      <c r="Q78" s="44" t="s">
        <v>2</v>
      </c>
      <c r="R78" s="44">
        <v>45478</v>
      </c>
      <c r="S78" s="44" t="s">
        <v>2</v>
      </c>
      <c r="T78" s="44">
        <v>45536</v>
      </c>
      <c r="U78" s="44" t="s">
        <v>1</v>
      </c>
      <c r="V78" s="44"/>
      <c r="W78" s="44" t="s">
        <v>1</v>
      </c>
      <c r="X78" s="44"/>
      <c r="Y78" s="44" t="s">
        <v>1</v>
      </c>
      <c r="Z78" s="44"/>
      <c r="AA78" s="44" t="s">
        <v>1</v>
      </c>
      <c r="AB78" s="44"/>
      <c r="AC78" s="51">
        <v>45538</v>
      </c>
      <c r="AD78" s="50">
        <v>45640</v>
      </c>
      <c r="AE78" s="41" t="s">
        <v>2</v>
      </c>
      <c r="AF78" s="41" t="s">
        <v>2</v>
      </c>
      <c r="AG78" s="40" t="s">
        <v>5</v>
      </c>
      <c r="AH78" s="36" t="s">
        <v>0</v>
      </c>
      <c r="AI78" s="49">
        <v>11020</v>
      </c>
      <c r="AJ78" s="36" t="s">
        <v>6</v>
      </c>
      <c r="AK78" s="10">
        <v>564990</v>
      </c>
      <c r="AL78" s="36" t="s">
        <v>1</v>
      </c>
      <c r="AM78" s="36" t="s">
        <v>1</v>
      </c>
      <c r="AN78" s="35" t="s">
        <v>2</v>
      </c>
      <c r="AO78" s="35" t="s">
        <v>2</v>
      </c>
      <c r="AP78" s="35" t="s">
        <v>2</v>
      </c>
      <c r="AQ78" s="35" t="s">
        <v>2</v>
      </c>
      <c r="AR78" s="45" t="s">
        <v>2</v>
      </c>
      <c r="AS78" s="46">
        <v>45643</v>
      </c>
      <c r="AT78" s="30" t="s">
        <v>1</v>
      </c>
      <c r="AU78" s="31"/>
      <c r="AV78" s="30" t="s">
        <v>1</v>
      </c>
      <c r="AW78" s="31"/>
      <c r="AX78" s="30" t="s">
        <v>2</v>
      </c>
      <c r="AY78" s="31">
        <v>45643</v>
      </c>
      <c r="AZ78" s="30" t="s">
        <v>1</v>
      </c>
      <c r="BA78" s="31"/>
      <c r="BB78" s="74"/>
      <c r="BC78" s="25" t="s">
        <v>45</v>
      </c>
      <c r="BD78" s="24"/>
      <c r="BE78" s="24"/>
      <c r="BF78" s="24"/>
      <c r="BG78" s="24"/>
      <c r="BH78" s="130"/>
      <c r="BI78" s="24"/>
      <c r="BJ78" s="24"/>
      <c r="BK78" s="24"/>
      <c r="BL78" s="24"/>
      <c r="BM78" s="24"/>
      <c r="BN78" s="24"/>
      <c r="BO78" s="24"/>
      <c r="BP78" s="24"/>
      <c r="BQ78" s="22">
        <f>YEAR([1]!BANCO10[[#This Row],[DATA INÍCIO]])</f>
        <v>2024</v>
      </c>
      <c r="BR78" s="22">
        <f>MONTH([1]!BANCO10[[#This Row],[DATA INÍCIO]])</f>
        <v>9</v>
      </c>
      <c r="BS78" s="23" t="e">
        <f>CONCATENATE(#REF!,#REF!)</f>
        <v>#REF!</v>
      </c>
      <c r="BT78" s="22"/>
      <c r="BU78" s="97" t="s">
        <v>800</v>
      </c>
      <c r="BV78" s="21" t="str">
        <f>IF([1]!BANCO10[[#This Row],[SOLUÇÃO]]=BV$1,[1]!BANCO10[[#This Row],[STATUS DA ETAPA]],"")</f>
        <v/>
      </c>
      <c r="BW78" s="21" t="str">
        <f>IF([1]!BANCO10[[#This Row],[SOLUÇÃO]]=BW$1,[1]!BANCO10[[#This Row],[STATUS DA ETAPA]],"")</f>
        <v/>
      </c>
      <c r="BX78" s="21" t="str">
        <f>IF([1]!BANCO10[[#This Row],[SOLUÇÃO]]=BX$1,[1]!BANCO10[[#This Row],[STATUS DA ETAPA]],"")</f>
        <v/>
      </c>
      <c r="BY78" s="21" t="str">
        <f>IF([1]!BANCO10[[#This Row],[SOLUÇÃO]]=BY$1,[1]!BANCO10[[#This Row],[STATUS DA ETAPA]],"")</f>
        <v/>
      </c>
      <c r="BZ78" s="21" t="str">
        <f>IF([1]!BANCO10[[#This Row],[SOLUÇÃO]]=BZ$1,[1]!BANCO10[[#This Row],[STATUS DA ETAPA]],"")</f>
        <v/>
      </c>
      <c r="CA78" s="21" t="str">
        <f>IF([1]!BANCO10[[#This Row],[SOLUÇÃO]]=CA$1,[1]!BANCO10[[#This Row],[STATUS DA ETAPA]],"")</f>
        <v/>
      </c>
      <c r="CB78" s="21" t="str">
        <f>IF([1]!BANCO10[[#This Row],[SOLUÇÃO]]=CB$1,[1]!BANCO10[[#This Row],[STATUS DA ETAPA]],"")</f>
        <v>CONCLUÍDO</v>
      </c>
      <c r="CC78" s="21" t="str">
        <f>IF([1]!BANCO10[[#This Row],[SOLUÇÃO]]=CC$1,[1]!BANCO10[[#This Row],[STATUS DA ETAPA]],"")</f>
        <v/>
      </c>
      <c r="CD78" s="21" t="str">
        <f>IF([1]!BANCO10[[#This Row],[SOLUÇÃO]]=CD$1,[1]!BANCO10[[#This Row],[STATUS DA ETAPA]],"")</f>
        <v/>
      </c>
      <c r="CE78" s="21" t="str">
        <f>IF([1]!BANCO10[[#This Row],[SOLUÇÃO]]=CE$1,[1]!BANCO10[[#This Row],[STATUS DA ETAPA]],"")</f>
        <v/>
      </c>
      <c r="CF78" s="21" t="str">
        <f>IF([1]!BANCO10[[#This Row],[SOLUÇÃO]]=CF$1,[1]!BANCO10[[#This Row],[STATUS DA ETAPA]],"")</f>
        <v/>
      </c>
      <c r="CG78" s="21" t="str">
        <f>IF([1]!BANCO10[[#This Row],[SOLUÇÃO]]=CG$1,[1]!BANCO10[[#This Row],[STATUS DA ETAPA]],"")</f>
        <v/>
      </c>
      <c r="CH78" s="21" t="str">
        <f>IF([1]!BANCO10[[#This Row],[SOLUÇÃO]]=CH$1,[1]!BANCO10[[#This Row],[STATUS DA ETAPA]],"")</f>
        <v/>
      </c>
      <c r="CI78" s="21" t="str">
        <f>IF([1]!BANCO10[[#This Row],[SOLUÇÃO]]=CI$1,[1]!BANCO10[[#This Row],[STATUS DA ETAPA]],"")</f>
        <v/>
      </c>
      <c r="CJ78" s="21" t="str">
        <f>IF([1]!BANCO10[[#This Row],[SOLUÇÃO]]=CJ$1,[1]!BANCO10[[#This Row],[STATUS DA ETAPA]],"")</f>
        <v/>
      </c>
      <c r="CK78" s="21" t="str">
        <f>IF([1]!BANCO10[[#This Row],[SOLUÇÃO]]=CK$1,[1]!BANCO10[[#This Row],[STATUS DA ETAPA]],"")</f>
        <v/>
      </c>
      <c r="CL78" s="21" t="str">
        <f>IF([1]!BANCO10[[#This Row],[SOLUÇÃO]]=CL$1,[1]!BANCO10[[#This Row],[STATUS DA ETAPA]],"")</f>
        <v/>
      </c>
      <c r="CM78" s="21" t="str">
        <f>IF([1]!BANCO10[[#This Row],[SOLUÇÃO]]=CM$1,[1]!BANCO10[[#This Row],[STATUS DA ETAPA]],"")</f>
        <v/>
      </c>
      <c r="CN78" s="21" t="str">
        <f>IF([1]!BANCO10[[#This Row],[SOLUÇÃO]]=CN$1,[1]!BANCO10[[#This Row],[STATUS DA ETAPA]],"")</f>
        <v/>
      </c>
      <c r="CO78" s="21" t="str">
        <f>IF([1]!BANCO10[[#This Row],[SOLUÇÃO]]=CO$1,[1]!BANCO10[[#This Row],[STATUS DA ETAPA]],"")</f>
        <v/>
      </c>
      <c r="CP78" s="21" t="str">
        <f>IF([1]!BANCO10[[#This Row],[SOLUÇÃO]]=CP$1,[1]!BANCO10[[#This Row],[STATUS DA ETAPA]],"")</f>
        <v/>
      </c>
      <c r="CQ78" s="21" t="str">
        <f>IF([1]!BANCO10[[#This Row],[SOLUÇÃO]]=CQ$1,[1]!BANCO10[[#This Row],[STATUS DA ETAPA]],"")</f>
        <v/>
      </c>
      <c r="CR78" s="21" t="str">
        <f>IF([1]!BANCO10[[#This Row],[SOLUÇÃO]]=CR$1,[1]!BANCO10[[#This Row],[STATUS DA ETAPA]],"")</f>
        <v/>
      </c>
      <c r="CS78" s="21" t="str">
        <f>IF([1]!BANCO10[[#This Row],[SOLUÇÃO]]=CS$1,[1]!BANCO10[[#This Row],[STATUS DA ETAPA]],"")</f>
        <v/>
      </c>
      <c r="CT78" s="21" t="str">
        <f>IF([1]!BANCO10[[#This Row],[SOLUÇÃO]]=CT$1,[1]!BANCO10[[#This Row],[STATUS DA ETAPA]],"")</f>
        <v/>
      </c>
      <c r="CU78" s="21" t="str">
        <f>IF([1]!BANCO10[[#This Row],[SOLUÇÃO]]=CU$1,[1]!BANCO10[[#This Row],[STATUS DA ETAPA]],"")</f>
        <v/>
      </c>
      <c r="CV78" s="21" t="str">
        <f>IF([1]!BANCO10[[#This Row],[SOLUÇÃO]]=CV$1,[1]!BANCO10[[#This Row],[STATUS DA ETAPA]],"")</f>
        <v/>
      </c>
    </row>
    <row r="79" spans="1:100">
      <c r="A79" s="44" t="s">
        <v>1</v>
      </c>
      <c r="B79" s="44"/>
      <c r="C79" s="44" t="s">
        <v>1</v>
      </c>
      <c r="D79" s="44"/>
      <c r="E79" s="44" t="s">
        <v>1</v>
      </c>
      <c r="F79" s="44"/>
      <c r="G79" s="44" t="s">
        <v>1</v>
      </c>
      <c r="H79" s="44"/>
      <c r="I79" s="45" t="s">
        <v>0</v>
      </c>
      <c r="J79" s="46"/>
      <c r="K79" s="45" t="s">
        <v>0</v>
      </c>
      <c r="L79" s="33"/>
      <c r="M79" s="45" t="s">
        <v>0</v>
      </c>
      <c r="N79" s="33"/>
      <c r="O79" s="44"/>
      <c r="P79" s="44"/>
      <c r="Q79" s="44" t="s">
        <v>1</v>
      </c>
      <c r="R79" s="44"/>
      <c r="S79" s="44"/>
      <c r="T79" s="44"/>
      <c r="U79" s="44"/>
      <c r="V79" s="44"/>
      <c r="W79" s="44"/>
      <c r="X79" s="44"/>
      <c r="Y79" s="44"/>
      <c r="Z79" s="44"/>
      <c r="AA79" s="44"/>
      <c r="AB79" s="44"/>
      <c r="AC79" s="51">
        <v>45636</v>
      </c>
      <c r="AD79" s="50">
        <v>45636</v>
      </c>
      <c r="AE79" s="41" t="s">
        <v>1</v>
      </c>
      <c r="AF79" s="41" t="s">
        <v>1</v>
      </c>
      <c r="AG79" s="40" t="s">
        <v>4</v>
      </c>
      <c r="AH79" s="36" t="s">
        <v>0</v>
      </c>
      <c r="AI79" s="49">
        <v>0</v>
      </c>
      <c r="AJ79" s="36" t="s">
        <v>1</v>
      </c>
      <c r="AK79" s="10" t="s">
        <v>1</v>
      </c>
      <c r="AL79" s="36" t="s">
        <v>1</v>
      </c>
      <c r="AM79" s="36" t="s">
        <v>1</v>
      </c>
      <c r="AN79" s="35" t="s">
        <v>1</v>
      </c>
      <c r="AO79" s="35" t="s">
        <v>1</v>
      </c>
      <c r="AP79" s="35" t="s">
        <v>1</v>
      </c>
      <c r="AQ79" s="35" t="s">
        <v>2</v>
      </c>
      <c r="AR79" s="45" t="s">
        <v>0</v>
      </c>
      <c r="AS79" s="46"/>
      <c r="AT79" s="30" t="s">
        <v>0</v>
      </c>
      <c r="AU79" s="31"/>
      <c r="AV79" s="30" t="s">
        <v>0</v>
      </c>
      <c r="AW79" s="31"/>
      <c r="AX79" s="30" t="s">
        <v>0</v>
      </c>
      <c r="AY79" s="29"/>
      <c r="AZ79" s="28" t="s">
        <v>0</v>
      </c>
      <c r="BA79" s="27"/>
      <c r="BB79" s="26"/>
      <c r="BC79" s="25"/>
      <c r="BD79" s="24"/>
      <c r="BE79" s="24"/>
      <c r="BF79" s="24"/>
      <c r="BG79" s="24"/>
      <c r="BH79" s="24"/>
      <c r="BI79" s="24"/>
      <c r="BJ79" s="24"/>
      <c r="BK79" s="24"/>
      <c r="BL79" s="24"/>
      <c r="BM79" s="24"/>
      <c r="BN79" s="24"/>
      <c r="BO79" s="24"/>
      <c r="BP79" s="24"/>
      <c r="BQ79" s="22">
        <f>YEAR([1]!BANCO10[[#This Row],[DATA INÍCIO]])</f>
        <v>2024</v>
      </c>
      <c r="BR79" s="22">
        <f>MONTH([1]!BANCO10[[#This Row],[DATA INÍCIO]])</f>
        <v>12</v>
      </c>
      <c r="BS79" s="23" t="e">
        <f>CONCATENATE(#REF!,#REF!)</f>
        <v>#REF!</v>
      </c>
      <c r="BT79" s="22"/>
      <c r="BU79" s="22"/>
      <c r="BV79" s="21" t="str">
        <f>IF([1]!BANCO10[[#This Row],[SOLUÇÃO]]=BV$1,[1]!BANCO10[[#This Row],[STATUS DA ETAPA]],"")</f>
        <v/>
      </c>
      <c r="BW79" s="21" t="str">
        <f>IF([1]!BANCO10[[#This Row],[SOLUÇÃO]]=BW$1,[1]!BANCO10[[#This Row],[STATUS DA ETAPA]],"")</f>
        <v/>
      </c>
      <c r="BX79" s="21" t="str">
        <f>IF([1]!BANCO10[[#This Row],[SOLUÇÃO]]=BX$1,[1]!BANCO10[[#This Row],[STATUS DA ETAPA]],"")</f>
        <v/>
      </c>
      <c r="BY79" s="21" t="str">
        <f>IF([1]!BANCO10[[#This Row],[SOLUÇÃO]]=BY$1,[1]!BANCO10[[#This Row],[STATUS DA ETAPA]],"")</f>
        <v/>
      </c>
      <c r="BZ79" s="21" t="str">
        <f>IF([1]!BANCO10[[#This Row],[SOLUÇÃO]]=BZ$1,[1]!BANCO10[[#This Row],[STATUS DA ETAPA]],"")</f>
        <v/>
      </c>
      <c r="CA79" s="21" t="str">
        <f>IF([1]!BANCO10[[#This Row],[SOLUÇÃO]]=CA$1,[1]!BANCO10[[#This Row],[STATUS DA ETAPA]],"")</f>
        <v/>
      </c>
      <c r="CB79" s="21" t="str">
        <f>IF([1]!BANCO10[[#This Row],[SOLUÇÃO]]=CB$1,[1]!BANCO10[[#This Row],[STATUS DA ETAPA]],"")</f>
        <v/>
      </c>
      <c r="CC79" s="21" t="str">
        <f>IF([1]!BANCO10[[#This Row],[SOLUÇÃO]]=CC$1,[1]!BANCO10[[#This Row],[STATUS DA ETAPA]],"")</f>
        <v/>
      </c>
      <c r="CD79" s="21" t="str">
        <f>IF([1]!BANCO10[[#This Row],[SOLUÇÃO]]=CD$1,[1]!BANCO10[[#This Row],[STATUS DA ETAPA]],"")</f>
        <v/>
      </c>
      <c r="CE79" s="21" t="str">
        <f>IF([1]!BANCO10[[#This Row],[SOLUÇÃO]]=CE$1,[1]!BANCO10[[#This Row],[STATUS DA ETAPA]],"")</f>
        <v/>
      </c>
      <c r="CF79" s="21" t="str">
        <f>IF([1]!BANCO10[[#This Row],[SOLUÇÃO]]=CF$1,[1]!BANCO10[[#This Row],[STATUS DA ETAPA]],"")</f>
        <v/>
      </c>
      <c r="CG79" s="21" t="str">
        <f>IF([1]!BANCO10[[#This Row],[SOLUÇÃO]]=CG$1,[1]!BANCO10[[#This Row],[STATUS DA ETAPA]],"")</f>
        <v/>
      </c>
      <c r="CH79" s="21" t="str">
        <f>IF([1]!BANCO10[[#This Row],[SOLUÇÃO]]=CH$1,[1]!BANCO10[[#This Row],[STATUS DA ETAPA]],"")</f>
        <v/>
      </c>
      <c r="CI79" s="21" t="str">
        <f>IF([1]!BANCO10[[#This Row],[SOLUÇÃO]]=CI$1,[1]!BANCO10[[#This Row],[STATUS DA ETAPA]],"")</f>
        <v/>
      </c>
      <c r="CJ79" s="21" t="str">
        <f>IF([1]!BANCO10[[#This Row],[SOLUÇÃO]]=CJ$1,[1]!BANCO10[[#This Row],[STATUS DA ETAPA]],"")</f>
        <v/>
      </c>
      <c r="CK79" s="21" t="str">
        <f>IF([1]!BANCO10[[#This Row],[SOLUÇÃO]]=CK$1,[1]!BANCO10[[#This Row],[STATUS DA ETAPA]],"")</f>
        <v/>
      </c>
      <c r="CL79" s="21" t="str">
        <f>IF([1]!BANCO10[[#This Row],[SOLUÇÃO]]=CL$1,[1]!BANCO10[[#This Row],[STATUS DA ETAPA]],"")</f>
        <v/>
      </c>
      <c r="CM79" s="21" t="str">
        <f>IF([1]!BANCO10[[#This Row],[SOLUÇÃO]]=CM$1,[1]!BANCO10[[#This Row],[STATUS DA ETAPA]],"")</f>
        <v/>
      </c>
      <c r="CN79" s="21" t="str">
        <f>IF([1]!BANCO10[[#This Row],[SOLUÇÃO]]=CN$1,[1]!BANCO10[[#This Row],[STATUS DA ETAPA]],"")</f>
        <v/>
      </c>
      <c r="CO79" s="21" t="str">
        <f>IF([1]!BANCO10[[#This Row],[SOLUÇÃO]]=CO$1,[1]!BANCO10[[#This Row],[STATUS DA ETAPA]],"")</f>
        <v/>
      </c>
      <c r="CP79" s="21" t="str">
        <f>IF([1]!BANCO10[[#This Row],[SOLUÇÃO]]=CP$1,[1]!BANCO10[[#This Row],[STATUS DA ETAPA]],"")</f>
        <v/>
      </c>
      <c r="CQ79" s="21" t="str">
        <f>IF([1]!BANCO10[[#This Row],[SOLUÇÃO]]=CQ$1,[1]!BANCO10[[#This Row],[STATUS DA ETAPA]],"")</f>
        <v/>
      </c>
      <c r="CR79" s="21" t="str">
        <f>IF([1]!BANCO10[[#This Row],[SOLUÇÃO]]=CR$1,[1]!BANCO10[[#This Row],[STATUS DA ETAPA]],"")</f>
        <v/>
      </c>
      <c r="CS79" s="21" t="str">
        <f>IF([1]!BANCO10[[#This Row],[SOLUÇÃO]]=CS$1,[1]!BANCO10[[#This Row],[STATUS DA ETAPA]],"")</f>
        <v/>
      </c>
      <c r="CT79" s="21" t="str">
        <f>IF([1]!BANCO10[[#This Row],[SOLUÇÃO]]=CT$1,[1]!BANCO10[[#This Row],[STATUS DA ETAPA]],"")</f>
        <v/>
      </c>
      <c r="CU79" s="21" t="str">
        <f>IF([1]!BANCO10[[#This Row],[SOLUÇÃO]]=CU$1,[1]!BANCO10[[#This Row],[STATUS DA ETAPA]],"")</f>
        <v/>
      </c>
      <c r="CV79" s="21" t="str">
        <f>IF([1]!BANCO10[[#This Row],[SOLUÇÃO]]=CV$1,[1]!BANCO10[[#This Row],[STATUS DA ETAPA]],"")</f>
        <v/>
      </c>
    </row>
    <row r="80" spans="1:100">
      <c r="A80" s="44" t="s">
        <v>1</v>
      </c>
      <c r="B80" s="44"/>
      <c r="C80" s="44" t="s">
        <v>1</v>
      </c>
      <c r="D80" s="44"/>
      <c r="E80" s="44" t="s">
        <v>1</v>
      </c>
      <c r="F80" s="44"/>
      <c r="G80" s="44" t="s">
        <v>1</v>
      </c>
      <c r="H80" s="44"/>
      <c r="I80" s="45" t="s">
        <v>1</v>
      </c>
      <c r="J80" s="46"/>
      <c r="K80" s="45" t="s">
        <v>1</v>
      </c>
      <c r="L80" s="33"/>
      <c r="M80" s="45" t="s">
        <v>1</v>
      </c>
      <c r="N80" s="33"/>
      <c r="O80" s="44" t="s">
        <v>2</v>
      </c>
      <c r="P80" s="44">
        <v>45106</v>
      </c>
      <c r="Q80" s="44" t="s">
        <v>2</v>
      </c>
      <c r="R80" s="44">
        <v>45168</v>
      </c>
      <c r="S80" s="44"/>
      <c r="T80" s="44"/>
      <c r="U80" s="44" t="s">
        <v>1</v>
      </c>
      <c r="V80" s="44"/>
      <c r="W80" s="44" t="s">
        <v>1</v>
      </c>
      <c r="X80" s="44"/>
      <c r="Y80" s="44" t="s">
        <v>1</v>
      </c>
      <c r="Z80" s="44"/>
      <c r="AA80" s="44" t="s">
        <v>1</v>
      </c>
      <c r="AB80" s="44"/>
      <c r="AC80" s="51">
        <v>45963</v>
      </c>
      <c r="AD80" s="50">
        <v>45963</v>
      </c>
      <c r="AE80" s="41"/>
      <c r="AF80" s="41"/>
      <c r="AG80" s="76" t="s">
        <v>5</v>
      </c>
      <c r="AH80" s="36" t="s">
        <v>0</v>
      </c>
      <c r="AI80" s="49">
        <v>0</v>
      </c>
      <c r="AJ80" s="36"/>
      <c r="AK80" s="10" t="s">
        <v>30</v>
      </c>
      <c r="AL80" s="36" t="s">
        <v>30</v>
      </c>
      <c r="AM80" s="36" t="s">
        <v>30</v>
      </c>
      <c r="AN80" s="35" t="s">
        <v>1</v>
      </c>
      <c r="AO80" s="35" t="s">
        <v>1</v>
      </c>
      <c r="AP80" s="35"/>
      <c r="AQ80" s="35" t="s">
        <v>1</v>
      </c>
      <c r="AR80" s="45" t="s">
        <v>1</v>
      </c>
      <c r="AS80" s="46"/>
      <c r="AT80" s="32"/>
      <c r="AU80" s="31"/>
      <c r="AV80" s="32"/>
      <c r="AW80" s="31"/>
      <c r="AX80" s="30" t="s">
        <v>0</v>
      </c>
      <c r="AY80" s="29"/>
      <c r="AZ80" s="28" t="s">
        <v>0</v>
      </c>
      <c r="BA80" s="27"/>
      <c r="BB80" s="74"/>
      <c r="BC80" s="25"/>
      <c r="BD80" s="24" t="s">
        <v>11</v>
      </c>
      <c r="BE80" s="24" t="s">
        <v>11</v>
      </c>
      <c r="BF80" s="24" t="s">
        <v>19</v>
      </c>
      <c r="BG80" s="24" t="s">
        <v>11</v>
      </c>
      <c r="BH80" s="130" t="s">
        <v>19</v>
      </c>
      <c r="BI80" s="24"/>
      <c r="BJ80" s="24" t="s">
        <v>11</v>
      </c>
      <c r="BK80" s="24" t="s">
        <v>11</v>
      </c>
      <c r="BL80" s="24">
        <v>45402</v>
      </c>
      <c r="BM80" s="24"/>
      <c r="BN80" s="24" t="s">
        <v>11</v>
      </c>
      <c r="BO80" s="24"/>
      <c r="BP80" s="24" t="s">
        <v>799</v>
      </c>
      <c r="BQ80" s="22">
        <f>YEAR([1]!BANCO10[[#This Row],[DATA INÍCIO]])</f>
        <v>2025</v>
      </c>
      <c r="BR80" s="22">
        <f>MONTH([1]!BANCO10[[#This Row],[DATA INÍCIO]])</f>
        <v>11</v>
      </c>
      <c r="BS80" s="129" t="e">
        <f>CONCATENATE(#REF!,#REF!)</f>
        <v>#REF!</v>
      </c>
      <c r="BT80" s="22"/>
      <c r="BU80" s="21" t="s">
        <v>30</v>
      </c>
      <c r="BV80" s="21" t="str">
        <f>IF([1]!BANCO10[[#This Row],[SOLUÇÃO]]=BV$1,[1]!BANCO10[[#This Row],[STATUS DA ETAPA]],"")</f>
        <v/>
      </c>
      <c r="BW80" s="21" t="str">
        <f>IF([1]!BANCO10[[#This Row],[SOLUÇÃO]]=BW$1,[1]!BANCO10[[#This Row],[STATUS DA ETAPA]],"")</f>
        <v/>
      </c>
      <c r="BX80" s="21" t="str">
        <f>IF([1]!BANCO10[[#This Row],[SOLUÇÃO]]=BX$1,[1]!BANCO10[[#This Row],[STATUS DA ETAPA]],"")</f>
        <v/>
      </c>
      <c r="BY80" s="21" t="str">
        <f>IF([1]!BANCO10[[#This Row],[SOLUÇÃO]]=BY$1,[1]!BANCO10[[#This Row],[STATUS DA ETAPA]],"")</f>
        <v/>
      </c>
      <c r="BZ80" s="21" t="str">
        <f>IF([1]!BANCO10[[#This Row],[SOLUÇÃO]]=BZ$1,[1]!BANCO10[[#This Row],[STATUS DA ETAPA]],"")</f>
        <v/>
      </c>
      <c r="CA80" s="21" t="str">
        <f>IF([1]!BANCO10[[#This Row],[SOLUÇÃO]]=CA$1,[1]!BANCO10[[#This Row],[STATUS DA ETAPA]],"")</f>
        <v/>
      </c>
      <c r="CB80" s="21" t="str">
        <f>IF([1]!BANCO10[[#This Row],[SOLUÇÃO]]=CB$1,[1]!BANCO10[[#This Row],[STATUS DA ETAPA]],"")</f>
        <v/>
      </c>
      <c r="CC80" s="21" t="str">
        <f>IF([1]!BANCO10[[#This Row],[SOLUÇÃO]]=CC$1,[1]!BANCO10[[#This Row],[STATUS DA ETAPA]],"")</f>
        <v/>
      </c>
      <c r="CD80" s="21" t="str">
        <f>IF([1]!BANCO10[[#This Row],[SOLUÇÃO]]=CD$1,[1]!BANCO10[[#This Row],[STATUS DA ETAPA]],"")</f>
        <v/>
      </c>
      <c r="CE80" s="21" t="str">
        <f>IF([1]!BANCO10[[#This Row],[SOLUÇÃO]]=CE$1,[1]!BANCO10[[#This Row],[STATUS DA ETAPA]],"")</f>
        <v/>
      </c>
      <c r="CF80" s="21" t="str">
        <f>IF([1]!BANCO10[[#This Row],[SOLUÇÃO]]=CF$1,[1]!BANCO10[[#This Row],[STATUS DA ETAPA]],"")</f>
        <v/>
      </c>
      <c r="CG80" s="21" t="str">
        <f>IF([1]!BANCO10[[#This Row],[SOLUÇÃO]]=CG$1,[1]!BANCO10[[#This Row],[STATUS DA ETAPA]],"")</f>
        <v/>
      </c>
      <c r="CH80" s="21" t="str">
        <f>IF([1]!BANCO10[[#This Row],[SOLUÇÃO]]=CH$1,[1]!BANCO10[[#This Row],[STATUS DA ETAPA]],"")</f>
        <v/>
      </c>
      <c r="CI80" s="21" t="str">
        <f>IF([1]!BANCO10[[#This Row],[SOLUÇÃO]]=CI$1,[1]!BANCO10[[#This Row],[STATUS DA ETAPA]],"")</f>
        <v/>
      </c>
      <c r="CJ80" s="21" t="str">
        <f>IF([1]!BANCO10[[#This Row],[SOLUÇÃO]]=CJ$1,[1]!BANCO10[[#This Row],[STATUS DA ETAPA]],"")</f>
        <v/>
      </c>
      <c r="CK80" s="21" t="str">
        <f>IF([1]!BANCO10[[#This Row],[SOLUÇÃO]]=CK$1,[1]!BANCO10[[#This Row],[STATUS DA ETAPA]],"")</f>
        <v/>
      </c>
      <c r="CL80" s="21" t="str">
        <f>IF([1]!BANCO10[[#This Row],[SOLUÇÃO]]=CL$1,[1]!BANCO10[[#This Row],[STATUS DA ETAPA]],"")</f>
        <v/>
      </c>
      <c r="CM80" s="21" t="str">
        <f>IF([1]!BANCO10[[#This Row],[SOLUÇÃO]]=CM$1,[1]!BANCO10[[#This Row],[STATUS DA ETAPA]],"")</f>
        <v/>
      </c>
      <c r="CN80" s="21" t="str">
        <f>IF([1]!BANCO10[[#This Row],[SOLUÇÃO]]=CN$1,[1]!BANCO10[[#This Row],[STATUS DA ETAPA]],"")</f>
        <v>PROSPECÇÃO</v>
      </c>
      <c r="CO80" s="21" t="str">
        <f>IF([1]!BANCO10[[#This Row],[SOLUÇÃO]]=CO$1,[1]!BANCO10[[#This Row],[STATUS DA ETAPA]],"")</f>
        <v/>
      </c>
      <c r="CP80" s="21" t="str">
        <f>IF([1]!BANCO10[[#This Row],[SOLUÇÃO]]=CP$1,[1]!BANCO10[[#This Row],[STATUS DA ETAPA]],"")</f>
        <v/>
      </c>
      <c r="CQ80" s="21" t="str">
        <f>IF([1]!BANCO10[[#This Row],[SOLUÇÃO]]=CQ$1,[1]!BANCO10[[#This Row],[STATUS DA ETAPA]],"")</f>
        <v/>
      </c>
      <c r="CR80" s="21" t="str">
        <f>IF([1]!BANCO10[[#This Row],[SOLUÇÃO]]=CR$1,[1]!BANCO10[[#This Row],[STATUS DA ETAPA]],"")</f>
        <v/>
      </c>
      <c r="CS80" s="21" t="str">
        <f>IF([1]!BANCO10[[#This Row],[SOLUÇÃO]]=CS$1,[1]!BANCO10[[#This Row],[STATUS DA ETAPA]],"")</f>
        <v/>
      </c>
      <c r="CT80" s="21" t="str">
        <f>IF([1]!BANCO10[[#This Row],[SOLUÇÃO]]=CT$1,[1]!BANCO10[[#This Row],[STATUS DA ETAPA]],"")</f>
        <v/>
      </c>
      <c r="CU80" s="21" t="str">
        <f>IF([1]!BANCO10[[#This Row],[SOLUÇÃO]]=CU$1,[1]!BANCO10[[#This Row],[STATUS DA ETAPA]],"")</f>
        <v/>
      </c>
      <c r="CV80" s="21" t="str">
        <f>IF([1]!BANCO10[[#This Row],[SOLUÇÃO]]=CV$1,[1]!BANCO10[[#This Row],[STATUS DA ETAPA]],"")</f>
        <v/>
      </c>
    </row>
    <row r="81" spans="1:100">
      <c r="A81" s="44" t="s">
        <v>1</v>
      </c>
      <c r="B81" s="44"/>
      <c r="C81" s="44" t="s">
        <v>1</v>
      </c>
      <c r="D81" s="44"/>
      <c r="E81" s="44" t="s">
        <v>1</v>
      </c>
      <c r="F81" s="44"/>
      <c r="G81" s="44" t="s">
        <v>1</v>
      </c>
      <c r="H81" s="44"/>
      <c r="I81" s="45" t="s">
        <v>1</v>
      </c>
      <c r="J81" s="46"/>
      <c r="K81" s="45" t="s">
        <v>1</v>
      </c>
      <c r="L81" s="33"/>
      <c r="M81" s="45" t="s">
        <v>1</v>
      </c>
      <c r="N81" s="33"/>
      <c r="O81" s="44" t="s">
        <v>2</v>
      </c>
      <c r="P81" s="44">
        <v>44749</v>
      </c>
      <c r="Q81" s="44" t="s">
        <v>0</v>
      </c>
      <c r="R81" s="44"/>
      <c r="S81" s="44" t="s">
        <v>1</v>
      </c>
      <c r="T81" s="44"/>
      <c r="U81" s="44" t="s">
        <v>1</v>
      </c>
      <c r="V81" s="44"/>
      <c r="W81" s="44" t="s">
        <v>1</v>
      </c>
      <c r="X81" s="44"/>
      <c r="Y81" s="44" t="s">
        <v>1</v>
      </c>
      <c r="Z81" s="44"/>
      <c r="AA81" s="44" t="s">
        <v>1</v>
      </c>
      <c r="AB81" s="44"/>
      <c r="AC81" s="51">
        <v>44748</v>
      </c>
      <c r="AD81" s="50">
        <v>44748</v>
      </c>
      <c r="AE81" s="40" t="s">
        <v>1</v>
      </c>
      <c r="AF81" s="40" t="s">
        <v>1</v>
      </c>
      <c r="AG81" s="76" t="s">
        <v>5</v>
      </c>
      <c r="AH81" s="36" t="s">
        <v>1</v>
      </c>
      <c r="AI81" s="49">
        <v>0</v>
      </c>
      <c r="AJ81" s="36" t="s">
        <v>1</v>
      </c>
      <c r="AK81" s="10" t="s">
        <v>1</v>
      </c>
      <c r="AL81" s="36" t="s">
        <v>1</v>
      </c>
      <c r="AM81" s="36" t="s">
        <v>1</v>
      </c>
      <c r="AN81" s="35" t="s">
        <v>1</v>
      </c>
      <c r="AO81" s="35" t="s">
        <v>1</v>
      </c>
      <c r="AP81" s="35" t="s">
        <v>1</v>
      </c>
      <c r="AQ81" s="35" t="s">
        <v>1</v>
      </c>
      <c r="AR81" s="171" t="s">
        <v>1</v>
      </c>
      <c r="AS81" s="46"/>
      <c r="AT81" s="32" t="s">
        <v>1</v>
      </c>
      <c r="AU81" s="31"/>
      <c r="AV81" s="32" t="s">
        <v>1</v>
      </c>
      <c r="AW81" s="31"/>
      <c r="AX81" s="30" t="s">
        <v>1</v>
      </c>
      <c r="AY81" s="55"/>
      <c r="AZ81" s="30" t="s">
        <v>1</v>
      </c>
      <c r="BA81" s="55"/>
      <c r="BB81" s="74"/>
      <c r="BC81" s="25"/>
      <c r="BD81" s="24" t="s">
        <v>11</v>
      </c>
      <c r="BE81" s="24" t="s">
        <v>11</v>
      </c>
      <c r="BF81" s="24" t="s">
        <v>136</v>
      </c>
      <c r="BG81" s="24" t="s">
        <v>11</v>
      </c>
      <c r="BH81" s="130" t="s">
        <v>797</v>
      </c>
      <c r="BI81" s="24" t="s">
        <v>136</v>
      </c>
      <c r="BJ81" s="24" t="s">
        <v>11</v>
      </c>
      <c r="BK81" s="24" t="s">
        <v>11</v>
      </c>
      <c r="BL81" s="24" t="s">
        <v>11</v>
      </c>
      <c r="BM81" s="24" t="s">
        <v>11</v>
      </c>
      <c r="BN81" s="24" t="s">
        <v>11</v>
      </c>
      <c r="BO81" s="24" t="s">
        <v>11</v>
      </c>
      <c r="BP81" s="24" t="s">
        <v>11</v>
      </c>
      <c r="BQ81" s="22">
        <f>YEAR([1]!BANCO10[[#This Row],[DATA INÍCIO]])</f>
        <v>2022</v>
      </c>
      <c r="BR81" s="22">
        <f>MONTH([1]!BANCO10[[#This Row],[DATA INÍCIO]])</f>
        <v>7</v>
      </c>
      <c r="BS81" s="129" t="e">
        <f>CONCATENATE(#REF!,#REF!)</f>
        <v>#REF!</v>
      </c>
      <c r="BT81" s="22"/>
      <c r="BU81" s="21" t="s">
        <v>798</v>
      </c>
      <c r="BV81" s="21" t="str">
        <f>IF([1]!BANCO10[[#This Row],[SOLUÇÃO]]=BV$1,[1]!BANCO10[[#This Row],[STATUS DA ETAPA]],"")</f>
        <v>CONCLUÍDO</v>
      </c>
      <c r="BW81" s="21" t="str">
        <f>IF([1]!BANCO10[[#This Row],[SOLUÇÃO]]=BW$1,[1]!BANCO10[[#This Row],[STATUS DA ETAPA]],"")</f>
        <v/>
      </c>
      <c r="BX81" s="21" t="str">
        <f>IF([1]!BANCO10[[#This Row],[SOLUÇÃO]]=BX$1,[1]!BANCO10[[#This Row],[STATUS DA ETAPA]],"")</f>
        <v/>
      </c>
      <c r="BY81" s="21" t="str">
        <f>IF([1]!BANCO10[[#This Row],[SOLUÇÃO]]=BY$1,[1]!BANCO10[[#This Row],[STATUS DA ETAPA]],"")</f>
        <v/>
      </c>
      <c r="BZ81" s="21" t="str">
        <f>IF([1]!BANCO10[[#This Row],[SOLUÇÃO]]=BZ$1,[1]!BANCO10[[#This Row],[STATUS DA ETAPA]],"")</f>
        <v/>
      </c>
      <c r="CA81" s="21" t="str">
        <f>IF([1]!BANCO10[[#This Row],[SOLUÇÃO]]=CA$1,[1]!BANCO10[[#This Row],[STATUS DA ETAPA]],"")</f>
        <v/>
      </c>
      <c r="CB81" s="21" t="str">
        <f>IF([1]!BANCO10[[#This Row],[SOLUÇÃO]]=CB$1,[1]!BANCO10[[#This Row],[STATUS DA ETAPA]],"")</f>
        <v/>
      </c>
      <c r="CC81" s="21" t="str">
        <f>IF([1]!BANCO10[[#This Row],[SOLUÇÃO]]=CC$1,[1]!BANCO10[[#This Row],[STATUS DA ETAPA]],"")</f>
        <v/>
      </c>
      <c r="CD81" s="21" t="str">
        <f>IF([1]!BANCO10[[#This Row],[SOLUÇÃO]]=CD$1,[1]!BANCO10[[#This Row],[STATUS DA ETAPA]],"")</f>
        <v/>
      </c>
      <c r="CE81" s="21" t="str">
        <f>IF([1]!BANCO10[[#This Row],[SOLUÇÃO]]=CE$1,[1]!BANCO10[[#This Row],[STATUS DA ETAPA]],"")</f>
        <v/>
      </c>
      <c r="CF81" s="21" t="str">
        <f>IF([1]!BANCO10[[#This Row],[SOLUÇÃO]]=CF$1,[1]!BANCO10[[#This Row],[STATUS DA ETAPA]],"")</f>
        <v/>
      </c>
      <c r="CG81" s="21" t="str">
        <f>IF([1]!BANCO10[[#This Row],[SOLUÇÃO]]=CG$1,[1]!BANCO10[[#This Row],[STATUS DA ETAPA]],"")</f>
        <v/>
      </c>
      <c r="CH81" s="21" t="str">
        <f>IF([1]!BANCO10[[#This Row],[SOLUÇÃO]]=CH$1,[1]!BANCO10[[#This Row],[STATUS DA ETAPA]],"")</f>
        <v/>
      </c>
      <c r="CI81" s="21" t="str">
        <f>IF([1]!BANCO10[[#This Row],[SOLUÇÃO]]=CI$1,[1]!BANCO10[[#This Row],[STATUS DA ETAPA]],"")</f>
        <v/>
      </c>
      <c r="CJ81" s="21" t="str">
        <f>IF([1]!BANCO10[[#This Row],[SOLUÇÃO]]=CJ$1,[1]!BANCO10[[#This Row],[STATUS DA ETAPA]],"")</f>
        <v/>
      </c>
      <c r="CK81" s="21" t="str">
        <f>IF([1]!BANCO10[[#This Row],[SOLUÇÃO]]=CK$1,[1]!BANCO10[[#This Row],[STATUS DA ETAPA]],"")</f>
        <v/>
      </c>
      <c r="CL81" s="21" t="str">
        <f>IF([1]!BANCO10[[#This Row],[SOLUÇÃO]]=CL$1,[1]!BANCO10[[#This Row],[STATUS DA ETAPA]],"")</f>
        <v/>
      </c>
      <c r="CM81" s="21" t="str">
        <f>IF([1]!BANCO10[[#This Row],[SOLUÇÃO]]=CM$1,[1]!BANCO10[[#This Row],[STATUS DA ETAPA]],"")</f>
        <v/>
      </c>
      <c r="CN81" s="21" t="str">
        <f>IF([1]!BANCO10[[#This Row],[SOLUÇÃO]]=CN$1,[1]!BANCO10[[#This Row],[STATUS DA ETAPA]],"")</f>
        <v/>
      </c>
      <c r="CO81" s="21" t="str">
        <f>IF([1]!BANCO10[[#This Row],[SOLUÇÃO]]=CO$1,[1]!BANCO10[[#This Row],[STATUS DA ETAPA]],"")</f>
        <v/>
      </c>
      <c r="CP81" s="21" t="str">
        <f>IF([1]!BANCO10[[#This Row],[SOLUÇÃO]]=CP$1,[1]!BANCO10[[#This Row],[STATUS DA ETAPA]],"")</f>
        <v/>
      </c>
      <c r="CQ81" s="21" t="str">
        <f>IF([1]!BANCO10[[#This Row],[SOLUÇÃO]]=CQ$1,[1]!BANCO10[[#This Row],[STATUS DA ETAPA]],"")</f>
        <v/>
      </c>
      <c r="CR81" s="21" t="str">
        <f>IF([1]!BANCO10[[#This Row],[SOLUÇÃO]]=CR$1,[1]!BANCO10[[#This Row],[STATUS DA ETAPA]],"")</f>
        <v/>
      </c>
      <c r="CS81" s="21" t="str">
        <f>IF([1]!BANCO10[[#This Row],[SOLUÇÃO]]=CS$1,[1]!BANCO10[[#This Row],[STATUS DA ETAPA]],"")</f>
        <v/>
      </c>
      <c r="CT81" s="21" t="str">
        <f>IF([1]!BANCO10[[#This Row],[SOLUÇÃO]]=CT$1,[1]!BANCO10[[#This Row],[STATUS DA ETAPA]],"")</f>
        <v/>
      </c>
      <c r="CU81" s="21" t="str">
        <f>IF([1]!BANCO10[[#This Row],[SOLUÇÃO]]=CU$1,[1]!BANCO10[[#This Row],[STATUS DA ETAPA]],"")</f>
        <v/>
      </c>
      <c r="CV81" s="21" t="str">
        <f>IF([1]!BANCO10[[#This Row],[SOLUÇÃO]]=CV$1,[1]!BANCO10[[#This Row],[STATUS DA ETAPA]],"")</f>
        <v/>
      </c>
    </row>
    <row r="82" spans="1:100">
      <c r="A82" s="44" t="s">
        <v>1</v>
      </c>
      <c r="B82" s="44"/>
      <c r="C82" s="44" t="s">
        <v>1</v>
      </c>
      <c r="D82" s="44"/>
      <c r="E82" s="44" t="s">
        <v>1</v>
      </c>
      <c r="F82" s="44"/>
      <c r="G82" s="44" t="s">
        <v>1</v>
      </c>
      <c r="H82" s="44"/>
      <c r="I82" s="45" t="s">
        <v>1</v>
      </c>
      <c r="J82" s="46"/>
      <c r="K82" s="45" t="s">
        <v>1</v>
      </c>
      <c r="L82" s="33"/>
      <c r="M82" s="45" t="s">
        <v>1</v>
      </c>
      <c r="N82" s="33"/>
      <c r="O82" s="44" t="s">
        <v>2</v>
      </c>
      <c r="P82" s="44">
        <v>44749</v>
      </c>
      <c r="Q82" s="44" t="s">
        <v>2</v>
      </c>
      <c r="R82" s="44">
        <v>44751</v>
      </c>
      <c r="S82" s="44" t="s">
        <v>1</v>
      </c>
      <c r="T82" s="44"/>
      <c r="U82" s="44" t="s">
        <v>2</v>
      </c>
      <c r="V82" s="44">
        <v>44751</v>
      </c>
      <c r="W82" s="44" t="s">
        <v>2</v>
      </c>
      <c r="X82" s="44"/>
      <c r="Y82" s="44" t="s">
        <v>2</v>
      </c>
      <c r="Z82" s="44">
        <v>44751</v>
      </c>
      <c r="AA82" s="44" t="s">
        <v>2</v>
      </c>
      <c r="AB82" s="44"/>
      <c r="AC82" s="51">
        <v>44981</v>
      </c>
      <c r="AD82" s="50">
        <v>45070</v>
      </c>
      <c r="AE82" s="40" t="s">
        <v>2</v>
      </c>
      <c r="AF82" s="40" t="s">
        <v>2</v>
      </c>
      <c r="AG82" s="76" t="s">
        <v>5</v>
      </c>
      <c r="AH82" s="36" t="s">
        <v>0</v>
      </c>
      <c r="AI82" s="49">
        <v>0</v>
      </c>
      <c r="AJ82" s="36"/>
      <c r="AK82" s="10"/>
      <c r="AL82" s="36">
        <v>4731</v>
      </c>
      <c r="AM82" s="36" t="s">
        <v>1</v>
      </c>
      <c r="AN82" s="35" t="s">
        <v>1</v>
      </c>
      <c r="AO82" s="35" t="s">
        <v>1</v>
      </c>
      <c r="AP82" s="35" t="s">
        <v>2</v>
      </c>
      <c r="AQ82" s="35" t="s">
        <v>1</v>
      </c>
      <c r="AR82" s="45" t="s">
        <v>1</v>
      </c>
      <c r="AS82" s="46"/>
      <c r="AT82" s="32" t="s">
        <v>1</v>
      </c>
      <c r="AU82" s="31"/>
      <c r="AV82" s="32" t="s">
        <v>1</v>
      </c>
      <c r="AW82" s="31"/>
      <c r="AX82" s="30" t="s">
        <v>2</v>
      </c>
      <c r="AY82" s="55">
        <v>45079</v>
      </c>
      <c r="AZ82" s="30" t="s">
        <v>2</v>
      </c>
      <c r="BA82" s="55"/>
      <c r="BB82" s="74"/>
      <c r="BC82" s="25"/>
      <c r="BD82" s="24" t="s">
        <v>11</v>
      </c>
      <c r="BE82" s="24" t="s">
        <v>11</v>
      </c>
      <c r="BF82" s="24" t="s">
        <v>136</v>
      </c>
      <c r="BG82" s="24" t="s">
        <v>11</v>
      </c>
      <c r="BH82" s="130" t="s">
        <v>797</v>
      </c>
      <c r="BI82" s="24" t="s">
        <v>136</v>
      </c>
      <c r="BJ82" s="24" t="s">
        <v>11</v>
      </c>
      <c r="BK82" s="24" t="s">
        <v>11</v>
      </c>
      <c r="BL82" s="24">
        <v>45412</v>
      </c>
      <c r="BM82" s="24" t="s">
        <v>18</v>
      </c>
      <c r="BN82" s="24" t="s">
        <v>11</v>
      </c>
      <c r="BO82" s="24"/>
      <c r="BP82" s="24" t="s">
        <v>796</v>
      </c>
      <c r="BQ82" s="22">
        <f>YEAR([1]!BANCO10[[#This Row],[DATA INÍCIO]])</f>
        <v>2023</v>
      </c>
      <c r="BR82" s="22">
        <f>MONTH([1]!BANCO10[[#This Row],[DATA INÍCIO]])</f>
        <v>2</v>
      </c>
      <c r="BS82" s="129" t="e">
        <f>CONCATENATE(#REF!,#REF!)</f>
        <v>#REF!</v>
      </c>
      <c r="BT82" s="22"/>
      <c r="BU82" s="21" t="s">
        <v>795</v>
      </c>
      <c r="BV82" s="21" t="str">
        <f>IF([1]!BANCO10[[#This Row],[SOLUÇÃO]]=BV$1,[1]!BANCO10[[#This Row],[STATUS DA ETAPA]],"")</f>
        <v/>
      </c>
      <c r="BW82" s="21" t="str">
        <f>IF([1]!BANCO10[[#This Row],[SOLUÇÃO]]=BW$1,[1]!BANCO10[[#This Row],[STATUS DA ETAPA]],"")</f>
        <v/>
      </c>
      <c r="BX82" s="21" t="str">
        <f>IF([1]!BANCO10[[#This Row],[SOLUÇÃO]]=BX$1,[1]!BANCO10[[#This Row],[STATUS DA ETAPA]],"")</f>
        <v/>
      </c>
      <c r="BY82" s="21" t="str">
        <f>IF([1]!BANCO10[[#This Row],[SOLUÇÃO]]=BY$1,[1]!BANCO10[[#This Row],[STATUS DA ETAPA]],"")</f>
        <v/>
      </c>
      <c r="BZ82" s="21" t="str">
        <f>IF([1]!BANCO10[[#This Row],[SOLUÇÃO]]=BZ$1,[1]!BANCO10[[#This Row],[STATUS DA ETAPA]],"")</f>
        <v/>
      </c>
      <c r="CA82" s="21" t="str">
        <f>IF([1]!BANCO10[[#This Row],[SOLUÇÃO]]=CA$1,[1]!BANCO10[[#This Row],[STATUS DA ETAPA]],"")</f>
        <v>CONCLUÍDO</v>
      </c>
      <c r="CB82" s="21" t="str">
        <f>IF([1]!BANCO10[[#This Row],[SOLUÇÃO]]=CB$1,[1]!BANCO10[[#This Row],[STATUS DA ETAPA]],"")</f>
        <v/>
      </c>
      <c r="CC82" s="21" t="str">
        <f>IF([1]!BANCO10[[#This Row],[SOLUÇÃO]]=CC$1,[1]!BANCO10[[#This Row],[STATUS DA ETAPA]],"")</f>
        <v/>
      </c>
      <c r="CD82" s="21" t="str">
        <f>IF([1]!BANCO10[[#This Row],[SOLUÇÃO]]=CD$1,[1]!BANCO10[[#This Row],[STATUS DA ETAPA]],"")</f>
        <v/>
      </c>
      <c r="CE82" s="21" t="str">
        <f>IF([1]!BANCO10[[#This Row],[SOLUÇÃO]]=CE$1,[1]!BANCO10[[#This Row],[STATUS DA ETAPA]],"")</f>
        <v/>
      </c>
      <c r="CF82" s="21" t="str">
        <f>IF([1]!BANCO10[[#This Row],[SOLUÇÃO]]=CF$1,[1]!BANCO10[[#This Row],[STATUS DA ETAPA]],"")</f>
        <v/>
      </c>
      <c r="CG82" s="21" t="str">
        <f>IF([1]!BANCO10[[#This Row],[SOLUÇÃO]]=CG$1,[1]!BANCO10[[#This Row],[STATUS DA ETAPA]],"")</f>
        <v/>
      </c>
      <c r="CH82" s="21" t="str">
        <f>IF([1]!BANCO10[[#This Row],[SOLUÇÃO]]=CH$1,[1]!BANCO10[[#This Row],[STATUS DA ETAPA]],"")</f>
        <v/>
      </c>
      <c r="CI82" s="21" t="str">
        <f>IF([1]!BANCO10[[#This Row],[SOLUÇÃO]]=CI$1,[1]!BANCO10[[#This Row],[STATUS DA ETAPA]],"")</f>
        <v/>
      </c>
      <c r="CJ82" s="21" t="str">
        <f>IF([1]!BANCO10[[#This Row],[SOLUÇÃO]]=CJ$1,[1]!BANCO10[[#This Row],[STATUS DA ETAPA]],"")</f>
        <v/>
      </c>
      <c r="CK82" s="21" t="str">
        <f>IF([1]!BANCO10[[#This Row],[SOLUÇÃO]]=CK$1,[1]!BANCO10[[#This Row],[STATUS DA ETAPA]],"")</f>
        <v/>
      </c>
      <c r="CL82" s="21" t="str">
        <f>IF([1]!BANCO10[[#This Row],[SOLUÇÃO]]=CL$1,[1]!BANCO10[[#This Row],[STATUS DA ETAPA]],"")</f>
        <v/>
      </c>
      <c r="CM82" s="21" t="str">
        <f>IF([1]!BANCO10[[#This Row],[SOLUÇÃO]]=CM$1,[1]!BANCO10[[#This Row],[STATUS DA ETAPA]],"")</f>
        <v/>
      </c>
      <c r="CN82" s="21" t="str">
        <f>IF([1]!BANCO10[[#This Row],[SOLUÇÃO]]=CN$1,[1]!BANCO10[[#This Row],[STATUS DA ETAPA]],"")</f>
        <v/>
      </c>
      <c r="CO82" s="21" t="str">
        <f>IF([1]!BANCO10[[#This Row],[SOLUÇÃO]]=CO$1,[1]!BANCO10[[#This Row],[STATUS DA ETAPA]],"")</f>
        <v/>
      </c>
      <c r="CP82" s="21" t="str">
        <f>IF([1]!BANCO10[[#This Row],[SOLUÇÃO]]=CP$1,[1]!BANCO10[[#This Row],[STATUS DA ETAPA]],"")</f>
        <v/>
      </c>
      <c r="CQ82" s="21" t="str">
        <f>IF([1]!BANCO10[[#This Row],[SOLUÇÃO]]=CQ$1,[1]!BANCO10[[#This Row],[STATUS DA ETAPA]],"")</f>
        <v/>
      </c>
      <c r="CR82" s="21" t="str">
        <f>IF([1]!BANCO10[[#This Row],[SOLUÇÃO]]=CR$1,[1]!BANCO10[[#This Row],[STATUS DA ETAPA]],"")</f>
        <v/>
      </c>
      <c r="CS82" s="21" t="str">
        <f>IF([1]!BANCO10[[#This Row],[SOLUÇÃO]]=CS$1,[1]!BANCO10[[#This Row],[STATUS DA ETAPA]],"")</f>
        <v/>
      </c>
      <c r="CT82" s="21" t="str">
        <f>IF([1]!BANCO10[[#This Row],[SOLUÇÃO]]=CT$1,[1]!BANCO10[[#This Row],[STATUS DA ETAPA]],"")</f>
        <v/>
      </c>
      <c r="CU82" s="21" t="str">
        <f>IF([1]!BANCO10[[#This Row],[SOLUÇÃO]]=CU$1,[1]!BANCO10[[#This Row],[STATUS DA ETAPA]],"")</f>
        <v/>
      </c>
      <c r="CV82" s="21" t="str">
        <f>IF([1]!BANCO10[[#This Row],[SOLUÇÃO]]=CV$1,[1]!BANCO10[[#This Row],[STATUS DA ETAPA]],"")</f>
        <v/>
      </c>
    </row>
    <row r="83" spans="1:100">
      <c r="A83" s="44" t="s">
        <v>2</v>
      </c>
      <c r="B83" s="44">
        <v>45883</v>
      </c>
      <c r="C83" s="44" t="s">
        <v>2</v>
      </c>
      <c r="D83" s="44">
        <v>45902</v>
      </c>
      <c r="E83" s="44" t="s">
        <v>2</v>
      </c>
      <c r="F83" s="44">
        <v>45902</v>
      </c>
      <c r="G83" s="44" t="s">
        <v>2</v>
      </c>
      <c r="H83" s="44">
        <v>45902</v>
      </c>
      <c r="I83" s="45" t="s">
        <v>2</v>
      </c>
      <c r="J83" s="46">
        <v>45901</v>
      </c>
      <c r="K83" s="45" t="s">
        <v>2</v>
      </c>
      <c r="L83" s="33"/>
      <c r="M83" s="45" t="s">
        <v>2</v>
      </c>
      <c r="N83" s="33"/>
      <c r="O83" s="44" t="s">
        <v>1</v>
      </c>
      <c r="P83" s="44"/>
      <c r="Q83" s="44" t="s">
        <v>1</v>
      </c>
      <c r="R83" s="44"/>
      <c r="S83" s="44" t="s">
        <v>2</v>
      </c>
      <c r="T83" s="44">
        <v>45708</v>
      </c>
      <c r="U83" s="44" t="s">
        <v>1</v>
      </c>
      <c r="V83" s="44"/>
      <c r="W83" s="44" t="s">
        <v>1</v>
      </c>
      <c r="X83" s="44"/>
      <c r="Y83" s="44" t="s">
        <v>1</v>
      </c>
      <c r="Z83" s="44"/>
      <c r="AA83" s="44" t="s">
        <v>1</v>
      </c>
      <c r="AB83" s="44"/>
      <c r="AC83" s="51">
        <v>46022</v>
      </c>
      <c r="AD83" s="50">
        <v>46022</v>
      </c>
      <c r="AE83" s="41" t="s">
        <v>0</v>
      </c>
      <c r="AF83" s="41" t="s">
        <v>0</v>
      </c>
      <c r="AG83" s="40" t="s">
        <v>5</v>
      </c>
      <c r="AH83" s="36" t="s">
        <v>0</v>
      </c>
      <c r="AI83" s="49">
        <v>20140</v>
      </c>
      <c r="AJ83" s="36" t="s">
        <v>3</v>
      </c>
      <c r="AK83" s="21">
        <v>711245</v>
      </c>
      <c r="AL83" s="36" t="s">
        <v>1</v>
      </c>
      <c r="AM83" s="36" t="s">
        <v>1</v>
      </c>
      <c r="AN83" s="35" t="s">
        <v>0</v>
      </c>
      <c r="AO83" s="35" t="s">
        <v>0</v>
      </c>
      <c r="AP83" s="35" t="s">
        <v>0</v>
      </c>
      <c r="AQ83" s="35" t="s">
        <v>0</v>
      </c>
      <c r="AR83" s="45" t="s">
        <v>0</v>
      </c>
      <c r="AS83" s="46"/>
      <c r="AT83" s="32" t="s">
        <v>0</v>
      </c>
      <c r="AU83" s="31"/>
      <c r="AV83" s="32" t="s">
        <v>0</v>
      </c>
      <c r="AW83" s="31"/>
      <c r="AX83" s="32" t="s">
        <v>0</v>
      </c>
      <c r="AY83" s="31"/>
      <c r="AZ83" s="32" t="s">
        <v>0</v>
      </c>
      <c r="BA83" s="31"/>
      <c r="BB83" s="26" t="s">
        <v>491</v>
      </c>
      <c r="BC83" s="25" t="s">
        <v>601</v>
      </c>
      <c r="BD83" s="24"/>
      <c r="BE83" s="24"/>
      <c r="BF83" s="24"/>
      <c r="BG83" s="24"/>
      <c r="BH83" s="24"/>
      <c r="BI83" s="24"/>
      <c r="BJ83" s="24"/>
      <c r="BK83" s="24"/>
      <c r="BL83" s="24"/>
      <c r="BM83" s="24"/>
      <c r="BN83" s="24"/>
      <c r="BO83" s="24"/>
      <c r="BP83" s="24"/>
      <c r="BQ83" s="22">
        <f>YEAR([1]!BANCO10[[#This Row],[DATA INÍCIO]])</f>
        <v>2025</v>
      </c>
      <c r="BR83" s="22">
        <f>MONTH([1]!BANCO10[[#This Row],[DATA INÍCIO]])</f>
        <v>12</v>
      </c>
      <c r="BS83" s="23" t="e">
        <f>CONCATENATE(#REF!,#REF!)</f>
        <v>#REF!</v>
      </c>
      <c r="BT83" s="22"/>
      <c r="BU83" s="22"/>
      <c r="BV83" s="21" t="str">
        <f>IF([1]!BANCO10[[#This Row],[SOLUÇÃO]]=BV$1,[1]!BANCO10[[#This Row],[STATUS DA ETAPA]],"")</f>
        <v/>
      </c>
      <c r="BW83" s="21" t="str">
        <f>IF([1]!BANCO10[[#This Row],[SOLUÇÃO]]=BW$1,[1]!BANCO10[[#This Row],[STATUS DA ETAPA]],"")</f>
        <v/>
      </c>
      <c r="BX83" s="21" t="str">
        <f>IF([1]!BANCO10[[#This Row],[SOLUÇÃO]]=BX$1,[1]!BANCO10[[#This Row],[STATUS DA ETAPA]],"")</f>
        <v/>
      </c>
      <c r="BY83" s="21" t="str">
        <f>IF([1]!BANCO10[[#This Row],[SOLUÇÃO]]=BY$1,[1]!BANCO10[[#This Row],[STATUS DA ETAPA]],"")</f>
        <v/>
      </c>
      <c r="BZ83" s="21" t="str">
        <f>IF([1]!BANCO10[[#This Row],[SOLUÇÃO]]=BZ$1,[1]!BANCO10[[#This Row],[STATUS DA ETAPA]],"")</f>
        <v/>
      </c>
      <c r="CA83" s="21" t="str">
        <f>IF([1]!BANCO10[[#This Row],[SOLUÇÃO]]=CA$1,[1]!BANCO10[[#This Row],[STATUS DA ETAPA]],"")</f>
        <v/>
      </c>
      <c r="CB83" s="21" t="str">
        <f>IF([1]!BANCO10[[#This Row],[SOLUÇÃO]]=CB$1,[1]!BANCO10[[#This Row],[STATUS DA ETAPA]],"")</f>
        <v>AGUARDANDO SALDO</v>
      </c>
      <c r="CC83" s="21" t="str">
        <f>IF([1]!BANCO10[[#This Row],[SOLUÇÃO]]=CC$1,[1]!BANCO10[[#This Row],[STATUS DA ETAPA]],"")</f>
        <v/>
      </c>
      <c r="CD83" s="21" t="str">
        <f>IF([1]!BANCO10[[#This Row],[SOLUÇÃO]]=CD$1,[1]!BANCO10[[#This Row],[STATUS DA ETAPA]],"")</f>
        <v/>
      </c>
      <c r="CE83" s="21" t="str">
        <f>IF([1]!BANCO10[[#This Row],[SOLUÇÃO]]=CE$1,[1]!BANCO10[[#This Row],[STATUS DA ETAPA]],"")</f>
        <v/>
      </c>
      <c r="CF83" s="21" t="str">
        <f>IF([1]!BANCO10[[#This Row],[SOLUÇÃO]]=CF$1,[1]!BANCO10[[#This Row],[STATUS DA ETAPA]],"")</f>
        <v/>
      </c>
      <c r="CG83" s="21" t="str">
        <f>IF([1]!BANCO10[[#This Row],[SOLUÇÃO]]=CG$1,[1]!BANCO10[[#This Row],[STATUS DA ETAPA]],"")</f>
        <v/>
      </c>
      <c r="CH83" s="21" t="str">
        <f>IF([1]!BANCO10[[#This Row],[SOLUÇÃO]]=CH$1,[1]!BANCO10[[#This Row],[STATUS DA ETAPA]],"")</f>
        <v/>
      </c>
      <c r="CI83" s="21" t="str">
        <f>IF([1]!BANCO10[[#This Row],[SOLUÇÃO]]=CI$1,[1]!BANCO10[[#This Row],[STATUS DA ETAPA]],"")</f>
        <v/>
      </c>
      <c r="CJ83" s="21" t="str">
        <f>IF([1]!BANCO10[[#This Row],[SOLUÇÃO]]=CJ$1,[1]!BANCO10[[#This Row],[STATUS DA ETAPA]],"")</f>
        <v/>
      </c>
      <c r="CK83" s="21" t="str">
        <f>IF([1]!BANCO10[[#This Row],[SOLUÇÃO]]=CK$1,[1]!BANCO10[[#This Row],[STATUS DA ETAPA]],"")</f>
        <v/>
      </c>
      <c r="CL83" s="21" t="str">
        <f>IF([1]!BANCO10[[#This Row],[SOLUÇÃO]]=CL$1,[1]!BANCO10[[#This Row],[STATUS DA ETAPA]],"")</f>
        <v/>
      </c>
      <c r="CM83" s="21" t="str">
        <f>IF([1]!BANCO10[[#This Row],[SOLUÇÃO]]=CM$1,[1]!BANCO10[[#This Row],[STATUS DA ETAPA]],"")</f>
        <v/>
      </c>
      <c r="CN83" s="21" t="str">
        <f>IF([1]!BANCO10[[#This Row],[SOLUÇÃO]]=CN$1,[1]!BANCO10[[#This Row],[STATUS DA ETAPA]],"")</f>
        <v/>
      </c>
      <c r="CO83" s="21" t="str">
        <f>IF([1]!BANCO10[[#This Row],[SOLUÇÃO]]=CO$1,[1]!BANCO10[[#This Row],[STATUS DA ETAPA]],"")</f>
        <v/>
      </c>
      <c r="CP83" s="21" t="str">
        <f>IF([1]!BANCO10[[#This Row],[SOLUÇÃO]]=CP$1,[1]!BANCO10[[#This Row],[STATUS DA ETAPA]],"")</f>
        <v/>
      </c>
      <c r="CQ83" s="21" t="str">
        <f>IF([1]!BANCO10[[#This Row],[SOLUÇÃO]]=CQ$1,[1]!BANCO10[[#This Row],[STATUS DA ETAPA]],"")</f>
        <v/>
      </c>
      <c r="CR83" s="21" t="str">
        <f>IF([1]!BANCO10[[#This Row],[SOLUÇÃO]]=CR$1,[1]!BANCO10[[#This Row],[STATUS DA ETAPA]],"")</f>
        <v/>
      </c>
      <c r="CS83" s="21" t="str">
        <f>IF([1]!BANCO10[[#This Row],[SOLUÇÃO]]=CS$1,[1]!BANCO10[[#This Row],[STATUS DA ETAPA]],"")</f>
        <v/>
      </c>
      <c r="CT83" s="21" t="str">
        <f>IF([1]!BANCO10[[#This Row],[SOLUÇÃO]]=CT$1,[1]!BANCO10[[#This Row],[STATUS DA ETAPA]],"")</f>
        <v/>
      </c>
      <c r="CU83" s="21" t="str">
        <f>IF([1]!BANCO10[[#This Row],[SOLUÇÃO]]=CU$1,[1]!BANCO10[[#This Row],[STATUS DA ETAPA]],"")</f>
        <v/>
      </c>
      <c r="CV83" s="21" t="str">
        <f>IF([1]!BANCO10[[#This Row],[SOLUÇÃO]]=CV$1,[1]!BANCO10[[#This Row],[STATUS DA ETAPA]],"")</f>
        <v/>
      </c>
    </row>
    <row r="84" spans="1:100">
      <c r="A84" s="44" t="s">
        <v>1</v>
      </c>
      <c r="B84" s="44"/>
      <c r="C84" s="44" t="s">
        <v>1</v>
      </c>
      <c r="D84" s="44"/>
      <c r="E84" s="44" t="s">
        <v>1</v>
      </c>
      <c r="F84" s="44"/>
      <c r="G84" s="44" t="s">
        <v>1</v>
      </c>
      <c r="H84" s="44"/>
      <c r="I84" s="45" t="s">
        <v>1</v>
      </c>
      <c r="J84" s="46"/>
      <c r="K84" s="45" t="s">
        <v>1</v>
      </c>
      <c r="L84" s="33"/>
      <c r="M84" s="45" t="s">
        <v>1</v>
      </c>
      <c r="N84" s="33"/>
      <c r="O84" s="44" t="s">
        <v>1</v>
      </c>
      <c r="P84" s="44"/>
      <c r="Q84" s="44" t="s">
        <v>1</v>
      </c>
      <c r="R84" s="44"/>
      <c r="S84" s="44" t="s">
        <v>1</v>
      </c>
      <c r="T84" s="44"/>
      <c r="U84" s="44" t="s">
        <v>1</v>
      </c>
      <c r="V84" s="44"/>
      <c r="W84" s="44" t="s">
        <v>1</v>
      </c>
      <c r="X84" s="44"/>
      <c r="Y84" s="44" t="s">
        <v>1</v>
      </c>
      <c r="Z84" s="44"/>
      <c r="AA84" s="44" t="s">
        <v>1</v>
      </c>
      <c r="AB84" s="44"/>
      <c r="AC84" s="51">
        <v>45890</v>
      </c>
      <c r="AD84" s="50">
        <v>45890</v>
      </c>
      <c r="AE84" s="41" t="s">
        <v>1</v>
      </c>
      <c r="AF84" s="41" t="s">
        <v>1</v>
      </c>
      <c r="AG84" s="40" t="s">
        <v>5</v>
      </c>
      <c r="AH84" s="36" t="s">
        <v>1</v>
      </c>
      <c r="AI84" s="49">
        <v>0</v>
      </c>
      <c r="AJ84" s="36" t="s">
        <v>1</v>
      </c>
      <c r="AK84" s="10" t="s">
        <v>1</v>
      </c>
      <c r="AL84" s="36" t="s">
        <v>1</v>
      </c>
      <c r="AM84" s="36" t="s">
        <v>1</v>
      </c>
      <c r="AN84" s="35" t="s">
        <v>1</v>
      </c>
      <c r="AO84" s="35" t="s">
        <v>1</v>
      </c>
      <c r="AP84" s="35" t="s">
        <v>1</v>
      </c>
      <c r="AQ84" s="35" t="s">
        <v>1</v>
      </c>
      <c r="AR84" s="45" t="s">
        <v>1</v>
      </c>
      <c r="AS84" s="46"/>
      <c r="AT84" s="32" t="s">
        <v>0</v>
      </c>
      <c r="AU84" s="31"/>
      <c r="AV84" s="32" t="s">
        <v>0</v>
      </c>
      <c r="AW84" s="31"/>
      <c r="AX84" s="30" t="s">
        <v>1</v>
      </c>
      <c r="AY84" s="29"/>
      <c r="AZ84" s="28" t="s">
        <v>1</v>
      </c>
      <c r="BA84" s="27"/>
      <c r="BB84" s="26"/>
      <c r="BC84" s="25"/>
      <c r="BD84" s="24"/>
      <c r="BE84" s="24"/>
      <c r="BF84" s="24"/>
      <c r="BG84" s="24"/>
      <c r="BH84" s="24"/>
      <c r="BI84" s="24"/>
      <c r="BJ84" s="24"/>
      <c r="BK84" s="24"/>
      <c r="BL84" s="24"/>
      <c r="BM84" s="24"/>
      <c r="BN84" s="24"/>
      <c r="BO84" s="24"/>
      <c r="BP84" s="24"/>
      <c r="BQ84" s="22">
        <f>YEAR([1]!BANCO10[[#This Row],[DATA INÍCIO]])</f>
        <v>2025</v>
      </c>
      <c r="BR84" s="22">
        <f>MONTH([1]!BANCO10[[#This Row],[DATA INÍCIO]])</f>
        <v>8</v>
      </c>
      <c r="BS84" s="23" t="e">
        <f>CONCATENATE(#REF!,#REF!)</f>
        <v>#REF!</v>
      </c>
      <c r="BT84" s="22"/>
      <c r="BU84" s="22"/>
      <c r="BV84" s="21" t="str">
        <f>IF([1]!BANCO10[[#This Row],[SOLUÇÃO]]=BV$1,[1]!BANCO10[[#This Row],[STATUS DA ETAPA]],"")</f>
        <v>CONCLUÍDO</v>
      </c>
      <c r="BW84" s="21" t="str">
        <f>IF([1]!BANCO10[[#This Row],[SOLUÇÃO]]=BW$1,[1]!BANCO10[[#This Row],[STATUS DA ETAPA]],"")</f>
        <v/>
      </c>
      <c r="BX84" s="21" t="str">
        <f>IF([1]!BANCO10[[#This Row],[SOLUÇÃO]]=BX$1,[1]!BANCO10[[#This Row],[STATUS DA ETAPA]],"")</f>
        <v/>
      </c>
      <c r="BY84" s="21" t="str">
        <f>IF([1]!BANCO10[[#This Row],[SOLUÇÃO]]=BY$1,[1]!BANCO10[[#This Row],[STATUS DA ETAPA]],"")</f>
        <v/>
      </c>
      <c r="BZ84" s="21" t="str">
        <f>IF([1]!BANCO10[[#This Row],[SOLUÇÃO]]=BZ$1,[1]!BANCO10[[#This Row],[STATUS DA ETAPA]],"")</f>
        <v/>
      </c>
      <c r="CA84" s="21" t="str">
        <f>IF([1]!BANCO10[[#This Row],[SOLUÇÃO]]=CA$1,[1]!BANCO10[[#This Row],[STATUS DA ETAPA]],"")</f>
        <v/>
      </c>
      <c r="CB84" s="21" t="str">
        <f>IF([1]!BANCO10[[#This Row],[SOLUÇÃO]]=CB$1,[1]!BANCO10[[#This Row],[STATUS DA ETAPA]],"")</f>
        <v/>
      </c>
      <c r="CC84" s="21" t="str">
        <f>IF([1]!BANCO10[[#This Row],[SOLUÇÃO]]=CC$1,[1]!BANCO10[[#This Row],[STATUS DA ETAPA]],"")</f>
        <v/>
      </c>
      <c r="CD84" s="21" t="str">
        <f>IF([1]!BANCO10[[#This Row],[SOLUÇÃO]]=CD$1,[1]!BANCO10[[#This Row],[STATUS DA ETAPA]],"")</f>
        <v/>
      </c>
      <c r="CE84" s="21" t="str">
        <f>IF([1]!BANCO10[[#This Row],[SOLUÇÃO]]=CE$1,[1]!BANCO10[[#This Row],[STATUS DA ETAPA]],"")</f>
        <v/>
      </c>
      <c r="CF84" s="21" t="str">
        <f>IF([1]!BANCO10[[#This Row],[SOLUÇÃO]]=CF$1,[1]!BANCO10[[#This Row],[STATUS DA ETAPA]],"")</f>
        <v/>
      </c>
      <c r="CG84" s="21" t="str">
        <f>IF([1]!BANCO10[[#This Row],[SOLUÇÃO]]=CG$1,[1]!BANCO10[[#This Row],[STATUS DA ETAPA]],"")</f>
        <v/>
      </c>
      <c r="CH84" s="21" t="str">
        <f>IF([1]!BANCO10[[#This Row],[SOLUÇÃO]]=CH$1,[1]!BANCO10[[#This Row],[STATUS DA ETAPA]],"")</f>
        <v/>
      </c>
      <c r="CI84" s="21" t="str">
        <f>IF([1]!BANCO10[[#This Row],[SOLUÇÃO]]=CI$1,[1]!BANCO10[[#This Row],[STATUS DA ETAPA]],"")</f>
        <v/>
      </c>
      <c r="CJ84" s="21" t="str">
        <f>IF([1]!BANCO10[[#This Row],[SOLUÇÃO]]=CJ$1,[1]!BANCO10[[#This Row],[STATUS DA ETAPA]],"")</f>
        <v/>
      </c>
      <c r="CK84" s="21" t="str">
        <f>IF([1]!BANCO10[[#This Row],[SOLUÇÃO]]=CK$1,[1]!BANCO10[[#This Row],[STATUS DA ETAPA]],"")</f>
        <v/>
      </c>
      <c r="CL84" s="21" t="str">
        <f>IF([1]!BANCO10[[#This Row],[SOLUÇÃO]]=CL$1,[1]!BANCO10[[#This Row],[STATUS DA ETAPA]],"")</f>
        <v/>
      </c>
      <c r="CM84" s="21" t="str">
        <f>IF([1]!BANCO10[[#This Row],[SOLUÇÃO]]=CM$1,[1]!BANCO10[[#This Row],[STATUS DA ETAPA]],"")</f>
        <v/>
      </c>
      <c r="CN84" s="21" t="str">
        <f>IF([1]!BANCO10[[#This Row],[SOLUÇÃO]]=CN$1,[1]!BANCO10[[#This Row],[STATUS DA ETAPA]],"")</f>
        <v/>
      </c>
      <c r="CO84" s="21" t="str">
        <f>IF([1]!BANCO10[[#This Row],[SOLUÇÃO]]=CO$1,[1]!BANCO10[[#This Row],[STATUS DA ETAPA]],"")</f>
        <v/>
      </c>
      <c r="CP84" s="21" t="str">
        <f>IF([1]!BANCO10[[#This Row],[SOLUÇÃO]]=CP$1,[1]!BANCO10[[#This Row],[STATUS DA ETAPA]],"")</f>
        <v/>
      </c>
      <c r="CQ84" s="21" t="str">
        <f>IF([1]!BANCO10[[#This Row],[SOLUÇÃO]]=CQ$1,[1]!BANCO10[[#This Row],[STATUS DA ETAPA]],"")</f>
        <v/>
      </c>
      <c r="CR84" s="21" t="str">
        <f>IF([1]!BANCO10[[#This Row],[SOLUÇÃO]]=CR$1,[1]!BANCO10[[#This Row],[STATUS DA ETAPA]],"")</f>
        <v/>
      </c>
      <c r="CS84" s="21" t="str">
        <f>IF([1]!BANCO10[[#This Row],[SOLUÇÃO]]=CS$1,[1]!BANCO10[[#This Row],[STATUS DA ETAPA]],"")</f>
        <v/>
      </c>
      <c r="CT84" s="21" t="str">
        <f>IF([1]!BANCO10[[#This Row],[SOLUÇÃO]]=CT$1,[1]!BANCO10[[#This Row],[STATUS DA ETAPA]],"")</f>
        <v/>
      </c>
      <c r="CU84" s="21" t="str">
        <f>IF([1]!BANCO10[[#This Row],[SOLUÇÃO]]=CU$1,[1]!BANCO10[[#This Row],[STATUS DA ETAPA]],"")</f>
        <v/>
      </c>
      <c r="CV84" s="21" t="str">
        <f>IF([1]!BANCO10[[#This Row],[SOLUÇÃO]]=CV$1,[1]!BANCO10[[#This Row],[STATUS DA ETAPA]],"")</f>
        <v/>
      </c>
    </row>
    <row r="85" spans="1:100">
      <c r="A85" s="44" t="s">
        <v>1</v>
      </c>
      <c r="B85" s="44"/>
      <c r="C85" s="44" t="s">
        <v>1</v>
      </c>
      <c r="D85" s="44"/>
      <c r="E85" s="44" t="s">
        <v>1</v>
      </c>
      <c r="F85" s="44"/>
      <c r="G85" s="44" t="s">
        <v>1</v>
      </c>
      <c r="H85" s="44"/>
      <c r="I85" s="45" t="s">
        <v>1</v>
      </c>
      <c r="J85" s="46"/>
      <c r="K85" s="45" t="s">
        <v>1</v>
      </c>
      <c r="L85" s="33"/>
      <c r="M85" s="45" t="s">
        <v>1</v>
      </c>
      <c r="N85" s="33"/>
      <c r="O85" s="44" t="s">
        <v>1</v>
      </c>
      <c r="P85" s="44"/>
      <c r="Q85" s="44" t="s">
        <v>1</v>
      </c>
      <c r="R85" s="44"/>
      <c r="S85" s="44" t="s">
        <v>1</v>
      </c>
      <c r="T85" s="44"/>
      <c r="U85" s="44" t="s">
        <v>1</v>
      </c>
      <c r="V85" s="44"/>
      <c r="W85" s="44" t="s">
        <v>1</v>
      </c>
      <c r="X85" s="44"/>
      <c r="Y85" s="44" t="s">
        <v>1</v>
      </c>
      <c r="Z85" s="44"/>
      <c r="AA85" s="44" t="s">
        <v>1</v>
      </c>
      <c r="AB85" s="44"/>
      <c r="AC85" s="51">
        <v>45630</v>
      </c>
      <c r="AD85" s="176">
        <v>45630</v>
      </c>
      <c r="AE85" s="95" t="s">
        <v>1</v>
      </c>
      <c r="AF85" s="95" t="s">
        <v>1</v>
      </c>
      <c r="AG85" s="36" t="s">
        <v>5</v>
      </c>
      <c r="AH85" s="36" t="s">
        <v>1</v>
      </c>
      <c r="AI85" s="49">
        <v>0</v>
      </c>
      <c r="AJ85" s="36" t="s">
        <v>1</v>
      </c>
      <c r="AK85" s="10" t="s">
        <v>1</v>
      </c>
      <c r="AL85" s="36" t="s">
        <v>1</v>
      </c>
      <c r="AM85" s="36" t="s">
        <v>1</v>
      </c>
      <c r="AN85" s="35" t="s">
        <v>1</v>
      </c>
      <c r="AO85" s="35" t="s">
        <v>1</v>
      </c>
      <c r="AP85" s="35" t="s">
        <v>1</v>
      </c>
      <c r="AQ85" s="35" t="s">
        <v>1</v>
      </c>
      <c r="AR85" s="175" t="s">
        <v>1</v>
      </c>
      <c r="AS85" s="174"/>
      <c r="AT85" s="39"/>
      <c r="AU85" s="133"/>
      <c r="AV85" s="39"/>
      <c r="AW85" s="133"/>
      <c r="AX85" s="39" t="s">
        <v>1</v>
      </c>
      <c r="AY85" s="133"/>
      <c r="AZ85" s="95" t="s">
        <v>1</v>
      </c>
      <c r="BA85" s="133"/>
      <c r="BB85" s="74" t="s">
        <v>794</v>
      </c>
      <c r="BC85" s="25"/>
      <c r="BD85" s="25"/>
      <c r="BE85" s="25"/>
      <c r="BF85" s="25"/>
      <c r="BG85" s="25"/>
      <c r="BH85" s="25"/>
      <c r="BI85" s="25"/>
      <c r="BJ85" s="25"/>
      <c r="BK85" s="25"/>
      <c r="BL85" s="25"/>
      <c r="BM85" s="25"/>
      <c r="BN85" s="25"/>
      <c r="BO85" s="25"/>
      <c r="BP85" s="25"/>
      <c r="BQ85" s="22">
        <f>YEAR([1]!BANCO10[[#This Row],[DATA INÍCIO]])</f>
        <v>2024</v>
      </c>
      <c r="BR85" s="22">
        <f>MONTH([1]!BANCO10[[#This Row],[DATA INÍCIO]])</f>
        <v>12</v>
      </c>
      <c r="BS85" s="23" t="e">
        <f>CONCATENATE(#REF!,#REF!)</f>
        <v>#REF!</v>
      </c>
      <c r="BT85" s="22"/>
      <c r="BU85" s="22"/>
      <c r="BV85" s="21" t="str">
        <f>IF([1]!BANCO10[[#This Row],[SOLUÇÃO]]=BV$1,[1]!BANCO10[[#This Row],[STATUS DA ETAPA]],"")</f>
        <v>CONCLUÍDO</v>
      </c>
      <c r="BW85" s="21" t="str">
        <f>IF([1]!BANCO10[[#This Row],[SOLUÇÃO]]=BW$1,[1]!BANCO10[[#This Row],[STATUS DA ETAPA]],"")</f>
        <v/>
      </c>
      <c r="BX85" s="21" t="str">
        <f>IF([1]!BANCO10[[#This Row],[SOLUÇÃO]]=BX$1,[1]!BANCO10[[#This Row],[STATUS DA ETAPA]],"")</f>
        <v/>
      </c>
      <c r="BY85" s="21" t="str">
        <f>IF([1]!BANCO10[[#This Row],[SOLUÇÃO]]=BY$1,[1]!BANCO10[[#This Row],[STATUS DA ETAPA]],"")</f>
        <v/>
      </c>
      <c r="BZ85" s="21" t="str">
        <f>IF([1]!BANCO10[[#This Row],[SOLUÇÃO]]=BZ$1,[1]!BANCO10[[#This Row],[STATUS DA ETAPA]],"")</f>
        <v/>
      </c>
      <c r="CA85" s="21" t="str">
        <f>IF([1]!BANCO10[[#This Row],[SOLUÇÃO]]=CA$1,[1]!BANCO10[[#This Row],[STATUS DA ETAPA]],"")</f>
        <v/>
      </c>
      <c r="CB85" s="21" t="str">
        <f>IF([1]!BANCO10[[#This Row],[SOLUÇÃO]]=CB$1,[1]!BANCO10[[#This Row],[STATUS DA ETAPA]],"")</f>
        <v/>
      </c>
      <c r="CC85" s="21" t="str">
        <f>IF([1]!BANCO10[[#This Row],[SOLUÇÃO]]=CC$1,[1]!BANCO10[[#This Row],[STATUS DA ETAPA]],"")</f>
        <v/>
      </c>
      <c r="CD85" s="21" t="str">
        <f>IF([1]!BANCO10[[#This Row],[SOLUÇÃO]]=CD$1,[1]!BANCO10[[#This Row],[STATUS DA ETAPA]],"")</f>
        <v/>
      </c>
      <c r="CE85" s="21" t="str">
        <f>IF([1]!BANCO10[[#This Row],[SOLUÇÃO]]=CE$1,[1]!BANCO10[[#This Row],[STATUS DA ETAPA]],"")</f>
        <v/>
      </c>
      <c r="CF85" s="21" t="str">
        <f>IF([1]!BANCO10[[#This Row],[SOLUÇÃO]]=CF$1,[1]!BANCO10[[#This Row],[STATUS DA ETAPA]],"")</f>
        <v/>
      </c>
      <c r="CG85" s="21" t="str">
        <f>IF([1]!BANCO10[[#This Row],[SOLUÇÃO]]=CG$1,[1]!BANCO10[[#This Row],[STATUS DA ETAPA]],"")</f>
        <v/>
      </c>
      <c r="CH85" s="21" t="str">
        <f>IF([1]!BANCO10[[#This Row],[SOLUÇÃO]]=CH$1,[1]!BANCO10[[#This Row],[STATUS DA ETAPA]],"")</f>
        <v/>
      </c>
      <c r="CI85" s="21" t="str">
        <f>IF([1]!BANCO10[[#This Row],[SOLUÇÃO]]=CI$1,[1]!BANCO10[[#This Row],[STATUS DA ETAPA]],"")</f>
        <v/>
      </c>
      <c r="CJ85" s="21" t="str">
        <f>IF([1]!BANCO10[[#This Row],[SOLUÇÃO]]=CJ$1,[1]!BANCO10[[#This Row],[STATUS DA ETAPA]],"")</f>
        <v/>
      </c>
      <c r="CK85" s="21" t="str">
        <f>IF([1]!BANCO10[[#This Row],[SOLUÇÃO]]=CK$1,[1]!BANCO10[[#This Row],[STATUS DA ETAPA]],"")</f>
        <v/>
      </c>
      <c r="CL85" s="21" t="str">
        <f>IF([1]!BANCO10[[#This Row],[SOLUÇÃO]]=CL$1,[1]!BANCO10[[#This Row],[STATUS DA ETAPA]],"")</f>
        <v/>
      </c>
      <c r="CM85" s="21" t="str">
        <f>IF([1]!BANCO10[[#This Row],[SOLUÇÃO]]=CM$1,[1]!BANCO10[[#This Row],[STATUS DA ETAPA]],"")</f>
        <v/>
      </c>
      <c r="CN85" s="21" t="str">
        <f>IF([1]!BANCO10[[#This Row],[SOLUÇÃO]]=CN$1,[1]!BANCO10[[#This Row],[STATUS DA ETAPA]],"")</f>
        <v/>
      </c>
      <c r="CO85" s="21" t="str">
        <f>IF([1]!BANCO10[[#This Row],[SOLUÇÃO]]=CO$1,[1]!BANCO10[[#This Row],[STATUS DA ETAPA]],"")</f>
        <v/>
      </c>
      <c r="CP85" s="21" t="str">
        <f>IF([1]!BANCO10[[#This Row],[SOLUÇÃO]]=CP$1,[1]!BANCO10[[#This Row],[STATUS DA ETAPA]],"")</f>
        <v/>
      </c>
      <c r="CQ85" s="21" t="str">
        <f>IF([1]!BANCO10[[#This Row],[SOLUÇÃO]]=CQ$1,[1]!BANCO10[[#This Row],[STATUS DA ETAPA]],"")</f>
        <v/>
      </c>
      <c r="CR85" s="21" t="str">
        <f>IF([1]!BANCO10[[#This Row],[SOLUÇÃO]]=CR$1,[1]!BANCO10[[#This Row],[STATUS DA ETAPA]],"")</f>
        <v/>
      </c>
      <c r="CS85" s="21" t="str">
        <f>IF([1]!BANCO10[[#This Row],[SOLUÇÃO]]=CS$1,[1]!BANCO10[[#This Row],[STATUS DA ETAPA]],"")</f>
        <v/>
      </c>
      <c r="CT85" s="21" t="str">
        <f>IF([1]!BANCO10[[#This Row],[SOLUÇÃO]]=CT$1,[1]!BANCO10[[#This Row],[STATUS DA ETAPA]],"")</f>
        <v/>
      </c>
      <c r="CU85" s="21" t="str">
        <f>IF([1]!BANCO10[[#This Row],[SOLUÇÃO]]=CU$1,[1]!BANCO10[[#This Row],[STATUS DA ETAPA]],"")</f>
        <v/>
      </c>
      <c r="CV85" s="21" t="str">
        <f>IF([1]!BANCO10[[#This Row],[SOLUÇÃO]]=CV$1,[1]!BANCO10[[#This Row],[STATUS DA ETAPA]],"")</f>
        <v/>
      </c>
    </row>
    <row r="86" spans="1:100">
      <c r="A86" s="44" t="s">
        <v>1</v>
      </c>
      <c r="B86" s="44"/>
      <c r="C86" s="44" t="s">
        <v>1</v>
      </c>
      <c r="D86" s="44"/>
      <c r="E86" s="44" t="s">
        <v>1</v>
      </c>
      <c r="F86" s="44"/>
      <c r="G86" s="44" t="s">
        <v>1</v>
      </c>
      <c r="H86" s="44"/>
      <c r="I86" s="45" t="s">
        <v>1</v>
      </c>
      <c r="J86" s="46"/>
      <c r="K86" s="45" t="s">
        <v>1</v>
      </c>
      <c r="L86" s="33"/>
      <c r="M86" s="45" t="s">
        <v>1</v>
      </c>
      <c r="N86" s="33"/>
      <c r="O86" s="44" t="s">
        <v>2</v>
      </c>
      <c r="P86" s="44">
        <v>45132</v>
      </c>
      <c r="Q86" s="44" t="s">
        <v>0</v>
      </c>
      <c r="R86" s="44"/>
      <c r="S86" s="44" t="s">
        <v>1</v>
      </c>
      <c r="T86" s="44"/>
      <c r="U86" s="44" t="s">
        <v>1</v>
      </c>
      <c r="V86" s="44"/>
      <c r="W86" s="44" t="s">
        <v>1</v>
      </c>
      <c r="X86" s="44"/>
      <c r="Y86" s="44" t="s">
        <v>1</v>
      </c>
      <c r="Z86" s="44"/>
      <c r="AA86" s="44" t="s">
        <v>1</v>
      </c>
      <c r="AB86" s="44"/>
      <c r="AC86" s="51">
        <v>45132</v>
      </c>
      <c r="AD86" s="50">
        <v>45132</v>
      </c>
      <c r="AE86" s="40" t="s">
        <v>1</v>
      </c>
      <c r="AF86" s="40" t="s">
        <v>1</v>
      </c>
      <c r="AG86" s="76" t="s">
        <v>5</v>
      </c>
      <c r="AH86" s="36" t="s">
        <v>1</v>
      </c>
      <c r="AI86" s="49">
        <v>0</v>
      </c>
      <c r="AJ86" s="36" t="s">
        <v>1</v>
      </c>
      <c r="AK86" s="10" t="s">
        <v>1</v>
      </c>
      <c r="AL86" s="36" t="s">
        <v>1</v>
      </c>
      <c r="AM86" s="36" t="s">
        <v>1</v>
      </c>
      <c r="AN86" s="35" t="s">
        <v>1</v>
      </c>
      <c r="AO86" s="35" t="s">
        <v>1</v>
      </c>
      <c r="AP86" s="35" t="s">
        <v>1</v>
      </c>
      <c r="AQ86" s="35" t="s">
        <v>1</v>
      </c>
      <c r="AR86" s="171" t="s">
        <v>1</v>
      </c>
      <c r="AS86" s="46"/>
      <c r="AT86" s="32" t="s">
        <v>1</v>
      </c>
      <c r="AU86" s="31"/>
      <c r="AV86" s="32" t="s">
        <v>1</v>
      </c>
      <c r="AW86" s="31"/>
      <c r="AX86" s="30" t="s">
        <v>1</v>
      </c>
      <c r="AY86" s="55"/>
      <c r="AZ86" s="30" t="s">
        <v>1</v>
      </c>
      <c r="BA86" s="55"/>
      <c r="BB86" s="74" t="s">
        <v>793</v>
      </c>
      <c r="BC86" s="25"/>
      <c r="BD86" s="24" t="s">
        <v>695</v>
      </c>
      <c r="BE86" s="24" t="s">
        <v>792</v>
      </c>
      <c r="BF86" s="24" t="s">
        <v>51</v>
      </c>
      <c r="BG86" s="24" t="s">
        <v>11</v>
      </c>
      <c r="BH86" s="130" t="s">
        <v>770</v>
      </c>
      <c r="BI86" s="24"/>
      <c r="BJ86" s="24" t="s">
        <v>11</v>
      </c>
      <c r="BK86" s="24" t="s">
        <v>11</v>
      </c>
      <c r="BL86" s="24" t="s">
        <v>11</v>
      </c>
      <c r="BM86" s="24" t="s">
        <v>11</v>
      </c>
      <c r="BN86" s="24" t="s">
        <v>11</v>
      </c>
      <c r="BO86" s="24" t="s">
        <v>11</v>
      </c>
      <c r="BP86" s="24" t="s">
        <v>11</v>
      </c>
      <c r="BQ86" s="22">
        <f>YEAR([1]!BANCO10[[#This Row],[DATA INÍCIO]])</f>
        <v>2023</v>
      </c>
      <c r="BR86" s="22">
        <f>MONTH([1]!BANCO10[[#This Row],[DATA INÍCIO]])</f>
        <v>7</v>
      </c>
      <c r="BS86" s="129" t="e">
        <f>CONCATENATE(#REF!,#REF!)</f>
        <v>#REF!</v>
      </c>
      <c r="BT86" s="22"/>
      <c r="BU86" s="21" t="s">
        <v>791</v>
      </c>
      <c r="BV86" s="21" t="str">
        <f>IF([1]!BANCO10[[#This Row],[SOLUÇÃO]]=BV$1,[1]!BANCO10[[#This Row],[STATUS DA ETAPA]],"")</f>
        <v>CONCLUÍDO</v>
      </c>
      <c r="BW86" s="21" t="str">
        <f>IF([1]!BANCO10[[#This Row],[SOLUÇÃO]]=BW$1,[1]!BANCO10[[#This Row],[STATUS DA ETAPA]],"")</f>
        <v/>
      </c>
      <c r="BX86" s="21" t="str">
        <f>IF([1]!BANCO10[[#This Row],[SOLUÇÃO]]=BX$1,[1]!BANCO10[[#This Row],[STATUS DA ETAPA]],"")</f>
        <v/>
      </c>
      <c r="BY86" s="21" t="str">
        <f>IF([1]!BANCO10[[#This Row],[SOLUÇÃO]]=BY$1,[1]!BANCO10[[#This Row],[STATUS DA ETAPA]],"")</f>
        <v/>
      </c>
      <c r="BZ86" s="21" t="str">
        <f>IF([1]!BANCO10[[#This Row],[SOLUÇÃO]]=BZ$1,[1]!BANCO10[[#This Row],[STATUS DA ETAPA]],"")</f>
        <v/>
      </c>
      <c r="CA86" s="21" t="str">
        <f>IF([1]!BANCO10[[#This Row],[SOLUÇÃO]]=CA$1,[1]!BANCO10[[#This Row],[STATUS DA ETAPA]],"")</f>
        <v/>
      </c>
      <c r="CB86" s="21" t="str">
        <f>IF([1]!BANCO10[[#This Row],[SOLUÇÃO]]=CB$1,[1]!BANCO10[[#This Row],[STATUS DA ETAPA]],"")</f>
        <v/>
      </c>
      <c r="CC86" s="21" t="str">
        <f>IF([1]!BANCO10[[#This Row],[SOLUÇÃO]]=CC$1,[1]!BANCO10[[#This Row],[STATUS DA ETAPA]],"")</f>
        <v/>
      </c>
      <c r="CD86" s="21" t="str">
        <f>IF([1]!BANCO10[[#This Row],[SOLUÇÃO]]=CD$1,[1]!BANCO10[[#This Row],[STATUS DA ETAPA]],"")</f>
        <v/>
      </c>
      <c r="CE86" s="21" t="str">
        <f>IF([1]!BANCO10[[#This Row],[SOLUÇÃO]]=CE$1,[1]!BANCO10[[#This Row],[STATUS DA ETAPA]],"")</f>
        <v/>
      </c>
      <c r="CF86" s="21" t="str">
        <f>IF([1]!BANCO10[[#This Row],[SOLUÇÃO]]=CF$1,[1]!BANCO10[[#This Row],[STATUS DA ETAPA]],"")</f>
        <v/>
      </c>
      <c r="CG86" s="21" t="str">
        <f>IF([1]!BANCO10[[#This Row],[SOLUÇÃO]]=CG$1,[1]!BANCO10[[#This Row],[STATUS DA ETAPA]],"")</f>
        <v/>
      </c>
      <c r="CH86" s="21" t="str">
        <f>IF([1]!BANCO10[[#This Row],[SOLUÇÃO]]=CH$1,[1]!BANCO10[[#This Row],[STATUS DA ETAPA]],"")</f>
        <v/>
      </c>
      <c r="CI86" s="21" t="str">
        <f>IF([1]!BANCO10[[#This Row],[SOLUÇÃO]]=CI$1,[1]!BANCO10[[#This Row],[STATUS DA ETAPA]],"")</f>
        <v/>
      </c>
      <c r="CJ86" s="21" t="str">
        <f>IF([1]!BANCO10[[#This Row],[SOLUÇÃO]]=CJ$1,[1]!BANCO10[[#This Row],[STATUS DA ETAPA]],"")</f>
        <v/>
      </c>
      <c r="CK86" s="21" t="str">
        <f>IF([1]!BANCO10[[#This Row],[SOLUÇÃO]]=CK$1,[1]!BANCO10[[#This Row],[STATUS DA ETAPA]],"")</f>
        <v/>
      </c>
      <c r="CL86" s="21" t="str">
        <f>IF([1]!BANCO10[[#This Row],[SOLUÇÃO]]=CL$1,[1]!BANCO10[[#This Row],[STATUS DA ETAPA]],"")</f>
        <v/>
      </c>
      <c r="CM86" s="21" t="str">
        <f>IF([1]!BANCO10[[#This Row],[SOLUÇÃO]]=CM$1,[1]!BANCO10[[#This Row],[STATUS DA ETAPA]],"")</f>
        <v/>
      </c>
      <c r="CN86" s="21" t="str">
        <f>IF([1]!BANCO10[[#This Row],[SOLUÇÃO]]=CN$1,[1]!BANCO10[[#This Row],[STATUS DA ETAPA]],"")</f>
        <v/>
      </c>
      <c r="CO86" s="21" t="str">
        <f>IF([1]!BANCO10[[#This Row],[SOLUÇÃO]]=CO$1,[1]!BANCO10[[#This Row],[STATUS DA ETAPA]],"")</f>
        <v/>
      </c>
      <c r="CP86" s="21" t="str">
        <f>IF([1]!BANCO10[[#This Row],[SOLUÇÃO]]=CP$1,[1]!BANCO10[[#This Row],[STATUS DA ETAPA]],"")</f>
        <v/>
      </c>
      <c r="CQ86" s="21" t="str">
        <f>IF([1]!BANCO10[[#This Row],[SOLUÇÃO]]=CQ$1,[1]!BANCO10[[#This Row],[STATUS DA ETAPA]],"")</f>
        <v/>
      </c>
      <c r="CR86" s="21" t="str">
        <f>IF([1]!BANCO10[[#This Row],[SOLUÇÃO]]=CR$1,[1]!BANCO10[[#This Row],[STATUS DA ETAPA]],"")</f>
        <v/>
      </c>
      <c r="CS86" s="21" t="str">
        <f>IF([1]!BANCO10[[#This Row],[SOLUÇÃO]]=CS$1,[1]!BANCO10[[#This Row],[STATUS DA ETAPA]],"")</f>
        <v/>
      </c>
      <c r="CT86" s="21" t="str">
        <f>IF([1]!BANCO10[[#This Row],[SOLUÇÃO]]=CT$1,[1]!BANCO10[[#This Row],[STATUS DA ETAPA]],"")</f>
        <v/>
      </c>
      <c r="CU86" s="21" t="str">
        <f>IF([1]!BANCO10[[#This Row],[SOLUÇÃO]]=CU$1,[1]!BANCO10[[#This Row],[STATUS DA ETAPA]],"")</f>
        <v/>
      </c>
      <c r="CV86" s="21" t="str">
        <f>IF([1]!BANCO10[[#This Row],[SOLUÇÃO]]=CV$1,[1]!BANCO10[[#This Row],[STATUS DA ETAPA]],"")</f>
        <v/>
      </c>
    </row>
    <row r="87" spans="1:100">
      <c r="A87" s="44" t="s">
        <v>1</v>
      </c>
      <c r="B87" s="44"/>
      <c r="C87" s="44" t="s">
        <v>1</v>
      </c>
      <c r="D87" s="44"/>
      <c r="E87" s="44" t="s">
        <v>1</v>
      </c>
      <c r="F87" s="44"/>
      <c r="G87" s="44" t="s">
        <v>1</v>
      </c>
      <c r="H87" s="44"/>
      <c r="I87" s="45" t="s">
        <v>1</v>
      </c>
      <c r="J87" s="46"/>
      <c r="K87" s="45" t="s">
        <v>1</v>
      </c>
      <c r="L87" s="33"/>
      <c r="M87" s="45" t="s">
        <v>1</v>
      </c>
      <c r="N87" s="33"/>
      <c r="O87" s="44" t="s">
        <v>1</v>
      </c>
      <c r="P87" s="44"/>
      <c r="Q87" s="44" t="s">
        <v>1</v>
      </c>
      <c r="R87" s="44"/>
      <c r="S87" s="44" t="s">
        <v>1</v>
      </c>
      <c r="T87" s="44"/>
      <c r="U87" s="44" t="s">
        <v>1</v>
      </c>
      <c r="V87" s="44"/>
      <c r="W87" s="44" t="s">
        <v>1</v>
      </c>
      <c r="X87" s="44"/>
      <c r="Y87" s="44" t="s">
        <v>1</v>
      </c>
      <c r="Z87" s="44"/>
      <c r="AA87" s="44" t="s">
        <v>1</v>
      </c>
      <c r="AB87" s="44"/>
      <c r="AC87" s="51">
        <v>45408</v>
      </c>
      <c r="AD87" s="50">
        <v>45408</v>
      </c>
      <c r="AE87" s="41" t="s">
        <v>1</v>
      </c>
      <c r="AF87" s="41" t="s">
        <v>1</v>
      </c>
      <c r="AG87" s="40" t="s">
        <v>5</v>
      </c>
      <c r="AH87" s="36" t="s">
        <v>1</v>
      </c>
      <c r="AI87" s="49">
        <v>0</v>
      </c>
      <c r="AJ87" s="36" t="s">
        <v>1</v>
      </c>
      <c r="AK87" s="10" t="s">
        <v>1</v>
      </c>
      <c r="AL87" s="36" t="s">
        <v>1</v>
      </c>
      <c r="AM87" s="36" t="s">
        <v>1</v>
      </c>
      <c r="AN87" s="35" t="s">
        <v>1</v>
      </c>
      <c r="AO87" s="35" t="s">
        <v>1</v>
      </c>
      <c r="AP87" s="35" t="s">
        <v>1</v>
      </c>
      <c r="AQ87" s="35" t="s">
        <v>1</v>
      </c>
      <c r="AR87" s="171" t="s">
        <v>1</v>
      </c>
      <c r="AS87" s="46"/>
      <c r="AT87" s="30"/>
      <c r="AU87" s="55"/>
      <c r="AV87" s="30"/>
      <c r="AW87" s="55"/>
      <c r="AX87" s="30" t="s">
        <v>1</v>
      </c>
      <c r="AY87" s="55"/>
      <c r="AZ87" s="30" t="s">
        <v>1</v>
      </c>
      <c r="BA87" s="55"/>
      <c r="BB87" s="74"/>
      <c r="BC87" s="25" t="s">
        <v>41</v>
      </c>
      <c r="BD87" s="24"/>
      <c r="BE87" s="24"/>
      <c r="BF87" s="24"/>
      <c r="BG87" s="24"/>
      <c r="BH87" s="130"/>
      <c r="BI87" s="24"/>
      <c r="BJ87" s="24"/>
      <c r="BK87" s="24"/>
      <c r="BL87" s="24"/>
      <c r="BM87" s="24"/>
      <c r="BN87" s="24"/>
      <c r="BO87" s="24"/>
      <c r="BP87" s="24"/>
      <c r="BQ87" s="22">
        <f>YEAR([1]!BANCO10[[#This Row],[DATA INÍCIO]])</f>
        <v>2024</v>
      </c>
      <c r="BR87" s="22">
        <f>MONTH([1]!BANCO10[[#This Row],[DATA INÍCIO]])</f>
        <v>4</v>
      </c>
      <c r="BS87" s="129" t="e">
        <f>CONCATENATE(#REF!,#REF!)</f>
        <v>#REF!</v>
      </c>
      <c r="BT87" s="22"/>
      <c r="BU87" s="21" t="s">
        <v>790</v>
      </c>
      <c r="BV87" s="21" t="str">
        <f>IF([1]!BANCO10[[#This Row],[SOLUÇÃO]]=BV$1,[1]!BANCO10[[#This Row],[STATUS DA ETAPA]],"")</f>
        <v>CONCLUÍDO</v>
      </c>
      <c r="BW87" s="21" t="str">
        <f>IF([1]!BANCO10[[#This Row],[SOLUÇÃO]]=BW$1,[1]!BANCO10[[#This Row],[STATUS DA ETAPA]],"")</f>
        <v/>
      </c>
      <c r="BX87" s="21" t="str">
        <f>IF([1]!BANCO10[[#This Row],[SOLUÇÃO]]=BX$1,[1]!BANCO10[[#This Row],[STATUS DA ETAPA]],"")</f>
        <v/>
      </c>
      <c r="BY87" s="21" t="str">
        <f>IF([1]!BANCO10[[#This Row],[SOLUÇÃO]]=BY$1,[1]!BANCO10[[#This Row],[STATUS DA ETAPA]],"")</f>
        <v/>
      </c>
      <c r="BZ87" s="21" t="str">
        <f>IF([1]!BANCO10[[#This Row],[SOLUÇÃO]]=BZ$1,[1]!BANCO10[[#This Row],[STATUS DA ETAPA]],"")</f>
        <v/>
      </c>
      <c r="CA87" s="21" t="str">
        <f>IF([1]!BANCO10[[#This Row],[SOLUÇÃO]]=CA$1,[1]!BANCO10[[#This Row],[STATUS DA ETAPA]],"")</f>
        <v/>
      </c>
      <c r="CB87" s="21" t="str">
        <f>IF([1]!BANCO10[[#This Row],[SOLUÇÃO]]=CB$1,[1]!BANCO10[[#This Row],[STATUS DA ETAPA]],"")</f>
        <v/>
      </c>
      <c r="CC87" s="21" t="str">
        <f>IF([1]!BANCO10[[#This Row],[SOLUÇÃO]]=CC$1,[1]!BANCO10[[#This Row],[STATUS DA ETAPA]],"")</f>
        <v/>
      </c>
      <c r="CD87" s="21" t="str">
        <f>IF([1]!BANCO10[[#This Row],[SOLUÇÃO]]=CD$1,[1]!BANCO10[[#This Row],[STATUS DA ETAPA]],"")</f>
        <v/>
      </c>
      <c r="CE87" s="21" t="str">
        <f>IF([1]!BANCO10[[#This Row],[SOLUÇÃO]]=CE$1,[1]!BANCO10[[#This Row],[STATUS DA ETAPA]],"")</f>
        <v/>
      </c>
      <c r="CF87" s="21" t="str">
        <f>IF([1]!BANCO10[[#This Row],[SOLUÇÃO]]=CF$1,[1]!BANCO10[[#This Row],[STATUS DA ETAPA]],"")</f>
        <v/>
      </c>
      <c r="CG87" s="21" t="str">
        <f>IF([1]!BANCO10[[#This Row],[SOLUÇÃO]]=CG$1,[1]!BANCO10[[#This Row],[STATUS DA ETAPA]],"")</f>
        <v/>
      </c>
      <c r="CH87" s="21" t="str">
        <f>IF([1]!BANCO10[[#This Row],[SOLUÇÃO]]=CH$1,[1]!BANCO10[[#This Row],[STATUS DA ETAPA]],"")</f>
        <v/>
      </c>
      <c r="CI87" s="21" t="str">
        <f>IF([1]!BANCO10[[#This Row],[SOLUÇÃO]]=CI$1,[1]!BANCO10[[#This Row],[STATUS DA ETAPA]],"")</f>
        <v/>
      </c>
      <c r="CJ87" s="21" t="str">
        <f>IF([1]!BANCO10[[#This Row],[SOLUÇÃO]]=CJ$1,[1]!BANCO10[[#This Row],[STATUS DA ETAPA]],"")</f>
        <v/>
      </c>
      <c r="CK87" s="21" t="str">
        <f>IF([1]!BANCO10[[#This Row],[SOLUÇÃO]]=CK$1,[1]!BANCO10[[#This Row],[STATUS DA ETAPA]],"")</f>
        <v/>
      </c>
      <c r="CL87" s="21" t="str">
        <f>IF([1]!BANCO10[[#This Row],[SOLUÇÃO]]=CL$1,[1]!BANCO10[[#This Row],[STATUS DA ETAPA]],"")</f>
        <v/>
      </c>
      <c r="CM87" s="21" t="str">
        <f>IF([1]!BANCO10[[#This Row],[SOLUÇÃO]]=CM$1,[1]!BANCO10[[#This Row],[STATUS DA ETAPA]],"")</f>
        <v/>
      </c>
      <c r="CN87" s="21" t="str">
        <f>IF([1]!BANCO10[[#This Row],[SOLUÇÃO]]=CN$1,[1]!BANCO10[[#This Row],[STATUS DA ETAPA]],"")</f>
        <v/>
      </c>
      <c r="CO87" s="21" t="str">
        <f>IF([1]!BANCO10[[#This Row],[SOLUÇÃO]]=CO$1,[1]!BANCO10[[#This Row],[STATUS DA ETAPA]],"")</f>
        <v/>
      </c>
      <c r="CP87" s="21" t="str">
        <f>IF([1]!BANCO10[[#This Row],[SOLUÇÃO]]=CP$1,[1]!BANCO10[[#This Row],[STATUS DA ETAPA]],"")</f>
        <v/>
      </c>
      <c r="CQ87" s="21" t="str">
        <f>IF([1]!BANCO10[[#This Row],[SOLUÇÃO]]=CQ$1,[1]!BANCO10[[#This Row],[STATUS DA ETAPA]],"")</f>
        <v/>
      </c>
      <c r="CR87" s="21" t="str">
        <f>IF([1]!BANCO10[[#This Row],[SOLUÇÃO]]=CR$1,[1]!BANCO10[[#This Row],[STATUS DA ETAPA]],"")</f>
        <v/>
      </c>
      <c r="CS87" s="21" t="str">
        <f>IF([1]!BANCO10[[#This Row],[SOLUÇÃO]]=CS$1,[1]!BANCO10[[#This Row],[STATUS DA ETAPA]],"")</f>
        <v/>
      </c>
      <c r="CT87" s="21" t="str">
        <f>IF([1]!BANCO10[[#This Row],[SOLUÇÃO]]=CT$1,[1]!BANCO10[[#This Row],[STATUS DA ETAPA]],"")</f>
        <v/>
      </c>
      <c r="CU87" s="21" t="str">
        <f>IF([1]!BANCO10[[#This Row],[SOLUÇÃO]]=CU$1,[1]!BANCO10[[#This Row],[STATUS DA ETAPA]],"")</f>
        <v/>
      </c>
      <c r="CV87" s="21" t="str">
        <f>IF([1]!BANCO10[[#This Row],[SOLUÇÃO]]=CV$1,[1]!BANCO10[[#This Row],[STATUS DA ETAPA]],"")</f>
        <v/>
      </c>
    </row>
    <row r="88" spans="1:100">
      <c r="A88" s="44" t="s">
        <v>2</v>
      </c>
      <c r="B88" s="44">
        <v>45383</v>
      </c>
      <c r="C88" s="44" t="s">
        <v>2</v>
      </c>
      <c r="D88" s="44">
        <v>45383</v>
      </c>
      <c r="E88" s="44" t="s">
        <v>2</v>
      </c>
      <c r="F88" s="44">
        <v>45383</v>
      </c>
      <c r="G88" s="44" t="s">
        <v>2</v>
      </c>
      <c r="H88" s="44">
        <v>45383</v>
      </c>
      <c r="I88" s="45" t="s">
        <v>2</v>
      </c>
      <c r="J88" s="46">
        <v>45536</v>
      </c>
      <c r="K88" s="45" t="s">
        <v>2</v>
      </c>
      <c r="L88" s="33">
        <v>45536</v>
      </c>
      <c r="M88" s="45" t="s">
        <v>2</v>
      </c>
      <c r="N88" s="33">
        <v>45536</v>
      </c>
      <c r="O88" s="44" t="s">
        <v>2</v>
      </c>
      <c r="P88" s="44">
        <v>45475</v>
      </c>
      <c r="Q88" s="44" t="s">
        <v>2</v>
      </c>
      <c r="R88" s="44">
        <v>45478</v>
      </c>
      <c r="S88" s="44" t="s">
        <v>2</v>
      </c>
      <c r="T88" s="44">
        <v>45536</v>
      </c>
      <c r="U88" s="44" t="s">
        <v>1</v>
      </c>
      <c r="V88" s="44"/>
      <c r="W88" s="44" t="s">
        <v>1</v>
      </c>
      <c r="X88" s="44"/>
      <c r="Y88" s="44" t="s">
        <v>1</v>
      </c>
      <c r="Z88" s="44"/>
      <c r="AA88" s="44" t="s">
        <v>1</v>
      </c>
      <c r="AB88" s="44"/>
      <c r="AC88" s="51">
        <v>45425</v>
      </c>
      <c r="AD88" s="83">
        <v>45553</v>
      </c>
      <c r="AE88" s="41" t="s">
        <v>2</v>
      </c>
      <c r="AF88" s="41" t="s">
        <v>2</v>
      </c>
      <c r="AG88" s="40" t="s">
        <v>5</v>
      </c>
      <c r="AH88" s="36" t="s">
        <v>0</v>
      </c>
      <c r="AI88" s="49">
        <v>0</v>
      </c>
      <c r="AJ88" s="36" t="s">
        <v>6</v>
      </c>
      <c r="AK88" s="10">
        <v>549273</v>
      </c>
      <c r="AL88" s="36" t="s">
        <v>1</v>
      </c>
      <c r="AM88" s="36" t="s">
        <v>1</v>
      </c>
      <c r="AN88" s="35" t="s">
        <v>2</v>
      </c>
      <c r="AO88" s="35" t="s">
        <v>2</v>
      </c>
      <c r="AP88" s="35" t="s">
        <v>2</v>
      </c>
      <c r="AQ88" s="35" t="s">
        <v>2</v>
      </c>
      <c r="AR88" s="45" t="s">
        <v>2</v>
      </c>
      <c r="AS88" s="46">
        <v>45614</v>
      </c>
      <c r="AT88" s="30" t="s">
        <v>1</v>
      </c>
      <c r="AU88" s="31"/>
      <c r="AV88" s="30" t="s">
        <v>1</v>
      </c>
      <c r="AW88" s="31"/>
      <c r="AX88" s="30" t="s">
        <v>2</v>
      </c>
      <c r="AY88" s="31">
        <v>45614</v>
      </c>
      <c r="AZ88" s="30" t="s">
        <v>0</v>
      </c>
      <c r="BA88" s="31"/>
      <c r="BB88" s="74" t="s">
        <v>789</v>
      </c>
      <c r="BC88" s="25" t="s">
        <v>45</v>
      </c>
      <c r="BD88" s="24"/>
      <c r="BE88" s="24"/>
      <c r="BF88" s="24"/>
      <c r="BG88" s="24"/>
      <c r="BH88" s="130"/>
      <c r="BI88" s="24"/>
      <c r="BJ88" s="24"/>
      <c r="BK88" s="24"/>
      <c r="BL88" s="24"/>
      <c r="BM88" s="24"/>
      <c r="BN88" s="24"/>
      <c r="BO88" s="24"/>
      <c r="BP88" s="24"/>
      <c r="BQ88" s="22">
        <f>YEAR([1]!BANCO10[[#This Row],[DATA INÍCIO]])</f>
        <v>2024</v>
      </c>
      <c r="BR88" s="22">
        <f>MONTH([1]!BANCO10[[#This Row],[DATA INÍCIO]])</f>
        <v>5</v>
      </c>
      <c r="BS88" s="23" t="e">
        <f>CONCATENATE(#REF!,#REF!)</f>
        <v>#REF!</v>
      </c>
      <c r="BT88" s="22"/>
      <c r="BU88" s="132" t="s">
        <v>788</v>
      </c>
      <c r="BV88" s="132" t="str">
        <f>IF([1]!BANCO10[[#This Row],[SOLUÇÃO]]=BV$1,[1]!BANCO10[[#This Row],[STATUS DA ETAPA]],"")</f>
        <v/>
      </c>
      <c r="BW88" s="132" t="str">
        <f>IF([1]!BANCO10[[#This Row],[SOLUÇÃO]]=BW$1,[1]!BANCO10[[#This Row],[STATUS DA ETAPA]],"")</f>
        <v/>
      </c>
      <c r="BX88" s="132" t="str">
        <f>IF([1]!BANCO10[[#This Row],[SOLUÇÃO]]=BX$1,[1]!BANCO10[[#This Row],[STATUS DA ETAPA]],"")</f>
        <v/>
      </c>
      <c r="BY88" s="132" t="str">
        <f>IF([1]!BANCO10[[#This Row],[SOLUÇÃO]]=BY$1,[1]!BANCO10[[#This Row],[STATUS DA ETAPA]],"")</f>
        <v/>
      </c>
      <c r="BZ88" s="132" t="str">
        <f>IF([1]!BANCO10[[#This Row],[SOLUÇÃO]]=BZ$1,[1]!BANCO10[[#This Row],[STATUS DA ETAPA]],"")</f>
        <v/>
      </c>
      <c r="CA88" s="132" t="str">
        <f>IF([1]!BANCO10[[#This Row],[SOLUÇÃO]]=CA$1,[1]!BANCO10[[#This Row],[STATUS DA ETAPA]],"")</f>
        <v/>
      </c>
      <c r="CB88" s="132" t="str">
        <f>IF([1]!BANCO10[[#This Row],[SOLUÇÃO]]=CB$1,[1]!BANCO10[[#This Row],[STATUS DA ETAPA]],"")</f>
        <v>CONCLUÍDO</v>
      </c>
      <c r="CC88" s="132" t="str">
        <f>IF([1]!BANCO10[[#This Row],[SOLUÇÃO]]=CC$1,[1]!BANCO10[[#This Row],[STATUS DA ETAPA]],"")</f>
        <v/>
      </c>
      <c r="CD88" s="132" t="str">
        <f>IF([1]!BANCO10[[#This Row],[SOLUÇÃO]]=CD$1,[1]!BANCO10[[#This Row],[STATUS DA ETAPA]],"")</f>
        <v/>
      </c>
      <c r="CE88" s="132" t="str">
        <f>IF([1]!BANCO10[[#This Row],[SOLUÇÃO]]=CE$1,[1]!BANCO10[[#This Row],[STATUS DA ETAPA]],"")</f>
        <v/>
      </c>
      <c r="CF88" s="132" t="str">
        <f>IF([1]!BANCO10[[#This Row],[SOLUÇÃO]]=CF$1,[1]!BANCO10[[#This Row],[STATUS DA ETAPA]],"")</f>
        <v/>
      </c>
      <c r="CG88" s="132" t="str">
        <f>IF([1]!BANCO10[[#This Row],[SOLUÇÃO]]=CG$1,[1]!BANCO10[[#This Row],[STATUS DA ETAPA]],"")</f>
        <v/>
      </c>
      <c r="CH88" s="132" t="str">
        <f>IF([1]!BANCO10[[#This Row],[SOLUÇÃO]]=CH$1,[1]!BANCO10[[#This Row],[STATUS DA ETAPA]],"")</f>
        <v/>
      </c>
      <c r="CI88" s="132" t="str">
        <f>IF([1]!BANCO10[[#This Row],[SOLUÇÃO]]=CI$1,[1]!BANCO10[[#This Row],[STATUS DA ETAPA]],"")</f>
        <v/>
      </c>
      <c r="CJ88" s="132" t="str">
        <f>IF([1]!BANCO10[[#This Row],[SOLUÇÃO]]=CJ$1,[1]!BANCO10[[#This Row],[STATUS DA ETAPA]],"")</f>
        <v/>
      </c>
      <c r="CK88" s="132" t="str">
        <f>IF([1]!BANCO10[[#This Row],[SOLUÇÃO]]=CK$1,[1]!BANCO10[[#This Row],[STATUS DA ETAPA]],"")</f>
        <v/>
      </c>
      <c r="CL88" s="132" t="str">
        <f>IF([1]!BANCO10[[#This Row],[SOLUÇÃO]]=CL$1,[1]!BANCO10[[#This Row],[STATUS DA ETAPA]],"")</f>
        <v/>
      </c>
      <c r="CM88" s="132" t="str">
        <f>IF([1]!BANCO10[[#This Row],[SOLUÇÃO]]=CM$1,[1]!BANCO10[[#This Row],[STATUS DA ETAPA]],"")</f>
        <v/>
      </c>
      <c r="CN88" s="132" t="str">
        <f>IF([1]!BANCO10[[#This Row],[SOLUÇÃO]]=CN$1,[1]!BANCO10[[#This Row],[STATUS DA ETAPA]],"")</f>
        <v/>
      </c>
      <c r="CO88" s="132" t="str">
        <f>IF([1]!BANCO10[[#This Row],[SOLUÇÃO]]=CO$1,[1]!BANCO10[[#This Row],[STATUS DA ETAPA]],"")</f>
        <v/>
      </c>
      <c r="CP88" s="132" t="str">
        <f>IF([1]!BANCO10[[#This Row],[SOLUÇÃO]]=CP$1,[1]!BANCO10[[#This Row],[STATUS DA ETAPA]],"")</f>
        <v/>
      </c>
      <c r="CQ88" s="132" t="str">
        <f>IF([1]!BANCO10[[#This Row],[SOLUÇÃO]]=CQ$1,[1]!BANCO10[[#This Row],[STATUS DA ETAPA]],"")</f>
        <v/>
      </c>
      <c r="CR88" s="132" t="str">
        <f>IF([1]!BANCO10[[#This Row],[SOLUÇÃO]]=CR$1,[1]!BANCO10[[#This Row],[STATUS DA ETAPA]],"")</f>
        <v/>
      </c>
      <c r="CS88" s="132" t="str">
        <f>IF([1]!BANCO10[[#This Row],[SOLUÇÃO]]=CS$1,[1]!BANCO10[[#This Row],[STATUS DA ETAPA]],"")</f>
        <v/>
      </c>
      <c r="CT88" s="132" t="str">
        <f>IF([1]!BANCO10[[#This Row],[SOLUÇÃO]]=CT$1,[1]!BANCO10[[#This Row],[STATUS DA ETAPA]],"")</f>
        <v/>
      </c>
      <c r="CU88" s="132" t="str">
        <f>IF([1]!BANCO10[[#This Row],[SOLUÇÃO]]=CU$1,[1]!BANCO10[[#This Row],[STATUS DA ETAPA]],"")</f>
        <v/>
      </c>
      <c r="CV88" s="132" t="str">
        <f>IF([1]!BANCO10[[#This Row],[SOLUÇÃO]]=CV$1,[1]!BANCO10[[#This Row],[STATUS DA ETAPA]],"")</f>
        <v/>
      </c>
    </row>
    <row r="89" spans="1:100">
      <c r="A89" s="44" t="s">
        <v>1</v>
      </c>
      <c r="B89" s="44"/>
      <c r="C89" s="44" t="s">
        <v>1</v>
      </c>
      <c r="D89" s="44"/>
      <c r="E89" s="44" t="s">
        <v>1</v>
      </c>
      <c r="F89" s="44"/>
      <c r="G89" s="44" t="s">
        <v>1</v>
      </c>
      <c r="H89" s="44"/>
      <c r="I89" s="45" t="s">
        <v>0</v>
      </c>
      <c r="J89" s="46"/>
      <c r="K89" s="45" t="s">
        <v>0</v>
      </c>
      <c r="L89" s="33"/>
      <c r="M89" s="45" t="s">
        <v>0</v>
      </c>
      <c r="N89" s="33"/>
      <c r="O89" s="44"/>
      <c r="P89" s="44"/>
      <c r="Q89" s="44" t="s">
        <v>1</v>
      </c>
      <c r="R89" s="44"/>
      <c r="S89" s="44"/>
      <c r="T89" s="44"/>
      <c r="U89" s="44"/>
      <c r="V89" s="44"/>
      <c r="W89" s="44"/>
      <c r="X89" s="44"/>
      <c r="Y89" s="44"/>
      <c r="Z89" s="44"/>
      <c r="AA89" s="44"/>
      <c r="AB89" s="44"/>
      <c r="AC89" s="51">
        <v>45636</v>
      </c>
      <c r="AD89" s="50">
        <v>45636</v>
      </c>
      <c r="AE89" s="41" t="s">
        <v>1</v>
      </c>
      <c r="AF89" s="41" t="s">
        <v>1</v>
      </c>
      <c r="AG89" s="40" t="s">
        <v>4</v>
      </c>
      <c r="AH89" s="36" t="s">
        <v>0</v>
      </c>
      <c r="AI89" s="49">
        <v>0</v>
      </c>
      <c r="AJ89" s="36" t="s">
        <v>1</v>
      </c>
      <c r="AK89" s="10" t="s">
        <v>1</v>
      </c>
      <c r="AL89" s="36" t="s">
        <v>1</v>
      </c>
      <c r="AM89" s="36" t="s">
        <v>1</v>
      </c>
      <c r="AN89" s="35" t="s">
        <v>1</v>
      </c>
      <c r="AO89" s="35" t="s">
        <v>1</v>
      </c>
      <c r="AP89" s="35" t="s">
        <v>1</v>
      </c>
      <c r="AQ89" s="35" t="s">
        <v>2</v>
      </c>
      <c r="AR89" s="45" t="s">
        <v>0</v>
      </c>
      <c r="AS89" s="46"/>
      <c r="AT89" s="30" t="s">
        <v>0</v>
      </c>
      <c r="AU89" s="31"/>
      <c r="AV89" s="30" t="s">
        <v>0</v>
      </c>
      <c r="AW89" s="31"/>
      <c r="AX89" s="30" t="s">
        <v>0</v>
      </c>
      <c r="AY89" s="29"/>
      <c r="AZ89" s="28" t="s">
        <v>0</v>
      </c>
      <c r="BA89" s="27"/>
      <c r="BB89" s="26"/>
      <c r="BC89" s="25"/>
      <c r="BD89" s="24"/>
      <c r="BE89" s="24"/>
      <c r="BF89" s="24"/>
      <c r="BG89" s="24"/>
      <c r="BH89" s="24"/>
      <c r="BI89" s="24"/>
      <c r="BJ89" s="24"/>
      <c r="BK89" s="24"/>
      <c r="BL89" s="24"/>
      <c r="BM89" s="24"/>
      <c r="BN89" s="24"/>
      <c r="BO89" s="24"/>
      <c r="BP89" s="24"/>
      <c r="BQ89" s="22">
        <f>YEAR([1]!BANCO10[[#This Row],[DATA INÍCIO]])</f>
        <v>2024</v>
      </c>
      <c r="BR89" s="22">
        <f>MONTH([1]!BANCO10[[#This Row],[DATA INÍCIO]])</f>
        <v>12</v>
      </c>
      <c r="BS89" s="23" t="e">
        <f>CONCATENATE(#REF!,#REF!)</f>
        <v>#REF!</v>
      </c>
      <c r="BT89" s="22"/>
      <c r="BU89" s="22"/>
      <c r="BV89" s="21" t="str">
        <f>IF([1]!BANCO10[[#This Row],[SOLUÇÃO]]=BV$1,[1]!BANCO10[[#This Row],[STATUS DA ETAPA]],"")</f>
        <v/>
      </c>
      <c r="BW89" s="21" t="str">
        <f>IF([1]!BANCO10[[#This Row],[SOLUÇÃO]]=BW$1,[1]!BANCO10[[#This Row],[STATUS DA ETAPA]],"")</f>
        <v/>
      </c>
      <c r="BX89" s="21" t="str">
        <f>IF([1]!BANCO10[[#This Row],[SOLUÇÃO]]=BX$1,[1]!BANCO10[[#This Row],[STATUS DA ETAPA]],"")</f>
        <v/>
      </c>
      <c r="BY89" s="21" t="str">
        <f>IF([1]!BANCO10[[#This Row],[SOLUÇÃO]]=BY$1,[1]!BANCO10[[#This Row],[STATUS DA ETAPA]],"")</f>
        <v/>
      </c>
      <c r="BZ89" s="21" t="str">
        <f>IF([1]!BANCO10[[#This Row],[SOLUÇÃO]]=BZ$1,[1]!BANCO10[[#This Row],[STATUS DA ETAPA]],"")</f>
        <v/>
      </c>
      <c r="CA89" s="21" t="str">
        <f>IF([1]!BANCO10[[#This Row],[SOLUÇÃO]]=CA$1,[1]!BANCO10[[#This Row],[STATUS DA ETAPA]],"")</f>
        <v/>
      </c>
      <c r="CB89" s="21" t="str">
        <f>IF([1]!BANCO10[[#This Row],[SOLUÇÃO]]=CB$1,[1]!BANCO10[[#This Row],[STATUS DA ETAPA]],"")</f>
        <v/>
      </c>
      <c r="CC89" s="21" t="str">
        <f>IF([1]!BANCO10[[#This Row],[SOLUÇÃO]]=CC$1,[1]!BANCO10[[#This Row],[STATUS DA ETAPA]],"")</f>
        <v/>
      </c>
      <c r="CD89" s="21" t="str">
        <f>IF([1]!BANCO10[[#This Row],[SOLUÇÃO]]=CD$1,[1]!BANCO10[[#This Row],[STATUS DA ETAPA]],"")</f>
        <v/>
      </c>
      <c r="CE89" s="21" t="str">
        <f>IF([1]!BANCO10[[#This Row],[SOLUÇÃO]]=CE$1,[1]!BANCO10[[#This Row],[STATUS DA ETAPA]],"")</f>
        <v/>
      </c>
      <c r="CF89" s="21" t="str">
        <f>IF([1]!BANCO10[[#This Row],[SOLUÇÃO]]=CF$1,[1]!BANCO10[[#This Row],[STATUS DA ETAPA]],"")</f>
        <v/>
      </c>
      <c r="CG89" s="21" t="str">
        <f>IF([1]!BANCO10[[#This Row],[SOLUÇÃO]]=CG$1,[1]!BANCO10[[#This Row],[STATUS DA ETAPA]],"")</f>
        <v/>
      </c>
      <c r="CH89" s="21" t="str">
        <f>IF([1]!BANCO10[[#This Row],[SOLUÇÃO]]=CH$1,[1]!BANCO10[[#This Row],[STATUS DA ETAPA]],"")</f>
        <v/>
      </c>
      <c r="CI89" s="21" t="str">
        <f>IF([1]!BANCO10[[#This Row],[SOLUÇÃO]]=CI$1,[1]!BANCO10[[#This Row],[STATUS DA ETAPA]],"")</f>
        <v/>
      </c>
      <c r="CJ89" s="21" t="str">
        <f>IF([1]!BANCO10[[#This Row],[SOLUÇÃO]]=CJ$1,[1]!BANCO10[[#This Row],[STATUS DA ETAPA]],"")</f>
        <v/>
      </c>
      <c r="CK89" s="21" t="str">
        <f>IF([1]!BANCO10[[#This Row],[SOLUÇÃO]]=CK$1,[1]!BANCO10[[#This Row],[STATUS DA ETAPA]],"")</f>
        <v/>
      </c>
      <c r="CL89" s="21" t="str">
        <f>IF([1]!BANCO10[[#This Row],[SOLUÇÃO]]=CL$1,[1]!BANCO10[[#This Row],[STATUS DA ETAPA]],"")</f>
        <v/>
      </c>
      <c r="CM89" s="21" t="str">
        <f>IF([1]!BANCO10[[#This Row],[SOLUÇÃO]]=CM$1,[1]!BANCO10[[#This Row],[STATUS DA ETAPA]],"")</f>
        <v/>
      </c>
      <c r="CN89" s="21" t="str">
        <f>IF([1]!BANCO10[[#This Row],[SOLUÇÃO]]=CN$1,[1]!BANCO10[[#This Row],[STATUS DA ETAPA]],"")</f>
        <v/>
      </c>
      <c r="CO89" s="21" t="str">
        <f>IF([1]!BANCO10[[#This Row],[SOLUÇÃO]]=CO$1,[1]!BANCO10[[#This Row],[STATUS DA ETAPA]],"")</f>
        <v/>
      </c>
      <c r="CP89" s="21" t="str">
        <f>IF([1]!BANCO10[[#This Row],[SOLUÇÃO]]=CP$1,[1]!BANCO10[[#This Row],[STATUS DA ETAPA]],"")</f>
        <v/>
      </c>
      <c r="CQ89" s="21" t="str">
        <f>IF([1]!BANCO10[[#This Row],[SOLUÇÃO]]=CQ$1,[1]!BANCO10[[#This Row],[STATUS DA ETAPA]],"")</f>
        <v/>
      </c>
      <c r="CR89" s="21" t="str">
        <f>IF([1]!BANCO10[[#This Row],[SOLUÇÃO]]=CR$1,[1]!BANCO10[[#This Row],[STATUS DA ETAPA]],"")</f>
        <v/>
      </c>
      <c r="CS89" s="21" t="str">
        <f>IF([1]!BANCO10[[#This Row],[SOLUÇÃO]]=CS$1,[1]!BANCO10[[#This Row],[STATUS DA ETAPA]],"")</f>
        <v/>
      </c>
      <c r="CT89" s="21" t="str">
        <f>IF([1]!BANCO10[[#This Row],[SOLUÇÃO]]=CT$1,[1]!BANCO10[[#This Row],[STATUS DA ETAPA]],"")</f>
        <v/>
      </c>
      <c r="CU89" s="21" t="str">
        <f>IF([1]!BANCO10[[#This Row],[SOLUÇÃO]]=CU$1,[1]!BANCO10[[#This Row],[STATUS DA ETAPA]],"")</f>
        <v/>
      </c>
      <c r="CV89" s="21" t="str">
        <f>IF([1]!BANCO10[[#This Row],[SOLUÇÃO]]=CV$1,[1]!BANCO10[[#This Row],[STATUS DA ETAPA]],"")</f>
        <v/>
      </c>
    </row>
    <row r="90" spans="1:100">
      <c r="A90" s="44" t="s">
        <v>1</v>
      </c>
      <c r="B90" s="44"/>
      <c r="C90" s="44" t="s">
        <v>1</v>
      </c>
      <c r="D90" s="44"/>
      <c r="E90" s="44" t="s">
        <v>1</v>
      </c>
      <c r="F90" s="44"/>
      <c r="G90" s="44" t="s">
        <v>1</v>
      </c>
      <c r="H90" s="44"/>
      <c r="I90" s="45" t="s">
        <v>1</v>
      </c>
      <c r="J90" s="46"/>
      <c r="K90" s="45" t="s">
        <v>1</v>
      </c>
      <c r="L90" s="33"/>
      <c r="M90" s="45" t="s">
        <v>1</v>
      </c>
      <c r="N90" s="33"/>
      <c r="O90" s="44" t="s">
        <v>1</v>
      </c>
      <c r="P90" s="44"/>
      <c r="Q90" s="44" t="s">
        <v>1</v>
      </c>
      <c r="R90" s="44"/>
      <c r="S90" s="44" t="s">
        <v>1</v>
      </c>
      <c r="T90" s="44"/>
      <c r="U90" s="44" t="s">
        <v>1</v>
      </c>
      <c r="V90" s="44"/>
      <c r="W90" s="44" t="s">
        <v>1</v>
      </c>
      <c r="X90" s="44"/>
      <c r="Y90" s="44" t="s">
        <v>1</v>
      </c>
      <c r="Z90" s="44"/>
      <c r="AA90" s="44" t="s">
        <v>1</v>
      </c>
      <c r="AB90" s="44"/>
      <c r="AC90" s="51">
        <v>45536</v>
      </c>
      <c r="AD90" s="50">
        <v>45536</v>
      </c>
      <c r="AE90" s="41" t="s">
        <v>1</v>
      </c>
      <c r="AF90" s="41" t="s">
        <v>1</v>
      </c>
      <c r="AG90" s="40" t="s">
        <v>5</v>
      </c>
      <c r="AH90" s="36" t="s">
        <v>1</v>
      </c>
      <c r="AI90" s="49">
        <v>0</v>
      </c>
      <c r="AJ90" s="36" t="s">
        <v>1</v>
      </c>
      <c r="AK90" s="10" t="s">
        <v>1</v>
      </c>
      <c r="AL90" s="36" t="s">
        <v>1</v>
      </c>
      <c r="AM90" s="36" t="s">
        <v>1</v>
      </c>
      <c r="AN90" s="35" t="s">
        <v>1</v>
      </c>
      <c r="AO90" s="35" t="s">
        <v>1</v>
      </c>
      <c r="AP90" s="35" t="s">
        <v>1</v>
      </c>
      <c r="AQ90" s="35" t="s">
        <v>1</v>
      </c>
      <c r="AR90" s="173" t="s">
        <v>1</v>
      </c>
      <c r="AS90" s="172"/>
      <c r="AT90" s="88"/>
      <c r="AU90" s="25"/>
      <c r="AV90" s="88"/>
      <c r="AW90" s="25"/>
      <c r="AX90" s="88" t="s">
        <v>1</v>
      </c>
      <c r="AY90" s="25"/>
      <c r="AZ90" s="88" t="s">
        <v>1</v>
      </c>
      <c r="BA90" s="25"/>
      <c r="BB90" s="39"/>
      <c r="BC90" s="25"/>
      <c r="BD90" s="24"/>
      <c r="BE90" s="24"/>
      <c r="BF90" s="79"/>
      <c r="BG90" s="79"/>
      <c r="BH90" s="80"/>
      <c r="BI90" s="79"/>
      <c r="BJ90" s="54"/>
      <c r="BK90" s="78"/>
      <c r="BL90" s="69"/>
      <c r="BM90" s="78"/>
      <c r="BN90" s="78"/>
      <c r="BO90" s="78"/>
      <c r="BP90" s="78"/>
      <c r="BQ90" s="21">
        <f>YEAR([1]!BANCO10[[#This Row],[DATA INÍCIO]])</f>
        <v>2024</v>
      </c>
      <c r="BR90" s="21">
        <f>MONTH([1]!BANCO10[[#This Row],[DATA INÍCIO]])</f>
        <v>9</v>
      </c>
      <c r="BS90" s="21" t="e">
        <f>CONCATENATE(#REF!,#REF!)</f>
        <v>#REF!</v>
      </c>
      <c r="BT90" s="21"/>
      <c r="BU90" s="21"/>
      <c r="BV90" s="21" t="str">
        <f>IF([1]!BANCO10[[#This Row],[SOLUÇÃO]]=BV$1,[1]!BANCO10[[#This Row],[STATUS DA ETAPA]],"")</f>
        <v>CONCLUÍDO</v>
      </c>
      <c r="BW90" s="21" t="str">
        <f>IF([1]!BANCO10[[#This Row],[SOLUÇÃO]]=BW$1,[1]!BANCO10[[#This Row],[STATUS DA ETAPA]],"")</f>
        <v/>
      </c>
      <c r="BX90" s="21" t="str">
        <f>IF([1]!BANCO10[[#This Row],[SOLUÇÃO]]=BX$1,[1]!BANCO10[[#This Row],[STATUS DA ETAPA]],"")</f>
        <v/>
      </c>
      <c r="BY90" s="21" t="str">
        <f>IF([1]!BANCO10[[#This Row],[SOLUÇÃO]]=BY$1,[1]!BANCO10[[#This Row],[STATUS DA ETAPA]],"")</f>
        <v/>
      </c>
      <c r="BZ90" s="21" t="str">
        <f>IF([1]!BANCO10[[#This Row],[SOLUÇÃO]]=BZ$1,[1]!BANCO10[[#This Row],[STATUS DA ETAPA]],"")</f>
        <v/>
      </c>
      <c r="CA90" s="21" t="str">
        <f>IF([1]!BANCO10[[#This Row],[SOLUÇÃO]]=CA$1,[1]!BANCO10[[#This Row],[STATUS DA ETAPA]],"")</f>
        <v/>
      </c>
      <c r="CB90" s="21" t="str">
        <f>IF([1]!BANCO10[[#This Row],[SOLUÇÃO]]=CB$1,[1]!BANCO10[[#This Row],[STATUS DA ETAPA]],"")</f>
        <v/>
      </c>
      <c r="CC90" s="21" t="str">
        <f>IF([1]!BANCO10[[#This Row],[SOLUÇÃO]]=CC$1,[1]!BANCO10[[#This Row],[STATUS DA ETAPA]],"")</f>
        <v/>
      </c>
      <c r="CD90" s="21" t="str">
        <f>IF([1]!BANCO10[[#This Row],[SOLUÇÃO]]=CD$1,[1]!BANCO10[[#This Row],[STATUS DA ETAPA]],"")</f>
        <v/>
      </c>
      <c r="CE90" s="21" t="str">
        <f>IF([1]!BANCO10[[#This Row],[SOLUÇÃO]]=CE$1,[1]!BANCO10[[#This Row],[STATUS DA ETAPA]],"")</f>
        <v/>
      </c>
      <c r="CF90" s="21" t="str">
        <f>IF([1]!BANCO10[[#This Row],[SOLUÇÃO]]=CF$1,[1]!BANCO10[[#This Row],[STATUS DA ETAPA]],"")</f>
        <v/>
      </c>
      <c r="CG90" s="21" t="str">
        <f>IF([1]!BANCO10[[#This Row],[SOLUÇÃO]]=CG$1,[1]!BANCO10[[#This Row],[STATUS DA ETAPA]],"")</f>
        <v/>
      </c>
      <c r="CH90" s="21" t="str">
        <f>IF([1]!BANCO10[[#This Row],[SOLUÇÃO]]=CH$1,[1]!BANCO10[[#This Row],[STATUS DA ETAPA]],"")</f>
        <v/>
      </c>
      <c r="CI90" s="21" t="str">
        <f>IF([1]!BANCO10[[#This Row],[SOLUÇÃO]]=CI$1,[1]!BANCO10[[#This Row],[STATUS DA ETAPA]],"")</f>
        <v/>
      </c>
      <c r="CJ90" s="21" t="str">
        <f>IF([1]!BANCO10[[#This Row],[SOLUÇÃO]]=CJ$1,[1]!BANCO10[[#This Row],[STATUS DA ETAPA]],"")</f>
        <v/>
      </c>
      <c r="CK90" s="21" t="str">
        <f>IF([1]!BANCO10[[#This Row],[SOLUÇÃO]]=CK$1,[1]!BANCO10[[#This Row],[STATUS DA ETAPA]],"")</f>
        <v/>
      </c>
      <c r="CL90" s="22" t="str">
        <f>IF([1]!BANCO10[[#This Row],[SOLUÇÃO]]=CL$1,[1]!BANCO10[[#This Row],[STATUS DA ETAPA]],"")</f>
        <v/>
      </c>
      <c r="CM90" s="64" t="str">
        <f>IF([1]!BANCO10[[#This Row],[SOLUÇÃO]]=CM$1,[1]!BANCO10[[#This Row],[STATUS DA ETAPA]],"")</f>
        <v/>
      </c>
      <c r="CN90" s="64" t="str">
        <f>IF([1]!BANCO10[[#This Row],[SOLUÇÃO]]=CN$1,[1]!BANCO10[[#This Row],[STATUS DA ETAPA]],"")</f>
        <v/>
      </c>
      <c r="CO90" s="64" t="str">
        <f>IF([1]!BANCO10[[#This Row],[SOLUÇÃO]]=CO$1,[1]!BANCO10[[#This Row],[STATUS DA ETAPA]],"")</f>
        <v/>
      </c>
      <c r="CP90" s="64" t="str">
        <f>IF([1]!BANCO10[[#This Row],[SOLUÇÃO]]=CP$1,[1]!BANCO10[[#This Row],[STATUS DA ETAPA]],"")</f>
        <v/>
      </c>
      <c r="CQ90" s="64" t="str">
        <f>IF([1]!BANCO10[[#This Row],[SOLUÇÃO]]=CQ$1,[1]!BANCO10[[#This Row],[STATUS DA ETAPA]],"")</f>
        <v/>
      </c>
      <c r="CR90" s="64" t="str">
        <f>IF([1]!BANCO10[[#This Row],[SOLUÇÃO]]=CR$1,[1]!BANCO10[[#This Row],[STATUS DA ETAPA]],"")</f>
        <v/>
      </c>
      <c r="CS90" s="64" t="str">
        <f>IF([1]!BANCO10[[#This Row],[SOLUÇÃO]]=CS$1,[1]!BANCO10[[#This Row],[STATUS DA ETAPA]],"")</f>
        <v/>
      </c>
      <c r="CT90" s="64" t="str">
        <f>IF([1]!BANCO10[[#This Row],[SOLUÇÃO]]=CT$1,[1]!BANCO10[[#This Row],[STATUS DA ETAPA]],"")</f>
        <v/>
      </c>
      <c r="CU90" s="64" t="str">
        <f>IF([1]!BANCO10[[#This Row],[SOLUÇÃO]]=CU$1,[1]!BANCO10[[#This Row],[STATUS DA ETAPA]],"")</f>
        <v/>
      </c>
      <c r="CV90" s="64" t="str">
        <f>IF([1]!BANCO10[[#This Row],[SOLUÇÃO]]=CV$1,[1]!BANCO10[[#This Row],[STATUS DA ETAPA]],"")</f>
        <v/>
      </c>
    </row>
    <row r="91" spans="1:100">
      <c r="A91" s="44" t="s">
        <v>1</v>
      </c>
      <c r="B91" s="44"/>
      <c r="C91" s="44" t="s">
        <v>1</v>
      </c>
      <c r="D91" s="44"/>
      <c r="E91" s="44" t="s">
        <v>1</v>
      </c>
      <c r="F91" s="44"/>
      <c r="G91" s="44" t="s">
        <v>1</v>
      </c>
      <c r="H91" s="44"/>
      <c r="I91" s="45" t="s">
        <v>1</v>
      </c>
      <c r="J91" s="46"/>
      <c r="K91" s="45" t="s">
        <v>1</v>
      </c>
      <c r="L91" s="33"/>
      <c r="M91" s="45" t="s">
        <v>1</v>
      </c>
      <c r="N91" s="33"/>
      <c r="O91" s="44" t="s">
        <v>2</v>
      </c>
      <c r="P91" s="44">
        <v>45531</v>
      </c>
      <c r="Q91" s="44" t="s">
        <v>2</v>
      </c>
      <c r="R91" s="44">
        <v>45536</v>
      </c>
      <c r="S91" s="44" t="s">
        <v>1</v>
      </c>
      <c r="T91" s="44"/>
      <c r="U91" s="44" t="s">
        <v>1</v>
      </c>
      <c r="V91" s="44"/>
      <c r="W91" s="44" t="s">
        <v>1</v>
      </c>
      <c r="X91" s="44"/>
      <c r="Y91" s="44" t="s">
        <v>1</v>
      </c>
      <c r="Z91" s="44"/>
      <c r="AA91" s="44" t="s">
        <v>1</v>
      </c>
      <c r="AB91" s="44"/>
      <c r="AC91" s="51">
        <v>45963</v>
      </c>
      <c r="AD91" s="50">
        <v>45963</v>
      </c>
      <c r="AE91" s="41" t="s">
        <v>1</v>
      </c>
      <c r="AF91" s="41" t="s">
        <v>0</v>
      </c>
      <c r="AG91" s="40" t="s">
        <v>5</v>
      </c>
      <c r="AH91" s="36" t="s">
        <v>1</v>
      </c>
      <c r="AI91" s="49">
        <v>0</v>
      </c>
      <c r="AJ91" s="36" t="s">
        <v>1</v>
      </c>
      <c r="AK91" s="10">
        <v>580497</v>
      </c>
      <c r="AL91" s="36" t="s">
        <v>1</v>
      </c>
      <c r="AM91" s="36" t="s">
        <v>1</v>
      </c>
      <c r="AN91" s="35" t="s">
        <v>0</v>
      </c>
      <c r="AO91" s="35" t="s">
        <v>0</v>
      </c>
      <c r="AP91" s="35" t="s">
        <v>0</v>
      </c>
      <c r="AQ91" s="35" t="s">
        <v>0</v>
      </c>
      <c r="AR91" s="45" t="s">
        <v>0</v>
      </c>
      <c r="AS91" s="46"/>
      <c r="AT91" s="32" t="s">
        <v>1</v>
      </c>
      <c r="AU91" s="31"/>
      <c r="AV91" s="32" t="s">
        <v>1</v>
      </c>
      <c r="AW91" s="31"/>
      <c r="AX91" s="30" t="s">
        <v>2</v>
      </c>
      <c r="AY91" s="29"/>
      <c r="AZ91" s="28" t="s">
        <v>0</v>
      </c>
      <c r="BA91" s="27"/>
      <c r="BB91" s="39"/>
      <c r="BC91" s="25"/>
      <c r="BD91" s="24"/>
      <c r="BE91" s="24"/>
      <c r="BF91" s="79"/>
      <c r="BG91" s="79"/>
      <c r="BH91" s="80"/>
      <c r="BI91" s="79"/>
      <c r="BJ91" s="54"/>
      <c r="BK91" s="78"/>
      <c r="BL91" s="69"/>
      <c r="BM91" s="78"/>
      <c r="BN91" s="78"/>
      <c r="BO91" s="78"/>
      <c r="BP91" s="78"/>
      <c r="BQ91" s="21">
        <f>YEAR([1]!BANCO10[[#This Row],[DATA INÍCIO]])</f>
        <v>2025</v>
      </c>
      <c r="BR91" s="21">
        <f>MONTH([1]!BANCO10[[#This Row],[DATA INÍCIO]])</f>
        <v>11</v>
      </c>
      <c r="BS91" s="21" t="e">
        <f>CONCATENATE(#REF!,#REF!)</f>
        <v>#REF!</v>
      </c>
      <c r="BT91" s="21"/>
      <c r="BU91" s="21"/>
      <c r="BV91" s="21" t="str">
        <f>IF([1]!BANCO10[[#This Row],[SOLUÇÃO]]=BV$1,[1]!BANCO10[[#This Row],[STATUS DA ETAPA]],"")</f>
        <v/>
      </c>
      <c r="BW91" s="21" t="str">
        <f>IF([1]!BANCO10[[#This Row],[SOLUÇÃO]]=BW$1,[1]!BANCO10[[#This Row],[STATUS DA ETAPA]],"")</f>
        <v/>
      </c>
      <c r="BX91" s="21" t="str">
        <f>IF([1]!BANCO10[[#This Row],[SOLUÇÃO]]=BX$1,[1]!BANCO10[[#This Row],[STATUS DA ETAPA]],"")</f>
        <v/>
      </c>
      <c r="BY91" s="21" t="str">
        <f>IF([1]!BANCO10[[#This Row],[SOLUÇÃO]]=BY$1,[1]!BANCO10[[#This Row],[STATUS DA ETAPA]],"")</f>
        <v/>
      </c>
      <c r="BZ91" s="21" t="str">
        <f>IF([1]!BANCO10[[#This Row],[SOLUÇÃO]]=BZ$1,[1]!BANCO10[[#This Row],[STATUS DA ETAPA]],"")</f>
        <v/>
      </c>
      <c r="CA91" s="21" t="str">
        <f>IF([1]!BANCO10[[#This Row],[SOLUÇÃO]]=CA$1,[1]!BANCO10[[#This Row],[STATUS DA ETAPA]],"")</f>
        <v/>
      </c>
      <c r="CB91" s="21" t="str">
        <f>IF([1]!BANCO10[[#This Row],[SOLUÇÃO]]=CB$1,[1]!BANCO10[[#This Row],[STATUS DA ETAPA]],"")</f>
        <v>TRANSFERIDO</v>
      </c>
      <c r="CC91" s="21" t="str">
        <f>IF([1]!BANCO10[[#This Row],[SOLUÇÃO]]=CC$1,[1]!BANCO10[[#This Row],[STATUS DA ETAPA]],"")</f>
        <v/>
      </c>
      <c r="CD91" s="21" t="str">
        <f>IF([1]!BANCO10[[#This Row],[SOLUÇÃO]]=CD$1,[1]!BANCO10[[#This Row],[STATUS DA ETAPA]],"")</f>
        <v/>
      </c>
      <c r="CE91" s="21" t="str">
        <f>IF([1]!BANCO10[[#This Row],[SOLUÇÃO]]=CE$1,[1]!BANCO10[[#This Row],[STATUS DA ETAPA]],"")</f>
        <v/>
      </c>
      <c r="CF91" s="21" t="str">
        <f>IF([1]!BANCO10[[#This Row],[SOLUÇÃO]]=CF$1,[1]!BANCO10[[#This Row],[STATUS DA ETAPA]],"")</f>
        <v/>
      </c>
      <c r="CG91" s="21" t="str">
        <f>IF([1]!BANCO10[[#This Row],[SOLUÇÃO]]=CG$1,[1]!BANCO10[[#This Row],[STATUS DA ETAPA]],"")</f>
        <v/>
      </c>
      <c r="CH91" s="21" t="str">
        <f>IF([1]!BANCO10[[#This Row],[SOLUÇÃO]]=CH$1,[1]!BANCO10[[#This Row],[STATUS DA ETAPA]],"")</f>
        <v/>
      </c>
      <c r="CI91" s="21" t="str">
        <f>IF([1]!BANCO10[[#This Row],[SOLUÇÃO]]=CI$1,[1]!BANCO10[[#This Row],[STATUS DA ETAPA]],"")</f>
        <v/>
      </c>
      <c r="CJ91" s="21" t="str">
        <f>IF([1]!BANCO10[[#This Row],[SOLUÇÃO]]=CJ$1,[1]!BANCO10[[#This Row],[STATUS DA ETAPA]],"")</f>
        <v/>
      </c>
      <c r="CK91" s="21" t="str">
        <f>IF([1]!BANCO10[[#This Row],[SOLUÇÃO]]=CK$1,[1]!BANCO10[[#This Row],[STATUS DA ETAPA]],"")</f>
        <v/>
      </c>
      <c r="CL91" s="22" t="str">
        <f>IF([1]!BANCO10[[#This Row],[SOLUÇÃO]]=CL$1,[1]!BANCO10[[#This Row],[STATUS DA ETAPA]],"")</f>
        <v/>
      </c>
      <c r="CM91" s="64" t="str">
        <f>IF([1]!BANCO10[[#This Row],[SOLUÇÃO]]=CM$1,[1]!BANCO10[[#This Row],[STATUS DA ETAPA]],"")</f>
        <v/>
      </c>
      <c r="CN91" s="64" t="str">
        <f>IF([1]!BANCO10[[#This Row],[SOLUÇÃO]]=CN$1,[1]!BANCO10[[#This Row],[STATUS DA ETAPA]],"")</f>
        <v/>
      </c>
      <c r="CO91" s="64" t="str">
        <f>IF([1]!BANCO10[[#This Row],[SOLUÇÃO]]=CO$1,[1]!BANCO10[[#This Row],[STATUS DA ETAPA]],"")</f>
        <v/>
      </c>
      <c r="CP91" s="64" t="str">
        <f>IF([1]!BANCO10[[#This Row],[SOLUÇÃO]]=CP$1,[1]!BANCO10[[#This Row],[STATUS DA ETAPA]],"")</f>
        <v/>
      </c>
      <c r="CQ91" s="64" t="str">
        <f>IF([1]!BANCO10[[#This Row],[SOLUÇÃO]]=CQ$1,[1]!BANCO10[[#This Row],[STATUS DA ETAPA]],"")</f>
        <v/>
      </c>
      <c r="CR91" s="64" t="str">
        <f>IF([1]!BANCO10[[#This Row],[SOLUÇÃO]]=CR$1,[1]!BANCO10[[#This Row],[STATUS DA ETAPA]],"")</f>
        <v/>
      </c>
      <c r="CS91" s="64" t="str">
        <f>IF([1]!BANCO10[[#This Row],[SOLUÇÃO]]=CS$1,[1]!BANCO10[[#This Row],[STATUS DA ETAPA]],"")</f>
        <v/>
      </c>
      <c r="CT91" s="64" t="str">
        <f>IF([1]!BANCO10[[#This Row],[SOLUÇÃO]]=CT$1,[1]!BANCO10[[#This Row],[STATUS DA ETAPA]],"")</f>
        <v/>
      </c>
      <c r="CU91" s="64" t="str">
        <f>IF([1]!BANCO10[[#This Row],[SOLUÇÃO]]=CU$1,[1]!BANCO10[[#This Row],[STATUS DA ETAPA]],"")</f>
        <v/>
      </c>
      <c r="CV91" s="64" t="str">
        <f>IF([1]!BANCO10[[#This Row],[SOLUÇÃO]]=CV$1,[1]!BANCO10[[#This Row],[STATUS DA ETAPA]],"")</f>
        <v/>
      </c>
    </row>
    <row r="92" spans="1:100">
      <c r="A92" s="44" t="s">
        <v>2</v>
      </c>
      <c r="B92" s="44">
        <v>45713</v>
      </c>
      <c r="C92" s="44" t="s">
        <v>2</v>
      </c>
      <c r="D92" s="44">
        <v>45713</v>
      </c>
      <c r="E92" s="44" t="s">
        <v>2</v>
      </c>
      <c r="F92" s="44">
        <v>45713</v>
      </c>
      <c r="G92" s="44" t="s">
        <v>2</v>
      </c>
      <c r="H92" s="44">
        <v>45713</v>
      </c>
      <c r="I92" s="45" t="s">
        <v>2</v>
      </c>
      <c r="J92" s="46">
        <v>45736</v>
      </c>
      <c r="K92" s="45" t="s">
        <v>0</v>
      </c>
      <c r="L92" s="33"/>
      <c r="M92" s="45" t="s">
        <v>0</v>
      </c>
      <c r="N92" s="33"/>
      <c r="O92" s="44" t="s">
        <v>1</v>
      </c>
      <c r="P92" s="44"/>
      <c r="Q92" s="44" t="s">
        <v>1</v>
      </c>
      <c r="R92" s="44"/>
      <c r="S92" s="44" t="s">
        <v>2</v>
      </c>
      <c r="T92" s="44">
        <v>45708</v>
      </c>
      <c r="U92" s="44" t="s">
        <v>1</v>
      </c>
      <c r="V92" s="44"/>
      <c r="W92" s="44" t="s">
        <v>1</v>
      </c>
      <c r="X92" s="44"/>
      <c r="Y92" s="44" t="s">
        <v>1</v>
      </c>
      <c r="Z92" s="44"/>
      <c r="AA92" s="44" t="s">
        <v>1</v>
      </c>
      <c r="AB92" s="44"/>
      <c r="AC92" s="51">
        <v>46022</v>
      </c>
      <c r="AD92" s="50">
        <v>46022</v>
      </c>
      <c r="AE92" s="41" t="s">
        <v>0</v>
      </c>
      <c r="AF92" s="41" t="s">
        <v>0</v>
      </c>
      <c r="AG92" s="40" t="s">
        <v>5</v>
      </c>
      <c r="AH92" s="36" t="s">
        <v>0</v>
      </c>
      <c r="AI92" s="49">
        <v>20140</v>
      </c>
      <c r="AJ92" s="36" t="s">
        <v>3</v>
      </c>
      <c r="AK92" s="21">
        <v>678859</v>
      </c>
      <c r="AL92" s="36" t="s">
        <v>1</v>
      </c>
      <c r="AM92" s="36" t="s">
        <v>1</v>
      </c>
      <c r="AN92" s="35" t="s">
        <v>0</v>
      </c>
      <c r="AO92" s="35" t="s">
        <v>0</v>
      </c>
      <c r="AP92" s="35" t="s">
        <v>0</v>
      </c>
      <c r="AQ92" s="35" t="s">
        <v>0</v>
      </c>
      <c r="AR92" s="45" t="s">
        <v>0</v>
      </c>
      <c r="AS92" s="46"/>
      <c r="AT92" s="32" t="s">
        <v>0</v>
      </c>
      <c r="AU92" s="31"/>
      <c r="AV92" s="32" t="s">
        <v>0</v>
      </c>
      <c r="AW92" s="31"/>
      <c r="AX92" s="32" t="s">
        <v>0</v>
      </c>
      <c r="AY92" s="31"/>
      <c r="AZ92" s="32" t="s">
        <v>0</v>
      </c>
      <c r="BA92" s="31"/>
      <c r="BB92" s="26" t="s">
        <v>7</v>
      </c>
      <c r="BC92" s="25" t="s">
        <v>787</v>
      </c>
      <c r="BD92" s="24"/>
      <c r="BE92" s="24"/>
      <c r="BF92" s="24"/>
      <c r="BG92" s="24"/>
      <c r="BH92" s="24"/>
      <c r="BI92" s="24"/>
      <c r="BJ92" s="24"/>
      <c r="BK92" s="24"/>
      <c r="BL92" s="24"/>
      <c r="BM92" s="24"/>
      <c r="BN92" s="24"/>
      <c r="BO92" s="24"/>
      <c r="BP92" s="24"/>
      <c r="BQ92" s="22">
        <f>YEAR([1]!BANCO10[[#This Row],[DATA INÍCIO]])</f>
        <v>2025</v>
      </c>
      <c r="BR92" s="22">
        <f>MONTH([1]!BANCO10[[#This Row],[DATA INÍCIO]])</f>
        <v>12</v>
      </c>
      <c r="BS92" s="23" t="e">
        <f>CONCATENATE(#REF!,#REF!)</f>
        <v>#REF!</v>
      </c>
      <c r="BT92" s="22"/>
      <c r="BU92" s="22"/>
      <c r="BV92" s="21" t="str">
        <f>IF([1]!BANCO10[[#This Row],[SOLUÇÃO]]=BV$1,[1]!BANCO10[[#This Row],[STATUS DA ETAPA]],"")</f>
        <v/>
      </c>
      <c r="BW92" s="21" t="str">
        <f>IF([1]!BANCO10[[#This Row],[SOLUÇÃO]]=BW$1,[1]!BANCO10[[#This Row],[STATUS DA ETAPA]],"")</f>
        <v/>
      </c>
      <c r="BX92" s="21" t="str">
        <f>IF([1]!BANCO10[[#This Row],[SOLUÇÃO]]=BX$1,[1]!BANCO10[[#This Row],[STATUS DA ETAPA]],"")</f>
        <v/>
      </c>
      <c r="BY92" s="21" t="str">
        <f>IF([1]!BANCO10[[#This Row],[SOLUÇÃO]]=BY$1,[1]!BANCO10[[#This Row],[STATUS DA ETAPA]],"")</f>
        <v/>
      </c>
      <c r="BZ92" s="21" t="str">
        <f>IF([1]!BANCO10[[#This Row],[SOLUÇÃO]]=BZ$1,[1]!BANCO10[[#This Row],[STATUS DA ETAPA]],"")</f>
        <v/>
      </c>
      <c r="CA92" s="21" t="str">
        <f>IF([1]!BANCO10[[#This Row],[SOLUÇÃO]]=CA$1,[1]!BANCO10[[#This Row],[STATUS DA ETAPA]],"")</f>
        <v/>
      </c>
      <c r="CB92" s="21" t="str">
        <f>IF([1]!BANCO10[[#This Row],[SOLUÇÃO]]=CB$1,[1]!BANCO10[[#This Row],[STATUS DA ETAPA]],"")</f>
        <v>AGUARDANDO SALDO</v>
      </c>
      <c r="CC92" s="21" t="str">
        <f>IF([1]!BANCO10[[#This Row],[SOLUÇÃO]]=CC$1,[1]!BANCO10[[#This Row],[STATUS DA ETAPA]],"")</f>
        <v/>
      </c>
      <c r="CD92" s="21" t="str">
        <f>IF([1]!BANCO10[[#This Row],[SOLUÇÃO]]=CD$1,[1]!BANCO10[[#This Row],[STATUS DA ETAPA]],"")</f>
        <v/>
      </c>
      <c r="CE92" s="21" t="str">
        <f>IF([1]!BANCO10[[#This Row],[SOLUÇÃO]]=CE$1,[1]!BANCO10[[#This Row],[STATUS DA ETAPA]],"")</f>
        <v/>
      </c>
      <c r="CF92" s="21" t="str">
        <f>IF([1]!BANCO10[[#This Row],[SOLUÇÃO]]=CF$1,[1]!BANCO10[[#This Row],[STATUS DA ETAPA]],"")</f>
        <v/>
      </c>
      <c r="CG92" s="21" t="str">
        <f>IF([1]!BANCO10[[#This Row],[SOLUÇÃO]]=CG$1,[1]!BANCO10[[#This Row],[STATUS DA ETAPA]],"")</f>
        <v/>
      </c>
      <c r="CH92" s="21" t="str">
        <f>IF([1]!BANCO10[[#This Row],[SOLUÇÃO]]=CH$1,[1]!BANCO10[[#This Row],[STATUS DA ETAPA]],"")</f>
        <v/>
      </c>
      <c r="CI92" s="21" t="str">
        <f>IF([1]!BANCO10[[#This Row],[SOLUÇÃO]]=CI$1,[1]!BANCO10[[#This Row],[STATUS DA ETAPA]],"")</f>
        <v/>
      </c>
      <c r="CJ92" s="21" t="str">
        <f>IF([1]!BANCO10[[#This Row],[SOLUÇÃO]]=CJ$1,[1]!BANCO10[[#This Row],[STATUS DA ETAPA]],"")</f>
        <v/>
      </c>
      <c r="CK92" s="21" t="str">
        <f>IF([1]!BANCO10[[#This Row],[SOLUÇÃO]]=CK$1,[1]!BANCO10[[#This Row],[STATUS DA ETAPA]],"")</f>
        <v/>
      </c>
      <c r="CL92" s="21" t="str">
        <f>IF([1]!BANCO10[[#This Row],[SOLUÇÃO]]=CL$1,[1]!BANCO10[[#This Row],[STATUS DA ETAPA]],"")</f>
        <v/>
      </c>
      <c r="CM92" s="21" t="str">
        <f>IF([1]!BANCO10[[#This Row],[SOLUÇÃO]]=CM$1,[1]!BANCO10[[#This Row],[STATUS DA ETAPA]],"")</f>
        <v/>
      </c>
      <c r="CN92" s="21" t="str">
        <f>IF([1]!BANCO10[[#This Row],[SOLUÇÃO]]=CN$1,[1]!BANCO10[[#This Row],[STATUS DA ETAPA]],"")</f>
        <v/>
      </c>
      <c r="CO92" s="21" t="str">
        <f>IF([1]!BANCO10[[#This Row],[SOLUÇÃO]]=CO$1,[1]!BANCO10[[#This Row],[STATUS DA ETAPA]],"")</f>
        <v/>
      </c>
      <c r="CP92" s="21" t="str">
        <f>IF([1]!BANCO10[[#This Row],[SOLUÇÃO]]=CP$1,[1]!BANCO10[[#This Row],[STATUS DA ETAPA]],"")</f>
        <v/>
      </c>
      <c r="CQ92" s="21" t="str">
        <f>IF([1]!BANCO10[[#This Row],[SOLUÇÃO]]=CQ$1,[1]!BANCO10[[#This Row],[STATUS DA ETAPA]],"")</f>
        <v/>
      </c>
      <c r="CR92" s="21" t="str">
        <f>IF([1]!BANCO10[[#This Row],[SOLUÇÃO]]=CR$1,[1]!BANCO10[[#This Row],[STATUS DA ETAPA]],"")</f>
        <v/>
      </c>
      <c r="CS92" s="21" t="str">
        <f>IF([1]!BANCO10[[#This Row],[SOLUÇÃO]]=CS$1,[1]!BANCO10[[#This Row],[STATUS DA ETAPA]],"")</f>
        <v/>
      </c>
      <c r="CT92" s="21" t="str">
        <f>IF([1]!BANCO10[[#This Row],[SOLUÇÃO]]=CT$1,[1]!BANCO10[[#This Row],[STATUS DA ETAPA]],"")</f>
        <v/>
      </c>
      <c r="CU92" s="21" t="str">
        <f>IF([1]!BANCO10[[#This Row],[SOLUÇÃO]]=CU$1,[1]!BANCO10[[#This Row],[STATUS DA ETAPA]],"")</f>
        <v/>
      </c>
      <c r="CV92" s="21" t="str">
        <f>IF([1]!BANCO10[[#This Row],[SOLUÇÃO]]=CV$1,[1]!BANCO10[[#This Row],[STATUS DA ETAPA]],"")</f>
        <v/>
      </c>
    </row>
    <row r="93" spans="1:100">
      <c r="A93" s="44" t="s">
        <v>1</v>
      </c>
      <c r="B93" s="44"/>
      <c r="C93" s="44" t="s">
        <v>1</v>
      </c>
      <c r="D93" s="44"/>
      <c r="E93" s="44" t="s">
        <v>1</v>
      </c>
      <c r="F93" s="44"/>
      <c r="G93" s="44" t="s">
        <v>1</v>
      </c>
      <c r="H93" s="44"/>
      <c r="I93" s="45" t="s">
        <v>1</v>
      </c>
      <c r="J93" s="46"/>
      <c r="K93" s="45" t="s">
        <v>1</v>
      </c>
      <c r="L93" s="33"/>
      <c r="M93" s="45" t="s">
        <v>1</v>
      </c>
      <c r="N93" s="33"/>
      <c r="O93" s="44" t="s">
        <v>2</v>
      </c>
      <c r="P93" s="44">
        <v>44707</v>
      </c>
      <c r="Q93" s="44" t="s">
        <v>0</v>
      </c>
      <c r="R93" s="44"/>
      <c r="S93" s="44" t="s">
        <v>1</v>
      </c>
      <c r="T93" s="44"/>
      <c r="U93" s="44" t="s">
        <v>1</v>
      </c>
      <c r="V93" s="44"/>
      <c r="W93" s="44" t="s">
        <v>1</v>
      </c>
      <c r="X93" s="44"/>
      <c r="Y93" s="44" t="s">
        <v>1</v>
      </c>
      <c r="Z93" s="44"/>
      <c r="AA93" s="44" t="s">
        <v>1</v>
      </c>
      <c r="AB93" s="44"/>
      <c r="AC93" s="51">
        <v>44706</v>
      </c>
      <c r="AD93" s="50">
        <v>44706</v>
      </c>
      <c r="AE93" s="40" t="s">
        <v>1</v>
      </c>
      <c r="AF93" s="40" t="s">
        <v>1</v>
      </c>
      <c r="AG93" s="76" t="s">
        <v>5</v>
      </c>
      <c r="AH93" s="36" t="s">
        <v>1</v>
      </c>
      <c r="AI93" s="49">
        <v>0</v>
      </c>
      <c r="AJ93" s="36" t="s">
        <v>1</v>
      </c>
      <c r="AK93" s="10" t="s">
        <v>1</v>
      </c>
      <c r="AL93" s="36" t="s">
        <v>1</v>
      </c>
      <c r="AM93" s="36" t="s">
        <v>1</v>
      </c>
      <c r="AN93" s="35" t="s">
        <v>1</v>
      </c>
      <c r="AO93" s="35" t="s">
        <v>1</v>
      </c>
      <c r="AP93" s="35" t="s">
        <v>1</v>
      </c>
      <c r="AQ93" s="35" t="s">
        <v>1</v>
      </c>
      <c r="AR93" s="171" t="s">
        <v>1</v>
      </c>
      <c r="AS93" s="46"/>
      <c r="AT93" s="32" t="s">
        <v>1</v>
      </c>
      <c r="AU93" s="31"/>
      <c r="AV93" s="32" t="s">
        <v>1</v>
      </c>
      <c r="AW93" s="31"/>
      <c r="AX93" s="30" t="s">
        <v>1</v>
      </c>
      <c r="AY93" s="55"/>
      <c r="AZ93" s="30" t="s">
        <v>1</v>
      </c>
      <c r="BA93" s="55"/>
      <c r="BB93" s="74" t="s">
        <v>19</v>
      </c>
      <c r="BC93" s="25"/>
      <c r="BD93" s="24" t="s">
        <v>11</v>
      </c>
      <c r="BE93" s="24" t="s">
        <v>11</v>
      </c>
      <c r="BF93" s="24" t="s">
        <v>21</v>
      </c>
      <c r="BG93" s="24" t="s">
        <v>80</v>
      </c>
      <c r="BH93" s="130" t="s">
        <v>19</v>
      </c>
      <c r="BI93" s="24"/>
      <c r="BJ93" s="24" t="s">
        <v>11</v>
      </c>
      <c r="BK93" s="24" t="s">
        <v>11</v>
      </c>
      <c r="BL93" s="24" t="s">
        <v>11</v>
      </c>
      <c r="BM93" s="24" t="s">
        <v>11</v>
      </c>
      <c r="BN93" s="24" t="s">
        <v>11</v>
      </c>
      <c r="BO93" s="24" t="s">
        <v>11</v>
      </c>
      <c r="BP93" s="24" t="s">
        <v>11</v>
      </c>
      <c r="BQ93" s="22">
        <f>YEAR([1]!BANCO10[[#This Row],[DATA INÍCIO]])</f>
        <v>2022</v>
      </c>
      <c r="BR93" s="22">
        <f>MONTH([1]!BANCO10[[#This Row],[DATA INÍCIO]])</f>
        <v>5</v>
      </c>
      <c r="BS93" s="129" t="e">
        <f>CONCATENATE(#REF!,#REF!)</f>
        <v>#REF!</v>
      </c>
      <c r="BT93" s="22"/>
      <c r="BU93" s="21" t="s">
        <v>786</v>
      </c>
      <c r="BV93" s="21" t="str">
        <f>IF([1]!BANCO10[[#This Row],[SOLUÇÃO]]=BV$1,[1]!BANCO10[[#This Row],[STATUS DA ETAPA]],"")</f>
        <v>CONCLUÍDO</v>
      </c>
      <c r="BW93" s="21" t="str">
        <f>IF([1]!BANCO10[[#This Row],[SOLUÇÃO]]=BW$1,[1]!BANCO10[[#This Row],[STATUS DA ETAPA]],"")</f>
        <v/>
      </c>
      <c r="BX93" s="21" t="str">
        <f>IF([1]!BANCO10[[#This Row],[SOLUÇÃO]]=BX$1,[1]!BANCO10[[#This Row],[STATUS DA ETAPA]],"")</f>
        <v/>
      </c>
      <c r="BY93" s="21" t="str">
        <f>IF([1]!BANCO10[[#This Row],[SOLUÇÃO]]=BY$1,[1]!BANCO10[[#This Row],[STATUS DA ETAPA]],"")</f>
        <v/>
      </c>
      <c r="BZ93" s="21" t="str">
        <f>IF([1]!BANCO10[[#This Row],[SOLUÇÃO]]=BZ$1,[1]!BANCO10[[#This Row],[STATUS DA ETAPA]],"")</f>
        <v/>
      </c>
      <c r="CA93" s="21" t="str">
        <f>IF([1]!BANCO10[[#This Row],[SOLUÇÃO]]=CA$1,[1]!BANCO10[[#This Row],[STATUS DA ETAPA]],"")</f>
        <v/>
      </c>
      <c r="CB93" s="21" t="str">
        <f>IF([1]!BANCO10[[#This Row],[SOLUÇÃO]]=CB$1,[1]!BANCO10[[#This Row],[STATUS DA ETAPA]],"")</f>
        <v/>
      </c>
      <c r="CC93" s="21" t="str">
        <f>IF([1]!BANCO10[[#This Row],[SOLUÇÃO]]=CC$1,[1]!BANCO10[[#This Row],[STATUS DA ETAPA]],"")</f>
        <v/>
      </c>
      <c r="CD93" s="21" t="str">
        <f>IF([1]!BANCO10[[#This Row],[SOLUÇÃO]]=CD$1,[1]!BANCO10[[#This Row],[STATUS DA ETAPA]],"")</f>
        <v/>
      </c>
      <c r="CE93" s="21" t="str">
        <f>IF([1]!BANCO10[[#This Row],[SOLUÇÃO]]=CE$1,[1]!BANCO10[[#This Row],[STATUS DA ETAPA]],"")</f>
        <v/>
      </c>
      <c r="CF93" s="21" t="str">
        <f>IF([1]!BANCO10[[#This Row],[SOLUÇÃO]]=CF$1,[1]!BANCO10[[#This Row],[STATUS DA ETAPA]],"")</f>
        <v/>
      </c>
      <c r="CG93" s="21" t="str">
        <f>IF([1]!BANCO10[[#This Row],[SOLUÇÃO]]=CG$1,[1]!BANCO10[[#This Row],[STATUS DA ETAPA]],"")</f>
        <v/>
      </c>
      <c r="CH93" s="21" t="str">
        <f>IF([1]!BANCO10[[#This Row],[SOLUÇÃO]]=CH$1,[1]!BANCO10[[#This Row],[STATUS DA ETAPA]],"")</f>
        <v/>
      </c>
      <c r="CI93" s="21" t="str">
        <f>IF([1]!BANCO10[[#This Row],[SOLUÇÃO]]=CI$1,[1]!BANCO10[[#This Row],[STATUS DA ETAPA]],"")</f>
        <v/>
      </c>
      <c r="CJ93" s="21" t="str">
        <f>IF([1]!BANCO10[[#This Row],[SOLUÇÃO]]=CJ$1,[1]!BANCO10[[#This Row],[STATUS DA ETAPA]],"")</f>
        <v/>
      </c>
      <c r="CK93" s="21" t="str">
        <f>IF([1]!BANCO10[[#This Row],[SOLUÇÃO]]=CK$1,[1]!BANCO10[[#This Row],[STATUS DA ETAPA]],"")</f>
        <v/>
      </c>
      <c r="CL93" s="21" t="str">
        <f>IF([1]!BANCO10[[#This Row],[SOLUÇÃO]]=CL$1,[1]!BANCO10[[#This Row],[STATUS DA ETAPA]],"")</f>
        <v/>
      </c>
      <c r="CM93" s="21" t="str">
        <f>IF([1]!BANCO10[[#This Row],[SOLUÇÃO]]=CM$1,[1]!BANCO10[[#This Row],[STATUS DA ETAPA]],"")</f>
        <v/>
      </c>
      <c r="CN93" s="21" t="str">
        <f>IF([1]!BANCO10[[#This Row],[SOLUÇÃO]]=CN$1,[1]!BANCO10[[#This Row],[STATUS DA ETAPA]],"")</f>
        <v/>
      </c>
      <c r="CO93" s="21" t="str">
        <f>IF([1]!BANCO10[[#This Row],[SOLUÇÃO]]=CO$1,[1]!BANCO10[[#This Row],[STATUS DA ETAPA]],"")</f>
        <v/>
      </c>
      <c r="CP93" s="21" t="str">
        <f>IF([1]!BANCO10[[#This Row],[SOLUÇÃO]]=CP$1,[1]!BANCO10[[#This Row],[STATUS DA ETAPA]],"")</f>
        <v/>
      </c>
      <c r="CQ93" s="21" t="str">
        <f>IF([1]!BANCO10[[#This Row],[SOLUÇÃO]]=CQ$1,[1]!BANCO10[[#This Row],[STATUS DA ETAPA]],"")</f>
        <v/>
      </c>
      <c r="CR93" s="21" t="str">
        <f>IF([1]!BANCO10[[#This Row],[SOLUÇÃO]]=CR$1,[1]!BANCO10[[#This Row],[STATUS DA ETAPA]],"")</f>
        <v/>
      </c>
      <c r="CS93" s="21" t="str">
        <f>IF([1]!BANCO10[[#This Row],[SOLUÇÃO]]=CS$1,[1]!BANCO10[[#This Row],[STATUS DA ETAPA]],"")</f>
        <v/>
      </c>
      <c r="CT93" s="21" t="str">
        <f>IF([1]!BANCO10[[#This Row],[SOLUÇÃO]]=CT$1,[1]!BANCO10[[#This Row],[STATUS DA ETAPA]],"")</f>
        <v/>
      </c>
      <c r="CU93" s="21" t="str">
        <f>IF([1]!BANCO10[[#This Row],[SOLUÇÃO]]=CU$1,[1]!BANCO10[[#This Row],[STATUS DA ETAPA]],"")</f>
        <v/>
      </c>
      <c r="CV93" s="21" t="str">
        <f>IF([1]!BANCO10[[#This Row],[SOLUÇÃO]]=CV$1,[1]!BANCO10[[#This Row],[STATUS DA ETAPA]],"")</f>
        <v/>
      </c>
    </row>
    <row r="94" spans="1:100">
      <c r="A94" s="44" t="s">
        <v>1</v>
      </c>
      <c r="B94" s="44"/>
      <c r="C94" s="44" t="s">
        <v>1</v>
      </c>
      <c r="D94" s="44"/>
      <c r="E94" s="44" t="s">
        <v>1</v>
      </c>
      <c r="F94" s="44"/>
      <c r="G94" s="44" t="s">
        <v>1</v>
      </c>
      <c r="H94" s="44"/>
      <c r="I94" s="45" t="s">
        <v>1</v>
      </c>
      <c r="J94" s="46"/>
      <c r="K94" s="45" t="s">
        <v>1</v>
      </c>
      <c r="L94" s="33"/>
      <c r="M94" s="45" t="s">
        <v>1</v>
      </c>
      <c r="N94" s="33"/>
      <c r="O94" s="44" t="s">
        <v>2</v>
      </c>
      <c r="P94" s="44">
        <v>44707</v>
      </c>
      <c r="Q94" s="44" t="s">
        <v>2</v>
      </c>
      <c r="R94" s="44">
        <v>44708</v>
      </c>
      <c r="S94" s="44" t="s">
        <v>2</v>
      </c>
      <c r="T94" s="44">
        <v>44709</v>
      </c>
      <c r="U94" s="44" t="s">
        <v>2</v>
      </c>
      <c r="V94" s="44">
        <v>44928</v>
      </c>
      <c r="W94" s="44" t="s">
        <v>2</v>
      </c>
      <c r="X94" s="44"/>
      <c r="Y94" s="44" t="s">
        <v>2</v>
      </c>
      <c r="Z94" s="44">
        <v>44928</v>
      </c>
      <c r="AA94" s="44" t="s">
        <v>2</v>
      </c>
      <c r="AB94" s="44"/>
      <c r="AC94" s="51">
        <v>44952</v>
      </c>
      <c r="AD94" s="83">
        <v>45070</v>
      </c>
      <c r="AE94" s="40" t="s">
        <v>2</v>
      </c>
      <c r="AF94" s="40" t="s">
        <v>2</v>
      </c>
      <c r="AG94" s="76" t="s">
        <v>5</v>
      </c>
      <c r="AH94" s="36" t="s">
        <v>0</v>
      </c>
      <c r="AI94" s="49">
        <v>0</v>
      </c>
      <c r="AJ94" s="36"/>
      <c r="AK94" s="10"/>
      <c r="AL94" s="36">
        <v>4731</v>
      </c>
      <c r="AM94" s="36" t="s">
        <v>1</v>
      </c>
      <c r="AN94" s="35" t="s">
        <v>1</v>
      </c>
      <c r="AO94" s="35" t="s">
        <v>1</v>
      </c>
      <c r="AP94" s="35" t="s">
        <v>2</v>
      </c>
      <c r="AQ94" s="35" t="s">
        <v>1</v>
      </c>
      <c r="AR94" s="45" t="s">
        <v>1</v>
      </c>
      <c r="AS94" s="46"/>
      <c r="AT94" s="32" t="s">
        <v>1</v>
      </c>
      <c r="AU94" s="31"/>
      <c r="AV94" s="32" t="s">
        <v>1</v>
      </c>
      <c r="AW94" s="31"/>
      <c r="AX94" s="30" t="s">
        <v>2</v>
      </c>
      <c r="AY94" s="55">
        <v>45077</v>
      </c>
      <c r="AZ94" s="30" t="s">
        <v>2</v>
      </c>
      <c r="BA94" s="55"/>
      <c r="BB94" s="74"/>
      <c r="BC94" s="25"/>
      <c r="BD94" s="24" t="s">
        <v>11</v>
      </c>
      <c r="BE94" s="24" t="s">
        <v>11</v>
      </c>
      <c r="BF94" s="24" t="s">
        <v>21</v>
      </c>
      <c r="BG94" s="24" t="s">
        <v>80</v>
      </c>
      <c r="BH94" s="130" t="s">
        <v>19</v>
      </c>
      <c r="BI94" s="24"/>
      <c r="BJ94" s="24" t="s">
        <v>11</v>
      </c>
      <c r="BK94" s="24" t="s">
        <v>11</v>
      </c>
      <c r="BL94" s="24">
        <v>45402</v>
      </c>
      <c r="BM94" s="24" t="s">
        <v>18</v>
      </c>
      <c r="BN94" s="24" t="s">
        <v>11</v>
      </c>
      <c r="BO94" s="24"/>
      <c r="BP94" s="24" t="s">
        <v>785</v>
      </c>
      <c r="BQ94" s="22">
        <f>YEAR([1]!BANCO10[[#This Row],[DATA INÍCIO]])</f>
        <v>2023</v>
      </c>
      <c r="BR94" s="22">
        <f>MONTH([1]!BANCO10[[#This Row],[DATA INÍCIO]])</f>
        <v>1</v>
      </c>
      <c r="BS94" s="129" t="e">
        <f>CONCATENATE(#REF!,#REF!)</f>
        <v>#REF!</v>
      </c>
      <c r="BT94" s="22"/>
      <c r="BU94" s="21" t="s">
        <v>784</v>
      </c>
      <c r="BV94" s="21" t="str">
        <f>IF([1]!BANCO10[[#This Row],[SOLUÇÃO]]=BV$1,[1]!BANCO10[[#This Row],[STATUS DA ETAPA]],"")</f>
        <v/>
      </c>
      <c r="BW94" s="21" t="str">
        <f>IF([1]!BANCO10[[#This Row],[SOLUÇÃO]]=BW$1,[1]!BANCO10[[#This Row],[STATUS DA ETAPA]],"")</f>
        <v/>
      </c>
      <c r="BX94" s="21" t="str">
        <f>IF([1]!BANCO10[[#This Row],[SOLUÇÃO]]=BX$1,[1]!BANCO10[[#This Row],[STATUS DA ETAPA]],"")</f>
        <v/>
      </c>
      <c r="BY94" s="21" t="str">
        <f>IF([1]!BANCO10[[#This Row],[SOLUÇÃO]]=BY$1,[1]!BANCO10[[#This Row],[STATUS DA ETAPA]],"")</f>
        <v/>
      </c>
      <c r="BZ94" s="21" t="str">
        <f>IF([1]!BANCO10[[#This Row],[SOLUÇÃO]]=BZ$1,[1]!BANCO10[[#This Row],[STATUS DA ETAPA]],"")</f>
        <v/>
      </c>
      <c r="CA94" s="21" t="str">
        <f>IF([1]!BANCO10[[#This Row],[SOLUÇÃO]]=CA$1,[1]!BANCO10[[#This Row],[STATUS DA ETAPA]],"")</f>
        <v>CONCLUÍDO</v>
      </c>
      <c r="CB94" s="21" t="str">
        <f>IF([1]!BANCO10[[#This Row],[SOLUÇÃO]]=CB$1,[1]!BANCO10[[#This Row],[STATUS DA ETAPA]],"")</f>
        <v/>
      </c>
      <c r="CC94" s="21" t="str">
        <f>IF([1]!BANCO10[[#This Row],[SOLUÇÃO]]=CC$1,[1]!BANCO10[[#This Row],[STATUS DA ETAPA]],"")</f>
        <v/>
      </c>
      <c r="CD94" s="21" t="str">
        <f>IF([1]!BANCO10[[#This Row],[SOLUÇÃO]]=CD$1,[1]!BANCO10[[#This Row],[STATUS DA ETAPA]],"")</f>
        <v/>
      </c>
      <c r="CE94" s="21" t="str">
        <f>IF([1]!BANCO10[[#This Row],[SOLUÇÃO]]=CE$1,[1]!BANCO10[[#This Row],[STATUS DA ETAPA]],"")</f>
        <v/>
      </c>
      <c r="CF94" s="21" t="str">
        <f>IF([1]!BANCO10[[#This Row],[SOLUÇÃO]]=CF$1,[1]!BANCO10[[#This Row],[STATUS DA ETAPA]],"")</f>
        <v/>
      </c>
      <c r="CG94" s="21" t="str">
        <f>IF([1]!BANCO10[[#This Row],[SOLUÇÃO]]=CG$1,[1]!BANCO10[[#This Row],[STATUS DA ETAPA]],"")</f>
        <v/>
      </c>
      <c r="CH94" s="21" t="str">
        <f>IF([1]!BANCO10[[#This Row],[SOLUÇÃO]]=CH$1,[1]!BANCO10[[#This Row],[STATUS DA ETAPA]],"")</f>
        <v/>
      </c>
      <c r="CI94" s="21" t="str">
        <f>IF([1]!BANCO10[[#This Row],[SOLUÇÃO]]=CI$1,[1]!BANCO10[[#This Row],[STATUS DA ETAPA]],"")</f>
        <v/>
      </c>
      <c r="CJ94" s="21" t="str">
        <f>IF([1]!BANCO10[[#This Row],[SOLUÇÃO]]=CJ$1,[1]!BANCO10[[#This Row],[STATUS DA ETAPA]],"")</f>
        <v/>
      </c>
      <c r="CK94" s="21" t="str">
        <f>IF([1]!BANCO10[[#This Row],[SOLUÇÃO]]=CK$1,[1]!BANCO10[[#This Row],[STATUS DA ETAPA]],"")</f>
        <v/>
      </c>
      <c r="CL94" s="21" t="str">
        <f>IF([1]!BANCO10[[#This Row],[SOLUÇÃO]]=CL$1,[1]!BANCO10[[#This Row],[STATUS DA ETAPA]],"")</f>
        <v/>
      </c>
      <c r="CM94" s="21" t="str">
        <f>IF([1]!BANCO10[[#This Row],[SOLUÇÃO]]=CM$1,[1]!BANCO10[[#This Row],[STATUS DA ETAPA]],"")</f>
        <v/>
      </c>
      <c r="CN94" s="21" t="str">
        <f>IF([1]!BANCO10[[#This Row],[SOLUÇÃO]]=CN$1,[1]!BANCO10[[#This Row],[STATUS DA ETAPA]],"")</f>
        <v/>
      </c>
      <c r="CO94" s="21" t="str">
        <f>IF([1]!BANCO10[[#This Row],[SOLUÇÃO]]=CO$1,[1]!BANCO10[[#This Row],[STATUS DA ETAPA]],"")</f>
        <v/>
      </c>
      <c r="CP94" s="21" t="str">
        <f>IF([1]!BANCO10[[#This Row],[SOLUÇÃO]]=CP$1,[1]!BANCO10[[#This Row],[STATUS DA ETAPA]],"")</f>
        <v/>
      </c>
      <c r="CQ94" s="21" t="str">
        <f>IF([1]!BANCO10[[#This Row],[SOLUÇÃO]]=CQ$1,[1]!BANCO10[[#This Row],[STATUS DA ETAPA]],"")</f>
        <v/>
      </c>
      <c r="CR94" s="21" t="str">
        <f>IF([1]!BANCO10[[#This Row],[SOLUÇÃO]]=CR$1,[1]!BANCO10[[#This Row],[STATUS DA ETAPA]],"")</f>
        <v/>
      </c>
      <c r="CS94" s="21" t="str">
        <f>IF([1]!BANCO10[[#This Row],[SOLUÇÃO]]=CS$1,[1]!BANCO10[[#This Row],[STATUS DA ETAPA]],"")</f>
        <v/>
      </c>
      <c r="CT94" s="21" t="str">
        <f>IF([1]!BANCO10[[#This Row],[SOLUÇÃO]]=CT$1,[1]!BANCO10[[#This Row],[STATUS DA ETAPA]],"")</f>
        <v/>
      </c>
      <c r="CU94" s="21" t="str">
        <f>IF([1]!BANCO10[[#This Row],[SOLUÇÃO]]=CU$1,[1]!BANCO10[[#This Row],[STATUS DA ETAPA]],"")</f>
        <v/>
      </c>
      <c r="CV94" s="21" t="str">
        <f>IF([1]!BANCO10[[#This Row],[SOLUÇÃO]]=CV$1,[1]!BANCO10[[#This Row],[STATUS DA ETAPA]],"")</f>
        <v/>
      </c>
    </row>
    <row r="95" spans="1:100">
      <c r="A95" s="44" t="s">
        <v>1</v>
      </c>
      <c r="B95" s="44"/>
      <c r="C95" s="44" t="s">
        <v>1</v>
      </c>
      <c r="D95" s="44"/>
      <c r="E95" s="44" t="s">
        <v>1</v>
      </c>
      <c r="F95" s="44"/>
      <c r="G95" s="44" t="s">
        <v>1</v>
      </c>
      <c r="H95" s="44"/>
      <c r="I95" s="45" t="s">
        <v>1</v>
      </c>
      <c r="J95" s="46"/>
      <c r="K95" s="45" t="s">
        <v>1</v>
      </c>
      <c r="L95" s="33"/>
      <c r="M95" s="45" t="s">
        <v>1</v>
      </c>
      <c r="N95" s="33"/>
      <c r="O95" s="44" t="s">
        <v>1</v>
      </c>
      <c r="P95" s="44"/>
      <c r="Q95" s="44" t="s">
        <v>1</v>
      </c>
      <c r="R95" s="44"/>
      <c r="S95" s="44" t="s">
        <v>1</v>
      </c>
      <c r="T95" s="44"/>
      <c r="U95" s="44" t="s">
        <v>1</v>
      </c>
      <c r="V95" s="44"/>
      <c r="W95" s="44" t="s">
        <v>1</v>
      </c>
      <c r="X95" s="44"/>
      <c r="Y95" s="44" t="s">
        <v>1</v>
      </c>
      <c r="Z95" s="44"/>
      <c r="AA95" s="44" t="s">
        <v>2</v>
      </c>
      <c r="AB95" s="44"/>
      <c r="AC95" s="51">
        <v>45862</v>
      </c>
      <c r="AD95" s="50">
        <v>45922</v>
      </c>
      <c r="AE95" s="68" t="s">
        <v>2</v>
      </c>
      <c r="AF95" s="68" t="s">
        <v>2</v>
      </c>
      <c r="AG95" s="76" t="s">
        <v>5</v>
      </c>
      <c r="AH95" s="36" t="s">
        <v>0</v>
      </c>
      <c r="AI95" s="49">
        <v>0</v>
      </c>
      <c r="AJ95" s="36" t="s">
        <v>6</v>
      </c>
      <c r="AK95" s="10" t="s">
        <v>783</v>
      </c>
      <c r="AL95" s="36">
        <v>0</v>
      </c>
      <c r="AM95" s="36">
        <v>0</v>
      </c>
      <c r="AN95" s="35" t="s">
        <v>1</v>
      </c>
      <c r="AO95" s="35" t="s">
        <v>1</v>
      </c>
      <c r="AP95" s="35" t="s">
        <v>2</v>
      </c>
      <c r="AQ95" s="35" t="s">
        <v>1</v>
      </c>
      <c r="AR95" s="34" t="s">
        <v>1</v>
      </c>
      <c r="AS95" s="33"/>
      <c r="AT95" s="32" t="s">
        <v>2</v>
      </c>
      <c r="AU95" s="96">
        <v>45922</v>
      </c>
      <c r="AV95" s="32" t="s">
        <v>0</v>
      </c>
      <c r="AW95" s="31"/>
      <c r="AX95" s="30" t="s">
        <v>0</v>
      </c>
      <c r="AY95" s="29"/>
      <c r="AZ95" s="28" t="s">
        <v>0</v>
      </c>
      <c r="BA95" s="27"/>
      <c r="BB95" s="39">
        <v>45835</v>
      </c>
      <c r="BC95" s="25" t="s">
        <v>273</v>
      </c>
      <c r="BD95" s="24"/>
      <c r="BE95" s="24"/>
      <c r="BF95" s="24"/>
      <c r="BG95" s="24"/>
      <c r="BH95" s="24"/>
      <c r="BI95" s="24"/>
      <c r="BJ95" s="24"/>
      <c r="BK95" s="24"/>
      <c r="BL95" s="24"/>
      <c r="BM95" s="24"/>
      <c r="BN95" s="24"/>
      <c r="BO95" s="24"/>
      <c r="BP95" s="24"/>
      <c r="BQ95" s="22">
        <f>YEAR([1]!BANCO10[[#This Row],[DATA INÍCIO]])</f>
        <v>2025</v>
      </c>
      <c r="BR95" s="22">
        <f>MONTH([1]!BANCO10[[#This Row],[DATA INÍCIO]])</f>
        <v>7</v>
      </c>
      <c r="BS95" s="23" t="e">
        <f>CONCATENATE(#REF!,#REF!)</f>
        <v>#REF!</v>
      </c>
      <c r="BT95" s="22"/>
      <c r="BU95" s="22"/>
      <c r="BV95" s="21" t="str">
        <f>IF([1]!BANCO10[[#This Row],[SOLUÇÃO]]=BV$1,[1]!BANCO10[[#This Row],[STATUS DA ETAPA]],"")</f>
        <v/>
      </c>
      <c r="BW95" s="21" t="str">
        <f>IF([1]!BANCO10[[#This Row],[SOLUÇÃO]]=BW$1,[1]!BANCO10[[#This Row],[STATUS DA ETAPA]],"")</f>
        <v/>
      </c>
      <c r="BX95" s="21" t="str">
        <f>IF([1]!BANCO10[[#This Row],[SOLUÇÃO]]=BX$1,[1]!BANCO10[[#This Row],[STATUS DA ETAPA]],"")</f>
        <v/>
      </c>
      <c r="BY95" s="21" t="str">
        <f>IF([1]!BANCO10[[#This Row],[SOLUÇÃO]]=BY$1,[1]!BANCO10[[#This Row],[STATUS DA ETAPA]],"")</f>
        <v/>
      </c>
      <c r="BZ95" s="21" t="str">
        <f>IF([1]!BANCO10[[#This Row],[SOLUÇÃO]]=BZ$1,[1]!BANCO10[[#This Row],[STATUS DA ETAPA]],"")</f>
        <v/>
      </c>
      <c r="CA95" s="21" t="str">
        <f>IF([1]!BANCO10[[#This Row],[SOLUÇÃO]]=CA$1,[1]!BANCO10[[#This Row],[STATUS DA ETAPA]],"")</f>
        <v/>
      </c>
      <c r="CB95" s="21" t="str">
        <f>IF([1]!BANCO10[[#This Row],[SOLUÇÃO]]=CB$1,[1]!BANCO10[[#This Row],[STATUS DA ETAPA]],"")</f>
        <v/>
      </c>
      <c r="CC95" s="21" t="str">
        <f>IF([1]!BANCO10[[#This Row],[SOLUÇÃO]]=CC$1,[1]!BANCO10[[#This Row],[STATUS DA ETAPA]],"")</f>
        <v/>
      </c>
      <c r="CD95" s="21" t="str">
        <f>IF([1]!BANCO10[[#This Row],[SOLUÇÃO]]=CD$1,[1]!BANCO10[[#This Row],[STATUS DA ETAPA]],"")</f>
        <v/>
      </c>
      <c r="CE95" s="21" t="str">
        <f>IF([1]!BANCO10[[#This Row],[SOLUÇÃO]]=CE$1,[1]!BANCO10[[#This Row],[STATUS DA ETAPA]],"")</f>
        <v/>
      </c>
      <c r="CF95" s="21" t="str">
        <f>IF([1]!BANCO10[[#This Row],[SOLUÇÃO]]=CF$1,[1]!BANCO10[[#This Row],[STATUS DA ETAPA]],"")</f>
        <v/>
      </c>
      <c r="CG95" s="21" t="str">
        <f>IF([1]!BANCO10[[#This Row],[SOLUÇÃO]]=CG$1,[1]!BANCO10[[#This Row],[STATUS DA ETAPA]],"")</f>
        <v/>
      </c>
      <c r="CH95" s="21" t="str">
        <f>IF([1]!BANCO10[[#This Row],[SOLUÇÃO]]=CH$1,[1]!BANCO10[[#This Row],[STATUS DA ETAPA]],"")</f>
        <v/>
      </c>
      <c r="CI95" s="21" t="str">
        <f>IF([1]!BANCO10[[#This Row],[SOLUÇÃO]]=CI$1,[1]!BANCO10[[#This Row],[STATUS DA ETAPA]],"")</f>
        <v/>
      </c>
      <c r="CJ95" s="21" t="str">
        <f>IF([1]!BANCO10[[#This Row],[SOLUÇÃO]]=CJ$1,[1]!BANCO10[[#This Row],[STATUS DA ETAPA]],"")</f>
        <v/>
      </c>
      <c r="CK95" s="21" t="str">
        <f>IF([1]!BANCO10[[#This Row],[SOLUÇÃO]]=CK$1,[1]!BANCO10[[#This Row],[STATUS DA ETAPA]],"")</f>
        <v/>
      </c>
      <c r="CL95" s="21" t="str">
        <f>IF([1]!BANCO10[[#This Row],[SOLUÇÃO]]=CL$1,[1]!BANCO10[[#This Row],[STATUS DA ETAPA]],"")</f>
        <v>CONCLUÍDO</v>
      </c>
      <c r="CM95" s="21" t="str">
        <f>IF([1]!BANCO10[[#This Row],[SOLUÇÃO]]=CM$1,[1]!BANCO10[[#This Row],[STATUS DA ETAPA]],"")</f>
        <v/>
      </c>
      <c r="CN95" s="21" t="str">
        <f>IF([1]!BANCO10[[#This Row],[SOLUÇÃO]]=CN$1,[1]!BANCO10[[#This Row],[STATUS DA ETAPA]],"")</f>
        <v/>
      </c>
      <c r="CO95" s="21" t="str">
        <f>IF([1]!BANCO10[[#This Row],[SOLUÇÃO]]=CO$1,[1]!BANCO10[[#This Row],[STATUS DA ETAPA]],"")</f>
        <v/>
      </c>
      <c r="CP95" s="21" t="str">
        <f>IF([1]!BANCO10[[#This Row],[SOLUÇÃO]]=CP$1,[1]!BANCO10[[#This Row],[STATUS DA ETAPA]],"")</f>
        <v/>
      </c>
      <c r="CQ95" s="21" t="str">
        <f>IF([1]!BANCO10[[#This Row],[SOLUÇÃO]]=CQ$1,[1]!BANCO10[[#This Row],[STATUS DA ETAPA]],"")</f>
        <v/>
      </c>
      <c r="CR95" s="21" t="str">
        <f>IF([1]!BANCO10[[#This Row],[SOLUÇÃO]]=CR$1,[1]!BANCO10[[#This Row],[STATUS DA ETAPA]],"")</f>
        <v/>
      </c>
      <c r="CS95" s="21" t="str">
        <f>IF([1]!BANCO10[[#This Row],[SOLUÇÃO]]=CS$1,[1]!BANCO10[[#This Row],[STATUS DA ETAPA]],"")</f>
        <v/>
      </c>
      <c r="CT95" s="21" t="str">
        <f>IF([1]!BANCO10[[#This Row],[SOLUÇÃO]]=CT$1,[1]!BANCO10[[#This Row],[STATUS DA ETAPA]],"")</f>
        <v/>
      </c>
      <c r="CU95" s="21" t="str">
        <f>IF([1]!BANCO10[[#This Row],[SOLUÇÃO]]=CU$1,[1]!BANCO10[[#This Row],[STATUS DA ETAPA]],"")</f>
        <v/>
      </c>
      <c r="CV95" s="21" t="str">
        <f>IF([1]!BANCO10[[#This Row],[SOLUÇÃO]]=CV$1,[1]!BANCO10[[#This Row],[STATUS DA ETAPA]],"")</f>
        <v/>
      </c>
    </row>
    <row r="96" spans="1:100">
      <c r="A96" s="44" t="s">
        <v>1</v>
      </c>
      <c r="B96" s="44"/>
      <c r="C96" s="44" t="s">
        <v>1</v>
      </c>
      <c r="D96" s="44"/>
      <c r="E96" s="44" t="s">
        <v>1</v>
      </c>
      <c r="F96" s="44"/>
      <c r="G96" s="44" t="s">
        <v>1</v>
      </c>
      <c r="H96" s="44"/>
      <c r="I96" s="45" t="s">
        <v>1</v>
      </c>
      <c r="J96" s="46"/>
      <c r="K96" s="45" t="s">
        <v>1</v>
      </c>
      <c r="L96" s="33"/>
      <c r="M96" s="45" t="s">
        <v>1</v>
      </c>
      <c r="N96" s="33"/>
      <c r="O96" s="44" t="s">
        <v>1</v>
      </c>
      <c r="P96" s="44"/>
      <c r="Q96" s="44" t="s">
        <v>1</v>
      </c>
      <c r="R96" s="44"/>
      <c r="S96" s="44" t="s">
        <v>1</v>
      </c>
      <c r="T96" s="44"/>
      <c r="U96" s="44" t="s">
        <v>1</v>
      </c>
      <c r="V96" s="44"/>
      <c r="W96" s="44" t="s">
        <v>1</v>
      </c>
      <c r="X96" s="44"/>
      <c r="Y96" s="44" t="s">
        <v>1</v>
      </c>
      <c r="Z96" s="44"/>
      <c r="AA96" s="44" t="s">
        <v>1</v>
      </c>
      <c r="AB96" s="44"/>
      <c r="AC96" s="51">
        <v>45274</v>
      </c>
      <c r="AD96" s="83">
        <v>45274</v>
      </c>
      <c r="AE96" s="40" t="s">
        <v>1</v>
      </c>
      <c r="AF96" s="40" t="s">
        <v>1</v>
      </c>
      <c r="AG96" s="76" t="s">
        <v>5</v>
      </c>
      <c r="AH96" s="36" t="s">
        <v>1</v>
      </c>
      <c r="AI96" s="49">
        <v>0</v>
      </c>
      <c r="AJ96" s="36" t="s">
        <v>1</v>
      </c>
      <c r="AK96" s="10" t="s">
        <v>1</v>
      </c>
      <c r="AL96" s="36" t="s">
        <v>1</v>
      </c>
      <c r="AM96" s="36" t="s">
        <v>1</v>
      </c>
      <c r="AN96" s="35" t="s">
        <v>1</v>
      </c>
      <c r="AO96" s="35" t="s">
        <v>1</v>
      </c>
      <c r="AP96" s="35" t="s">
        <v>1</v>
      </c>
      <c r="AQ96" s="35" t="s">
        <v>1</v>
      </c>
      <c r="AR96" s="171" t="s">
        <v>1</v>
      </c>
      <c r="AS96" s="33"/>
      <c r="AT96" s="32" t="s">
        <v>1</v>
      </c>
      <c r="AU96" s="31"/>
      <c r="AV96" s="32" t="s">
        <v>1</v>
      </c>
      <c r="AW96" s="31"/>
      <c r="AX96" s="30" t="s">
        <v>1</v>
      </c>
      <c r="AY96" s="55"/>
      <c r="AZ96" s="30" t="s">
        <v>1</v>
      </c>
      <c r="BA96" s="55"/>
      <c r="BB96" s="74" t="s">
        <v>15</v>
      </c>
      <c r="BC96" s="25" t="s">
        <v>14</v>
      </c>
      <c r="BD96" s="24"/>
      <c r="BE96" s="24"/>
      <c r="BF96" s="24"/>
      <c r="BG96" s="24"/>
      <c r="BH96" s="130"/>
      <c r="BI96" s="24"/>
      <c r="BJ96" s="24" t="s">
        <v>11</v>
      </c>
      <c r="BK96" s="24" t="s">
        <v>11</v>
      </c>
      <c r="BL96" s="24" t="s">
        <v>11</v>
      </c>
      <c r="BM96" s="24" t="s">
        <v>11</v>
      </c>
      <c r="BN96" s="24" t="s">
        <v>11</v>
      </c>
      <c r="BO96" s="24" t="s">
        <v>11</v>
      </c>
      <c r="BP96" s="24" t="s">
        <v>11</v>
      </c>
      <c r="BQ96" s="22">
        <f>YEAR([1]!BANCO10[[#This Row],[DATA INÍCIO]])</f>
        <v>2023</v>
      </c>
      <c r="BR96" s="22">
        <f>MONTH([1]!BANCO10[[#This Row],[DATA INÍCIO]])</f>
        <v>12</v>
      </c>
      <c r="BS96" s="129" t="e">
        <f>CONCATENATE(#REF!,#REF!)</f>
        <v>#REF!</v>
      </c>
      <c r="BT96" s="22"/>
      <c r="BU96" s="21" t="s">
        <v>782</v>
      </c>
      <c r="BV96" s="21" t="str">
        <f>IF([1]!BANCO10[[#This Row],[SOLUÇÃO]]=BV$1,[1]!BANCO10[[#This Row],[STATUS DA ETAPA]],"")</f>
        <v>CONCLUÍDO</v>
      </c>
      <c r="BW96" s="21" t="str">
        <f>IF([1]!BANCO10[[#This Row],[SOLUÇÃO]]=BW$1,[1]!BANCO10[[#This Row],[STATUS DA ETAPA]],"")</f>
        <v/>
      </c>
      <c r="BX96" s="21" t="str">
        <f>IF([1]!BANCO10[[#This Row],[SOLUÇÃO]]=BX$1,[1]!BANCO10[[#This Row],[STATUS DA ETAPA]],"")</f>
        <v/>
      </c>
      <c r="BY96" s="21" t="str">
        <f>IF([1]!BANCO10[[#This Row],[SOLUÇÃO]]=BY$1,[1]!BANCO10[[#This Row],[STATUS DA ETAPA]],"")</f>
        <v/>
      </c>
      <c r="BZ96" s="21" t="str">
        <f>IF([1]!BANCO10[[#This Row],[SOLUÇÃO]]=BZ$1,[1]!BANCO10[[#This Row],[STATUS DA ETAPA]],"")</f>
        <v/>
      </c>
      <c r="CA96" s="21" t="str">
        <f>IF([1]!BANCO10[[#This Row],[SOLUÇÃO]]=CA$1,[1]!BANCO10[[#This Row],[STATUS DA ETAPA]],"")</f>
        <v/>
      </c>
      <c r="CB96" s="21" t="str">
        <f>IF([1]!BANCO10[[#This Row],[SOLUÇÃO]]=CB$1,[1]!BANCO10[[#This Row],[STATUS DA ETAPA]],"")</f>
        <v/>
      </c>
      <c r="CC96" s="21" t="str">
        <f>IF([1]!BANCO10[[#This Row],[SOLUÇÃO]]=CC$1,[1]!BANCO10[[#This Row],[STATUS DA ETAPA]],"")</f>
        <v/>
      </c>
      <c r="CD96" s="21" t="str">
        <f>IF([1]!BANCO10[[#This Row],[SOLUÇÃO]]=CD$1,[1]!BANCO10[[#This Row],[STATUS DA ETAPA]],"")</f>
        <v/>
      </c>
      <c r="CE96" s="21" t="str">
        <f>IF([1]!BANCO10[[#This Row],[SOLUÇÃO]]=CE$1,[1]!BANCO10[[#This Row],[STATUS DA ETAPA]],"")</f>
        <v/>
      </c>
      <c r="CF96" s="21" t="str">
        <f>IF([1]!BANCO10[[#This Row],[SOLUÇÃO]]=CF$1,[1]!BANCO10[[#This Row],[STATUS DA ETAPA]],"")</f>
        <v/>
      </c>
      <c r="CG96" s="21" t="str">
        <f>IF([1]!BANCO10[[#This Row],[SOLUÇÃO]]=CG$1,[1]!BANCO10[[#This Row],[STATUS DA ETAPA]],"")</f>
        <v/>
      </c>
      <c r="CH96" s="21" t="str">
        <f>IF([1]!BANCO10[[#This Row],[SOLUÇÃO]]=CH$1,[1]!BANCO10[[#This Row],[STATUS DA ETAPA]],"")</f>
        <v/>
      </c>
      <c r="CI96" s="21" t="str">
        <f>IF([1]!BANCO10[[#This Row],[SOLUÇÃO]]=CI$1,[1]!BANCO10[[#This Row],[STATUS DA ETAPA]],"")</f>
        <v/>
      </c>
      <c r="CJ96" s="21" t="str">
        <f>IF([1]!BANCO10[[#This Row],[SOLUÇÃO]]=CJ$1,[1]!BANCO10[[#This Row],[STATUS DA ETAPA]],"")</f>
        <v/>
      </c>
      <c r="CK96" s="21" t="str">
        <f>IF([1]!BANCO10[[#This Row],[SOLUÇÃO]]=CK$1,[1]!BANCO10[[#This Row],[STATUS DA ETAPA]],"")</f>
        <v/>
      </c>
      <c r="CL96" s="21" t="str">
        <f>IF([1]!BANCO10[[#This Row],[SOLUÇÃO]]=CL$1,[1]!BANCO10[[#This Row],[STATUS DA ETAPA]],"")</f>
        <v/>
      </c>
      <c r="CM96" s="21" t="str">
        <f>IF([1]!BANCO10[[#This Row],[SOLUÇÃO]]=CM$1,[1]!BANCO10[[#This Row],[STATUS DA ETAPA]],"")</f>
        <v/>
      </c>
      <c r="CN96" s="21" t="str">
        <f>IF([1]!BANCO10[[#This Row],[SOLUÇÃO]]=CN$1,[1]!BANCO10[[#This Row],[STATUS DA ETAPA]],"")</f>
        <v/>
      </c>
      <c r="CO96" s="21" t="str">
        <f>IF([1]!BANCO10[[#This Row],[SOLUÇÃO]]=CO$1,[1]!BANCO10[[#This Row],[STATUS DA ETAPA]],"")</f>
        <v/>
      </c>
      <c r="CP96" s="21" t="str">
        <f>IF([1]!BANCO10[[#This Row],[SOLUÇÃO]]=CP$1,[1]!BANCO10[[#This Row],[STATUS DA ETAPA]],"")</f>
        <v/>
      </c>
      <c r="CQ96" s="21" t="str">
        <f>IF([1]!BANCO10[[#This Row],[SOLUÇÃO]]=CQ$1,[1]!BANCO10[[#This Row],[STATUS DA ETAPA]],"")</f>
        <v/>
      </c>
      <c r="CR96" s="21" t="str">
        <f>IF([1]!BANCO10[[#This Row],[SOLUÇÃO]]=CR$1,[1]!BANCO10[[#This Row],[STATUS DA ETAPA]],"")</f>
        <v/>
      </c>
      <c r="CS96" s="21" t="str">
        <f>IF([1]!BANCO10[[#This Row],[SOLUÇÃO]]=CS$1,[1]!BANCO10[[#This Row],[STATUS DA ETAPA]],"")</f>
        <v/>
      </c>
      <c r="CT96" s="21" t="str">
        <f>IF([1]!BANCO10[[#This Row],[SOLUÇÃO]]=CT$1,[1]!BANCO10[[#This Row],[STATUS DA ETAPA]],"")</f>
        <v/>
      </c>
      <c r="CU96" s="21" t="str">
        <f>IF([1]!BANCO10[[#This Row],[SOLUÇÃO]]=CU$1,[1]!BANCO10[[#This Row],[STATUS DA ETAPA]],"")</f>
        <v/>
      </c>
      <c r="CV96" s="21" t="str">
        <f>IF([1]!BANCO10[[#This Row],[SOLUÇÃO]]=CV$1,[1]!BANCO10[[#This Row],[STATUS DA ETAPA]],"")</f>
        <v/>
      </c>
    </row>
    <row r="97" spans="1:100">
      <c r="A97" s="44" t="s">
        <v>1</v>
      </c>
      <c r="B97" s="44"/>
      <c r="C97" s="44" t="s">
        <v>1</v>
      </c>
      <c r="D97" s="44"/>
      <c r="E97" s="44" t="s">
        <v>1</v>
      </c>
      <c r="F97" s="44"/>
      <c r="G97" s="44" t="s">
        <v>1</v>
      </c>
      <c r="H97" s="44"/>
      <c r="I97" s="45" t="s">
        <v>1</v>
      </c>
      <c r="J97" s="46"/>
      <c r="K97" s="45" t="s">
        <v>1</v>
      </c>
      <c r="L97" s="33"/>
      <c r="M97" s="45" t="s">
        <v>1</v>
      </c>
      <c r="N97" s="33"/>
      <c r="O97" s="44" t="s">
        <v>1</v>
      </c>
      <c r="P97" s="44"/>
      <c r="Q97" s="44" t="s">
        <v>1</v>
      </c>
      <c r="R97" s="44"/>
      <c r="S97" s="44" t="s">
        <v>1</v>
      </c>
      <c r="T97" s="44"/>
      <c r="U97" s="44" t="s">
        <v>1</v>
      </c>
      <c r="V97" s="44"/>
      <c r="W97" s="44" t="s">
        <v>1</v>
      </c>
      <c r="X97" s="44"/>
      <c r="Y97" s="44" t="s">
        <v>1</v>
      </c>
      <c r="Z97" s="44"/>
      <c r="AA97" s="44" t="s">
        <v>1</v>
      </c>
      <c r="AB97" s="44"/>
      <c r="AC97" s="51">
        <v>45267</v>
      </c>
      <c r="AD97" s="50">
        <v>45267</v>
      </c>
      <c r="AE97" s="40" t="s">
        <v>1</v>
      </c>
      <c r="AF97" s="40" t="s">
        <v>1</v>
      </c>
      <c r="AG97" s="76" t="s">
        <v>5</v>
      </c>
      <c r="AH97" s="36" t="s">
        <v>1</v>
      </c>
      <c r="AI97" s="49">
        <v>0</v>
      </c>
      <c r="AJ97" s="36" t="s">
        <v>1</v>
      </c>
      <c r="AK97" s="10" t="s">
        <v>1</v>
      </c>
      <c r="AL97" s="36" t="s">
        <v>1</v>
      </c>
      <c r="AM97" s="36" t="s">
        <v>1</v>
      </c>
      <c r="AN97" s="35" t="s">
        <v>1</v>
      </c>
      <c r="AO97" s="35" t="s">
        <v>1</v>
      </c>
      <c r="AP97" s="35" t="s">
        <v>1</v>
      </c>
      <c r="AQ97" s="35" t="s">
        <v>1</v>
      </c>
      <c r="AR97" s="171" t="s">
        <v>1</v>
      </c>
      <c r="AS97" s="33"/>
      <c r="AT97" s="32" t="s">
        <v>1</v>
      </c>
      <c r="AU97" s="31"/>
      <c r="AV97" s="32" t="s">
        <v>1</v>
      </c>
      <c r="AW97" s="31"/>
      <c r="AX97" s="30" t="s">
        <v>1</v>
      </c>
      <c r="AY97" s="55"/>
      <c r="AZ97" s="30" t="s">
        <v>1</v>
      </c>
      <c r="BA97" s="55"/>
      <c r="BB97" s="74" t="s">
        <v>15</v>
      </c>
      <c r="BC97" s="25" t="s">
        <v>14</v>
      </c>
      <c r="BD97" s="24"/>
      <c r="BE97" s="24"/>
      <c r="BF97" s="24"/>
      <c r="BG97" s="24"/>
      <c r="BH97" s="130"/>
      <c r="BI97" s="24"/>
      <c r="BJ97" s="24" t="s">
        <v>11</v>
      </c>
      <c r="BK97" s="24" t="s">
        <v>11</v>
      </c>
      <c r="BL97" s="24" t="s">
        <v>11</v>
      </c>
      <c r="BM97" s="24" t="s">
        <v>11</v>
      </c>
      <c r="BN97" s="24" t="s">
        <v>11</v>
      </c>
      <c r="BO97" s="24" t="s">
        <v>11</v>
      </c>
      <c r="BP97" s="24" t="s">
        <v>11</v>
      </c>
      <c r="BQ97" s="22">
        <f>YEAR([1]!BANCO10[[#This Row],[DATA INÍCIO]])</f>
        <v>2023</v>
      </c>
      <c r="BR97" s="22">
        <f>MONTH([1]!BANCO10[[#This Row],[DATA INÍCIO]])</f>
        <v>12</v>
      </c>
      <c r="BS97" s="129" t="e">
        <f>CONCATENATE(#REF!,#REF!)</f>
        <v>#REF!</v>
      </c>
      <c r="BT97" s="22"/>
      <c r="BU97" s="21" t="s">
        <v>781</v>
      </c>
      <c r="BV97" s="21" t="str">
        <f>IF([1]!BANCO10[[#This Row],[SOLUÇÃO]]=BV$1,[1]!BANCO10[[#This Row],[STATUS DA ETAPA]],"")</f>
        <v>CONCLUÍDO</v>
      </c>
      <c r="BW97" s="21" t="str">
        <f>IF([1]!BANCO10[[#This Row],[SOLUÇÃO]]=BW$1,[1]!BANCO10[[#This Row],[STATUS DA ETAPA]],"")</f>
        <v/>
      </c>
      <c r="BX97" s="21" t="str">
        <f>IF([1]!BANCO10[[#This Row],[SOLUÇÃO]]=BX$1,[1]!BANCO10[[#This Row],[STATUS DA ETAPA]],"")</f>
        <v/>
      </c>
      <c r="BY97" s="21" t="str">
        <f>IF([1]!BANCO10[[#This Row],[SOLUÇÃO]]=BY$1,[1]!BANCO10[[#This Row],[STATUS DA ETAPA]],"")</f>
        <v/>
      </c>
      <c r="BZ97" s="21" t="str">
        <f>IF([1]!BANCO10[[#This Row],[SOLUÇÃO]]=BZ$1,[1]!BANCO10[[#This Row],[STATUS DA ETAPA]],"")</f>
        <v/>
      </c>
      <c r="CA97" s="21" t="str">
        <f>IF([1]!BANCO10[[#This Row],[SOLUÇÃO]]=CA$1,[1]!BANCO10[[#This Row],[STATUS DA ETAPA]],"")</f>
        <v/>
      </c>
      <c r="CB97" s="21" t="str">
        <f>IF([1]!BANCO10[[#This Row],[SOLUÇÃO]]=CB$1,[1]!BANCO10[[#This Row],[STATUS DA ETAPA]],"")</f>
        <v/>
      </c>
      <c r="CC97" s="21" t="str">
        <f>IF([1]!BANCO10[[#This Row],[SOLUÇÃO]]=CC$1,[1]!BANCO10[[#This Row],[STATUS DA ETAPA]],"")</f>
        <v/>
      </c>
      <c r="CD97" s="21" t="str">
        <f>IF([1]!BANCO10[[#This Row],[SOLUÇÃO]]=CD$1,[1]!BANCO10[[#This Row],[STATUS DA ETAPA]],"")</f>
        <v/>
      </c>
      <c r="CE97" s="21" t="str">
        <f>IF([1]!BANCO10[[#This Row],[SOLUÇÃO]]=CE$1,[1]!BANCO10[[#This Row],[STATUS DA ETAPA]],"")</f>
        <v/>
      </c>
      <c r="CF97" s="21" t="str">
        <f>IF([1]!BANCO10[[#This Row],[SOLUÇÃO]]=CF$1,[1]!BANCO10[[#This Row],[STATUS DA ETAPA]],"")</f>
        <v/>
      </c>
      <c r="CG97" s="21" t="str">
        <f>IF([1]!BANCO10[[#This Row],[SOLUÇÃO]]=CG$1,[1]!BANCO10[[#This Row],[STATUS DA ETAPA]],"")</f>
        <v/>
      </c>
      <c r="CH97" s="21" t="str">
        <f>IF([1]!BANCO10[[#This Row],[SOLUÇÃO]]=CH$1,[1]!BANCO10[[#This Row],[STATUS DA ETAPA]],"")</f>
        <v/>
      </c>
      <c r="CI97" s="21" t="str">
        <f>IF([1]!BANCO10[[#This Row],[SOLUÇÃO]]=CI$1,[1]!BANCO10[[#This Row],[STATUS DA ETAPA]],"")</f>
        <v/>
      </c>
      <c r="CJ97" s="21" t="str">
        <f>IF([1]!BANCO10[[#This Row],[SOLUÇÃO]]=CJ$1,[1]!BANCO10[[#This Row],[STATUS DA ETAPA]],"")</f>
        <v/>
      </c>
      <c r="CK97" s="21" t="str">
        <f>IF([1]!BANCO10[[#This Row],[SOLUÇÃO]]=CK$1,[1]!BANCO10[[#This Row],[STATUS DA ETAPA]],"")</f>
        <v/>
      </c>
      <c r="CL97" s="21" t="str">
        <f>IF([1]!BANCO10[[#This Row],[SOLUÇÃO]]=CL$1,[1]!BANCO10[[#This Row],[STATUS DA ETAPA]],"")</f>
        <v/>
      </c>
      <c r="CM97" s="21" t="str">
        <f>IF([1]!BANCO10[[#This Row],[SOLUÇÃO]]=CM$1,[1]!BANCO10[[#This Row],[STATUS DA ETAPA]],"")</f>
        <v/>
      </c>
      <c r="CN97" s="21" t="str">
        <f>IF([1]!BANCO10[[#This Row],[SOLUÇÃO]]=CN$1,[1]!BANCO10[[#This Row],[STATUS DA ETAPA]],"")</f>
        <v/>
      </c>
      <c r="CO97" s="21" t="str">
        <f>IF([1]!BANCO10[[#This Row],[SOLUÇÃO]]=CO$1,[1]!BANCO10[[#This Row],[STATUS DA ETAPA]],"")</f>
        <v/>
      </c>
      <c r="CP97" s="21" t="str">
        <f>IF([1]!BANCO10[[#This Row],[SOLUÇÃO]]=CP$1,[1]!BANCO10[[#This Row],[STATUS DA ETAPA]],"")</f>
        <v/>
      </c>
      <c r="CQ97" s="21" t="str">
        <f>IF([1]!BANCO10[[#This Row],[SOLUÇÃO]]=CQ$1,[1]!BANCO10[[#This Row],[STATUS DA ETAPA]],"")</f>
        <v/>
      </c>
      <c r="CR97" s="21" t="str">
        <f>IF([1]!BANCO10[[#This Row],[SOLUÇÃO]]=CR$1,[1]!BANCO10[[#This Row],[STATUS DA ETAPA]],"")</f>
        <v/>
      </c>
      <c r="CS97" s="21" t="str">
        <f>IF([1]!BANCO10[[#This Row],[SOLUÇÃO]]=CS$1,[1]!BANCO10[[#This Row],[STATUS DA ETAPA]],"")</f>
        <v/>
      </c>
      <c r="CT97" s="21" t="str">
        <f>IF([1]!BANCO10[[#This Row],[SOLUÇÃO]]=CT$1,[1]!BANCO10[[#This Row],[STATUS DA ETAPA]],"")</f>
        <v/>
      </c>
      <c r="CU97" s="21" t="str">
        <f>IF([1]!BANCO10[[#This Row],[SOLUÇÃO]]=CU$1,[1]!BANCO10[[#This Row],[STATUS DA ETAPA]],"")</f>
        <v/>
      </c>
      <c r="CV97" s="21" t="str">
        <f>IF([1]!BANCO10[[#This Row],[SOLUÇÃO]]=CV$1,[1]!BANCO10[[#This Row],[STATUS DA ETAPA]],"")</f>
        <v/>
      </c>
    </row>
    <row r="98" spans="1:100">
      <c r="A98" s="44" t="s">
        <v>1</v>
      </c>
      <c r="B98" s="44"/>
      <c r="C98" s="44" t="s">
        <v>1</v>
      </c>
      <c r="D98" s="44"/>
      <c r="E98" s="44" t="s">
        <v>1</v>
      </c>
      <c r="F98" s="44"/>
      <c r="G98" s="44" t="s">
        <v>1</v>
      </c>
      <c r="H98" s="44"/>
      <c r="I98" s="45" t="s">
        <v>1</v>
      </c>
      <c r="J98" s="46"/>
      <c r="K98" s="45" t="s">
        <v>1</v>
      </c>
      <c r="L98" s="33"/>
      <c r="M98" s="45" t="s">
        <v>1</v>
      </c>
      <c r="N98" s="33"/>
      <c r="O98" s="44" t="s">
        <v>1</v>
      </c>
      <c r="P98" s="44"/>
      <c r="Q98" s="44" t="s">
        <v>0</v>
      </c>
      <c r="R98" s="44"/>
      <c r="S98" s="44" t="s">
        <v>1</v>
      </c>
      <c r="T98" s="44"/>
      <c r="U98" s="44" t="s">
        <v>1</v>
      </c>
      <c r="V98" s="44"/>
      <c r="W98" s="44" t="s">
        <v>1</v>
      </c>
      <c r="X98" s="44"/>
      <c r="Y98" s="44" t="s">
        <v>1</v>
      </c>
      <c r="Z98" s="44"/>
      <c r="AA98" s="44" t="s">
        <v>1</v>
      </c>
      <c r="AB98" s="44"/>
      <c r="AC98" s="51">
        <v>45963</v>
      </c>
      <c r="AD98" s="50">
        <v>45963</v>
      </c>
      <c r="AE98" s="41" t="s">
        <v>1</v>
      </c>
      <c r="AF98" s="41" t="s">
        <v>1</v>
      </c>
      <c r="AG98" s="40" t="s">
        <v>5</v>
      </c>
      <c r="AH98" s="36" t="s">
        <v>1</v>
      </c>
      <c r="AI98" s="49">
        <v>0</v>
      </c>
      <c r="AJ98" s="36" t="s">
        <v>1</v>
      </c>
      <c r="AK98" s="10" t="s">
        <v>1</v>
      </c>
      <c r="AL98" s="36" t="s">
        <v>1</v>
      </c>
      <c r="AM98" s="36" t="s">
        <v>1</v>
      </c>
      <c r="AN98" s="35" t="s">
        <v>1</v>
      </c>
      <c r="AO98" s="35" t="s">
        <v>1</v>
      </c>
      <c r="AP98" s="35" t="s">
        <v>1</v>
      </c>
      <c r="AQ98" s="35" t="s">
        <v>1</v>
      </c>
      <c r="AR98" s="171" t="s">
        <v>1</v>
      </c>
      <c r="AS98" s="63"/>
      <c r="AT98" s="32" t="s">
        <v>1</v>
      </c>
      <c r="AU98" s="31"/>
      <c r="AV98" s="32" t="s">
        <v>1</v>
      </c>
      <c r="AW98" s="31"/>
      <c r="AX98" s="32" t="s">
        <v>1</v>
      </c>
      <c r="AY98" s="31"/>
      <c r="AZ98" s="32" t="s">
        <v>1</v>
      </c>
      <c r="BA98" s="31"/>
      <c r="BB98" s="131"/>
      <c r="BC98" s="25" t="s">
        <v>41</v>
      </c>
      <c r="BD98" s="24"/>
      <c r="BE98" s="24"/>
      <c r="BF98" s="24"/>
      <c r="BG98" s="24"/>
      <c r="BH98" s="130"/>
      <c r="BI98" s="24"/>
      <c r="BJ98" s="24"/>
      <c r="BK98" s="24"/>
      <c r="BL98" s="24"/>
      <c r="BM98" s="24"/>
      <c r="BN98" s="24"/>
      <c r="BO98" s="24"/>
      <c r="BP98" s="24" t="s">
        <v>377</v>
      </c>
      <c r="BQ98" s="22">
        <f>YEAR([1]!BANCO10[[#This Row],[DATA INÍCIO]])</f>
        <v>2025</v>
      </c>
      <c r="BR98" s="22">
        <f>MONTH([1]!BANCO10[[#This Row],[DATA INÍCIO]])</f>
        <v>11</v>
      </c>
      <c r="BS98" s="129" t="e">
        <f>CONCATENATE(#REF!,#REF!)</f>
        <v>#REF!</v>
      </c>
      <c r="BT98" s="22"/>
      <c r="BU98" s="21" t="s">
        <v>780</v>
      </c>
      <c r="BV98" s="21" t="str">
        <f>IF([1]!BANCO10[[#This Row],[SOLUÇÃO]]=BV$1,[1]!BANCO10[[#This Row],[STATUS DA ETAPA]],"")</f>
        <v>CANCELADO</v>
      </c>
      <c r="BW98" s="21" t="str">
        <f>IF([1]!BANCO10[[#This Row],[SOLUÇÃO]]=BW$1,[1]!BANCO10[[#This Row],[STATUS DA ETAPA]],"")</f>
        <v/>
      </c>
      <c r="BX98" s="21" t="str">
        <f>IF([1]!BANCO10[[#This Row],[SOLUÇÃO]]=BX$1,[1]!BANCO10[[#This Row],[STATUS DA ETAPA]],"")</f>
        <v/>
      </c>
      <c r="BY98" s="21" t="str">
        <f>IF([1]!BANCO10[[#This Row],[SOLUÇÃO]]=BY$1,[1]!BANCO10[[#This Row],[STATUS DA ETAPA]],"")</f>
        <v/>
      </c>
      <c r="BZ98" s="21" t="str">
        <f>IF([1]!BANCO10[[#This Row],[SOLUÇÃO]]=BZ$1,[1]!BANCO10[[#This Row],[STATUS DA ETAPA]],"")</f>
        <v/>
      </c>
      <c r="CA98" s="21" t="str">
        <f>IF([1]!BANCO10[[#This Row],[SOLUÇÃO]]=CA$1,[1]!BANCO10[[#This Row],[STATUS DA ETAPA]],"")</f>
        <v/>
      </c>
      <c r="CB98" s="21" t="str">
        <f>IF([1]!BANCO10[[#This Row],[SOLUÇÃO]]=CB$1,[1]!BANCO10[[#This Row],[STATUS DA ETAPA]],"")</f>
        <v/>
      </c>
      <c r="CC98" s="21" t="str">
        <f>IF([1]!BANCO10[[#This Row],[SOLUÇÃO]]=CC$1,[1]!BANCO10[[#This Row],[STATUS DA ETAPA]],"")</f>
        <v/>
      </c>
      <c r="CD98" s="21" t="str">
        <f>IF([1]!BANCO10[[#This Row],[SOLUÇÃO]]=CD$1,[1]!BANCO10[[#This Row],[STATUS DA ETAPA]],"")</f>
        <v/>
      </c>
      <c r="CE98" s="21" t="str">
        <f>IF([1]!BANCO10[[#This Row],[SOLUÇÃO]]=CE$1,[1]!BANCO10[[#This Row],[STATUS DA ETAPA]],"")</f>
        <v/>
      </c>
      <c r="CF98" s="21" t="str">
        <f>IF([1]!BANCO10[[#This Row],[SOLUÇÃO]]=CF$1,[1]!BANCO10[[#This Row],[STATUS DA ETAPA]],"")</f>
        <v/>
      </c>
      <c r="CG98" s="21" t="str">
        <f>IF([1]!BANCO10[[#This Row],[SOLUÇÃO]]=CG$1,[1]!BANCO10[[#This Row],[STATUS DA ETAPA]],"")</f>
        <v/>
      </c>
      <c r="CH98" s="21" t="str">
        <f>IF([1]!BANCO10[[#This Row],[SOLUÇÃO]]=CH$1,[1]!BANCO10[[#This Row],[STATUS DA ETAPA]],"")</f>
        <v/>
      </c>
      <c r="CI98" s="21" t="str">
        <f>IF([1]!BANCO10[[#This Row],[SOLUÇÃO]]=CI$1,[1]!BANCO10[[#This Row],[STATUS DA ETAPA]],"")</f>
        <v/>
      </c>
      <c r="CJ98" s="21" t="str">
        <f>IF([1]!BANCO10[[#This Row],[SOLUÇÃO]]=CJ$1,[1]!BANCO10[[#This Row],[STATUS DA ETAPA]],"")</f>
        <v/>
      </c>
      <c r="CK98" s="21" t="str">
        <f>IF([1]!BANCO10[[#This Row],[SOLUÇÃO]]=CK$1,[1]!BANCO10[[#This Row],[STATUS DA ETAPA]],"")</f>
        <v/>
      </c>
      <c r="CL98" s="21" t="str">
        <f>IF([1]!BANCO10[[#This Row],[SOLUÇÃO]]=CL$1,[1]!BANCO10[[#This Row],[STATUS DA ETAPA]],"")</f>
        <v/>
      </c>
      <c r="CM98" s="21" t="str">
        <f>IF([1]!BANCO10[[#This Row],[SOLUÇÃO]]=CM$1,[1]!BANCO10[[#This Row],[STATUS DA ETAPA]],"")</f>
        <v/>
      </c>
      <c r="CN98" s="21" t="str">
        <f>IF([1]!BANCO10[[#This Row],[SOLUÇÃO]]=CN$1,[1]!BANCO10[[#This Row],[STATUS DA ETAPA]],"")</f>
        <v/>
      </c>
      <c r="CO98" s="21" t="str">
        <f>IF([1]!BANCO10[[#This Row],[SOLUÇÃO]]=CO$1,[1]!BANCO10[[#This Row],[STATUS DA ETAPA]],"")</f>
        <v/>
      </c>
      <c r="CP98" s="21" t="str">
        <f>IF([1]!BANCO10[[#This Row],[SOLUÇÃO]]=CP$1,[1]!BANCO10[[#This Row],[STATUS DA ETAPA]],"")</f>
        <v/>
      </c>
      <c r="CQ98" s="21" t="str">
        <f>IF([1]!BANCO10[[#This Row],[SOLUÇÃO]]=CQ$1,[1]!BANCO10[[#This Row],[STATUS DA ETAPA]],"")</f>
        <v/>
      </c>
      <c r="CR98" s="21" t="str">
        <f>IF([1]!BANCO10[[#This Row],[SOLUÇÃO]]=CR$1,[1]!BANCO10[[#This Row],[STATUS DA ETAPA]],"")</f>
        <v/>
      </c>
      <c r="CS98" s="21" t="str">
        <f>IF([1]!BANCO10[[#This Row],[SOLUÇÃO]]=CS$1,[1]!BANCO10[[#This Row],[STATUS DA ETAPA]],"")</f>
        <v/>
      </c>
      <c r="CT98" s="21" t="str">
        <f>IF([1]!BANCO10[[#This Row],[SOLUÇÃO]]=CT$1,[1]!BANCO10[[#This Row],[STATUS DA ETAPA]],"")</f>
        <v/>
      </c>
      <c r="CU98" s="21" t="str">
        <f>IF([1]!BANCO10[[#This Row],[SOLUÇÃO]]=CU$1,[1]!BANCO10[[#This Row],[STATUS DA ETAPA]],"")</f>
        <v/>
      </c>
      <c r="CV98" s="21" t="str">
        <f>IF([1]!BANCO10[[#This Row],[SOLUÇÃO]]=CV$1,[1]!BANCO10[[#This Row],[STATUS DA ETAPA]],"")</f>
        <v/>
      </c>
    </row>
    <row r="99" spans="1:100">
      <c r="A99" s="44" t="s">
        <v>1</v>
      </c>
      <c r="B99" s="44"/>
      <c r="C99" s="44" t="s">
        <v>1</v>
      </c>
      <c r="D99" s="44"/>
      <c r="E99" s="44" t="s">
        <v>1</v>
      </c>
      <c r="F99" s="44"/>
      <c r="G99" s="44" t="s">
        <v>1</v>
      </c>
      <c r="H99" s="44"/>
      <c r="I99" s="45" t="s">
        <v>1</v>
      </c>
      <c r="J99" s="46"/>
      <c r="K99" s="45" t="s">
        <v>1</v>
      </c>
      <c r="L99" s="33"/>
      <c r="M99" s="45" t="s">
        <v>1</v>
      </c>
      <c r="N99" s="33"/>
      <c r="O99" s="44" t="s">
        <v>2</v>
      </c>
      <c r="P99" s="44">
        <v>44985</v>
      </c>
      <c r="Q99" s="44" t="s">
        <v>0</v>
      </c>
      <c r="R99" s="44"/>
      <c r="S99" s="44" t="s">
        <v>1</v>
      </c>
      <c r="T99" s="44"/>
      <c r="U99" s="44" t="s">
        <v>1</v>
      </c>
      <c r="V99" s="44"/>
      <c r="W99" s="44" t="s">
        <v>1</v>
      </c>
      <c r="X99" s="44"/>
      <c r="Y99" s="44" t="s">
        <v>1</v>
      </c>
      <c r="Z99" s="44"/>
      <c r="AA99" s="44" t="s">
        <v>1</v>
      </c>
      <c r="AB99" s="44"/>
      <c r="AC99" s="51">
        <v>44984</v>
      </c>
      <c r="AD99" s="50">
        <v>44984</v>
      </c>
      <c r="AE99" s="40" t="s">
        <v>1</v>
      </c>
      <c r="AF99" s="40" t="s">
        <v>1</v>
      </c>
      <c r="AG99" s="76" t="s">
        <v>5</v>
      </c>
      <c r="AH99" s="36" t="s">
        <v>1</v>
      </c>
      <c r="AI99" s="49">
        <v>0</v>
      </c>
      <c r="AJ99" s="36" t="s">
        <v>1</v>
      </c>
      <c r="AK99" s="10" t="s">
        <v>1</v>
      </c>
      <c r="AL99" s="36" t="s">
        <v>1</v>
      </c>
      <c r="AM99" s="36" t="s">
        <v>1</v>
      </c>
      <c r="AN99" s="35" t="s">
        <v>1</v>
      </c>
      <c r="AO99" s="35" t="s">
        <v>1</v>
      </c>
      <c r="AP99" s="35" t="s">
        <v>1</v>
      </c>
      <c r="AQ99" s="35" t="s">
        <v>1</v>
      </c>
      <c r="AR99" s="171" t="s">
        <v>1</v>
      </c>
      <c r="AS99" s="33"/>
      <c r="AT99" s="32" t="s">
        <v>1</v>
      </c>
      <c r="AU99" s="31"/>
      <c r="AV99" s="32" t="s">
        <v>1</v>
      </c>
      <c r="AW99" s="31"/>
      <c r="AX99" s="30" t="s">
        <v>1</v>
      </c>
      <c r="AY99" s="55"/>
      <c r="AZ99" s="30" t="s">
        <v>1</v>
      </c>
      <c r="BA99" s="55"/>
      <c r="BB99" s="74" t="s">
        <v>779</v>
      </c>
      <c r="BC99" s="25"/>
      <c r="BD99" s="24" t="s">
        <v>19</v>
      </c>
      <c r="BE99" s="24" t="s">
        <v>19</v>
      </c>
      <c r="BF99" s="24" t="s">
        <v>51</v>
      </c>
      <c r="BG99" s="24" t="s">
        <v>11</v>
      </c>
      <c r="BH99" s="130" t="s">
        <v>770</v>
      </c>
      <c r="BI99" s="24"/>
      <c r="BJ99" s="24" t="s">
        <v>11</v>
      </c>
      <c r="BK99" s="24" t="s">
        <v>11</v>
      </c>
      <c r="BL99" s="24" t="s">
        <v>11</v>
      </c>
      <c r="BM99" s="24" t="s">
        <v>11</v>
      </c>
      <c r="BN99" s="24" t="s">
        <v>11</v>
      </c>
      <c r="BO99" s="24" t="s">
        <v>11</v>
      </c>
      <c r="BP99" s="24" t="s">
        <v>11</v>
      </c>
      <c r="BQ99" s="22">
        <f>YEAR([1]!BANCO10[[#This Row],[DATA INÍCIO]])</f>
        <v>2023</v>
      </c>
      <c r="BR99" s="22">
        <f>MONTH([1]!BANCO10[[#This Row],[DATA INÍCIO]])</f>
        <v>2</v>
      </c>
      <c r="BS99" s="129" t="e">
        <f>CONCATENATE(#REF!,#REF!)</f>
        <v>#REF!</v>
      </c>
      <c r="BT99" s="22"/>
      <c r="BU99" s="21" t="s">
        <v>778</v>
      </c>
      <c r="BV99" s="21" t="str">
        <f>IF([1]!BANCO10[[#This Row],[SOLUÇÃO]]=BV$1,[1]!BANCO10[[#This Row],[STATUS DA ETAPA]],"")</f>
        <v>CONCLUÍDO</v>
      </c>
      <c r="BW99" s="21" t="str">
        <f>IF([1]!BANCO10[[#This Row],[SOLUÇÃO]]=BW$1,[1]!BANCO10[[#This Row],[STATUS DA ETAPA]],"")</f>
        <v/>
      </c>
      <c r="BX99" s="21" t="str">
        <f>IF([1]!BANCO10[[#This Row],[SOLUÇÃO]]=BX$1,[1]!BANCO10[[#This Row],[STATUS DA ETAPA]],"")</f>
        <v/>
      </c>
      <c r="BY99" s="21" t="str">
        <f>IF([1]!BANCO10[[#This Row],[SOLUÇÃO]]=BY$1,[1]!BANCO10[[#This Row],[STATUS DA ETAPA]],"")</f>
        <v/>
      </c>
      <c r="BZ99" s="21" t="str">
        <f>IF([1]!BANCO10[[#This Row],[SOLUÇÃO]]=BZ$1,[1]!BANCO10[[#This Row],[STATUS DA ETAPA]],"")</f>
        <v/>
      </c>
      <c r="CA99" s="21" t="str">
        <f>IF([1]!BANCO10[[#This Row],[SOLUÇÃO]]=CA$1,[1]!BANCO10[[#This Row],[STATUS DA ETAPA]],"")</f>
        <v/>
      </c>
      <c r="CB99" s="21" t="str">
        <f>IF([1]!BANCO10[[#This Row],[SOLUÇÃO]]=CB$1,[1]!BANCO10[[#This Row],[STATUS DA ETAPA]],"")</f>
        <v/>
      </c>
      <c r="CC99" s="21" t="str">
        <f>IF([1]!BANCO10[[#This Row],[SOLUÇÃO]]=CC$1,[1]!BANCO10[[#This Row],[STATUS DA ETAPA]],"")</f>
        <v/>
      </c>
      <c r="CD99" s="21" t="str">
        <f>IF([1]!BANCO10[[#This Row],[SOLUÇÃO]]=CD$1,[1]!BANCO10[[#This Row],[STATUS DA ETAPA]],"")</f>
        <v/>
      </c>
      <c r="CE99" s="21" t="str">
        <f>IF([1]!BANCO10[[#This Row],[SOLUÇÃO]]=CE$1,[1]!BANCO10[[#This Row],[STATUS DA ETAPA]],"")</f>
        <v/>
      </c>
      <c r="CF99" s="21" t="str">
        <f>IF([1]!BANCO10[[#This Row],[SOLUÇÃO]]=CF$1,[1]!BANCO10[[#This Row],[STATUS DA ETAPA]],"")</f>
        <v/>
      </c>
      <c r="CG99" s="21" t="str">
        <f>IF([1]!BANCO10[[#This Row],[SOLUÇÃO]]=CG$1,[1]!BANCO10[[#This Row],[STATUS DA ETAPA]],"")</f>
        <v/>
      </c>
      <c r="CH99" s="21" t="str">
        <f>IF([1]!BANCO10[[#This Row],[SOLUÇÃO]]=CH$1,[1]!BANCO10[[#This Row],[STATUS DA ETAPA]],"")</f>
        <v/>
      </c>
      <c r="CI99" s="21" t="str">
        <f>IF([1]!BANCO10[[#This Row],[SOLUÇÃO]]=CI$1,[1]!BANCO10[[#This Row],[STATUS DA ETAPA]],"")</f>
        <v/>
      </c>
      <c r="CJ99" s="21" t="str">
        <f>IF([1]!BANCO10[[#This Row],[SOLUÇÃO]]=CJ$1,[1]!BANCO10[[#This Row],[STATUS DA ETAPA]],"")</f>
        <v/>
      </c>
      <c r="CK99" s="21" t="str">
        <f>IF([1]!BANCO10[[#This Row],[SOLUÇÃO]]=CK$1,[1]!BANCO10[[#This Row],[STATUS DA ETAPA]],"")</f>
        <v/>
      </c>
      <c r="CL99" s="21" t="str">
        <f>IF([1]!BANCO10[[#This Row],[SOLUÇÃO]]=CL$1,[1]!BANCO10[[#This Row],[STATUS DA ETAPA]],"")</f>
        <v/>
      </c>
      <c r="CM99" s="21" t="str">
        <f>IF([1]!BANCO10[[#This Row],[SOLUÇÃO]]=CM$1,[1]!BANCO10[[#This Row],[STATUS DA ETAPA]],"")</f>
        <v/>
      </c>
      <c r="CN99" s="21" t="str">
        <f>IF([1]!BANCO10[[#This Row],[SOLUÇÃO]]=CN$1,[1]!BANCO10[[#This Row],[STATUS DA ETAPA]],"")</f>
        <v/>
      </c>
      <c r="CO99" s="21" t="str">
        <f>IF([1]!BANCO10[[#This Row],[SOLUÇÃO]]=CO$1,[1]!BANCO10[[#This Row],[STATUS DA ETAPA]],"")</f>
        <v/>
      </c>
      <c r="CP99" s="21" t="str">
        <f>IF([1]!BANCO10[[#This Row],[SOLUÇÃO]]=CP$1,[1]!BANCO10[[#This Row],[STATUS DA ETAPA]],"")</f>
        <v/>
      </c>
      <c r="CQ99" s="21" t="str">
        <f>IF([1]!BANCO10[[#This Row],[SOLUÇÃO]]=CQ$1,[1]!BANCO10[[#This Row],[STATUS DA ETAPA]],"")</f>
        <v/>
      </c>
      <c r="CR99" s="21" t="str">
        <f>IF([1]!BANCO10[[#This Row],[SOLUÇÃO]]=CR$1,[1]!BANCO10[[#This Row],[STATUS DA ETAPA]],"")</f>
        <v/>
      </c>
      <c r="CS99" s="21" t="str">
        <f>IF([1]!BANCO10[[#This Row],[SOLUÇÃO]]=CS$1,[1]!BANCO10[[#This Row],[STATUS DA ETAPA]],"")</f>
        <v/>
      </c>
      <c r="CT99" s="21" t="str">
        <f>IF([1]!BANCO10[[#This Row],[SOLUÇÃO]]=CT$1,[1]!BANCO10[[#This Row],[STATUS DA ETAPA]],"")</f>
        <v/>
      </c>
      <c r="CU99" s="21" t="str">
        <f>IF([1]!BANCO10[[#This Row],[SOLUÇÃO]]=CU$1,[1]!BANCO10[[#This Row],[STATUS DA ETAPA]],"")</f>
        <v/>
      </c>
      <c r="CV99" s="21" t="str">
        <f>IF([1]!BANCO10[[#This Row],[SOLUÇÃO]]=CV$1,[1]!BANCO10[[#This Row],[STATUS DA ETAPA]],"")</f>
        <v/>
      </c>
    </row>
    <row r="100" spans="1:100">
      <c r="A100" s="44" t="s">
        <v>1</v>
      </c>
      <c r="B100" s="44"/>
      <c r="C100" s="44" t="s">
        <v>1</v>
      </c>
      <c r="D100" s="44"/>
      <c r="E100" s="44" t="s">
        <v>1</v>
      </c>
      <c r="F100" s="44"/>
      <c r="G100" s="44" t="s">
        <v>1</v>
      </c>
      <c r="H100" s="44"/>
      <c r="I100" s="45" t="s">
        <v>1</v>
      </c>
      <c r="J100" s="46"/>
      <c r="K100" s="45" t="s">
        <v>1</v>
      </c>
      <c r="L100" s="33"/>
      <c r="M100" s="45" t="s">
        <v>1</v>
      </c>
      <c r="N100" s="33"/>
      <c r="O100" s="44" t="s">
        <v>2</v>
      </c>
      <c r="P100" s="44">
        <v>45392</v>
      </c>
      <c r="Q100" s="44" t="s">
        <v>0</v>
      </c>
      <c r="R100" s="44"/>
      <c r="S100" s="44" t="s">
        <v>1</v>
      </c>
      <c r="T100" s="44"/>
      <c r="U100" s="44" t="s">
        <v>1</v>
      </c>
      <c r="V100" s="44"/>
      <c r="W100" s="44" t="s">
        <v>1</v>
      </c>
      <c r="X100" s="44"/>
      <c r="Y100" s="44" t="s">
        <v>1</v>
      </c>
      <c r="Z100" s="44"/>
      <c r="AA100" s="44" t="s">
        <v>1</v>
      </c>
      <c r="AB100" s="44"/>
      <c r="AC100" s="51">
        <v>45392</v>
      </c>
      <c r="AD100" s="50">
        <v>45392</v>
      </c>
      <c r="AE100" s="40" t="s">
        <v>1</v>
      </c>
      <c r="AF100" s="40" t="s">
        <v>1</v>
      </c>
      <c r="AG100" s="76" t="s">
        <v>5</v>
      </c>
      <c r="AH100" s="36" t="s">
        <v>1</v>
      </c>
      <c r="AI100" s="49">
        <v>0</v>
      </c>
      <c r="AJ100" s="36" t="s">
        <v>1</v>
      </c>
      <c r="AK100" s="10" t="s">
        <v>1</v>
      </c>
      <c r="AL100" s="36" t="s">
        <v>1</v>
      </c>
      <c r="AM100" s="36" t="s">
        <v>1</v>
      </c>
      <c r="AN100" s="35" t="s">
        <v>1</v>
      </c>
      <c r="AO100" s="35" t="s">
        <v>1</v>
      </c>
      <c r="AP100" s="35" t="s">
        <v>1</v>
      </c>
      <c r="AQ100" s="35" t="s">
        <v>1</v>
      </c>
      <c r="AR100" s="171" t="s">
        <v>1</v>
      </c>
      <c r="AS100" s="33"/>
      <c r="AT100" s="30"/>
      <c r="AU100" s="31"/>
      <c r="AV100" s="30"/>
      <c r="AW100" s="31"/>
      <c r="AX100" s="30" t="s">
        <v>1</v>
      </c>
      <c r="AY100" s="31"/>
      <c r="AZ100" s="30" t="s">
        <v>1</v>
      </c>
      <c r="BA100" s="55"/>
      <c r="BB100" s="74"/>
      <c r="BC100" s="25"/>
      <c r="BD100" s="24" t="s">
        <v>11</v>
      </c>
      <c r="BE100" s="24" t="s">
        <v>11</v>
      </c>
      <c r="BF100" s="24" t="s">
        <v>11</v>
      </c>
      <c r="BG100" s="24" t="s">
        <v>11</v>
      </c>
      <c r="BH100" s="130" t="s">
        <v>11</v>
      </c>
      <c r="BI100" s="24"/>
      <c r="BJ100" s="24" t="s">
        <v>11</v>
      </c>
      <c r="BK100" s="24" t="s">
        <v>11</v>
      </c>
      <c r="BL100" s="24" t="s">
        <v>11</v>
      </c>
      <c r="BM100" s="24" t="s">
        <v>11</v>
      </c>
      <c r="BN100" s="24" t="s">
        <v>11</v>
      </c>
      <c r="BO100" s="24" t="s">
        <v>11</v>
      </c>
      <c r="BP100" s="24" t="s">
        <v>11</v>
      </c>
      <c r="BQ100" s="22">
        <f>YEAR([1]!BANCO10[[#This Row],[DATA INÍCIO]])</f>
        <v>2024</v>
      </c>
      <c r="BR100" s="22">
        <f>MONTH([1]!BANCO10[[#This Row],[DATA INÍCIO]])</f>
        <v>4</v>
      </c>
      <c r="BS100" s="129" t="e">
        <f>CONCATENATE(#REF!,#REF!)</f>
        <v>#REF!</v>
      </c>
      <c r="BT100" s="22"/>
      <c r="BU100" s="21" t="s">
        <v>777</v>
      </c>
      <c r="BV100" s="21" t="str">
        <f>IF([1]!BANCO10[[#This Row],[SOLUÇÃO]]=BV$1,[1]!BANCO10[[#This Row],[STATUS DA ETAPA]],"")</f>
        <v>CONCLUÍDO</v>
      </c>
      <c r="BW100" s="21" t="str">
        <f>IF([1]!BANCO10[[#This Row],[SOLUÇÃO]]=BW$1,[1]!BANCO10[[#This Row],[STATUS DA ETAPA]],"")</f>
        <v/>
      </c>
      <c r="BX100" s="21" t="str">
        <f>IF([1]!BANCO10[[#This Row],[SOLUÇÃO]]=BX$1,[1]!BANCO10[[#This Row],[STATUS DA ETAPA]],"")</f>
        <v/>
      </c>
      <c r="BY100" s="21" t="str">
        <f>IF([1]!BANCO10[[#This Row],[SOLUÇÃO]]=BY$1,[1]!BANCO10[[#This Row],[STATUS DA ETAPA]],"")</f>
        <v/>
      </c>
      <c r="BZ100" s="21" t="str">
        <f>IF([1]!BANCO10[[#This Row],[SOLUÇÃO]]=BZ$1,[1]!BANCO10[[#This Row],[STATUS DA ETAPA]],"")</f>
        <v/>
      </c>
      <c r="CA100" s="21" t="str">
        <f>IF([1]!BANCO10[[#This Row],[SOLUÇÃO]]=CA$1,[1]!BANCO10[[#This Row],[STATUS DA ETAPA]],"")</f>
        <v/>
      </c>
      <c r="CB100" s="21" t="str">
        <f>IF([1]!BANCO10[[#This Row],[SOLUÇÃO]]=CB$1,[1]!BANCO10[[#This Row],[STATUS DA ETAPA]],"")</f>
        <v/>
      </c>
      <c r="CC100" s="21" t="str">
        <f>IF([1]!BANCO10[[#This Row],[SOLUÇÃO]]=CC$1,[1]!BANCO10[[#This Row],[STATUS DA ETAPA]],"")</f>
        <v/>
      </c>
      <c r="CD100" s="21" t="str">
        <f>IF([1]!BANCO10[[#This Row],[SOLUÇÃO]]=CD$1,[1]!BANCO10[[#This Row],[STATUS DA ETAPA]],"")</f>
        <v/>
      </c>
      <c r="CE100" s="21" t="str">
        <f>IF([1]!BANCO10[[#This Row],[SOLUÇÃO]]=CE$1,[1]!BANCO10[[#This Row],[STATUS DA ETAPA]],"")</f>
        <v/>
      </c>
      <c r="CF100" s="21" t="str">
        <f>IF([1]!BANCO10[[#This Row],[SOLUÇÃO]]=CF$1,[1]!BANCO10[[#This Row],[STATUS DA ETAPA]],"")</f>
        <v/>
      </c>
      <c r="CG100" s="21" t="str">
        <f>IF([1]!BANCO10[[#This Row],[SOLUÇÃO]]=CG$1,[1]!BANCO10[[#This Row],[STATUS DA ETAPA]],"")</f>
        <v/>
      </c>
      <c r="CH100" s="21" t="str">
        <f>IF([1]!BANCO10[[#This Row],[SOLUÇÃO]]=CH$1,[1]!BANCO10[[#This Row],[STATUS DA ETAPA]],"")</f>
        <v/>
      </c>
      <c r="CI100" s="21" t="str">
        <f>IF([1]!BANCO10[[#This Row],[SOLUÇÃO]]=CI$1,[1]!BANCO10[[#This Row],[STATUS DA ETAPA]],"")</f>
        <v/>
      </c>
      <c r="CJ100" s="21" t="str">
        <f>IF([1]!BANCO10[[#This Row],[SOLUÇÃO]]=CJ$1,[1]!BANCO10[[#This Row],[STATUS DA ETAPA]],"")</f>
        <v/>
      </c>
      <c r="CK100" s="21" t="str">
        <f>IF([1]!BANCO10[[#This Row],[SOLUÇÃO]]=CK$1,[1]!BANCO10[[#This Row],[STATUS DA ETAPA]],"")</f>
        <v/>
      </c>
      <c r="CL100" s="21" t="str">
        <f>IF([1]!BANCO10[[#This Row],[SOLUÇÃO]]=CL$1,[1]!BANCO10[[#This Row],[STATUS DA ETAPA]],"")</f>
        <v/>
      </c>
      <c r="CM100" s="21" t="str">
        <f>IF([1]!BANCO10[[#This Row],[SOLUÇÃO]]=CM$1,[1]!BANCO10[[#This Row],[STATUS DA ETAPA]],"")</f>
        <v/>
      </c>
      <c r="CN100" s="21" t="str">
        <f>IF([1]!BANCO10[[#This Row],[SOLUÇÃO]]=CN$1,[1]!BANCO10[[#This Row],[STATUS DA ETAPA]],"")</f>
        <v/>
      </c>
      <c r="CO100" s="21" t="str">
        <f>IF([1]!BANCO10[[#This Row],[SOLUÇÃO]]=CO$1,[1]!BANCO10[[#This Row],[STATUS DA ETAPA]],"")</f>
        <v/>
      </c>
      <c r="CP100" s="21" t="str">
        <f>IF([1]!BANCO10[[#This Row],[SOLUÇÃO]]=CP$1,[1]!BANCO10[[#This Row],[STATUS DA ETAPA]],"")</f>
        <v/>
      </c>
      <c r="CQ100" s="21" t="str">
        <f>IF([1]!BANCO10[[#This Row],[SOLUÇÃO]]=CQ$1,[1]!BANCO10[[#This Row],[STATUS DA ETAPA]],"")</f>
        <v/>
      </c>
      <c r="CR100" s="21" t="str">
        <f>IF([1]!BANCO10[[#This Row],[SOLUÇÃO]]=CR$1,[1]!BANCO10[[#This Row],[STATUS DA ETAPA]],"")</f>
        <v/>
      </c>
      <c r="CS100" s="21" t="str">
        <f>IF([1]!BANCO10[[#This Row],[SOLUÇÃO]]=CS$1,[1]!BANCO10[[#This Row],[STATUS DA ETAPA]],"")</f>
        <v/>
      </c>
      <c r="CT100" s="21" t="str">
        <f>IF([1]!BANCO10[[#This Row],[SOLUÇÃO]]=CT$1,[1]!BANCO10[[#This Row],[STATUS DA ETAPA]],"")</f>
        <v/>
      </c>
      <c r="CU100" s="21" t="str">
        <f>IF([1]!BANCO10[[#This Row],[SOLUÇÃO]]=CU$1,[1]!BANCO10[[#This Row],[STATUS DA ETAPA]],"")</f>
        <v/>
      </c>
      <c r="CV100" s="21" t="str">
        <f>IF([1]!BANCO10[[#This Row],[SOLUÇÃO]]=CV$1,[1]!BANCO10[[#This Row],[STATUS DA ETAPA]],"")</f>
        <v/>
      </c>
    </row>
    <row r="101" spans="1:100">
      <c r="A101" s="44" t="s">
        <v>1</v>
      </c>
      <c r="B101" s="44"/>
      <c r="C101" s="44" t="s">
        <v>1</v>
      </c>
      <c r="D101" s="44"/>
      <c r="E101" s="44" t="s">
        <v>1</v>
      </c>
      <c r="F101" s="44"/>
      <c r="G101" s="44" t="s">
        <v>1</v>
      </c>
      <c r="H101" s="44"/>
      <c r="I101" s="45" t="s">
        <v>1</v>
      </c>
      <c r="J101" s="46"/>
      <c r="K101" s="45" t="s">
        <v>1</v>
      </c>
      <c r="L101" s="33"/>
      <c r="M101" s="45" t="s">
        <v>1</v>
      </c>
      <c r="N101" s="33"/>
      <c r="O101" s="44" t="s">
        <v>2</v>
      </c>
      <c r="P101" s="44">
        <v>45392</v>
      </c>
      <c r="Q101" s="44" t="s">
        <v>2</v>
      </c>
      <c r="R101" s="44">
        <v>45392</v>
      </c>
      <c r="S101" s="44" t="s">
        <v>1</v>
      </c>
      <c r="T101" s="44"/>
      <c r="U101" s="44" t="s">
        <v>1</v>
      </c>
      <c r="V101" s="44"/>
      <c r="W101" s="44" t="s">
        <v>1</v>
      </c>
      <c r="X101" s="44"/>
      <c r="Y101" s="44" t="s">
        <v>1</v>
      </c>
      <c r="Z101" s="44"/>
      <c r="AA101" s="44" t="s">
        <v>1</v>
      </c>
      <c r="AB101" s="44"/>
      <c r="AC101" s="51">
        <v>45450</v>
      </c>
      <c r="AD101" s="50">
        <v>45503</v>
      </c>
      <c r="AE101" s="76" t="s">
        <v>2</v>
      </c>
      <c r="AF101" s="76" t="s">
        <v>2</v>
      </c>
      <c r="AG101" s="76" t="s">
        <v>5</v>
      </c>
      <c r="AH101" s="36" t="s">
        <v>0</v>
      </c>
      <c r="AI101" s="49">
        <v>0</v>
      </c>
      <c r="AJ101" s="36" t="s">
        <v>6</v>
      </c>
      <c r="AK101" s="10" t="s">
        <v>1</v>
      </c>
      <c r="AL101" s="36" t="s">
        <v>1</v>
      </c>
      <c r="AM101" s="36" t="s">
        <v>1</v>
      </c>
      <c r="AN101" s="35" t="s">
        <v>1</v>
      </c>
      <c r="AO101" s="35" t="s">
        <v>1</v>
      </c>
      <c r="AP101" s="35" t="s">
        <v>2</v>
      </c>
      <c r="AQ101" s="35" t="s">
        <v>1</v>
      </c>
      <c r="AR101" s="45" t="s">
        <v>1</v>
      </c>
      <c r="AS101" s="33"/>
      <c r="AT101" s="30"/>
      <c r="AU101" s="31"/>
      <c r="AV101" s="30"/>
      <c r="AW101" s="31"/>
      <c r="AX101" s="30" t="s">
        <v>2</v>
      </c>
      <c r="AY101" s="31">
        <v>45503</v>
      </c>
      <c r="AZ101" s="30" t="s">
        <v>1</v>
      </c>
      <c r="BA101" s="31"/>
      <c r="BB101" s="74"/>
      <c r="BC101" s="25"/>
      <c r="BD101" s="24" t="s">
        <v>11</v>
      </c>
      <c r="BE101" s="24" t="s">
        <v>11</v>
      </c>
      <c r="BF101" s="24" t="s">
        <v>11</v>
      </c>
      <c r="BG101" s="24" t="s">
        <v>11</v>
      </c>
      <c r="BH101" s="130" t="s">
        <v>11</v>
      </c>
      <c r="BI101" s="24"/>
      <c r="BJ101" s="24" t="s">
        <v>11</v>
      </c>
      <c r="BK101" s="24" t="s">
        <v>11</v>
      </c>
      <c r="BL101" s="24" t="s">
        <v>11</v>
      </c>
      <c r="BM101" s="24" t="s">
        <v>11</v>
      </c>
      <c r="BN101" s="24" t="s">
        <v>11</v>
      </c>
      <c r="BO101" s="24" t="s">
        <v>11</v>
      </c>
      <c r="BP101" s="24" t="s">
        <v>11</v>
      </c>
      <c r="BQ101" s="22">
        <f>YEAR([1]!BANCO10[[#This Row],[DATA INÍCIO]])</f>
        <v>2024</v>
      </c>
      <c r="BR101" s="22">
        <f>MONTH([1]!BANCO10[[#This Row],[DATA INÍCIO]])</f>
        <v>6</v>
      </c>
      <c r="BS101" s="129" t="e">
        <f>CONCATENATE(#REF!,#REF!)</f>
        <v>#REF!</v>
      </c>
      <c r="BT101" s="22"/>
      <c r="BU101" s="21" t="s">
        <v>776</v>
      </c>
      <c r="BV101" s="21" t="str">
        <f>IF([1]!BANCO10[[#This Row],[SOLUÇÃO]]=BV$1,[1]!BANCO10[[#This Row],[STATUS DA ETAPA]],"")</f>
        <v/>
      </c>
      <c r="BW101" s="21" t="str">
        <f>IF([1]!BANCO10[[#This Row],[SOLUÇÃO]]=BW$1,[1]!BANCO10[[#This Row],[STATUS DA ETAPA]],"")</f>
        <v/>
      </c>
      <c r="BX101" s="21" t="str">
        <f>IF([1]!BANCO10[[#This Row],[SOLUÇÃO]]=BX$1,[1]!BANCO10[[#This Row],[STATUS DA ETAPA]],"")</f>
        <v/>
      </c>
      <c r="BY101" s="21" t="str">
        <f>IF([1]!BANCO10[[#This Row],[SOLUÇÃO]]=BY$1,[1]!BANCO10[[#This Row],[STATUS DA ETAPA]],"")</f>
        <v/>
      </c>
      <c r="BZ101" s="21" t="str">
        <f>IF([1]!BANCO10[[#This Row],[SOLUÇÃO]]=BZ$1,[1]!BANCO10[[#This Row],[STATUS DA ETAPA]],"")</f>
        <v/>
      </c>
      <c r="CA101" s="21" t="str">
        <f>IF([1]!BANCO10[[#This Row],[SOLUÇÃO]]=CA$1,[1]!BANCO10[[#This Row],[STATUS DA ETAPA]],"")</f>
        <v/>
      </c>
      <c r="CB101" s="21" t="str">
        <f>IF([1]!BANCO10[[#This Row],[SOLUÇÃO]]=CB$1,[1]!BANCO10[[#This Row],[STATUS DA ETAPA]],"")</f>
        <v/>
      </c>
      <c r="CC101" s="21" t="str">
        <f>IF([1]!BANCO10[[#This Row],[SOLUÇÃO]]=CC$1,[1]!BANCO10[[#This Row],[STATUS DA ETAPA]],"")</f>
        <v/>
      </c>
      <c r="CD101" s="21" t="str">
        <f>IF([1]!BANCO10[[#This Row],[SOLUÇÃO]]=CD$1,[1]!BANCO10[[#This Row],[STATUS DA ETAPA]],"")</f>
        <v/>
      </c>
      <c r="CE101" s="21" t="str">
        <f>IF([1]!BANCO10[[#This Row],[SOLUÇÃO]]=CE$1,[1]!BANCO10[[#This Row],[STATUS DA ETAPA]],"")</f>
        <v/>
      </c>
      <c r="CF101" s="21" t="str">
        <f>IF([1]!BANCO10[[#This Row],[SOLUÇÃO]]=CF$1,[1]!BANCO10[[#This Row],[STATUS DA ETAPA]],"")</f>
        <v/>
      </c>
      <c r="CG101" s="21" t="str">
        <f>IF([1]!BANCO10[[#This Row],[SOLUÇÃO]]=CG$1,[1]!BANCO10[[#This Row],[STATUS DA ETAPA]],"")</f>
        <v/>
      </c>
      <c r="CH101" s="21" t="str">
        <f>IF([1]!BANCO10[[#This Row],[SOLUÇÃO]]=CH$1,[1]!BANCO10[[#This Row],[STATUS DA ETAPA]],"")</f>
        <v/>
      </c>
      <c r="CI101" s="21" t="str">
        <f>IF([1]!BANCO10[[#This Row],[SOLUÇÃO]]=CI$1,[1]!BANCO10[[#This Row],[STATUS DA ETAPA]],"")</f>
        <v/>
      </c>
      <c r="CJ101" s="21" t="str">
        <f>IF([1]!BANCO10[[#This Row],[SOLUÇÃO]]=CJ$1,[1]!BANCO10[[#This Row],[STATUS DA ETAPA]],"")</f>
        <v/>
      </c>
      <c r="CK101" s="21" t="str">
        <f>IF([1]!BANCO10[[#This Row],[SOLUÇÃO]]=CK$1,[1]!BANCO10[[#This Row],[STATUS DA ETAPA]],"")</f>
        <v/>
      </c>
      <c r="CL101" s="21" t="str">
        <f>IF([1]!BANCO10[[#This Row],[SOLUÇÃO]]=CL$1,[1]!BANCO10[[#This Row],[STATUS DA ETAPA]],"")</f>
        <v/>
      </c>
      <c r="CM101" s="21" t="str">
        <f>IF([1]!BANCO10[[#This Row],[SOLUÇÃO]]=CM$1,[1]!BANCO10[[#This Row],[STATUS DA ETAPA]],"")</f>
        <v/>
      </c>
      <c r="CN101" s="21" t="str">
        <f>IF([1]!BANCO10[[#This Row],[SOLUÇÃO]]=CN$1,[1]!BANCO10[[#This Row],[STATUS DA ETAPA]],"")</f>
        <v/>
      </c>
      <c r="CO101" s="21" t="str">
        <f>IF([1]!BANCO10[[#This Row],[SOLUÇÃO]]=CO$1,[1]!BANCO10[[#This Row],[STATUS DA ETAPA]],"")</f>
        <v/>
      </c>
      <c r="CP101" s="21" t="str">
        <f>IF([1]!BANCO10[[#This Row],[SOLUÇÃO]]=CP$1,[1]!BANCO10[[#This Row],[STATUS DA ETAPA]],"")</f>
        <v>CONCLUÍDO</v>
      </c>
      <c r="CQ101" s="21" t="str">
        <f>IF([1]!BANCO10[[#This Row],[SOLUÇÃO]]=CQ$1,[1]!BANCO10[[#This Row],[STATUS DA ETAPA]],"")</f>
        <v/>
      </c>
      <c r="CR101" s="21" t="str">
        <f>IF([1]!BANCO10[[#This Row],[SOLUÇÃO]]=CR$1,[1]!BANCO10[[#This Row],[STATUS DA ETAPA]],"")</f>
        <v/>
      </c>
      <c r="CS101" s="21" t="str">
        <f>IF([1]!BANCO10[[#This Row],[SOLUÇÃO]]=CS$1,[1]!BANCO10[[#This Row],[STATUS DA ETAPA]],"")</f>
        <v/>
      </c>
      <c r="CT101" s="21" t="str">
        <f>IF([1]!BANCO10[[#This Row],[SOLUÇÃO]]=CT$1,[1]!BANCO10[[#This Row],[STATUS DA ETAPA]],"")</f>
        <v/>
      </c>
      <c r="CU101" s="21" t="str">
        <f>IF([1]!BANCO10[[#This Row],[SOLUÇÃO]]=CU$1,[1]!BANCO10[[#This Row],[STATUS DA ETAPA]],"")</f>
        <v/>
      </c>
      <c r="CV101" s="21" t="str">
        <f>IF([1]!BANCO10[[#This Row],[SOLUÇÃO]]=CV$1,[1]!BANCO10[[#This Row],[STATUS DA ETAPA]],"")</f>
        <v/>
      </c>
    </row>
    <row r="102" spans="1:100">
      <c r="A102" s="44" t="s">
        <v>1</v>
      </c>
      <c r="B102" s="44"/>
      <c r="C102" s="44" t="s">
        <v>1</v>
      </c>
      <c r="D102" s="44"/>
      <c r="E102" s="44" t="s">
        <v>1</v>
      </c>
      <c r="F102" s="44"/>
      <c r="G102" s="44" t="s">
        <v>1</v>
      </c>
      <c r="H102" s="44"/>
      <c r="I102" s="45" t="s">
        <v>1</v>
      </c>
      <c r="J102" s="46"/>
      <c r="K102" s="45" t="s">
        <v>1</v>
      </c>
      <c r="L102" s="33"/>
      <c r="M102" s="45" t="s">
        <v>1</v>
      </c>
      <c r="N102" s="33"/>
      <c r="O102" s="44" t="s">
        <v>1</v>
      </c>
      <c r="P102" s="44"/>
      <c r="Q102" s="44" t="s">
        <v>1</v>
      </c>
      <c r="R102" s="44"/>
      <c r="S102" s="44" t="s">
        <v>1</v>
      </c>
      <c r="T102" s="44"/>
      <c r="U102" s="44" t="s">
        <v>1</v>
      </c>
      <c r="V102" s="44"/>
      <c r="W102" s="44" t="s">
        <v>1</v>
      </c>
      <c r="X102" s="44"/>
      <c r="Y102" s="44" t="s">
        <v>1</v>
      </c>
      <c r="Z102" s="44"/>
      <c r="AA102" s="44" t="s">
        <v>1</v>
      </c>
      <c r="AB102" s="44"/>
      <c r="AC102" s="51">
        <v>45491</v>
      </c>
      <c r="AD102" s="50">
        <v>45491</v>
      </c>
      <c r="AE102" s="41" t="s">
        <v>1</v>
      </c>
      <c r="AF102" s="41" t="s">
        <v>1</v>
      </c>
      <c r="AG102" s="40" t="s">
        <v>5</v>
      </c>
      <c r="AH102" s="36" t="s">
        <v>1</v>
      </c>
      <c r="AI102" s="49">
        <v>0</v>
      </c>
      <c r="AJ102" s="36" t="s">
        <v>1</v>
      </c>
      <c r="AK102" s="10" t="s">
        <v>1</v>
      </c>
      <c r="AL102" s="36" t="s">
        <v>1</v>
      </c>
      <c r="AM102" s="36" t="s">
        <v>1</v>
      </c>
      <c r="AN102" s="35" t="s">
        <v>1</v>
      </c>
      <c r="AO102" s="35" t="s">
        <v>1</v>
      </c>
      <c r="AP102" s="35" t="s">
        <v>1</v>
      </c>
      <c r="AQ102" s="35" t="s">
        <v>1</v>
      </c>
      <c r="AR102" s="171" t="s">
        <v>1</v>
      </c>
      <c r="AS102" s="33"/>
      <c r="AT102" s="30"/>
      <c r="AU102" s="55"/>
      <c r="AV102" s="30"/>
      <c r="AW102" s="55"/>
      <c r="AX102" s="30" t="s">
        <v>1</v>
      </c>
      <c r="AY102" s="55"/>
      <c r="AZ102" s="30" t="s">
        <v>1</v>
      </c>
      <c r="BA102" s="55"/>
      <c r="BB102" s="74" t="s">
        <v>775</v>
      </c>
      <c r="BC102" s="25" t="s">
        <v>41</v>
      </c>
      <c r="BD102" s="24"/>
      <c r="BE102" s="24"/>
      <c r="BF102" s="24"/>
      <c r="BG102" s="24"/>
      <c r="BH102" s="130"/>
      <c r="BI102" s="24"/>
      <c r="BJ102" s="24"/>
      <c r="BK102" s="24"/>
      <c r="BL102" s="24">
        <v>45390</v>
      </c>
      <c r="BM102" s="24"/>
      <c r="BN102" s="24" t="s">
        <v>11</v>
      </c>
      <c r="BO102" s="24"/>
      <c r="BP102" s="24" t="s">
        <v>44</v>
      </c>
      <c r="BQ102" s="22">
        <f>YEAR([1]!BANCO10[[#This Row],[DATA INÍCIO]])</f>
        <v>2024</v>
      </c>
      <c r="BR102" s="22">
        <f>MONTH([1]!BANCO10[[#This Row],[DATA INÍCIO]])</f>
        <v>7</v>
      </c>
      <c r="BS102" s="23" t="e">
        <f>CONCATENATE(#REF!,#REF!)</f>
        <v>#REF!</v>
      </c>
      <c r="BT102" s="22"/>
      <c r="BU102" s="97" t="s">
        <v>774</v>
      </c>
      <c r="BV102" s="21" t="str">
        <f>IF([1]!BANCO10[[#This Row],[SOLUÇÃO]]=BV$1,[1]!BANCO10[[#This Row],[STATUS DA ETAPA]],"")</f>
        <v>CONCLUÍDO</v>
      </c>
      <c r="BW102" s="21" t="str">
        <f>IF([1]!BANCO10[[#This Row],[SOLUÇÃO]]=BW$1,[1]!BANCO10[[#This Row],[STATUS DA ETAPA]],"")</f>
        <v/>
      </c>
      <c r="BX102" s="21" t="str">
        <f>IF([1]!BANCO10[[#This Row],[SOLUÇÃO]]=BX$1,[1]!BANCO10[[#This Row],[STATUS DA ETAPA]],"")</f>
        <v/>
      </c>
      <c r="BY102" s="21" t="str">
        <f>IF([1]!BANCO10[[#This Row],[SOLUÇÃO]]=BY$1,[1]!BANCO10[[#This Row],[STATUS DA ETAPA]],"")</f>
        <v/>
      </c>
      <c r="BZ102" s="21" t="str">
        <f>IF([1]!BANCO10[[#This Row],[SOLUÇÃO]]=BZ$1,[1]!BANCO10[[#This Row],[STATUS DA ETAPA]],"")</f>
        <v/>
      </c>
      <c r="CA102" s="21" t="str">
        <f>IF([1]!BANCO10[[#This Row],[SOLUÇÃO]]=CA$1,[1]!BANCO10[[#This Row],[STATUS DA ETAPA]],"")</f>
        <v/>
      </c>
      <c r="CB102" s="21" t="str">
        <f>IF([1]!BANCO10[[#This Row],[SOLUÇÃO]]=CB$1,[1]!BANCO10[[#This Row],[STATUS DA ETAPA]],"")</f>
        <v/>
      </c>
      <c r="CC102" s="21" t="str">
        <f>IF([1]!BANCO10[[#This Row],[SOLUÇÃO]]=CC$1,[1]!BANCO10[[#This Row],[STATUS DA ETAPA]],"")</f>
        <v/>
      </c>
      <c r="CD102" s="21" t="str">
        <f>IF([1]!BANCO10[[#This Row],[SOLUÇÃO]]=CD$1,[1]!BANCO10[[#This Row],[STATUS DA ETAPA]],"")</f>
        <v/>
      </c>
      <c r="CE102" s="21" t="str">
        <f>IF([1]!BANCO10[[#This Row],[SOLUÇÃO]]=CE$1,[1]!BANCO10[[#This Row],[STATUS DA ETAPA]],"")</f>
        <v/>
      </c>
      <c r="CF102" s="21" t="str">
        <f>IF([1]!BANCO10[[#This Row],[SOLUÇÃO]]=CF$1,[1]!BANCO10[[#This Row],[STATUS DA ETAPA]],"")</f>
        <v/>
      </c>
      <c r="CG102" s="21" t="str">
        <f>IF([1]!BANCO10[[#This Row],[SOLUÇÃO]]=CG$1,[1]!BANCO10[[#This Row],[STATUS DA ETAPA]],"")</f>
        <v/>
      </c>
      <c r="CH102" s="21" t="str">
        <f>IF([1]!BANCO10[[#This Row],[SOLUÇÃO]]=CH$1,[1]!BANCO10[[#This Row],[STATUS DA ETAPA]],"")</f>
        <v/>
      </c>
      <c r="CI102" s="21" t="str">
        <f>IF([1]!BANCO10[[#This Row],[SOLUÇÃO]]=CI$1,[1]!BANCO10[[#This Row],[STATUS DA ETAPA]],"")</f>
        <v/>
      </c>
      <c r="CJ102" s="21" t="str">
        <f>IF([1]!BANCO10[[#This Row],[SOLUÇÃO]]=CJ$1,[1]!BANCO10[[#This Row],[STATUS DA ETAPA]],"")</f>
        <v/>
      </c>
      <c r="CK102" s="21" t="str">
        <f>IF([1]!BANCO10[[#This Row],[SOLUÇÃO]]=CK$1,[1]!BANCO10[[#This Row],[STATUS DA ETAPA]],"")</f>
        <v/>
      </c>
      <c r="CL102" s="21" t="str">
        <f>IF([1]!BANCO10[[#This Row],[SOLUÇÃO]]=CL$1,[1]!BANCO10[[#This Row],[STATUS DA ETAPA]],"")</f>
        <v/>
      </c>
      <c r="CM102" s="21" t="str">
        <f>IF([1]!BANCO10[[#This Row],[SOLUÇÃO]]=CM$1,[1]!BANCO10[[#This Row],[STATUS DA ETAPA]],"")</f>
        <v/>
      </c>
      <c r="CN102" s="21" t="str">
        <f>IF([1]!BANCO10[[#This Row],[SOLUÇÃO]]=CN$1,[1]!BANCO10[[#This Row],[STATUS DA ETAPA]],"")</f>
        <v/>
      </c>
      <c r="CO102" s="21" t="str">
        <f>IF([1]!BANCO10[[#This Row],[SOLUÇÃO]]=CO$1,[1]!BANCO10[[#This Row],[STATUS DA ETAPA]],"")</f>
        <v/>
      </c>
      <c r="CP102" s="21" t="str">
        <f>IF([1]!BANCO10[[#This Row],[SOLUÇÃO]]=CP$1,[1]!BANCO10[[#This Row],[STATUS DA ETAPA]],"")</f>
        <v/>
      </c>
      <c r="CQ102" s="21" t="str">
        <f>IF([1]!BANCO10[[#This Row],[SOLUÇÃO]]=CQ$1,[1]!BANCO10[[#This Row],[STATUS DA ETAPA]],"")</f>
        <v/>
      </c>
      <c r="CR102" s="21" t="str">
        <f>IF([1]!BANCO10[[#This Row],[SOLUÇÃO]]=CR$1,[1]!BANCO10[[#This Row],[STATUS DA ETAPA]],"")</f>
        <v/>
      </c>
      <c r="CS102" s="21" t="str">
        <f>IF([1]!BANCO10[[#This Row],[SOLUÇÃO]]=CS$1,[1]!BANCO10[[#This Row],[STATUS DA ETAPA]],"")</f>
        <v/>
      </c>
      <c r="CT102" s="21" t="str">
        <f>IF([1]!BANCO10[[#This Row],[SOLUÇÃO]]=CT$1,[1]!BANCO10[[#This Row],[STATUS DA ETAPA]],"")</f>
        <v/>
      </c>
      <c r="CU102" s="21" t="str">
        <f>IF([1]!BANCO10[[#This Row],[SOLUÇÃO]]=CU$1,[1]!BANCO10[[#This Row],[STATUS DA ETAPA]],"")</f>
        <v/>
      </c>
      <c r="CV102" s="21" t="str">
        <f>IF([1]!BANCO10[[#This Row],[SOLUÇÃO]]=CV$1,[1]!BANCO10[[#This Row],[STATUS DA ETAPA]],"")</f>
        <v/>
      </c>
    </row>
    <row r="103" spans="1:100">
      <c r="A103" s="44" t="s">
        <v>2</v>
      </c>
      <c r="B103" s="44">
        <v>45383</v>
      </c>
      <c r="C103" s="44" t="s">
        <v>2</v>
      </c>
      <c r="D103" s="44">
        <v>45383</v>
      </c>
      <c r="E103" s="44" t="s">
        <v>2</v>
      </c>
      <c r="F103" s="44">
        <v>45383</v>
      </c>
      <c r="G103" s="44" t="s">
        <v>2</v>
      </c>
      <c r="H103" s="44">
        <v>45383</v>
      </c>
      <c r="I103" s="45" t="s">
        <v>2</v>
      </c>
      <c r="J103" s="46">
        <v>45536</v>
      </c>
      <c r="K103" s="45" t="s">
        <v>2</v>
      </c>
      <c r="L103" s="33">
        <v>45536</v>
      </c>
      <c r="M103" s="45" t="s">
        <v>2</v>
      </c>
      <c r="N103" s="33">
        <v>45536</v>
      </c>
      <c r="O103" s="44" t="s">
        <v>2</v>
      </c>
      <c r="P103" s="44">
        <v>45491</v>
      </c>
      <c r="Q103" s="44" t="s">
        <v>2</v>
      </c>
      <c r="R103" s="44">
        <v>45503</v>
      </c>
      <c r="S103" s="44" t="s">
        <v>2</v>
      </c>
      <c r="T103" s="44">
        <v>45536</v>
      </c>
      <c r="U103" s="44" t="s">
        <v>1</v>
      </c>
      <c r="V103" s="44"/>
      <c r="W103" s="44" t="s">
        <v>1</v>
      </c>
      <c r="X103" s="44"/>
      <c r="Y103" s="44" t="s">
        <v>1</v>
      </c>
      <c r="Z103" s="44"/>
      <c r="AA103" s="44" t="s">
        <v>1</v>
      </c>
      <c r="AB103" s="44"/>
      <c r="AC103" s="51">
        <v>45562</v>
      </c>
      <c r="AD103" s="50">
        <v>45618</v>
      </c>
      <c r="AE103" s="41" t="s">
        <v>2</v>
      </c>
      <c r="AF103" s="41" t="s">
        <v>2</v>
      </c>
      <c r="AG103" s="40" t="s">
        <v>5</v>
      </c>
      <c r="AH103" s="36" t="s">
        <v>0</v>
      </c>
      <c r="AI103" s="49">
        <v>0</v>
      </c>
      <c r="AJ103" s="36" t="s">
        <v>6</v>
      </c>
      <c r="AK103" s="10">
        <v>566121</v>
      </c>
      <c r="AL103" s="36" t="s">
        <v>1</v>
      </c>
      <c r="AM103" s="36" t="s">
        <v>1</v>
      </c>
      <c r="AN103" s="35" t="s">
        <v>2</v>
      </c>
      <c r="AO103" s="35" t="s">
        <v>2</v>
      </c>
      <c r="AP103" s="35" t="s">
        <v>2</v>
      </c>
      <c r="AQ103" s="35" t="s">
        <v>2</v>
      </c>
      <c r="AR103" s="45" t="s">
        <v>2</v>
      </c>
      <c r="AS103" s="33">
        <v>45643</v>
      </c>
      <c r="AT103" s="30" t="s">
        <v>1</v>
      </c>
      <c r="AU103" s="31"/>
      <c r="AV103" s="30" t="s">
        <v>1</v>
      </c>
      <c r="AW103" s="31"/>
      <c r="AX103" s="30" t="s">
        <v>2</v>
      </c>
      <c r="AY103" s="31">
        <v>45635</v>
      </c>
      <c r="AZ103" s="30" t="s">
        <v>1</v>
      </c>
      <c r="BA103" s="55"/>
      <c r="BB103" s="74"/>
      <c r="BC103" s="25" t="s">
        <v>45</v>
      </c>
      <c r="BD103" s="24"/>
      <c r="BE103" s="24"/>
      <c r="BF103" s="24"/>
      <c r="BG103" s="24"/>
      <c r="BH103" s="130"/>
      <c r="BI103" s="24"/>
      <c r="BJ103" s="24"/>
      <c r="BK103" s="24"/>
      <c r="BL103" s="24">
        <v>45390</v>
      </c>
      <c r="BM103" s="24"/>
      <c r="BN103" s="24" t="s">
        <v>11</v>
      </c>
      <c r="BO103" s="24"/>
      <c r="BP103" s="24" t="s">
        <v>44</v>
      </c>
      <c r="BQ103" s="22">
        <f>YEAR([1]!BANCO10[[#This Row],[DATA INÍCIO]])</f>
        <v>2024</v>
      </c>
      <c r="BR103" s="22">
        <f>MONTH([1]!BANCO10[[#This Row],[DATA INÍCIO]])</f>
        <v>9</v>
      </c>
      <c r="BS103" s="23" t="e">
        <f>CONCATENATE(#REF!,#REF!)</f>
        <v>#REF!</v>
      </c>
      <c r="BT103" s="22"/>
      <c r="BU103" s="97" t="s">
        <v>603</v>
      </c>
      <c r="BV103" s="21" t="str">
        <f>IF([1]!BANCO10[[#This Row],[SOLUÇÃO]]=BV$1,[1]!BANCO10[[#This Row],[STATUS DA ETAPA]],"")</f>
        <v/>
      </c>
      <c r="BW103" s="21" t="str">
        <f>IF([1]!BANCO10[[#This Row],[SOLUÇÃO]]=BW$1,[1]!BANCO10[[#This Row],[STATUS DA ETAPA]],"")</f>
        <v/>
      </c>
      <c r="BX103" s="21" t="str">
        <f>IF([1]!BANCO10[[#This Row],[SOLUÇÃO]]=BX$1,[1]!BANCO10[[#This Row],[STATUS DA ETAPA]],"")</f>
        <v/>
      </c>
      <c r="BY103" s="21" t="str">
        <f>IF([1]!BANCO10[[#This Row],[SOLUÇÃO]]=BY$1,[1]!BANCO10[[#This Row],[STATUS DA ETAPA]],"")</f>
        <v/>
      </c>
      <c r="BZ103" s="21" t="str">
        <f>IF([1]!BANCO10[[#This Row],[SOLUÇÃO]]=BZ$1,[1]!BANCO10[[#This Row],[STATUS DA ETAPA]],"")</f>
        <v/>
      </c>
      <c r="CA103" s="21" t="str">
        <f>IF([1]!BANCO10[[#This Row],[SOLUÇÃO]]=CA$1,[1]!BANCO10[[#This Row],[STATUS DA ETAPA]],"")</f>
        <v/>
      </c>
      <c r="CB103" s="21" t="str">
        <f>IF([1]!BANCO10[[#This Row],[SOLUÇÃO]]=CB$1,[1]!BANCO10[[#This Row],[STATUS DA ETAPA]],"")</f>
        <v>CONCLUÍDO</v>
      </c>
      <c r="CC103" s="21" t="str">
        <f>IF([1]!BANCO10[[#This Row],[SOLUÇÃO]]=CC$1,[1]!BANCO10[[#This Row],[STATUS DA ETAPA]],"")</f>
        <v/>
      </c>
      <c r="CD103" s="21" t="str">
        <f>IF([1]!BANCO10[[#This Row],[SOLUÇÃO]]=CD$1,[1]!BANCO10[[#This Row],[STATUS DA ETAPA]],"")</f>
        <v/>
      </c>
      <c r="CE103" s="21" t="str">
        <f>IF([1]!BANCO10[[#This Row],[SOLUÇÃO]]=CE$1,[1]!BANCO10[[#This Row],[STATUS DA ETAPA]],"")</f>
        <v/>
      </c>
      <c r="CF103" s="21" t="str">
        <f>IF([1]!BANCO10[[#This Row],[SOLUÇÃO]]=CF$1,[1]!BANCO10[[#This Row],[STATUS DA ETAPA]],"")</f>
        <v/>
      </c>
      <c r="CG103" s="21" t="str">
        <f>IF([1]!BANCO10[[#This Row],[SOLUÇÃO]]=CG$1,[1]!BANCO10[[#This Row],[STATUS DA ETAPA]],"")</f>
        <v/>
      </c>
      <c r="CH103" s="21" t="str">
        <f>IF([1]!BANCO10[[#This Row],[SOLUÇÃO]]=CH$1,[1]!BANCO10[[#This Row],[STATUS DA ETAPA]],"")</f>
        <v/>
      </c>
      <c r="CI103" s="21" t="str">
        <f>IF([1]!BANCO10[[#This Row],[SOLUÇÃO]]=CI$1,[1]!BANCO10[[#This Row],[STATUS DA ETAPA]],"")</f>
        <v/>
      </c>
      <c r="CJ103" s="21" t="str">
        <f>IF([1]!BANCO10[[#This Row],[SOLUÇÃO]]=CJ$1,[1]!BANCO10[[#This Row],[STATUS DA ETAPA]],"")</f>
        <v/>
      </c>
      <c r="CK103" s="21" t="str">
        <f>IF([1]!BANCO10[[#This Row],[SOLUÇÃO]]=CK$1,[1]!BANCO10[[#This Row],[STATUS DA ETAPA]],"")</f>
        <v/>
      </c>
      <c r="CL103" s="21" t="str">
        <f>IF([1]!BANCO10[[#This Row],[SOLUÇÃO]]=CL$1,[1]!BANCO10[[#This Row],[STATUS DA ETAPA]],"")</f>
        <v/>
      </c>
      <c r="CM103" s="21" t="str">
        <f>IF([1]!BANCO10[[#This Row],[SOLUÇÃO]]=CM$1,[1]!BANCO10[[#This Row],[STATUS DA ETAPA]],"")</f>
        <v/>
      </c>
      <c r="CN103" s="21" t="str">
        <f>IF([1]!BANCO10[[#This Row],[SOLUÇÃO]]=CN$1,[1]!BANCO10[[#This Row],[STATUS DA ETAPA]],"")</f>
        <v/>
      </c>
      <c r="CO103" s="21" t="str">
        <f>IF([1]!BANCO10[[#This Row],[SOLUÇÃO]]=CO$1,[1]!BANCO10[[#This Row],[STATUS DA ETAPA]],"")</f>
        <v/>
      </c>
      <c r="CP103" s="21" t="str">
        <f>IF([1]!BANCO10[[#This Row],[SOLUÇÃO]]=CP$1,[1]!BANCO10[[#This Row],[STATUS DA ETAPA]],"")</f>
        <v/>
      </c>
      <c r="CQ103" s="21" t="str">
        <f>IF([1]!BANCO10[[#This Row],[SOLUÇÃO]]=CQ$1,[1]!BANCO10[[#This Row],[STATUS DA ETAPA]],"")</f>
        <v/>
      </c>
      <c r="CR103" s="21" t="str">
        <f>IF([1]!BANCO10[[#This Row],[SOLUÇÃO]]=CR$1,[1]!BANCO10[[#This Row],[STATUS DA ETAPA]],"")</f>
        <v/>
      </c>
      <c r="CS103" s="21" t="str">
        <f>IF([1]!BANCO10[[#This Row],[SOLUÇÃO]]=CS$1,[1]!BANCO10[[#This Row],[STATUS DA ETAPA]],"")</f>
        <v/>
      </c>
      <c r="CT103" s="21" t="str">
        <f>IF([1]!BANCO10[[#This Row],[SOLUÇÃO]]=CT$1,[1]!BANCO10[[#This Row],[STATUS DA ETAPA]],"")</f>
        <v/>
      </c>
      <c r="CU103" s="21" t="str">
        <f>IF([1]!BANCO10[[#This Row],[SOLUÇÃO]]=CU$1,[1]!BANCO10[[#This Row],[STATUS DA ETAPA]],"")</f>
        <v/>
      </c>
      <c r="CV103" s="21" t="str">
        <f>IF([1]!BANCO10[[#This Row],[SOLUÇÃO]]=CV$1,[1]!BANCO10[[#This Row],[STATUS DA ETAPA]],"")</f>
        <v/>
      </c>
    </row>
    <row r="104" spans="1:100">
      <c r="A104" s="44" t="s">
        <v>2</v>
      </c>
      <c r="B104" s="44">
        <v>45383</v>
      </c>
      <c r="C104" s="44" t="s">
        <v>2</v>
      </c>
      <c r="D104" s="44">
        <v>45383</v>
      </c>
      <c r="E104" s="44" t="s">
        <v>2</v>
      </c>
      <c r="F104" s="44">
        <v>45383</v>
      </c>
      <c r="G104" s="44" t="s">
        <v>2</v>
      </c>
      <c r="H104" s="44">
        <v>45383</v>
      </c>
      <c r="I104" s="45" t="s">
        <v>2</v>
      </c>
      <c r="J104" s="46">
        <v>45536</v>
      </c>
      <c r="K104" s="45" t="s">
        <v>2</v>
      </c>
      <c r="L104" s="33">
        <v>45536</v>
      </c>
      <c r="M104" s="45" t="s">
        <v>2</v>
      </c>
      <c r="N104" s="33">
        <v>45536</v>
      </c>
      <c r="O104" s="44" t="s">
        <v>2</v>
      </c>
      <c r="P104" s="44">
        <v>45491</v>
      </c>
      <c r="Q104" s="44" t="s">
        <v>2</v>
      </c>
      <c r="R104" s="44">
        <v>45503</v>
      </c>
      <c r="S104" s="44" t="s">
        <v>2</v>
      </c>
      <c r="T104" s="44">
        <v>45536</v>
      </c>
      <c r="U104" s="44" t="s">
        <v>1</v>
      </c>
      <c r="V104" s="44"/>
      <c r="W104" s="44" t="s">
        <v>1</v>
      </c>
      <c r="X104" s="44"/>
      <c r="Y104" s="44" t="s">
        <v>1</v>
      </c>
      <c r="Z104" s="44"/>
      <c r="AA104" s="44" t="s">
        <v>1</v>
      </c>
      <c r="AB104" s="44"/>
      <c r="AC104" s="51">
        <v>45562</v>
      </c>
      <c r="AD104" s="50">
        <v>45618</v>
      </c>
      <c r="AE104" s="41" t="s">
        <v>2</v>
      </c>
      <c r="AF104" s="41" t="s">
        <v>2</v>
      </c>
      <c r="AG104" s="40" t="s">
        <v>5</v>
      </c>
      <c r="AH104" s="36" t="s">
        <v>0</v>
      </c>
      <c r="AI104" s="49">
        <v>0</v>
      </c>
      <c r="AJ104" s="36" t="s">
        <v>6</v>
      </c>
      <c r="AK104" s="10">
        <v>566121</v>
      </c>
      <c r="AL104" s="36" t="s">
        <v>1</v>
      </c>
      <c r="AM104" s="36" t="s">
        <v>1</v>
      </c>
      <c r="AN104" s="35" t="s">
        <v>2</v>
      </c>
      <c r="AO104" s="35" t="s">
        <v>2</v>
      </c>
      <c r="AP104" s="35" t="s">
        <v>2</v>
      </c>
      <c r="AQ104" s="35" t="s">
        <v>2</v>
      </c>
      <c r="AR104" s="45" t="s">
        <v>2</v>
      </c>
      <c r="AS104" s="33">
        <v>45643</v>
      </c>
      <c r="AT104" s="30" t="s">
        <v>1</v>
      </c>
      <c r="AU104" s="31"/>
      <c r="AV104" s="30" t="s">
        <v>1</v>
      </c>
      <c r="AW104" s="31"/>
      <c r="AX104" s="30" t="s">
        <v>2</v>
      </c>
      <c r="AY104" s="31">
        <v>45635</v>
      </c>
      <c r="AZ104" s="30" t="s">
        <v>0</v>
      </c>
      <c r="BA104" s="55"/>
      <c r="BB104" s="74"/>
      <c r="BC104" s="25" t="s">
        <v>45</v>
      </c>
      <c r="BD104" s="24"/>
      <c r="BE104" s="24"/>
      <c r="BF104" s="24"/>
      <c r="BG104" s="24"/>
      <c r="BH104" s="130"/>
      <c r="BI104" s="24"/>
      <c r="BJ104" s="24"/>
      <c r="BK104" s="24"/>
      <c r="BL104" s="24">
        <v>45390</v>
      </c>
      <c r="BM104" s="24"/>
      <c r="BN104" s="24" t="s">
        <v>11</v>
      </c>
      <c r="BO104" s="24"/>
      <c r="BP104" s="24" t="s">
        <v>44</v>
      </c>
      <c r="BQ104" s="22">
        <f>YEAR([1]!BANCO10[[#This Row],[DATA INÍCIO]])</f>
        <v>2024</v>
      </c>
      <c r="BR104" s="22">
        <f>MONTH([1]!BANCO10[[#This Row],[DATA INÍCIO]])</f>
        <v>9</v>
      </c>
      <c r="BS104" s="23" t="e">
        <f>CONCATENATE(#REF!,#REF!)</f>
        <v>#REF!</v>
      </c>
      <c r="BT104" s="22"/>
      <c r="BU104" s="97" t="s">
        <v>603</v>
      </c>
      <c r="BV104" s="21" t="str">
        <f>IF([1]!BANCO10[[#This Row],[SOLUÇÃO]]=BV$1,[1]!BANCO10[[#This Row],[STATUS DA ETAPA]],"")</f>
        <v/>
      </c>
      <c r="BW104" s="21" t="str">
        <f>IF([1]!BANCO10[[#This Row],[SOLUÇÃO]]=BW$1,[1]!BANCO10[[#This Row],[STATUS DA ETAPA]],"")</f>
        <v/>
      </c>
      <c r="BX104" s="21" t="str">
        <f>IF([1]!BANCO10[[#This Row],[SOLUÇÃO]]=BX$1,[1]!BANCO10[[#This Row],[STATUS DA ETAPA]],"")</f>
        <v/>
      </c>
      <c r="BY104" s="21" t="str">
        <f>IF([1]!BANCO10[[#This Row],[SOLUÇÃO]]=BY$1,[1]!BANCO10[[#This Row],[STATUS DA ETAPA]],"")</f>
        <v/>
      </c>
      <c r="BZ104" s="21" t="str">
        <f>IF([1]!BANCO10[[#This Row],[SOLUÇÃO]]=BZ$1,[1]!BANCO10[[#This Row],[STATUS DA ETAPA]],"")</f>
        <v/>
      </c>
      <c r="CA104" s="21" t="str">
        <f>IF([1]!BANCO10[[#This Row],[SOLUÇÃO]]=CA$1,[1]!BANCO10[[#This Row],[STATUS DA ETAPA]],"")</f>
        <v/>
      </c>
      <c r="CB104" s="21" t="str">
        <f>IF([1]!BANCO10[[#This Row],[SOLUÇÃO]]=CB$1,[1]!BANCO10[[#This Row],[STATUS DA ETAPA]],"")</f>
        <v>CONCLUÍDO</v>
      </c>
      <c r="CC104" s="21" t="str">
        <f>IF([1]!BANCO10[[#This Row],[SOLUÇÃO]]=CC$1,[1]!BANCO10[[#This Row],[STATUS DA ETAPA]],"")</f>
        <v/>
      </c>
      <c r="CD104" s="21" t="str">
        <f>IF([1]!BANCO10[[#This Row],[SOLUÇÃO]]=CD$1,[1]!BANCO10[[#This Row],[STATUS DA ETAPA]],"")</f>
        <v/>
      </c>
      <c r="CE104" s="21" t="str">
        <f>IF([1]!BANCO10[[#This Row],[SOLUÇÃO]]=CE$1,[1]!BANCO10[[#This Row],[STATUS DA ETAPA]],"")</f>
        <v/>
      </c>
      <c r="CF104" s="21" t="str">
        <f>IF([1]!BANCO10[[#This Row],[SOLUÇÃO]]=CF$1,[1]!BANCO10[[#This Row],[STATUS DA ETAPA]],"")</f>
        <v/>
      </c>
      <c r="CG104" s="21" t="str">
        <f>IF([1]!BANCO10[[#This Row],[SOLUÇÃO]]=CG$1,[1]!BANCO10[[#This Row],[STATUS DA ETAPA]],"")</f>
        <v/>
      </c>
      <c r="CH104" s="21" t="str">
        <f>IF([1]!BANCO10[[#This Row],[SOLUÇÃO]]=CH$1,[1]!BANCO10[[#This Row],[STATUS DA ETAPA]],"")</f>
        <v/>
      </c>
      <c r="CI104" s="21" t="str">
        <f>IF([1]!BANCO10[[#This Row],[SOLUÇÃO]]=CI$1,[1]!BANCO10[[#This Row],[STATUS DA ETAPA]],"")</f>
        <v/>
      </c>
      <c r="CJ104" s="21" t="str">
        <f>IF([1]!BANCO10[[#This Row],[SOLUÇÃO]]=CJ$1,[1]!BANCO10[[#This Row],[STATUS DA ETAPA]],"")</f>
        <v/>
      </c>
      <c r="CK104" s="21" t="str">
        <f>IF([1]!BANCO10[[#This Row],[SOLUÇÃO]]=CK$1,[1]!BANCO10[[#This Row],[STATUS DA ETAPA]],"")</f>
        <v/>
      </c>
      <c r="CL104" s="21" t="str">
        <f>IF([1]!BANCO10[[#This Row],[SOLUÇÃO]]=CL$1,[1]!BANCO10[[#This Row],[STATUS DA ETAPA]],"")</f>
        <v/>
      </c>
      <c r="CM104" s="21" t="str">
        <f>IF([1]!BANCO10[[#This Row],[SOLUÇÃO]]=CM$1,[1]!BANCO10[[#This Row],[STATUS DA ETAPA]],"")</f>
        <v/>
      </c>
      <c r="CN104" s="21" t="str">
        <f>IF([1]!BANCO10[[#This Row],[SOLUÇÃO]]=CN$1,[1]!BANCO10[[#This Row],[STATUS DA ETAPA]],"")</f>
        <v/>
      </c>
      <c r="CO104" s="21" t="str">
        <f>IF([1]!BANCO10[[#This Row],[SOLUÇÃO]]=CO$1,[1]!BANCO10[[#This Row],[STATUS DA ETAPA]],"")</f>
        <v/>
      </c>
      <c r="CP104" s="21" t="str">
        <f>IF([1]!BANCO10[[#This Row],[SOLUÇÃO]]=CP$1,[1]!BANCO10[[#This Row],[STATUS DA ETAPA]],"")</f>
        <v/>
      </c>
      <c r="CQ104" s="21" t="str">
        <f>IF([1]!BANCO10[[#This Row],[SOLUÇÃO]]=CQ$1,[1]!BANCO10[[#This Row],[STATUS DA ETAPA]],"")</f>
        <v/>
      </c>
      <c r="CR104" s="21" t="str">
        <f>IF([1]!BANCO10[[#This Row],[SOLUÇÃO]]=CR$1,[1]!BANCO10[[#This Row],[STATUS DA ETAPA]],"")</f>
        <v/>
      </c>
      <c r="CS104" s="21" t="str">
        <f>IF([1]!BANCO10[[#This Row],[SOLUÇÃO]]=CS$1,[1]!BANCO10[[#This Row],[STATUS DA ETAPA]],"")</f>
        <v/>
      </c>
      <c r="CT104" s="21" t="str">
        <f>IF([1]!BANCO10[[#This Row],[SOLUÇÃO]]=CT$1,[1]!BANCO10[[#This Row],[STATUS DA ETAPA]],"")</f>
        <v/>
      </c>
      <c r="CU104" s="21" t="str">
        <f>IF([1]!BANCO10[[#This Row],[SOLUÇÃO]]=CU$1,[1]!BANCO10[[#This Row],[STATUS DA ETAPA]],"")</f>
        <v/>
      </c>
      <c r="CV104" s="21" t="str">
        <f>IF([1]!BANCO10[[#This Row],[SOLUÇÃO]]=CV$1,[1]!BANCO10[[#This Row],[STATUS DA ETAPA]],"")</f>
        <v/>
      </c>
    </row>
    <row r="105" spans="1:100">
      <c r="A105" s="44" t="s">
        <v>1</v>
      </c>
      <c r="B105" s="44"/>
      <c r="C105" s="44" t="s">
        <v>1</v>
      </c>
      <c r="D105" s="44"/>
      <c r="E105" s="44" t="s">
        <v>1</v>
      </c>
      <c r="F105" s="44"/>
      <c r="G105" s="44" t="s">
        <v>1</v>
      </c>
      <c r="H105" s="44"/>
      <c r="I105" s="45" t="s">
        <v>1</v>
      </c>
      <c r="J105" s="46"/>
      <c r="K105" s="45" t="s">
        <v>1</v>
      </c>
      <c r="L105" s="33"/>
      <c r="M105" s="45" t="s">
        <v>1</v>
      </c>
      <c r="N105" s="33"/>
      <c r="O105" s="44" t="s">
        <v>2</v>
      </c>
      <c r="P105" s="44">
        <v>45491</v>
      </c>
      <c r="Q105" s="44" t="s">
        <v>2</v>
      </c>
      <c r="R105" s="44">
        <v>45503</v>
      </c>
      <c r="S105" s="44" t="s">
        <v>2</v>
      </c>
      <c r="T105" s="44">
        <v>45491</v>
      </c>
      <c r="U105" s="44" t="s">
        <v>1</v>
      </c>
      <c r="V105" s="44"/>
      <c r="W105" s="44" t="s">
        <v>1</v>
      </c>
      <c r="X105" s="44"/>
      <c r="Y105" s="44" t="s">
        <v>1</v>
      </c>
      <c r="Z105" s="44"/>
      <c r="AA105" s="44" t="s">
        <v>1</v>
      </c>
      <c r="AB105" s="44"/>
      <c r="AC105" s="51">
        <v>45508</v>
      </c>
      <c r="AD105" s="50">
        <v>45508</v>
      </c>
      <c r="AE105" s="41" t="s">
        <v>2</v>
      </c>
      <c r="AF105" s="41" t="s">
        <v>2</v>
      </c>
      <c r="AG105" s="76" t="s">
        <v>5</v>
      </c>
      <c r="AH105" s="36" t="s">
        <v>0</v>
      </c>
      <c r="AI105" s="49">
        <v>0</v>
      </c>
      <c r="AJ105" s="36"/>
      <c r="AK105" s="10" t="s">
        <v>1</v>
      </c>
      <c r="AL105" s="36" t="s">
        <v>1</v>
      </c>
      <c r="AM105" s="36" t="s">
        <v>1</v>
      </c>
      <c r="AN105" s="35" t="s">
        <v>0</v>
      </c>
      <c r="AO105" s="35" t="s">
        <v>0</v>
      </c>
      <c r="AP105" s="35" t="s">
        <v>2</v>
      </c>
      <c r="AQ105" s="35" t="s">
        <v>1</v>
      </c>
      <c r="AR105" s="45" t="s">
        <v>1</v>
      </c>
      <c r="AS105" s="33"/>
      <c r="AT105" s="30"/>
      <c r="AU105" s="31"/>
      <c r="AV105" s="30"/>
      <c r="AW105" s="31"/>
      <c r="AX105" s="30" t="s">
        <v>2</v>
      </c>
      <c r="AY105" s="31">
        <v>45508</v>
      </c>
      <c r="AZ105" s="30" t="s">
        <v>1</v>
      </c>
      <c r="BA105" s="55"/>
      <c r="BB105" s="74" t="s">
        <v>773</v>
      </c>
      <c r="BC105" s="25"/>
      <c r="BD105" s="24"/>
      <c r="BE105" s="24"/>
      <c r="BF105" s="24"/>
      <c r="BG105" s="24"/>
      <c r="BH105" s="130"/>
      <c r="BI105" s="24"/>
      <c r="BJ105" s="24"/>
      <c r="BK105" s="24"/>
      <c r="BL105" s="24">
        <v>45390</v>
      </c>
      <c r="BM105" s="24"/>
      <c r="BN105" s="24" t="s">
        <v>11</v>
      </c>
      <c r="BO105" s="24"/>
      <c r="BP105" s="24" t="s">
        <v>44</v>
      </c>
      <c r="BQ105" s="22">
        <f>YEAR([1]!BANCO10[[#This Row],[DATA INÍCIO]])</f>
        <v>2024</v>
      </c>
      <c r="BR105" s="22">
        <f>MONTH([1]!BANCO10[[#This Row],[DATA INÍCIO]])</f>
        <v>8</v>
      </c>
      <c r="BS105" s="23" t="e">
        <f>CONCATENATE(#REF!,#REF!)</f>
        <v>#REF!</v>
      </c>
      <c r="BT105" s="22"/>
      <c r="BU105" s="97" t="s">
        <v>603</v>
      </c>
      <c r="BV105" s="21" t="str">
        <f>IF([1]!BANCO10[[#This Row],[SOLUÇÃO]]=BV$1,[1]!BANCO10[[#This Row],[STATUS DA ETAPA]],"")</f>
        <v/>
      </c>
      <c r="BW105" s="21" t="str">
        <f>IF([1]!BANCO10[[#This Row],[SOLUÇÃO]]=BW$1,[1]!BANCO10[[#This Row],[STATUS DA ETAPA]],"")</f>
        <v/>
      </c>
      <c r="BX105" s="21" t="str">
        <f>IF([1]!BANCO10[[#This Row],[SOLUÇÃO]]=BX$1,[1]!BANCO10[[#This Row],[STATUS DA ETAPA]],"")</f>
        <v/>
      </c>
      <c r="BY105" s="21" t="str">
        <f>IF([1]!BANCO10[[#This Row],[SOLUÇÃO]]=BY$1,[1]!BANCO10[[#This Row],[STATUS DA ETAPA]],"")</f>
        <v/>
      </c>
      <c r="BZ105" s="21" t="str">
        <f>IF([1]!BANCO10[[#This Row],[SOLUÇÃO]]=BZ$1,[1]!BANCO10[[#This Row],[STATUS DA ETAPA]],"")</f>
        <v/>
      </c>
      <c r="CA105" s="21" t="str">
        <f>IF([1]!BANCO10[[#This Row],[SOLUÇÃO]]=CA$1,[1]!BANCO10[[#This Row],[STATUS DA ETAPA]],"")</f>
        <v/>
      </c>
      <c r="CB105" s="21" t="str">
        <f>IF([1]!BANCO10[[#This Row],[SOLUÇÃO]]=CB$1,[1]!BANCO10[[#This Row],[STATUS DA ETAPA]],"")</f>
        <v/>
      </c>
      <c r="CC105" s="21" t="str">
        <f>IF([1]!BANCO10[[#This Row],[SOLUÇÃO]]=CC$1,[1]!BANCO10[[#This Row],[STATUS DA ETAPA]],"")</f>
        <v/>
      </c>
      <c r="CD105" s="21" t="str">
        <f>IF([1]!BANCO10[[#This Row],[SOLUÇÃO]]=CD$1,[1]!BANCO10[[#This Row],[STATUS DA ETAPA]],"")</f>
        <v/>
      </c>
      <c r="CE105" s="21" t="str">
        <f>IF([1]!BANCO10[[#This Row],[SOLUÇÃO]]=CE$1,[1]!BANCO10[[#This Row],[STATUS DA ETAPA]],"")</f>
        <v/>
      </c>
      <c r="CF105" s="21" t="str">
        <f>IF([1]!BANCO10[[#This Row],[SOLUÇÃO]]=CF$1,[1]!BANCO10[[#This Row],[STATUS DA ETAPA]],"")</f>
        <v/>
      </c>
      <c r="CG105" s="21" t="str">
        <f>IF([1]!BANCO10[[#This Row],[SOLUÇÃO]]=CG$1,[1]!BANCO10[[#This Row],[STATUS DA ETAPA]],"")</f>
        <v/>
      </c>
      <c r="CH105" s="21" t="str">
        <f>IF([1]!BANCO10[[#This Row],[SOLUÇÃO]]=CH$1,[1]!BANCO10[[#This Row],[STATUS DA ETAPA]],"")</f>
        <v/>
      </c>
      <c r="CI105" s="21" t="str">
        <f>IF([1]!BANCO10[[#This Row],[SOLUÇÃO]]=CI$1,[1]!BANCO10[[#This Row],[STATUS DA ETAPA]],"")</f>
        <v/>
      </c>
      <c r="CJ105" s="21" t="str">
        <f>IF([1]!BANCO10[[#This Row],[SOLUÇÃO]]=CJ$1,[1]!BANCO10[[#This Row],[STATUS DA ETAPA]],"")</f>
        <v>CONCLUÍDO</v>
      </c>
      <c r="CK105" s="21" t="str">
        <f>IF([1]!BANCO10[[#This Row],[SOLUÇÃO]]=CK$1,[1]!BANCO10[[#This Row],[STATUS DA ETAPA]],"")</f>
        <v/>
      </c>
      <c r="CL105" s="21" t="str">
        <f>IF([1]!BANCO10[[#This Row],[SOLUÇÃO]]=CL$1,[1]!BANCO10[[#This Row],[STATUS DA ETAPA]],"")</f>
        <v/>
      </c>
      <c r="CM105" s="21" t="str">
        <f>IF([1]!BANCO10[[#This Row],[SOLUÇÃO]]=CM$1,[1]!BANCO10[[#This Row],[STATUS DA ETAPA]],"")</f>
        <v/>
      </c>
      <c r="CN105" s="21" t="str">
        <f>IF([1]!BANCO10[[#This Row],[SOLUÇÃO]]=CN$1,[1]!BANCO10[[#This Row],[STATUS DA ETAPA]],"")</f>
        <v/>
      </c>
      <c r="CO105" s="21" t="str">
        <f>IF([1]!BANCO10[[#This Row],[SOLUÇÃO]]=CO$1,[1]!BANCO10[[#This Row],[STATUS DA ETAPA]],"")</f>
        <v/>
      </c>
      <c r="CP105" s="21" t="str">
        <f>IF([1]!BANCO10[[#This Row],[SOLUÇÃO]]=CP$1,[1]!BANCO10[[#This Row],[STATUS DA ETAPA]],"")</f>
        <v/>
      </c>
      <c r="CQ105" s="21" t="str">
        <f>IF([1]!BANCO10[[#This Row],[SOLUÇÃO]]=CQ$1,[1]!BANCO10[[#This Row],[STATUS DA ETAPA]],"")</f>
        <v/>
      </c>
      <c r="CR105" s="21" t="str">
        <f>IF([1]!BANCO10[[#This Row],[SOLUÇÃO]]=CR$1,[1]!BANCO10[[#This Row],[STATUS DA ETAPA]],"")</f>
        <v/>
      </c>
      <c r="CS105" s="21" t="str">
        <f>IF([1]!BANCO10[[#This Row],[SOLUÇÃO]]=CS$1,[1]!BANCO10[[#This Row],[STATUS DA ETAPA]],"")</f>
        <v/>
      </c>
      <c r="CT105" s="21" t="str">
        <f>IF([1]!BANCO10[[#This Row],[SOLUÇÃO]]=CT$1,[1]!BANCO10[[#This Row],[STATUS DA ETAPA]],"")</f>
        <v/>
      </c>
      <c r="CU105" s="21" t="str">
        <f>IF([1]!BANCO10[[#This Row],[SOLUÇÃO]]=CU$1,[1]!BANCO10[[#This Row],[STATUS DA ETAPA]],"")</f>
        <v/>
      </c>
      <c r="CV105" s="21" t="str">
        <f>IF([1]!BANCO10[[#This Row],[SOLUÇÃO]]=CV$1,[1]!BANCO10[[#This Row],[STATUS DA ETAPA]],"")</f>
        <v/>
      </c>
    </row>
    <row r="106" spans="1:100">
      <c r="A106" s="44" t="s">
        <v>1</v>
      </c>
      <c r="B106" s="44"/>
      <c r="C106" s="44" t="s">
        <v>1</v>
      </c>
      <c r="D106" s="44"/>
      <c r="E106" s="44" t="s">
        <v>1</v>
      </c>
      <c r="F106" s="44"/>
      <c r="G106" s="44" t="s">
        <v>1</v>
      </c>
      <c r="H106" s="44"/>
      <c r="I106" s="45" t="s">
        <v>1</v>
      </c>
      <c r="J106" s="46"/>
      <c r="K106" s="45" t="s">
        <v>1</v>
      </c>
      <c r="L106" s="33"/>
      <c r="M106" s="45" t="s">
        <v>1</v>
      </c>
      <c r="N106" s="33"/>
      <c r="O106" s="44" t="s">
        <v>2</v>
      </c>
      <c r="P106" s="44">
        <v>45491</v>
      </c>
      <c r="Q106" s="44" t="s">
        <v>2</v>
      </c>
      <c r="R106" s="44">
        <v>45503</v>
      </c>
      <c r="S106" s="44" t="s">
        <v>2</v>
      </c>
      <c r="T106" s="44">
        <v>45491</v>
      </c>
      <c r="U106" s="44" t="s">
        <v>1</v>
      </c>
      <c r="V106" s="44"/>
      <c r="W106" s="44" t="s">
        <v>1</v>
      </c>
      <c r="X106" s="44"/>
      <c r="Y106" s="44" t="s">
        <v>1</v>
      </c>
      <c r="Z106" s="44"/>
      <c r="AA106" s="44" t="s">
        <v>1</v>
      </c>
      <c r="AB106" s="44"/>
      <c r="AC106" s="51">
        <v>45527</v>
      </c>
      <c r="AD106" s="83">
        <v>45555</v>
      </c>
      <c r="AE106" s="40" t="s">
        <v>2</v>
      </c>
      <c r="AF106" s="40" t="s">
        <v>2</v>
      </c>
      <c r="AG106" s="40" t="s">
        <v>5</v>
      </c>
      <c r="AH106" s="36" t="s">
        <v>0</v>
      </c>
      <c r="AI106" s="49">
        <v>0</v>
      </c>
      <c r="AJ106" s="36" t="s">
        <v>6</v>
      </c>
      <c r="AK106" s="10" t="s">
        <v>1</v>
      </c>
      <c r="AL106" s="36" t="s">
        <v>1</v>
      </c>
      <c r="AM106" s="36" t="s">
        <v>1</v>
      </c>
      <c r="AN106" s="35" t="s">
        <v>0</v>
      </c>
      <c r="AO106" s="35" t="s">
        <v>0</v>
      </c>
      <c r="AP106" s="35" t="s">
        <v>2</v>
      </c>
      <c r="AQ106" s="35" t="s">
        <v>1</v>
      </c>
      <c r="AR106" s="45" t="s">
        <v>1</v>
      </c>
      <c r="AS106" s="33"/>
      <c r="AT106" s="30"/>
      <c r="AU106" s="55"/>
      <c r="AV106" s="30"/>
      <c r="AW106" s="55"/>
      <c r="AX106" s="30" t="s">
        <v>2</v>
      </c>
      <c r="AY106" s="55">
        <v>45555</v>
      </c>
      <c r="AZ106" s="30" t="s">
        <v>0</v>
      </c>
      <c r="BA106" s="55"/>
      <c r="BB106" s="39" t="s">
        <v>773</v>
      </c>
      <c r="BC106" s="25"/>
      <c r="BD106" s="24"/>
      <c r="BE106" s="24"/>
      <c r="BF106" s="79"/>
      <c r="BG106" s="79"/>
      <c r="BH106" s="80"/>
      <c r="BI106" s="79"/>
      <c r="BJ106" s="54"/>
      <c r="BK106" s="78"/>
      <c r="BL106" s="69">
        <v>45390</v>
      </c>
      <c r="BM106" s="78"/>
      <c r="BN106" s="78" t="s">
        <v>11</v>
      </c>
      <c r="BO106" s="78"/>
      <c r="BP106" s="78" t="s">
        <v>44</v>
      </c>
      <c r="BQ106" s="21">
        <f>YEAR([1]!BANCO10[[#This Row],[DATA INÍCIO]])</f>
        <v>2024</v>
      </c>
      <c r="BR106" s="21">
        <f>MONTH([1]!BANCO10[[#This Row],[DATA INÍCIO]])</f>
        <v>8</v>
      </c>
      <c r="BS106" s="21" t="e">
        <f>CONCATENATE(#REF!,#REF!)</f>
        <v>#REF!</v>
      </c>
      <c r="BT106" s="21"/>
      <c r="BU106" s="21" t="s">
        <v>603</v>
      </c>
      <c r="BV106" s="21" t="str">
        <f>IF([1]!BANCO10[[#This Row],[SOLUÇÃO]]=BV$1,[1]!BANCO10[[#This Row],[STATUS DA ETAPA]],"")</f>
        <v/>
      </c>
      <c r="BW106" s="21" t="str">
        <f>IF([1]!BANCO10[[#This Row],[SOLUÇÃO]]=BW$1,[1]!BANCO10[[#This Row],[STATUS DA ETAPA]],"")</f>
        <v/>
      </c>
      <c r="BX106" s="21" t="str">
        <f>IF([1]!BANCO10[[#This Row],[SOLUÇÃO]]=BX$1,[1]!BANCO10[[#This Row],[STATUS DA ETAPA]],"")</f>
        <v/>
      </c>
      <c r="BY106" s="21" t="str">
        <f>IF([1]!BANCO10[[#This Row],[SOLUÇÃO]]=BY$1,[1]!BANCO10[[#This Row],[STATUS DA ETAPA]],"")</f>
        <v/>
      </c>
      <c r="BZ106" s="21" t="str">
        <f>IF([1]!BANCO10[[#This Row],[SOLUÇÃO]]=BZ$1,[1]!BANCO10[[#This Row],[STATUS DA ETAPA]],"")</f>
        <v/>
      </c>
      <c r="CA106" s="21" t="str">
        <f>IF([1]!BANCO10[[#This Row],[SOLUÇÃO]]=CA$1,[1]!BANCO10[[#This Row],[STATUS DA ETAPA]],"")</f>
        <v/>
      </c>
      <c r="CB106" s="21" t="str">
        <f>IF([1]!BANCO10[[#This Row],[SOLUÇÃO]]=CB$1,[1]!BANCO10[[#This Row],[STATUS DA ETAPA]],"")</f>
        <v/>
      </c>
      <c r="CC106" s="21" t="str">
        <f>IF([1]!BANCO10[[#This Row],[SOLUÇÃO]]=CC$1,[1]!BANCO10[[#This Row],[STATUS DA ETAPA]],"")</f>
        <v/>
      </c>
      <c r="CD106" s="21" t="str">
        <f>IF([1]!BANCO10[[#This Row],[SOLUÇÃO]]=CD$1,[1]!BANCO10[[#This Row],[STATUS DA ETAPA]],"")</f>
        <v/>
      </c>
      <c r="CE106" s="21" t="str">
        <f>IF([1]!BANCO10[[#This Row],[SOLUÇÃO]]=CE$1,[1]!BANCO10[[#This Row],[STATUS DA ETAPA]],"")</f>
        <v/>
      </c>
      <c r="CF106" s="21" t="str">
        <f>IF([1]!BANCO10[[#This Row],[SOLUÇÃO]]=CF$1,[1]!BANCO10[[#This Row],[STATUS DA ETAPA]],"")</f>
        <v/>
      </c>
      <c r="CG106" s="21" t="str">
        <f>IF([1]!BANCO10[[#This Row],[SOLUÇÃO]]=CG$1,[1]!BANCO10[[#This Row],[STATUS DA ETAPA]],"")</f>
        <v/>
      </c>
      <c r="CH106" s="21" t="str">
        <f>IF([1]!BANCO10[[#This Row],[SOLUÇÃO]]=CH$1,[1]!BANCO10[[#This Row],[STATUS DA ETAPA]],"")</f>
        <v/>
      </c>
      <c r="CI106" s="21" t="str">
        <f>IF([1]!BANCO10[[#This Row],[SOLUÇÃO]]=CI$1,[1]!BANCO10[[#This Row],[STATUS DA ETAPA]],"")</f>
        <v/>
      </c>
      <c r="CJ106" s="21" t="str">
        <f>IF([1]!BANCO10[[#This Row],[SOLUÇÃO]]=CJ$1,[1]!BANCO10[[#This Row],[STATUS DA ETAPA]],"")</f>
        <v>CONCLUÍDO</v>
      </c>
      <c r="CK106" s="21" t="str">
        <f>IF([1]!BANCO10[[#This Row],[SOLUÇÃO]]=CK$1,[1]!BANCO10[[#This Row],[STATUS DA ETAPA]],"")</f>
        <v/>
      </c>
      <c r="CL106" s="22" t="str">
        <f>IF([1]!BANCO10[[#This Row],[SOLUÇÃO]]=CL$1,[1]!BANCO10[[#This Row],[STATUS DA ETAPA]],"")</f>
        <v/>
      </c>
      <c r="CM106" s="64" t="str">
        <f>IF([1]!BANCO10[[#This Row],[SOLUÇÃO]]=CM$1,[1]!BANCO10[[#This Row],[STATUS DA ETAPA]],"")</f>
        <v/>
      </c>
      <c r="CN106" s="64" t="str">
        <f>IF([1]!BANCO10[[#This Row],[SOLUÇÃO]]=CN$1,[1]!BANCO10[[#This Row],[STATUS DA ETAPA]],"")</f>
        <v/>
      </c>
      <c r="CO106" s="64" t="str">
        <f>IF([1]!BANCO10[[#This Row],[SOLUÇÃO]]=CO$1,[1]!BANCO10[[#This Row],[STATUS DA ETAPA]],"")</f>
        <v/>
      </c>
      <c r="CP106" s="64" t="str">
        <f>IF([1]!BANCO10[[#This Row],[SOLUÇÃO]]=CP$1,[1]!BANCO10[[#This Row],[STATUS DA ETAPA]],"")</f>
        <v/>
      </c>
      <c r="CQ106" s="64" t="str">
        <f>IF([1]!BANCO10[[#This Row],[SOLUÇÃO]]=CQ$1,[1]!BANCO10[[#This Row],[STATUS DA ETAPA]],"")</f>
        <v/>
      </c>
      <c r="CR106" s="64" t="str">
        <f>IF([1]!BANCO10[[#This Row],[SOLUÇÃO]]=CR$1,[1]!BANCO10[[#This Row],[STATUS DA ETAPA]],"")</f>
        <v/>
      </c>
      <c r="CS106" s="64" t="str">
        <f>IF([1]!BANCO10[[#This Row],[SOLUÇÃO]]=CS$1,[1]!BANCO10[[#This Row],[STATUS DA ETAPA]],"")</f>
        <v/>
      </c>
      <c r="CT106" s="64" t="str">
        <f>IF([1]!BANCO10[[#This Row],[SOLUÇÃO]]=CT$1,[1]!BANCO10[[#This Row],[STATUS DA ETAPA]],"")</f>
        <v/>
      </c>
      <c r="CU106" s="64" t="str">
        <f>IF([1]!BANCO10[[#This Row],[SOLUÇÃO]]=CU$1,[1]!BANCO10[[#This Row],[STATUS DA ETAPA]],"")</f>
        <v/>
      </c>
      <c r="CV106" s="64" t="str">
        <f>IF([1]!BANCO10[[#This Row],[SOLUÇÃO]]=CV$1,[1]!BANCO10[[#This Row],[STATUS DA ETAPA]],"")</f>
        <v/>
      </c>
    </row>
    <row r="107" spans="1:100">
      <c r="A107" s="44" t="s">
        <v>1</v>
      </c>
      <c r="B107" s="44"/>
      <c r="C107" s="44" t="s">
        <v>1</v>
      </c>
      <c r="D107" s="44"/>
      <c r="E107" s="44" t="s">
        <v>1</v>
      </c>
      <c r="F107" s="44"/>
      <c r="G107" s="44" t="s">
        <v>1</v>
      </c>
      <c r="H107" s="44"/>
      <c r="I107" s="45" t="s">
        <v>0</v>
      </c>
      <c r="J107" s="46"/>
      <c r="K107" s="45" t="s">
        <v>0</v>
      </c>
      <c r="L107" s="33"/>
      <c r="M107" s="45" t="s">
        <v>0</v>
      </c>
      <c r="N107" s="33"/>
      <c r="O107" s="44"/>
      <c r="P107" s="44"/>
      <c r="Q107" s="44" t="s">
        <v>1</v>
      </c>
      <c r="R107" s="44"/>
      <c r="S107" s="44"/>
      <c r="T107" s="44"/>
      <c r="U107" s="44"/>
      <c r="V107" s="44"/>
      <c r="W107" s="44"/>
      <c r="X107" s="44"/>
      <c r="Y107" s="44"/>
      <c r="Z107" s="44"/>
      <c r="AA107" s="44"/>
      <c r="AB107" s="44"/>
      <c r="AC107" s="51">
        <v>45636</v>
      </c>
      <c r="AD107" s="83">
        <v>45636</v>
      </c>
      <c r="AE107" s="41" t="s">
        <v>1</v>
      </c>
      <c r="AF107" s="41" t="s">
        <v>1</v>
      </c>
      <c r="AG107" s="40" t="s">
        <v>4</v>
      </c>
      <c r="AH107" s="36" t="s">
        <v>0</v>
      </c>
      <c r="AI107" s="49">
        <v>0</v>
      </c>
      <c r="AJ107" s="36" t="s">
        <v>1</v>
      </c>
      <c r="AK107" s="10" t="s">
        <v>1</v>
      </c>
      <c r="AL107" s="36" t="s">
        <v>1</v>
      </c>
      <c r="AM107" s="36" t="s">
        <v>1</v>
      </c>
      <c r="AN107" s="35" t="s">
        <v>1</v>
      </c>
      <c r="AO107" s="35" t="s">
        <v>1</v>
      </c>
      <c r="AP107" s="35" t="s">
        <v>1</v>
      </c>
      <c r="AQ107" s="35" t="s">
        <v>2</v>
      </c>
      <c r="AR107" s="45" t="s">
        <v>0</v>
      </c>
      <c r="AS107" s="33"/>
      <c r="AT107" s="30" t="s">
        <v>0</v>
      </c>
      <c r="AU107" s="31"/>
      <c r="AV107" s="30" t="s">
        <v>0</v>
      </c>
      <c r="AW107" s="31"/>
      <c r="AX107" s="30" t="s">
        <v>0</v>
      </c>
      <c r="AY107" s="29"/>
      <c r="AZ107" s="28" t="s">
        <v>0</v>
      </c>
      <c r="BA107" s="27"/>
      <c r="BB107" s="26"/>
      <c r="BC107" s="25"/>
      <c r="BD107" s="24"/>
      <c r="BE107" s="24"/>
      <c r="BF107" s="24"/>
      <c r="BG107" s="24"/>
      <c r="BH107" s="24"/>
      <c r="BI107" s="24"/>
      <c r="BJ107" s="24"/>
      <c r="BK107" s="24"/>
      <c r="BL107" s="24"/>
      <c r="BM107" s="24"/>
      <c r="BN107" s="24"/>
      <c r="BO107" s="24"/>
      <c r="BP107" s="24"/>
      <c r="BQ107" s="22">
        <f>YEAR([1]!BANCO10[[#This Row],[DATA INÍCIO]])</f>
        <v>2024</v>
      </c>
      <c r="BR107" s="22">
        <f>MONTH([1]!BANCO10[[#This Row],[DATA INÍCIO]])</f>
        <v>12</v>
      </c>
      <c r="BS107" s="23" t="e">
        <f>CONCATENATE(#REF!,#REF!)</f>
        <v>#REF!</v>
      </c>
      <c r="BT107" s="22"/>
      <c r="BU107" s="22"/>
      <c r="BV107" s="21" t="str">
        <f>IF([1]!BANCO10[[#This Row],[SOLUÇÃO]]=BV$1,[1]!BANCO10[[#This Row],[STATUS DA ETAPA]],"")</f>
        <v/>
      </c>
      <c r="BW107" s="21" t="str">
        <f>IF([1]!BANCO10[[#This Row],[SOLUÇÃO]]=BW$1,[1]!BANCO10[[#This Row],[STATUS DA ETAPA]],"")</f>
        <v/>
      </c>
      <c r="BX107" s="21" t="str">
        <f>IF([1]!BANCO10[[#This Row],[SOLUÇÃO]]=BX$1,[1]!BANCO10[[#This Row],[STATUS DA ETAPA]],"")</f>
        <v/>
      </c>
      <c r="BY107" s="21" t="str">
        <f>IF([1]!BANCO10[[#This Row],[SOLUÇÃO]]=BY$1,[1]!BANCO10[[#This Row],[STATUS DA ETAPA]],"")</f>
        <v/>
      </c>
      <c r="BZ107" s="21" t="str">
        <f>IF([1]!BANCO10[[#This Row],[SOLUÇÃO]]=BZ$1,[1]!BANCO10[[#This Row],[STATUS DA ETAPA]],"")</f>
        <v/>
      </c>
      <c r="CA107" s="21" t="str">
        <f>IF([1]!BANCO10[[#This Row],[SOLUÇÃO]]=CA$1,[1]!BANCO10[[#This Row],[STATUS DA ETAPA]],"")</f>
        <v/>
      </c>
      <c r="CB107" s="21" t="str">
        <f>IF([1]!BANCO10[[#This Row],[SOLUÇÃO]]=CB$1,[1]!BANCO10[[#This Row],[STATUS DA ETAPA]],"")</f>
        <v/>
      </c>
      <c r="CC107" s="21" t="str">
        <f>IF([1]!BANCO10[[#This Row],[SOLUÇÃO]]=CC$1,[1]!BANCO10[[#This Row],[STATUS DA ETAPA]],"")</f>
        <v/>
      </c>
      <c r="CD107" s="21" t="str">
        <f>IF([1]!BANCO10[[#This Row],[SOLUÇÃO]]=CD$1,[1]!BANCO10[[#This Row],[STATUS DA ETAPA]],"")</f>
        <v/>
      </c>
      <c r="CE107" s="21" t="str">
        <f>IF([1]!BANCO10[[#This Row],[SOLUÇÃO]]=CE$1,[1]!BANCO10[[#This Row],[STATUS DA ETAPA]],"")</f>
        <v/>
      </c>
      <c r="CF107" s="21" t="str">
        <f>IF([1]!BANCO10[[#This Row],[SOLUÇÃO]]=CF$1,[1]!BANCO10[[#This Row],[STATUS DA ETAPA]],"")</f>
        <v/>
      </c>
      <c r="CG107" s="21" t="str">
        <f>IF([1]!BANCO10[[#This Row],[SOLUÇÃO]]=CG$1,[1]!BANCO10[[#This Row],[STATUS DA ETAPA]],"")</f>
        <v/>
      </c>
      <c r="CH107" s="21" t="str">
        <f>IF([1]!BANCO10[[#This Row],[SOLUÇÃO]]=CH$1,[1]!BANCO10[[#This Row],[STATUS DA ETAPA]],"")</f>
        <v/>
      </c>
      <c r="CI107" s="21" t="str">
        <f>IF([1]!BANCO10[[#This Row],[SOLUÇÃO]]=CI$1,[1]!BANCO10[[#This Row],[STATUS DA ETAPA]],"")</f>
        <v/>
      </c>
      <c r="CJ107" s="21" t="str">
        <f>IF([1]!BANCO10[[#This Row],[SOLUÇÃO]]=CJ$1,[1]!BANCO10[[#This Row],[STATUS DA ETAPA]],"")</f>
        <v/>
      </c>
      <c r="CK107" s="21" t="str">
        <f>IF([1]!BANCO10[[#This Row],[SOLUÇÃO]]=CK$1,[1]!BANCO10[[#This Row],[STATUS DA ETAPA]],"")</f>
        <v/>
      </c>
      <c r="CL107" s="21" t="str">
        <f>IF([1]!BANCO10[[#This Row],[SOLUÇÃO]]=CL$1,[1]!BANCO10[[#This Row],[STATUS DA ETAPA]],"")</f>
        <v/>
      </c>
      <c r="CM107" s="21" t="str">
        <f>IF([1]!BANCO10[[#This Row],[SOLUÇÃO]]=CM$1,[1]!BANCO10[[#This Row],[STATUS DA ETAPA]],"")</f>
        <v/>
      </c>
      <c r="CN107" s="21" t="str">
        <f>IF([1]!BANCO10[[#This Row],[SOLUÇÃO]]=CN$1,[1]!BANCO10[[#This Row],[STATUS DA ETAPA]],"")</f>
        <v/>
      </c>
      <c r="CO107" s="21" t="str">
        <f>IF([1]!BANCO10[[#This Row],[SOLUÇÃO]]=CO$1,[1]!BANCO10[[#This Row],[STATUS DA ETAPA]],"")</f>
        <v/>
      </c>
      <c r="CP107" s="21" t="str">
        <f>IF([1]!BANCO10[[#This Row],[SOLUÇÃO]]=CP$1,[1]!BANCO10[[#This Row],[STATUS DA ETAPA]],"")</f>
        <v/>
      </c>
      <c r="CQ107" s="21" t="str">
        <f>IF([1]!BANCO10[[#This Row],[SOLUÇÃO]]=CQ$1,[1]!BANCO10[[#This Row],[STATUS DA ETAPA]],"")</f>
        <v/>
      </c>
      <c r="CR107" s="21" t="str">
        <f>IF([1]!BANCO10[[#This Row],[SOLUÇÃO]]=CR$1,[1]!BANCO10[[#This Row],[STATUS DA ETAPA]],"")</f>
        <v/>
      </c>
      <c r="CS107" s="21" t="str">
        <f>IF([1]!BANCO10[[#This Row],[SOLUÇÃO]]=CS$1,[1]!BANCO10[[#This Row],[STATUS DA ETAPA]],"")</f>
        <v/>
      </c>
      <c r="CT107" s="21" t="str">
        <f>IF([1]!BANCO10[[#This Row],[SOLUÇÃO]]=CT$1,[1]!BANCO10[[#This Row],[STATUS DA ETAPA]],"")</f>
        <v/>
      </c>
      <c r="CU107" s="21" t="str">
        <f>IF([1]!BANCO10[[#This Row],[SOLUÇÃO]]=CU$1,[1]!BANCO10[[#This Row],[STATUS DA ETAPA]],"")</f>
        <v/>
      </c>
      <c r="CV107" s="21" t="str">
        <f>IF([1]!BANCO10[[#This Row],[SOLUÇÃO]]=CV$1,[1]!BANCO10[[#This Row],[STATUS DA ETAPA]],"")</f>
        <v/>
      </c>
    </row>
    <row r="108" spans="1:100">
      <c r="A108" s="44" t="s">
        <v>1</v>
      </c>
      <c r="B108" s="44"/>
      <c r="C108" s="44" t="s">
        <v>1</v>
      </c>
      <c r="D108" s="44"/>
      <c r="E108" s="44" t="s">
        <v>1</v>
      </c>
      <c r="F108" s="44"/>
      <c r="G108" s="44" t="s">
        <v>1</v>
      </c>
      <c r="H108" s="44"/>
      <c r="I108" s="45" t="s">
        <v>1</v>
      </c>
      <c r="J108" s="46"/>
      <c r="K108" s="45" t="s">
        <v>1</v>
      </c>
      <c r="L108" s="33"/>
      <c r="M108" s="45" t="s">
        <v>1</v>
      </c>
      <c r="N108" s="33"/>
      <c r="O108" s="44" t="s">
        <v>1</v>
      </c>
      <c r="P108" s="44"/>
      <c r="Q108" s="44" t="s">
        <v>1</v>
      </c>
      <c r="R108" s="44"/>
      <c r="S108" s="44" t="s">
        <v>1</v>
      </c>
      <c r="T108" s="44"/>
      <c r="U108" s="44" t="s">
        <v>1</v>
      </c>
      <c r="V108" s="44"/>
      <c r="W108" s="44" t="s">
        <v>1</v>
      </c>
      <c r="X108" s="44"/>
      <c r="Y108" s="44" t="s">
        <v>1</v>
      </c>
      <c r="Z108" s="44"/>
      <c r="AA108" s="44" t="s">
        <v>1</v>
      </c>
      <c r="AB108" s="44"/>
      <c r="AC108" s="51">
        <v>45275</v>
      </c>
      <c r="AD108" s="50">
        <v>45275</v>
      </c>
      <c r="AE108" s="40" t="s">
        <v>1</v>
      </c>
      <c r="AF108" s="40" t="s">
        <v>1</v>
      </c>
      <c r="AG108" s="76" t="s">
        <v>5</v>
      </c>
      <c r="AH108" s="36" t="s">
        <v>1</v>
      </c>
      <c r="AI108" s="49">
        <v>0</v>
      </c>
      <c r="AJ108" s="36" t="s">
        <v>1</v>
      </c>
      <c r="AK108" s="10" t="s">
        <v>1</v>
      </c>
      <c r="AL108" s="36" t="s">
        <v>1</v>
      </c>
      <c r="AM108" s="36" t="s">
        <v>1</v>
      </c>
      <c r="AN108" s="35" t="s">
        <v>1</v>
      </c>
      <c r="AO108" s="35" t="s">
        <v>1</v>
      </c>
      <c r="AP108" s="35" t="s">
        <v>1</v>
      </c>
      <c r="AQ108" s="35" t="s">
        <v>1</v>
      </c>
      <c r="AR108" s="171" t="s">
        <v>1</v>
      </c>
      <c r="AS108" s="33"/>
      <c r="AT108" s="32" t="s">
        <v>1</v>
      </c>
      <c r="AU108" s="31"/>
      <c r="AV108" s="32" t="s">
        <v>1</v>
      </c>
      <c r="AW108" s="31"/>
      <c r="AX108" s="30" t="s">
        <v>1</v>
      </c>
      <c r="AY108" s="55"/>
      <c r="AZ108" s="30" t="s">
        <v>1</v>
      </c>
      <c r="BA108" s="55"/>
      <c r="BB108" s="74" t="s">
        <v>15</v>
      </c>
      <c r="BC108" s="25" t="s">
        <v>14</v>
      </c>
      <c r="BD108" s="24"/>
      <c r="BE108" s="24"/>
      <c r="BF108" s="24"/>
      <c r="BG108" s="24"/>
      <c r="BH108" s="130"/>
      <c r="BI108" s="24"/>
      <c r="BJ108" s="24" t="s">
        <v>11</v>
      </c>
      <c r="BK108" s="24" t="s">
        <v>11</v>
      </c>
      <c r="BL108" s="24" t="s">
        <v>11</v>
      </c>
      <c r="BM108" s="24" t="s">
        <v>11</v>
      </c>
      <c r="BN108" s="24" t="s">
        <v>11</v>
      </c>
      <c r="BO108" s="24" t="s">
        <v>11</v>
      </c>
      <c r="BP108" s="24" t="s">
        <v>11</v>
      </c>
      <c r="BQ108" s="22">
        <f>YEAR([1]!BANCO10[[#This Row],[DATA INÍCIO]])</f>
        <v>2023</v>
      </c>
      <c r="BR108" s="22">
        <f>MONTH([1]!BANCO10[[#This Row],[DATA INÍCIO]])</f>
        <v>12</v>
      </c>
      <c r="BS108" s="129" t="e">
        <f>CONCATENATE(#REF!,#REF!)</f>
        <v>#REF!</v>
      </c>
      <c r="BT108" s="22"/>
      <c r="BU108" s="21" t="s">
        <v>772</v>
      </c>
      <c r="BV108" s="21" t="str">
        <f>IF([1]!BANCO10[[#This Row],[SOLUÇÃO]]=BV$1,[1]!BANCO10[[#This Row],[STATUS DA ETAPA]],"")</f>
        <v>CONCLUÍDO</v>
      </c>
      <c r="BW108" s="21" t="str">
        <f>IF([1]!BANCO10[[#This Row],[SOLUÇÃO]]=BW$1,[1]!BANCO10[[#This Row],[STATUS DA ETAPA]],"")</f>
        <v/>
      </c>
      <c r="BX108" s="21" t="str">
        <f>IF([1]!BANCO10[[#This Row],[SOLUÇÃO]]=BX$1,[1]!BANCO10[[#This Row],[STATUS DA ETAPA]],"")</f>
        <v/>
      </c>
      <c r="BY108" s="21" t="str">
        <f>IF([1]!BANCO10[[#This Row],[SOLUÇÃO]]=BY$1,[1]!BANCO10[[#This Row],[STATUS DA ETAPA]],"")</f>
        <v/>
      </c>
      <c r="BZ108" s="21" t="str">
        <f>IF([1]!BANCO10[[#This Row],[SOLUÇÃO]]=BZ$1,[1]!BANCO10[[#This Row],[STATUS DA ETAPA]],"")</f>
        <v/>
      </c>
      <c r="CA108" s="21" t="str">
        <f>IF([1]!BANCO10[[#This Row],[SOLUÇÃO]]=CA$1,[1]!BANCO10[[#This Row],[STATUS DA ETAPA]],"")</f>
        <v/>
      </c>
      <c r="CB108" s="21" t="str">
        <f>IF([1]!BANCO10[[#This Row],[SOLUÇÃO]]=CB$1,[1]!BANCO10[[#This Row],[STATUS DA ETAPA]],"")</f>
        <v/>
      </c>
      <c r="CC108" s="21" t="str">
        <f>IF([1]!BANCO10[[#This Row],[SOLUÇÃO]]=CC$1,[1]!BANCO10[[#This Row],[STATUS DA ETAPA]],"")</f>
        <v/>
      </c>
      <c r="CD108" s="21" t="str">
        <f>IF([1]!BANCO10[[#This Row],[SOLUÇÃO]]=CD$1,[1]!BANCO10[[#This Row],[STATUS DA ETAPA]],"")</f>
        <v/>
      </c>
      <c r="CE108" s="21" t="str">
        <f>IF([1]!BANCO10[[#This Row],[SOLUÇÃO]]=CE$1,[1]!BANCO10[[#This Row],[STATUS DA ETAPA]],"")</f>
        <v/>
      </c>
      <c r="CF108" s="21" t="str">
        <f>IF([1]!BANCO10[[#This Row],[SOLUÇÃO]]=CF$1,[1]!BANCO10[[#This Row],[STATUS DA ETAPA]],"")</f>
        <v/>
      </c>
      <c r="CG108" s="21" t="str">
        <f>IF([1]!BANCO10[[#This Row],[SOLUÇÃO]]=CG$1,[1]!BANCO10[[#This Row],[STATUS DA ETAPA]],"")</f>
        <v/>
      </c>
      <c r="CH108" s="21" t="str">
        <f>IF([1]!BANCO10[[#This Row],[SOLUÇÃO]]=CH$1,[1]!BANCO10[[#This Row],[STATUS DA ETAPA]],"")</f>
        <v/>
      </c>
      <c r="CI108" s="21" t="str">
        <f>IF([1]!BANCO10[[#This Row],[SOLUÇÃO]]=CI$1,[1]!BANCO10[[#This Row],[STATUS DA ETAPA]],"")</f>
        <v/>
      </c>
      <c r="CJ108" s="21" t="str">
        <f>IF([1]!BANCO10[[#This Row],[SOLUÇÃO]]=CJ$1,[1]!BANCO10[[#This Row],[STATUS DA ETAPA]],"")</f>
        <v/>
      </c>
      <c r="CK108" s="21" t="str">
        <f>IF([1]!BANCO10[[#This Row],[SOLUÇÃO]]=CK$1,[1]!BANCO10[[#This Row],[STATUS DA ETAPA]],"")</f>
        <v/>
      </c>
      <c r="CL108" s="21" t="str">
        <f>IF([1]!BANCO10[[#This Row],[SOLUÇÃO]]=CL$1,[1]!BANCO10[[#This Row],[STATUS DA ETAPA]],"")</f>
        <v/>
      </c>
      <c r="CM108" s="21" t="str">
        <f>IF([1]!BANCO10[[#This Row],[SOLUÇÃO]]=CM$1,[1]!BANCO10[[#This Row],[STATUS DA ETAPA]],"")</f>
        <v/>
      </c>
      <c r="CN108" s="21" t="str">
        <f>IF([1]!BANCO10[[#This Row],[SOLUÇÃO]]=CN$1,[1]!BANCO10[[#This Row],[STATUS DA ETAPA]],"")</f>
        <v/>
      </c>
      <c r="CO108" s="21" t="str">
        <f>IF([1]!BANCO10[[#This Row],[SOLUÇÃO]]=CO$1,[1]!BANCO10[[#This Row],[STATUS DA ETAPA]],"")</f>
        <v/>
      </c>
      <c r="CP108" s="21" t="str">
        <f>IF([1]!BANCO10[[#This Row],[SOLUÇÃO]]=CP$1,[1]!BANCO10[[#This Row],[STATUS DA ETAPA]],"")</f>
        <v/>
      </c>
      <c r="CQ108" s="21" t="str">
        <f>IF([1]!BANCO10[[#This Row],[SOLUÇÃO]]=CQ$1,[1]!BANCO10[[#This Row],[STATUS DA ETAPA]],"")</f>
        <v/>
      </c>
      <c r="CR108" s="21" t="str">
        <f>IF([1]!BANCO10[[#This Row],[SOLUÇÃO]]=CR$1,[1]!BANCO10[[#This Row],[STATUS DA ETAPA]],"")</f>
        <v/>
      </c>
      <c r="CS108" s="21" t="str">
        <f>IF([1]!BANCO10[[#This Row],[SOLUÇÃO]]=CS$1,[1]!BANCO10[[#This Row],[STATUS DA ETAPA]],"")</f>
        <v/>
      </c>
      <c r="CT108" s="21" t="str">
        <f>IF([1]!BANCO10[[#This Row],[SOLUÇÃO]]=CT$1,[1]!BANCO10[[#This Row],[STATUS DA ETAPA]],"")</f>
        <v/>
      </c>
      <c r="CU108" s="21" t="str">
        <f>IF([1]!BANCO10[[#This Row],[SOLUÇÃO]]=CU$1,[1]!BANCO10[[#This Row],[STATUS DA ETAPA]],"")</f>
        <v/>
      </c>
      <c r="CV108" s="21" t="str">
        <f>IF([1]!BANCO10[[#This Row],[SOLUÇÃO]]=CV$1,[1]!BANCO10[[#This Row],[STATUS DA ETAPA]],"")</f>
        <v/>
      </c>
    </row>
    <row r="109" spans="1:100">
      <c r="A109" s="44" t="s">
        <v>2</v>
      </c>
      <c r="B109" s="44">
        <v>45733</v>
      </c>
      <c r="C109" s="44" t="s">
        <v>2</v>
      </c>
      <c r="D109" s="44">
        <v>45733</v>
      </c>
      <c r="E109" s="44" t="s">
        <v>2</v>
      </c>
      <c r="F109" s="44">
        <v>45733</v>
      </c>
      <c r="G109" s="44" t="s">
        <v>2</v>
      </c>
      <c r="H109" s="44">
        <v>45733</v>
      </c>
      <c r="I109" s="45" t="s">
        <v>2</v>
      </c>
      <c r="J109" s="46">
        <v>45736</v>
      </c>
      <c r="K109" s="45" t="s">
        <v>0</v>
      </c>
      <c r="L109" s="33"/>
      <c r="M109" s="45" t="s">
        <v>0</v>
      </c>
      <c r="N109" s="33"/>
      <c r="O109" s="44" t="s">
        <v>1</v>
      </c>
      <c r="P109" s="44"/>
      <c r="Q109" s="44" t="s">
        <v>1</v>
      </c>
      <c r="R109" s="44"/>
      <c r="S109" s="44" t="s">
        <v>2</v>
      </c>
      <c r="T109" s="44">
        <v>45708</v>
      </c>
      <c r="U109" s="44" t="s">
        <v>1</v>
      </c>
      <c r="V109" s="44"/>
      <c r="W109" s="44" t="s">
        <v>1</v>
      </c>
      <c r="X109" s="44"/>
      <c r="Y109" s="44" t="s">
        <v>1</v>
      </c>
      <c r="Z109" s="44"/>
      <c r="AA109" s="44" t="s">
        <v>1</v>
      </c>
      <c r="AB109" s="44"/>
      <c r="AC109" s="51">
        <v>46022</v>
      </c>
      <c r="AD109" s="50">
        <v>46022</v>
      </c>
      <c r="AE109" s="41" t="s">
        <v>0</v>
      </c>
      <c r="AF109" s="41" t="s">
        <v>0</v>
      </c>
      <c r="AG109" s="40" t="s">
        <v>5</v>
      </c>
      <c r="AH109" s="36" t="s">
        <v>0</v>
      </c>
      <c r="AI109" s="49">
        <v>20140</v>
      </c>
      <c r="AJ109" s="36" t="s">
        <v>3</v>
      </c>
      <c r="AK109" s="21">
        <v>678871</v>
      </c>
      <c r="AL109" s="36" t="s">
        <v>1</v>
      </c>
      <c r="AM109" s="36" t="s">
        <v>1</v>
      </c>
      <c r="AN109" s="35" t="s">
        <v>0</v>
      </c>
      <c r="AO109" s="35" t="s">
        <v>0</v>
      </c>
      <c r="AP109" s="35" t="s">
        <v>0</v>
      </c>
      <c r="AQ109" s="35" t="s">
        <v>0</v>
      </c>
      <c r="AR109" s="34" t="s">
        <v>0</v>
      </c>
      <c r="AS109" s="33"/>
      <c r="AT109" s="32" t="s">
        <v>0</v>
      </c>
      <c r="AU109" s="31"/>
      <c r="AV109" s="32" t="s">
        <v>0</v>
      </c>
      <c r="AW109" s="31"/>
      <c r="AX109" s="32" t="s">
        <v>0</v>
      </c>
      <c r="AY109" s="31"/>
      <c r="AZ109" s="32" t="s">
        <v>0</v>
      </c>
      <c r="BA109" s="31"/>
      <c r="BB109" s="26" t="s">
        <v>7</v>
      </c>
      <c r="BC109" s="25"/>
      <c r="BD109" s="24"/>
      <c r="BE109" s="24"/>
      <c r="BF109" s="24"/>
      <c r="BG109" s="24"/>
      <c r="BH109" s="24"/>
      <c r="BI109" s="24"/>
      <c r="BJ109" s="24"/>
      <c r="BK109" s="24"/>
      <c r="BL109" s="24"/>
      <c r="BM109" s="24"/>
      <c r="BN109" s="24"/>
      <c r="BO109" s="24"/>
      <c r="BP109" s="24"/>
      <c r="BQ109" s="22">
        <f>YEAR([1]!BANCO10[[#This Row],[DATA INÍCIO]])</f>
        <v>2025</v>
      </c>
      <c r="BR109" s="22">
        <f>MONTH([1]!BANCO10[[#This Row],[DATA INÍCIO]])</f>
        <v>12</v>
      </c>
      <c r="BS109" s="23" t="e">
        <f>CONCATENATE(#REF!,#REF!)</f>
        <v>#REF!</v>
      </c>
      <c r="BT109" s="22"/>
      <c r="BU109" s="22"/>
      <c r="BV109" s="21" t="str">
        <f>IF([1]!BANCO10[[#This Row],[SOLUÇÃO]]=BV$1,[1]!BANCO10[[#This Row],[STATUS DA ETAPA]],"")</f>
        <v/>
      </c>
      <c r="BW109" s="21" t="str">
        <f>IF([1]!BANCO10[[#This Row],[SOLUÇÃO]]=BW$1,[1]!BANCO10[[#This Row],[STATUS DA ETAPA]],"")</f>
        <v/>
      </c>
      <c r="BX109" s="21" t="str">
        <f>IF([1]!BANCO10[[#This Row],[SOLUÇÃO]]=BX$1,[1]!BANCO10[[#This Row],[STATUS DA ETAPA]],"")</f>
        <v/>
      </c>
      <c r="BY109" s="21" t="str">
        <f>IF([1]!BANCO10[[#This Row],[SOLUÇÃO]]=BY$1,[1]!BANCO10[[#This Row],[STATUS DA ETAPA]],"")</f>
        <v/>
      </c>
      <c r="BZ109" s="21" t="str">
        <f>IF([1]!BANCO10[[#This Row],[SOLUÇÃO]]=BZ$1,[1]!BANCO10[[#This Row],[STATUS DA ETAPA]],"")</f>
        <v/>
      </c>
      <c r="CA109" s="21" t="str">
        <f>IF([1]!BANCO10[[#This Row],[SOLUÇÃO]]=CA$1,[1]!BANCO10[[#This Row],[STATUS DA ETAPA]],"")</f>
        <v/>
      </c>
      <c r="CB109" s="21" t="str">
        <f>IF([1]!BANCO10[[#This Row],[SOLUÇÃO]]=CB$1,[1]!BANCO10[[#This Row],[STATUS DA ETAPA]],"")</f>
        <v>AGUARDANDO SALDO</v>
      </c>
      <c r="CC109" s="21" t="str">
        <f>IF([1]!BANCO10[[#This Row],[SOLUÇÃO]]=CC$1,[1]!BANCO10[[#This Row],[STATUS DA ETAPA]],"")</f>
        <v/>
      </c>
      <c r="CD109" s="21" t="str">
        <f>IF([1]!BANCO10[[#This Row],[SOLUÇÃO]]=CD$1,[1]!BANCO10[[#This Row],[STATUS DA ETAPA]],"")</f>
        <v/>
      </c>
      <c r="CE109" s="21" t="str">
        <f>IF([1]!BANCO10[[#This Row],[SOLUÇÃO]]=CE$1,[1]!BANCO10[[#This Row],[STATUS DA ETAPA]],"")</f>
        <v/>
      </c>
      <c r="CF109" s="21" t="str">
        <f>IF([1]!BANCO10[[#This Row],[SOLUÇÃO]]=CF$1,[1]!BANCO10[[#This Row],[STATUS DA ETAPA]],"")</f>
        <v/>
      </c>
      <c r="CG109" s="21" t="str">
        <f>IF([1]!BANCO10[[#This Row],[SOLUÇÃO]]=CG$1,[1]!BANCO10[[#This Row],[STATUS DA ETAPA]],"")</f>
        <v/>
      </c>
      <c r="CH109" s="21" t="str">
        <f>IF([1]!BANCO10[[#This Row],[SOLUÇÃO]]=CH$1,[1]!BANCO10[[#This Row],[STATUS DA ETAPA]],"")</f>
        <v/>
      </c>
      <c r="CI109" s="21" t="str">
        <f>IF([1]!BANCO10[[#This Row],[SOLUÇÃO]]=CI$1,[1]!BANCO10[[#This Row],[STATUS DA ETAPA]],"")</f>
        <v/>
      </c>
      <c r="CJ109" s="21" t="str">
        <f>IF([1]!BANCO10[[#This Row],[SOLUÇÃO]]=CJ$1,[1]!BANCO10[[#This Row],[STATUS DA ETAPA]],"")</f>
        <v/>
      </c>
      <c r="CK109" s="21" t="str">
        <f>IF([1]!BANCO10[[#This Row],[SOLUÇÃO]]=CK$1,[1]!BANCO10[[#This Row],[STATUS DA ETAPA]],"")</f>
        <v/>
      </c>
      <c r="CL109" s="21" t="str">
        <f>IF([1]!BANCO10[[#This Row],[SOLUÇÃO]]=CL$1,[1]!BANCO10[[#This Row],[STATUS DA ETAPA]],"")</f>
        <v/>
      </c>
      <c r="CM109" s="21" t="str">
        <f>IF([1]!BANCO10[[#This Row],[SOLUÇÃO]]=CM$1,[1]!BANCO10[[#This Row],[STATUS DA ETAPA]],"")</f>
        <v/>
      </c>
      <c r="CN109" s="21" t="str">
        <f>IF([1]!BANCO10[[#This Row],[SOLUÇÃO]]=CN$1,[1]!BANCO10[[#This Row],[STATUS DA ETAPA]],"")</f>
        <v/>
      </c>
      <c r="CO109" s="21" t="str">
        <f>IF([1]!BANCO10[[#This Row],[SOLUÇÃO]]=CO$1,[1]!BANCO10[[#This Row],[STATUS DA ETAPA]],"")</f>
        <v/>
      </c>
      <c r="CP109" s="21" t="str">
        <f>IF([1]!BANCO10[[#This Row],[SOLUÇÃO]]=CP$1,[1]!BANCO10[[#This Row],[STATUS DA ETAPA]],"")</f>
        <v/>
      </c>
      <c r="CQ109" s="21" t="str">
        <f>IF([1]!BANCO10[[#This Row],[SOLUÇÃO]]=CQ$1,[1]!BANCO10[[#This Row],[STATUS DA ETAPA]],"")</f>
        <v/>
      </c>
      <c r="CR109" s="21" t="str">
        <f>IF([1]!BANCO10[[#This Row],[SOLUÇÃO]]=CR$1,[1]!BANCO10[[#This Row],[STATUS DA ETAPA]],"")</f>
        <v/>
      </c>
      <c r="CS109" s="21" t="str">
        <f>IF([1]!BANCO10[[#This Row],[SOLUÇÃO]]=CS$1,[1]!BANCO10[[#This Row],[STATUS DA ETAPA]],"")</f>
        <v/>
      </c>
      <c r="CT109" s="21" t="str">
        <f>IF([1]!BANCO10[[#This Row],[SOLUÇÃO]]=CT$1,[1]!BANCO10[[#This Row],[STATUS DA ETAPA]],"")</f>
        <v/>
      </c>
      <c r="CU109" s="21" t="str">
        <f>IF([1]!BANCO10[[#This Row],[SOLUÇÃO]]=CU$1,[1]!BANCO10[[#This Row],[STATUS DA ETAPA]],"")</f>
        <v/>
      </c>
      <c r="CV109" s="21" t="str">
        <f>IF([1]!BANCO10[[#This Row],[SOLUÇÃO]]=CV$1,[1]!BANCO10[[#This Row],[STATUS DA ETAPA]],"")</f>
        <v/>
      </c>
    </row>
    <row r="110" spans="1:100">
      <c r="A110" s="44" t="s">
        <v>1</v>
      </c>
      <c r="B110" s="44"/>
      <c r="C110" s="44" t="s">
        <v>1</v>
      </c>
      <c r="D110" s="44"/>
      <c r="E110" s="44" t="s">
        <v>1</v>
      </c>
      <c r="F110" s="44"/>
      <c r="G110" s="44" t="s">
        <v>1</v>
      </c>
      <c r="H110" s="44"/>
      <c r="I110" s="45" t="s">
        <v>1</v>
      </c>
      <c r="J110" s="46"/>
      <c r="K110" s="45" t="s">
        <v>1</v>
      </c>
      <c r="L110" s="33"/>
      <c r="M110" s="45" t="s">
        <v>1</v>
      </c>
      <c r="N110" s="33"/>
      <c r="O110" s="44" t="s">
        <v>1</v>
      </c>
      <c r="P110" s="44"/>
      <c r="Q110" s="44" t="s">
        <v>1</v>
      </c>
      <c r="R110" s="44"/>
      <c r="S110" s="44" t="s">
        <v>1</v>
      </c>
      <c r="T110" s="44"/>
      <c r="U110" s="44" t="s">
        <v>1</v>
      </c>
      <c r="V110" s="44"/>
      <c r="W110" s="44" t="s">
        <v>1</v>
      </c>
      <c r="X110" s="44"/>
      <c r="Y110" s="44" t="s">
        <v>1</v>
      </c>
      <c r="Z110" s="44"/>
      <c r="AA110" s="44" t="s">
        <v>1</v>
      </c>
      <c r="AB110" s="44"/>
      <c r="AC110" s="51">
        <v>45577</v>
      </c>
      <c r="AD110" s="83">
        <v>45577</v>
      </c>
      <c r="AE110" s="41" t="s">
        <v>1</v>
      </c>
      <c r="AF110" s="41" t="s">
        <v>1</v>
      </c>
      <c r="AG110" s="40" t="s">
        <v>5</v>
      </c>
      <c r="AH110" s="36" t="s">
        <v>1</v>
      </c>
      <c r="AI110" s="49">
        <v>0</v>
      </c>
      <c r="AJ110" s="36" t="s">
        <v>1</v>
      </c>
      <c r="AK110" s="10" t="s">
        <v>1</v>
      </c>
      <c r="AL110" s="36" t="s">
        <v>1</v>
      </c>
      <c r="AM110" s="36" t="s">
        <v>1</v>
      </c>
      <c r="AN110" s="35" t="s">
        <v>1</v>
      </c>
      <c r="AO110" s="35" t="s">
        <v>1</v>
      </c>
      <c r="AP110" s="35" t="s">
        <v>1</v>
      </c>
      <c r="AQ110" s="35" t="s">
        <v>1</v>
      </c>
      <c r="AR110" s="90" t="s">
        <v>1</v>
      </c>
      <c r="AS110" s="89"/>
      <c r="AT110" s="88"/>
      <c r="AU110" s="25"/>
      <c r="AV110" s="88"/>
      <c r="AW110" s="25"/>
      <c r="AX110" s="88" t="s">
        <v>1</v>
      </c>
      <c r="AY110" s="25"/>
      <c r="AZ110" s="88" t="s">
        <v>1</v>
      </c>
      <c r="BA110" s="25"/>
      <c r="BB110" s="39"/>
      <c r="BC110" s="25"/>
      <c r="BD110" s="24"/>
      <c r="BE110" s="24"/>
      <c r="BF110" s="79"/>
      <c r="BG110" s="79"/>
      <c r="BH110" s="80"/>
      <c r="BI110" s="79"/>
      <c r="BJ110" s="54"/>
      <c r="BK110" s="78"/>
      <c r="BL110" s="69"/>
      <c r="BM110" s="78"/>
      <c r="BN110" s="78"/>
      <c r="BO110" s="78"/>
      <c r="BP110" s="78"/>
      <c r="BQ110" s="21">
        <f>YEAR([1]!BANCO10[[#This Row],[DATA INÍCIO]])</f>
        <v>2024</v>
      </c>
      <c r="BR110" s="21">
        <f>MONTH([1]!BANCO10[[#This Row],[DATA INÍCIO]])</f>
        <v>10</v>
      </c>
      <c r="BS110" s="21" t="e">
        <f>CONCATENATE(#REF!,#REF!)</f>
        <v>#REF!</v>
      </c>
      <c r="BT110" s="21"/>
      <c r="BU110" s="21"/>
      <c r="BV110" s="21" t="str">
        <f>IF([1]!BANCO10[[#This Row],[SOLUÇÃO]]=BV$1,[1]!BANCO10[[#This Row],[STATUS DA ETAPA]],"")</f>
        <v>CONCLUÍDO</v>
      </c>
      <c r="BW110" s="21" t="str">
        <f>IF([1]!BANCO10[[#This Row],[SOLUÇÃO]]=BW$1,[1]!BANCO10[[#This Row],[STATUS DA ETAPA]],"")</f>
        <v/>
      </c>
      <c r="BX110" s="21" t="str">
        <f>IF([1]!BANCO10[[#This Row],[SOLUÇÃO]]=BX$1,[1]!BANCO10[[#This Row],[STATUS DA ETAPA]],"")</f>
        <v/>
      </c>
      <c r="BY110" s="21" t="str">
        <f>IF([1]!BANCO10[[#This Row],[SOLUÇÃO]]=BY$1,[1]!BANCO10[[#This Row],[STATUS DA ETAPA]],"")</f>
        <v/>
      </c>
      <c r="BZ110" s="21" t="str">
        <f>IF([1]!BANCO10[[#This Row],[SOLUÇÃO]]=BZ$1,[1]!BANCO10[[#This Row],[STATUS DA ETAPA]],"")</f>
        <v/>
      </c>
      <c r="CA110" s="21" t="str">
        <f>IF([1]!BANCO10[[#This Row],[SOLUÇÃO]]=CA$1,[1]!BANCO10[[#This Row],[STATUS DA ETAPA]],"")</f>
        <v/>
      </c>
      <c r="CB110" s="21" t="str">
        <f>IF([1]!BANCO10[[#This Row],[SOLUÇÃO]]=CB$1,[1]!BANCO10[[#This Row],[STATUS DA ETAPA]],"")</f>
        <v/>
      </c>
      <c r="CC110" s="21" t="str">
        <f>IF([1]!BANCO10[[#This Row],[SOLUÇÃO]]=CC$1,[1]!BANCO10[[#This Row],[STATUS DA ETAPA]],"")</f>
        <v/>
      </c>
      <c r="CD110" s="21" t="str">
        <f>IF([1]!BANCO10[[#This Row],[SOLUÇÃO]]=CD$1,[1]!BANCO10[[#This Row],[STATUS DA ETAPA]],"")</f>
        <v/>
      </c>
      <c r="CE110" s="21" t="str">
        <f>IF([1]!BANCO10[[#This Row],[SOLUÇÃO]]=CE$1,[1]!BANCO10[[#This Row],[STATUS DA ETAPA]],"")</f>
        <v/>
      </c>
      <c r="CF110" s="21" t="str">
        <f>IF([1]!BANCO10[[#This Row],[SOLUÇÃO]]=CF$1,[1]!BANCO10[[#This Row],[STATUS DA ETAPA]],"")</f>
        <v/>
      </c>
      <c r="CG110" s="21" t="str">
        <f>IF([1]!BANCO10[[#This Row],[SOLUÇÃO]]=CG$1,[1]!BANCO10[[#This Row],[STATUS DA ETAPA]],"")</f>
        <v/>
      </c>
      <c r="CH110" s="21" t="str">
        <f>IF([1]!BANCO10[[#This Row],[SOLUÇÃO]]=CH$1,[1]!BANCO10[[#This Row],[STATUS DA ETAPA]],"")</f>
        <v/>
      </c>
      <c r="CI110" s="21" t="str">
        <f>IF([1]!BANCO10[[#This Row],[SOLUÇÃO]]=CI$1,[1]!BANCO10[[#This Row],[STATUS DA ETAPA]],"")</f>
        <v/>
      </c>
      <c r="CJ110" s="21" t="str">
        <f>IF([1]!BANCO10[[#This Row],[SOLUÇÃO]]=CJ$1,[1]!BANCO10[[#This Row],[STATUS DA ETAPA]],"")</f>
        <v/>
      </c>
      <c r="CK110" s="21" t="str">
        <f>IF([1]!BANCO10[[#This Row],[SOLUÇÃO]]=CK$1,[1]!BANCO10[[#This Row],[STATUS DA ETAPA]],"")</f>
        <v/>
      </c>
      <c r="CL110" s="22" t="str">
        <f>IF([1]!BANCO10[[#This Row],[SOLUÇÃO]]=CL$1,[1]!BANCO10[[#This Row],[STATUS DA ETAPA]],"")</f>
        <v/>
      </c>
      <c r="CM110" s="64" t="str">
        <f>IF([1]!BANCO10[[#This Row],[SOLUÇÃO]]=CM$1,[1]!BANCO10[[#This Row],[STATUS DA ETAPA]],"")</f>
        <v/>
      </c>
      <c r="CN110" s="64" t="str">
        <f>IF([1]!BANCO10[[#This Row],[SOLUÇÃO]]=CN$1,[1]!BANCO10[[#This Row],[STATUS DA ETAPA]],"")</f>
        <v/>
      </c>
      <c r="CO110" s="64" t="str">
        <f>IF([1]!BANCO10[[#This Row],[SOLUÇÃO]]=CO$1,[1]!BANCO10[[#This Row],[STATUS DA ETAPA]],"")</f>
        <v/>
      </c>
      <c r="CP110" s="64" t="str">
        <f>IF([1]!BANCO10[[#This Row],[SOLUÇÃO]]=CP$1,[1]!BANCO10[[#This Row],[STATUS DA ETAPA]],"")</f>
        <v/>
      </c>
      <c r="CQ110" s="64" t="str">
        <f>IF([1]!BANCO10[[#This Row],[SOLUÇÃO]]=CQ$1,[1]!BANCO10[[#This Row],[STATUS DA ETAPA]],"")</f>
        <v/>
      </c>
      <c r="CR110" s="64" t="str">
        <f>IF([1]!BANCO10[[#This Row],[SOLUÇÃO]]=CR$1,[1]!BANCO10[[#This Row],[STATUS DA ETAPA]],"")</f>
        <v/>
      </c>
      <c r="CS110" s="64" t="str">
        <f>IF([1]!BANCO10[[#This Row],[SOLUÇÃO]]=CS$1,[1]!BANCO10[[#This Row],[STATUS DA ETAPA]],"")</f>
        <v/>
      </c>
      <c r="CT110" s="64" t="str">
        <f>IF([1]!BANCO10[[#This Row],[SOLUÇÃO]]=CT$1,[1]!BANCO10[[#This Row],[STATUS DA ETAPA]],"")</f>
        <v/>
      </c>
      <c r="CU110" s="64" t="str">
        <f>IF([1]!BANCO10[[#This Row],[SOLUÇÃO]]=CU$1,[1]!BANCO10[[#This Row],[STATUS DA ETAPA]],"")</f>
        <v/>
      </c>
      <c r="CV110" s="64" t="str">
        <f>IF([1]!BANCO10[[#This Row],[SOLUÇÃO]]=CV$1,[1]!BANCO10[[#This Row],[STATUS DA ETAPA]],"")</f>
        <v/>
      </c>
    </row>
    <row r="111" spans="1:100">
      <c r="A111" s="44" t="s">
        <v>1</v>
      </c>
      <c r="B111" s="44"/>
      <c r="C111" s="44" t="s">
        <v>1</v>
      </c>
      <c r="D111" s="44"/>
      <c r="E111" s="44" t="s">
        <v>1</v>
      </c>
      <c r="F111" s="44"/>
      <c r="G111" s="44" t="s">
        <v>1</v>
      </c>
      <c r="H111" s="44"/>
      <c r="I111" s="45" t="s">
        <v>1</v>
      </c>
      <c r="J111" s="46"/>
      <c r="K111" s="45" t="s">
        <v>1</v>
      </c>
      <c r="L111" s="33"/>
      <c r="M111" s="45" t="s">
        <v>1</v>
      </c>
      <c r="N111" s="33"/>
      <c r="O111" s="44" t="s">
        <v>2</v>
      </c>
      <c r="P111" s="44">
        <v>45536</v>
      </c>
      <c r="Q111" s="44" t="s">
        <v>2</v>
      </c>
      <c r="R111" s="44">
        <v>45536</v>
      </c>
      <c r="S111" s="44" t="s">
        <v>2</v>
      </c>
      <c r="T111" s="44">
        <v>45567</v>
      </c>
      <c r="U111" s="44" t="s">
        <v>1</v>
      </c>
      <c r="V111" s="44"/>
      <c r="W111" s="44" t="s">
        <v>1</v>
      </c>
      <c r="X111" s="44"/>
      <c r="Y111" s="44" t="s">
        <v>1</v>
      </c>
      <c r="Z111" s="44"/>
      <c r="AA111" s="44" t="s">
        <v>1</v>
      </c>
      <c r="AB111" s="44"/>
      <c r="AC111" s="51">
        <v>45688</v>
      </c>
      <c r="AD111" s="50">
        <v>45800</v>
      </c>
      <c r="AE111" s="41" t="s">
        <v>2</v>
      </c>
      <c r="AF111" s="41" t="s">
        <v>2</v>
      </c>
      <c r="AG111" s="40" t="s">
        <v>5</v>
      </c>
      <c r="AH111" s="36" t="s">
        <v>0</v>
      </c>
      <c r="AI111" s="49">
        <v>0</v>
      </c>
      <c r="AJ111" s="36" t="s">
        <v>6</v>
      </c>
      <c r="AK111" s="10">
        <v>562881</v>
      </c>
      <c r="AL111" s="36" t="s">
        <v>1</v>
      </c>
      <c r="AM111" s="36" t="s">
        <v>1</v>
      </c>
      <c r="AN111" s="35" t="s">
        <v>2</v>
      </c>
      <c r="AO111" s="35" t="s">
        <v>2</v>
      </c>
      <c r="AP111" s="35" t="s">
        <v>2</v>
      </c>
      <c r="AQ111" s="35" t="s">
        <v>2</v>
      </c>
      <c r="AR111" s="34" t="s">
        <v>2</v>
      </c>
      <c r="AS111" s="33">
        <v>45811</v>
      </c>
      <c r="AT111" s="32" t="s">
        <v>1</v>
      </c>
      <c r="AU111" s="31"/>
      <c r="AV111" s="32" t="s">
        <v>1</v>
      </c>
      <c r="AW111" s="31"/>
      <c r="AX111" s="30" t="s">
        <v>2</v>
      </c>
      <c r="AY111" s="29">
        <v>45814</v>
      </c>
      <c r="AZ111" s="28" t="s">
        <v>0</v>
      </c>
      <c r="BA111" s="27"/>
      <c r="BB111" s="95" t="s">
        <v>143</v>
      </c>
      <c r="BC111" s="25" t="s">
        <v>771</v>
      </c>
      <c r="BD111" s="24"/>
      <c r="BE111" s="24"/>
      <c r="BF111" s="79"/>
      <c r="BG111" s="79"/>
      <c r="BH111" s="80"/>
      <c r="BI111" s="79"/>
      <c r="BJ111" s="54"/>
      <c r="BK111" s="78"/>
      <c r="BL111" s="69"/>
      <c r="BM111" s="78"/>
      <c r="BN111" s="78"/>
      <c r="BO111" s="78"/>
      <c r="BP111" s="78"/>
      <c r="BQ111" s="21">
        <f>YEAR([1]!BANCO10[[#This Row],[DATA INÍCIO]])</f>
        <v>2025</v>
      </c>
      <c r="BR111" s="21">
        <f>MONTH([1]!BANCO10[[#This Row],[DATA INÍCIO]])</f>
        <v>1</v>
      </c>
      <c r="BS111" s="21" t="e">
        <f>CONCATENATE(#REF!,#REF!)</f>
        <v>#REF!</v>
      </c>
      <c r="BT111" s="21"/>
      <c r="BU111" s="21"/>
      <c r="BV111" s="21" t="str">
        <f>IF([1]!BANCO10[[#This Row],[SOLUÇÃO]]=BV$1,[1]!BANCO10[[#This Row],[STATUS DA ETAPA]],"")</f>
        <v/>
      </c>
      <c r="BW111" s="21" t="str">
        <f>IF([1]!BANCO10[[#This Row],[SOLUÇÃO]]=BW$1,[1]!BANCO10[[#This Row],[STATUS DA ETAPA]],"")</f>
        <v/>
      </c>
      <c r="BX111" s="21" t="str">
        <f>IF([1]!BANCO10[[#This Row],[SOLUÇÃO]]=BX$1,[1]!BANCO10[[#This Row],[STATUS DA ETAPA]],"")</f>
        <v/>
      </c>
      <c r="BY111" s="21" t="str">
        <f>IF([1]!BANCO10[[#This Row],[SOLUÇÃO]]=BY$1,[1]!BANCO10[[#This Row],[STATUS DA ETAPA]],"")</f>
        <v/>
      </c>
      <c r="BZ111" s="21" t="str">
        <f>IF([1]!BANCO10[[#This Row],[SOLUÇÃO]]=BZ$1,[1]!BANCO10[[#This Row],[STATUS DA ETAPA]],"")</f>
        <v/>
      </c>
      <c r="CA111" s="21" t="str">
        <f>IF([1]!BANCO10[[#This Row],[SOLUÇÃO]]=CA$1,[1]!BANCO10[[#This Row],[STATUS DA ETAPA]],"")</f>
        <v/>
      </c>
      <c r="CB111" s="21" t="str">
        <f>IF([1]!BANCO10[[#This Row],[SOLUÇÃO]]=CB$1,[1]!BANCO10[[#This Row],[STATUS DA ETAPA]],"")</f>
        <v>CONCLUÍDO</v>
      </c>
      <c r="CC111" s="21" t="str">
        <f>IF([1]!BANCO10[[#This Row],[SOLUÇÃO]]=CC$1,[1]!BANCO10[[#This Row],[STATUS DA ETAPA]],"")</f>
        <v/>
      </c>
      <c r="CD111" s="21" t="str">
        <f>IF([1]!BANCO10[[#This Row],[SOLUÇÃO]]=CD$1,[1]!BANCO10[[#This Row],[STATUS DA ETAPA]],"")</f>
        <v/>
      </c>
      <c r="CE111" s="21" t="str">
        <f>IF([1]!BANCO10[[#This Row],[SOLUÇÃO]]=CE$1,[1]!BANCO10[[#This Row],[STATUS DA ETAPA]],"")</f>
        <v/>
      </c>
      <c r="CF111" s="21" t="str">
        <f>IF([1]!BANCO10[[#This Row],[SOLUÇÃO]]=CF$1,[1]!BANCO10[[#This Row],[STATUS DA ETAPA]],"")</f>
        <v/>
      </c>
      <c r="CG111" s="21" t="str">
        <f>IF([1]!BANCO10[[#This Row],[SOLUÇÃO]]=CG$1,[1]!BANCO10[[#This Row],[STATUS DA ETAPA]],"")</f>
        <v/>
      </c>
      <c r="CH111" s="21" t="str">
        <f>IF([1]!BANCO10[[#This Row],[SOLUÇÃO]]=CH$1,[1]!BANCO10[[#This Row],[STATUS DA ETAPA]],"")</f>
        <v/>
      </c>
      <c r="CI111" s="21" t="str">
        <f>IF([1]!BANCO10[[#This Row],[SOLUÇÃO]]=CI$1,[1]!BANCO10[[#This Row],[STATUS DA ETAPA]],"")</f>
        <v/>
      </c>
      <c r="CJ111" s="21" t="str">
        <f>IF([1]!BANCO10[[#This Row],[SOLUÇÃO]]=CJ$1,[1]!BANCO10[[#This Row],[STATUS DA ETAPA]],"")</f>
        <v/>
      </c>
      <c r="CK111" s="21" t="str">
        <f>IF([1]!BANCO10[[#This Row],[SOLUÇÃO]]=CK$1,[1]!BANCO10[[#This Row],[STATUS DA ETAPA]],"")</f>
        <v/>
      </c>
      <c r="CL111" s="22" t="str">
        <f>IF([1]!BANCO10[[#This Row],[SOLUÇÃO]]=CL$1,[1]!BANCO10[[#This Row],[STATUS DA ETAPA]],"")</f>
        <v/>
      </c>
      <c r="CM111" s="64" t="str">
        <f>IF([1]!BANCO10[[#This Row],[SOLUÇÃO]]=CM$1,[1]!BANCO10[[#This Row],[STATUS DA ETAPA]],"")</f>
        <v/>
      </c>
      <c r="CN111" s="64" t="str">
        <f>IF([1]!BANCO10[[#This Row],[SOLUÇÃO]]=CN$1,[1]!BANCO10[[#This Row],[STATUS DA ETAPA]],"")</f>
        <v/>
      </c>
      <c r="CO111" s="64" t="str">
        <f>IF([1]!BANCO10[[#This Row],[SOLUÇÃO]]=CO$1,[1]!BANCO10[[#This Row],[STATUS DA ETAPA]],"")</f>
        <v/>
      </c>
      <c r="CP111" s="64" t="str">
        <f>IF([1]!BANCO10[[#This Row],[SOLUÇÃO]]=CP$1,[1]!BANCO10[[#This Row],[STATUS DA ETAPA]],"")</f>
        <v/>
      </c>
      <c r="CQ111" s="64" t="str">
        <f>IF([1]!BANCO10[[#This Row],[SOLUÇÃO]]=CQ$1,[1]!BANCO10[[#This Row],[STATUS DA ETAPA]],"")</f>
        <v/>
      </c>
      <c r="CR111" s="64" t="str">
        <f>IF([1]!BANCO10[[#This Row],[SOLUÇÃO]]=CR$1,[1]!BANCO10[[#This Row],[STATUS DA ETAPA]],"")</f>
        <v/>
      </c>
      <c r="CS111" s="64" t="str">
        <f>IF([1]!BANCO10[[#This Row],[SOLUÇÃO]]=CS$1,[1]!BANCO10[[#This Row],[STATUS DA ETAPA]],"")</f>
        <v/>
      </c>
      <c r="CT111" s="64" t="str">
        <f>IF([1]!BANCO10[[#This Row],[SOLUÇÃO]]=CT$1,[1]!BANCO10[[#This Row],[STATUS DA ETAPA]],"")</f>
        <v/>
      </c>
      <c r="CU111" s="64" t="str">
        <f>IF([1]!BANCO10[[#This Row],[SOLUÇÃO]]=CU$1,[1]!BANCO10[[#This Row],[STATUS DA ETAPA]],"")</f>
        <v/>
      </c>
      <c r="CV111" s="64" t="str">
        <f>IF([1]!BANCO10[[#This Row],[SOLUÇÃO]]=CV$1,[1]!BANCO10[[#This Row],[STATUS DA ETAPA]],"")</f>
        <v/>
      </c>
    </row>
    <row r="112" spans="1:100">
      <c r="A112" s="44" t="s">
        <v>1</v>
      </c>
      <c r="B112" s="44"/>
      <c r="C112" s="44" t="s">
        <v>1</v>
      </c>
      <c r="D112" s="44"/>
      <c r="E112" s="44" t="s">
        <v>1</v>
      </c>
      <c r="F112" s="44"/>
      <c r="G112" s="44" t="s">
        <v>1</v>
      </c>
      <c r="H112" s="44"/>
      <c r="I112" s="45" t="s">
        <v>1</v>
      </c>
      <c r="J112" s="46"/>
      <c r="K112" s="45" t="s">
        <v>1</v>
      </c>
      <c r="L112" s="33"/>
      <c r="M112" s="45" t="s">
        <v>1</v>
      </c>
      <c r="N112" s="33"/>
      <c r="O112" s="44" t="s">
        <v>1</v>
      </c>
      <c r="P112" s="44"/>
      <c r="Q112" s="44" t="s">
        <v>1</v>
      </c>
      <c r="R112" s="44"/>
      <c r="S112" s="44" t="s">
        <v>1</v>
      </c>
      <c r="T112" s="44"/>
      <c r="U112" s="44" t="s">
        <v>1</v>
      </c>
      <c r="V112" s="44"/>
      <c r="W112" s="44" t="s">
        <v>1</v>
      </c>
      <c r="X112" s="44"/>
      <c r="Y112" s="44" t="s">
        <v>1</v>
      </c>
      <c r="Z112" s="44"/>
      <c r="AA112" s="44" t="s">
        <v>1</v>
      </c>
      <c r="AB112" s="44"/>
      <c r="AC112" s="51">
        <v>45807</v>
      </c>
      <c r="AD112" s="50">
        <v>45807</v>
      </c>
      <c r="AE112" s="41" t="s">
        <v>1</v>
      </c>
      <c r="AF112" s="41" t="s">
        <v>1</v>
      </c>
      <c r="AG112" s="40" t="s">
        <v>4</v>
      </c>
      <c r="AH112" s="36" t="s">
        <v>0</v>
      </c>
      <c r="AI112" s="49">
        <v>0</v>
      </c>
      <c r="AJ112" s="36" t="s">
        <v>1</v>
      </c>
      <c r="AK112" s="10" t="s">
        <v>1</v>
      </c>
      <c r="AL112" s="36" t="s">
        <v>1</v>
      </c>
      <c r="AM112" s="36" t="s">
        <v>1</v>
      </c>
      <c r="AN112" s="35" t="s">
        <v>1</v>
      </c>
      <c r="AO112" s="35" t="s">
        <v>1</v>
      </c>
      <c r="AP112" s="35" t="s">
        <v>1</v>
      </c>
      <c r="AQ112" s="35" t="s">
        <v>2</v>
      </c>
      <c r="AR112" s="34" t="s">
        <v>0</v>
      </c>
      <c r="AS112" s="33"/>
      <c r="AT112" s="30" t="s">
        <v>0</v>
      </c>
      <c r="AU112" s="31"/>
      <c r="AV112" s="30" t="s">
        <v>0</v>
      </c>
      <c r="AW112" s="31"/>
      <c r="AX112" s="30" t="s">
        <v>0</v>
      </c>
      <c r="AY112" s="29"/>
      <c r="AZ112" s="28" t="s">
        <v>0</v>
      </c>
      <c r="BA112" s="27"/>
      <c r="BB112" s="26"/>
      <c r="BC112" s="25"/>
      <c r="BD112" s="24"/>
      <c r="BE112" s="24"/>
      <c r="BF112" s="24"/>
      <c r="BG112" s="24"/>
      <c r="BH112" s="24"/>
      <c r="BI112" s="24"/>
      <c r="BJ112" s="24"/>
      <c r="BK112" s="24"/>
      <c r="BL112" s="24"/>
      <c r="BM112" s="24"/>
      <c r="BN112" s="24"/>
      <c r="BO112" s="24"/>
      <c r="BP112" s="24"/>
      <c r="BQ112" s="22">
        <f>YEAR([1]!BANCO10[[#This Row],[DATA INÍCIO]])</f>
        <v>2025</v>
      </c>
      <c r="BR112" s="22">
        <f>MONTH([1]!BANCO10[[#This Row],[DATA INÍCIO]])</f>
        <v>5</v>
      </c>
      <c r="BS112" s="23" t="e">
        <f>CONCATENATE(#REF!,#REF!)</f>
        <v>#REF!</v>
      </c>
      <c r="BT112" s="22"/>
      <c r="BU112" s="22"/>
      <c r="BV112" s="21" t="str">
        <f>IF([1]!BANCO10[[#This Row],[SOLUÇÃO]]=BV$1,[1]!BANCO10[[#This Row],[STATUS DA ETAPA]],"")</f>
        <v/>
      </c>
      <c r="BW112" s="21" t="str">
        <f>IF([1]!BANCO10[[#This Row],[SOLUÇÃO]]=BW$1,[1]!BANCO10[[#This Row],[STATUS DA ETAPA]],"")</f>
        <v/>
      </c>
      <c r="BX112" s="21" t="str">
        <f>IF([1]!BANCO10[[#This Row],[SOLUÇÃO]]=BX$1,[1]!BANCO10[[#This Row],[STATUS DA ETAPA]],"")</f>
        <v/>
      </c>
      <c r="BY112" s="21" t="str">
        <f>IF([1]!BANCO10[[#This Row],[SOLUÇÃO]]=BY$1,[1]!BANCO10[[#This Row],[STATUS DA ETAPA]],"")</f>
        <v/>
      </c>
      <c r="BZ112" s="21" t="str">
        <f>IF([1]!BANCO10[[#This Row],[SOLUÇÃO]]=BZ$1,[1]!BANCO10[[#This Row],[STATUS DA ETAPA]],"")</f>
        <v/>
      </c>
      <c r="CA112" s="21" t="str">
        <f>IF([1]!BANCO10[[#This Row],[SOLUÇÃO]]=CA$1,[1]!BANCO10[[#This Row],[STATUS DA ETAPA]],"")</f>
        <v/>
      </c>
      <c r="CB112" s="21" t="str">
        <f>IF([1]!BANCO10[[#This Row],[SOLUÇÃO]]=CB$1,[1]!BANCO10[[#This Row],[STATUS DA ETAPA]],"")</f>
        <v/>
      </c>
      <c r="CC112" s="21" t="str">
        <f>IF([1]!BANCO10[[#This Row],[SOLUÇÃO]]=CC$1,[1]!BANCO10[[#This Row],[STATUS DA ETAPA]],"")</f>
        <v/>
      </c>
      <c r="CD112" s="21" t="str">
        <f>IF([1]!BANCO10[[#This Row],[SOLUÇÃO]]=CD$1,[1]!BANCO10[[#This Row],[STATUS DA ETAPA]],"")</f>
        <v/>
      </c>
      <c r="CE112" s="21" t="str">
        <f>IF([1]!BANCO10[[#This Row],[SOLUÇÃO]]=CE$1,[1]!BANCO10[[#This Row],[STATUS DA ETAPA]],"")</f>
        <v/>
      </c>
      <c r="CF112" s="21" t="str">
        <f>IF([1]!BANCO10[[#This Row],[SOLUÇÃO]]=CF$1,[1]!BANCO10[[#This Row],[STATUS DA ETAPA]],"")</f>
        <v/>
      </c>
      <c r="CG112" s="21" t="str">
        <f>IF([1]!BANCO10[[#This Row],[SOLUÇÃO]]=CG$1,[1]!BANCO10[[#This Row],[STATUS DA ETAPA]],"")</f>
        <v/>
      </c>
      <c r="CH112" s="21" t="str">
        <f>IF([1]!BANCO10[[#This Row],[SOLUÇÃO]]=CH$1,[1]!BANCO10[[#This Row],[STATUS DA ETAPA]],"")</f>
        <v/>
      </c>
      <c r="CI112" s="21" t="str">
        <f>IF([1]!BANCO10[[#This Row],[SOLUÇÃO]]=CI$1,[1]!BANCO10[[#This Row],[STATUS DA ETAPA]],"")</f>
        <v/>
      </c>
      <c r="CJ112" s="21" t="str">
        <f>IF([1]!BANCO10[[#This Row],[SOLUÇÃO]]=CJ$1,[1]!BANCO10[[#This Row],[STATUS DA ETAPA]],"")</f>
        <v/>
      </c>
      <c r="CK112" s="21" t="str">
        <f>IF([1]!BANCO10[[#This Row],[SOLUÇÃO]]=CK$1,[1]!BANCO10[[#This Row],[STATUS DA ETAPA]],"")</f>
        <v/>
      </c>
      <c r="CL112" s="21" t="str">
        <f>IF([1]!BANCO10[[#This Row],[SOLUÇÃO]]=CL$1,[1]!BANCO10[[#This Row],[STATUS DA ETAPA]],"")</f>
        <v/>
      </c>
      <c r="CM112" s="21" t="str">
        <f>IF([1]!BANCO10[[#This Row],[SOLUÇÃO]]=CM$1,[1]!BANCO10[[#This Row],[STATUS DA ETAPA]],"")</f>
        <v/>
      </c>
      <c r="CN112" s="21" t="str">
        <f>IF([1]!BANCO10[[#This Row],[SOLUÇÃO]]=CN$1,[1]!BANCO10[[#This Row],[STATUS DA ETAPA]],"")</f>
        <v/>
      </c>
      <c r="CO112" s="21" t="str">
        <f>IF([1]!BANCO10[[#This Row],[SOLUÇÃO]]=CO$1,[1]!BANCO10[[#This Row],[STATUS DA ETAPA]],"")</f>
        <v/>
      </c>
      <c r="CP112" s="21" t="str">
        <f>IF([1]!BANCO10[[#This Row],[SOLUÇÃO]]=CP$1,[1]!BANCO10[[#This Row],[STATUS DA ETAPA]],"")</f>
        <v/>
      </c>
      <c r="CQ112" s="21" t="str">
        <f>IF([1]!BANCO10[[#This Row],[SOLUÇÃO]]=CQ$1,[1]!BANCO10[[#This Row],[STATUS DA ETAPA]],"")</f>
        <v/>
      </c>
      <c r="CR112" s="21" t="str">
        <f>IF([1]!BANCO10[[#This Row],[SOLUÇÃO]]=CR$1,[1]!BANCO10[[#This Row],[STATUS DA ETAPA]],"")</f>
        <v/>
      </c>
      <c r="CS112" s="21" t="str">
        <f>IF([1]!BANCO10[[#This Row],[SOLUÇÃO]]=CS$1,[1]!BANCO10[[#This Row],[STATUS DA ETAPA]],"")</f>
        <v/>
      </c>
      <c r="CT112" s="21" t="str">
        <f>IF([1]!BANCO10[[#This Row],[SOLUÇÃO]]=CT$1,[1]!BANCO10[[#This Row],[STATUS DA ETAPA]],"")</f>
        <v/>
      </c>
      <c r="CU112" s="21" t="str">
        <f>IF([1]!BANCO10[[#This Row],[SOLUÇÃO]]=CU$1,[1]!BANCO10[[#This Row],[STATUS DA ETAPA]],"")</f>
        <v/>
      </c>
      <c r="CV112" s="21" t="str">
        <f>IF([1]!BANCO10[[#This Row],[SOLUÇÃO]]=CV$1,[1]!BANCO10[[#This Row],[STATUS DA ETAPA]],"")</f>
        <v/>
      </c>
    </row>
    <row r="113" spans="1:100">
      <c r="A113" s="44" t="s">
        <v>1</v>
      </c>
      <c r="B113" s="44"/>
      <c r="C113" s="44" t="s">
        <v>1</v>
      </c>
      <c r="D113" s="44"/>
      <c r="E113" s="44" t="s">
        <v>1</v>
      </c>
      <c r="F113" s="44"/>
      <c r="G113" s="44" t="s">
        <v>1</v>
      </c>
      <c r="H113" s="44"/>
      <c r="I113" s="45" t="s">
        <v>1</v>
      </c>
      <c r="J113" s="46"/>
      <c r="K113" s="45" t="s">
        <v>1</v>
      </c>
      <c r="L113" s="33"/>
      <c r="M113" s="45" t="s">
        <v>1</v>
      </c>
      <c r="N113" s="33"/>
      <c r="O113" s="44" t="s">
        <v>2</v>
      </c>
      <c r="P113" s="44">
        <v>45148</v>
      </c>
      <c r="Q113" s="44" t="s">
        <v>0</v>
      </c>
      <c r="R113" s="44"/>
      <c r="S113" s="44" t="s">
        <v>1</v>
      </c>
      <c r="T113" s="44"/>
      <c r="U113" s="44" t="s">
        <v>1</v>
      </c>
      <c r="V113" s="44"/>
      <c r="W113" s="44" t="s">
        <v>1</v>
      </c>
      <c r="X113" s="44"/>
      <c r="Y113" s="44" t="s">
        <v>1</v>
      </c>
      <c r="Z113" s="44"/>
      <c r="AA113" s="44" t="s">
        <v>1</v>
      </c>
      <c r="AB113" s="44"/>
      <c r="AC113" s="51">
        <v>45148</v>
      </c>
      <c r="AD113" s="83">
        <v>45148</v>
      </c>
      <c r="AE113" s="40" t="s">
        <v>1</v>
      </c>
      <c r="AF113" s="40" t="s">
        <v>1</v>
      </c>
      <c r="AG113" s="76" t="s">
        <v>5</v>
      </c>
      <c r="AH113" s="36" t="s">
        <v>1</v>
      </c>
      <c r="AI113" s="49">
        <v>0</v>
      </c>
      <c r="AJ113" s="36" t="s">
        <v>1</v>
      </c>
      <c r="AK113" s="10" t="s">
        <v>1</v>
      </c>
      <c r="AL113" s="36" t="s">
        <v>1</v>
      </c>
      <c r="AM113" s="36" t="s">
        <v>1</v>
      </c>
      <c r="AN113" s="35" t="s">
        <v>1</v>
      </c>
      <c r="AO113" s="35" t="s">
        <v>1</v>
      </c>
      <c r="AP113" s="35" t="s">
        <v>1</v>
      </c>
      <c r="AQ113" s="35" t="s">
        <v>1</v>
      </c>
      <c r="AR113" s="82" t="s">
        <v>1</v>
      </c>
      <c r="AS113" s="33"/>
      <c r="AT113" s="32" t="s">
        <v>1</v>
      </c>
      <c r="AU113" s="31"/>
      <c r="AV113" s="32" t="s">
        <v>1</v>
      </c>
      <c r="AW113" s="31"/>
      <c r="AX113" s="30" t="s">
        <v>1</v>
      </c>
      <c r="AY113" s="55"/>
      <c r="AZ113" s="30" t="s">
        <v>1</v>
      </c>
      <c r="BA113" s="55"/>
      <c r="BB113" s="74"/>
      <c r="BC113" s="25"/>
      <c r="BD113" s="24" t="s">
        <v>19</v>
      </c>
      <c r="BE113" s="24" t="s">
        <v>19</v>
      </c>
      <c r="BF113" s="24" t="s">
        <v>51</v>
      </c>
      <c r="BG113" s="24" t="s">
        <v>11</v>
      </c>
      <c r="BH113" s="130" t="s">
        <v>770</v>
      </c>
      <c r="BI113" s="24"/>
      <c r="BJ113" s="24" t="s">
        <v>11</v>
      </c>
      <c r="BK113" s="24" t="s">
        <v>11</v>
      </c>
      <c r="BL113" s="24" t="s">
        <v>11</v>
      </c>
      <c r="BM113" s="24" t="s">
        <v>11</v>
      </c>
      <c r="BN113" s="24" t="s">
        <v>11</v>
      </c>
      <c r="BO113" s="24" t="s">
        <v>11</v>
      </c>
      <c r="BP113" s="24" t="s">
        <v>11</v>
      </c>
      <c r="BQ113" s="22">
        <f>YEAR([1]!BANCO10[[#This Row],[DATA INÍCIO]])</f>
        <v>2023</v>
      </c>
      <c r="BR113" s="22">
        <f>MONTH([1]!BANCO10[[#This Row],[DATA INÍCIO]])</f>
        <v>8</v>
      </c>
      <c r="BS113" s="129" t="e">
        <f>CONCATENATE(#REF!,#REF!)</f>
        <v>#REF!</v>
      </c>
      <c r="BT113" s="22"/>
      <c r="BU113" s="21" t="s">
        <v>769</v>
      </c>
      <c r="BV113" s="21" t="str">
        <f>IF([1]!BANCO10[[#This Row],[SOLUÇÃO]]=BV$1,[1]!BANCO10[[#This Row],[STATUS DA ETAPA]],"")</f>
        <v>CONCLUÍDO</v>
      </c>
      <c r="BW113" s="21" t="str">
        <f>IF([1]!BANCO10[[#This Row],[SOLUÇÃO]]=BW$1,[1]!BANCO10[[#This Row],[STATUS DA ETAPA]],"")</f>
        <v/>
      </c>
      <c r="BX113" s="21" t="str">
        <f>IF([1]!BANCO10[[#This Row],[SOLUÇÃO]]=BX$1,[1]!BANCO10[[#This Row],[STATUS DA ETAPA]],"")</f>
        <v/>
      </c>
      <c r="BY113" s="21" t="str">
        <f>IF([1]!BANCO10[[#This Row],[SOLUÇÃO]]=BY$1,[1]!BANCO10[[#This Row],[STATUS DA ETAPA]],"")</f>
        <v/>
      </c>
      <c r="BZ113" s="21" t="str">
        <f>IF([1]!BANCO10[[#This Row],[SOLUÇÃO]]=BZ$1,[1]!BANCO10[[#This Row],[STATUS DA ETAPA]],"")</f>
        <v/>
      </c>
      <c r="CA113" s="21" t="str">
        <f>IF([1]!BANCO10[[#This Row],[SOLUÇÃO]]=CA$1,[1]!BANCO10[[#This Row],[STATUS DA ETAPA]],"")</f>
        <v/>
      </c>
      <c r="CB113" s="21" t="str">
        <f>IF([1]!BANCO10[[#This Row],[SOLUÇÃO]]=CB$1,[1]!BANCO10[[#This Row],[STATUS DA ETAPA]],"")</f>
        <v/>
      </c>
      <c r="CC113" s="21" t="str">
        <f>IF([1]!BANCO10[[#This Row],[SOLUÇÃO]]=CC$1,[1]!BANCO10[[#This Row],[STATUS DA ETAPA]],"")</f>
        <v/>
      </c>
      <c r="CD113" s="21" t="str">
        <f>IF([1]!BANCO10[[#This Row],[SOLUÇÃO]]=CD$1,[1]!BANCO10[[#This Row],[STATUS DA ETAPA]],"")</f>
        <v/>
      </c>
      <c r="CE113" s="21" t="str">
        <f>IF([1]!BANCO10[[#This Row],[SOLUÇÃO]]=CE$1,[1]!BANCO10[[#This Row],[STATUS DA ETAPA]],"")</f>
        <v/>
      </c>
      <c r="CF113" s="21" t="str">
        <f>IF([1]!BANCO10[[#This Row],[SOLUÇÃO]]=CF$1,[1]!BANCO10[[#This Row],[STATUS DA ETAPA]],"")</f>
        <v/>
      </c>
      <c r="CG113" s="21" t="str">
        <f>IF([1]!BANCO10[[#This Row],[SOLUÇÃO]]=CG$1,[1]!BANCO10[[#This Row],[STATUS DA ETAPA]],"")</f>
        <v/>
      </c>
      <c r="CH113" s="21" t="str">
        <f>IF([1]!BANCO10[[#This Row],[SOLUÇÃO]]=CH$1,[1]!BANCO10[[#This Row],[STATUS DA ETAPA]],"")</f>
        <v/>
      </c>
      <c r="CI113" s="21" t="str">
        <f>IF([1]!BANCO10[[#This Row],[SOLUÇÃO]]=CI$1,[1]!BANCO10[[#This Row],[STATUS DA ETAPA]],"")</f>
        <v/>
      </c>
      <c r="CJ113" s="21" t="str">
        <f>IF([1]!BANCO10[[#This Row],[SOLUÇÃO]]=CJ$1,[1]!BANCO10[[#This Row],[STATUS DA ETAPA]],"")</f>
        <v/>
      </c>
      <c r="CK113" s="21" t="str">
        <f>IF([1]!BANCO10[[#This Row],[SOLUÇÃO]]=CK$1,[1]!BANCO10[[#This Row],[STATUS DA ETAPA]],"")</f>
        <v/>
      </c>
      <c r="CL113" s="21" t="str">
        <f>IF([1]!BANCO10[[#This Row],[SOLUÇÃO]]=CL$1,[1]!BANCO10[[#This Row],[STATUS DA ETAPA]],"")</f>
        <v/>
      </c>
      <c r="CM113" s="21" t="str">
        <f>IF([1]!BANCO10[[#This Row],[SOLUÇÃO]]=CM$1,[1]!BANCO10[[#This Row],[STATUS DA ETAPA]],"")</f>
        <v/>
      </c>
      <c r="CN113" s="21" t="str">
        <f>IF([1]!BANCO10[[#This Row],[SOLUÇÃO]]=CN$1,[1]!BANCO10[[#This Row],[STATUS DA ETAPA]],"")</f>
        <v/>
      </c>
      <c r="CO113" s="21" t="str">
        <f>IF([1]!BANCO10[[#This Row],[SOLUÇÃO]]=CO$1,[1]!BANCO10[[#This Row],[STATUS DA ETAPA]],"")</f>
        <v/>
      </c>
      <c r="CP113" s="21" t="str">
        <f>IF([1]!BANCO10[[#This Row],[SOLUÇÃO]]=CP$1,[1]!BANCO10[[#This Row],[STATUS DA ETAPA]],"")</f>
        <v/>
      </c>
      <c r="CQ113" s="21" t="str">
        <f>IF([1]!BANCO10[[#This Row],[SOLUÇÃO]]=CQ$1,[1]!BANCO10[[#This Row],[STATUS DA ETAPA]],"")</f>
        <v/>
      </c>
      <c r="CR113" s="21" t="str">
        <f>IF([1]!BANCO10[[#This Row],[SOLUÇÃO]]=CR$1,[1]!BANCO10[[#This Row],[STATUS DA ETAPA]],"")</f>
        <v/>
      </c>
      <c r="CS113" s="21" t="str">
        <f>IF([1]!BANCO10[[#This Row],[SOLUÇÃO]]=CS$1,[1]!BANCO10[[#This Row],[STATUS DA ETAPA]],"")</f>
        <v/>
      </c>
      <c r="CT113" s="21" t="str">
        <f>IF([1]!BANCO10[[#This Row],[SOLUÇÃO]]=CT$1,[1]!BANCO10[[#This Row],[STATUS DA ETAPA]],"")</f>
        <v/>
      </c>
      <c r="CU113" s="21" t="str">
        <f>IF([1]!BANCO10[[#This Row],[SOLUÇÃO]]=CU$1,[1]!BANCO10[[#This Row],[STATUS DA ETAPA]],"")</f>
        <v/>
      </c>
      <c r="CV113" s="21" t="str">
        <f>IF([1]!BANCO10[[#This Row],[SOLUÇÃO]]=CV$1,[1]!BANCO10[[#This Row],[STATUS DA ETAPA]],"")</f>
        <v/>
      </c>
    </row>
    <row r="114" spans="1:100">
      <c r="A114" s="44" t="s">
        <v>1</v>
      </c>
      <c r="B114" s="44"/>
      <c r="C114" s="44" t="s">
        <v>1</v>
      </c>
      <c r="D114" s="44"/>
      <c r="E114" s="44" t="s">
        <v>1</v>
      </c>
      <c r="F114" s="44"/>
      <c r="G114" s="44" t="s">
        <v>1</v>
      </c>
      <c r="H114" s="44"/>
      <c r="I114" s="45" t="s">
        <v>1</v>
      </c>
      <c r="J114" s="46"/>
      <c r="K114" s="45" t="s">
        <v>1</v>
      </c>
      <c r="L114" s="33"/>
      <c r="M114" s="45" t="s">
        <v>1</v>
      </c>
      <c r="N114" s="33"/>
      <c r="O114" s="44" t="s">
        <v>1</v>
      </c>
      <c r="P114" s="44"/>
      <c r="Q114" s="44" t="s">
        <v>1</v>
      </c>
      <c r="R114" s="44"/>
      <c r="S114" s="44" t="s">
        <v>1</v>
      </c>
      <c r="T114" s="44"/>
      <c r="U114" s="44" t="s">
        <v>1</v>
      </c>
      <c r="V114" s="44"/>
      <c r="W114" s="44" t="s">
        <v>1</v>
      </c>
      <c r="X114" s="44"/>
      <c r="Y114" s="44" t="s">
        <v>1</v>
      </c>
      <c r="Z114" s="44"/>
      <c r="AA114" s="44" t="s">
        <v>1</v>
      </c>
      <c r="AB114" s="44"/>
      <c r="AC114" s="51">
        <v>45408</v>
      </c>
      <c r="AD114" s="83">
        <v>45408</v>
      </c>
      <c r="AE114" s="41" t="s">
        <v>1</v>
      </c>
      <c r="AF114" s="41" t="s">
        <v>1</v>
      </c>
      <c r="AG114" s="40" t="s">
        <v>5</v>
      </c>
      <c r="AH114" s="36" t="s">
        <v>1</v>
      </c>
      <c r="AI114" s="49">
        <v>0</v>
      </c>
      <c r="AJ114" s="36" t="s">
        <v>1</v>
      </c>
      <c r="AK114" s="10" t="s">
        <v>1</v>
      </c>
      <c r="AL114" s="36" t="s">
        <v>1</v>
      </c>
      <c r="AM114" s="36" t="s">
        <v>1</v>
      </c>
      <c r="AN114" s="35" t="s">
        <v>1</v>
      </c>
      <c r="AO114" s="35" t="s">
        <v>1</v>
      </c>
      <c r="AP114" s="35" t="s">
        <v>1</v>
      </c>
      <c r="AQ114" s="35" t="s">
        <v>1</v>
      </c>
      <c r="AR114" s="82" t="s">
        <v>1</v>
      </c>
      <c r="AS114" s="33"/>
      <c r="AT114" s="30"/>
      <c r="AU114" s="55"/>
      <c r="AV114" s="30"/>
      <c r="AW114" s="55"/>
      <c r="AX114" s="30" t="s">
        <v>1</v>
      </c>
      <c r="AY114" s="55"/>
      <c r="AZ114" s="30" t="s">
        <v>1</v>
      </c>
      <c r="BA114" s="55"/>
      <c r="BB114" s="74"/>
      <c r="BC114" s="25" t="s">
        <v>41</v>
      </c>
      <c r="BD114" s="24"/>
      <c r="BE114" s="24"/>
      <c r="BF114" s="24"/>
      <c r="BG114" s="24"/>
      <c r="BH114" s="130"/>
      <c r="BI114" s="24"/>
      <c r="BJ114" s="24"/>
      <c r="BK114" s="24"/>
      <c r="BL114" s="24"/>
      <c r="BM114" s="24"/>
      <c r="BN114" s="24"/>
      <c r="BO114" s="24"/>
      <c r="BP114" s="24"/>
      <c r="BQ114" s="22">
        <f>YEAR([1]!BANCO10[[#This Row],[DATA INÍCIO]])</f>
        <v>2024</v>
      </c>
      <c r="BR114" s="22">
        <f>MONTH([1]!BANCO10[[#This Row],[DATA INÍCIO]])</f>
        <v>4</v>
      </c>
      <c r="BS114" s="129" t="e">
        <f>CONCATENATE(#REF!,#REF!)</f>
        <v>#REF!</v>
      </c>
      <c r="BT114" s="22"/>
      <c r="BU114" s="21" t="s">
        <v>768</v>
      </c>
      <c r="BV114" s="21" t="str">
        <f>IF([1]!BANCO10[[#This Row],[SOLUÇÃO]]=BV$1,[1]!BANCO10[[#This Row],[STATUS DA ETAPA]],"")</f>
        <v>CONCLUÍDO</v>
      </c>
      <c r="BW114" s="21" t="str">
        <f>IF([1]!BANCO10[[#This Row],[SOLUÇÃO]]=BW$1,[1]!BANCO10[[#This Row],[STATUS DA ETAPA]],"")</f>
        <v/>
      </c>
      <c r="BX114" s="21" t="str">
        <f>IF([1]!BANCO10[[#This Row],[SOLUÇÃO]]=BX$1,[1]!BANCO10[[#This Row],[STATUS DA ETAPA]],"")</f>
        <v/>
      </c>
      <c r="BY114" s="21" t="str">
        <f>IF([1]!BANCO10[[#This Row],[SOLUÇÃO]]=BY$1,[1]!BANCO10[[#This Row],[STATUS DA ETAPA]],"")</f>
        <v/>
      </c>
      <c r="BZ114" s="21" t="str">
        <f>IF([1]!BANCO10[[#This Row],[SOLUÇÃO]]=BZ$1,[1]!BANCO10[[#This Row],[STATUS DA ETAPA]],"")</f>
        <v/>
      </c>
      <c r="CA114" s="21" t="str">
        <f>IF([1]!BANCO10[[#This Row],[SOLUÇÃO]]=CA$1,[1]!BANCO10[[#This Row],[STATUS DA ETAPA]],"")</f>
        <v/>
      </c>
      <c r="CB114" s="21" t="str">
        <f>IF([1]!BANCO10[[#This Row],[SOLUÇÃO]]=CB$1,[1]!BANCO10[[#This Row],[STATUS DA ETAPA]],"")</f>
        <v/>
      </c>
      <c r="CC114" s="21" t="str">
        <f>IF([1]!BANCO10[[#This Row],[SOLUÇÃO]]=CC$1,[1]!BANCO10[[#This Row],[STATUS DA ETAPA]],"")</f>
        <v/>
      </c>
      <c r="CD114" s="21" t="str">
        <f>IF([1]!BANCO10[[#This Row],[SOLUÇÃO]]=CD$1,[1]!BANCO10[[#This Row],[STATUS DA ETAPA]],"")</f>
        <v/>
      </c>
      <c r="CE114" s="21" t="str">
        <f>IF([1]!BANCO10[[#This Row],[SOLUÇÃO]]=CE$1,[1]!BANCO10[[#This Row],[STATUS DA ETAPA]],"")</f>
        <v/>
      </c>
      <c r="CF114" s="21" t="str">
        <f>IF([1]!BANCO10[[#This Row],[SOLUÇÃO]]=CF$1,[1]!BANCO10[[#This Row],[STATUS DA ETAPA]],"")</f>
        <v/>
      </c>
      <c r="CG114" s="21" t="str">
        <f>IF([1]!BANCO10[[#This Row],[SOLUÇÃO]]=CG$1,[1]!BANCO10[[#This Row],[STATUS DA ETAPA]],"")</f>
        <v/>
      </c>
      <c r="CH114" s="21" t="str">
        <f>IF([1]!BANCO10[[#This Row],[SOLUÇÃO]]=CH$1,[1]!BANCO10[[#This Row],[STATUS DA ETAPA]],"")</f>
        <v/>
      </c>
      <c r="CI114" s="21" t="str">
        <f>IF([1]!BANCO10[[#This Row],[SOLUÇÃO]]=CI$1,[1]!BANCO10[[#This Row],[STATUS DA ETAPA]],"")</f>
        <v/>
      </c>
      <c r="CJ114" s="21" t="str">
        <f>IF([1]!BANCO10[[#This Row],[SOLUÇÃO]]=CJ$1,[1]!BANCO10[[#This Row],[STATUS DA ETAPA]],"")</f>
        <v/>
      </c>
      <c r="CK114" s="21" t="str">
        <f>IF([1]!BANCO10[[#This Row],[SOLUÇÃO]]=CK$1,[1]!BANCO10[[#This Row],[STATUS DA ETAPA]],"")</f>
        <v/>
      </c>
      <c r="CL114" s="21" t="str">
        <f>IF([1]!BANCO10[[#This Row],[SOLUÇÃO]]=CL$1,[1]!BANCO10[[#This Row],[STATUS DA ETAPA]],"")</f>
        <v/>
      </c>
      <c r="CM114" s="21" t="str">
        <f>IF([1]!BANCO10[[#This Row],[SOLUÇÃO]]=CM$1,[1]!BANCO10[[#This Row],[STATUS DA ETAPA]],"")</f>
        <v/>
      </c>
      <c r="CN114" s="21" t="str">
        <f>IF([1]!BANCO10[[#This Row],[SOLUÇÃO]]=CN$1,[1]!BANCO10[[#This Row],[STATUS DA ETAPA]],"")</f>
        <v/>
      </c>
      <c r="CO114" s="21" t="str">
        <f>IF([1]!BANCO10[[#This Row],[SOLUÇÃO]]=CO$1,[1]!BANCO10[[#This Row],[STATUS DA ETAPA]],"")</f>
        <v/>
      </c>
      <c r="CP114" s="21" t="str">
        <f>IF([1]!BANCO10[[#This Row],[SOLUÇÃO]]=CP$1,[1]!BANCO10[[#This Row],[STATUS DA ETAPA]],"")</f>
        <v/>
      </c>
      <c r="CQ114" s="21" t="str">
        <f>IF([1]!BANCO10[[#This Row],[SOLUÇÃO]]=CQ$1,[1]!BANCO10[[#This Row],[STATUS DA ETAPA]],"")</f>
        <v/>
      </c>
      <c r="CR114" s="21" t="str">
        <f>IF([1]!BANCO10[[#This Row],[SOLUÇÃO]]=CR$1,[1]!BANCO10[[#This Row],[STATUS DA ETAPA]],"")</f>
        <v/>
      </c>
      <c r="CS114" s="21" t="str">
        <f>IF([1]!BANCO10[[#This Row],[SOLUÇÃO]]=CS$1,[1]!BANCO10[[#This Row],[STATUS DA ETAPA]],"")</f>
        <v/>
      </c>
      <c r="CT114" s="21" t="str">
        <f>IF([1]!BANCO10[[#This Row],[SOLUÇÃO]]=CT$1,[1]!BANCO10[[#This Row],[STATUS DA ETAPA]],"")</f>
        <v/>
      </c>
      <c r="CU114" s="21" t="str">
        <f>IF([1]!BANCO10[[#This Row],[SOLUÇÃO]]=CU$1,[1]!BANCO10[[#This Row],[STATUS DA ETAPA]],"")</f>
        <v/>
      </c>
      <c r="CV114" s="21" t="str">
        <f>IF([1]!BANCO10[[#This Row],[SOLUÇÃO]]=CV$1,[1]!BANCO10[[#This Row],[STATUS DA ETAPA]],"")</f>
        <v/>
      </c>
    </row>
    <row r="115" spans="1:100">
      <c r="A115" s="44" t="s">
        <v>2</v>
      </c>
      <c r="B115" s="44">
        <v>45383</v>
      </c>
      <c r="C115" s="44" t="s">
        <v>2</v>
      </c>
      <c r="D115" s="44">
        <v>45383</v>
      </c>
      <c r="E115" s="44" t="s">
        <v>2</v>
      </c>
      <c r="F115" s="44">
        <v>45383</v>
      </c>
      <c r="G115" s="44" t="s">
        <v>2</v>
      </c>
      <c r="H115" s="44">
        <v>45383</v>
      </c>
      <c r="I115" s="45" t="s">
        <v>2</v>
      </c>
      <c r="J115" s="46">
        <v>45536</v>
      </c>
      <c r="K115" s="45" t="s">
        <v>2</v>
      </c>
      <c r="L115" s="33">
        <v>45536</v>
      </c>
      <c r="M115" s="45" t="s">
        <v>2</v>
      </c>
      <c r="N115" s="33">
        <v>45536</v>
      </c>
      <c r="O115" s="44" t="s">
        <v>2</v>
      </c>
      <c r="P115" s="44">
        <v>45491</v>
      </c>
      <c r="Q115" s="44" t="s">
        <v>2</v>
      </c>
      <c r="R115" s="44">
        <v>45503</v>
      </c>
      <c r="S115" s="44" t="s">
        <v>2</v>
      </c>
      <c r="T115" s="44">
        <v>45536</v>
      </c>
      <c r="U115" s="44" t="s">
        <v>1</v>
      </c>
      <c r="V115" s="44"/>
      <c r="W115" s="44" t="s">
        <v>1</v>
      </c>
      <c r="X115" s="44"/>
      <c r="Y115" s="44" t="s">
        <v>1</v>
      </c>
      <c r="Z115" s="44"/>
      <c r="AA115" s="44" t="s">
        <v>1</v>
      </c>
      <c r="AB115" s="44"/>
      <c r="AC115" s="51">
        <v>45425</v>
      </c>
      <c r="AD115" s="51">
        <v>45608</v>
      </c>
      <c r="AE115" s="41" t="s">
        <v>2</v>
      </c>
      <c r="AF115" s="41" t="s">
        <v>2</v>
      </c>
      <c r="AG115" s="40" t="s">
        <v>5</v>
      </c>
      <c r="AH115" s="36" t="s">
        <v>0</v>
      </c>
      <c r="AI115" s="49">
        <v>0</v>
      </c>
      <c r="AJ115" s="36" t="s">
        <v>6</v>
      </c>
      <c r="AK115" s="10">
        <v>549529</v>
      </c>
      <c r="AL115" s="36" t="s">
        <v>1</v>
      </c>
      <c r="AM115" s="36" t="s">
        <v>1</v>
      </c>
      <c r="AN115" s="35" t="s">
        <v>2</v>
      </c>
      <c r="AO115" s="35" t="s">
        <v>2</v>
      </c>
      <c r="AP115" s="35" t="s">
        <v>2</v>
      </c>
      <c r="AQ115" s="35" t="s">
        <v>2</v>
      </c>
      <c r="AR115" s="34" t="s">
        <v>2</v>
      </c>
      <c r="AS115" s="33">
        <v>45643</v>
      </c>
      <c r="AT115" s="30"/>
      <c r="AU115" s="31"/>
      <c r="AV115" s="30"/>
      <c r="AW115" s="31"/>
      <c r="AX115" s="30" t="s">
        <v>2</v>
      </c>
      <c r="AY115" s="31">
        <v>45643</v>
      </c>
      <c r="AZ115" s="30" t="s">
        <v>2</v>
      </c>
      <c r="BA115" s="55">
        <v>45624</v>
      </c>
      <c r="BB115" s="74" t="s">
        <v>767</v>
      </c>
      <c r="BC115" s="25" t="s">
        <v>41</v>
      </c>
      <c r="BD115" s="24"/>
      <c r="BE115" s="24"/>
      <c r="BF115" s="24"/>
      <c r="BG115" s="24"/>
      <c r="BH115" s="130"/>
      <c r="BI115" s="24"/>
      <c r="BJ115" s="24"/>
      <c r="BK115" s="24"/>
      <c r="BL115" s="24"/>
      <c r="BM115" s="24"/>
      <c r="BN115" s="24"/>
      <c r="BO115" s="24"/>
      <c r="BP115" s="24"/>
      <c r="BQ115" s="22">
        <f>YEAR([1]!BANCO10[[#This Row],[DATA INÍCIO]])</f>
        <v>2024</v>
      </c>
      <c r="BR115" s="22">
        <f>MONTH([1]!BANCO10[[#This Row],[DATA INÍCIO]])</f>
        <v>5</v>
      </c>
      <c r="BS115" s="23" t="e">
        <f>CONCATENATE(#REF!,#REF!)</f>
        <v>#REF!</v>
      </c>
      <c r="BT115" s="22"/>
      <c r="BU115" s="132" t="s">
        <v>766</v>
      </c>
      <c r="BV115" s="132" t="str">
        <f>IF([1]!BANCO10[[#This Row],[SOLUÇÃO]]=BV$1,[1]!BANCO10[[#This Row],[STATUS DA ETAPA]],"")</f>
        <v/>
      </c>
      <c r="BW115" s="132" t="str">
        <f>IF([1]!BANCO10[[#This Row],[SOLUÇÃO]]=BW$1,[1]!BANCO10[[#This Row],[STATUS DA ETAPA]],"")</f>
        <v/>
      </c>
      <c r="BX115" s="132" t="str">
        <f>IF([1]!BANCO10[[#This Row],[SOLUÇÃO]]=BX$1,[1]!BANCO10[[#This Row],[STATUS DA ETAPA]],"")</f>
        <v/>
      </c>
      <c r="BY115" s="132" t="str">
        <f>IF([1]!BANCO10[[#This Row],[SOLUÇÃO]]=BY$1,[1]!BANCO10[[#This Row],[STATUS DA ETAPA]],"")</f>
        <v/>
      </c>
      <c r="BZ115" s="132" t="str">
        <f>IF([1]!BANCO10[[#This Row],[SOLUÇÃO]]=BZ$1,[1]!BANCO10[[#This Row],[STATUS DA ETAPA]],"")</f>
        <v/>
      </c>
      <c r="CA115" s="132" t="str">
        <f>IF([1]!BANCO10[[#This Row],[SOLUÇÃO]]=CA$1,[1]!BANCO10[[#This Row],[STATUS DA ETAPA]],"")</f>
        <v/>
      </c>
      <c r="CB115" s="132" t="str">
        <f>IF([1]!BANCO10[[#This Row],[SOLUÇÃO]]=CB$1,[1]!BANCO10[[#This Row],[STATUS DA ETAPA]],"")</f>
        <v>CONCLUÍDO</v>
      </c>
      <c r="CC115" s="132" t="str">
        <f>IF([1]!BANCO10[[#This Row],[SOLUÇÃO]]=CC$1,[1]!BANCO10[[#This Row],[STATUS DA ETAPA]],"")</f>
        <v/>
      </c>
      <c r="CD115" s="132" t="str">
        <f>IF([1]!BANCO10[[#This Row],[SOLUÇÃO]]=CD$1,[1]!BANCO10[[#This Row],[STATUS DA ETAPA]],"")</f>
        <v/>
      </c>
      <c r="CE115" s="132" t="str">
        <f>IF([1]!BANCO10[[#This Row],[SOLUÇÃO]]=CE$1,[1]!BANCO10[[#This Row],[STATUS DA ETAPA]],"")</f>
        <v/>
      </c>
      <c r="CF115" s="132" t="str">
        <f>IF([1]!BANCO10[[#This Row],[SOLUÇÃO]]=CF$1,[1]!BANCO10[[#This Row],[STATUS DA ETAPA]],"")</f>
        <v/>
      </c>
      <c r="CG115" s="132" t="str">
        <f>IF([1]!BANCO10[[#This Row],[SOLUÇÃO]]=CG$1,[1]!BANCO10[[#This Row],[STATUS DA ETAPA]],"")</f>
        <v/>
      </c>
      <c r="CH115" s="132" t="str">
        <f>IF([1]!BANCO10[[#This Row],[SOLUÇÃO]]=CH$1,[1]!BANCO10[[#This Row],[STATUS DA ETAPA]],"")</f>
        <v/>
      </c>
      <c r="CI115" s="132" t="str">
        <f>IF([1]!BANCO10[[#This Row],[SOLUÇÃO]]=CI$1,[1]!BANCO10[[#This Row],[STATUS DA ETAPA]],"")</f>
        <v/>
      </c>
      <c r="CJ115" s="132" t="str">
        <f>IF([1]!BANCO10[[#This Row],[SOLUÇÃO]]=CJ$1,[1]!BANCO10[[#This Row],[STATUS DA ETAPA]],"")</f>
        <v/>
      </c>
      <c r="CK115" s="132" t="str">
        <f>IF([1]!BANCO10[[#This Row],[SOLUÇÃO]]=CK$1,[1]!BANCO10[[#This Row],[STATUS DA ETAPA]],"")</f>
        <v/>
      </c>
      <c r="CL115" s="132" t="str">
        <f>IF([1]!BANCO10[[#This Row],[SOLUÇÃO]]=CL$1,[1]!BANCO10[[#This Row],[STATUS DA ETAPA]],"")</f>
        <v/>
      </c>
      <c r="CM115" s="132" t="str">
        <f>IF([1]!BANCO10[[#This Row],[SOLUÇÃO]]=CM$1,[1]!BANCO10[[#This Row],[STATUS DA ETAPA]],"")</f>
        <v/>
      </c>
      <c r="CN115" s="132" t="str">
        <f>IF([1]!BANCO10[[#This Row],[SOLUÇÃO]]=CN$1,[1]!BANCO10[[#This Row],[STATUS DA ETAPA]],"")</f>
        <v/>
      </c>
      <c r="CO115" s="132" t="str">
        <f>IF([1]!BANCO10[[#This Row],[SOLUÇÃO]]=CO$1,[1]!BANCO10[[#This Row],[STATUS DA ETAPA]],"")</f>
        <v/>
      </c>
      <c r="CP115" s="132" t="str">
        <f>IF([1]!BANCO10[[#This Row],[SOLUÇÃO]]=CP$1,[1]!BANCO10[[#This Row],[STATUS DA ETAPA]],"")</f>
        <v/>
      </c>
      <c r="CQ115" s="132" t="str">
        <f>IF([1]!BANCO10[[#This Row],[SOLUÇÃO]]=CQ$1,[1]!BANCO10[[#This Row],[STATUS DA ETAPA]],"")</f>
        <v/>
      </c>
      <c r="CR115" s="132" t="str">
        <f>IF([1]!BANCO10[[#This Row],[SOLUÇÃO]]=CR$1,[1]!BANCO10[[#This Row],[STATUS DA ETAPA]],"")</f>
        <v/>
      </c>
      <c r="CS115" s="132" t="str">
        <f>IF([1]!BANCO10[[#This Row],[SOLUÇÃO]]=CS$1,[1]!BANCO10[[#This Row],[STATUS DA ETAPA]],"")</f>
        <v/>
      </c>
      <c r="CT115" s="132" t="str">
        <f>IF([1]!BANCO10[[#This Row],[SOLUÇÃO]]=CT$1,[1]!BANCO10[[#This Row],[STATUS DA ETAPA]],"")</f>
        <v/>
      </c>
      <c r="CU115" s="132" t="str">
        <f>IF([1]!BANCO10[[#This Row],[SOLUÇÃO]]=CU$1,[1]!BANCO10[[#This Row],[STATUS DA ETAPA]],"")</f>
        <v/>
      </c>
      <c r="CV115" s="132" t="str">
        <f>IF([1]!BANCO10[[#This Row],[SOLUÇÃO]]=CV$1,[1]!BANCO10[[#This Row],[STATUS DA ETAPA]],"")</f>
        <v/>
      </c>
    </row>
    <row r="116" spans="1:100">
      <c r="A116" s="44" t="s">
        <v>1</v>
      </c>
      <c r="B116" s="44"/>
      <c r="C116" s="44" t="s">
        <v>1</v>
      </c>
      <c r="D116" s="44"/>
      <c r="E116" s="44" t="s">
        <v>1</v>
      </c>
      <c r="F116" s="44"/>
      <c r="G116" s="44" t="s">
        <v>1</v>
      </c>
      <c r="H116" s="44"/>
      <c r="I116" s="45" t="s">
        <v>0</v>
      </c>
      <c r="J116" s="46"/>
      <c r="K116" s="45" t="s">
        <v>0</v>
      </c>
      <c r="L116" s="33"/>
      <c r="M116" s="45" t="s">
        <v>0</v>
      </c>
      <c r="N116" s="33"/>
      <c r="O116" s="44"/>
      <c r="P116" s="44"/>
      <c r="Q116" s="44" t="s">
        <v>1</v>
      </c>
      <c r="R116" s="44"/>
      <c r="S116" s="44"/>
      <c r="T116" s="44"/>
      <c r="U116" s="44"/>
      <c r="V116" s="44"/>
      <c r="W116" s="44"/>
      <c r="X116" s="44"/>
      <c r="Y116" s="44"/>
      <c r="Z116" s="44"/>
      <c r="AA116" s="44"/>
      <c r="AB116" s="44"/>
      <c r="AC116" s="51">
        <v>45636</v>
      </c>
      <c r="AD116" s="50">
        <v>45636</v>
      </c>
      <c r="AE116" s="41" t="s">
        <v>1</v>
      </c>
      <c r="AF116" s="41" t="s">
        <v>1</v>
      </c>
      <c r="AG116" s="40" t="s">
        <v>4</v>
      </c>
      <c r="AH116" s="36" t="s">
        <v>0</v>
      </c>
      <c r="AI116" s="49">
        <v>0</v>
      </c>
      <c r="AJ116" s="36" t="s">
        <v>1</v>
      </c>
      <c r="AK116" s="10" t="s">
        <v>1</v>
      </c>
      <c r="AL116" s="36" t="s">
        <v>1</v>
      </c>
      <c r="AM116" s="36" t="s">
        <v>1</v>
      </c>
      <c r="AN116" s="35" t="s">
        <v>1</v>
      </c>
      <c r="AO116" s="35" t="s">
        <v>1</v>
      </c>
      <c r="AP116" s="35" t="s">
        <v>1</v>
      </c>
      <c r="AQ116" s="35" t="s">
        <v>2</v>
      </c>
      <c r="AR116" s="34" t="s">
        <v>0</v>
      </c>
      <c r="AS116" s="33"/>
      <c r="AT116" s="30" t="s">
        <v>0</v>
      </c>
      <c r="AU116" s="31"/>
      <c r="AV116" s="30" t="s">
        <v>0</v>
      </c>
      <c r="AW116" s="31"/>
      <c r="AX116" s="30" t="s">
        <v>0</v>
      </c>
      <c r="AY116" s="29"/>
      <c r="AZ116" s="28" t="s">
        <v>0</v>
      </c>
      <c r="BA116" s="27"/>
      <c r="BB116" s="26"/>
      <c r="BC116" s="25"/>
      <c r="BD116" s="24"/>
      <c r="BE116" s="24"/>
      <c r="BF116" s="24"/>
      <c r="BG116" s="24"/>
      <c r="BH116" s="24"/>
      <c r="BI116" s="24"/>
      <c r="BJ116" s="24"/>
      <c r="BK116" s="24"/>
      <c r="BL116" s="24"/>
      <c r="BM116" s="24"/>
      <c r="BN116" s="24"/>
      <c r="BO116" s="24"/>
      <c r="BP116" s="24"/>
      <c r="BQ116" s="22">
        <f>YEAR([1]!BANCO10[[#This Row],[DATA INÍCIO]])</f>
        <v>2024</v>
      </c>
      <c r="BR116" s="22">
        <f>MONTH([1]!BANCO10[[#This Row],[DATA INÍCIO]])</f>
        <v>12</v>
      </c>
      <c r="BS116" s="23" t="e">
        <f>CONCATENATE(#REF!,#REF!)</f>
        <v>#REF!</v>
      </c>
      <c r="BT116" s="22"/>
      <c r="BU116" s="22"/>
      <c r="BV116" s="21" t="str">
        <f>IF([1]!BANCO10[[#This Row],[SOLUÇÃO]]=BV$1,[1]!BANCO10[[#This Row],[STATUS DA ETAPA]],"")</f>
        <v/>
      </c>
      <c r="BW116" s="21" t="str">
        <f>IF([1]!BANCO10[[#This Row],[SOLUÇÃO]]=BW$1,[1]!BANCO10[[#This Row],[STATUS DA ETAPA]],"")</f>
        <v/>
      </c>
      <c r="BX116" s="21" t="str">
        <f>IF([1]!BANCO10[[#This Row],[SOLUÇÃO]]=BX$1,[1]!BANCO10[[#This Row],[STATUS DA ETAPA]],"")</f>
        <v/>
      </c>
      <c r="BY116" s="21" t="str">
        <f>IF([1]!BANCO10[[#This Row],[SOLUÇÃO]]=BY$1,[1]!BANCO10[[#This Row],[STATUS DA ETAPA]],"")</f>
        <v/>
      </c>
      <c r="BZ116" s="21" t="str">
        <f>IF([1]!BANCO10[[#This Row],[SOLUÇÃO]]=BZ$1,[1]!BANCO10[[#This Row],[STATUS DA ETAPA]],"")</f>
        <v/>
      </c>
      <c r="CA116" s="21" t="str">
        <f>IF([1]!BANCO10[[#This Row],[SOLUÇÃO]]=CA$1,[1]!BANCO10[[#This Row],[STATUS DA ETAPA]],"")</f>
        <v/>
      </c>
      <c r="CB116" s="21" t="str">
        <f>IF([1]!BANCO10[[#This Row],[SOLUÇÃO]]=CB$1,[1]!BANCO10[[#This Row],[STATUS DA ETAPA]],"")</f>
        <v/>
      </c>
      <c r="CC116" s="21" t="str">
        <f>IF([1]!BANCO10[[#This Row],[SOLUÇÃO]]=CC$1,[1]!BANCO10[[#This Row],[STATUS DA ETAPA]],"")</f>
        <v/>
      </c>
      <c r="CD116" s="21" t="str">
        <f>IF([1]!BANCO10[[#This Row],[SOLUÇÃO]]=CD$1,[1]!BANCO10[[#This Row],[STATUS DA ETAPA]],"")</f>
        <v/>
      </c>
      <c r="CE116" s="21" t="str">
        <f>IF([1]!BANCO10[[#This Row],[SOLUÇÃO]]=CE$1,[1]!BANCO10[[#This Row],[STATUS DA ETAPA]],"")</f>
        <v/>
      </c>
      <c r="CF116" s="21" t="str">
        <f>IF([1]!BANCO10[[#This Row],[SOLUÇÃO]]=CF$1,[1]!BANCO10[[#This Row],[STATUS DA ETAPA]],"")</f>
        <v/>
      </c>
      <c r="CG116" s="21" t="str">
        <f>IF([1]!BANCO10[[#This Row],[SOLUÇÃO]]=CG$1,[1]!BANCO10[[#This Row],[STATUS DA ETAPA]],"")</f>
        <v/>
      </c>
      <c r="CH116" s="21" t="str">
        <f>IF([1]!BANCO10[[#This Row],[SOLUÇÃO]]=CH$1,[1]!BANCO10[[#This Row],[STATUS DA ETAPA]],"")</f>
        <v/>
      </c>
      <c r="CI116" s="21" t="str">
        <f>IF([1]!BANCO10[[#This Row],[SOLUÇÃO]]=CI$1,[1]!BANCO10[[#This Row],[STATUS DA ETAPA]],"")</f>
        <v/>
      </c>
      <c r="CJ116" s="21" t="str">
        <f>IF([1]!BANCO10[[#This Row],[SOLUÇÃO]]=CJ$1,[1]!BANCO10[[#This Row],[STATUS DA ETAPA]],"")</f>
        <v/>
      </c>
      <c r="CK116" s="21" t="str">
        <f>IF([1]!BANCO10[[#This Row],[SOLUÇÃO]]=CK$1,[1]!BANCO10[[#This Row],[STATUS DA ETAPA]],"")</f>
        <v/>
      </c>
      <c r="CL116" s="21" t="str">
        <f>IF([1]!BANCO10[[#This Row],[SOLUÇÃO]]=CL$1,[1]!BANCO10[[#This Row],[STATUS DA ETAPA]],"")</f>
        <v/>
      </c>
      <c r="CM116" s="21" t="str">
        <f>IF([1]!BANCO10[[#This Row],[SOLUÇÃO]]=CM$1,[1]!BANCO10[[#This Row],[STATUS DA ETAPA]],"")</f>
        <v/>
      </c>
      <c r="CN116" s="21" t="str">
        <f>IF([1]!BANCO10[[#This Row],[SOLUÇÃO]]=CN$1,[1]!BANCO10[[#This Row],[STATUS DA ETAPA]],"")</f>
        <v/>
      </c>
      <c r="CO116" s="21" t="str">
        <f>IF([1]!BANCO10[[#This Row],[SOLUÇÃO]]=CO$1,[1]!BANCO10[[#This Row],[STATUS DA ETAPA]],"")</f>
        <v/>
      </c>
      <c r="CP116" s="21" t="str">
        <f>IF([1]!BANCO10[[#This Row],[SOLUÇÃO]]=CP$1,[1]!BANCO10[[#This Row],[STATUS DA ETAPA]],"")</f>
        <v/>
      </c>
      <c r="CQ116" s="21" t="str">
        <f>IF([1]!BANCO10[[#This Row],[SOLUÇÃO]]=CQ$1,[1]!BANCO10[[#This Row],[STATUS DA ETAPA]],"")</f>
        <v/>
      </c>
      <c r="CR116" s="21" t="str">
        <f>IF([1]!BANCO10[[#This Row],[SOLUÇÃO]]=CR$1,[1]!BANCO10[[#This Row],[STATUS DA ETAPA]],"")</f>
        <v/>
      </c>
      <c r="CS116" s="21" t="str">
        <f>IF([1]!BANCO10[[#This Row],[SOLUÇÃO]]=CS$1,[1]!BANCO10[[#This Row],[STATUS DA ETAPA]],"")</f>
        <v/>
      </c>
      <c r="CT116" s="21" t="str">
        <f>IF([1]!BANCO10[[#This Row],[SOLUÇÃO]]=CT$1,[1]!BANCO10[[#This Row],[STATUS DA ETAPA]],"")</f>
        <v/>
      </c>
      <c r="CU116" s="21" t="str">
        <f>IF([1]!BANCO10[[#This Row],[SOLUÇÃO]]=CU$1,[1]!BANCO10[[#This Row],[STATUS DA ETAPA]],"")</f>
        <v/>
      </c>
      <c r="CV116" s="21" t="str">
        <f>IF([1]!BANCO10[[#This Row],[SOLUÇÃO]]=CV$1,[1]!BANCO10[[#This Row],[STATUS DA ETAPA]],"")</f>
        <v/>
      </c>
    </row>
    <row r="117" spans="1:100">
      <c r="A117" s="44" t="s">
        <v>1</v>
      </c>
      <c r="B117" s="44"/>
      <c r="C117" s="44" t="s">
        <v>1</v>
      </c>
      <c r="D117" s="44"/>
      <c r="E117" s="44" t="s">
        <v>1</v>
      </c>
      <c r="F117" s="44"/>
      <c r="G117" s="44" t="s">
        <v>1</v>
      </c>
      <c r="H117" s="44"/>
      <c r="I117" s="45" t="s">
        <v>1</v>
      </c>
      <c r="J117" s="46"/>
      <c r="K117" s="45" t="s">
        <v>1</v>
      </c>
      <c r="L117" s="33"/>
      <c r="M117" s="45" t="s">
        <v>1</v>
      </c>
      <c r="N117" s="33"/>
      <c r="O117" s="44" t="s">
        <v>1</v>
      </c>
      <c r="P117" s="44"/>
      <c r="Q117" s="44" t="s">
        <v>1</v>
      </c>
      <c r="R117" s="44"/>
      <c r="S117" s="44" t="s">
        <v>1</v>
      </c>
      <c r="T117" s="44"/>
      <c r="U117" s="44" t="s">
        <v>2</v>
      </c>
      <c r="V117" s="44"/>
      <c r="W117" s="44" t="s">
        <v>2</v>
      </c>
      <c r="X117" s="44"/>
      <c r="Y117" s="44" t="s">
        <v>2</v>
      </c>
      <c r="Z117" s="44"/>
      <c r="AA117" s="44" t="s">
        <v>2</v>
      </c>
      <c r="AB117" s="44"/>
      <c r="AC117" s="51">
        <v>45894</v>
      </c>
      <c r="AD117" s="50">
        <v>45925</v>
      </c>
      <c r="AE117" s="68" t="s">
        <v>2</v>
      </c>
      <c r="AF117" s="68" t="s">
        <v>2</v>
      </c>
      <c r="AG117" s="76" t="s">
        <v>5</v>
      </c>
      <c r="AH117" s="36" t="s">
        <v>0</v>
      </c>
      <c r="AI117" s="49">
        <v>0</v>
      </c>
      <c r="AJ117" s="36" t="s">
        <v>6</v>
      </c>
      <c r="AK117" s="10" t="s">
        <v>765</v>
      </c>
      <c r="AL117" s="36" t="s">
        <v>764</v>
      </c>
      <c r="AM117" s="36" t="s">
        <v>763</v>
      </c>
      <c r="AN117" s="35" t="s">
        <v>1</v>
      </c>
      <c r="AO117" s="35" t="s">
        <v>1</v>
      </c>
      <c r="AP117" s="35" t="s">
        <v>1</v>
      </c>
      <c r="AQ117" s="35" t="s">
        <v>1</v>
      </c>
      <c r="AR117" s="34" t="s">
        <v>1</v>
      </c>
      <c r="AS117" s="33"/>
      <c r="AT117" s="30" t="s">
        <v>0</v>
      </c>
      <c r="AU117" s="31">
        <v>45926</v>
      </c>
      <c r="AV117" s="30" t="s">
        <v>0</v>
      </c>
      <c r="AW117" s="31">
        <v>45926</v>
      </c>
      <c r="AX117" s="30" t="s">
        <v>2</v>
      </c>
      <c r="AY117" s="29">
        <v>45943</v>
      </c>
      <c r="AZ117" s="28" t="s">
        <v>0</v>
      </c>
      <c r="BA117" s="27"/>
      <c r="BB117" s="39">
        <v>45835</v>
      </c>
      <c r="BC117" s="25" t="s">
        <v>133</v>
      </c>
      <c r="BD117" s="24"/>
      <c r="BE117" s="24"/>
      <c r="BF117" s="24"/>
      <c r="BG117" s="24"/>
      <c r="BH117" s="24"/>
      <c r="BI117" s="24"/>
      <c r="BJ117" s="24"/>
      <c r="BK117" s="24"/>
      <c r="BL117" s="24"/>
      <c r="BM117" s="24"/>
      <c r="BN117" s="24"/>
      <c r="BO117" s="24"/>
      <c r="BP117" s="24"/>
      <c r="BQ117" s="22">
        <f>YEAR([1]!BANCO10[[#This Row],[DATA INÍCIO]])</f>
        <v>2025</v>
      </c>
      <c r="BR117" s="22">
        <f>MONTH([1]!BANCO10[[#This Row],[DATA INÍCIO]])</f>
        <v>8</v>
      </c>
      <c r="BS117" s="23" t="e">
        <f>CONCATENATE(#REF!,#REF!)</f>
        <v>#REF!</v>
      </c>
      <c r="BT117" s="22"/>
      <c r="BU117" s="22"/>
      <c r="BV117" s="21" t="str">
        <f>IF([1]!BANCO10[[#This Row],[SOLUÇÃO]]=BV$1,[1]!BANCO10[[#This Row],[STATUS DA ETAPA]],"")</f>
        <v/>
      </c>
      <c r="BW117" s="21" t="str">
        <f>IF([1]!BANCO10[[#This Row],[SOLUÇÃO]]=BW$1,[1]!BANCO10[[#This Row],[STATUS DA ETAPA]],"")</f>
        <v/>
      </c>
      <c r="BX117" s="21" t="str">
        <f>IF([1]!BANCO10[[#This Row],[SOLUÇÃO]]=BX$1,[1]!BANCO10[[#This Row],[STATUS DA ETAPA]],"")</f>
        <v/>
      </c>
      <c r="BY117" s="21" t="str">
        <f>IF([1]!BANCO10[[#This Row],[SOLUÇÃO]]=BY$1,[1]!BANCO10[[#This Row],[STATUS DA ETAPA]],"")</f>
        <v/>
      </c>
      <c r="BZ117" s="21" t="str">
        <f>IF([1]!BANCO10[[#This Row],[SOLUÇÃO]]=BZ$1,[1]!BANCO10[[#This Row],[STATUS DA ETAPA]],"")</f>
        <v/>
      </c>
      <c r="CA117" s="21" t="str">
        <f>IF([1]!BANCO10[[#This Row],[SOLUÇÃO]]=CA$1,[1]!BANCO10[[#This Row],[STATUS DA ETAPA]],"")</f>
        <v/>
      </c>
      <c r="CB117" s="21" t="str">
        <f>IF([1]!BANCO10[[#This Row],[SOLUÇÃO]]=CB$1,[1]!BANCO10[[#This Row],[STATUS DA ETAPA]],"")</f>
        <v/>
      </c>
      <c r="CC117" s="21" t="str">
        <f>IF([1]!BANCO10[[#This Row],[SOLUÇÃO]]=CC$1,[1]!BANCO10[[#This Row],[STATUS DA ETAPA]],"")</f>
        <v/>
      </c>
      <c r="CD117" s="21" t="str">
        <f>IF([1]!BANCO10[[#This Row],[SOLUÇÃO]]=CD$1,[1]!BANCO10[[#This Row],[STATUS DA ETAPA]],"")</f>
        <v/>
      </c>
      <c r="CE117" s="21" t="str">
        <f>IF([1]!BANCO10[[#This Row],[SOLUÇÃO]]=CE$1,[1]!BANCO10[[#This Row],[STATUS DA ETAPA]],"")</f>
        <v/>
      </c>
      <c r="CF117" s="21" t="str">
        <f>IF([1]!BANCO10[[#This Row],[SOLUÇÃO]]=CF$1,[1]!BANCO10[[#This Row],[STATUS DA ETAPA]],"")</f>
        <v/>
      </c>
      <c r="CG117" s="21" t="str">
        <f>IF([1]!BANCO10[[#This Row],[SOLUÇÃO]]=CG$1,[1]!BANCO10[[#This Row],[STATUS DA ETAPA]],"")</f>
        <v/>
      </c>
      <c r="CH117" s="21" t="str">
        <f>IF([1]!BANCO10[[#This Row],[SOLUÇÃO]]=CH$1,[1]!BANCO10[[#This Row],[STATUS DA ETAPA]],"")</f>
        <v/>
      </c>
      <c r="CI117" s="21" t="str">
        <f>IF([1]!BANCO10[[#This Row],[SOLUÇÃO]]=CI$1,[1]!BANCO10[[#This Row],[STATUS DA ETAPA]],"")</f>
        <v/>
      </c>
      <c r="CJ117" s="21" t="str">
        <f>IF([1]!BANCO10[[#This Row],[SOLUÇÃO]]=CJ$1,[1]!BANCO10[[#This Row],[STATUS DA ETAPA]],"")</f>
        <v/>
      </c>
      <c r="CK117" s="21" t="str">
        <f>IF([1]!BANCO10[[#This Row],[SOLUÇÃO]]=CK$1,[1]!BANCO10[[#This Row],[STATUS DA ETAPA]],"")</f>
        <v/>
      </c>
      <c r="CL117" s="21" t="str">
        <f>IF([1]!BANCO10[[#This Row],[SOLUÇÃO]]=CL$1,[1]!BANCO10[[#This Row],[STATUS DA ETAPA]],"")</f>
        <v>CONCLUÍDO</v>
      </c>
      <c r="CM117" s="21" t="str">
        <f>IF([1]!BANCO10[[#This Row],[SOLUÇÃO]]=CM$1,[1]!BANCO10[[#This Row],[STATUS DA ETAPA]],"")</f>
        <v/>
      </c>
      <c r="CN117" s="21" t="str">
        <f>IF([1]!BANCO10[[#This Row],[SOLUÇÃO]]=CN$1,[1]!BANCO10[[#This Row],[STATUS DA ETAPA]],"")</f>
        <v/>
      </c>
      <c r="CO117" s="21" t="str">
        <f>IF([1]!BANCO10[[#This Row],[SOLUÇÃO]]=CO$1,[1]!BANCO10[[#This Row],[STATUS DA ETAPA]],"")</f>
        <v/>
      </c>
      <c r="CP117" s="21" t="str">
        <f>IF([1]!BANCO10[[#This Row],[SOLUÇÃO]]=CP$1,[1]!BANCO10[[#This Row],[STATUS DA ETAPA]],"")</f>
        <v/>
      </c>
      <c r="CQ117" s="21" t="str">
        <f>IF([1]!BANCO10[[#This Row],[SOLUÇÃO]]=CQ$1,[1]!BANCO10[[#This Row],[STATUS DA ETAPA]],"")</f>
        <v/>
      </c>
      <c r="CR117" s="21" t="str">
        <f>IF([1]!BANCO10[[#This Row],[SOLUÇÃO]]=CR$1,[1]!BANCO10[[#This Row],[STATUS DA ETAPA]],"")</f>
        <v/>
      </c>
      <c r="CS117" s="21" t="str">
        <f>IF([1]!BANCO10[[#This Row],[SOLUÇÃO]]=CS$1,[1]!BANCO10[[#This Row],[STATUS DA ETAPA]],"")</f>
        <v/>
      </c>
      <c r="CT117" s="21" t="str">
        <f>IF([1]!BANCO10[[#This Row],[SOLUÇÃO]]=CT$1,[1]!BANCO10[[#This Row],[STATUS DA ETAPA]],"")</f>
        <v/>
      </c>
      <c r="CU117" s="21" t="str">
        <f>IF([1]!BANCO10[[#This Row],[SOLUÇÃO]]=CU$1,[1]!BANCO10[[#This Row],[STATUS DA ETAPA]],"")</f>
        <v/>
      </c>
      <c r="CV117" s="21" t="str">
        <f>IF([1]!BANCO10[[#This Row],[SOLUÇÃO]]=CV$1,[1]!BANCO10[[#This Row],[STATUS DA ETAPA]],"")</f>
        <v/>
      </c>
    </row>
    <row r="118" spans="1:100">
      <c r="A118" s="44" t="s">
        <v>1</v>
      </c>
      <c r="B118" s="44"/>
      <c r="C118" s="44" t="s">
        <v>1</v>
      </c>
      <c r="D118" s="44"/>
      <c r="E118" s="44" t="s">
        <v>1</v>
      </c>
      <c r="F118" s="44"/>
      <c r="G118" s="44" t="s">
        <v>1</v>
      </c>
      <c r="H118" s="44"/>
      <c r="I118" s="45" t="s">
        <v>1</v>
      </c>
      <c r="J118" s="46"/>
      <c r="K118" s="45" t="s">
        <v>1</v>
      </c>
      <c r="L118" s="33"/>
      <c r="M118" s="45" t="s">
        <v>1</v>
      </c>
      <c r="N118" s="33"/>
      <c r="O118" s="44" t="s">
        <v>2</v>
      </c>
      <c r="P118" s="44">
        <v>44974</v>
      </c>
      <c r="Q118" s="44" t="s">
        <v>0</v>
      </c>
      <c r="R118" s="44"/>
      <c r="S118" s="44" t="s">
        <v>1</v>
      </c>
      <c r="T118" s="44"/>
      <c r="U118" s="44" t="s">
        <v>1</v>
      </c>
      <c r="V118" s="44"/>
      <c r="W118" s="44" t="s">
        <v>1</v>
      </c>
      <c r="X118" s="44"/>
      <c r="Y118" s="44" t="s">
        <v>1</v>
      </c>
      <c r="Z118" s="44"/>
      <c r="AA118" s="44" t="s">
        <v>1</v>
      </c>
      <c r="AB118" s="44"/>
      <c r="AC118" s="51">
        <v>44974</v>
      </c>
      <c r="AD118" s="50">
        <v>44974</v>
      </c>
      <c r="AE118" s="40" t="s">
        <v>1</v>
      </c>
      <c r="AF118" s="40" t="s">
        <v>1</v>
      </c>
      <c r="AG118" s="76" t="s">
        <v>5</v>
      </c>
      <c r="AH118" s="36" t="s">
        <v>1</v>
      </c>
      <c r="AI118" s="49">
        <v>0</v>
      </c>
      <c r="AJ118" s="36" t="s">
        <v>1</v>
      </c>
      <c r="AK118" s="10" t="s">
        <v>1</v>
      </c>
      <c r="AL118" s="36" t="s">
        <v>1</v>
      </c>
      <c r="AM118" s="36" t="s">
        <v>1</v>
      </c>
      <c r="AN118" s="35" t="s">
        <v>1</v>
      </c>
      <c r="AO118" s="35" t="s">
        <v>1</v>
      </c>
      <c r="AP118" s="35" t="s">
        <v>1</v>
      </c>
      <c r="AQ118" s="35" t="s">
        <v>1</v>
      </c>
      <c r="AR118" s="82" t="s">
        <v>1</v>
      </c>
      <c r="AS118" s="33"/>
      <c r="AT118" s="32" t="s">
        <v>1</v>
      </c>
      <c r="AU118" s="31"/>
      <c r="AV118" s="32" t="s">
        <v>1</v>
      </c>
      <c r="AW118" s="31"/>
      <c r="AX118" s="30" t="s">
        <v>1</v>
      </c>
      <c r="AY118" s="55"/>
      <c r="AZ118" s="30" t="s">
        <v>1</v>
      </c>
      <c r="BA118" s="55"/>
      <c r="BB118" s="74" t="s">
        <v>19</v>
      </c>
      <c r="BC118" s="25"/>
      <c r="BD118" s="24" t="s">
        <v>11</v>
      </c>
      <c r="BE118" s="24" t="s">
        <v>11</v>
      </c>
      <c r="BF118" s="24" t="s">
        <v>21</v>
      </c>
      <c r="BG118" s="24" t="s">
        <v>80</v>
      </c>
      <c r="BH118" s="130" t="s">
        <v>18</v>
      </c>
      <c r="BI118" s="24" t="s">
        <v>243</v>
      </c>
      <c r="BJ118" s="24" t="s">
        <v>11</v>
      </c>
      <c r="BK118" s="24" t="s">
        <v>11</v>
      </c>
      <c r="BL118" s="24" t="s">
        <v>11</v>
      </c>
      <c r="BM118" s="24" t="s">
        <v>11</v>
      </c>
      <c r="BN118" s="24" t="s">
        <v>11</v>
      </c>
      <c r="BO118" s="24" t="s">
        <v>11</v>
      </c>
      <c r="BP118" s="24" t="s">
        <v>11</v>
      </c>
      <c r="BQ118" s="22">
        <f>YEAR([1]!BANCO10[[#This Row],[DATA INÍCIO]])</f>
        <v>2023</v>
      </c>
      <c r="BR118" s="22">
        <f>MONTH([1]!BANCO10[[#This Row],[DATA INÍCIO]])</f>
        <v>2</v>
      </c>
      <c r="BS118" s="129" t="e">
        <f>CONCATENATE(#REF!,#REF!)</f>
        <v>#REF!</v>
      </c>
      <c r="BT118" s="22"/>
      <c r="BU118" s="21" t="s">
        <v>762</v>
      </c>
      <c r="BV118" s="21" t="str">
        <f>IF([1]!BANCO10[[#This Row],[SOLUÇÃO]]=BV$1,[1]!BANCO10[[#This Row],[STATUS DA ETAPA]],"")</f>
        <v>CONCLUÍDO</v>
      </c>
      <c r="BW118" s="21" t="str">
        <f>IF([1]!BANCO10[[#This Row],[SOLUÇÃO]]=BW$1,[1]!BANCO10[[#This Row],[STATUS DA ETAPA]],"")</f>
        <v/>
      </c>
      <c r="BX118" s="21" t="str">
        <f>IF([1]!BANCO10[[#This Row],[SOLUÇÃO]]=BX$1,[1]!BANCO10[[#This Row],[STATUS DA ETAPA]],"")</f>
        <v/>
      </c>
      <c r="BY118" s="21" t="str">
        <f>IF([1]!BANCO10[[#This Row],[SOLUÇÃO]]=BY$1,[1]!BANCO10[[#This Row],[STATUS DA ETAPA]],"")</f>
        <v/>
      </c>
      <c r="BZ118" s="21" t="str">
        <f>IF([1]!BANCO10[[#This Row],[SOLUÇÃO]]=BZ$1,[1]!BANCO10[[#This Row],[STATUS DA ETAPA]],"")</f>
        <v/>
      </c>
      <c r="CA118" s="21" t="str">
        <f>IF([1]!BANCO10[[#This Row],[SOLUÇÃO]]=CA$1,[1]!BANCO10[[#This Row],[STATUS DA ETAPA]],"")</f>
        <v/>
      </c>
      <c r="CB118" s="21" t="str">
        <f>IF([1]!BANCO10[[#This Row],[SOLUÇÃO]]=CB$1,[1]!BANCO10[[#This Row],[STATUS DA ETAPA]],"")</f>
        <v/>
      </c>
      <c r="CC118" s="21" t="str">
        <f>IF([1]!BANCO10[[#This Row],[SOLUÇÃO]]=CC$1,[1]!BANCO10[[#This Row],[STATUS DA ETAPA]],"")</f>
        <v/>
      </c>
      <c r="CD118" s="21" t="str">
        <f>IF([1]!BANCO10[[#This Row],[SOLUÇÃO]]=CD$1,[1]!BANCO10[[#This Row],[STATUS DA ETAPA]],"")</f>
        <v/>
      </c>
      <c r="CE118" s="21" t="str">
        <f>IF([1]!BANCO10[[#This Row],[SOLUÇÃO]]=CE$1,[1]!BANCO10[[#This Row],[STATUS DA ETAPA]],"")</f>
        <v/>
      </c>
      <c r="CF118" s="21" t="str">
        <f>IF([1]!BANCO10[[#This Row],[SOLUÇÃO]]=CF$1,[1]!BANCO10[[#This Row],[STATUS DA ETAPA]],"")</f>
        <v/>
      </c>
      <c r="CG118" s="21" t="str">
        <f>IF([1]!BANCO10[[#This Row],[SOLUÇÃO]]=CG$1,[1]!BANCO10[[#This Row],[STATUS DA ETAPA]],"")</f>
        <v/>
      </c>
      <c r="CH118" s="21" t="str">
        <f>IF([1]!BANCO10[[#This Row],[SOLUÇÃO]]=CH$1,[1]!BANCO10[[#This Row],[STATUS DA ETAPA]],"")</f>
        <v/>
      </c>
      <c r="CI118" s="21" t="str">
        <f>IF([1]!BANCO10[[#This Row],[SOLUÇÃO]]=CI$1,[1]!BANCO10[[#This Row],[STATUS DA ETAPA]],"")</f>
        <v/>
      </c>
      <c r="CJ118" s="21" t="str">
        <f>IF([1]!BANCO10[[#This Row],[SOLUÇÃO]]=CJ$1,[1]!BANCO10[[#This Row],[STATUS DA ETAPA]],"")</f>
        <v/>
      </c>
      <c r="CK118" s="21" t="str">
        <f>IF([1]!BANCO10[[#This Row],[SOLUÇÃO]]=CK$1,[1]!BANCO10[[#This Row],[STATUS DA ETAPA]],"")</f>
        <v/>
      </c>
      <c r="CL118" s="21" t="str">
        <f>IF([1]!BANCO10[[#This Row],[SOLUÇÃO]]=CL$1,[1]!BANCO10[[#This Row],[STATUS DA ETAPA]],"")</f>
        <v/>
      </c>
      <c r="CM118" s="21" t="str">
        <f>IF([1]!BANCO10[[#This Row],[SOLUÇÃO]]=CM$1,[1]!BANCO10[[#This Row],[STATUS DA ETAPA]],"")</f>
        <v/>
      </c>
      <c r="CN118" s="21" t="str">
        <f>IF([1]!BANCO10[[#This Row],[SOLUÇÃO]]=CN$1,[1]!BANCO10[[#This Row],[STATUS DA ETAPA]],"")</f>
        <v/>
      </c>
      <c r="CO118" s="21" t="str">
        <f>IF([1]!BANCO10[[#This Row],[SOLUÇÃO]]=CO$1,[1]!BANCO10[[#This Row],[STATUS DA ETAPA]],"")</f>
        <v/>
      </c>
      <c r="CP118" s="21" t="str">
        <f>IF([1]!BANCO10[[#This Row],[SOLUÇÃO]]=CP$1,[1]!BANCO10[[#This Row],[STATUS DA ETAPA]],"")</f>
        <v/>
      </c>
      <c r="CQ118" s="21" t="str">
        <f>IF([1]!BANCO10[[#This Row],[SOLUÇÃO]]=CQ$1,[1]!BANCO10[[#This Row],[STATUS DA ETAPA]],"")</f>
        <v/>
      </c>
      <c r="CR118" s="21" t="str">
        <f>IF([1]!BANCO10[[#This Row],[SOLUÇÃO]]=CR$1,[1]!BANCO10[[#This Row],[STATUS DA ETAPA]],"")</f>
        <v/>
      </c>
      <c r="CS118" s="21" t="str">
        <f>IF([1]!BANCO10[[#This Row],[SOLUÇÃO]]=CS$1,[1]!BANCO10[[#This Row],[STATUS DA ETAPA]],"")</f>
        <v/>
      </c>
      <c r="CT118" s="21" t="str">
        <f>IF([1]!BANCO10[[#This Row],[SOLUÇÃO]]=CT$1,[1]!BANCO10[[#This Row],[STATUS DA ETAPA]],"")</f>
        <v/>
      </c>
      <c r="CU118" s="21" t="str">
        <f>IF([1]!BANCO10[[#This Row],[SOLUÇÃO]]=CU$1,[1]!BANCO10[[#This Row],[STATUS DA ETAPA]],"")</f>
        <v/>
      </c>
      <c r="CV118" s="21" t="str">
        <f>IF([1]!BANCO10[[#This Row],[SOLUÇÃO]]=CV$1,[1]!BANCO10[[#This Row],[STATUS DA ETAPA]],"")</f>
        <v/>
      </c>
    </row>
    <row r="119" spans="1:100">
      <c r="A119" s="44" t="s">
        <v>1</v>
      </c>
      <c r="B119" s="44"/>
      <c r="C119" s="44" t="s">
        <v>1</v>
      </c>
      <c r="D119" s="44"/>
      <c r="E119" s="44" t="s">
        <v>1</v>
      </c>
      <c r="F119" s="44"/>
      <c r="G119" s="44" t="s">
        <v>1</v>
      </c>
      <c r="H119" s="44"/>
      <c r="I119" s="45" t="s">
        <v>1</v>
      </c>
      <c r="J119" s="46"/>
      <c r="K119" s="45" t="s">
        <v>1</v>
      </c>
      <c r="L119" s="33"/>
      <c r="M119" s="45" t="s">
        <v>1</v>
      </c>
      <c r="N119" s="33"/>
      <c r="O119" s="44" t="s">
        <v>2</v>
      </c>
      <c r="P119" s="44">
        <v>44974</v>
      </c>
      <c r="Q119" s="44" t="s">
        <v>2</v>
      </c>
      <c r="R119" s="44">
        <v>45004</v>
      </c>
      <c r="S119" s="44" t="s">
        <v>2</v>
      </c>
      <c r="T119" s="44">
        <v>45004</v>
      </c>
      <c r="U119" s="44" t="s">
        <v>2</v>
      </c>
      <c r="V119" s="44">
        <v>45007</v>
      </c>
      <c r="W119" s="44" t="s">
        <v>2</v>
      </c>
      <c r="X119" s="44"/>
      <c r="Y119" s="44" t="s">
        <v>2</v>
      </c>
      <c r="Z119" s="44">
        <v>45007</v>
      </c>
      <c r="AA119" s="44" t="s">
        <v>2</v>
      </c>
      <c r="AB119" s="44"/>
      <c r="AC119" s="51">
        <v>45044</v>
      </c>
      <c r="AD119" s="50">
        <v>45141</v>
      </c>
      <c r="AE119" s="40" t="s">
        <v>2</v>
      </c>
      <c r="AF119" s="40" t="s">
        <v>2</v>
      </c>
      <c r="AG119" s="76" t="s">
        <v>5</v>
      </c>
      <c r="AH119" s="36" t="s">
        <v>0</v>
      </c>
      <c r="AI119" s="49">
        <v>0</v>
      </c>
      <c r="AJ119" s="36"/>
      <c r="AK119" s="10"/>
      <c r="AL119" s="36" t="s">
        <v>22</v>
      </c>
      <c r="AM119" s="36" t="s">
        <v>1</v>
      </c>
      <c r="AN119" s="35" t="s">
        <v>1</v>
      </c>
      <c r="AO119" s="35" t="s">
        <v>1</v>
      </c>
      <c r="AP119" s="35" t="s">
        <v>2</v>
      </c>
      <c r="AQ119" s="35" t="s">
        <v>1</v>
      </c>
      <c r="AR119" s="34" t="s">
        <v>1</v>
      </c>
      <c r="AS119" s="33"/>
      <c r="AT119" s="32" t="s">
        <v>1</v>
      </c>
      <c r="AU119" s="31"/>
      <c r="AV119" s="32" t="s">
        <v>1</v>
      </c>
      <c r="AW119" s="31"/>
      <c r="AX119" s="30" t="s">
        <v>2</v>
      </c>
      <c r="AY119" s="55">
        <v>45141</v>
      </c>
      <c r="AZ119" s="30" t="s">
        <v>2</v>
      </c>
      <c r="BA119" s="55"/>
      <c r="BB119" s="74"/>
      <c r="BC119" s="25"/>
      <c r="BD119" s="24" t="s">
        <v>11</v>
      </c>
      <c r="BE119" s="24" t="s">
        <v>11</v>
      </c>
      <c r="BF119" s="24" t="s">
        <v>21</v>
      </c>
      <c r="BG119" s="24" t="s">
        <v>80</v>
      </c>
      <c r="BH119" s="130" t="s">
        <v>18</v>
      </c>
      <c r="BI119" s="24" t="s">
        <v>243</v>
      </c>
      <c r="BJ119" s="24" t="s">
        <v>11</v>
      </c>
      <c r="BK119" s="24" t="s">
        <v>11</v>
      </c>
      <c r="BL119" s="24">
        <v>45390</v>
      </c>
      <c r="BM119" s="24" t="s">
        <v>18</v>
      </c>
      <c r="BN119" s="24" t="s">
        <v>11</v>
      </c>
      <c r="BO119" s="24"/>
      <c r="BP119" s="24" t="s">
        <v>761</v>
      </c>
      <c r="BQ119" s="22">
        <f>YEAR([1]!BANCO10[[#This Row],[DATA INÍCIO]])</f>
        <v>2023</v>
      </c>
      <c r="BR119" s="22">
        <f>MONTH([1]!BANCO10[[#This Row],[DATA INÍCIO]])</f>
        <v>4</v>
      </c>
      <c r="BS119" s="129" t="e">
        <f>CONCATENATE(#REF!,#REF!)</f>
        <v>#REF!</v>
      </c>
      <c r="BT119" s="22"/>
      <c r="BU119" s="21" t="s">
        <v>640</v>
      </c>
      <c r="BV119" s="21" t="str">
        <f>IF([1]!BANCO10[[#This Row],[SOLUÇÃO]]=BV$1,[1]!BANCO10[[#This Row],[STATUS DA ETAPA]],"")</f>
        <v/>
      </c>
      <c r="BW119" s="21" t="str">
        <f>IF([1]!BANCO10[[#This Row],[SOLUÇÃO]]=BW$1,[1]!BANCO10[[#This Row],[STATUS DA ETAPA]],"")</f>
        <v/>
      </c>
      <c r="BX119" s="21" t="str">
        <f>IF([1]!BANCO10[[#This Row],[SOLUÇÃO]]=BX$1,[1]!BANCO10[[#This Row],[STATUS DA ETAPA]],"")</f>
        <v/>
      </c>
      <c r="BY119" s="21" t="str">
        <f>IF([1]!BANCO10[[#This Row],[SOLUÇÃO]]=BY$1,[1]!BANCO10[[#This Row],[STATUS DA ETAPA]],"")</f>
        <v/>
      </c>
      <c r="BZ119" s="21" t="str">
        <f>IF([1]!BANCO10[[#This Row],[SOLUÇÃO]]=BZ$1,[1]!BANCO10[[#This Row],[STATUS DA ETAPA]],"")</f>
        <v/>
      </c>
      <c r="CA119" s="21" t="str">
        <f>IF([1]!BANCO10[[#This Row],[SOLUÇÃO]]=CA$1,[1]!BANCO10[[#This Row],[STATUS DA ETAPA]],"")</f>
        <v>CONCLUÍDO</v>
      </c>
      <c r="CB119" s="21" t="str">
        <f>IF([1]!BANCO10[[#This Row],[SOLUÇÃO]]=CB$1,[1]!BANCO10[[#This Row],[STATUS DA ETAPA]],"")</f>
        <v/>
      </c>
      <c r="CC119" s="21" t="str">
        <f>IF([1]!BANCO10[[#This Row],[SOLUÇÃO]]=CC$1,[1]!BANCO10[[#This Row],[STATUS DA ETAPA]],"")</f>
        <v/>
      </c>
      <c r="CD119" s="21" t="str">
        <f>IF([1]!BANCO10[[#This Row],[SOLUÇÃO]]=CD$1,[1]!BANCO10[[#This Row],[STATUS DA ETAPA]],"")</f>
        <v/>
      </c>
      <c r="CE119" s="21" t="str">
        <f>IF([1]!BANCO10[[#This Row],[SOLUÇÃO]]=CE$1,[1]!BANCO10[[#This Row],[STATUS DA ETAPA]],"")</f>
        <v/>
      </c>
      <c r="CF119" s="21" t="str">
        <f>IF([1]!BANCO10[[#This Row],[SOLUÇÃO]]=CF$1,[1]!BANCO10[[#This Row],[STATUS DA ETAPA]],"")</f>
        <v/>
      </c>
      <c r="CG119" s="21" t="str">
        <f>IF([1]!BANCO10[[#This Row],[SOLUÇÃO]]=CG$1,[1]!BANCO10[[#This Row],[STATUS DA ETAPA]],"")</f>
        <v/>
      </c>
      <c r="CH119" s="21" t="str">
        <f>IF([1]!BANCO10[[#This Row],[SOLUÇÃO]]=CH$1,[1]!BANCO10[[#This Row],[STATUS DA ETAPA]],"")</f>
        <v/>
      </c>
      <c r="CI119" s="21" t="str">
        <f>IF([1]!BANCO10[[#This Row],[SOLUÇÃO]]=CI$1,[1]!BANCO10[[#This Row],[STATUS DA ETAPA]],"")</f>
        <v/>
      </c>
      <c r="CJ119" s="21" t="str">
        <f>IF([1]!BANCO10[[#This Row],[SOLUÇÃO]]=CJ$1,[1]!BANCO10[[#This Row],[STATUS DA ETAPA]],"")</f>
        <v/>
      </c>
      <c r="CK119" s="21" t="str">
        <f>IF([1]!BANCO10[[#This Row],[SOLUÇÃO]]=CK$1,[1]!BANCO10[[#This Row],[STATUS DA ETAPA]],"")</f>
        <v/>
      </c>
      <c r="CL119" s="21" t="str">
        <f>IF([1]!BANCO10[[#This Row],[SOLUÇÃO]]=CL$1,[1]!BANCO10[[#This Row],[STATUS DA ETAPA]],"")</f>
        <v/>
      </c>
      <c r="CM119" s="21" t="str">
        <f>IF([1]!BANCO10[[#This Row],[SOLUÇÃO]]=CM$1,[1]!BANCO10[[#This Row],[STATUS DA ETAPA]],"")</f>
        <v/>
      </c>
      <c r="CN119" s="21" t="str">
        <f>IF([1]!BANCO10[[#This Row],[SOLUÇÃO]]=CN$1,[1]!BANCO10[[#This Row],[STATUS DA ETAPA]],"")</f>
        <v/>
      </c>
      <c r="CO119" s="21" t="str">
        <f>IF([1]!BANCO10[[#This Row],[SOLUÇÃO]]=CO$1,[1]!BANCO10[[#This Row],[STATUS DA ETAPA]],"")</f>
        <v/>
      </c>
      <c r="CP119" s="21" t="str">
        <f>IF([1]!BANCO10[[#This Row],[SOLUÇÃO]]=CP$1,[1]!BANCO10[[#This Row],[STATUS DA ETAPA]],"")</f>
        <v/>
      </c>
      <c r="CQ119" s="21" t="str">
        <f>IF([1]!BANCO10[[#This Row],[SOLUÇÃO]]=CQ$1,[1]!BANCO10[[#This Row],[STATUS DA ETAPA]],"")</f>
        <v/>
      </c>
      <c r="CR119" s="21" t="str">
        <f>IF([1]!BANCO10[[#This Row],[SOLUÇÃO]]=CR$1,[1]!BANCO10[[#This Row],[STATUS DA ETAPA]],"")</f>
        <v/>
      </c>
      <c r="CS119" s="21" t="str">
        <f>IF([1]!BANCO10[[#This Row],[SOLUÇÃO]]=CS$1,[1]!BANCO10[[#This Row],[STATUS DA ETAPA]],"")</f>
        <v/>
      </c>
      <c r="CT119" s="21" t="str">
        <f>IF([1]!BANCO10[[#This Row],[SOLUÇÃO]]=CT$1,[1]!BANCO10[[#This Row],[STATUS DA ETAPA]],"")</f>
        <v/>
      </c>
      <c r="CU119" s="21" t="str">
        <f>IF([1]!BANCO10[[#This Row],[SOLUÇÃO]]=CU$1,[1]!BANCO10[[#This Row],[STATUS DA ETAPA]],"")</f>
        <v/>
      </c>
      <c r="CV119" s="21" t="str">
        <f>IF([1]!BANCO10[[#This Row],[SOLUÇÃO]]=CV$1,[1]!BANCO10[[#This Row],[STATUS DA ETAPA]],"")</f>
        <v/>
      </c>
    </row>
    <row r="120" spans="1:100">
      <c r="A120" s="44" t="s">
        <v>1</v>
      </c>
      <c r="B120" s="44"/>
      <c r="C120" s="44" t="s">
        <v>1</v>
      </c>
      <c r="D120" s="44"/>
      <c r="E120" s="44" t="s">
        <v>1</v>
      </c>
      <c r="F120" s="44"/>
      <c r="G120" s="44" t="s">
        <v>1</v>
      </c>
      <c r="H120" s="44"/>
      <c r="I120" s="45" t="s">
        <v>1</v>
      </c>
      <c r="J120" s="46"/>
      <c r="K120" s="45" t="s">
        <v>1</v>
      </c>
      <c r="L120" s="33"/>
      <c r="M120" s="45" t="s">
        <v>1</v>
      </c>
      <c r="N120" s="33"/>
      <c r="O120" s="44" t="s">
        <v>2</v>
      </c>
      <c r="P120" s="44">
        <v>45070</v>
      </c>
      <c r="Q120" s="44" t="s">
        <v>0</v>
      </c>
      <c r="R120" s="44"/>
      <c r="S120" s="44" t="s">
        <v>1</v>
      </c>
      <c r="T120" s="44"/>
      <c r="U120" s="44" t="s">
        <v>1</v>
      </c>
      <c r="V120" s="44"/>
      <c r="W120" s="44" t="s">
        <v>1</v>
      </c>
      <c r="X120" s="44"/>
      <c r="Y120" s="44" t="s">
        <v>1</v>
      </c>
      <c r="Z120" s="44"/>
      <c r="AA120" s="44" t="s">
        <v>1</v>
      </c>
      <c r="AB120" s="44"/>
      <c r="AC120" s="51">
        <v>45061</v>
      </c>
      <c r="AD120" s="50">
        <v>45061</v>
      </c>
      <c r="AE120" s="40" t="s">
        <v>1</v>
      </c>
      <c r="AF120" s="40" t="s">
        <v>1</v>
      </c>
      <c r="AG120" s="76" t="s">
        <v>5</v>
      </c>
      <c r="AH120" s="36" t="s">
        <v>1</v>
      </c>
      <c r="AI120" s="49">
        <v>0</v>
      </c>
      <c r="AJ120" s="36" t="s">
        <v>1</v>
      </c>
      <c r="AK120" s="10" t="s">
        <v>1</v>
      </c>
      <c r="AL120" s="36" t="s">
        <v>1</v>
      </c>
      <c r="AM120" s="36" t="s">
        <v>1</v>
      </c>
      <c r="AN120" s="35" t="s">
        <v>1</v>
      </c>
      <c r="AO120" s="35" t="s">
        <v>1</v>
      </c>
      <c r="AP120" s="35" t="s">
        <v>1</v>
      </c>
      <c r="AQ120" s="35" t="s">
        <v>1</v>
      </c>
      <c r="AR120" s="82" t="s">
        <v>1</v>
      </c>
      <c r="AS120" s="33"/>
      <c r="AT120" s="30"/>
      <c r="AU120" s="55"/>
      <c r="AV120" s="30"/>
      <c r="AW120" s="55"/>
      <c r="AX120" s="30" t="s">
        <v>1</v>
      </c>
      <c r="AY120" s="55"/>
      <c r="AZ120" s="30" t="s">
        <v>1</v>
      </c>
      <c r="BA120" s="55"/>
      <c r="BB120" s="74"/>
      <c r="BC120" s="25"/>
      <c r="BD120" s="24" t="s">
        <v>11</v>
      </c>
      <c r="BE120" s="24" t="s">
        <v>11</v>
      </c>
      <c r="BF120" s="24" t="s">
        <v>19</v>
      </c>
      <c r="BG120" s="24" t="s">
        <v>11</v>
      </c>
      <c r="BH120" s="130" t="s">
        <v>19</v>
      </c>
      <c r="BI120" s="24"/>
      <c r="BJ120" s="24" t="s">
        <v>11</v>
      </c>
      <c r="BK120" s="24" t="s">
        <v>11</v>
      </c>
      <c r="BL120" s="24" t="s">
        <v>11</v>
      </c>
      <c r="BM120" s="24" t="s">
        <v>11</v>
      </c>
      <c r="BN120" s="24" t="s">
        <v>11</v>
      </c>
      <c r="BO120" s="24" t="s">
        <v>11</v>
      </c>
      <c r="BP120" s="24" t="s">
        <v>11</v>
      </c>
      <c r="BQ120" s="22">
        <f>YEAR([1]!BANCO10[[#This Row],[DATA INÍCIO]])</f>
        <v>2023</v>
      </c>
      <c r="BR120" s="22">
        <f>MONTH([1]!BANCO10[[#This Row],[DATA INÍCIO]])</f>
        <v>5</v>
      </c>
      <c r="BS120" s="129" t="e">
        <f>CONCATENATE(#REF!,#REF!)</f>
        <v>#REF!</v>
      </c>
      <c r="BT120" s="22"/>
      <c r="BU120" s="21" t="s">
        <v>760</v>
      </c>
      <c r="BV120" s="21" t="str">
        <f>IF([1]!BANCO10[[#This Row],[SOLUÇÃO]]=BV$1,[1]!BANCO10[[#This Row],[STATUS DA ETAPA]],"")</f>
        <v>CONCLUÍDO</v>
      </c>
      <c r="BW120" s="21" t="str">
        <f>IF([1]!BANCO10[[#This Row],[SOLUÇÃO]]=BW$1,[1]!BANCO10[[#This Row],[STATUS DA ETAPA]],"")</f>
        <v/>
      </c>
      <c r="BX120" s="21" t="str">
        <f>IF([1]!BANCO10[[#This Row],[SOLUÇÃO]]=BX$1,[1]!BANCO10[[#This Row],[STATUS DA ETAPA]],"")</f>
        <v/>
      </c>
      <c r="BY120" s="21" t="str">
        <f>IF([1]!BANCO10[[#This Row],[SOLUÇÃO]]=BY$1,[1]!BANCO10[[#This Row],[STATUS DA ETAPA]],"")</f>
        <v/>
      </c>
      <c r="BZ120" s="21" t="str">
        <f>IF([1]!BANCO10[[#This Row],[SOLUÇÃO]]=BZ$1,[1]!BANCO10[[#This Row],[STATUS DA ETAPA]],"")</f>
        <v/>
      </c>
      <c r="CA120" s="21" t="str">
        <f>IF([1]!BANCO10[[#This Row],[SOLUÇÃO]]=CA$1,[1]!BANCO10[[#This Row],[STATUS DA ETAPA]],"")</f>
        <v/>
      </c>
      <c r="CB120" s="21" t="str">
        <f>IF([1]!BANCO10[[#This Row],[SOLUÇÃO]]=CB$1,[1]!BANCO10[[#This Row],[STATUS DA ETAPA]],"")</f>
        <v/>
      </c>
      <c r="CC120" s="21" t="str">
        <f>IF([1]!BANCO10[[#This Row],[SOLUÇÃO]]=CC$1,[1]!BANCO10[[#This Row],[STATUS DA ETAPA]],"")</f>
        <v/>
      </c>
      <c r="CD120" s="21" t="str">
        <f>IF([1]!BANCO10[[#This Row],[SOLUÇÃO]]=CD$1,[1]!BANCO10[[#This Row],[STATUS DA ETAPA]],"")</f>
        <v/>
      </c>
      <c r="CE120" s="21" t="str">
        <f>IF([1]!BANCO10[[#This Row],[SOLUÇÃO]]=CE$1,[1]!BANCO10[[#This Row],[STATUS DA ETAPA]],"")</f>
        <v/>
      </c>
      <c r="CF120" s="21" t="str">
        <f>IF([1]!BANCO10[[#This Row],[SOLUÇÃO]]=CF$1,[1]!BANCO10[[#This Row],[STATUS DA ETAPA]],"")</f>
        <v/>
      </c>
      <c r="CG120" s="21" t="str">
        <f>IF([1]!BANCO10[[#This Row],[SOLUÇÃO]]=CG$1,[1]!BANCO10[[#This Row],[STATUS DA ETAPA]],"")</f>
        <v/>
      </c>
      <c r="CH120" s="21" t="str">
        <f>IF([1]!BANCO10[[#This Row],[SOLUÇÃO]]=CH$1,[1]!BANCO10[[#This Row],[STATUS DA ETAPA]],"")</f>
        <v/>
      </c>
      <c r="CI120" s="21" t="str">
        <f>IF([1]!BANCO10[[#This Row],[SOLUÇÃO]]=CI$1,[1]!BANCO10[[#This Row],[STATUS DA ETAPA]],"")</f>
        <v/>
      </c>
      <c r="CJ120" s="21" t="str">
        <f>IF([1]!BANCO10[[#This Row],[SOLUÇÃO]]=CJ$1,[1]!BANCO10[[#This Row],[STATUS DA ETAPA]],"")</f>
        <v/>
      </c>
      <c r="CK120" s="21" t="str">
        <f>IF([1]!BANCO10[[#This Row],[SOLUÇÃO]]=CK$1,[1]!BANCO10[[#This Row],[STATUS DA ETAPA]],"")</f>
        <v/>
      </c>
      <c r="CL120" s="21" t="str">
        <f>IF([1]!BANCO10[[#This Row],[SOLUÇÃO]]=CL$1,[1]!BANCO10[[#This Row],[STATUS DA ETAPA]],"")</f>
        <v/>
      </c>
      <c r="CM120" s="21" t="str">
        <f>IF([1]!BANCO10[[#This Row],[SOLUÇÃO]]=CM$1,[1]!BANCO10[[#This Row],[STATUS DA ETAPA]],"")</f>
        <v/>
      </c>
      <c r="CN120" s="21" t="str">
        <f>IF([1]!BANCO10[[#This Row],[SOLUÇÃO]]=CN$1,[1]!BANCO10[[#This Row],[STATUS DA ETAPA]],"")</f>
        <v/>
      </c>
      <c r="CO120" s="21" t="str">
        <f>IF([1]!BANCO10[[#This Row],[SOLUÇÃO]]=CO$1,[1]!BANCO10[[#This Row],[STATUS DA ETAPA]],"")</f>
        <v/>
      </c>
      <c r="CP120" s="21" t="str">
        <f>IF([1]!BANCO10[[#This Row],[SOLUÇÃO]]=CP$1,[1]!BANCO10[[#This Row],[STATUS DA ETAPA]],"")</f>
        <v/>
      </c>
      <c r="CQ120" s="21" t="str">
        <f>IF([1]!BANCO10[[#This Row],[SOLUÇÃO]]=CQ$1,[1]!BANCO10[[#This Row],[STATUS DA ETAPA]],"")</f>
        <v/>
      </c>
      <c r="CR120" s="21" t="str">
        <f>IF([1]!BANCO10[[#This Row],[SOLUÇÃO]]=CR$1,[1]!BANCO10[[#This Row],[STATUS DA ETAPA]],"")</f>
        <v/>
      </c>
      <c r="CS120" s="21" t="str">
        <f>IF([1]!BANCO10[[#This Row],[SOLUÇÃO]]=CS$1,[1]!BANCO10[[#This Row],[STATUS DA ETAPA]],"")</f>
        <v/>
      </c>
      <c r="CT120" s="21" t="str">
        <f>IF([1]!BANCO10[[#This Row],[SOLUÇÃO]]=CT$1,[1]!BANCO10[[#This Row],[STATUS DA ETAPA]],"")</f>
        <v/>
      </c>
      <c r="CU120" s="21" t="str">
        <f>IF([1]!BANCO10[[#This Row],[SOLUÇÃO]]=CU$1,[1]!BANCO10[[#This Row],[STATUS DA ETAPA]],"")</f>
        <v/>
      </c>
      <c r="CV120" s="21" t="str">
        <f>IF([1]!BANCO10[[#This Row],[SOLUÇÃO]]=CV$1,[1]!BANCO10[[#This Row],[STATUS DA ETAPA]],"")</f>
        <v/>
      </c>
    </row>
    <row r="121" spans="1:100">
      <c r="A121" s="44" t="s">
        <v>1</v>
      </c>
      <c r="B121" s="44"/>
      <c r="C121" s="44" t="s">
        <v>1</v>
      </c>
      <c r="D121" s="44"/>
      <c r="E121" s="44" t="s">
        <v>1</v>
      </c>
      <c r="F121" s="44"/>
      <c r="G121" s="44" t="s">
        <v>1</v>
      </c>
      <c r="H121" s="44"/>
      <c r="I121" s="45" t="s">
        <v>1</v>
      </c>
      <c r="J121" s="46"/>
      <c r="K121" s="45" t="s">
        <v>1</v>
      </c>
      <c r="L121" s="33"/>
      <c r="M121" s="45" t="s">
        <v>1</v>
      </c>
      <c r="N121" s="33"/>
      <c r="O121" s="44" t="s">
        <v>2</v>
      </c>
      <c r="P121" s="44">
        <v>45070</v>
      </c>
      <c r="Q121" s="44" t="s">
        <v>2</v>
      </c>
      <c r="R121" s="44">
        <v>45168</v>
      </c>
      <c r="S121" s="44"/>
      <c r="T121" s="44"/>
      <c r="U121" s="44" t="s">
        <v>1</v>
      </c>
      <c r="V121" s="44"/>
      <c r="W121" s="44" t="s">
        <v>1</v>
      </c>
      <c r="X121" s="44"/>
      <c r="Y121" s="44" t="s">
        <v>1</v>
      </c>
      <c r="Z121" s="44"/>
      <c r="AA121" s="44" t="s">
        <v>1</v>
      </c>
      <c r="AB121" s="44"/>
      <c r="AC121" s="51">
        <v>45963</v>
      </c>
      <c r="AD121" s="50">
        <v>45963</v>
      </c>
      <c r="AE121" s="41"/>
      <c r="AF121" s="41"/>
      <c r="AG121" s="76" t="s">
        <v>5</v>
      </c>
      <c r="AH121" s="36" t="s">
        <v>0</v>
      </c>
      <c r="AI121" s="49">
        <v>0</v>
      </c>
      <c r="AJ121" s="36"/>
      <c r="AK121" s="10" t="s">
        <v>30</v>
      </c>
      <c r="AL121" s="36" t="s">
        <v>30</v>
      </c>
      <c r="AM121" s="36" t="s">
        <v>30</v>
      </c>
      <c r="AN121" s="35" t="s">
        <v>1</v>
      </c>
      <c r="AO121" s="35" t="s">
        <v>1</v>
      </c>
      <c r="AP121" s="35"/>
      <c r="AQ121" s="35" t="s">
        <v>1</v>
      </c>
      <c r="AR121" s="34" t="s">
        <v>1</v>
      </c>
      <c r="AS121" s="33"/>
      <c r="AT121" s="32"/>
      <c r="AU121" s="31"/>
      <c r="AV121" s="32"/>
      <c r="AW121" s="31"/>
      <c r="AX121" s="30" t="s">
        <v>0</v>
      </c>
      <c r="AY121" s="29"/>
      <c r="AZ121" s="28" t="s">
        <v>0</v>
      </c>
      <c r="BA121" s="27"/>
      <c r="BB121" s="74"/>
      <c r="BC121" s="25"/>
      <c r="BD121" s="24" t="s">
        <v>11</v>
      </c>
      <c r="BE121" s="24" t="s">
        <v>11</v>
      </c>
      <c r="BF121" s="24" t="s">
        <v>19</v>
      </c>
      <c r="BG121" s="24" t="s">
        <v>11</v>
      </c>
      <c r="BH121" s="130" t="s">
        <v>19</v>
      </c>
      <c r="BI121" s="24"/>
      <c r="BJ121" s="24" t="s">
        <v>11</v>
      </c>
      <c r="BK121" s="24" t="s">
        <v>11</v>
      </c>
      <c r="BL121" s="24">
        <v>45391</v>
      </c>
      <c r="BM121" s="24"/>
      <c r="BN121" s="24" t="s">
        <v>11</v>
      </c>
      <c r="BO121" s="24"/>
      <c r="BP121" s="24" t="s">
        <v>759</v>
      </c>
      <c r="BQ121" s="22">
        <f>YEAR([1]!BANCO10[[#This Row],[DATA INÍCIO]])</f>
        <v>2025</v>
      </c>
      <c r="BR121" s="22">
        <f>MONTH([1]!BANCO10[[#This Row],[DATA INÍCIO]])</f>
        <v>11</v>
      </c>
      <c r="BS121" s="129" t="e">
        <f>CONCATENATE(#REF!,#REF!)</f>
        <v>#REF!</v>
      </c>
      <c r="BT121" s="22"/>
      <c r="BU121" s="21" t="s">
        <v>30</v>
      </c>
      <c r="BV121" s="21" t="str">
        <f>IF([1]!BANCO10[[#This Row],[SOLUÇÃO]]=BV$1,[1]!BANCO10[[#This Row],[STATUS DA ETAPA]],"")</f>
        <v/>
      </c>
      <c r="BW121" s="21" t="str">
        <f>IF([1]!BANCO10[[#This Row],[SOLUÇÃO]]=BW$1,[1]!BANCO10[[#This Row],[STATUS DA ETAPA]],"")</f>
        <v/>
      </c>
      <c r="BX121" s="21" t="str">
        <f>IF([1]!BANCO10[[#This Row],[SOLUÇÃO]]=BX$1,[1]!BANCO10[[#This Row],[STATUS DA ETAPA]],"")</f>
        <v/>
      </c>
      <c r="BY121" s="21" t="str">
        <f>IF([1]!BANCO10[[#This Row],[SOLUÇÃO]]=BY$1,[1]!BANCO10[[#This Row],[STATUS DA ETAPA]],"")</f>
        <v/>
      </c>
      <c r="BZ121" s="21" t="str">
        <f>IF([1]!BANCO10[[#This Row],[SOLUÇÃO]]=BZ$1,[1]!BANCO10[[#This Row],[STATUS DA ETAPA]],"")</f>
        <v/>
      </c>
      <c r="CA121" s="21" t="str">
        <f>IF([1]!BANCO10[[#This Row],[SOLUÇÃO]]=CA$1,[1]!BANCO10[[#This Row],[STATUS DA ETAPA]],"")</f>
        <v/>
      </c>
      <c r="CB121" s="21" t="str">
        <f>IF([1]!BANCO10[[#This Row],[SOLUÇÃO]]=CB$1,[1]!BANCO10[[#This Row],[STATUS DA ETAPA]],"")</f>
        <v/>
      </c>
      <c r="CC121" s="21" t="str">
        <f>IF([1]!BANCO10[[#This Row],[SOLUÇÃO]]=CC$1,[1]!BANCO10[[#This Row],[STATUS DA ETAPA]],"")</f>
        <v/>
      </c>
      <c r="CD121" s="21" t="str">
        <f>IF([1]!BANCO10[[#This Row],[SOLUÇÃO]]=CD$1,[1]!BANCO10[[#This Row],[STATUS DA ETAPA]],"")</f>
        <v/>
      </c>
      <c r="CE121" s="21" t="str">
        <f>IF([1]!BANCO10[[#This Row],[SOLUÇÃO]]=CE$1,[1]!BANCO10[[#This Row],[STATUS DA ETAPA]],"")</f>
        <v/>
      </c>
      <c r="CF121" s="21" t="str">
        <f>IF([1]!BANCO10[[#This Row],[SOLUÇÃO]]=CF$1,[1]!BANCO10[[#This Row],[STATUS DA ETAPA]],"")</f>
        <v/>
      </c>
      <c r="CG121" s="21" t="str">
        <f>IF([1]!BANCO10[[#This Row],[SOLUÇÃO]]=CG$1,[1]!BANCO10[[#This Row],[STATUS DA ETAPA]],"")</f>
        <v/>
      </c>
      <c r="CH121" s="21" t="str">
        <f>IF([1]!BANCO10[[#This Row],[SOLUÇÃO]]=CH$1,[1]!BANCO10[[#This Row],[STATUS DA ETAPA]],"")</f>
        <v/>
      </c>
      <c r="CI121" s="21" t="str">
        <f>IF([1]!BANCO10[[#This Row],[SOLUÇÃO]]=CI$1,[1]!BANCO10[[#This Row],[STATUS DA ETAPA]],"")</f>
        <v/>
      </c>
      <c r="CJ121" s="21" t="str">
        <f>IF([1]!BANCO10[[#This Row],[SOLUÇÃO]]=CJ$1,[1]!BANCO10[[#This Row],[STATUS DA ETAPA]],"")</f>
        <v/>
      </c>
      <c r="CK121" s="21" t="str">
        <f>IF([1]!BANCO10[[#This Row],[SOLUÇÃO]]=CK$1,[1]!BANCO10[[#This Row],[STATUS DA ETAPA]],"")</f>
        <v>PROSPECÇÃO</v>
      </c>
      <c r="CL121" s="21" t="str">
        <f>IF([1]!BANCO10[[#This Row],[SOLUÇÃO]]=CL$1,[1]!BANCO10[[#This Row],[STATUS DA ETAPA]],"")</f>
        <v/>
      </c>
      <c r="CM121" s="21" t="str">
        <f>IF([1]!BANCO10[[#This Row],[SOLUÇÃO]]=CM$1,[1]!BANCO10[[#This Row],[STATUS DA ETAPA]],"")</f>
        <v/>
      </c>
      <c r="CN121" s="21" t="str">
        <f>IF([1]!BANCO10[[#This Row],[SOLUÇÃO]]=CN$1,[1]!BANCO10[[#This Row],[STATUS DA ETAPA]],"")</f>
        <v/>
      </c>
      <c r="CO121" s="21" t="str">
        <f>IF([1]!BANCO10[[#This Row],[SOLUÇÃO]]=CO$1,[1]!BANCO10[[#This Row],[STATUS DA ETAPA]],"")</f>
        <v/>
      </c>
      <c r="CP121" s="21" t="str">
        <f>IF([1]!BANCO10[[#This Row],[SOLUÇÃO]]=CP$1,[1]!BANCO10[[#This Row],[STATUS DA ETAPA]],"")</f>
        <v/>
      </c>
      <c r="CQ121" s="21" t="str">
        <f>IF([1]!BANCO10[[#This Row],[SOLUÇÃO]]=CQ$1,[1]!BANCO10[[#This Row],[STATUS DA ETAPA]],"")</f>
        <v/>
      </c>
      <c r="CR121" s="21" t="str">
        <f>IF([1]!BANCO10[[#This Row],[SOLUÇÃO]]=CR$1,[1]!BANCO10[[#This Row],[STATUS DA ETAPA]],"")</f>
        <v/>
      </c>
      <c r="CS121" s="21" t="str">
        <f>IF([1]!BANCO10[[#This Row],[SOLUÇÃO]]=CS$1,[1]!BANCO10[[#This Row],[STATUS DA ETAPA]],"")</f>
        <v/>
      </c>
      <c r="CT121" s="21" t="str">
        <f>IF([1]!BANCO10[[#This Row],[SOLUÇÃO]]=CT$1,[1]!BANCO10[[#This Row],[STATUS DA ETAPA]],"")</f>
        <v/>
      </c>
      <c r="CU121" s="21" t="str">
        <f>IF([1]!BANCO10[[#This Row],[SOLUÇÃO]]=CU$1,[1]!BANCO10[[#This Row],[STATUS DA ETAPA]],"")</f>
        <v/>
      </c>
      <c r="CV121" s="21" t="str">
        <f>IF([1]!BANCO10[[#This Row],[SOLUÇÃO]]=CV$1,[1]!BANCO10[[#This Row],[STATUS DA ETAPA]],"")</f>
        <v/>
      </c>
    </row>
    <row r="122" spans="1:100">
      <c r="A122" s="44" t="s">
        <v>1</v>
      </c>
      <c r="B122" s="44"/>
      <c r="C122" s="44" t="s">
        <v>1</v>
      </c>
      <c r="D122" s="44"/>
      <c r="E122" s="44" t="s">
        <v>1</v>
      </c>
      <c r="F122" s="44"/>
      <c r="G122" s="44" t="s">
        <v>1</v>
      </c>
      <c r="H122" s="44"/>
      <c r="I122" s="45" t="s">
        <v>1</v>
      </c>
      <c r="J122" s="46"/>
      <c r="K122" s="45" t="s">
        <v>1</v>
      </c>
      <c r="L122" s="33"/>
      <c r="M122" s="45" t="s">
        <v>1</v>
      </c>
      <c r="N122" s="33"/>
      <c r="O122" s="44" t="s">
        <v>1</v>
      </c>
      <c r="P122" s="44"/>
      <c r="Q122" s="44" t="s">
        <v>1</v>
      </c>
      <c r="R122" s="44"/>
      <c r="S122" s="44" t="s">
        <v>1</v>
      </c>
      <c r="T122" s="44"/>
      <c r="U122" s="44" t="s">
        <v>1</v>
      </c>
      <c r="V122" s="44"/>
      <c r="W122" s="44" t="s">
        <v>1</v>
      </c>
      <c r="X122" s="44"/>
      <c r="Y122" s="44" t="s">
        <v>1</v>
      </c>
      <c r="Z122" s="44"/>
      <c r="AA122" s="44" t="s">
        <v>1</v>
      </c>
      <c r="AB122" s="44"/>
      <c r="AC122" s="51">
        <v>45548</v>
      </c>
      <c r="AD122" s="51">
        <v>45548</v>
      </c>
      <c r="AE122" s="41" t="s">
        <v>1</v>
      </c>
      <c r="AF122" s="41" t="s">
        <v>1</v>
      </c>
      <c r="AG122" s="40" t="s">
        <v>5</v>
      </c>
      <c r="AH122" s="36" t="s">
        <v>1</v>
      </c>
      <c r="AI122" s="49">
        <v>0</v>
      </c>
      <c r="AJ122" s="36" t="s">
        <v>1</v>
      </c>
      <c r="AK122" s="10" t="s">
        <v>1</v>
      </c>
      <c r="AL122" s="36" t="s">
        <v>1</v>
      </c>
      <c r="AM122" s="36" t="s">
        <v>1</v>
      </c>
      <c r="AN122" s="35" t="s">
        <v>1</v>
      </c>
      <c r="AO122" s="35" t="s">
        <v>1</v>
      </c>
      <c r="AP122" s="35" t="s">
        <v>1</v>
      </c>
      <c r="AQ122" s="35" t="s">
        <v>1</v>
      </c>
      <c r="AR122" s="90" t="s">
        <v>1</v>
      </c>
      <c r="AS122" s="89"/>
      <c r="AT122" s="88"/>
      <c r="AU122" s="25"/>
      <c r="AV122" s="88"/>
      <c r="AW122" s="25"/>
      <c r="AX122" s="88" t="s">
        <v>1</v>
      </c>
      <c r="AY122" s="25"/>
      <c r="AZ122" s="88" t="s">
        <v>1</v>
      </c>
      <c r="BA122" s="25"/>
      <c r="BB122" s="39" t="s">
        <v>144</v>
      </c>
      <c r="BC122" s="25"/>
      <c r="BD122" s="24"/>
      <c r="BE122" s="24"/>
      <c r="BF122" s="79"/>
      <c r="BG122" s="79"/>
      <c r="BH122" s="80"/>
      <c r="BI122" s="79"/>
      <c r="BJ122" s="54"/>
      <c r="BK122" s="78"/>
      <c r="BL122" s="69"/>
      <c r="BM122" s="78"/>
      <c r="BN122" s="78"/>
      <c r="BO122" s="78"/>
      <c r="BP122" s="78"/>
      <c r="BQ122" s="21">
        <f>YEAR([1]!BANCO10[[#This Row],[DATA INÍCIO]])</f>
        <v>2024</v>
      </c>
      <c r="BR122" s="21">
        <f>MONTH([1]!BANCO10[[#This Row],[DATA INÍCIO]])</f>
        <v>9</v>
      </c>
      <c r="BS122" s="21" t="e">
        <f>CONCATENATE(#REF!,#REF!)</f>
        <v>#REF!</v>
      </c>
      <c r="BT122" s="21"/>
      <c r="BU122" s="21"/>
      <c r="BV122" s="21" t="str">
        <f>IF([1]!BANCO10[[#This Row],[SOLUÇÃO]]=BV$1,[1]!BANCO10[[#This Row],[STATUS DA ETAPA]],"")</f>
        <v>CONCLUÍDO</v>
      </c>
      <c r="BW122" s="21" t="str">
        <f>IF([1]!BANCO10[[#This Row],[SOLUÇÃO]]=BW$1,[1]!BANCO10[[#This Row],[STATUS DA ETAPA]],"")</f>
        <v/>
      </c>
      <c r="BX122" s="21" t="str">
        <f>IF([1]!BANCO10[[#This Row],[SOLUÇÃO]]=BX$1,[1]!BANCO10[[#This Row],[STATUS DA ETAPA]],"")</f>
        <v/>
      </c>
      <c r="BY122" s="21" t="str">
        <f>IF([1]!BANCO10[[#This Row],[SOLUÇÃO]]=BY$1,[1]!BANCO10[[#This Row],[STATUS DA ETAPA]],"")</f>
        <v/>
      </c>
      <c r="BZ122" s="21" t="str">
        <f>IF([1]!BANCO10[[#This Row],[SOLUÇÃO]]=BZ$1,[1]!BANCO10[[#This Row],[STATUS DA ETAPA]],"")</f>
        <v/>
      </c>
      <c r="CA122" s="21" t="str">
        <f>IF([1]!BANCO10[[#This Row],[SOLUÇÃO]]=CA$1,[1]!BANCO10[[#This Row],[STATUS DA ETAPA]],"")</f>
        <v/>
      </c>
      <c r="CB122" s="21" t="str">
        <f>IF([1]!BANCO10[[#This Row],[SOLUÇÃO]]=CB$1,[1]!BANCO10[[#This Row],[STATUS DA ETAPA]],"")</f>
        <v/>
      </c>
      <c r="CC122" s="21" t="str">
        <f>IF([1]!BANCO10[[#This Row],[SOLUÇÃO]]=CC$1,[1]!BANCO10[[#This Row],[STATUS DA ETAPA]],"")</f>
        <v/>
      </c>
      <c r="CD122" s="21" t="str">
        <f>IF([1]!BANCO10[[#This Row],[SOLUÇÃO]]=CD$1,[1]!BANCO10[[#This Row],[STATUS DA ETAPA]],"")</f>
        <v/>
      </c>
      <c r="CE122" s="21" t="str">
        <f>IF([1]!BANCO10[[#This Row],[SOLUÇÃO]]=CE$1,[1]!BANCO10[[#This Row],[STATUS DA ETAPA]],"")</f>
        <v/>
      </c>
      <c r="CF122" s="21" t="str">
        <f>IF([1]!BANCO10[[#This Row],[SOLUÇÃO]]=CF$1,[1]!BANCO10[[#This Row],[STATUS DA ETAPA]],"")</f>
        <v/>
      </c>
      <c r="CG122" s="21" t="str">
        <f>IF([1]!BANCO10[[#This Row],[SOLUÇÃO]]=CG$1,[1]!BANCO10[[#This Row],[STATUS DA ETAPA]],"")</f>
        <v/>
      </c>
      <c r="CH122" s="21" t="str">
        <f>IF([1]!BANCO10[[#This Row],[SOLUÇÃO]]=CH$1,[1]!BANCO10[[#This Row],[STATUS DA ETAPA]],"")</f>
        <v/>
      </c>
      <c r="CI122" s="21" t="str">
        <f>IF([1]!BANCO10[[#This Row],[SOLUÇÃO]]=CI$1,[1]!BANCO10[[#This Row],[STATUS DA ETAPA]],"")</f>
        <v/>
      </c>
      <c r="CJ122" s="21" t="str">
        <f>IF([1]!BANCO10[[#This Row],[SOLUÇÃO]]=CJ$1,[1]!BANCO10[[#This Row],[STATUS DA ETAPA]],"")</f>
        <v/>
      </c>
      <c r="CK122" s="21" t="str">
        <f>IF([1]!BANCO10[[#This Row],[SOLUÇÃO]]=CK$1,[1]!BANCO10[[#This Row],[STATUS DA ETAPA]],"")</f>
        <v/>
      </c>
      <c r="CL122" s="22" t="str">
        <f>IF([1]!BANCO10[[#This Row],[SOLUÇÃO]]=CL$1,[1]!BANCO10[[#This Row],[STATUS DA ETAPA]],"")</f>
        <v/>
      </c>
      <c r="CM122" s="64" t="str">
        <f>IF([1]!BANCO10[[#This Row],[SOLUÇÃO]]=CM$1,[1]!BANCO10[[#This Row],[STATUS DA ETAPA]],"")</f>
        <v/>
      </c>
      <c r="CN122" s="64" t="str">
        <f>IF([1]!BANCO10[[#This Row],[SOLUÇÃO]]=CN$1,[1]!BANCO10[[#This Row],[STATUS DA ETAPA]],"")</f>
        <v/>
      </c>
      <c r="CO122" s="64" t="str">
        <f>IF([1]!BANCO10[[#This Row],[SOLUÇÃO]]=CO$1,[1]!BANCO10[[#This Row],[STATUS DA ETAPA]],"")</f>
        <v/>
      </c>
      <c r="CP122" s="64" t="str">
        <f>IF([1]!BANCO10[[#This Row],[SOLUÇÃO]]=CP$1,[1]!BANCO10[[#This Row],[STATUS DA ETAPA]],"")</f>
        <v/>
      </c>
      <c r="CQ122" s="64" t="str">
        <f>IF([1]!BANCO10[[#This Row],[SOLUÇÃO]]=CQ$1,[1]!BANCO10[[#This Row],[STATUS DA ETAPA]],"")</f>
        <v/>
      </c>
      <c r="CR122" s="64" t="str">
        <f>IF([1]!BANCO10[[#This Row],[SOLUÇÃO]]=CR$1,[1]!BANCO10[[#This Row],[STATUS DA ETAPA]],"")</f>
        <v/>
      </c>
      <c r="CS122" s="64" t="str">
        <f>IF([1]!BANCO10[[#This Row],[SOLUÇÃO]]=CS$1,[1]!BANCO10[[#This Row],[STATUS DA ETAPA]],"")</f>
        <v/>
      </c>
      <c r="CT122" s="64" t="str">
        <f>IF([1]!BANCO10[[#This Row],[SOLUÇÃO]]=CT$1,[1]!BANCO10[[#This Row],[STATUS DA ETAPA]],"")</f>
        <v/>
      </c>
      <c r="CU122" s="64" t="str">
        <f>IF([1]!BANCO10[[#This Row],[SOLUÇÃO]]=CU$1,[1]!BANCO10[[#This Row],[STATUS DA ETAPA]],"")</f>
        <v/>
      </c>
      <c r="CV122" s="64" t="str">
        <f>IF([1]!BANCO10[[#This Row],[SOLUÇÃO]]=CV$1,[1]!BANCO10[[#This Row],[STATUS DA ETAPA]],"")</f>
        <v/>
      </c>
    </row>
    <row r="123" spans="1:100">
      <c r="A123" s="44" t="s">
        <v>1</v>
      </c>
      <c r="B123" s="44"/>
      <c r="C123" s="44" t="s">
        <v>1</v>
      </c>
      <c r="D123" s="44"/>
      <c r="E123" s="44" t="s">
        <v>1</v>
      </c>
      <c r="F123" s="44"/>
      <c r="G123" s="44" t="s">
        <v>1</v>
      </c>
      <c r="H123" s="44"/>
      <c r="I123" s="45" t="s">
        <v>1</v>
      </c>
      <c r="J123" s="46"/>
      <c r="K123" s="45" t="s">
        <v>1</v>
      </c>
      <c r="L123" s="33"/>
      <c r="M123" s="45" t="s">
        <v>1</v>
      </c>
      <c r="N123" s="33"/>
      <c r="O123" s="44" t="s">
        <v>1</v>
      </c>
      <c r="P123" s="44">
        <v>45531</v>
      </c>
      <c r="Q123" s="44" t="s">
        <v>2</v>
      </c>
      <c r="R123" s="44">
        <v>45536</v>
      </c>
      <c r="S123" s="44" t="s">
        <v>2</v>
      </c>
      <c r="T123" s="44">
        <v>45594</v>
      </c>
      <c r="U123" s="44" t="s">
        <v>1</v>
      </c>
      <c r="V123" s="44"/>
      <c r="W123" s="44" t="s">
        <v>1</v>
      </c>
      <c r="X123" s="44"/>
      <c r="Y123" s="44" t="s">
        <v>1</v>
      </c>
      <c r="Z123" s="44"/>
      <c r="AA123" s="44" t="s">
        <v>1</v>
      </c>
      <c r="AB123" s="44"/>
      <c r="AC123" s="51">
        <v>45692</v>
      </c>
      <c r="AD123" s="50">
        <v>45832</v>
      </c>
      <c r="AE123" s="41" t="s">
        <v>2</v>
      </c>
      <c r="AF123" s="41" t="s">
        <v>2</v>
      </c>
      <c r="AG123" s="40" t="s">
        <v>5</v>
      </c>
      <c r="AH123" s="36" t="s">
        <v>0</v>
      </c>
      <c r="AI123" s="49">
        <v>0</v>
      </c>
      <c r="AJ123" s="36" t="s">
        <v>6</v>
      </c>
      <c r="AK123" s="10">
        <v>574659</v>
      </c>
      <c r="AL123" s="36" t="s">
        <v>1</v>
      </c>
      <c r="AM123" s="36" t="s">
        <v>1</v>
      </c>
      <c r="AN123" s="35" t="s">
        <v>2</v>
      </c>
      <c r="AO123" s="35" t="s">
        <v>2</v>
      </c>
      <c r="AP123" s="35" t="s">
        <v>2</v>
      </c>
      <c r="AQ123" s="35" t="s">
        <v>2</v>
      </c>
      <c r="AR123" s="34" t="s">
        <v>2</v>
      </c>
      <c r="AS123" s="33">
        <v>45803</v>
      </c>
      <c r="AT123" s="32" t="s">
        <v>1</v>
      </c>
      <c r="AU123" s="31"/>
      <c r="AV123" s="32" t="s">
        <v>1</v>
      </c>
      <c r="AW123" s="31"/>
      <c r="AX123" s="30" t="s">
        <v>2</v>
      </c>
      <c r="AY123" s="29">
        <v>45803</v>
      </c>
      <c r="AZ123" s="28" t="s">
        <v>0</v>
      </c>
      <c r="BA123" s="27"/>
      <c r="BB123" s="39" t="s">
        <v>748</v>
      </c>
      <c r="BC123" s="22">
        <v>0</v>
      </c>
      <c r="BD123" s="24"/>
      <c r="BE123" s="24"/>
      <c r="BF123" s="79"/>
      <c r="BG123" s="79"/>
      <c r="BH123" s="80"/>
      <c r="BI123" s="79"/>
      <c r="BJ123" s="54"/>
      <c r="BK123" s="78"/>
      <c r="BL123" s="69"/>
      <c r="BM123" s="78"/>
      <c r="BN123" s="78"/>
      <c r="BO123" s="78"/>
      <c r="BP123" s="78"/>
      <c r="BQ123" s="21">
        <f>YEAR([1]!BANCO10[[#This Row],[DATA INÍCIO]])</f>
        <v>2025</v>
      </c>
      <c r="BR123" s="21">
        <f>MONTH([1]!BANCO10[[#This Row],[DATA INÍCIO]])</f>
        <v>2</v>
      </c>
      <c r="BS123" s="21" t="e">
        <f>CONCATENATE(#REF!,#REF!)</f>
        <v>#REF!</v>
      </c>
      <c r="BT123" s="21"/>
      <c r="BU123" s="21"/>
      <c r="BV123" s="21" t="str">
        <f>IF([1]!BANCO10[[#This Row],[SOLUÇÃO]]=BV$1,[1]!BANCO10[[#This Row],[STATUS DA ETAPA]],"")</f>
        <v/>
      </c>
      <c r="BW123" s="21" t="str">
        <f>IF([1]!BANCO10[[#This Row],[SOLUÇÃO]]=BW$1,[1]!BANCO10[[#This Row],[STATUS DA ETAPA]],"")</f>
        <v/>
      </c>
      <c r="BX123" s="21" t="str">
        <f>IF([1]!BANCO10[[#This Row],[SOLUÇÃO]]=BX$1,[1]!BANCO10[[#This Row],[STATUS DA ETAPA]],"")</f>
        <v/>
      </c>
      <c r="BY123" s="21" t="str">
        <f>IF([1]!BANCO10[[#This Row],[SOLUÇÃO]]=BY$1,[1]!BANCO10[[#This Row],[STATUS DA ETAPA]],"")</f>
        <v/>
      </c>
      <c r="BZ123" s="21" t="str">
        <f>IF([1]!BANCO10[[#This Row],[SOLUÇÃO]]=BZ$1,[1]!BANCO10[[#This Row],[STATUS DA ETAPA]],"")</f>
        <v/>
      </c>
      <c r="CA123" s="21" t="str">
        <f>IF([1]!BANCO10[[#This Row],[SOLUÇÃO]]=CA$1,[1]!BANCO10[[#This Row],[STATUS DA ETAPA]],"")</f>
        <v/>
      </c>
      <c r="CB123" s="21" t="str">
        <f>IF([1]!BANCO10[[#This Row],[SOLUÇÃO]]=CB$1,[1]!BANCO10[[#This Row],[STATUS DA ETAPA]],"")</f>
        <v>CONCLUÍDO</v>
      </c>
      <c r="CC123" s="21" t="str">
        <f>IF([1]!BANCO10[[#This Row],[SOLUÇÃO]]=CC$1,[1]!BANCO10[[#This Row],[STATUS DA ETAPA]],"")</f>
        <v/>
      </c>
      <c r="CD123" s="21" t="str">
        <f>IF([1]!BANCO10[[#This Row],[SOLUÇÃO]]=CD$1,[1]!BANCO10[[#This Row],[STATUS DA ETAPA]],"")</f>
        <v/>
      </c>
      <c r="CE123" s="21" t="str">
        <f>IF([1]!BANCO10[[#This Row],[SOLUÇÃO]]=CE$1,[1]!BANCO10[[#This Row],[STATUS DA ETAPA]],"")</f>
        <v/>
      </c>
      <c r="CF123" s="21" t="str">
        <f>IF([1]!BANCO10[[#This Row],[SOLUÇÃO]]=CF$1,[1]!BANCO10[[#This Row],[STATUS DA ETAPA]],"")</f>
        <v/>
      </c>
      <c r="CG123" s="21" t="str">
        <f>IF([1]!BANCO10[[#This Row],[SOLUÇÃO]]=CG$1,[1]!BANCO10[[#This Row],[STATUS DA ETAPA]],"")</f>
        <v/>
      </c>
      <c r="CH123" s="21" t="str">
        <f>IF([1]!BANCO10[[#This Row],[SOLUÇÃO]]=CH$1,[1]!BANCO10[[#This Row],[STATUS DA ETAPA]],"")</f>
        <v/>
      </c>
      <c r="CI123" s="21" t="str">
        <f>IF([1]!BANCO10[[#This Row],[SOLUÇÃO]]=CI$1,[1]!BANCO10[[#This Row],[STATUS DA ETAPA]],"")</f>
        <v/>
      </c>
      <c r="CJ123" s="21" t="str">
        <f>IF([1]!BANCO10[[#This Row],[SOLUÇÃO]]=CJ$1,[1]!BANCO10[[#This Row],[STATUS DA ETAPA]],"")</f>
        <v/>
      </c>
      <c r="CK123" s="21" t="str">
        <f>IF([1]!BANCO10[[#This Row],[SOLUÇÃO]]=CK$1,[1]!BANCO10[[#This Row],[STATUS DA ETAPA]],"")</f>
        <v/>
      </c>
      <c r="CL123" s="22" t="str">
        <f>IF([1]!BANCO10[[#This Row],[SOLUÇÃO]]=CL$1,[1]!BANCO10[[#This Row],[STATUS DA ETAPA]],"")</f>
        <v/>
      </c>
      <c r="CM123" s="64" t="str">
        <f>IF([1]!BANCO10[[#This Row],[SOLUÇÃO]]=CM$1,[1]!BANCO10[[#This Row],[STATUS DA ETAPA]],"")</f>
        <v/>
      </c>
      <c r="CN123" s="64" t="str">
        <f>IF([1]!BANCO10[[#This Row],[SOLUÇÃO]]=CN$1,[1]!BANCO10[[#This Row],[STATUS DA ETAPA]],"")</f>
        <v/>
      </c>
      <c r="CO123" s="64" t="str">
        <f>IF([1]!BANCO10[[#This Row],[SOLUÇÃO]]=CO$1,[1]!BANCO10[[#This Row],[STATUS DA ETAPA]],"")</f>
        <v/>
      </c>
      <c r="CP123" s="64" t="str">
        <f>IF([1]!BANCO10[[#This Row],[SOLUÇÃO]]=CP$1,[1]!BANCO10[[#This Row],[STATUS DA ETAPA]],"")</f>
        <v/>
      </c>
      <c r="CQ123" s="64" t="str">
        <f>IF([1]!BANCO10[[#This Row],[SOLUÇÃO]]=CQ$1,[1]!BANCO10[[#This Row],[STATUS DA ETAPA]],"")</f>
        <v/>
      </c>
      <c r="CR123" s="64" t="str">
        <f>IF([1]!BANCO10[[#This Row],[SOLUÇÃO]]=CR$1,[1]!BANCO10[[#This Row],[STATUS DA ETAPA]],"")</f>
        <v/>
      </c>
      <c r="CS123" s="64" t="str">
        <f>IF([1]!BANCO10[[#This Row],[SOLUÇÃO]]=CS$1,[1]!BANCO10[[#This Row],[STATUS DA ETAPA]],"")</f>
        <v/>
      </c>
      <c r="CT123" s="64" t="str">
        <f>IF([1]!BANCO10[[#This Row],[SOLUÇÃO]]=CT$1,[1]!BANCO10[[#This Row],[STATUS DA ETAPA]],"")</f>
        <v/>
      </c>
      <c r="CU123" s="64" t="str">
        <f>IF([1]!BANCO10[[#This Row],[SOLUÇÃO]]=CU$1,[1]!BANCO10[[#This Row],[STATUS DA ETAPA]],"")</f>
        <v/>
      </c>
      <c r="CV123" s="64" t="str">
        <f>IF([1]!BANCO10[[#This Row],[SOLUÇÃO]]=CV$1,[1]!BANCO10[[#This Row],[STATUS DA ETAPA]],"")</f>
        <v/>
      </c>
    </row>
    <row r="124" spans="1:100">
      <c r="A124" s="44" t="s">
        <v>1</v>
      </c>
      <c r="B124" s="44"/>
      <c r="C124" s="44" t="s">
        <v>1</v>
      </c>
      <c r="D124" s="44"/>
      <c r="E124" s="44" t="s">
        <v>1</v>
      </c>
      <c r="F124" s="44"/>
      <c r="G124" s="44" t="s">
        <v>1</v>
      </c>
      <c r="H124" s="44"/>
      <c r="I124" s="45" t="s">
        <v>1</v>
      </c>
      <c r="J124" s="46"/>
      <c r="K124" s="45" t="s">
        <v>1</v>
      </c>
      <c r="L124" s="33"/>
      <c r="M124" s="45" t="s">
        <v>1</v>
      </c>
      <c r="N124" s="33"/>
      <c r="O124" s="44" t="s">
        <v>1</v>
      </c>
      <c r="P124" s="44"/>
      <c r="Q124" s="44" t="s">
        <v>1</v>
      </c>
      <c r="R124" s="44"/>
      <c r="S124" s="44" t="s">
        <v>1</v>
      </c>
      <c r="T124" s="44"/>
      <c r="U124" s="44" t="s">
        <v>1</v>
      </c>
      <c r="V124" s="44"/>
      <c r="W124" s="44" t="s">
        <v>1</v>
      </c>
      <c r="X124" s="44"/>
      <c r="Y124" s="44" t="s">
        <v>1</v>
      </c>
      <c r="Z124" s="44"/>
      <c r="AA124" s="44" t="s">
        <v>1</v>
      </c>
      <c r="AB124" s="44"/>
      <c r="AC124" s="51">
        <v>45807</v>
      </c>
      <c r="AD124" s="50">
        <v>45807</v>
      </c>
      <c r="AE124" s="41" t="s">
        <v>1</v>
      </c>
      <c r="AF124" s="41" t="s">
        <v>1</v>
      </c>
      <c r="AG124" s="40" t="s">
        <v>4</v>
      </c>
      <c r="AH124" s="36" t="s">
        <v>0</v>
      </c>
      <c r="AI124" s="49">
        <v>0</v>
      </c>
      <c r="AJ124" s="36" t="s">
        <v>1</v>
      </c>
      <c r="AK124" s="10" t="s">
        <v>1</v>
      </c>
      <c r="AL124" s="36" t="s">
        <v>1</v>
      </c>
      <c r="AM124" s="36" t="s">
        <v>1</v>
      </c>
      <c r="AN124" s="35" t="s">
        <v>1</v>
      </c>
      <c r="AO124" s="35" t="s">
        <v>1</v>
      </c>
      <c r="AP124" s="35" t="s">
        <v>1</v>
      </c>
      <c r="AQ124" s="35" t="s">
        <v>2</v>
      </c>
      <c r="AR124" s="34" t="s">
        <v>0</v>
      </c>
      <c r="AS124" s="33"/>
      <c r="AT124" s="30" t="s">
        <v>0</v>
      </c>
      <c r="AU124" s="31"/>
      <c r="AV124" s="30" t="s">
        <v>0</v>
      </c>
      <c r="AW124" s="31"/>
      <c r="AX124" s="30" t="s">
        <v>0</v>
      </c>
      <c r="AY124" s="29"/>
      <c r="AZ124" s="28" t="s">
        <v>0</v>
      </c>
      <c r="BA124" s="27"/>
      <c r="BB124" s="26"/>
      <c r="BC124" s="25"/>
      <c r="BD124" s="24"/>
      <c r="BE124" s="24"/>
      <c r="BF124" s="24"/>
      <c r="BG124" s="24"/>
      <c r="BH124" s="24"/>
      <c r="BI124" s="24"/>
      <c r="BJ124" s="24"/>
      <c r="BK124" s="24"/>
      <c r="BL124" s="24"/>
      <c r="BM124" s="24"/>
      <c r="BN124" s="24"/>
      <c r="BO124" s="24"/>
      <c r="BP124" s="24"/>
      <c r="BQ124" s="22">
        <f>YEAR([1]!BANCO10[[#This Row],[DATA INÍCIO]])</f>
        <v>2025</v>
      </c>
      <c r="BR124" s="22">
        <f>MONTH([1]!BANCO10[[#This Row],[DATA INÍCIO]])</f>
        <v>5</v>
      </c>
      <c r="BS124" s="23" t="e">
        <f>CONCATENATE(#REF!,#REF!)</f>
        <v>#REF!</v>
      </c>
      <c r="BT124" s="22"/>
      <c r="BU124" s="22"/>
      <c r="BV124" s="21" t="str">
        <f>IF([1]!BANCO10[[#This Row],[SOLUÇÃO]]=BV$1,[1]!BANCO10[[#This Row],[STATUS DA ETAPA]],"")</f>
        <v/>
      </c>
      <c r="BW124" s="21" t="str">
        <f>IF([1]!BANCO10[[#This Row],[SOLUÇÃO]]=BW$1,[1]!BANCO10[[#This Row],[STATUS DA ETAPA]],"")</f>
        <v/>
      </c>
      <c r="BX124" s="21" t="str">
        <f>IF([1]!BANCO10[[#This Row],[SOLUÇÃO]]=BX$1,[1]!BANCO10[[#This Row],[STATUS DA ETAPA]],"")</f>
        <v/>
      </c>
      <c r="BY124" s="21" t="str">
        <f>IF([1]!BANCO10[[#This Row],[SOLUÇÃO]]=BY$1,[1]!BANCO10[[#This Row],[STATUS DA ETAPA]],"")</f>
        <v/>
      </c>
      <c r="BZ124" s="21" t="str">
        <f>IF([1]!BANCO10[[#This Row],[SOLUÇÃO]]=BZ$1,[1]!BANCO10[[#This Row],[STATUS DA ETAPA]],"")</f>
        <v/>
      </c>
      <c r="CA124" s="21" t="str">
        <f>IF([1]!BANCO10[[#This Row],[SOLUÇÃO]]=CA$1,[1]!BANCO10[[#This Row],[STATUS DA ETAPA]],"")</f>
        <v/>
      </c>
      <c r="CB124" s="21" t="str">
        <f>IF([1]!BANCO10[[#This Row],[SOLUÇÃO]]=CB$1,[1]!BANCO10[[#This Row],[STATUS DA ETAPA]],"")</f>
        <v/>
      </c>
      <c r="CC124" s="21" t="str">
        <f>IF([1]!BANCO10[[#This Row],[SOLUÇÃO]]=CC$1,[1]!BANCO10[[#This Row],[STATUS DA ETAPA]],"")</f>
        <v/>
      </c>
      <c r="CD124" s="21" t="str">
        <f>IF([1]!BANCO10[[#This Row],[SOLUÇÃO]]=CD$1,[1]!BANCO10[[#This Row],[STATUS DA ETAPA]],"")</f>
        <v/>
      </c>
      <c r="CE124" s="21" t="str">
        <f>IF([1]!BANCO10[[#This Row],[SOLUÇÃO]]=CE$1,[1]!BANCO10[[#This Row],[STATUS DA ETAPA]],"")</f>
        <v/>
      </c>
      <c r="CF124" s="21" t="str">
        <f>IF([1]!BANCO10[[#This Row],[SOLUÇÃO]]=CF$1,[1]!BANCO10[[#This Row],[STATUS DA ETAPA]],"")</f>
        <v/>
      </c>
      <c r="CG124" s="21" t="str">
        <f>IF([1]!BANCO10[[#This Row],[SOLUÇÃO]]=CG$1,[1]!BANCO10[[#This Row],[STATUS DA ETAPA]],"")</f>
        <v/>
      </c>
      <c r="CH124" s="21" t="str">
        <f>IF([1]!BANCO10[[#This Row],[SOLUÇÃO]]=CH$1,[1]!BANCO10[[#This Row],[STATUS DA ETAPA]],"")</f>
        <v/>
      </c>
      <c r="CI124" s="21" t="str">
        <f>IF([1]!BANCO10[[#This Row],[SOLUÇÃO]]=CI$1,[1]!BANCO10[[#This Row],[STATUS DA ETAPA]],"")</f>
        <v/>
      </c>
      <c r="CJ124" s="21" t="str">
        <f>IF([1]!BANCO10[[#This Row],[SOLUÇÃO]]=CJ$1,[1]!BANCO10[[#This Row],[STATUS DA ETAPA]],"")</f>
        <v/>
      </c>
      <c r="CK124" s="21" t="str">
        <f>IF([1]!BANCO10[[#This Row],[SOLUÇÃO]]=CK$1,[1]!BANCO10[[#This Row],[STATUS DA ETAPA]],"")</f>
        <v/>
      </c>
      <c r="CL124" s="21" t="str">
        <f>IF([1]!BANCO10[[#This Row],[SOLUÇÃO]]=CL$1,[1]!BANCO10[[#This Row],[STATUS DA ETAPA]],"")</f>
        <v/>
      </c>
      <c r="CM124" s="21" t="str">
        <f>IF([1]!BANCO10[[#This Row],[SOLUÇÃO]]=CM$1,[1]!BANCO10[[#This Row],[STATUS DA ETAPA]],"")</f>
        <v/>
      </c>
      <c r="CN124" s="21" t="str">
        <f>IF([1]!BANCO10[[#This Row],[SOLUÇÃO]]=CN$1,[1]!BANCO10[[#This Row],[STATUS DA ETAPA]],"")</f>
        <v/>
      </c>
      <c r="CO124" s="21" t="str">
        <f>IF([1]!BANCO10[[#This Row],[SOLUÇÃO]]=CO$1,[1]!BANCO10[[#This Row],[STATUS DA ETAPA]],"")</f>
        <v/>
      </c>
      <c r="CP124" s="21" t="str">
        <f>IF([1]!BANCO10[[#This Row],[SOLUÇÃO]]=CP$1,[1]!BANCO10[[#This Row],[STATUS DA ETAPA]],"")</f>
        <v/>
      </c>
      <c r="CQ124" s="21" t="str">
        <f>IF([1]!BANCO10[[#This Row],[SOLUÇÃO]]=CQ$1,[1]!BANCO10[[#This Row],[STATUS DA ETAPA]],"")</f>
        <v/>
      </c>
      <c r="CR124" s="21" t="str">
        <f>IF([1]!BANCO10[[#This Row],[SOLUÇÃO]]=CR$1,[1]!BANCO10[[#This Row],[STATUS DA ETAPA]],"")</f>
        <v/>
      </c>
      <c r="CS124" s="21" t="str">
        <f>IF([1]!BANCO10[[#This Row],[SOLUÇÃO]]=CS$1,[1]!BANCO10[[#This Row],[STATUS DA ETAPA]],"")</f>
        <v/>
      </c>
      <c r="CT124" s="21" t="str">
        <f>IF([1]!BANCO10[[#This Row],[SOLUÇÃO]]=CT$1,[1]!BANCO10[[#This Row],[STATUS DA ETAPA]],"")</f>
        <v/>
      </c>
      <c r="CU124" s="21" t="str">
        <f>IF([1]!BANCO10[[#This Row],[SOLUÇÃO]]=CU$1,[1]!BANCO10[[#This Row],[STATUS DA ETAPA]],"")</f>
        <v/>
      </c>
      <c r="CV124" s="21" t="str">
        <f>IF([1]!BANCO10[[#This Row],[SOLUÇÃO]]=CV$1,[1]!BANCO10[[#This Row],[STATUS DA ETAPA]],"")</f>
        <v/>
      </c>
    </row>
    <row r="125" spans="1:100">
      <c r="A125" s="44" t="s">
        <v>1</v>
      </c>
      <c r="B125" s="44"/>
      <c r="C125" s="44" t="s">
        <v>1</v>
      </c>
      <c r="D125" s="44"/>
      <c r="E125" s="44" t="s">
        <v>1</v>
      </c>
      <c r="F125" s="44"/>
      <c r="G125" s="44" t="s">
        <v>1</v>
      </c>
      <c r="H125" s="44"/>
      <c r="I125" s="45" t="s">
        <v>1</v>
      </c>
      <c r="J125" s="46"/>
      <c r="K125" s="45" t="s">
        <v>1</v>
      </c>
      <c r="L125" s="33"/>
      <c r="M125" s="45" t="s">
        <v>1</v>
      </c>
      <c r="N125" s="33"/>
      <c r="O125" s="44" t="s">
        <v>1</v>
      </c>
      <c r="P125" s="44"/>
      <c r="Q125" s="44" t="s">
        <v>1</v>
      </c>
      <c r="R125" s="44"/>
      <c r="S125" s="44" t="s">
        <v>1</v>
      </c>
      <c r="T125" s="44"/>
      <c r="U125" s="44" t="s">
        <v>2</v>
      </c>
      <c r="V125" s="44"/>
      <c r="W125" s="44" t="s">
        <v>2</v>
      </c>
      <c r="X125" s="44"/>
      <c r="Y125" s="44" t="s">
        <v>2</v>
      </c>
      <c r="Z125" s="44"/>
      <c r="AA125" s="44" t="s">
        <v>2</v>
      </c>
      <c r="AB125" s="44"/>
      <c r="AC125" s="51">
        <v>45833</v>
      </c>
      <c r="AD125" s="50">
        <v>45903</v>
      </c>
      <c r="AE125" s="68" t="s">
        <v>2</v>
      </c>
      <c r="AF125" s="68" t="s">
        <v>2</v>
      </c>
      <c r="AG125" s="76" t="s">
        <v>5</v>
      </c>
      <c r="AH125" s="36" t="s">
        <v>0</v>
      </c>
      <c r="AI125" s="49">
        <v>0</v>
      </c>
      <c r="AJ125" s="36" t="s">
        <v>6</v>
      </c>
      <c r="AK125" s="10" t="s">
        <v>758</v>
      </c>
      <c r="AL125" s="36">
        <v>4742</v>
      </c>
      <c r="AM125" s="36">
        <v>118995</v>
      </c>
      <c r="AN125" s="35" t="s">
        <v>1</v>
      </c>
      <c r="AO125" s="35" t="s">
        <v>1</v>
      </c>
      <c r="AP125" s="35" t="s">
        <v>2</v>
      </c>
      <c r="AQ125" s="35" t="s">
        <v>1</v>
      </c>
      <c r="AR125" s="34" t="s">
        <v>1</v>
      </c>
      <c r="AS125" s="33"/>
      <c r="AT125" s="32" t="s">
        <v>2</v>
      </c>
      <c r="AU125" s="31">
        <v>45905</v>
      </c>
      <c r="AV125" s="32" t="s">
        <v>2</v>
      </c>
      <c r="AW125" s="31">
        <v>45909</v>
      </c>
      <c r="AX125" s="30" t="s">
        <v>2</v>
      </c>
      <c r="AY125" s="29">
        <v>45909</v>
      </c>
      <c r="AZ125" s="28" t="s">
        <v>0</v>
      </c>
      <c r="BA125" s="27"/>
      <c r="BB125" s="39" t="s">
        <v>279</v>
      </c>
      <c r="BC125" s="25"/>
      <c r="BD125" s="24"/>
      <c r="BE125" s="24"/>
      <c r="BF125" s="24"/>
      <c r="BG125" s="24"/>
      <c r="BH125" s="24"/>
      <c r="BI125" s="24"/>
      <c r="BJ125" s="24"/>
      <c r="BK125" s="24"/>
      <c r="BL125" s="24"/>
      <c r="BM125" s="24"/>
      <c r="BN125" s="24"/>
      <c r="BO125" s="24"/>
      <c r="BP125" s="24"/>
      <c r="BQ125" s="22">
        <f>YEAR([1]!BANCO10[[#This Row],[DATA INÍCIO]])</f>
        <v>2025</v>
      </c>
      <c r="BR125" s="22">
        <f>MONTH([1]!BANCO10[[#This Row],[DATA INÍCIO]])</f>
        <v>6</v>
      </c>
      <c r="BS125" s="23" t="e">
        <f>CONCATENATE(#REF!,#REF!)</f>
        <v>#REF!</v>
      </c>
      <c r="BT125" s="22"/>
      <c r="BU125" s="22"/>
      <c r="BV125" s="21" t="str">
        <f>IF([1]!BANCO10[[#This Row],[SOLUÇÃO]]=BV$1,[1]!BANCO10[[#This Row],[STATUS DA ETAPA]],"")</f>
        <v/>
      </c>
      <c r="BW125" s="21" t="str">
        <f>IF([1]!BANCO10[[#This Row],[SOLUÇÃO]]=BW$1,[1]!BANCO10[[#This Row],[STATUS DA ETAPA]],"")</f>
        <v/>
      </c>
      <c r="BX125" s="21" t="str">
        <f>IF([1]!BANCO10[[#This Row],[SOLUÇÃO]]=BX$1,[1]!BANCO10[[#This Row],[STATUS DA ETAPA]],"")</f>
        <v/>
      </c>
      <c r="BY125" s="21" t="str">
        <f>IF([1]!BANCO10[[#This Row],[SOLUÇÃO]]=BY$1,[1]!BANCO10[[#This Row],[STATUS DA ETAPA]],"")</f>
        <v/>
      </c>
      <c r="BZ125" s="21" t="str">
        <f>IF([1]!BANCO10[[#This Row],[SOLUÇÃO]]=BZ$1,[1]!BANCO10[[#This Row],[STATUS DA ETAPA]],"")</f>
        <v/>
      </c>
      <c r="CA125" s="21" t="str">
        <f>IF([1]!BANCO10[[#This Row],[SOLUÇÃO]]=CA$1,[1]!BANCO10[[#This Row],[STATUS DA ETAPA]],"")</f>
        <v/>
      </c>
      <c r="CB125" s="21" t="str">
        <f>IF([1]!BANCO10[[#This Row],[SOLUÇÃO]]=CB$1,[1]!BANCO10[[#This Row],[STATUS DA ETAPA]],"")</f>
        <v/>
      </c>
      <c r="CC125" s="21" t="str">
        <f>IF([1]!BANCO10[[#This Row],[SOLUÇÃO]]=CC$1,[1]!BANCO10[[#This Row],[STATUS DA ETAPA]],"")</f>
        <v/>
      </c>
      <c r="CD125" s="21" t="str">
        <f>IF([1]!BANCO10[[#This Row],[SOLUÇÃO]]=CD$1,[1]!BANCO10[[#This Row],[STATUS DA ETAPA]],"")</f>
        <v/>
      </c>
      <c r="CE125" s="21" t="str">
        <f>IF([1]!BANCO10[[#This Row],[SOLUÇÃO]]=CE$1,[1]!BANCO10[[#This Row],[STATUS DA ETAPA]],"")</f>
        <v/>
      </c>
      <c r="CF125" s="21" t="str">
        <f>IF([1]!BANCO10[[#This Row],[SOLUÇÃO]]=CF$1,[1]!BANCO10[[#This Row],[STATUS DA ETAPA]],"")</f>
        <v/>
      </c>
      <c r="CG125" s="21" t="str">
        <f>IF([1]!BANCO10[[#This Row],[SOLUÇÃO]]=CG$1,[1]!BANCO10[[#This Row],[STATUS DA ETAPA]],"")</f>
        <v/>
      </c>
      <c r="CH125" s="21" t="str">
        <f>IF([1]!BANCO10[[#This Row],[SOLUÇÃO]]=CH$1,[1]!BANCO10[[#This Row],[STATUS DA ETAPA]],"")</f>
        <v/>
      </c>
      <c r="CI125" s="21" t="str">
        <f>IF([1]!BANCO10[[#This Row],[SOLUÇÃO]]=CI$1,[1]!BANCO10[[#This Row],[STATUS DA ETAPA]],"")</f>
        <v/>
      </c>
      <c r="CJ125" s="21" t="str">
        <f>IF([1]!BANCO10[[#This Row],[SOLUÇÃO]]=CJ$1,[1]!BANCO10[[#This Row],[STATUS DA ETAPA]],"")</f>
        <v/>
      </c>
      <c r="CK125" s="21" t="str">
        <f>IF([1]!BANCO10[[#This Row],[SOLUÇÃO]]=CK$1,[1]!BANCO10[[#This Row],[STATUS DA ETAPA]],"")</f>
        <v/>
      </c>
      <c r="CL125" s="21" t="str">
        <f>IF([1]!BANCO10[[#This Row],[SOLUÇÃO]]=CL$1,[1]!BANCO10[[#This Row],[STATUS DA ETAPA]],"")</f>
        <v>CONCLUÍDO</v>
      </c>
      <c r="CM125" s="21" t="str">
        <f>IF([1]!BANCO10[[#This Row],[SOLUÇÃO]]=CM$1,[1]!BANCO10[[#This Row],[STATUS DA ETAPA]],"")</f>
        <v/>
      </c>
      <c r="CN125" s="21" t="str">
        <f>IF([1]!BANCO10[[#This Row],[SOLUÇÃO]]=CN$1,[1]!BANCO10[[#This Row],[STATUS DA ETAPA]],"")</f>
        <v/>
      </c>
      <c r="CO125" s="21" t="str">
        <f>IF([1]!BANCO10[[#This Row],[SOLUÇÃO]]=CO$1,[1]!BANCO10[[#This Row],[STATUS DA ETAPA]],"")</f>
        <v/>
      </c>
      <c r="CP125" s="21" t="str">
        <f>IF([1]!BANCO10[[#This Row],[SOLUÇÃO]]=CP$1,[1]!BANCO10[[#This Row],[STATUS DA ETAPA]],"")</f>
        <v/>
      </c>
      <c r="CQ125" s="21" t="str">
        <f>IF([1]!BANCO10[[#This Row],[SOLUÇÃO]]=CQ$1,[1]!BANCO10[[#This Row],[STATUS DA ETAPA]],"")</f>
        <v/>
      </c>
      <c r="CR125" s="21" t="str">
        <f>IF([1]!BANCO10[[#This Row],[SOLUÇÃO]]=CR$1,[1]!BANCO10[[#This Row],[STATUS DA ETAPA]],"")</f>
        <v/>
      </c>
      <c r="CS125" s="21" t="str">
        <f>IF([1]!BANCO10[[#This Row],[SOLUÇÃO]]=CS$1,[1]!BANCO10[[#This Row],[STATUS DA ETAPA]],"")</f>
        <v/>
      </c>
      <c r="CT125" s="21" t="str">
        <f>IF([1]!BANCO10[[#This Row],[SOLUÇÃO]]=CT$1,[1]!BANCO10[[#This Row],[STATUS DA ETAPA]],"")</f>
        <v/>
      </c>
      <c r="CU125" s="21" t="str">
        <f>IF([1]!BANCO10[[#This Row],[SOLUÇÃO]]=CU$1,[1]!BANCO10[[#This Row],[STATUS DA ETAPA]],"")</f>
        <v/>
      </c>
      <c r="CV125" s="21" t="str">
        <f>IF([1]!BANCO10[[#This Row],[SOLUÇÃO]]=CV$1,[1]!BANCO10[[#This Row],[STATUS DA ETAPA]],"")</f>
        <v/>
      </c>
    </row>
    <row r="126" spans="1:100">
      <c r="A126" s="44" t="s">
        <v>1</v>
      </c>
      <c r="B126" s="44"/>
      <c r="C126" s="44" t="s">
        <v>1</v>
      </c>
      <c r="D126" s="44"/>
      <c r="E126" s="44" t="s">
        <v>1</v>
      </c>
      <c r="F126" s="44"/>
      <c r="G126" s="44" t="s">
        <v>1</v>
      </c>
      <c r="H126" s="44"/>
      <c r="I126" s="45" t="s">
        <v>1</v>
      </c>
      <c r="J126" s="46"/>
      <c r="K126" s="45" t="s">
        <v>1</v>
      </c>
      <c r="L126" s="33"/>
      <c r="M126" s="45" t="s">
        <v>1</v>
      </c>
      <c r="N126" s="33"/>
      <c r="O126" s="44" t="s">
        <v>2</v>
      </c>
      <c r="P126" s="44">
        <v>44791</v>
      </c>
      <c r="Q126" s="44" t="s">
        <v>0</v>
      </c>
      <c r="R126" s="44"/>
      <c r="S126" s="44" t="s">
        <v>1</v>
      </c>
      <c r="T126" s="44"/>
      <c r="U126" s="44" t="s">
        <v>1</v>
      </c>
      <c r="V126" s="44"/>
      <c r="W126" s="44" t="s">
        <v>1</v>
      </c>
      <c r="X126" s="44"/>
      <c r="Y126" s="44" t="s">
        <v>1</v>
      </c>
      <c r="Z126" s="44"/>
      <c r="AA126" s="44" t="s">
        <v>1</v>
      </c>
      <c r="AB126" s="44"/>
      <c r="AC126" s="51">
        <v>44790</v>
      </c>
      <c r="AD126" s="51">
        <v>44790</v>
      </c>
      <c r="AE126" s="40" t="s">
        <v>1</v>
      </c>
      <c r="AF126" s="40" t="s">
        <v>1</v>
      </c>
      <c r="AG126" s="76" t="s">
        <v>5</v>
      </c>
      <c r="AH126" s="36" t="s">
        <v>1</v>
      </c>
      <c r="AI126" s="49">
        <v>0</v>
      </c>
      <c r="AJ126" s="36" t="s">
        <v>1</v>
      </c>
      <c r="AK126" s="10" t="s">
        <v>1</v>
      </c>
      <c r="AL126" s="36" t="s">
        <v>1</v>
      </c>
      <c r="AM126" s="36" t="s">
        <v>1</v>
      </c>
      <c r="AN126" s="35" t="s">
        <v>1</v>
      </c>
      <c r="AO126" s="35" t="s">
        <v>1</v>
      </c>
      <c r="AP126" s="35" t="s">
        <v>1</v>
      </c>
      <c r="AQ126" s="35" t="s">
        <v>1</v>
      </c>
      <c r="AR126" s="82" t="s">
        <v>1</v>
      </c>
      <c r="AS126" s="33"/>
      <c r="AT126" s="32" t="s">
        <v>1</v>
      </c>
      <c r="AU126" s="31"/>
      <c r="AV126" s="32" t="s">
        <v>1</v>
      </c>
      <c r="AW126" s="31"/>
      <c r="AX126" s="30" t="s">
        <v>1</v>
      </c>
      <c r="AY126" s="55"/>
      <c r="AZ126" s="30" t="s">
        <v>1</v>
      </c>
      <c r="BA126" s="55"/>
      <c r="BB126" s="74" t="s">
        <v>756</v>
      </c>
      <c r="BC126" s="25"/>
      <c r="BD126" s="24" t="s">
        <v>19</v>
      </c>
      <c r="BE126" s="24" t="s">
        <v>19</v>
      </c>
      <c r="BF126" s="24" t="s">
        <v>80</v>
      </c>
      <c r="BG126" s="24" t="s">
        <v>19</v>
      </c>
      <c r="BH126" s="130" t="s">
        <v>19</v>
      </c>
      <c r="BI126" s="24"/>
      <c r="BJ126" s="24" t="s">
        <v>11</v>
      </c>
      <c r="BK126" s="24" t="s">
        <v>11</v>
      </c>
      <c r="BL126" s="24" t="s">
        <v>11</v>
      </c>
      <c r="BM126" s="24" t="s">
        <v>11</v>
      </c>
      <c r="BN126" s="24" t="s">
        <v>11</v>
      </c>
      <c r="BO126" s="24" t="s">
        <v>11</v>
      </c>
      <c r="BP126" s="24" t="s">
        <v>11</v>
      </c>
      <c r="BQ126" s="22">
        <f>YEAR([1]!BANCO10[[#This Row],[DATA INÍCIO]])</f>
        <v>2022</v>
      </c>
      <c r="BR126" s="22">
        <f>MONTH([1]!BANCO10[[#This Row],[DATA INÍCIO]])</f>
        <v>8</v>
      </c>
      <c r="BS126" s="129" t="e">
        <f>CONCATENATE(#REF!,#REF!)</f>
        <v>#REF!</v>
      </c>
      <c r="BT126" s="22"/>
      <c r="BU126" s="21" t="s">
        <v>757</v>
      </c>
      <c r="BV126" s="21" t="str">
        <f>IF([1]!BANCO10[[#This Row],[SOLUÇÃO]]=BV$1,[1]!BANCO10[[#This Row],[STATUS DA ETAPA]],"")</f>
        <v>CONCLUÍDO</v>
      </c>
      <c r="BW126" s="21" t="str">
        <f>IF([1]!BANCO10[[#This Row],[SOLUÇÃO]]=BW$1,[1]!BANCO10[[#This Row],[STATUS DA ETAPA]],"")</f>
        <v/>
      </c>
      <c r="BX126" s="21" t="str">
        <f>IF([1]!BANCO10[[#This Row],[SOLUÇÃO]]=BX$1,[1]!BANCO10[[#This Row],[STATUS DA ETAPA]],"")</f>
        <v/>
      </c>
      <c r="BY126" s="21" t="str">
        <f>IF([1]!BANCO10[[#This Row],[SOLUÇÃO]]=BY$1,[1]!BANCO10[[#This Row],[STATUS DA ETAPA]],"")</f>
        <v/>
      </c>
      <c r="BZ126" s="21" t="str">
        <f>IF([1]!BANCO10[[#This Row],[SOLUÇÃO]]=BZ$1,[1]!BANCO10[[#This Row],[STATUS DA ETAPA]],"")</f>
        <v/>
      </c>
      <c r="CA126" s="21" t="str">
        <f>IF([1]!BANCO10[[#This Row],[SOLUÇÃO]]=CA$1,[1]!BANCO10[[#This Row],[STATUS DA ETAPA]],"")</f>
        <v/>
      </c>
      <c r="CB126" s="21" t="str">
        <f>IF([1]!BANCO10[[#This Row],[SOLUÇÃO]]=CB$1,[1]!BANCO10[[#This Row],[STATUS DA ETAPA]],"")</f>
        <v/>
      </c>
      <c r="CC126" s="21" t="str">
        <f>IF([1]!BANCO10[[#This Row],[SOLUÇÃO]]=CC$1,[1]!BANCO10[[#This Row],[STATUS DA ETAPA]],"")</f>
        <v/>
      </c>
      <c r="CD126" s="21" t="str">
        <f>IF([1]!BANCO10[[#This Row],[SOLUÇÃO]]=CD$1,[1]!BANCO10[[#This Row],[STATUS DA ETAPA]],"")</f>
        <v/>
      </c>
      <c r="CE126" s="21" t="str">
        <f>IF([1]!BANCO10[[#This Row],[SOLUÇÃO]]=CE$1,[1]!BANCO10[[#This Row],[STATUS DA ETAPA]],"")</f>
        <v/>
      </c>
      <c r="CF126" s="21" t="str">
        <f>IF([1]!BANCO10[[#This Row],[SOLUÇÃO]]=CF$1,[1]!BANCO10[[#This Row],[STATUS DA ETAPA]],"")</f>
        <v/>
      </c>
      <c r="CG126" s="21" t="str">
        <f>IF([1]!BANCO10[[#This Row],[SOLUÇÃO]]=CG$1,[1]!BANCO10[[#This Row],[STATUS DA ETAPA]],"")</f>
        <v/>
      </c>
      <c r="CH126" s="21" t="str">
        <f>IF([1]!BANCO10[[#This Row],[SOLUÇÃO]]=CH$1,[1]!BANCO10[[#This Row],[STATUS DA ETAPA]],"")</f>
        <v/>
      </c>
      <c r="CI126" s="21" t="str">
        <f>IF([1]!BANCO10[[#This Row],[SOLUÇÃO]]=CI$1,[1]!BANCO10[[#This Row],[STATUS DA ETAPA]],"")</f>
        <v/>
      </c>
      <c r="CJ126" s="21" t="str">
        <f>IF([1]!BANCO10[[#This Row],[SOLUÇÃO]]=CJ$1,[1]!BANCO10[[#This Row],[STATUS DA ETAPA]],"")</f>
        <v/>
      </c>
      <c r="CK126" s="21" t="str">
        <f>IF([1]!BANCO10[[#This Row],[SOLUÇÃO]]=CK$1,[1]!BANCO10[[#This Row],[STATUS DA ETAPA]],"")</f>
        <v/>
      </c>
      <c r="CL126" s="21" t="str">
        <f>IF([1]!BANCO10[[#This Row],[SOLUÇÃO]]=CL$1,[1]!BANCO10[[#This Row],[STATUS DA ETAPA]],"")</f>
        <v/>
      </c>
      <c r="CM126" s="21" t="str">
        <f>IF([1]!BANCO10[[#This Row],[SOLUÇÃO]]=CM$1,[1]!BANCO10[[#This Row],[STATUS DA ETAPA]],"")</f>
        <v/>
      </c>
      <c r="CN126" s="21" t="str">
        <f>IF([1]!BANCO10[[#This Row],[SOLUÇÃO]]=CN$1,[1]!BANCO10[[#This Row],[STATUS DA ETAPA]],"")</f>
        <v/>
      </c>
      <c r="CO126" s="21" t="str">
        <f>IF([1]!BANCO10[[#This Row],[SOLUÇÃO]]=CO$1,[1]!BANCO10[[#This Row],[STATUS DA ETAPA]],"")</f>
        <v/>
      </c>
      <c r="CP126" s="21" t="str">
        <f>IF([1]!BANCO10[[#This Row],[SOLUÇÃO]]=CP$1,[1]!BANCO10[[#This Row],[STATUS DA ETAPA]],"")</f>
        <v/>
      </c>
      <c r="CQ126" s="21" t="str">
        <f>IF([1]!BANCO10[[#This Row],[SOLUÇÃO]]=CQ$1,[1]!BANCO10[[#This Row],[STATUS DA ETAPA]],"")</f>
        <v/>
      </c>
      <c r="CR126" s="21" t="str">
        <f>IF([1]!BANCO10[[#This Row],[SOLUÇÃO]]=CR$1,[1]!BANCO10[[#This Row],[STATUS DA ETAPA]],"")</f>
        <v/>
      </c>
      <c r="CS126" s="21" t="str">
        <f>IF([1]!BANCO10[[#This Row],[SOLUÇÃO]]=CS$1,[1]!BANCO10[[#This Row],[STATUS DA ETAPA]],"")</f>
        <v/>
      </c>
      <c r="CT126" s="21" t="str">
        <f>IF([1]!BANCO10[[#This Row],[SOLUÇÃO]]=CT$1,[1]!BANCO10[[#This Row],[STATUS DA ETAPA]],"")</f>
        <v/>
      </c>
      <c r="CU126" s="21" t="str">
        <f>IF([1]!BANCO10[[#This Row],[SOLUÇÃO]]=CU$1,[1]!BANCO10[[#This Row],[STATUS DA ETAPA]],"")</f>
        <v/>
      </c>
      <c r="CV126" s="21" t="str">
        <f>IF([1]!BANCO10[[#This Row],[SOLUÇÃO]]=CV$1,[1]!BANCO10[[#This Row],[STATUS DA ETAPA]],"")</f>
        <v/>
      </c>
    </row>
    <row r="127" spans="1:100">
      <c r="A127" s="44" t="s">
        <v>1</v>
      </c>
      <c r="B127" s="44"/>
      <c r="C127" s="44" t="s">
        <v>1</v>
      </c>
      <c r="D127" s="44"/>
      <c r="E127" s="44" t="s">
        <v>1</v>
      </c>
      <c r="F127" s="44"/>
      <c r="G127" s="44" t="s">
        <v>1</v>
      </c>
      <c r="H127" s="44"/>
      <c r="I127" s="45" t="s">
        <v>1</v>
      </c>
      <c r="J127" s="46"/>
      <c r="K127" s="45" t="s">
        <v>1</v>
      </c>
      <c r="L127" s="33"/>
      <c r="M127" s="45" t="s">
        <v>1</v>
      </c>
      <c r="N127" s="33"/>
      <c r="O127" s="44" t="s">
        <v>2</v>
      </c>
      <c r="P127" s="44">
        <v>44791</v>
      </c>
      <c r="Q127" s="44" t="s">
        <v>2</v>
      </c>
      <c r="R127" s="44">
        <v>44791</v>
      </c>
      <c r="S127" s="44" t="s">
        <v>2</v>
      </c>
      <c r="T127" s="44">
        <v>44792</v>
      </c>
      <c r="U127" s="44" t="s">
        <v>1</v>
      </c>
      <c r="V127" s="44"/>
      <c r="W127" s="44" t="s">
        <v>1</v>
      </c>
      <c r="X127" s="44"/>
      <c r="Y127" s="44" t="s">
        <v>1</v>
      </c>
      <c r="Z127" s="44"/>
      <c r="AA127" s="44" t="s">
        <v>1</v>
      </c>
      <c r="AB127" s="44"/>
      <c r="AC127" s="51">
        <v>44831</v>
      </c>
      <c r="AD127" s="50">
        <v>44922</v>
      </c>
      <c r="AE127" s="40" t="s">
        <v>2</v>
      </c>
      <c r="AF127" s="40" t="s">
        <v>2</v>
      </c>
      <c r="AG127" s="76" t="s">
        <v>5</v>
      </c>
      <c r="AH127" s="36" t="s">
        <v>2</v>
      </c>
      <c r="AI127" s="49">
        <v>0</v>
      </c>
      <c r="AJ127" s="36" t="s">
        <v>1</v>
      </c>
      <c r="AK127" s="10" t="s">
        <v>1</v>
      </c>
      <c r="AL127" s="36" t="s">
        <v>1</v>
      </c>
      <c r="AM127" s="36" t="s">
        <v>1</v>
      </c>
      <c r="AN127" s="35" t="s">
        <v>1</v>
      </c>
      <c r="AO127" s="35" t="s">
        <v>1</v>
      </c>
      <c r="AP127" s="35" t="s">
        <v>2</v>
      </c>
      <c r="AQ127" s="35" t="s">
        <v>1</v>
      </c>
      <c r="AR127" s="34" t="s">
        <v>1</v>
      </c>
      <c r="AS127" s="33"/>
      <c r="AT127" s="32" t="s">
        <v>1</v>
      </c>
      <c r="AU127" s="31"/>
      <c r="AV127" s="32" t="s">
        <v>1</v>
      </c>
      <c r="AW127" s="31"/>
      <c r="AX127" s="30" t="s">
        <v>2</v>
      </c>
      <c r="AY127" s="55">
        <v>44922</v>
      </c>
      <c r="AZ127" s="30" t="s">
        <v>1</v>
      </c>
      <c r="BA127" s="55"/>
      <c r="BB127" s="74" t="s">
        <v>756</v>
      </c>
      <c r="BC127" s="25" t="s">
        <v>427</v>
      </c>
      <c r="BD127" s="24" t="s">
        <v>19</v>
      </c>
      <c r="BE127" s="24" t="s">
        <v>19</v>
      </c>
      <c r="BF127" s="24" t="s">
        <v>80</v>
      </c>
      <c r="BG127" s="24" t="s">
        <v>19</v>
      </c>
      <c r="BH127" s="130" t="s">
        <v>19</v>
      </c>
      <c r="BI127" s="24"/>
      <c r="BJ127" s="24" t="s">
        <v>20</v>
      </c>
      <c r="BK127" s="24" t="s">
        <v>11</v>
      </c>
      <c r="BL127" s="24">
        <v>45412</v>
      </c>
      <c r="BM127" s="24" t="s">
        <v>18</v>
      </c>
      <c r="BN127" s="24" t="s">
        <v>11</v>
      </c>
      <c r="BO127" s="24"/>
      <c r="BP127" s="24" t="s">
        <v>755</v>
      </c>
      <c r="BQ127" s="22">
        <f>YEAR([1]!BANCO10[[#This Row],[DATA INÍCIO]])</f>
        <v>2022</v>
      </c>
      <c r="BR127" s="22">
        <f>MONTH([1]!BANCO10[[#This Row],[DATA INÍCIO]])</f>
        <v>9</v>
      </c>
      <c r="BS127" s="129" t="e">
        <f>CONCATENATE(#REF!,#REF!)</f>
        <v>#REF!</v>
      </c>
      <c r="BT127" s="22"/>
      <c r="BU127" s="21" t="s">
        <v>754</v>
      </c>
      <c r="BV127" s="21" t="str">
        <f>IF([1]!BANCO10[[#This Row],[SOLUÇÃO]]=BV$1,[1]!BANCO10[[#This Row],[STATUS DA ETAPA]],"")</f>
        <v/>
      </c>
      <c r="BW127" s="21" t="str">
        <f>IF([1]!BANCO10[[#This Row],[SOLUÇÃO]]=BW$1,[1]!BANCO10[[#This Row],[STATUS DA ETAPA]],"")</f>
        <v/>
      </c>
      <c r="BX127" s="21" t="str">
        <f>IF([1]!BANCO10[[#This Row],[SOLUÇÃO]]=BX$1,[1]!BANCO10[[#This Row],[STATUS DA ETAPA]],"")</f>
        <v/>
      </c>
      <c r="BY127" s="21" t="str">
        <f>IF([1]!BANCO10[[#This Row],[SOLUÇÃO]]=BY$1,[1]!BANCO10[[#This Row],[STATUS DA ETAPA]],"")</f>
        <v/>
      </c>
      <c r="BZ127" s="21" t="str">
        <f>IF([1]!BANCO10[[#This Row],[SOLUÇÃO]]=BZ$1,[1]!BANCO10[[#This Row],[STATUS DA ETAPA]],"")</f>
        <v/>
      </c>
      <c r="CA127" s="21" t="str">
        <f>IF([1]!BANCO10[[#This Row],[SOLUÇÃO]]=CA$1,[1]!BANCO10[[#This Row],[STATUS DA ETAPA]],"")</f>
        <v>CONCLUÍDO</v>
      </c>
      <c r="CB127" s="21" t="str">
        <f>IF([1]!BANCO10[[#This Row],[SOLUÇÃO]]=CB$1,[1]!BANCO10[[#This Row],[STATUS DA ETAPA]],"")</f>
        <v/>
      </c>
      <c r="CC127" s="21" t="str">
        <f>IF([1]!BANCO10[[#This Row],[SOLUÇÃO]]=CC$1,[1]!BANCO10[[#This Row],[STATUS DA ETAPA]],"")</f>
        <v/>
      </c>
      <c r="CD127" s="21" t="str">
        <f>IF([1]!BANCO10[[#This Row],[SOLUÇÃO]]=CD$1,[1]!BANCO10[[#This Row],[STATUS DA ETAPA]],"")</f>
        <v/>
      </c>
      <c r="CE127" s="21" t="str">
        <f>IF([1]!BANCO10[[#This Row],[SOLUÇÃO]]=CE$1,[1]!BANCO10[[#This Row],[STATUS DA ETAPA]],"")</f>
        <v/>
      </c>
      <c r="CF127" s="21" t="str">
        <f>IF([1]!BANCO10[[#This Row],[SOLUÇÃO]]=CF$1,[1]!BANCO10[[#This Row],[STATUS DA ETAPA]],"")</f>
        <v/>
      </c>
      <c r="CG127" s="21" t="str">
        <f>IF([1]!BANCO10[[#This Row],[SOLUÇÃO]]=CG$1,[1]!BANCO10[[#This Row],[STATUS DA ETAPA]],"")</f>
        <v/>
      </c>
      <c r="CH127" s="21" t="str">
        <f>IF([1]!BANCO10[[#This Row],[SOLUÇÃO]]=CH$1,[1]!BANCO10[[#This Row],[STATUS DA ETAPA]],"")</f>
        <v/>
      </c>
      <c r="CI127" s="21" t="str">
        <f>IF([1]!BANCO10[[#This Row],[SOLUÇÃO]]=CI$1,[1]!BANCO10[[#This Row],[STATUS DA ETAPA]],"")</f>
        <v/>
      </c>
      <c r="CJ127" s="21" t="str">
        <f>IF([1]!BANCO10[[#This Row],[SOLUÇÃO]]=CJ$1,[1]!BANCO10[[#This Row],[STATUS DA ETAPA]],"")</f>
        <v/>
      </c>
      <c r="CK127" s="21" t="str">
        <f>IF([1]!BANCO10[[#This Row],[SOLUÇÃO]]=CK$1,[1]!BANCO10[[#This Row],[STATUS DA ETAPA]],"")</f>
        <v/>
      </c>
      <c r="CL127" s="21" t="str">
        <f>IF([1]!BANCO10[[#This Row],[SOLUÇÃO]]=CL$1,[1]!BANCO10[[#This Row],[STATUS DA ETAPA]],"")</f>
        <v/>
      </c>
      <c r="CM127" s="21" t="str">
        <f>IF([1]!BANCO10[[#This Row],[SOLUÇÃO]]=CM$1,[1]!BANCO10[[#This Row],[STATUS DA ETAPA]],"")</f>
        <v/>
      </c>
      <c r="CN127" s="21" t="str">
        <f>IF([1]!BANCO10[[#This Row],[SOLUÇÃO]]=CN$1,[1]!BANCO10[[#This Row],[STATUS DA ETAPA]],"")</f>
        <v/>
      </c>
      <c r="CO127" s="21" t="str">
        <f>IF([1]!BANCO10[[#This Row],[SOLUÇÃO]]=CO$1,[1]!BANCO10[[#This Row],[STATUS DA ETAPA]],"")</f>
        <v/>
      </c>
      <c r="CP127" s="21" t="str">
        <f>IF([1]!BANCO10[[#This Row],[SOLUÇÃO]]=CP$1,[1]!BANCO10[[#This Row],[STATUS DA ETAPA]],"")</f>
        <v/>
      </c>
      <c r="CQ127" s="21" t="str">
        <f>IF([1]!BANCO10[[#This Row],[SOLUÇÃO]]=CQ$1,[1]!BANCO10[[#This Row],[STATUS DA ETAPA]],"")</f>
        <v/>
      </c>
      <c r="CR127" s="21" t="str">
        <f>IF([1]!BANCO10[[#This Row],[SOLUÇÃO]]=CR$1,[1]!BANCO10[[#This Row],[STATUS DA ETAPA]],"")</f>
        <v/>
      </c>
      <c r="CS127" s="21" t="str">
        <f>IF([1]!BANCO10[[#This Row],[SOLUÇÃO]]=CS$1,[1]!BANCO10[[#This Row],[STATUS DA ETAPA]],"")</f>
        <v/>
      </c>
      <c r="CT127" s="21" t="str">
        <f>IF([1]!BANCO10[[#This Row],[SOLUÇÃO]]=CT$1,[1]!BANCO10[[#This Row],[STATUS DA ETAPA]],"")</f>
        <v/>
      </c>
      <c r="CU127" s="21" t="str">
        <f>IF([1]!BANCO10[[#This Row],[SOLUÇÃO]]=CU$1,[1]!BANCO10[[#This Row],[STATUS DA ETAPA]],"")</f>
        <v/>
      </c>
      <c r="CV127" s="21" t="str">
        <f>IF([1]!BANCO10[[#This Row],[SOLUÇÃO]]=CV$1,[1]!BANCO10[[#This Row],[STATUS DA ETAPA]],"")</f>
        <v/>
      </c>
    </row>
    <row r="128" spans="1:100">
      <c r="A128" s="44" t="s">
        <v>2</v>
      </c>
      <c r="B128" s="44">
        <v>45735</v>
      </c>
      <c r="C128" s="44" t="s">
        <v>2</v>
      </c>
      <c r="D128" s="44">
        <v>45740</v>
      </c>
      <c r="E128" s="44" t="s">
        <v>2</v>
      </c>
      <c r="F128" s="44">
        <v>45740</v>
      </c>
      <c r="G128" s="44" t="s">
        <v>2</v>
      </c>
      <c r="H128" s="44">
        <v>45741</v>
      </c>
      <c r="I128" s="45" t="s">
        <v>2</v>
      </c>
      <c r="J128" s="46">
        <v>45736</v>
      </c>
      <c r="K128" s="45" t="s">
        <v>0</v>
      </c>
      <c r="L128" s="33"/>
      <c r="M128" s="45" t="s">
        <v>0</v>
      </c>
      <c r="N128" s="33"/>
      <c r="O128" s="44" t="s">
        <v>1</v>
      </c>
      <c r="P128" s="44"/>
      <c r="Q128" s="44" t="s">
        <v>1</v>
      </c>
      <c r="R128" s="44"/>
      <c r="S128" s="44" t="s">
        <v>2</v>
      </c>
      <c r="T128" s="44">
        <v>45708</v>
      </c>
      <c r="U128" s="44" t="s">
        <v>1</v>
      </c>
      <c r="V128" s="44"/>
      <c r="W128" s="44" t="s">
        <v>1</v>
      </c>
      <c r="X128" s="44"/>
      <c r="Y128" s="44" t="s">
        <v>1</v>
      </c>
      <c r="Z128" s="44"/>
      <c r="AA128" s="44" t="s">
        <v>1</v>
      </c>
      <c r="AB128" s="44"/>
      <c r="AC128" s="51">
        <v>46022</v>
      </c>
      <c r="AD128" s="50">
        <v>46022</v>
      </c>
      <c r="AE128" s="41" t="s">
        <v>0</v>
      </c>
      <c r="AF128" s="41" t="s">
        <v>0</v>
      </c>
      <c r="AG128" s="40" t="s">
        <v>5</v>
      </c>
      <c r="AH128" s="36" t="s">
        <v>0</v>
      </c>
      <c r="AI128" s="49">
        <v>20140</v>
      </c>
      <c r="AJ128" s="36" t="s">
        <v>3</v>
      </c>
      <c r="AK128" s="21">
        <v>678850</v>
      </c>
      <c r="AL128" s="36" t="s">
        <v>1</v>
      </c>
      <c r="AM128" s="36" t="s">
        <v>1</v>
      </c>
      <c r="AN128" s="35" t="s">
        <v>0</v>
      </c>
      <c r="AO128" s="35" t="s">
        <v>0</v>
      </c>
      <c r="AP128" s="35" t="s">
        <v>0</v>
      </c>
      <c r="AQ128" s="35" t="s">
        <v>0</v>
      </c>
      <c r="AR128" s="34" t="s">
        <v>0</v>
      </c>
      <c r="AS128" s="33"/>
      <c r="AT128" s="32" t="s">
        <v>0</v>
      </c>
      <c r="AU128" s="31"/>
      <c r="AV128" s="32" t="s">
        <v>0</v>
      </c>
      <c r="AW128" s="31"/>
      <c r="AX128" s="32" t="s">
        <v>0</v>
      </c>
      <c r="AY128" s="31"/>
      <c r="AZ128" s="32" t="s">
        <v>0</v>
      </c>
      <c r="BA128" s="31"/>
      <c r="BB128" s="26" t="s">
        <v>7</v>
      </c>
      <c r="BC128" s="25" t="s">
        <v>753</v>
      </c>
      <c r="BD128" s="170"/>
      <c r="BE128" s="170"/>
      <c r="BF128" s="170"/>
      <c r="BG128" s="170"/>
      <c r="BH128" s="170"/>
      <c r="BI128" s="170"/>
      <c r="BJ128" s="170"/>
      <c r="BK128" s="170"/>
      <c r="BL128" s="170"/>
      <c r="BM128" s="170"/>
      <c r="BN128" s="170"/>
      <c r="BO128" s="170"/>
      <c r="BP128" s="170"/>
      <c r="BQ128" s="22">
        <f>YEAR([1]!BANCO10[[#This Row],[DATA INÍCIO]])</f>
        <v>2025</v>
      </c>
      <c r="BR128" s="25">
        <f>MONTH([1]!BANCO10[[#This Row],[DATA INÍCIO]])</f>
        <v>12</v>
      </c>
      <c r="BS128" s="25" t="e">
        <f>CONCATENATE(#REF!,#REF!)</f>
        <v>#REF!</v>
      </c>
      <c r="BT128" s="25"/>
      <c r="BU128" s="25"/>
      <c r="BV128" s="25" t="str">
        <f>IF([1]!BANCO10[[#This Row],[SOLUÇÃO]]=BV$1,[1]!BANCO10[[#This Row],[STATUS DA ETAPA]],"")</f>
        <v/>
      </c>
      <c r="BW128" s="25" t="str">
        <f>IF([1]!BANCO10[[#This Row],[SOLUÇÃO]]=BW$1,[1]!BANCO10[[#This Row],[STATUS DA ETAPA]],"")</f>
        <v/>
      </c>
      <c r="BX128" s="25" t="str">
        <f>IF([1]!BANCO10[[#This Row],[SOLUÇÃO]]=BX$1,[1]!BANCO10[[#This Row],[STATUS DA ETAPA]],"")</f>
        <v/>
      </c>
      <c r="BY128" s="25" t="str">
        <f>IF([1]!BANCO10[[#This Row],[SOLUÇÃO]]=BY$1,[1]!BANCO10[[#This Row],[STATUS DA ETAPA]],"")</f>
        <v/>
      </c>
      <c r="BZ128" s="25" t="str">
        <f>IF([1]!BANCO10[[#This Row],[SOLUÇÃO]]=BZ$1,[1]!BANCO10[[#This Row],[STATUS DA ETAPA]],"")</f>
        <v/>
      </c>
      <c r="CA128" s="25" t="str">
        <f>IF([1]!BANCO10[[#This Row],[SOLUÇÃO]]=CA$1,[1]!BANCO10[[#This Row],[STATUS DA ETAPA]],"")</f>
        <v/>
      </c>
      <c r="CB128" s="25" t="str">
        <f>IF([1]!BANCO10[[#This Row],[SOLUÇÃO]]=CB$1,[1]!BANCO10[[#This Row],[STATUS DA ETAPA]],"")</f>
        <v>AGUARDANDO SALDO</v>
      </c>
      <c r="CC128" s="25" t="str">
        <f>IF([1]!BANCO10[[#This Row],[SOLUÇÃO]]=CC$1,[1]!BANCO10[[#This Row],[STATUS DA ETAPA]],"")</f>
        <v/>
      </c>
      <c r="CD128" s="25" t="str">
        <f>IF([1]!BANCO10[[#This Row],[SOLUÇÃO]]=CD$1,[1]!BANCO10[[#This Row],[STATUS DA ETAPA]],"")</f>
        <v/>
      </c>
      <c r="CE128" s="25" t="str">
        <f>IF([1]!BANCO10[[#This Row],[SOLUÇÃO]]=CE$1,[1]!BANCO10[[#This Row],[STATUS DA ETAPA]],"")</f>
        <v/>
      </c>
      <c r="CF128" s="25" t="str">
        <f>IF([1]!BANCO10[[#This Row],[SOLUÇÃO]]=CF$1,[1]!BANCO10[[#This Row],[STATUS DA ETAPA]],"")</f>
        <v/>
      </c>
      <c r="CG128" s="25" t="str">
        <f>IF([1]!BANCO10[[#This Row],[SOLUÇÃO]]=CG$1,[1]!BANCO10[[#This Row],[STATUS DA ETAPA]],"")</f>
        <v/>
      </c>
      <c r="CH128" s="25" t="str">
        <f>IF([1]!BANCO10[[#This Row],[SOLUÇÃO]]=CH$1,[1]!BANCO10[[#This Row],[STATUS DA ETAPA]],"")</f>
        <v/>
      </c>
      <c r="CI128" s="25" t="str">
        <f>IF([1]!BANCO10[[#This Row],[SOLUÇÃO]]=CI$1,[1]!BANCO10[[#This Row],[STATUS DA ETAPA]],"")</f>
        <v/>
      </c>
      <c r="CJ128" s="25" t="str">
        <f>IF([1]!BANCO10[[#This Row],[SOLUÇÃO]]=CJ$1,[1]!BANCO10[[#This Row],[STATUS DA ETAPA]],"")</f>
        <v/>
      </c>
      <c r="CK128" s="25" t="str">
        <f>IF([1]!BANCO10[[#This Row],[SOLUÇÃO]]=CK$1,[1]!BANCO10[[#This Row],[STATUS DA ETAPA]],"")</f>
        <v/>
      </c>
      <c r="CL128" s="25" t="str">
        <f>IF([1]!BANCO10[[#This Row],[SOLUÇÃO]]=CL$1,[1]!BANCO10[[#This Row],[STATUS DA ETAPA]],"")</f>
        <v/>
      </c>
      <c r="CM128" s="25" t="str">
        <f>IF([1]!BANCO10[[#This Row],[SOLUÇÃO]]=CM$1,[1]!BANCO10[[#This Row],[STATUS DA ETAPA]],"")</f>
        <v/>
      </c>
      <c r="CN128" s="25" t="str">
        <f>IF([1]!BANCO10[[#This Row],[SOLUÇÃO]]=CN$1,[1]!BANCO10[[#This Row],[STATUS DA ETAPA]],"")</f>
        <v/>
      </c>
      <c r="CO128" s="25" t="str">
        <f>IF([1]!BANCO10[[#This Row],[SOLUÇÃO]]=CO$1,[1]!BANCO10[[#This Row],[STATUS DA ETAPA]],"")</f>
        <v/>
      </c>
      <c r="CP128" s="25" t="str">
        <f>IF([1]!BANCO10[[#This Row],[SOLUÇÃO]]=CP$1,[1]!BANCO10[[#This Row],[STATUS DA ETAPA]],"")</f>
        <v/>
      </c>
      <c r="CQ128" s="25" t="str">
        <f>IF([1]!BANCO10[[#This Row],[SOLUÇÃO]]=CQ$1,[1]!BANCO10[[#This Row],[STATUS DA ETAPA]],"")</f>
        <v/>
      </c>
      <c r="CR128" s="25" t="str">
        <f>IF([1]!BANCO10[[#This Row],[SOLUÇÃO]]=CR$1,[1]!BANCO10[[#This Row],[STATUS DA ETAPA]],"")</f>
        <v/>
      </c>
      <c r="CS128" s="25" t="str">
        <f>IF([1]!BANCO10[[#This Row],[SOLUÇÃO]]=CS$1,[1]!BANCO10[[#This Row],[STATUS DA ETAPA]],"")</f>
        <v/>
      </c>
      <c r="CT128" s="25" t="str">
        <f>IF([1]!BANCO10[[#This Row],[SOLUÇÃO]]=CT$1,[1]!BANCO10[[#This Row],[STATUS DA ETAPA]],"")</f>
        <v/>
      </c>
      <c r="CU128" s="25" t="str">
        <f>IF([1]!BANCO10[[#This Row],[SOLUÇÃO]]=CU$1,[1]!BANCO10[[#This Row],[STATUS DA ETAPA]],"")</f>
        <v/>
      </c>
      <c r="CV128" s="25" t="str">
        <f>IF([1]!BANCO10[[#This Row],[SOLUÇÃO]]=CV$1,[1]!BANCO10[[#This Row],[STATUS DA ETAPA]],"")</f>
        <v/>
      </c>
    </row>
    <row r="129" spans="1:100">
      <c r="A129" s="44" t="s">
        <v>1</v>
      </c>
      <c r="B129" s="44"/>
      <c r="C129" s="44" t="s">
        <v>1</v>
      </c>
      <c r="D129" s="44"/>
      <c r="E129" s="44" t="s">
        <v>1</v>
      </c>
      <c r="F129" s="44"/>
      <c r="G129" s="44" t="s">
        <v>1</v>
      </c>
      <c r="H129" s="44"/>
      <c r="I129" s="45" t="s">
        <v>1</v>
      </c>
      <c r="J129" s="46"/>
      <c r="K129" s="45" t="s">
        <v>1</v>
      </c>
      <c r="L129" s="33"/>
      <c r="M129" s="45" t="s">
        <v>1</v>
      </c>
      <c r="N129" s="33"/>
      <c r="O129" s="44" t="s">
        <v>1</v>
      </c>
      <c r="P129" s="44"/>
      <c r="Q129" s="44" t="s">
        <v>1</v>
      </c>
      <c r="R129" s="44"/>
      <c r="S129" s="44" t="s">
        <v>1</v>
      </c>
      <c r="T129" s="44"/>
      <c r="U129" s="44" t="s">
        <v>1</v>
      </c>
      <c r="V129" s="44"/>
      <c r="W129" s="44" t="s">
        <v>1</v>
      </c>
      <c r="X129" s="44"/>
      <c r="Y129" s="44" t="s">
        <v>1</v>
      </c>
      <c r="Z129" s="44"/>
      <c r="AA129" s="44" t="s">
        <v>1</v>
      </c>
      <c r="AB129" s="44"/>
      <c r="AC129" s="51"/>
      <c r="AD129" s="50"/>
      <c r="AE129" s="41" t="s">
        <v>1</v>
      </c>
      <c r="AF129" s="41" t="s">
        <v>1</v>
      </c>
      <c r="AG129" s="40" t="s">
        <v>5</v>
      </c>
      <c r="AH129" s="36" t="s">
        <v>0</v>
      </c>
      <c r="AI129" s="49">
        <v>0</v>
      </c>
      <c r="AJ129" s="36" t="s">
        <v>1</v>
      </c>
      <c r="AK129" s="169" t="s">
        <v>1</v>
      </c>
      <c r="AL129" s="36" t="s">
        <v>1</v>
      </c>
      <c r="AM129" s="36" t="s">
        <v>1</v>
      </c>
      <c r="AN129" s="35" t="s">
        <v>1</v>
      </c>
      <c r="AO129" s="35" t="s">
        <v>1</v>
      </c>
      <c r="AP129" s="35" t="s">
        <v>1</v>
      </c>
      <c r="AQ129" s="35" t="s">
        <v>2</v>
      </c>
      <c r="AR129" s="34" t="s">
        <v>0</v>
      </c>
      <c r="AS129" s="33"/>
      <c r="AT129" s="30" t="s">
        <v>0</v>
      </c>
      <c r="AU129" s="31"/>
      <c r="AV129" s="30" t="s">
        <v>0</v>
      </c>
      <c r="AW129" s="31"/>
      <c r="AX129" s="30" t="s">
        <v>0</v>
      </c>
      <c r="AY129" s="29"/>
      <c r="AZ129" s="28" t="s">
        <v>0</v>
      </c>
      <c r="BA129" s="27"/>
      <c r="BB129" s="39"/>
      <c r="BC129" s="25"/>
      <c r="BD129" s="24"/>
      <c r="BE129" s="24"/>
      <c r="BF129" s="24"/>
      <c r="BG129" s="24"/>
      <c r="BH129" s="24"/>
      <c r="BI129" s="24"/>
      <c r="BJ129" s="24"/>
      <c r="BK129" s="24"/>
      <c r="BL129" s="24"/>
      <c r="BM129" s="24"/>
      <c r="BN129" s="24"/>
      <c r="BO129" s="24"/>
      <c r="BP129" s="24"/>
      <c r="BQ129" s="22">
        <f>YEAR([1]!BANCO10[[#This Row],[DATA INÍCIO]])</f>
        <v>1900</v>
      </c>
      <c r="BR129" s="22">
        <f>MONTH([1]!BANCO10[[#This Row],[DATA INÍCIO]])</f>
        <v>1</v>
      </c>
      <c r="BS129" s="23" t="e">
        <f>CONCATENATE(#REF!,#REF!)</f>
        <v>#REF!</v>
      </c>
      <c r="BT129" s="22"/>
      <c r="BU129" s="22"/>
      <c r="BV129" s="21" t="str">
        <f>IF([1]!BANCO10[[#This Row],[SOLUÇÃO]]=BV$1,[1]!BANCO10[[#This Row],[STATUS DA ETAPA]],"")</f>
        <v>CONCLUÍDO</v>
      </c>
      <c r="BW129" s="21" t="str">
        <f>IF([1]!BANCO10[[#This Row],[SOLUÇÃO]]=BW$1,[1]!BANCO10[[#This Row],[STATUS DA ETAPA]],"")</f>
        <v/>
      </c>
      <c r="BX129" s="21" t="str">
        <f>IF([1]!BANCO10[[#This Row],[SOLUÇÃO]]=BX$1,[1]!BANCO10[[#This Row],[STATUS DA ETAPA]],"")</f>
        <v/>
      </c>
      <c r="BY129" s="21" t="str">
        <f>IF([1]!BANCO10[[#This Row],[SOLUÇÃO]]=BY$1,[1]!BANCO10[[#This Row],[STATUS DA ETAPA]],"")</f>
        <v/>
      </c>
      <c r="BZ129" s="21" t="str">
        <f>IF([1]!BANCO10[[#This Row],[SOLUÇÃO]]=BZ$1,[1]!BANCO10[[#This Row],[STATUS DA ETAPA]],"")</f>
        <v/>
      </c>
      <c r="CA129" s="21" t="str">
        <f>IF([1]!BANCO10[[#This Row],[SOLUÇÃO]]=CA$1,[1]!BANCO10[[#This Row],[STATUS DA ETAPA]],"")</f>
        <v/>
      </c>
      <c r="CB129" s="21" t="str">
        <f>IF([1]!BANCO10[[#This Row],[SOLUÇÃO]]=CB$1,[1]!BANCO10[[#This Row],[STATUS DA ETAPA]],"")</f>
        <v/>
      </c>
      <c r="CC129" s="21" t="str">
        <f>IF([1]!BANCO10[[#This Row],[SOLUÇÃO]]=CC$1,[1]!BANCO10[[#This Row],[STATUS DA ETAPA]],"")</f>
        <v/>
      </c>
      <c r="CD129" s="21" t="str">
        <f>IF([1]!BANCO10[[#This Row],[SOLUÇÃO]]=CD$1,[1]!BANCO10[[#This Row],[STATUS DA ETAPA]],"")</f>
        <v/>
      </c>
      <c r="CE129" s="21" t="str">
        <f>IF([1]!BANCO10[[#This Row],[SOLUÇÃO]]=CE$1,[1]!BANCO10[[#This Row],[STATUS DA ETAPA]],"")</f>
        <v/>
      </c>
      <c r="CF129" s="21" t="str">
        <f>IF([1]!BANCO10[[#This Row],[SOLUÇÃO]]=CF$1,[1]!BANCO10[[#This Row],[STATUS DA ETAPA]],"")</f>
        <v/>
      </c>
      <c r="CG129" s="21" t="str">
        <f>IF([1]!BANCO10[[#This Row],[SOLUÇÃO]]=CG$1,[1]!BANCO10[[#This Row],[STATUS DA ETAPA]],"")</f>
        <v/>
      </c>
      <c r="CH129" s="21" t="str">
        <f>IF([1]!BANCO10[[#This Row],[SOLUÇÃO]]=CH$1,[1]!BANCO10[[#This Row],[STATUS DA ETAPA]],"")</f>
        <v/>
      </c>
      <c r="CI129" s="21" t="str">
        <f>IF([1]!BANCO10[[#This Row],[SOLUÇÃO]]=CI$1,[1]!BANCO10[[#This Row],[STATUS DA ETAPA]],"")</f>
        <v/>
      </c>
      <c r="CJ129" s="21" t="str">
        <f>IF([1]!BANCO10[[#This Row],[SOLUÇÃO]]=CJ$1,[1]!BANCO10[[#This Row],[STATUS DA ETAPA]],"")</f>
        <v/>
      </c>
      <c r="CK129" s="21" t="str">
        <f>IF([1]!BANCO10[[#This Row],[SOLUÇÃO]]=CK$1,[1]!BANCO10[[#This Row],[STATUS DA ETAPA]],"")</f>
        <v/>
      </c>
      <c r="CL129" s="21" t="str">
        <f>IF([1]!BANCO10[[#This Row],[SOLUÇÃO]]=CL$1,[1]!BANCO10[[#This Row],[STATUS DA ETAPA]],"")</f>
        <v/>
      </c>
      <c r="CM129" s="21" t="str">
        <f>IF([1]!BANCO10[[#This Row],[SOLUÇÃO]]=CM$1,[1]!BANCO10[[#This Row],[STATUS DA ETAPA]],"")</f>
        <v/>
      </c>
      <c r="CN129" s="21" t="str">
        <f>IF([1]!BANCO10[[#This Row],[SOLUÇÃO]]=CN$1,[1]!BANCO10[[#This Row],[STATUS DA ETAPA]],"")</f>
        <v/>
      </c>
      <c r="CO129" s="21" t="str">
        <f>IF([1]!BANCO10[[#This Row],[SOLUÇÃO]]=CO$1,[1]!BANCO10[[#This Row],[STATUS DA ETAPA]],"")</f>
        <v/>
      </c>
      <c r="CP129" s="21" t="str">
        <f>IF([1]!BANCO10[[#This Row],[SOLUÇÃO]]=CP$1,[1]!BANCO10[[#This Row],[STATUS DA ETAPA]],"")</f>
        <v/>
      </c>
      <c r="CQ129" s="21" t="str">
        <f>IF([1]!BANCO10[[#This Row],[SOLUÇÃO]]=CQ$1,[1]!BANCO10[[#This Row],[STATUS DA ETAPA]],"")</f>
        <v/>
      </c>
      <c r="CR129" s="21" t="str">
        <f>IF([1]!BANCO10[[#This Row],[SOLUÇÃO]]=CR$1,[1]!BANCO10[[#This Row],[STATUS DA ETAPA]],"")</f>
        <v/>
      </c>
      <c r="CS129" s="21" t="str">
        <f>IF([1]!BANCO10[[#This Row],[SOLUÇÃO]]=CS$1,[1]!BANCO10[[#This Row],[STATUS DA ETAPA]],"")</f>
        <v/>
      </c>
      <c r="CT129" s="21" t="str">
        <f>IF([1]!BANCO10[[#This Row],[SOLUÇÃO]]=CT$1,[1]!BANCO10[[#This Row],[STATUS DA ETAPA]],"")</f>
        <v/>
      </c>
      <c r="CU129" s="21" t="str">
        <f>IF([1]!BANCO10[[#This Row],[SOLUÇÃO]]=CU$1,[1]!BANCO10[[#This Row],[STATUS DA ETAPA]],"")</f>
        <v/>
      </c>
      <c r="CV129" s="21" t="str">
        <f>IF([1]!BANCO10[[#This Row],[SOLUÇÃO]]=CV$1,[1]!BANCO10[[#This Row],[STATUS DA ETAPA]],"")</f>
        <v/>
      </c>
    </row>
    <row r="130" spans="1:100">
      <c r="A130" s="44" t="s">
        <v>1</v>
      </c>
      <c r="B130" s="44"/>
      <c r="C130" s="44" t="s">
        <v>1</v>
      </c>
      <c r="D130" s="44"/>
      <c r="E130" s="44" t="s">
        <v>1</v>
      </c>
      <c r="F130" s="44"/>
      <c r="G130" s="44" t="s">
        <v>1</v>
      </c>
      <c r="H130" s="44"/>
      <c r="I130" s="45" t="s">
        <v>1</v>
      </c>
      <c r="J130" s="46"/>
      <c r="K130" s="45" t="s">
        <v>1</v>
      </c>
      <c r="L130" s="33"/>
      <c r="M130" s="45" t="s">
        <v>1</v>
      </c>
      <c r="N130" s="33"/>
      <c r="O130" s="44" t="s">
        <v>1</v>
      </c>
      <c r="P130" s="44"/>
      <c r="Q130" s="44" t="s">
        <v>1</v>
      </c>
      <c r="R130" s="44"/>
      <c r="S130" s="44" t="s">
        <v>1</v>
      </c>
      <c r="T130" s="44"/>
      <c r="U130" s="44" t="s">
        <v>1</v>
      </c>
      <c r="V130" s="44"/>
      <c r="W130" s="44" t="s">
        <v>1</v>
      </c>
      <c r="X130" s="44"/>
      <c r="Y130" s="44" t="s">
        <v>1</v>
      </c>
      <c r="Z130" s="44"/>
      <c r="AA130" s="44" t="s">
        <v>2</v>
      </c>
      <c r="AB130" s="44"/>
      <c r="AC130" s="51">
        <v>45877</v>
      </c>
      <c r="AD130" s="50">
        <v>45918</v>
      </c>
      <c r="AE130" s="68" t="s">
        <v>2</v>
      </c>
      <c r="AF130" s="68" t="s">
        <v>2</v>
      </c>
      <c r="AG130" s="76" t="s">
        <v>5</v>
      </c>
      <c r="AH130" s="36" t="s">
        <v>0</v>
      </c>
      <c r="AI130" s="49">
        <v>0</v>
      </c>
      <c r="AJ130" s="36" t="s">
        <v>6</v>
      </c>
      <c r="AK130" s="168" t="s">
        <v>752</v>
      </c>
      <c r="AL130" s="36">
        <v>0</v>
      </c>
      <c r="AM130" s="36">
        <v>0</v>
      </c>
      <c r="AN130" s="35" t="s">
        <v>1</v>
      </c>
      <c r="AO130" s="35" t="s">
        <v>1</v>
      </c>
      <c r="AP130" s="35" t="s">
        <v>2</v>
      </c>
      <c r="AQ130" s="35" t="s">
        <v>1</v>
      </c>
      <c r="AR130" s="34" t="s">
        <v>1</v>
      </c>
      <c r="AS130" s="33"/>
      <c r="AT130" s="32" t="s">
        <v>2</v>
      </c>
      <c r="AU130" s="31">
        <v>45923</v>
      </c>
      <c r="AV130" s="28" t="s">
        <v>2</v>
      </c>
      <c r="AW130" s="31">
        <v>45925</v>
      </c>
      <c r="AX130" s="30" t="s">
        <v>0</v>
      </c>
      <c r="AY130" s="29"/>
      <c r="AZ130" s="28" t="s">
        <v>0</v>
      </c>
      <c r="BA130" s="27"/>
      <c r="BB130" s="39">
        <v>45834</v>
      </c>
      <c r="BC130" s="25" t="s">
        <v>297</v>
      </c>
      <c r="BD130" s="24"/>
      <c r="BE130" s="24"/>
      <c r="BF130" s="24"/>
      <c r="BG130" s="24"/>
      <c r="BH130" s="24"/>
      <c r="BI130" s="24"/>
      <c r="BJ130" s="24"/>
      <c r="BK130" s="24"/>
      <c r="BL130" s="24"/>
      <c r="BM130" s="24"/>
      <c r="BN130" s="24"/>
      <c r="BO130" s="24"/>
      <c r="BP130" s="24"/>
      <c r="BQ130" s="22">
        <f>YEAR([1]!BANCO10[[#This Row],[DATA INÍCIO]])</f>
        <v>2025</v>
      </c>
      <c r="BR130" s="22">
        <f>MONTH([1]!BANCO10[[#This Row],[DATA INÍCIO]])</f>
        <v>8</v>
      </c>
      <c r="BS130" s="23" t="e">
        <f>CONCATENATE(#REF!,#REF!)</f>
        <v>#REF!</v>
      </c>
      <c r="BT130" s="22"/>
      <c r="BU130" s="22"/>
      <c r="BV130" s="21" t="str">
        <f>IF([1]!BANCO10[[#This Row],[SOLUÇÃO]]=BV$1,[1]!BANCO10[[#This Row],[STATUS DA ETAPA]],"")</f>
        <v/>
      </c>
      <c r="BW130" s="21" t="str">
        <f>IF([1]!BANCO10[[#This Row],[SOLUÇÃO]]=BW$1,[1]!BANCO10[[#This Row],[STATUS DA ETAPA]],"")</f>
        <v/>
      </c>
      <c r="BX130" s="21" t="str">
        <f>IF([1]!BANCO10[[#This Row],[SOLUÇÃO]]=BX$1,[1]!BANCO10[[#This Row],[STATUS DA ETAPA]],"")</f>
        <v/>
      </c>
      <c r="BY130" s="21" t="str">
        <f>IF([1]!BANCO10[[#This Row],[SOLUÇÃO]]=BY$1,[1]!BANCO10[[#This Row],[STATUS DA ETAPA]],"")</f>
        <v/>
      </c>
      <c r="BZ130" s="21" t="str">
        <f>IF([1]!BANCO10[[#This Row],[SOLUÇÃO]]=BZ$1,[1]!BANCO10[[#This Row],[STATUS DA ETAPA]],"")</f>
        <v/>
      </c>
      <c r="CA130" s="21" t="str">
        <f>IF([1]!BANCO10[[#This Row],[SOLUÇÃO]]=CA$1,[1]!BANCO10[[#This Row],[STATUS DA ETAPA]],"")</f>
        <v/>
      </c>
      <c r="CB130" s="21" t="str">
        <f>IF([1]!BANCO10[[#This Row],[SOLUÇÃO]]=CB$1,[1]!BANCO10[[#This Row],[STATUS DA ETAPA]],"")</f>
        <v/>
      </c>
      <c r="CC130" s="21" t="str">
        <f>IF([1]!BANCO10[[#This Row],[SOLUÇÃO]]=CC$1,[1]!BANCO10[[#This Row],[STATUS DA ETAPA]],"")</f>
        <v/>
      </c>
      <c r="CD130" s="21" t="str">
        <f>IF([1]!BANCO10[[#This Row],[SOLUÇÃO]]=CD$1,[1]!BANCO10[[#This Row],[STATUS DA ETAPA]],"")</f>
        <v/>
      </c>
      <c r="CE130" s="21" t="str">
        <f>IF([1]!BANCO10[[#This Row],[SOLUÇÃO]]=CE$1,[1]!BANCO10[[#This Row],[STATUS DA ETAPA]],"")</f>
        <v/>
      </c>
      <c r="CF130" s="21" t="str">
        <f>IF([1]!BANCO10[[#This Row],[SOLUÇÃO]]=CF$1,[1]!BANCO10[[#This Row],[STATUS DA ETAPA]],"")</f>
        <v/>
      </c>
      <c r="CG130" s="21" t="str">
        <f>IF([1]!BANCO10[[#This Row],[SOLUÇÃO]]=CG$1,[1]!BANCO10[[#This Row],[STATUS DA ETAPA]],"")</f>
        <v/>
      </c>
      <c r="CH130" s="21" t="str">
        <f>IF([1]!BANCO10[[#This Row],[SOLUÇÃO]]=CH$1,[1]!BANCO10[[#This Row],[STATUS DA ETAPA]],"")</f>
        <v/>
      </c>
      <c r="CI130" s="21" t="str">
        <f>IF([1]!BANCO10[[#This Row],[SOLUÇÃO]]=CI$1,[1]!BANCO10[[#This Row],[STATUS DA ETAPA]],"")</f>
        <v/>
      </c>
      <c r="CJ130" s="21" t="str">
        <f>IF([1]!BANCO10[[#This Row],[SOLUÇÃO]]=CJ$1,[1]!BANCO10[[#This Row],[STATUS DA ETAPA]],"")</f>
        <v/>
      </c>
      <c r="CK130" s="21" t="str">
        <f>IF([1]!BANCO10[[#This Row],[SOLUÇÃO]]=CK$1,[1]!BANCO10[[#This Row],[STATUS DA ETAPA]],"")</f>
        <v/>
      </c>
      <c r="CL130" s="21" t="str">
        <f>IF([1]!BANCO10[[#This Row],[SOLUÇÃO]]=CL$1,[1]!BANCO10[[#This Row],[STATUS DA ETAPA]],"")</f>
        <v>CONCLUÍDO</v>
      </c>
      <c r="CM130" s="21" t="str">
        <f>IF([1]!BANCO10[[#This Row],[SOLUÇÃO]]=CM$1,[1]!BANCO10[[#This Row],[STATUS DA ETAPA]],"")</f>
        <v/>
      </c>
      <c r="CN130" s="21" t="str">
        <f>IF([1]!BANCO10[[#This Row],[SOLUÇÃO]]=CN$1,[1]!BANCO10[[#This Row],[STATUS DA ETAPA]],"")</f>
        <v/>
      </c>
      <c r="CO130" s="21" t="str">
        <f>IF([1]!BANCO10[[#This Row],[SOLUÇÃO]]=CO$1,[1]!BANCO10[[#This Row],[STATUS DA ETAPA]],"")</f>
        <v/>
      </c>
      <c r="CP130" s="21" t="str">
        <f>IF([1]!BANCO10[[#This Row],[SOLUÇÃO]]=CP$1,[1]!BANCO10[[#This Row],[STATUS DA ETAPA]],"")</f>
        <v/>
      </c>
      <c r="CQ130" s="21" t="str">
        <f>IF([1]!BANCO10[[#This Row],[SOLUÇÃO]]=CQ$1,[1]!BANCO10[[#This Row],[STATUS DA ETAPA]],"")</f>
        <v/>
      </c>
      <c r="CR130" s="21" t="str">
        <f>IF([1]!BANCO10[[#This Row],[SOLUÇÃO]]=CR$1,[1]!BANCO10[[#This Row],[STATUS DA ETAPA]],"")</f>
        <v/>
      </c>
      <c r="CS130" s="21" t="str">
        <f>IF([1]!BANCO10[[#This Row],[SOLUÇÃO]]=CS$1,[1]!BANCO10[[#This Row],[STATUS DA ETAPA]],"")</f>
        <v/>
      </c>
      <c r="CT130" s="21" t="str">
        <f>IF([1]!BANCO10[[#This Row],[SOLUÇÃO]]=CT$1,[1]!BANCO10[[#This Row],[STATUS DA ETAPA]],"")</f>
        <v/>
      </c>
      <c r="CU130" s="21" t="str">
        <f>IF([1]!BANCO10[[#This Row],[SOLUÇÃO]]=CU$1,[1]!BANCO10[[#This Row],[STATUS DA ETAPA]],"")</f>
        <v/>
      </c>
      <c r="CV130" s="21" t="str">
        <f>IF([1]!BANCO10[[#This Row],[SOLUÇÃO]]=CV$1,[1]!BANCO10[[#This Row],[STATUS DA ETAPA]],"")</f>
        <v/>
      </c>
    </row>
    <row r="131" spans="1:100">
      <c r="A131" s="44" t="s">
        <v>1</v>
      </c>
      <c r="B131" s="44"/>
      <c r="C131" s="44" t="s">
        <v>1</v>
      </c>
      <c r="D131" s="44"/>
      <c r="E131" s="44" t="s">
        <v>1</v>
      </c>
      <c r="F131" s="44"/>
      <c r="G131" s="44" t="s">
        <v>1</v>
      </c>
      <c r="H131" s="44"/>
      <c r="I131" s="45" t="s">
        <v>1</v>
      </c>
      <c r="J131" s="46"/>
      <c r="K131" s="45" t="s">
        <v>1</v>
      </c>
      <c r="L131" s="33"/>
      <c r="M131" s="45" t="s">
        <v>1</v>
      </c>
      <c r="N131" s="33"/>
      <c r="O131" s="44" t="s">
        <v>1</v>
      </c>
      <c r="P131" s="44"/>
      <c r="Q131" s="44" t="s">
        <v>1</v>
      </c>
      <c r="R131" s="44"/>
      <c r="S131" s="44" t="s">
        <v>1</v>
      </c>
      <c r="T131" s="44"/>
      <c r="U131" s="44" t="s">
        <v>1</v>
      </c>
      <c r="V131" s="44"/>
      <c r="W131" s="44" t="s">
        <v>1</v>
      </c>
      <c r="X131" s="44"/>
      <c r="Y131" s="44" t="s">
        <v>1</v>
      </c>
      <c r="Z131" s="44"/>
      <c r="AA131" s="44" t="s">
        <v>1</v>
      </c>
      <c r="AB131" s="44"/>
      <c r="AC131" s="51">
        <v>45387</v>
      </c>
      <c r="AD131" s="50">
        <v>45387</v>
      </c>
      <c r="AE131" s="40" t="s">
        <v>1</v>
      </c>
      <c r="AF131" s="40" t="s">
        <v>1</v>
      </c>
      <c r="AG131" s="76" t="s">
        <v>5</v>
      </c>
      <c r="AH131" s="36" t="s">
        <v>1</v>
      </c>
      <c r="AI131" s="49">
        <v>0</v>
      </c>
      <c r="AJ131" s="36" t="s">
        <v>1</v>
      </c>
      <c r="AK131" s="10" t="s">
        <v>1</v>
      </c>
      <c r="AL131" s="36" t="s">
        <v>1</v>
      </c>
      <c r="AM131" s="36" t="s">
        <v>1</v>
      </c>
      <c r="AN131" s="35" t="s">
        <v>1</v>
      </c>
      <c r="AO131" s="35" t="s">
        <v>1</v>
      </c>
      <c r="AP131" s="35" t="s">
        <v>1</v>
      </c>
      <c r="AQ131" s="35" t="s">
        <v>1</v>
      </c>
      <c r="AR131" s="82" t="s">
        <v>1</v>
      </c>
      <c r="AS131" s="33"/>
      <c r="AT131" s="30"/>
      <c r="AU131" s="55"/>
      <c r="AV131" s="30"/>
      <c r="AW131" s="55"/>
      <c r="AX131" s="30" t="s">
        <v>1</v>
      </c>
      <c r="AY131" s="55"/>
      <c r="AZ131" s="30" t="s">
        <v>1</v>
      </c>
      <c r="BA131" s="55"/>
      <c r="BB131" s="74"/>
      <c r="BC131" s="25"/>
      <c r="BD131" s="24" t="s">
        <v>11</v>
      </c>
      <c r="BE131" s="24" t="s">
        <v>11</v>
      </c>
      <c r="BF131" s="24" t="s">
        <v>11</v>
      </c>
      <c r="BG131" s="24" t="s">
        <v>11</v>
      </c>
      <c r="BH131" s="130" t="s">
        <v>11</v>
      </c>
      <c r="BI131" s="24"/>
      <c r="BJ131" s="24" t="s">
        <v>11</v>
      </c>
      <c r="BK131" s="24" t="s">
        <v>11</v>
      </c>
      <c r="BL131" s="24" t="s">
        <v>11</v>
      </c>
      <c r="BM131" s="24" t="s">
        <v>11</v>
      </c>
      <c r="BN131" s="24" t="s">
        <v>11</v>
      </c>
      <c r="BO131" s="24" t="s">
        <v>11</v>
      </c>
      <c r="BP131" s="24" t="s">
        <v>11</v>
      </c>
      <c r="BQ131" s="22">
        <f>YEAR([1]!BANCO10[[#This Row],[DATA INÍCIO]])</f>
        <v>2024</v>
      </c>
      <c r="BR131" s="22">
        <f>MONTH([1]!BANCO10[[#This Row],[DATA INÍCIO]])</f>
        <v>4</v>
      </c>
      <c r="BS131" s="129" t="e">
        <f>CONCATENATE(#REF!,#REF!)</f>
        <v>#REF!</v>
      </c>
      <c r="BT131" s="22"/>
      <c r="BU131" s="21" t="s">
        <v>751</v>
      </c>
      <c r="BV131" s="21" t="str">
        <f>IF([1]!BANCO10[[#This Row],[SOLUÇÃO]]=BV$1,[1]!BANCO10[[#This Row],[STATUS DA ETAPA]],"")</f>
        <v>CONCLUÍDO</v>
      </c>
      <c r="BW131" s="21" t="str">
        <f>IF([1]!BANCO10[[#This Row],[SOLUÇÃO]]=BW$1,[1]!BANCO10[[#This Row],[STATUS DA ETAPA]],"")</f>
        <v/>
      </c>
      <c r="BX131" s="21" t="str">
        <f>IF([1]!BANCO10[[#This Row],[SOLUÇÃO]]=BX$1,[1]!BANCO10[[#This Row],[STATUS DA ETAPA]],"")</f>
        <v/>
      </c>
      <c r="BY131" s="21" t="str">
        <f>IF([1]!BANCO10[[#This Row],[SOLUÇÃO]]=BY$1,[1]!BANCO10[[#This Row],[STATUS DA ETAPA]],"")</f>
        <v/>
      </c>
      <c r="BZ131" s="21" t="str">
        <f>IF([1]!BANCO10[[#This Row],[SOLUÇÃO]]=BZ$1,[1]!BANCO10[[#This Row],[STATUS DA ETAPA]],"")</f>
        <v/>
      </c>
      <c r="CA131" s="21" t="str">
        <f>IF([1]!BANCO10[[#This Row],[SOLUÇÃO]]=CA$1,[1]!BANCO10[[#This Row],[STATUS DA ETAPA]],"")</f>
        <v/>
      </c>
      <c r="CB131" s="21" t="str">
        <f>IF([1]!BANCO10[[#This Row],[SOLUÇÃO]]=CB$1,[1]!BANCO10[[#This Row],[STATUS DA ETAPA]],"")</f>
        <v/>
      </c>
      <c r="CC131" s="21" t="str">
        <f>IF([1]!BANCO10[[#This Row],[SOLUÇÃO]]=CC$1,[1]!BANCO10[[#This Row],[STATUS DA ETAPA]],"")</f>
        <v/>
      </c>
      <c r="CD131" s="21" t="str">
        <f>IF([1]!BANCO10[[#This Row],[SOLUÇÃO]]=CD$1,[1]!BANCO10[[#This Row],[STATUS DA ETAPA]],"")</f>
        <v/>
      </c>
      <c r="CE131" s="21" t="str">
        <f>IF([1]!BANCO10[[#This Row],[SOLUÇÃO]]=CE$1,[1]!BANCO10[[#This Row],[STATUS DA ETAPA]],"")</f>
        <v/>
      </c>
      <c r="CF131" s="21" t="str">
        <f>IF([1]!BANCO10[[#This Row],[SOLUÇÃO]]=CF$1,[1]!BANCO10[[#This Row],[STATUS DA ETAPA]],"")</f>
        <v/>
      </c>
      <c r="CG131" s="21" t="str">
        <f>IF([1]!BANCO10[[#This Row],[SOLUÇÃO]]=CG$1,[1]!BANCO10[[#This Row],[STATUS DA ETAPA]],"")</f>
        <v/>
      </c>
      <c r="CH131" s="21" t="str">
        <f>IF([1]!BANCO10[[#This Row],[SOLUÇÃO]]=CH$1,[1]!BANCO10[[#This Row],[STATUS DA ETAPA]],"")</f>
        <v/>
      </c>
      <c r="CI131" s="21" t="str">
        <f>IF([1]!BANCO10[[#This Row],[SOLUÇÃO]]=CI$1,[1]!BANCO10[[#This Row],[STATUS DA ETAPA]],"")</f>
        <v/>
      </c>
      <c r="CJ131" s="21" t="str">
        <f>IF([1]!BANCO10[[#This Row],[SOLUÇÃO]]=CJ$1,[1]!BANCO10[[#This Row],[STATUS DA ETAPA]],"")</f>
        <v/>
      </c>
      <c r="CK131" s="21" t="str">
        <f>IF([1]!BANCO10[[#This Row],[SOLUÇÃO]]=CK$1,[1]!BANCO10[[#This Row],[STATUS DA ETAPA]],"")</f>
        <v/>
      </c>
      <c r="CL131" s="21" t="str">
        <f>IF([1]!BANCO10[[#This Row],[SOLUÇÃO]]=CL$1,[1]!BANCO10[[#This Row],[STATUS DA ETAPA]],"")</f>
        <v/>
      </c>
      <c r="CM131" s="21" t="str">
        <f>IF([1]!BANCO10[[#This Row],[SOLUÇÃO]]=CM$1,[1]!BANCO10[[#This Row],[STATUS DA ETAPA]],"")</f>
        <v/>
      </c>
      <c r="CN131" s="21" t="str">
        <f>IF([1]!BANCO10[[#This Row],[SOLUÇÃO]]=CN$1,[1]!BANCO10[[#This Row],[STATUS DA ETAPA]],"")</f>
        <v/>
      </c>
      <c r="CO131" s="21" t="str">
        <f>IF([1]!BANCO10[[#This Row],[SOLUÇÃO]]=CO$1,[1]!BANCO10[[#This Row],[STATUS DA ETAPA]],"")</f>
        <v/>
      </c>
      <c r="CP131" s="21" t="str">
        <f>IF([1]!BANCO10[[#This Row],[SOLUÇÃO]]=CP$1,[1]!BANCO10[[#This Row],[STATUS DA ETAPA]],"")</f>
        <v/>
      </c>
      <c r="CQ131" s="21" t="str">
        <f>IF([1]!BANCO10[[#This Row],[SOLUÇÃO]]=CQ$1,[1]!BANCO10[[#This Row],[STATUS DA ETAPA]],"")</f>
        <v/>
      </c>
      <c r="CR131" s="21" t="str">
        <f>IF([1]!BANCO10[[#This Row],[SOLUÇÃO]]=CR$1,[1]!BANCO10[[#This Row],[STATUS DA ETAPA]],"")</f>
        <v/>
      </c>
      <c r="CS131" s="21" t="str">
        <f>IF([1]!BANCO10[[#This Row],[SOLUÇÃO]]=CS$1,[1]!BANCO10[[#This Row],[STATUS DA ETAPA]],"")</f>
        <v/>
      </c>
      <c r="CT131" s="21" t="str">
        <f>IF([1]!BANCO10[[#This Row],[SOLUÇÃO]]=CT$1,[1]!BANCO10[[#This Row],[STATUS DA ETAPA]],"")</f>
        <v/>
      </c>
      <c r="CU131" s="21" t="str">
        <f>IF([1]!BANCO10[[#This Row],[SOLUÇÃO]]=CU$1,[1]!BANCO10[[#This Row],[STATUS DA ETAPA]],"")</f>
        <v/>
      </c>
      <c r="CV131" s="21" t="str">
        <f>IF([1]!BANCO10[[#This Row],[SOLUÇÃO]]=CV$1,[1]!BANCO10[[#This Row],[STATUS DA ETAPA]],"")</f>
        <v/>
      </c>
    </row>
    <row r="132" spans="1:100">
      <c r="A132" s="44" t="s">
        <v>1</v>
      </c>
      <c r="B132" s="44"/>
      <c r="C132" s="44" t="s">
        <v>1</v>
      </c>
      <c r="D132" s="44"/>
      <c r="E132" s="44" t="s">
        <v>1</v>
      </c>
      <c r="F132" s="44"/>
      <c r="G132" s="44" t="s">
        <v>1</v>
      </c>
      <c r="H132" s="44"/>
      <c r="I132" s="45" t="s">
        <v>1</v>
      </c>
      <c r="J132" s="46"/>
      <c r="K132" s="45" t="s">
        <v>1</v>
      </c>
      <c r="L132" s="33"/>
      <c r="M132" s="45" t="s">
        <v>1</v>
      </c>
      <c r="N132" s="33"/>
      <c r="O132" s="44" t="s">
        <v>1</v>
      </c>
      <c r="P132" s="44"/>
      <c r="Q132" s="44" t="s">
        <v>1</v>
      </c>
      <c r="R132" s="44"/>
      <c r="S132" s="44" t="s">
        <v>1</v>
      </c>
      <c r="T132" s="44"/>
      <c r="U132" s="44" t="s">
        <v>1</v>
      </c>
      <c r="V132" s="44"/>
      <c r="W132" s="44" t="s">
        <v>1</v>
      </c>
      <c r="X132" s="44"/>
      <c r="Y132" s="44" t="s">
        <v>1</v>
      </c>
      <c r="Z132" s="44"/>
      <c r="AA132" s="44" t="s">
        <v>1</v>
      </c>
      <c r="AB132" s="44"/>
      <c r="AC132" s="51">
        <v>45418</v>
      </c>
      <c r="AD132" s="50">
        <v>45418</v>
      </c>
      <c r="AE132" s="41" t="s">
        <v>1</v>
      </c>
      <c r="AF132" s="41" t="s">
        <v>1</v>
      </c>
      <c r="AG132" s="40" t="s">
        <v>5</v>
      </c>
      <c r="AH132" s="36" t="s">
        <v>1</v>
      </c>
      <c r="AI132" s="49">
        <v>0</v>
      </c>
      <c r="AJ132" s="36" t="s">
        <v>1</v>
      </c>
      <c r="AK132" s="10" t="s">
        <v>1</v>
      </c>
      <c r="AL132" s="36" t="s">
        <v>1</v>
      </c>
      <c r="AM132" s="36" t="s">
        <v>1</v>
      </c>
      <c r="AN132" s="35" t="s">
        <v>1</v>
      </c>
      <c r="AO132" s="35" t="s">
        <v>1</v>
      </c>
      <c r="AP132" s="35" t="s">
        <v>1</v>
      </c>
      <c r="AQ132" s="35" t="s">
        <v>1</v>
      </c>
      <c r="AR132" s="82" t="s">
        <v>1</v>
      </c>
      <c r="AS132" s="33"/>
      <c r="AT132" s="30"/>
      <c r="AU132" s="55"/>
      <c r="AV132" s="30"/>
      <c r="AW132" s="55"/>
      <c r="AX132" s="30" t="s">
        <v>1</v>
      </c>
      <c r="AY132" s="55"/>
      <c r="AZ132" s="30" t="s">
        <v>1</v>
      </c>
      <c r="BA132" s="55"/>
      <c r="BB132" s="74" t="s">
        <v>750</v>
      </c>
      <c r="BC132" s="25" t="s">
        <v>41</v>
      </c>
      <c r="BD132" s="24"/>
      <c r="BE132" s="24"/>
      <c r="BF132" s="24"/>
      <c r="BG132" s="24"/>
      <c r="BH132" s="130"/>
      <c r="BI132" s="24"/>
      <c r="BJ132" s="24"/>
      <c r="BK132" s="24"/>
      <c r="BL132" s="24">
        <v>45390</v>
      </c>
      <c r="BM132" s="24"/>
      <c r="BN132" s="24" t="s">
        <v>11</v>
      </c>
      <c r="BO132" s="24"/>
      <c r="BP132" s="24" t="s">
        <v>44</v>
      </c>
      <c r="BQ132" s="22">
        <f>YEAR([1]!BANCO10[[#This Row],[DATA INÍCIO]])</f>
        <v>2024</v>
      </c>
      <c r="BR132" s="22">
        <f>MONTH([1]!BANCO10[[#This Row],[DATA INÍCIO]])</f>
        <v>5</v>
      </c>
      <c r="BS132" s="23" t="e">
        <f>CONCATENATE(#REF!,#REF!)</f>
        <v>#REF!</v>
      </c>
      <c r="BT132" s="22"/>
      <c r="BU132" s="97" t="s">
        <v>749</v>
      </c>
      <c r="BV132" s="21" t="str">
        <f>IF([1]!BANCO10[[#This Row],[SOLUÇÃO]]=BV$1,[1]!BANCO10[[#This Row],[STATUS DA ETAPA]],"")</f>
        <v>CONCLUÍDO</v>
      </c>
      <c r="BW132" s="21" t="str">
        <f>IF([1]!BANCO10[[#This Row],[SOLUÇÃO]]=BW$1,[1]!BANCO10[[#This Row],[STATUS DA ETAPA]],"")</f>
        <v/>
      </c>
      <c r="BX132" s="21" t="str">
        <f>IF([1]!BANCO10[[#This Row],[SOLUÇÃO]]=BX$1,[1]!BANCO10[[#This Row],[STATUS DA ETAPA]],"")</f>
        <v/>
      </c>
      <c r="BY132" s="21" t="str">
        <f>IF([1]!BANCO10[[#This Row],[SOLUÇÃO]]=BY$1,[1]!BANCO10[[#This Row],[STATUS DA ETAPA]],"")</f>
        <v/>
      </c>
      <c r="BZ132" s="21" t="str">
        <f>IF([1]!BANCO10[[#This Row],[SOLUÇÃO]]=BZ$1,[1]!BANCO10[[#This Row],[STATUS DA ETAPA]],"")</f>
        <v/>
      </c>
      <c r="CA132" s="21" t="str">
        <f>IF([1]!BANCO10[[#This Row],[SOLUÇÃO]]=CA$1,[1]!BANCO10[[#This Row],[STATUS DA ETAPA]],"")</f>
        <v/>
      </c>
      <c r="CB132" s="21" t="str">
        <f>IF([1]!BANCO10[[#This Row],[SOLUÇÃO]]=CB$1,[1]!BANCO10[[#This Row],[STATUS DA ETAPA]],"")</f>
        <v/>
      </c>
      <c r="CC132" s="21" t="str">
        <f>IF([1]!BANCO10[[#This Row],[SOLUÇÃO]]=CC$1,[1]!BANCO10[[#This Row],[STATUS DA ETAPA]],"")</f>
        <v/>
      </c>
      <c r="CD132" s="21" t="str">
        <f>IF([1]!BANCO10[[#This Row],[SOLUÇÃO]]=CD$1,[1]!BANCO10[[#This Row],[STATUS DA ETAPA]],"")</f>
        <v/>
      </c>
      <c r="CE132" s="21" t="str">
        <f>IF([1]!BANCO10[[#This Row],[SOLUÇÃO]]=CE$1,[1]!BANCO10[[#This Row],[STATUS DA ETAPA]],"")</f>
        <v/>
      </c>
      <c r="CF132" s="21" t="str">
        <f>IF([1]!BANCO10[[#This Row],[SOLUÇÃO]]=CF$1,[1]!BANCO10[[#This Row],[STATUS DA ETAPA]],"")</f>
        <v/>
      </c>
      <c r="CG132" s="21" t="str">
        <f>IF([1]!BANCO10[[#This Row],[SOLUÇÃO]]=CG$1,[1]!BANCO10[[#This Row],[STATUS DA ETAPA]],"")</f>
        <v/>
      </c>
      <c r="CH132" s="21" t="str">
        <f>IF([1]!BANCO10[[#This Row],[SOLUÇÃO]]=CH$1,[1]!BANCO10[[#This Row],[STATUS DA ETAPA]],"")</f>
        <v/>
      </c>
      <c r="CI132" s="21" t="str">
        <f>IF([1]!BANCO10[[#This Row],[SOLUÇÃO]]=CI$1,[1]!BANCO10[[#This Row],[STATUS DA ETAPA]],"")</f>
        <v/>
      </c>
      <c r="CJ132" s="21" t="str">
        <f>IF([1]!BANCO10[[#This Row],[SOLUÇÃO]]=CJ$1,[1]!BANCO10[[#This Row],[STATUS DA ETAPA]],"")</f>
        <v/>
      </c>
      <c r="CK132" s="21" t="str">
        <f>IF([1]!BANCO10[[#This Row],[SOLUÇÃO]]=CK$1,[1]!BANCO10[[#This Row],[STATUS DA ETAPA]],"")</f>
        <v/>
      </c>
      <c r="CL132" s="21" t="str">
        <f>IF([1]!BANCO10[[#This Row],[SOLUÇÃO]]=CL$1,[1]!BANCO10[[#This Row],[STATUS DA ETAPA]],"")</f>
        <v/>
      </c>
      <c r="CM132" s="21" t="str">
        <f>IF([1]!BANCO10[[#This Row],[SOLUÇÃO]]=CM$1,[1]!BANCO10[[#This Row],[STATUS DA ETAPA]],"")</f>
        <v/>
      </c>
      <c r="CN132" s="21" t="str">
        <f>IF([1]!BANCO10[[#This Row],[SOLUÇÃO]]=CN$1,[1]!BANCO10[[#This Row],[STATUS DA ETAPA]],"")</f>
        <v/>
      </c>
      <c r="CO132" s="21" t="str">
        <f>IF([1]!BANCO10[[#This Row],[SOLUÇÃO]]=CO$1,[1]!BANCO10[[#This Row],[STATUS DA ETAPA]],"")</f>
        <v/>
      </c>
      <c r="CP132" s="21" t="str">
        <f>IF([1]!BANCO10[[#This Row],[SOLUÇÃO]]=CP$1,[1]!BANCO10[[#This Row],[STATUS DA ETAPA]],"")</f>
        <v/>
      </c>
      <c r="CQ132" s="21" t="str">
        <f>IF([1]!BANCO10[[#This Row],[SOLUÇÃO]]=CQ$1,[1]!BANCO10[[#This Row],[STATUS DA ETAPA]],"")</f>
        <v/>
      </c>
      <c r="CR132" s="21" t="str">
        <f>IF([1]!BANCO10[[#This Row],[SOLUÇÃO]]=CR$1,[1]!BANCO10[[#This Row],[STATUS DA ETAPA]],"")</f>
        <v/>
      </c>
      <c r="CS132" s="21" t="str">
        <f>IF([1]!BANCO10[[#This Row],[SOLUÇÃO]]=CS$1,[1]!BANCO10[[#This Row],[STATUS DA ETAPA]],"")</f>
        <v/>
      </c>
      <c r="CT132" s="21" t="str">
        <f>IF([1]!BANCO10[[#This Row],[SOLUÇÃO]]=CT$1,[1]!BANCO10[[#This Row],[STATUS DA ETAPA]],"")</f>
        <v/>
      </c>
      <c r="CU132" s="21" t="str">
        <f>IF([1]!BANCO10[[#This Row],[SOLUÇÃO]]=CU$1,[1]!BANCO10[[#This Row],[STATUS DA ETAPA]],"")</f>
        <v/>
      </c>
      <c r="CV132" s="21" t="str">
        <f>IF([1]!BANCO10[[#This Row],[SOLUÇÃO]]=CV$1,[1]!BANCO10[[#This Row],[STATUS DA ETAPA]],"")</f>
        <v/>
      </c>
    </row>
    <row r="133" spans="1:100">
      <c r="A133" s="44" t="s">
        <v>1</v>
      </c>
      <c r="B133" s="44"/>
      <c r="C133" s="44" t="s">
        <v>1</v>
      </c>
      <c r="D133" s="44"/>
      <c r="E133" s="44" t="s">
        <v>1</v>
      </c>
      <c r="F133" s="44"/>
      <c r="G133" s="44" t="s">
        <v>1</v>
      </c>
      <c r="H133" s="44"/>
      <c r="I133" s="45" t="s">
        <v>0</v>
      </c>
      <c r="J133" s="46"/>
      <c r="K133" s="45" t="s">
        <v>0</v>
      </c>
      <c r="L133" s="33"/>
      <c r="M133" s="45" t="s">
        <v>0</v>
      </c>
      <c r="N133" s="33"/>
      <c r="O133" s="44"/>
      <c r="P133" s="44"/>
      <c r="Q133" s="44" t="s">
        <v>1</v>
      </c>
      <c r="R133" s="44"/>
      <c r="S133" s="44"/>
      <c r="T133" s="44"/>
      <c r="U133" s="44"/>
      <c r="V133" s="44"/>
      <c r="W133" s="44"/>
      <c r="X133" s="44"/>
      <c r="Y133" s="44"/>
      <c r="Z133" s="44"/>
      <c r="AA133" s="44"/>
      <c r="AB133" s="44"/>
      <c r="AC133" s="51">
        <v>45636</v>
      </c>
      <c r="AD133" s="51">
        <v>45636</v>
      </c>
      <c r="AE133" s="41" t="s">
        <v>1</v>
      </c>
      <c r="AF133" s="41" t="s">
        <v>1</v>
      </c>
      <c r="AG133" s="40" t="s">
        <v>4</v>
      </c>
      <c r="AH133" s="36" t="s">
        <v>0</v>
      </c>
      <c r="AI133" s="49">
        <v>0</v>
      </c>
      <c r="AJ133" s="36" t="s">
        <v>1</v>
      </c>
      <c r="AK133" s="10" t="s">
        <v>1</v>
      </c>
      <c r="AL133" s="36" t="s">
        <v>1</v>
      </c>
      <c r="AM133" s="36" t="s">
        <v>1</v>
      </c>
      <c r="AN133" s="35" t="s">
        <v>1</v>
      </c>
      <c r="AO133" s="35" t="s">
        <v>1</v>
      </c>
      <c r="AP133" s="35" t="s">
        <v>1</v>
      </c>
      <c r="AQ133" s="35" t="s">
        <v>2</v>
      </c>
      <c r="AR133" s="34" t="s">
        <v>0</v>
      </c>
      <c r="AS133" s="33"/>
      <c r="AT133" s="30" t="s">
        <v>0</v>
      </c>
      <c r="AU133" s="31"/>
      <c r="AV133" s="30" t="s">
        <v>0</v>
      </c>
      <c r="AW133" s="31"/>
      <c r="AX133" s="30" t="s">
        <v>0</v>
      </c>
      <c r="AY133" s="29"/>
      <c r="AZ133" s="28" t="s">
        <v>0</v>
      </c>
      <c r="BA133" s="27"/>
      <c r="BB133" s="26"/>
      <c r="BC133" s="25"/>
      <c r="BD133" s="24"/>
      <c r="BE133" s="24"/>
      <c r="BF133" s="24"/>
      <c r="BG133" s="24"/>
      <c r="BH133" s="24"/>
      <c r="BI133" s="24"/>
      <c r="BJ133" s="24"/>
      <c r="BK133" s="24"/>
      <c r="BL133" s="24"/>
      <c r="BM133" s="24"/>
      <c r="BN133" s="24"/>
      <c r="BO133" s="24"/>
      <c r="BP133" s="24"/>
      <c r="BQ133" s="22">
        <f>YEAR([1]!BANCO10[[#This Row],[DATA INÍCIO]])</f>
        <v>2024</v>
      </c>
      <c r="BR133" s="22">
        <f>MONTH([1]!BANCO10[[#This Row],[DATA INÍCIO]])</f>
        <v>12</v>
      </c>
      <c r="BS133" s="23" t="e">
        <f>CONCATENATE(#REF!,#REF!)</f>
        <v>#REF!</v>
      </c>
      <c r="BT133" s="22"/>
      <c r="BU133" s="22"/>
      <c r="BV133" s="21" t="str">
        <f>IF([1]!BANCO10[[#This Row],[SOLUÇÃO]]=BV$1,[1]!BANCO10[[#This Row],[STATUS DA ETAPA]],"")</f>
        <v/>
      </c>
      <c r="BW133" s="21" t="str">
        <f>IF([1]!BANCO10[[#This Row],[SOLUÇÃO]]=BW$1,[1]!BANCO10[[#This Row],[STATUS DA ETAPA]],"")</f>
        <v/>
      </c>
      <c r="BX133" s="21" t="str">
        <f>IF([1]!BANCO10[[#This Row],[SOLUÇÃO]]=BX$1,[1]!BANCO10[[#This Row],[STATUS DA ETAPA]],"")</f>
        <v/>
      </c>
      <c r="BY133" s="21" t="str">
        <f>IF([1]!BANCO10[[#This Row],[SOLUÇÃO]]=BY$1,[1]!BANCO10[[#This Row],[STATUS DA ETAPA]],"")</f>
        <v/>
      </c>
      <c r="BZ133" s="21" t="str">
        <f>IF([1]!BANCO10[[#This Row],[SOLUÇÃO]]=BZ$1,[1]!BANCO10[[#This Row],[STATUS DA ETAPA]],"")</f>
        <v/>
      </c>
      <c r="CA133" s="21" t="str">
        <f>IF([1]!BANCO10[[#This Row],[SOLUÇÃO]]=CA$1,[1]!BANCO10[[#This Row],[STATUS DA ETAPA]],"")</f>
        <v/>
      </c>
      <c r="CB133" s="21" t="str">
        <f>IF([1]!BANCO10[[#This Row],[SOLUÇÃO]]=CB$1,[1]!BANCO10[[#This Row],[STATUS DA ETAPA]],"")</f>
        <v/>
      </c>
      <c r="CC133" s="21" t="str">
        <f>IF([1]!BANCO10[[#This Row],[SOLUÇÃO]]=CC$1,[1]!BANCO10[[#This Row],[STATUS DA ETAPA]],"")</f>
        <v/>
      </c>
      <c r="CD133" s="21" t="str">
        <f>IF([1]!BANCO10[[#This Row],[SOLUÇÃO]]=CD$1,[1]!BANCO10[[#This Row],[STATUS DA ETAPA]],"")</f>
        <v/>
      </c>
      <c r="CE133" s="21" t="str">
        <f>IF([1]!BANCO10[[#This Row],[SOLUÇÃO]]=CE$1,[1]!BANCO10[[#This Row],[STATUS DA ETAPA]],"")</f>
        <v/>
      </c>
      <c r="CF133" s="21" t="str">
        <f>IF([1]!BANCO10[[#This Row],[SOLUÇÃO]]=CF$1,[1]!BANCO10[[#This Row],[STATUS DA ETAPA]],"")</f>
        <v/>
      </c>
      <c r="CG133" s="21" t="str">
        <f>IF([1]!BANCO10[[#This Row],[SOLUÇÃO]]=CG$1,[1]!BANCO10[[#This Row],[STATUS DA ETAPA]],"")</f>
        <v/>
      </c>
      <c r="CH133" s="21" t="str">
        <f>IF([1]!BANCO10[[#This Row],[SOLUÇÃO]]=CH$1,[1]!BANCO10[[#This Row],[STATUS DA ETAPA]],"")</f>
        <v/>
      </c>
      <c r="CI133" s="21" t="str">
        <f>IF([1]!BANCO10[[#This Row],[SOLUÇÃO]]=CI$1,[1]!BANCO10[[#This Row],[STATUS DA ETAPA]],"")</f>
        <v/>
      </c>
      <c r="CJ133" s="21" t="str">
        <f>IF([1]!BANCO10[[#This Row],[SOLUÇÃO]]=CJ$1,[1]!BANCO10[[#This Row],[STATUS DA ETAPA]],"")</f>
        <v/>
      </c>
      <c r="CK133" s="21" t="str">
        <f>IF([1]!BANCO10[[#This Row],[SOLUÇÃO]]=CK$1,[1]!BANCO10[[#This Row],[STATUS DA ETAPA]],"")</f>
        <v/>
      </c>
      <c r="CL133" s="21" t="str">
        <f>IF([1]!BANCO10[[#This Row],[SOLUÇÃO]]=CL$1,[1]!BANCO10[[#This Row],[STATUS DA ETAPA]],"")</f>
        <v/>
      </c>
      <c r="CM133" s="21" t="str">
        <f>IF([1]!BANCO10[[#This Row],[SOLUÇÃO]]=CM$1,[1]!BANCO10[[#This Row],[STATUS DA ETAPA]],"")</f>
        <v/>
      </c>
      <c r="CN133" s="21" t="str">
        <f>IF([1]!BANCO10[[#This Row],[SOLUÇÃO]]=CN$1,[1]!BANCO10[[#This Row],[STATUS DA ETAPA]],"")</f>
        <v/>
      </c>
      <c r="CO133" s="21" t="str">
        <f>IF([1]!BANCO10[[#This Row],[SOLUÇÃO]]=CO$1,[1]!BANCO10[[#This Row],[STATUS DA ETAPA]],"")</f>
        <v/>
      </c>
      <c r="CP133" s="21" t="str">
        <f>IF([1]!BANCO10[[#This Row],[SOLUÇÃO]]=CP$1,[1]!BANCO10[[#This Row],[STATUS DA ETAPA]],"")</f>
        <v/>
      </c>
      <c r="CQ133" s="21" t="str">
        <f>IF([1]!BANCO10[[#This Row],[SOLUÇÃO]]=CQ$1,[1]!BANCO10[[#This Row],[STATUS DA ETAPA]],"")</f>
        <v/>
      </c>
      <c r="CR133" s="21" t="str">
        <f>IF([1]!BANCO10[[#This Row],[SOLUÇÃO]]=CR$1,[1]!BANCO10[[#This Row],[STATUS DA ETAPA]],"")</f>
        <v/>
      </c>
      <c r="CS133" s="21" t="str">
        <f>IF([1]!BANCO10[[#This Row],[SOLUÇÃO]]=CS$1,[1]!BANCO10[[#This Row],[STATUS DA ETAPA]],"")</f>
        <v/>
      </c>
      <c r="CT133" s="21" t="str">
        <f>IF([1]!BANCO10[[#This Row],[SOLUÇÃO]]=CT$1,[1]!BANCO10[[#This Row],[STATUS DA ETAPA]],"")</f>
        <v/>
      </c>
      <c r="CU133" s="21" t="str">
        <f>IF([1]!BANCO10[[#This Row],[SOLUÇÃO]]=CU$1,[1]!BANCO10[[#This Row],[STATUS DA ETAPA]],"")</f>
        <v/>
      </c>
      <c r="CV133" s="21" t="str">
        <f>IF([1]!BANCO10[[#This Row],[SOLUÇÃO]]=CV$1,[1]!BANCO10[[#This Row],[STATUS DA ETAPA]],"")</f>
        <v/>
      </c>
    </row>
    <row r="134" spans="1:100">
      <c r="A134" s="44" t="s">
        <v>1</v>
      </c>
      <c r="B134" s="44"/>
      <c r="C134" s="44" t="s">
        <v>1</v>
      </c>
      <c r="D134" s="44"/>
      <c r="E134" s="44" t="s">
        <v>1</v>
      </c>
      <c r="F134" s="44"/>
      <c r="G134" s="44" t="s">
        <v>1</v>
      </c>
      <c r="H134" s="44"/>
      <c r="I134" s="45" t="s">
        <v>1</v>
      </c>
      <c r="J134" s="46"/>
      <c r="K134" s="45" t="s">
        <v>1</v>
      </c>
      <c r="L134" s="33"/>
      <c r="M134" s="45" t="s">
        <v>1</v>
      </c>
      <c r="N134" s="33"/>
      <c r="O134" s="44" t="s">
        <v>2</v>
      </c>
      <c r="P134" s="44">
        <v>45491</v>
      </c>
      <c r="Q134" s="44" t="s">
        <v>2</v>
      </c>
      <c r="R134" s="44">
        <v>45503</v>
      </c>
      <c r="S134" s="44" t="s">
        <v>2</v>
      </c>
      <c r="T134" s="44">
        <v>45536</v>
      </c>
      <c r="U134" s="44" t="s">
        <v>1</v>
      </c>
      <c r="V134" s="44"/>
      <c r="W134" s="44" t="s">
        <v>1</v>
      </c>
      <c r="X134" s="44"/>
      <c r="Y134" s="44" t="s">
        <v>1</v>
      </c>
      <c r="Z134" s="44"/>
      <c r="AA134" s="44" t="s">
        <v>1</v>
      </c>
      <c r="AB134" s="44"/>
      <c r="AC134" s="51">
        <v>45706</v>
      </c>
      <c r="AD134" s="50">
        <v>45818</v>
      </c>
      <c r="AE134" s="41" t="s">
        <v>2</v>
      </c>
      <c r="AF134" s="41" t="s">
        <v>2</v>
      </c>
      <c r="AG134" s="40" t="s">
        <v>5</v>
      </c>
      <c r="AH134" s="36" t="s">
        <v>0</v>
      </c>
      <c r="AI134" s="49">
        <v>0</v>
      </c>
      <c r="AJ134" s="36" t="s">
        <v>6</v>
      </c>
      <c r="AK134" s="10">
        <v>573563</v>
      </c>
      <c r="AL134" s="36" t="s">
        <v>1</v>
      </c>
      <c r="AM134" s="36" t="s">
        <v>1</v>
      </c>
      <c r="AN134" s="35" t="s">
        <v>2</v>
      </c>
      <c r="AO134" s="35" t="s">
        <v>2</v>
      </c>
      <c r="AP134" s="35" t="s">
        <v>2</v>
      </c>
      <c r="AQ134" s="35" t="s">
        <v>2</v>
      </c>
      <c r="AR134" s="34" t="s">
        <v>2</v>
      </c>
      <c r="AS134" s="33">
        <v>45835</v>
      </c>
      <c r="AT134" s="32" t="s">
        <v>1</v>
      </c>
      <c r="AU134" s="31"/>
      <c r="AV134" s="32" t="s">
        <v>1</v>
      </c>
      <c r="AW134" s="31"/>
      <c r="AX134" s="30" t="s">
        <v>2</v>
      </c>
      <c r="AY134" s="29">
        <v>45835</v>
      </c>
      <c r="AZ134" s="28" t="s">
        <v>0</v>
      </c>
      <c r="BA134" s="27"/>
      <c r="BB134" s="39" t="s">
        <v>748</v>
      </c>
      <c r="BC134" s="22">
        <v>0</v>
      </c>
      <c r="BD134" s="24"/>
      <c r="BE134" s="24"/>
      <c r="BF134" s="24"/>
      <c r="BG134" s="24"/>
      <c r="BH134" s="130"/>
      <c r="BI134" s="24"/>
      <c r="BJ134" s="24"/>
      <c r="BK134" s="24"/>
      <c r="BL134" s="24">
        <v>45390</v>
      </c>
      <c r="BM134" s="24"/>
      <c r="BN134" s="24" t="s">
        <v>11</v>
      </c>
      <c r="BO134" s="24"/>
      <c r="BP134" s="24" t="s">
        <v>44</v>
      </c>
      <c r="BQ134" s="22">
        <f>YEAR([1]!BANCO10[[#This Row],[DATA INÍCIO]])</f>
        <v>2025</v>
      </c>
      <c r="BR134" s="22">
        <f>MONTH([1]!BANCO10[[#This Row],[DATA INÍCIO]])</f>
        <v>2</v>
      </c>
      <c r="BS134" s="23" t="e">
        <f>CONCATENATE(#REF!,#REF!)</f>
        <v>#REF!</v>
      </c>
      <c r="BT134" s="22"/>
      <c r="BU134" s="97" t="s">
        <v>30</v>
      </c>
      <c r="BV134" s="21" t="str">
        <f>IF([1]!BANCO10[[#This Row],[SOLUÇÃO]]=BV$1,[1]!BANCO10[[#This Row],[STATUS DA ETAPA]],"")</f>
        <v/>
      </c>
      <c r="BW134" s="21" t="str">
        <f>IF([1]!BANCO10[[#This Row],[SOLUÇÃO]]=BW$1,[1]!BANCO10[[#This Row],[STATUS DA ETAPA]],"")</f>
        <v/>
      </c>
      <c r="BX134" s="21" t="str">
        <f>IF([1]!BANCO10[[#This Row],[SOLUÇÃO]]=BX$1,[1]!BANCO10[[#This Row],[STATUS DA ETAPA]],"")</f>
        <v/>
      </c>
      <c r="BY134" s="21" t="str">
        <f>IF([1]!BANCO10[[#This Row],[SOLUÇÃO]]=BY$1,[1]!BANCO10[[#This Row],[STATUS DA ETAPA]],"")</f>
        <v/>
      </c>
      <c r="BZ134" s="21" t="str">
        <f>IF([1]!BANCO10[[#This Row],[SOLUÇÃO]]=BZ$1,[1]!BANCO10[[#This Row],[STATUS DA ETAPA]],"")</f>
        <v/>
      </c>
      <c r="CA134" s="21" t="str">
        <f>IF([1]!BANCO10[[#This Row],[SOLUÇÃO]]=CA$1,[1]!BANCO10[[#This Row],[STATUS DA ETAPA]],"")</f>
        <v/>
      </c>
      <c r="CB134" s="21" t="str">
        <f>IF([1]!BANCO10[[#This Row],[SOLUÇÃO]]=CB$1,[1]!BANCO10[[#This Row],[STATUS DA ETAPA]],"")</f>
        <v>CONCLUÍDO</v>
      </c>
      <c r="CC134" s="21" t="str">
        <f>IF([1]!BANCO10[[#This Row],[SOLUÇÃO]]=CC$1,[1]!BANCO10[[#This Row],[STATUS DA ETAPA]],"")</f>
        <v/>
      </c>
      <c r="CD134" s="21" t="str">
        <f>IF([1]!BANCO10[[#This Row],[SOLUÇÃO]]=CD$1,[1]!BANCO10[[#This Row],[STATUS DA ETAPA]],"")</f>
        <v/>
      </c>
      <c r="CE134" s="21" t="str">
        <f>IF([1]!BANCO10[[#This Row],[SOLUÇÃO]]=CE$1,[1]!BANCO10[[#This Row],[STATUS DA ETAPA]],"")</f>
        <v/>
      </c>
      <c r="CF134" s="21" t="str">
        <f>IF([1]!BANCO10[[#This Row],[SOLUÇÃO]]=CF$1,[1]!BANCO10[[#This Row],[STATUS DA ETAPA]],"")</f>
        <v/>
      </c>
      <c r="CG134" s="21" t="str">
        <f>IF([1]!BANCO10[[#This Row],[SOLUÇÃO]]=CG$1,[1]!BANCO10[[#This Row],[STATUS DA ETAPA]],"")</f>
        <v/>
      </c>
      <c r="CH134" s="21" t="str">
        <f>IF([1]!BANCO10[[#This Row],[SOLUÇÃO]]=CH$1,[1]!BANCO10[[#This Row],[STATUS DA ETAPA]],"")</f>
        <v/>
      </c>
      <c r="CI134" s="21" t="str">
        <f>IF([1]!BANCO10[[#This Row],[SOLUÇÃO]]=CI$1,[1]!BANCO10[[#This Row],[STATUS DA ETAPA]],"")</f>
        <v/>
      </c>
      <c r="CJ134" s="21" t="str">
        <f>IF([1]!BANCO10[[#This Row],[SOLUÇÃO]]=CJ$1,[1]!BANCO10[[#This Row],[STATUS DA ETAPA]],"")</f>
        <v/>
      </c>
      <c r="CK134" s="21" t="str">
        <f>IF([1]!BANCO10[[#This Row],[SOLUÇÃO]]=CK$1,[1]!BANCO10[[#This Row],[STATUS DA ETAPA]],"")</f>
        <v/>
      </c>
      <c r="CL134" s="21" t="str">
        <f>IF([1]!BANCO10[[#This Row],[SOLUÇÃO]]=CL$1,[1]!BANCO10[[#This Row],[STATUS DA ETAPA]],"")</f>
        <v/>
      </c>
      <c r="CM134" s="21" t="str">
        <f>IF([1]!BANCO10[[#This Row],[SOLUÇÃO]]=CM$1,[1]!BANCO10[[#This Row],[STATUS DA ETAPA]],"")</f>
        <v/>
      </c>
      <c r="CN134" s="21" t="str">
        <f>IF([1]!BANCO10[[#This Row],[SOLUÇÃO]]=CN$1,[1]!BANCO10[[#This Row],[STATUS DA ETAPA]],"")</f>
        <v/>
      </c>
      <c r="CO134" s="21" t="str">
        <f>IF([1]!BANCO10[[#This Row],[SOLUÇÃO]]=CO$1,[1]!BANCO10[[#This Row],[STATUS DA ETAPA]],"")</f>
        <v/>
      </c>
      <c r="CP134" s="21" t="str">
        <f>IF([1]!BANCO10[[#This Row],[SOLUÇÃO]]=CP$1,[1]!BANCO10[[#This Row],[STATUS DA ETAPA]],"")</f>
        <v/>
      </c>
      <c r="CQ134" s="21" t="str">
        <f>IF([1]!BANCO10[[#This Row],[SOLUÇÃO]]=CQ$1,[1]!BANCO10[[#This Row],[STATUS DA ETAPA]],"")</f>
        <v/>
      </c>
      <c r="CR134" s="21" t="str">
        <f>IF([1]!BANCO10[[#This Row],[SOLUÇÃO]]=CR$1,[1]!BANCO10[[#This Row],[STATUS DA ETAPA]],"")</f>
        <v/>
      </c>
      <c r="CS134" s="21" t="str">
        <f>IF([1]!BANCO10[[#This Row],[SOLUÇÃO]]=CS$1,[1]!BANCO10[[#This Row],[STATUS DA ETAPA]],"")</f>
        <v/>
      </c>
      <c r="CT134" s="21" t="str">
        <f>IF([1]!BANCO10[[#This Row],[SOLUÇÃO]]=CT$1,[1]!BANCO10[[#This Row],[STATUS DA ETAPA]],"")</f>
        <v/>
      </c>
      <c r="CU134" s="21" t="str">
        <f>IF([1]!BANCO10[[#This Row],[SOLUÇÃO]]=CU$1,[1]!BANCO10[[#This Row],[STATUS DA ETAPA]],"")</f>
        <v/>
      </c>
      <c r="CV134" s="21" t="str">
        <f>IF([1]!BANCO10[[#This Row],[SOLUÇÃO]]=CV$1,[1]!BANCO10[[#This Row],[STATUS DA ETAPA]],"")</f>
        <v/>
      </c>
    </row>
    <row r="135" spans="1:100">
      <c r="A135" s="44" t="s">
        <v>1</v>
      </c>
      <c r="B135" s="44"/>
      <c r="C135" s="44" t="s">
        <v>1</v>
      </c>
      <c r="D135" s="44"/>
      <c r="E135" s="44" t="s">
        <v>1</v>
      </c>
      <c r="F135" s="44"/>
      <c r="G135" s="44" t="s">
        <v>1</v>
      </c>
      <c r="H135" s="44"/>
      <c r="I135" s="45" t="s">
        <v>1</v>
      </c>
      <c r="J135" s="46"/>
      <c r="K135" s="45" t="s">
        <v>1</v>
      </c>
      <c r="L135" s="33"/>
      <c r="M135" s="45" t="s">
        <v>1</v>
      </c>
      <c r="N135" s="33"/>
      <c r="O135" s="44" t="s">
        <v>1</v>
      </c>
      <c r="P135" s="44"/>
      <c r="Q135" s="44" t="s">
        <v>1</v>
      </c>
      <c r="R135" s="44"/>
      <c r="S135" s="44" t="s">
        <v>1</v>
      </c>
      <c r="T135" s="44"/>
      <c r="U135" s="44" t="s">
        <v>1</v>
      </c>
      <c r="V135" s="44"/>
      <c r="W135" s="44" t="s">
        <v>1</v>
      </c>
      <c r="X135" s="44"/>
      <c r="Y135" s="44" t="s">
        <v>1</v>
      </c>
      <c r="Z135" s="44"/>
      <c r="AA135" s="44" t="s">
        <v>1</v>
      </c>
      <c r="AB135" s="44"/>
      <c r="AC135" s="51">
        <v>45807</v>
      </c>
      <c r="AD135" s="50">
        <v>45807</v>
      </c>
      <c r="AE135" s="41" t="s">
        <v>1</v>
      </c>
      <c r="AF135" s="41" t="s">
        <v>1</v>
      </c>
      <c r="AG135" s="40" t="s">
        <v>4</v>
      </c>
      <c r="AH135" s="36" t="s">
        <v>0</v>
      </c>
      <c r="AI135" s="49">
        <v>0</v>
      </c>
      <c r="AJ135" s="36" t="s">
        <v>1</v>
      </c>
      <c r="AK135" s="10" t="s">
        <v>1</v>
      </c>
      <c r="AL135" s="36" t="s">
        <v>1</v>
      </c>
      <c r="AM135" s="36" t="s">
        <v>1</v>
      </c>
      <c r="AN135" s="35" t="s">
        <v>1</v>
      </c>
      <c r="AO135" s="35" t="s">
        <v>1</v>
      </c>
      <c r="AP135" s="35" t="s">
        <v>1</v>
      </c>
      <c r="AQ135" s="35" t="s">
        <v>2</v>
      </c>
      <c r="AR135" s="34" t="s">
        <v>0</v>
      </c>
      <c r="AS135" s="33"/>
      <c r="AT135" s="30" t="s">
        <v>0</v>
      </c>
      <c r="AU135" s="31"/>
      <c r="AV135" s="30" t="s">
        <v>0</v>
      </c>
      <c r="AW135" s="31"/>
      <c r="AX135" s="30" t="s">
        <v>0</v>
      </c>
      <c r="AY135" s="29"/>
      <c r="AZ135" s="28" t="s">
        <v>0</v>
      </c>
      <c r="BA135" s="27"/>
      <c r="BB135" s="26"/>
      <c r="BC135" s="25"/>
      <c r="BD135" s="24"/>
      <c r="BE135" s="24"/>
      <c r="BF135" s="24"/>
      <c r="BG135" s="24"/>
      <c r="BH135" s="24"/>
      <c r="BI135" s="24"/>
      <c r="BJ135" s="24"/>
      <c r="BK135" s="24"/>
      <c r="BL135" s="24"/>
      <c r="BM135" s="24"/>
      <c r="BN135" s="24"/>
      <c r="BO135" s="24"/>
      <c r="BP135" s="24"/>
      <c r="BQ135" s="22">
        <f>YEAR([1]!BANCO10[[#This Row],[DATA INÍCIO]])</f>
        <v>2025</v>
      </c>
      <c r="BR135" s="22">
        <f>MONTH([1]!BANCO10[[#This Row],[DATA INÍCIO]])</f>
        <v>5</v>
      </c>
      <c r="BS135" s="23" t="e">
        <f>CONCATENATE(#REF!,#REF!)</f>
        <v>#REF!</v>
      </c>
      <c r="BT135" s="22"/>
      <c r="BU135" s="22"/>
      <c r="BV135" s="21" t="str">
        <f>IF([1]!BANCO10[[#This Row],[SOLUÇÃO]]=BV$1,[1]!BANCO10[[#This Row],[STATUS DA ETAPA]],"")</f>
        <v/>
      </c>
      <c r="BW135" s="21" t="str">
        <f>IF([1]!BANCO10[[#This Row],[SOLUÇÃO]]=BW$1,[1]!BANCO10[[#This Row],[STATUS DA ETAPA]],"")</f>
        <v/>
      </c>
      <c r="BX135" s="21" t="str">
        <f>IF([1]!BANCO10[[#This Row],[SOLUÇÃO]]=BX$1,[1]!BANCO10[[#This Row],[STATUS DA ETAPA]],"")</f>
        <v/>
      </c>
      <c r="BY135" s="21" t="str">
        <f>IF([1]!BANCO10[[#This Row],[SOLUÇÃO]]=BY$1,[1]!BANCO10[[#This Row],[STATUS DA ETAPA]],"")</f>
        <v/>
      </c>
      <c r="BZ135" s="21" t="str">
        <f>IF([1]!BANCO10[[#This Row],[SOLUÇÃO]]=BZ$1,[1]!BANCO10[[#This Row],[STATUS DA ETAPA]],"")</f>
        <v/>
      </c>
      <c r="CA135" s="21" t="str">
        <f>IF([1]!BANCO10[[#This Row],[SOLUÇÃO]]=CA$1,[1]!BANCO10[[#This Row],[STATUS DA ETAPA]],"")</f>
        <v/>
      </c>
      <c r="CB135" s="21" t="str">
        <f>IF([1]!BANCO10[[#This Row],[SOLUÇÃO]]=CB$1,[1]!BANCO10[[#This Row],[STATUS DA ETAPA]],"")</f>
        <v/>
      </c>
      <c r="CC135" s="21" t="str">
        <f>IF([1]!BANCO10[[#This Row],[SOLUÇÃO]]=CC$1,[1]!BANCO10[[#This Row],[STATUS DA ETAPA]],"")</f>
        <v/>
      </c>
      <c r="CD135" s="21" t="str">
        <f>IF([1]!BANCO10[[#This Row],[SOLUÇÃO]]=CD$1,[1]!BANCO10[[#This Row],[STATUS DA ETAPA]],"")</f>
        <v/>
      </c>
      <c r="CE135" s="21" t="str">
        <f>IF([1]!BANCO10[[#This Row],[SOLUÇÃO]]=CE$1,[1]!BANCO10[[#This Row],[STATUS DA ETAPA]],"")</f>
        <v/>
      </c>
      <c r="CF135" s="21" t="str">
        <f>IF([1]!BANCO10[[#This Row],[SOLUÇÃO]]=CF$1,[1]!BANCO10[[#This Row],[STATUS DA ETAPA]],"")</f>
        <v/>
      </c>
      <c r="CG135" s="21" t="str">
        <f>IF([1]!BANCO10[[#This Row],[SOLUÇÃO]]=CG$1,[1]!BANCO10[[#This Row],[STATUS DA ETAPA]],"")</f>
        <v/>
      </c>
      <c r="CH135" s="21" t="str">
        <f>IF([1]!BANCO10[[#This Row],[SOLUÇÃO]]=CH$1,[1]!BANCO10[[#This Row],[STATUS DA ETAPA]],"")</f>
        <v/>
      </c>
      <c r="CI135" s="21" t="str">
        <f>IF([1]!BANCO10[[#This Row],[SOLUÇÃO]]=CI$1,[1]!BANCO10[[#This Row],[STATUS DA ETAPA]],"")</f>
        <v/>
      </c>
      <c r="CJ135" s="21" t="str">
        <f>IF([1]!BANCO10[[#This Row],[SOLUÇÃO]]=CJ$1,[1]!BANCO10[[#This Row],[STATUS DA ETAPA]],"")</f>
        <v/>
      </c>
      <c r="CK135" s="21" t="str">
        <f>IF([1]!BANCO10[[#This Row],[SOLUÇÃO]]=CK$1,[1]!BANCO10[[#This Row],[STATUS DA ETAPA]],"")</f>
        <v/>
      </c>
      <c r="CL135" s="21" t="str">
        <f>IF([1]!BANCO10[[#This Row],[SOLUÇÃO]]=CL$1,[1]!BANCO10[[#This Row],[STATUS DA ETAPA]],"")</f>
        <v/>
      </c>
      <c r="CM135" s="21" t="str">
        <f>IF([1]!BANCO10[[#This Row],[SOLUÇÃO]]=CM$1,[1]!BANCO10[[#This Row],[STATUS DA ETAPA]],"")</f>
        <v/>
      </c>
      <c r="CN135" s="21" t="str">
        <f>IF([1]!BANCO10[[#This Row],[SOLUÇÃO]]=CN$1,[1]!BANCO10[[#This Row],[STATUS DA ETAPA]],"")</f>
        <v/>
      </c>
      <c r="CO135" s="21" t="str">
        <f>IF([1]!BANCO10[[#This Row],[SOLUÇÃO]]=CO$1,[1]!BANCO10[[#This Row],[STATUS DA ETAPA]],"")</f>
        <v/>
      </c>
      <c r="CP135" s="21" t="str">
        <f>IF([1]!BANCO10[[#This Row],[SOLUÇÃO]]=CP$1,[1]!BANCO10[[#This Row],[STATUS DA ETAPA]],"")</f>
        <v/>
      </c>
      <c r="CQ135" s="21" t="str">
        <f>IF([1]!BANCO10[[#This Row],[SOLUÇÃO]]=CQ$1,[1]!BANCO10[[#This Row],[STATUS DA ETAPA]],"")</f>
        <v/>
      </c>
      <c r="CR135" s="21" t="str">
        <f>IF([1]!BANCO10[[#This Row],[SOLUÇÃO]]=CR$1,[1]!BANCO10[[#This Row],[STATUS DA ETAPA]],"")</f>
        <v/>
      </c>
      <c r="CS135" s="21" t="str">
        <f>IF([1]!BANCO10[[#This Row],[SOLUÇÃO]]=CS$1,[1]!BANCO10[[#This Row],[STATUS DA ETAPA]],"")</f>
        <v/>
      </c>
      <c r="CT135" s="21" t="str">
        <f>IF([1]!BANCO10[[#This Row],[SOLUÇÃO]]=CT$1,[1]!BANCO10[[#This Row],[STATUS DA ETAPA]],"")</f>
        <v/>
      </c>
      <c r="CU135" s="21" t="str">
        <f>IF([1]!BANCO10[[#This Row],[SOLUÇÃO]]=CU$1,[1]!BANCO10[[#This Row],[STATUS DA ETAPA]],"")</f>
        <v/>
      </c>
      <c r="CV135" s="21" t="str">
        <f>IF([1]!BANCO10[[#This Row],[SOLUÇÃO]]=CV$1,[1]!BANCO10[[#This Row],[STATUS DA ETAPA]],"")</f>
        <v/>
      </c>
    </row>
    <row r="136" spans="1:100">
      <c r="A136" s="44" t="s">
        <v>1</v>
      </c>
      <c r="B136" s="44"/>
      <c r="C136" s="44" t="s">
        <v>1</v>
      </c>
      <c r="D136" s="44"/>
      <c r="E136" s="44" t="s">
        <v>1</v>
      </c>
      <c r="F136" s="44"/>
      <c r="G136" s="44" t="s">
        <v>1</v>
      </c>
      <c r="H136" s="44"/>
      <c r="I136" s="45" t="s">
        <v>1</v>
      </c>
      <c r="J136" s="46"/>
      <c r="K136" s="45" t="s">
        <v>1</v>
      </c>
      <c r="L136" s="33"/>
      <c r="M136" s="45" t="s">
        <v>1</v>
      </c>
      <c r="N136" s="33"/>
      <c r="O136" s="44" t="s">
        <v>1</v>
      </c>
      <c r="P136" s="44"/>
      <c r="Q136" s="44" t="s">
        <v>1</v>
      </c>
      <c r="R136" s="44"/>
      <c r="S136" s="44" t="s">
        <v>1</v>
      </c>
      <c r="T136" s="44"/>
      <c r="U136" s="44" t="s">
        <v>1</v>
      </c>
      <c r="V136" s="44"/>
      <c r="W136" s="44" t="s">
        <v>1</v>
      </c>
      <c r="X136" s="44"/>
      <c r="Y136" s="44" t="s">
        <v>1</v>
      </c>
      <c r="Z136" s="44"/>
      <c r="AA136" s="44" t="s">
        <v>1</v>
      </c>
      <c r="AB136" s="44"/>
      <c r="AC136" s="51">
        <v>45553</v>
      </c>
      <c r="AD136" s="50">
        <v>45553</v>
      </c>
      <c r="AE136" s="41" t="s">
        <v>1</v>
      </c>
      <c r="AF136" s="41" t="s">
        <v>1</v>
      </c>
      <c r="AG136" s="40" t="s">
        <v>5</v>
      </c>
      <c r="AH136" s="36" t="s">
        <v>1</v>
      </c>
      <c r="AI136" s="49">
        <v>0</v>
      </c>
      <c r="AJ136" s="36" t="s">
        <v>1</v>
      </c>
      <c r="AK136" s="10" t="s">
        <v>1</v>
      </c>
      <c r="AL136" s="36" t="s">
        <v>1</v>
      </c>
      <c r="AM136" s="36" t="s">
        <v>1</v>
      </c>
      <c r="AN136" s="35" t="s">
        <v>1</v>
      </c>
      <c r="AO136" s="35" t="s">
        <v>1</v>
      </c>
      <c r="AP136" s="35" t="s">
        <v>1</v>
      </c>
      <c r="AQ136" s="35" t="s">
        <v>1</v>
      </c>
      <c r="AR136" s="90" t="s">
        <v>1</v>
      </c>
      <c r="AS136" s="89"/>
      <c r="AT136" s="88"/>
      <c r="AU136" s="25"/>
      <c r="AV136" s="88"/>
      <c r="AW136" s="25"/>
      <c r="AX136" s="88" t="s">
        <v>1</v>
      </c>
      <c r="AY136" s="25"/>
      <c r="AZ136" s="88" t="s">
        <v>1</v>
      </c>
      <c r="BA136" s="25"/>
      <c r="BB136" s="39" t="s">
        <v>747</v>
      </c>
      <c r="BC136" s="25"/>
      <c r="BD136" s="24"/>
      <c r="BE136" s="24"/>
      <c r="BF136" s="79"/>
      <c r="BG136" s="79"/>
      <c r="BH136" s="80"/>
      <c r="BI136" s="79"/>
      <c r="BJ136" s="54"/>
      <c r="BK136" s="78"/>
      <c r="BL136" s="69"/>
      <c r="BM136" s="78"/>
      <c r="BN136" s="78"/>
      <c r="BO136" s="78"/>
      <c r="BP136" s="78"/>
      <c r="BQ136" s="21">
        <f>YEAR([1]!BANCO10[[#This Row],[DATA INÍCIO]])</f>
        <v>2024</v>
      </c>
      <c r="BR136" s="21">
        <f>MONTH([1]!BANCO10[[#This Row],[DATA INÍCIO]])</f>
        <v>9</v>
      </c>
      <c r="BS136" s="21" t="e">
        <f>CONCATENATE(#REF!,#REF!)</f>
        <v>#REF!</v>
      </c>
      <c r="BT136" s="21"/>
      <c r="BU136" s="21"/>
      <c r="BV136" s="21" t="str">
        <f>IF([1]!BANCO10[[#This Row],[SOLUÇÃO]]=BV$1,[1]!BANCO10[[#This Row],[STATUS DA ETAPA]],"")</f>
        <v>CONCLUÍDO</v>
      </c>
      <c r="BW136" s="21" t="str">
        <f>IF([1]!BANCO10[[#This Row],[SOLUÇÃO]]=BW$1,[1]!BANCO10[[#This Row],[STATUS DA ETAPA]],"")</f>
        <v/>
      </c>
      <c r="BX136" s="21" t="str">
        <f>IF([1]!BANCO10[[#This Row],[SOLUÇÃO]]=BX$1,[1]!BANCO10[[#This Row],[STATUS DA ETAPA]],"")</f>
        <v/>
      </c>
      <c r="BY136" s="21" t="str">
        <f>IF([1]!BANCO10[[#This Row],[SOLUÇÃO]]=BY$1,[1]!BANCO10[[#This Row],[STATUS DA ETAPA]],"")</f>
        <v/>
      </c>
      <c r="BZ136" s="21" t="str">
        <f>IF([1]!BANCO10[[#This Row],[SOLUÇÃO]]=BZ$1,[1]!BANCO10[[#This Row],[STATUS DA ETAPA]],"")</f>
        <v/>
      </c>
      <c r="CA136" s="21" t="str">
        <f>IF([1]!BANCO10[[#This Row],[SOLUÇÃO]]=CA$1,[1]!BANCO10[[#This Row],[STATUS DA ETAPA]],"")</f>
        <v/>
      </c>
      <c r="CB136" s="21" t="str">
        <f>IF([1]!BANCO10[[#This Row],[SOLUÇÃO]]=CB$1,[1]!BANCO10[[#This Row],[STATUS DA ETAPA]],"")</f>
        <v/>
      </c>
      <c r="CC136" s="21" t="str">
        <f>IF([1]!BANCO10[[#This Row],[SOLUÇÃO]]=CC$1,[1]!BANCO10[[#This Row],[STATUS DA ETAPA]],"")</f>
        <v/>
      </c>
      <c r="CD136" s="21" t="str">
        <f>IF([1]!BANCO10[[#This Row],[SOLUÇÃO]]=CD$1,[1]!BANCO10[[#This Row],[STATUS DA ETAPA]],"")</f>
        <v/>
      </c>
      <c r="CE136" s="21" t="str">
        <f>IF([1]!BANCO10[[#This Row],[SOLUÇÃO]]=CE$1,[1]!BANCO10[[#This Row],[STATUS DA ETAPA]],"")</f>
        <v/>
      </c>
      <c r="CF136" s="21" t="str">
        <f>IF([1]!BANCO10[[#This Row],[SOLUÇÃO]]=CF$1,[1]!BANCO10[[#This Row],[STATUS DA ETAPA]],"")</f>
        <v/>
      </c>
      <c r="CG136" s="21" t="str">
        <f>IF([1]!BANCO10[[#This Row],[SOLUÇÃO]]=CG$1,[1]!BANCO10[[#This Row],[STATUS DA ETAPA]],"")</f>
        <v/>
      </c>
      <c r="CH136" s="21" t="str">
        <f>IF([1]!BANCO10[[#This Row],[SOLUÇÃO]]=CH$1,[1]!BANCO10[[#This Row],[STATUS DA ETAPA]],"")</f>
        <v/>
      </c>
      <c r="CI136" s="21" t="str">
        <f>IF([1]!BANCO10[[#This Row],[SOLUÇÃO]]=CI$1,[1]!BANCO10[[#This Row],[STATUS DA ETAPA]],"")</f>
        <v/>
      </c>
      <c r="CJ136" s="21" t="str">
        <f>IF([1]!BANCO10[[#This Row],[SOLUÇÃO]]=CJ$1,[1]!BANCO10[[#This Row],[STATUS DA ETAPA]],"")</f>
        <v/>
      </c>
      <c r="CK136" s="21" t="str">
        <f>IF([1]!BANCO10[[#This Row],[SOLUÇÃO]]=CK$1,[1]!BANCO10[[#This Row],[STATUS DA ETAPA]],"")</f>
        <v/>
      </c>
      <c r="CL136" s="22" t="str">
        <f>IF([1]!BANCO10[[#This Row],[SOLUÇÃO]]=CL$1,[1]!BANCO10[[#This Row],[STATUS DA ETAPA]],"")</f>
        <v/>
      </c>
      <c r="CM136" s="64" t="str">
        <f>IF([1]!BANCO10[[#This Row],[SOLUÇÃO]]=CM$1,[1]!BANCO10[[#This Row],[STATUS DA ETAPA]],"")</f>
        <v/>
      </c>
      <c r="CN136" s="64" t="str">
        <f>IF([1]!BANCO10[[#This Row],[SOLUÇÃO]]=CN$1,[1]!BANCO10[[#This Row],[STATUS DA ETAPA]],"")</f>
        <v/>
      </c>
      <c r="CO136" s="64" t="str">
        <f>IF([1]!BANCO10[[#This Row],[SOLUÇÃO]]=CO$1,[1]!BANCO10[[#This Row],[STATUS DA ETAPA]],"")</f>
        <v/>
      </c>
      <c r="CP136" s="64" t="str">
        <f>IF([1]!BANCO10[[#This Row],[SOLUÇÃO]]=CP$1,[1]!BANCO10[[#This Row],[STATUS DA ETAPA]],"")</f>
        <v/>
      </c>
      <c r="CQ136" s="64" t="str">
        <f>IF([1]!BANCO10[[#This Row],[SOLUÇÃO]]=CQ$1,[1]!BANCO10[[#This Row],[STATUS DA ETAPA]],"")</f>
        <v/>
      </c>
      <c r="CR136" s="64" t="str">
        <f>IF([1]!BANCO10[[#This Row],[SOLUÇÃO]]=CR$1,[1]!BANCO10[[#This Row],[STATUS DA ETAPA]],"")</f>
        <v/>
      </c>
      <c r="CS136" s="64" t="str">
        <f>IF([1]!BANCO10[[#This Row],[SOLUÇÃO]]=CS$1,[1]!BANCO10[[#This Row],[STATUS DA ETAPA]],"")</f>
        <v/>
      </c>
      <c r="CT136" s="64" t="str">
        <f>IF([1]!BANCO10[[#This Row],[SOLUÇÃO]]=CT$1,[1]!BANCO10[[#This Row],[STATUS DA ETAPA]],"")</f>
        <v/>
      </c>
      <c r="CU136" s="64" t="str">
        <f>IF([1]!BANCO10[[#This Row],[SOLUÇÃO]]=CU$1,[1]!BANCO10[[#This Row],[STATUS DA ETAPA]],"")</f>
        <v/>
      </c>
      <c r="CV136" s="64" t="str">
        <f>IF([1]!BANCO10[[#This Row],[SOLUÇÃO]]=CV$1,[1]!BANCO10[[#This Row],[STATUS DA ETAPA]],"")</f>
        <v/>
      </c>
    </row>
    <row r="137" spans="1:100">
      <c r="A137" s="44" t="s">
        <v>1</v>
      </c>
      <c r="B137" s="44"/>
      <c r="C137" s="44" t="s">
        <v>1</v>
      </c>
      <c r="D137" s="44"/>
      <c r="E137" s="44" t="s">
        <v>1</v>
      </c>
      <c r="F137" s="44"/>
      <c r="G137" s="44" t="s">
        <v>1</v>
      </c>
      <c r="H137" s="44"/>
      <c r="I137" s="45" t="s">
        <v>1</v>
      </c>
      <c r="J137" s="46"/>
      <c r="K137" s="45" t="s">
        <v>1</v>
      </c>
      <c r="L137" s="33"/>
      <c r="M137" s="45" t="s">
        <v>1</v>
      </c>
      <c r="N137" s="33"/>
      <c r="O137" s="44" t="s">
        <v>2</v>
      </c>
      <c r="P137" s="44">
        <v>45531</v>
      </c>
      <c r="Q137" s="44" t="s">
        <v>2</v>
      </c>
      <c r="R137" s="44">
        <v>45536</v>
      </c>
      <c r="S137" s="44" t="s">
        <v>2</v>
      </c>
      <c r="T137" s="44">
        <v>45607</v>
      </c>
      <c r="U137" s="44" t="s">
        <v>1</v>
      </c>
      <c r="V137" s="44"/>
      <c r="W137" s="44" t="s">
        <v>1</v>
      </c>
      <c r="X137" s="44"/>
      <c r="Y137" s="44" t="s">
        <v>1</v>
      </c>
      <c r="Z137" s="44"/>
      <c r="AA137" s="44" t="s">
        <v>1</v>
      </c>
      <c r="AB137" s="44"/>
      <c r="AC137" s="51">
        <v>45678</v>
      </c>
      <c r="AD137" s="50">
        <v>45776</v>
      </c>
      <c r="AE137" s="41" t="s">
        <v>2</v>
      </c>
      <c r="AF137" s="41" t="s">
        <v>2</v>
      </c>
      <c r="AG137" s="40" t="s">
        <v>5</v>
      </c>
      <c r="AH137" s="36" t="s">
        <v>0</v>
      </c>
      <c r="AI137" s="49">
        <v>0</v>
      </c>
      <c r="AJ137" s="36" t="s">
        <v>6</v>
      </c>
      <c r="AK137" s="10">
        <v>574661</v>
      </c>
      <c r="AL137" s="36" t="s">
        <v>1</v>
      </c>
      <c r="AM137" s="36" t="s">
        <v>1</v>
      </c>
      <c r="AN137" s="35" t="s">
        <v>2</v>
      </c>
      <c r="AO137" s="35" t="s">
        <v>2</v>
      </c>
      <c r="AP137" s="35" t="s">
        <v>2</v>
      </c>
      <c r="AQ137" s="35" t="s">
        <v>2</v>
      </c>
      <c r="AR137" s="34" t="s">
        <v>2</v>
      </c>
      <c r="AS137" s="33">
        <v>45804</v>
      </c>
      <c r="AT137" s="32" t="s">
        <v>1</v>
      </c>
      <c r="AU137" s="31"/>
      <c r="AV137" s="32" t="s">
        <v>1</v>
      </c>
      <c r="AW137" s="31"/>
      <c r="AX137" s="30" t="s">
        <v>2</v>
      </c>
      <c r="AY137" s="29">
        <v>45804</v>
      </c>
      <c r="AZ137" s="28" t="s">
        <v>0</v>
      </c>
      <c r="BA137" s="27"/>
      <c r="BB137" s="95" t="s">
        <v>143</v>
      </c>
      <c r="BC137" s="25" t="s">
        <v>41</v>
      </c>
      <c r="BD137" s="24"/>
      <c r="BE137" s="24"/>
      <c r="BF137" s="79"/>
      <c r="BG137" s="79"/>
      <c r="BH137" s="80"/>
      <c r="BI137" s="79"/>
      <c r="BJ137" s="54"/>
      <c r="BK137" s="78"/>
      <c r="BL137" s="69"/>
      <c r="BM137" s="78"/>
      <c r="BN137" s="78"/>
      <c r="BO137" s="78"/>
      <c r="BP137" s="78"/>
      <c r="BQ137" s="21">
        <f>YEAR([1]!BANCO10[[#This Row],[DATA INÍCIO]])</f>
        <v>2025</v>
      </c>
      <c r="BR137" s="21">
        <f>MONTH([1]!BANCO10[[#This Row],[DATA INÍCIO]])</f>
        <v>1</v>
      </c>
      <c r="BS137" s="21" t="e">
        <f>CONCATENATE(#REF!,#REF!)</f>
        <v>#REF!</v>
      </c>
      <c r="BT137" s="21"/>
      <c r="BU137" s="21"/>
      <c r="BV137" s="21" t="str">
        <f>IF([1]!BANCO10[[#This Row],[SOLUÇÃO]]=BV$1,[1]!BANCO10[[#This Row],[STATUS DA ETAPA]],"")</f>
        <v/>
      </c>
      <c r="BW137" s="21" t="str">
        <f>IF([1]!BANCO10[[#This Row],[SOLUÇÃO]]=BW$1,[1]!BANCO10[[#This Row],[STATUS DA ETAPA]],"")</f>
        <v/>
      </c>
      <c r="BX137" s="21" t="str">
        <f>IF([1]!BANCO10[[#This Row],[SOLUÇÃO]]=BX$1,[1]!BANCO10[[#This Row],[STATUS DA ETAPA]],"")</f>
        <v/>
      </c>
      <c r="BY137" s="21" t="str">
        <f>IF([1]!BANCO10[[#This Row],[SOLUÇÃO]]=BY$1,[1]!BANCO10[[#This Row],[STATUS DA ETAPA]],"")</f>
        <v/>
      </c>
      <c r="BZ137" s="21" t="str">
        <f>IF([1]!BANCO10[[#This Row],[SOLUÇÃO]]=BZ$1,[1]!BANCO10[[#This Row],[STATUS DA ETAPA]],"")</f>
        <v/>
      </c>
      <c r="CA137" s="21" t="str">
        <f>IF([1]!BANCO10[[#This Row],[SOLUÇÃO]]=CA$1,[1]!BANCO10[[#This Row],[STATUS DA ETAPA]],"")</f>
        <v/>
      </c>
      <c r="CB137" s="21" t="str">
        <f>IF([1]!BANCO10[[#This Row],[SOLUÇÃO]]=CB$1,[1]!BANCO10[[#This Row],[STATUS DA ETAPA]],"")</f>
        <v>CONCLUÍDO</v>
      </c>
      <c r="CC137" s="21" t="str">
        <f>IF([1]!BANCO10[[#This Row],[SOLUÇÃO]]=CC$1,[1]!BANCO10[[#This Row],[STATUS DA ETAPA]],"")</f>
        <v/>
      </c>
      <c r="CD137" s="21" t="str">
        <f>IF([1]!BANCO10[[#This Row],[SOLUÇÃO]]=CD$1,[1]!BANCO10[[#This Row],[STATUS DA ETAPA]],"")</f>
        <v/>
      </c>
      <c r="CE137" s="21" t="str">
        <f>IF([1]!BANCO10[[#This Row],[SOLUÇÃO]]=CE$1,[1]!BANCO10[[#This Row],[STATUS DA ETAPA]],"")</f>
        <v/>
      </c>
      <c r="CF137" s="21" t="str">
        <f>IF([1]!BANCO10[[#This Row],[SOLUÇÃO]]=CF$1,[1]!BANCO10[[#This Row],[STATUS DA ETAPA]],"")</f>
        <v/>
      </c>
      <c r="CG137" s="21" t="str">
        <f>IF([1]!BANCO10[[#This Row],[SOLUÇÃO]]=CG$1,[1]!BANCO10[[#This Row],[STATUS DA ETAPA]],"")</f>
        <v/>
      </c>
      <c r="CH137" s="21" t="str">
        <f>IF([1]!BANCO10[[#This Row],[SOLUÇÃO]]=CH$1,[1]!BANCO10[[#This Row],[STATUS DA ETAPA]],"")</f>
        <v/>
      </c>
      <c r="CI137" s="21" t="str">
        <f>IF([1]!BANCO10[[#This Row],[SOLUÇÃO]]=CI$1,[1]!BANCO10[[#This Row],[STATUS DA ETAPA]],"")</f>
        <v/>
      </c>
      <c r="CJ137" s="21" t="str">
        <f>IF([1]!BANCO10[[#This Row],[SOLUÇÃO]]=CJ$1,[1]!BANCO10[[#This Row],[STATUS DA ETAPA]],"")</f>
        <v/>
      </c>
      <c r="CK137" s="21" t="str">
        <f>IF([1]!BANCO10[[#This Row],[SOLUÇÃO]]=CK$1,[1]!BANCO10[[#This Row],[STATUS DA ETAPA]],"")</f>
        <v/>
      </c>
      <c r="CL137" s="22" t="str">
        <f>IF([1]!BANCO10[[#This Row],[SOLUÇÃO]]=CL$1,[1]!BANCO10[[#This Row],[STATUS DA ETAPA]],"")</f>
        <v/>
      </c>
      <c r="CM137" s="64" t="str">
        <f>IF([1]!BANCO10[[#This Row],[SOLUÇÃO]]=CM$1,[1]!BANCO10[[#This Row],[STATUS DA ETAPA]],"")</f>
        <v/>
      </c>
      <c r="CN137" s="64" t="str">
        <f>IF([1]!BANCO10[[#This Row],[SOLUÇÃO]]=CN$1,[1]!BANCO10[[#This Row],[STATUS DA ETAPA]],"")</f>
        <v/>
      </c>
      <c r="CO137" s="64" t="str">
        <f>IF([1]!BANCO10[[#This Row],[SOLUÇÃO]]=CO$1,[1]!BANCO10[[#This Row],[STATUS DA ETAPA]],"")</f>
        <v/>
      </c>
      <c r="CP137" s="64" t="str">
        <f>IF([1]!BANCO10[[#This Row],[SOLUÇÃO]]=CP$1,[1]!BANCO10[[#This Row],[STATUS DA ETAPA]],"")</f>
        <v/>
      </c>
      <c r="CQ137" s="64" t="str">
        <f>IF([1]!BANCO10[[#This Row],[SOLUÇÃO]]=CQ$1,[1]!BANCO10[[#This Row],[STATUS DA ETAPA]],"")</f>
        <v/>
      </c>
      <c r="CR137" s="64" t="str">
        <f>IF([1]!BANCO10[[#This Row],[SOLUÇÃO]]=CR$1,[1]!BANCO10[[#This Row],[STATUS DA ETAPA]],"")</f>
        <v/>
      </c>
      <c r="CS137" s="64" t="str">
        <f>IF([1]!BANCO10[[#This Row],[SOLUÇÃO]]=CS$1,[1]!BANCO10[[#This Row],[STATUS DA ETAPA]],"")</f>
        <v/>
      </c>
      <c r="CT137" s="64" t="str">
        <f>IF([1]!BANCO10[[#This Row],[SOLUÇÃO]]=CT$1,[1]!BANCO10[[#This Row],[STATUS DA ETAPA]],"")</f>
        <v/>
      </c>
      <c r="CU137" s="64" t="str">
        <f>IF([1]!BANCO10[[#This Row],[SOLUÇÃO]]=CU$1,[1]!BANCO10[[#This Row],[STATUS DA ETAPA]],"")</f>
        <v/>
      </c>
      <c r="CV137" s="64" t="str">
        <f>IF([1]!BANCO10[[#This Row],[SOLUÇÃO]]=CV$1,[1]!BANCO10[[#This Row],[STATUS DA ETAPA]],"")</f>
        <v/>
      </c>
    </row>
    <row r="138" spans="1:100">
      <c r="A138" s="44" t="s">
        <v>1</v>
      </c>
      <c r="B138" s="44"/>
      <c r="C138" s="44" t="s">
        <v>1</v>
      </c>
      <c r="D138" s="44"/>
      <c r="E138" s="44" t="s">
        <v>1</v>
      </c>
      <c r="F138" s="44"/>
      <c r="G138" s="44" t="s">
        <v>1</v>
      </c>
      <c r="H138" s="44"/>
      <c r="I138" s="45" t="s">
        <v>1</v>
      </c>
      <c r="J138" s="46"/>
      <c r="K138" s="45" t="s">
        <v>1</v>
      </c>
      <c r="L138" s="33"/>
      <c r="M138" s="45" t="s">
        <v>1</v>
      </c>
      <c r="N138" s="33"/>
      <c r="O138" s="44" t="s">
        <v>1</v>
      </c>
      <c r="P138" s="44"/>
      <c r="Q138" s="44" t="s">
        <v>1</v>
      </c>
      <c r="R138" s="44"/>
      <c r="S138" s="44" t="s">
        <v>1</v>
      </c>
      <c r="T138" s="44"/>
      <c r="U138" s="44" t="s">
        <v>1</v>
      </c>
      <c r="V138" s="44"/>
      <c r="W138" s="44" t="s">
        <v>1</v>
      </c>
      <c r="X138" s="44"/>
      <c r="Y138" s="44" t="s">
        <v>1</v>
      </c>
      <c r="Z138" s="44"/>
      <c r="AA138" s="44" t="s">
        <v>1</v>
      </c>
      <c r="AB138" s="44"/>
      <c r="AC138" s="51">
        <v>45807</v>
      </c>
      <c r="AD138" s="50">
        <v>45807</v>
      </c>
      <c r="AE138" s="41" t="s">
        <v>1</v>
      </c>
      <c r="AF138" s="41" t="s">
        <v>1</v>
      </c>
      <c r="AG138" s="40" t="s">
        <v>4</v>
      </c>
      <c r="AH138" s="36" t="s">
        <v>0</v>
      </c>
      <c r="AI138" s="49">
        <v>0</v>
      </c>
      <c r="AJ138" s="36" t="s">
        <v>1</v>
      </c>
      <c r="AK138" s="10" t="s">
        <v>1</v>
      </c>
      <c r="AL138" s="36" t="s">
        <v>1</v>
      </c>
      <c r="AM138" s="36" t="s">
        <v>1</v>
      </c>
      <c r="AN138" s="35" t="s">
        <v>1</v>
      </c>
      <c r="AO138" s="35" t="s">
        <v>1</v>
      </c>
      <c r="AP138" s="35" t="s">
        <v>1</v>
      </c>
      <c r="AQ138" s="35" t="s">
        <v>2</v>
      </c>
      <c r="AR138" s="34" t="s">
        <v>0</v>
      </c>
      <c r="AS138" s="33"/>
      <c r="AT138" s="30" t="s">
        <v>0</v>
      </c>
      <c r="AU138" s="31"/>
      <c r="AV138" s="30" t="s">
        <v>0</v>
      </c>
      <c r="AW138" s="31"/>
      <c r="AX138" s="30" t="s">
        <v>0</v>
      </c>
      <c r="AY138" s="29"/>
      <c r="AZ138" s="28" t="s">
        <v>0</v>
      </c>
      <c r="BA138" s="27"/>
      <c r="BB138" s="26"/>
      <c r="BC138" s="25"/>
      <c r="BD138" s="24"/>
      <c r="BE138" s="24"/>
      <c r="BF138" s="24"/>
      <c r="BG138" s="24"/>
      <c r="BH138" s="24"/>
      <c r="BI138" s="24"/>
      <c r="BJ138" s="24"/>
      <c r="BK138" s="24"/>
      <c r="BL138" s="24"/>
      <c r="BM138" s="24"/>
      <c r="BN138" s="24"/>
      <c r="BO138" s="24"/>
      <c r="BP138" s="24"/>
      <c r="BQ138" s="22">
        <f>YEAR([1]!BANCO10[[#This Row],[DATA INÍCIO]])</f>
        <v>2025</v>
      </c>
      <c r="BR138" s="22">
        <f>MONTH([1]!BANCO10[[#This Row],[DATA INÍCIO]])</f>
        <v>5</v>
      </c>
      <c r="BS138" s="23" t="e">
        <f>CONCATENATE(#REF!,#REF!)</f>
        <v>#REF!</v>
      </c>
      <c r="BT138" s="22"/>
      <c r="BU138" s="22"/>
      <c r="BV138" s="21" t="str">
        <f>IF([1]!BANCO10[[#This Row],[SOLUÇÃO]]=BV$1,[1]!BANCO10[[#This Row],[STATUS DA ETAPA]],"")</f>
        <v/>
      </c>
      <c r="BW138" s="21" t="str">
        <f>IF([1]!BANCO10[[#This Row],[SOLUÇÃO]]=BW$1,[1]!BANCO10[[#This Row],[STATUS DA ETAPA]],"")</f>
        <v/>
      </c>
      <c r="BX138" s="21" t="str">
        <f>IF([1]!BANCO10[[#This Row],[SOLUÇÃO]]=BX$1,[1]!BANCO10[[#This Row],[STATUS DA ETAPA]],"")</f>
        <v/>
      </c>
      <c r="BY138" s="21" t="str">
        <f>IF([1]!BANCO10[[#This Row],[SOLUÇÃO]]=BY$1,[1]!BANCO10[[#This Row],[STATUS DA ETAPA]],"")</f>
        <v/>
      </c>
      <c r="BZ138" s="21" t="str">
        <f>IF([1]!BANCO10[[#This Row],[SOLUÇÃO]]=BZ$1,[1]!BANCO10[[#This Row],[STATUS DA ETAPA]],"")</f>
        <v/>
      </c>
      <c r="CA138" s="21" t="str">
        <f>IF([1]!BANCO10[[#This Row],[SOLUÇÃO]]=CA$1,[1]!BANCO10[[#This Row],[STATUS DA ETAPA]],"")</f>
        <v/>
      </c>
      <c r="CB138" s="21" t="str">
        <f>IF([1]!BANCO10[[#This Row],[SOLUÇÃO]]=CB$1,[1]!BANCO10[[#This Row],[STATUS DA ETAPA]],"")</f>
        <v/>
      </c>
      <c r="CC138" s="21" t="str">
        <f>IF([1]!BANCO10[[#This Row],[SOLUÇÃO]]=CC$1,[1]!BANCO10[[#This Row],[STATUS DA ETAPA]],"")</f>
        <v/>
      </c>
      <c r="CD138" s="21" t="str">
        <f>IF([1]!BANCO10[[#This Row],[SOLUÇÃO]]=CD$1,[1]!BANCO10[[#This Row],[STATUS DA ETAPA]],"")</f>
        <v/>
      </c>
      <c r="CE138" s="21" t="str">
        <f>IF([1]!BANCO10[[#This Row],[SOLUÇÃO]]=CE$1,[1]!BANCO10[[#This Row],[STATUS DA ETAPA]],"")</f>
        <v/>
      </c>
      <c r="CF138" s="21" t="str">
        <f>IF([1]!BANCO10[[#This Row],[SOLUÇÃO]]=CF$1,[1]!BANCO10[[#This Row],[STATUS DA ETAPA]],"")</f>
        <v/>
      </c>
      <c r="CG138" s="21" t="str">
        <f>IF([1]!BANCO10[[#This Row],[SOLUÇÃO]]=CG$1,[1]!BANCO10[[#This Row],[STATUS DA ETAPA]],"")</f>
        <v/>
      </c>
      <c r="CH138" s="21" t="str">
        <f>IF([1]!BANCO10[[#This Row],[SOLUÇÃO]]=CH$1,[1]!BANCO10[[#This Row],[STATUS DA ETAPA]],"")</f>
        <v/>
      </c>
      <c r="CI138" s="21" t="str">
        <f>IF([1]!BANCO10[[#This Row],[SOLUÇÃO]]=CI$1,[1]!BANCO10[[#This Row],[STATUS DA ETAPA]],"")</f>
        <v/>
      </c>
      <c r="CJ138" s="21" t="str">
        <f>IF([1]!BANCO10[[#This Row],[SOLUÇÃO]]=CJ$1,[1]!BANCO10[[#This Row],[STATUS DA ETAPA]],"")</f>
        <v/>
      </c>
      <c r="CK138" s="21" t="str">
        <f>IF([1]!BANCO10[[#This Row],[SOLUÇÃO]]=CK$1,[1]!BANCO10[[#This Row],[STATUS DA ETAPA]],"")</f>
        <v/>
      </c>
      <c r="CL138" s="21" t="str">
        <f>IF([1]!BANCO10[[#This Row],[SOLUÇÃO]]=CL$1,[1]!BANCO10[[#This Row],[STATUS DA ETAPA]],"")</f>
        <v/>
      </c>
      <c r="CM138" s="21" t="str">
        <f>IF([1]!BANCO10[[#This Row],[SOLUÇÃO]]=CM$1,[1]!BANCO10[[#This Row],[STATUS DA ETAPA]],"")</f>
        <v/>
      </c>
      <c r="CN138" s="21" t="str">
        <f>IF([1]!BANCO10[[#This Row],[SOLUÇÃO]]=CN$1,[1]!BANCO10[[#This Row],[STATUS DA ETAPA]],"")</f>
        <v/>
      </c>
      <c r="CO138" s="21" t="str">
        <f>IF([1]!BANCO10[[#This Row],[SOLUÇÃO]]=CO$1,[1]!BANCO10[[#This Row],[STATUS DA ETAPA]],"")</f>
        <v/>
      </c>
      <c r="CP138" s="21" t="str">
        <f>IF([1]!BANCO10[[#This Row],[SOLUÇÃO]]=CP$1,[1]!BANCO10[[#This Row],[STATUS DA ETAPA]],"")</f>
        <v/>
      </c>
      <c r="CQ138" s="21" t="str">
        <f>IF([1]!BANCO10[[#This Row],[SOLUÇÃO]]=CQ$1,[1]!BANCO10[[#This Row],[STATUS DA ETAPA]],"")</f>
        <v/>
      </c>
      <c r="CR138" s="21" t="str">
        <f>IF([1]!BANCO10[[#This Row],[SOLUÇÃO]]=CR$1,[1]!BANCO10[[#This Row],[STATUS DA ETAPA]],"")</f>
        <v/>
      </c>
      <c r="CS138" s="21" t="str">
        <f>IF([1]!BANCO10[[#This Row],[SOLUÇÃO]]=CS$1,[1]!BANCO10[[#This Row],[STATUS DA ETAPA]],"")</f>
        <v/>
      </c>
      <c r="CT138" s="21" t="str">
        <f>IF([1]!BANCO10[[#This Row],[SOLUÇÃO]]=CT$1,[1]!BANCO10[[#This Row],[STATUS DA ETAPA]],"")</f>
        <v/>
      </c>
      <c r="CU138" s="21" t="str">
        <f>IF([1]!BANCO10[[#This Row],[SOLUÇÃO]]=CU$1,[1]!BANCO10[[#This Row],[STATUS DA ETAPA]],"")</f>
        <v/>
      </c>
      <c r="CV138" s="21" t="str">
        <f>IF([1]!BANCO10[[#This Row],[SOLUÇÃO]]=CV$1,[1]!BANCO10[[#This Row],[STATUS DA ETAPA]],"")</f>
        <v/>
      </c>
    </row>
    <row r="139" spans="1:100">
      <c r="A139" s="44" t="s">
        <v>1</v>
      </c>
      <c r="B139" s="44"/>
      <c r="C139" s="44" t="s">
        <v>1</v>
      </c>
      <c r="D139" s="44"/>
      <c r="E139" s="44" t="s">
        <v>1</v>
      </c>
      <c r="F139" s="44"/>
      <c r="G139" s="44" t="s">
        <v>1</v>
      </c>
      <c r="H139" s="44"/>
      <c r="I139" s="45" t="s">
        <v>1</v>
      </c>
      <c r="J139" s="46"/>
      <c r="K139" s="45" t="s">
        <v>1</v>
      </c>
      <c r="L139" s="33"/>
      <c r="M139" s="45" t="s">
        <v>1</v>
      </c>
      <c r="N139" s="33"/>
      <c r="O139" s="44" t="s">
        <v>1</v>
      </c>
      <c r="P139" s="44"/>
      <c r="Q139" s="44" t="s">
        <v>1</v>
      </c>
      <c r="R139" s="44"/>
      <c r="S139" s="44" t="s">
        <v>1</v>
      </c>
      <c r="T139" s="44"/>
      <c r="U139" s="44" t="s">
        <v>2</v>
      </c>
      <c r="V139" s="44"/>
      <c r="W139" s="44" t="s">
        <v>2</v>
      </c>
      <c r="X139" s="44"/>
      <c r="Y139" s="44" t="s">
        <v>2</v>
      </c>
      <c r="Z139" s="44">
        <v>45819</v>
      </c>
      <c r="AA139" s="44" t="s">
        <v>2</v>
      </c>
      <c r="AB139" s="44"/>
      <c r="AC139" s="51">
        <v>45848</v>
      </c>
      <c r="AD139" s="50">
        <v>45923</v>
      </c>
      <c r="AE139" s="68" t="s">
        <v>2</v>
      </c>
      <c r="AF139" s="68" t="s">
        <v>2</v>
      </c>
      <c r="AG139" s="76" t="s">
        <v>4</v>
      </c>
      <c r="AH139" s="36" t="s">
        <v>0</v>
      </c>
      <c r="AI139" s="49">
        <v>0</v>
      </c>
      <c r="AJ139" s="36" t="s">
        <v>6</v>
      </c>
      <c r="AK139" s="97" t="s">
        <v>746</v>
      </c>
      <c r="AL139" s="36">
        <v>4712</v>
      </c>
      <c r="AM139" s="36">
        <v>0</v>
      </c>
      <c r="AN139" s="35" t="s">
        <v>1</v>
      </c>
      <c r="AO139" s="35" t="s">
        <v>1</v>
      </c>
      <c r="AP139" s="35" t="s">
        <v>2</v>
      </c>
      <c r="AQ139" s="35" t="s">
        <v>1</v>
      </c>
      <c r="AR139" s="34" t="s">
        <v>1</v>
      </c>
      <c r="AS139" s="33"/>
      <c r="AT139" s="32" t="s">
        <v>2</v>
      </c>
      <c r="AU139" s="31">
        <v>45923</v>
      </c>
      <c r="AV139" s="32" t="s">
        <v>2</v>
      </c>
      <c r="AW139" s="31">
        <v>45940</v>
      </c>
      <c r="AX139" s="30" t="s">
        <v>2</v>
      </c>
      <c r="AY139" s="29">
        <v>45940</v>
      </c>
      <c r="AZ139" s="28" t="s">
        <v>0</v>
      </c>
      <c r="BA139" s="27"/>
      <c r="BB139" s="39">
        <v>45840</v>
      </c>
      <c r="BC139" s="25" t="s">
        <v>745</v>
      </c>
      <c r="BD139" s="24"/>
      <c r="BE139" s="24"/>
      <c r="BF139" s="24"/>
      <c r="BG139" s="24"/>
      <c r="BH139" s="24"/>
      <c r="BI139" s="24"/>
      <c r="BJ139" s="24"/>
      <c r="BK139" s="24"/>
      <c r="BL139" s="24"/>
      <c r="BM139" s="24"/>
      <c r="BN139" s="24"/>
      <c r="BO139" s="24"/>
      <c r="BP139" s="24"/>
      <c r="BQ139" s="22">
        <f>YEAR([1]!BANCO10[[#This Row],[DATA INÍCIO]])</f>
        <v>2025</v>
      </c>
      <c r="BR139" s="22">
        <f>MONTH([1]!BANCO10[[#This Row],[DATA INÍCIO]])</f>
        <v>7</v>
      </c>
      <c r="BS139" s="23" t="e">
        <f>CONCATENATE(#REF!,#REF!)</f>
        <v>#REF!</v>
      </c>
      <c r="BT139" s="22"/>
      <c r="BU139" s="22"/>
      <c r="BV139" s="21" t="str">
        <f>IF([1]!BANCO10[[#This Row],[SOLUÇÃO]]=BV$1,[1]!BANCO10[[#This Row],[STATUS DA ETAPA]],"")</f>
        <v/>
      </c>
      <c r="BW139" s="21" t="str">
        <f>IF([1]!BANCO10[[#This Row],[SOLUÇÃO]]=BW$1,[1]!BANCO10[[#This Row],[STATUS DA ETAPA]],"")</f>
        <v>CONCLUÍDO</v>
      </c>
      <c r="BX139" s="21" t="str">
        <f>IF([1]!BANCO10[[#This Row],[SOLUÇÃO]]=BX$1,[1]!BANCO10[[#This Row],[STATUS DA ETAPA]],"")</f>
        <v/>
      </c>
      <c r="BY139" s="21" t="str">
        <f>IF([1]!BANCO10[[#This Row],[SOLUÇÃO]]=BY$1,[1]!BANCO10[[#This Row],[STATUS DA ETAPA]],"")</f>
        <v/>
      </c>
      <c r="BZ139" s="21" t="str">
        <f>IF([1]!BANCO10[[#This Row],[SOLUÇÃO]]=BZ$1,[1]!BANCO10[[#This Row],[STATUS DA ETAPA]],"")</f>
        <v/>
      </c>
      <c r="CA139" s="21" t="str">
        <f>IF([1]!BANCO10[[#This Row],[SOLUÇÃO]]=CA$1,[1]!BANCO10[[#This Row],[STATUS DA ETAPA]],"")</f>
        <v/>
      </c>
      <c r="CB139" s="21" t="str">
        <f>IF([1]!BANCO10[[#This Row],[SOLUÇÃO]]=CB$1,[1]!BANCO10[[#This Row],[STATUS DA ETAPA]],"")</f>
        <v/>
      </c>
      <c r="CC139" s="21" t="str">
        <f>IF([1]!BANCO10[[#This Row],[SOLUÇÃO]]=CC$1,[1]!BANCO10[[#This Row],[STATUS DA ETAPA]],"")</f>
        <v/>
      </c>
      <c r="CD139" s="21" t="str">
        <f>IF([1]!BANCO10[[#This Row],[SOLUÇÃO]]=CD$1,[1]!BANCO10[[#This Row],[STATUS DA ETAPA]],"")</f>
        <v/>
      </c>
      <c r="CE139" s="21" t="str">
        <f>IF([1]!BANCO10[[#This Row],[SOLUÇÃO]]=CE$1,[1]!BANCO10[[#This Row],[STATUS DA ETAPA]],"")</f>
        <v/>
      </c>
      <c r="CF139" s="21" t="str">
        <f>IF([1]!BANCO10[[#This Row],[SOLUÇÃO]]=CF$1,[1]!BANCO10[[#This Row],[STATUS DA ETAPA]],"")</f>
        <v/>
      </c>
      <c r="CG139" s="21" t="str">
        <f>IF([1]!BANCO10[[#This Row],[SOLUÇÃO]]=CG$1,[1]!BANCO10[[#This Row],[STATUS DA ETAPA]],"")</f>
        <v/>
      </c>
      <c r="CH139" s="21" t="str">
        <f>IF([1]!BANCO10[[#This Row],[SOLUÇÃO]]=CH$1,[1]!BANCO10[[#This Row],[STATUS DA ETAPA]],"")</f>
        <v/>
      </c>
      <c r="CI139" s="21" t="str">
        <f>IF([1]!BANCO10[[#This Row],[SOLUÇÃO]]=CI$1,[1]!BANCO10[[#This Row],[STATUS DA ETAPA]],"")</f>
        <v/>
      </c>
      <c r="CJ139" s="21" t="str">
        <f>IF([1]!BANCO10[[#This Row],[SOLUÇÃO]]=CJ$1,[1]!BANCO10[[#This Row],[STATUS DA ETAPA]],"")</f>
        <v/>
      </c>
      <c r="CK139" s="21" t="str">
        <f>IF([1]!BANCO10[[#This Row],[SOLUÇÃO]]=CK$1,[1]!BANCO10[[#This Row],[STATUS DA ETAPA]],"")</f>
        <v/>
      </c>
      <c r="CL139" s="21" t="str">
        <f>IF([1]!BANCO10[[#This Row],[SOLUÇÃO]]=CL$1,[1]!BANCO10[[#This Row],[STATUS DA ETAPA]],"")</f>
        <v/>
      </c>
      <c r="CM139" s="21" t="str">
        <f>IF([1]!BANCO10[[#This Row],[SOLUÇÃO]]=CM$1,[1]!BANCO10[[#This Row],[STATUS DA ETAPA]],"")</f>
        <v/>
      </c>
      <c r="CN139" s="21" t="str">
        <f>IF([1]!BANCO10[[#This Row],[SOLUÇÃO]]=CN$1,[1]!BANCO10[[#This Row],[STATUS DA ETAPA]],"")</f>
        <v/>
      </c>
      <c r="CO139" s="21" t="str">
        <f>IF([1]!BANCO10[[#This Row],[SOLUÇÃO]]=CO$1,[1]!BANCO10[[#This Row],[STATUS DA ETAPA]],"")</f>
        <v/>
      </c>
      <c r="CP139" s="21" t="str">
        <f>IF([1]!BANCO10[[#This Row],[SOLUÇÃO]]=CP$1,[1]!BANCO10[[#This Row],[STATUS DA ETAPA]],"")</f>
        <v/>
      </c>
      <c r="CQ139" s="21" t="str">
        <f>IF([1]!BANCO10[[#This Row],[SOLUÇÃO]]=CQ$1,[1]!BANCO10[[#This Row],[STATUS DA ETAPA]],"")</f>
        <v/>
      </c>
      <c r="CR139" s="21" t="str">
        <f>IF([1]!BANCO10[[#This Row],[SOLUÇÃO]]=CR$1,[1]!BANCO10[[#This Row],[STATUS DA ETAPA]],"")</f>
        <v/>
      </c>
      <c r="CS139" s="21" t="str">
        <f>IF([1]!BANCO10[[#This Row],[SOLUÇÃO]]=CS$1,[1]!BANCO10[[#This Row],[STATUS DA ETAPA]],"")</f>
        <v/>
      </c>
      <c r="CT139" s="21" t="str">
        <f>IF([1]!BANCO10[[#This Row],[SOLUÇÃO]]=CT$1,[1]!BANCO10[[#This Row],[STATUS DA ETAPA]],"")</f>
        <v/>
      </c>
      <c r="CU139" s="21" t="str">
        <f>IF([1]!BANCO10[[#This Row],[SOLUÇÃO]]=CU$1,[1]!BANCO10[[#This Row],[STATUS DA ETAPA]],"")</f>
        <v/>
      </c>
      <c r="CV139" s="21" t="str">
        <f>IF([1]!BANCO10[[#This Row],[SOLUÇÃO]]=CV$1,[1]!BANCO10[[#This Row],[STATUS DA ETAPA]],"")</f>
        <v/>
      </c>
    </row>
    <row r="140" spans="1:100">
      <c r="A140" s="44" t="s">
        <v>1</v>
      </c>
      <c r="B140" s="44"/>
      <c r="C140" s="44" t="s">
        <v>1</v>
      </c>
      <c r="D140" s="44"/>
      <c r="E140" s="44" t="s">
        <v>1</v>
      </c>
      <c r="F140" s="44"/>
      <c r="G140" s="44" t="s">
        <v>1</v>
      </c>
      <c r="H140" s="44"/>
      <c r="I140" s="45" t="s">
        <v>1</v>
      </c>
      <c r="J140" s="46"/>
      <c r="K140" s="45" t="s">
        <v>1</v>
      </c>
      <c r="L140" s="33"/>
      <c r="M140" s="45" t="s">
        <v>1</v>
      </c>
      <c r="N140" s="33"/>
      <c r="O140" s="44" t="s">
        <v>2</v>
      </c>
      <c r="P140" s="44">
        <v>45007</v>
      </c>
      <c r="Q140" s="44" t="s">
        <v>0</v>
      </c>
      <c r="R140" s="44"/>
      <c r="S140" s="44" t="s">
        <v>1</v>
      </c>
      <c r="T140" s="44"/>
      <c r="U140" s="44" t="s">
        <v>1</v>
      </c>
      <c r="V140" s="44"/>
      <c r="W140" s="44" t="s">
        <v>1</v>
      </c>
      <c r="X140" s="44"/>
      <c r="Y140" s="44" t="s">
        <v>1</v>
      </c>
      <c r="Z140" s="44"/>
      <c r="AA140" s="44" t="s">
        <v>1</v>
      </c>
      <c r="AB140" s="44"/>
      <c r="AC140" s="51">
        <v>45006</v>
      </c>
      <c r="AD140" s="50">
        <v>45006</v>
      </c>
      <c r="AE140" s="40" t="s">
        <v>1</v>
      </c>
      <c r="AF140" s="40" t="s">
        <v>1</v>
      </c>
      <c r="AG140" s="76" t="s">
        <v>5</v>
      </c>
      <c r="AH140" s="36" t="s">
        <v>1</v>
      </c>
      <c r="AI140" s="49">
        <v>0</v>
      </c>
      <c r="AJ140" s="36" t="s">
        <v>1</v>
      </c>
      <c r="AK140" s="10" t="s">
        <v>1</v>
      </c>
      <c r="AL140" s="36" t="s">
        <v>1</v>
      </c>
      <c r="AM140" s="36" t="s">
        <v>1</v>
      </c>
      <c r="AN140" s="35" t="s">
        <v>1</v>
      </c>
      <c r="AO140" s="35" t="s">
        <v>1</v>
      </c>
      <c r="AP140" s="35" t="s">
        <v>1</v>
      </c>
      <c r="AQ140" s="35" t="s">
        <v>1</v>
      </c>
      <c r="AR140" s="82" t="s">
        <v>1</v>
      </c>
      <c r="AS140" s="33"/>
      <c r="AT140" s="30"/>
      <c r="AU140" s="55"/>
      <c r="AV140" s="30"/>
      <c r="AW140" s="55"/>
      <c r="AX140" s="30" t="s">
        <v>1</v>
      </c>
      <c r="AY140" s="55"/>
      <c r="AZ140" s="30" t="s">
        <v>1</v>
      </c>
      <c r="BA140" s="55"/>
      <c r="BB140" s="74"/>
      <c r="BC140" s="25"/>
      <c r="BD140" s="24" t="s">
        <v>11</v>
      </c>
      <c r="BE140" s="24" t="s">
        <v>11</v>
      </c>
      <c r="BF140" s="24" t="s">
        <v>21</v>
      </c>
      <c r="BG140" s="24" t="s">
        <v>11</v>
      </c>
      <c r="BH140" s="130"/>
      <c r="BI140" s="24"/>
      <c r="BJ140" s="24" t="s">
        <v>11</v>
      </c>
      <c r="BK140" s="24" t="s">
        <v>11</v>
      </c>
      <c r="BL140" s="24" t="s">
        <v>11</v>
      </c>
      <c r="BM140" s="24" t="s">
        <v>11</v>
      </c>
      <c r="BN140" s="24" t="s">
        <v>11</v>
      </c>
      <c r="BO140" s="24" t="s">
        <v>11</v>
      </c>
      <c r="BP140" s="24" t="s">
        <v>11</v>
      </c>
      <c r="BQ140" s="22">
        <f>YEAR([1]!BANCO10[[#This Row],[DATA INÍCIO]])</f>
        <v>2023</v>
      </c>
      <c r="BR140" s="22">
        <f>MONTH([1]!BANCO10[[#This Row],[DATA INÍCIO]])</f>
        <v>3</v>
      </c>
      <c r="BS140" s="129" t="e">
        <f>CONCATENATE(#REF!,#REF!)</f>
        <v>#REF!</v>
      </c>
      <c r="BT140" s="22"/>
      <c r="BU140" s="21" t="s">
        <v>744</v>
      </c>
      <c r="BV140" s="21" t="str">
        <f>IF([1]!BANCO10[[#This Row],[SOLUÇÃO]]=BV$1,[1]!BANCO10[[#This Row],[STATUS DA ETAPA]],"")</f>
        <v>CONCLUÍDO</v>
      </c>
      <c r="BW140" s="21" t="str">
        <f>IF([1]!BANCO10[[#This Row],[SOLUÇÃO]]=BW$1,[1]!BANCO10[[#This Row],[STATUS DA ETAPA]],"")</f>
        <v/>
      </c>
      <c r="BX140" s="21" t="str">
        <f>IF([1]!BANCO10[[#This Row],[SOLUÇÃO]]=BX$1,[1]!BANCO10[[#This Row],[STATUS DA ETAPA]],"")</f>
        <v/>
      </c>
      <c r="BY140" s="21" t="str">
        <f>IF([1]!BANCO10[[#This Row],[SOLUÇÃO]]=BY$1,[1]!BANCO10[[#This Row],[STATUS DA ETAPA]],"")</f>
        <v/>
      </c>
      <c r="BZ140" s="21" t="str">
        <f>IF([1]!BANCO10[[#This Row],[SOLUÇÃO]]=BZ$1,[1]!BANCO10[[#This Row],[STATUS DA ETAPA]],"")</f>
        <v/>
      </c>
      <c r="CA140" s="21" t="str">
        <f>IF([1]!BANCO10[[#This Row],[SOLUÇÃO]]=CA$1,[1]!BANCO10[[#This Row],[STATUS DA ETAPA]],"")</f>
        <v/>
      </c>
      <c r="CB140" s="21" t="str">
        <f>IF([1]!BANCO10[[#This Row],[SOLUÇÃO]]=CB$1,[1]!BANCO10[[#This Row],[STATUS DA ETAPA]],"")</f>
        <v/>
      </c>
      <c r="CC140" s="21" t="str">
        <f>IF([1]!BANCO10[[#This Row],[SOLUÇÃO]]=CC$1,[1]!BANCO10[[#This Row],[STATUS DA ETAPA]],"")</f>
        <v/>
      </c>
      <c r="CD140" s="21" t="str">
        <f>IF([1]!BANCO10[[#This Row],[SOLUÇÃO]]=CD$1,[1]!BANCO10[[#This Row],[STATUS DA ETAPA]],"")</f>
        <v/>
      </c>
      <c r="CE140" s="21" t="str">
        <f>IF([1]!BANCO10[[#This Row],[SOLUÇÃO]]=CE$1,[1]!BANCO10[[#This Row],[STATUS DA ETAPA]],"")</f>
        <v/>
      </c>
      <c r="CF140" s="21" t="str">
        <f>IF([1]!BANCO10[[#This Row],[SOLUÇÃO]]=CF$1,[1]!BANCO10[[#This Row],[STATUS DA ETAPA]],"")</f>
        <v/>
      </c>
      <c r="CG140" s="21" t="str">
        <f>IF([1]!BANCO10[[#This Row],[SOLUÇÃO]]=CG$1,[1]!BANCO10[[#This Row],[STATUS DA ETAPA]],"")</f>
        <v/>
      </c>
      <c r="CH140" s="21" t="str">
        <f>IF([1]!BANCO10[[#This Row],[SOLUÇÃO]]=CH$1,[1]!BANCO10[[#This Row],[STATUS DA ETAPA]],"")</f>
        <v/>
      </c>
      <c r="CI140" s="21" t="str">
        <f>IF([1]!BANCO10[[#This Row],[SOLUÇÃO]]=CI$1,[1]!BANCO10[[#This Row],[STATUS DA ETAPA]],"")</f>
        <v/>
      </c>
      <c r="CJ140" s="21" t="str">
        <f>IF([1]!BANCO10[[#This Row],[SOLUÇÃO]]=CJ$1,[1]!BANCO10[[#This Row],[STATUS DA ETAPA]],"")</f>
        <v/>
      </c>
      <c r="CK140" s="21" t="str">
        <f>IF([1]!BANCO10[[#This Row],[SOLUÇÃO]]=CK$1,[1]!BANCO10[[#This Row],[STATUS DA ETAPA]],"")</f>
        <v/>
      </c>
      <c r="CL140" s="21" t="str">
        <f>IF([1]!BANCO10[[#This Row],[SOLUÇÃO]]=CL$1,[1]!BANCO10[[#This Row],[STATUS DA ETAPA]],"")</f>
        <v/>
      </c>
      <c r="CM140" s="21" t="str">
        <f>IF([1]!BANCO10[[#This Row],[SOLUÇÃO]]=CM$1,[1]!BANCO10[[#This Row],[STATUS DA ETAPA]],"")</f>
        <v/>
      </c>
      <c r="CN140" s="21" t="str">
        <f>IF([1]!BANCO10[[#This Row],[SOLUÇÃO]]=CN$1,[1]!BANCO10[[#This Row],[STATUS DA ETAPA]],"")</f>
        <v/>
      </c>
      <c r="CO140" s="21" t="str">
        <f>IF([1]!BANCO10[[#This Row],[SOLUÇÃO]]=CO$1,[1]!BANCO10[[#This Row],[STATUS DA ETAPA]],"")</f>
        <v/>
      </c>
      <c r="CP140" s="21" t="str">
        <f>IF([1]!BANCO10[[#This Row],[SOLUÇÃO]]=CP$1,[1]!BANCO10[[#This Row],[STATUS DA ETAPA]],"")</f>
        <v/>
      </c>
      <c r="CQ140" s="21" t="str">
        <f>IF([1]!BANCO10[[#This Row],[SOLUÇÃO]]=CQ$1,[1]!BANCO10[[#This Row],[STATUS DA ETAPA]],"")</f>
        <v/>
      </c>
      <c r="CR140" s="21" t="str">
        <f>IF([1]!BANCO10[[#This Row],[SOLUÇÃO]]=CR$1,[1]!BANCO10[[#This Row],[STATUS DA ETAPA]],"")</f>
        <v/>
      </c>
      <c r="CS140" s="21" t="str">
        <f>IF([1]!BANCO10[[#This Row],[SOLUÇÃO]]=CS$1,[1]!BANCO10[[#This Row],[STATUS DA ETAPA]],"")</f>
        <v/>
      </c>
      <c r="CT140" s="21" t="str">
        <f>IF([1]!BANCO10[[#This Row],[SOLUÇÃO]]=CT$1,[1]!BANCO10[[#This Row],[STATUS DA ETAPA]],"")</f>
        <v/>
      </c>
      <c r="CU140" s="21" t="str">
        <f>IF([1]!BANCO10[[#This Row],[SOLUÇÃO]]=CU$1,[1]!BANCO10[[#This Row],[STATUS DA ETAPA]],"")</f>
        <v/>
      </c>
      <c r="CV140" s="21" t="str">
        <f>IF([1]!BANCO10[[#This Row],[SOLUÇÃO]]=CV$1,[1]!BANCO10[[#This Row],[STATUS DA ETAPA]],"")</f>
        <v/>
      </c>
    </row>
    <row r="141" spans="1:100">
      <c r="A141" s="44" t="s">
        <v>1</v>
      </c>
      <c r="B141" s="44"/>
      <c r="C141" s="44" t="s">
        <v>1</v>
      </c>
      <c r="D141" s="44"/>
      <c r="E141" s="44" t="s">
        <v>1</v>
      </c>
      <c r="F141" s="44"/>
      <c r="G141" s="44" t="s">
        <v>1</v>
      </c>
      <c r="H141" s="44"/>
      <c r="I141" s="45" t="s">
        <v>1</v>
      </c>
      <c r="J141" s="46"/>
      <c r="K141" s="45" t="s">
        <v>1</v>
      </c>
      <c r="L141" s="33"/>
      <c r="M141" s="45" t="s">
        <v>1</v>
      </c>
      <c r="N141" s="33"/>
      <c r="O141" s="44" t="s">
        <v>2</v>
      </c>
      <c r="P141" s="44">
        <v>45007</v>
      </c>
      <c r="Q141" s="44" t="s">
        <v>2</v>
      </c>
      <c r="R141" s="44">
        <v>45012</v>
      </c>
      <c r="S141" s="44" t="s">
        <v>1</v>
      </c>
      <c r="T141" s="44"/>
      <c r="U141" s="44" t="s">
        <v>1</v>
      </c>
      <c r="V141" s="44"/>
      <c r="W141" s="44" t="s">
        <v>1</v>
      </c>
      <c r="X141" s="44"/>
      <c r="Y141" s="44" t="s">
        <v>1</v>
      </c>
      <c r="Z141" s="44"/>
      <c r="AA141" s="44" t="s">
        <v>1</v>
      </c>
      <c r="AB141" s="44"/>
      <c r="AC141" s="51">
        <v>45063</v>
      </c>
      <c r="AD141" s="50">
        <v>45174</v>
      </c>
      <c r="AE141" s="167" t="s">
        <v>2</v>
      </c>
      <c r="AF141" s="167" t="s">
        <v>2</v>
      </c>
      <c r="AG141" s="166" t="s">
        <v>5</v>
      </c>
      <c r="AH141" s="36"/>
      <c r="AI141" s="49">
        <v>0</v>
      </c>
      <c r="AJ141" s="36" t="s">
        <v>1</v>
      </c>
      <c r="AK141" s="10" t="s">
        <v>1</v>
      </c>
      <c r="AL141" s="36" t="s">
        <v>1</v>
      </c>
      <c r="AM141" s="36" t="s">
        <v>1</v>
      </c>
      <c r="AN141" s="35" t="s">
        <v>0</v>
      </c>
      <c r="AO141" s="35" t="s">
        <v>0</v>
      </c>
      <c r="AP141" s="35" t="s">
        <v>2</v>
      </c>
      <c r="AQ141" s="35" t="s">
        <v>1</v>
      </c>
      <c r="AR141" s="165" t="s">
        <v>1</v>
      </c>
      <c r="AS141" s="164"/>
      <c r="AT141" s="163"/>
      <c r="AU141" s="161"/>
      <c r="AV141" s="163"/>
      <c r="AW141" s="161"/>
      <c r="AX141" s="163" t="s">
        <v>2</v>
      </c>
      <c r="AY141" s="161">
        <v>45180</v>
      </c>
      <c r="AZ141" s="163" t="s">
        <v>2</v>
      </c>
      <c r="BA141" s="161"/>
      <c r="BB141" s="162"/>
      <c r="BC141" s="161"/>
      <c r="BD141" s="24" t="s">
        <v>11</v>
      </c>
      <c r="BE141" s="24" t="s">
        <v>11</v>
      </c>
      <c r="BF141" s="24" t="s">
        <v>21</v>
      </c>
      <c r="BG141" s="24" t="s">
        <v>11</v>
      </c>
      <c r="BH141" s="130"/>
      <c r="BI141" s="24"/>
      <c r="BJ141" s="24" t="s">
        <v>11</v>
      </c>
      <c r="BK141" s="24" t="s">
        <v>11</v>
      </c>
      <c r="BL141" s="24" t="s">
        <v>11</v>
      </c>
      <c r="BM141" s="24" t="s">
        <v>11</v>
      </c>
      <c r="BN141" s="24" t="s">
        <v>11</v>
      </c>
      <c r="BO141" s="24" t="s">
        <v>11</v>
      </c>
      <c r="BP141" s="24" t="s">
        <v>11</v>
      </c>
      <c r="BQ141" s="22">
        <f>YEAR([1]!BANCO10[[#This Row],[DATA INÍCIO]])</f>
        <v>2023</v>
      </c>
      <c r="BR141" s="22">
        <f>MONTH([1]!BANCO10[[#This Row],[DATA INÍCIO]])</f>
        <v>5</v>
      </c>
      <c r="BS141" s="129" t="e">
        <f>CONCATENATE(#REF!,#REF!)</f>
        <v>#REF!</v>
      </c>
      <c r="BT141" s="22"/>
      <c r="BU141" s="21" t="s">
        <v>743</v>
      </c>
      <c r="BV141" s="21" t="str">
        <f>IF([1]!BANCO10[[#This Row],[SOLUÇÃO]]=BV$1,[1]!BANCO10[[#This Row],[STATUS DA ETAPA]],"")</f>
        <v/>
      </c>
      <c r="BW141" s="21" t="str">
        <f>IF([1]!BANCO10[[#This Row],[SOLUÇÃO]]=BW$1,[1]!BANCO10[[#This Row],[STATUS DA ETAPA]],"")</f>
        <v/>
      </c>
      <c r="BX141" s="21" t="str">
        <f>IF([1]!BANCO10[[#This Row],[SOLUÇÃO]]=BX$1,[1]!BANCO10[[#This Row],[STATUS DA ETAPA]],"")</f>
        <v/>
      </c>
      <c r="BY141" s="21" t="str">
        <f>IF([1]!BANCO10[[#This Row],[SOLUÇÃO]]=BY$1,[1]!BANCO10[[#This Row],[STATUS DA ETAPA]],"")</f>
        <v/>
      </c>
      <c r="BZ141" s="21" t="str">
        <f>IF([1]!BANCO10[[#This Row],[SOLUÇÃO]]=BZ$1,[1]!BANCO10[[#This Row],[STATUS DA ETAPA]],"")</f>
        <v/>
      </c>
      <c r="CA141" s="21" t="str">
        <f>IF([1]!BANCO10[[#This Row],[SOLUÇÃO]]=CA$1,[1]!BANCO10[[#This Row],[STATUS DA ETAPA]],"")</f>
        <v>CONCLUÍDO</v>
      </c>
      <c r="CB141" s="21" t="str">
        <f>IF([1]!BANCO10[[#This Row],[SOLUÇÃO]]=CB$1,[1]!BANCO10[[#This Row],[STATUS DA ETAPA]],"")</f>
        <v/>
      </c>
      <c r="CC141" s="21" t="str">
        <f>IF([1]!BANCO10[[#This Row],[SOLUÇÃO]]=CC$1,[1]!BANCO10[[#This Row],[STATUS DA ETAPA]],"")</f>
        <v/>
      </c>
      <c r="CD141" s="21" t="str">
        <f>IF([1]!BANCO10[[#This Row],[SOLUÇÃO]]=CD$1,[1]!BANCO10[[#This Row],[STATUS DA ETAPA]],"")</f>
        <v/>
      </c>
      <c r="CE141" s="21" t="str">
        <f>IF([1]!BANCO10[[#This Row],[SOLUÇÃO]]=CE$1,[1]!BANCO10[[#This Row],[STATUS DA ETAPA]],"")</f>
        <v/>
      </c>
      <c r="CF141" s="21" t="str">
        <f>IF([1]!BANCO10[[#This Row],[SOLUÇÃO]]=CF$1,[1]!BANCO10[[#This Row],[STATUS DA ETAPA]],"")</f>
        <v/>
      </c>
      <c r="CG141" s="21" t="str">
        <f>IF([1]!BANCO10[[#This Row],[SOLUÇÃO]]=CG$1,[1]!BANCO10[[#This Row],[STATUS DA ETAPA]],"")</f>
        <v/>
      </c>
      <c r="CH141" s="21" t="str">
        <f>IF([1]!BANCO10[[#This Row],[SOLUÇÃO]]=CH$1,[1]!BANCO10[[#This Row],[STATUS DA ETAPA]],"")</f>
        <v/>
      </c>
      <c r="CI141" s="21" t="str">
        <f>IF([1]!BANCO10[[#This Row],[SOLUÇÃO]]=CI$1,[1]!BANCO10[[#This Row],[STATUS DA ETAPA]],"")</f>
        <v/>
      </c>
      <c r="CJ141" s="21" t="str">
        <f>IF([1]!BANCO10[[#This Row],[SOLUÇÃO]]=CJ$1,[1]!BANCO10[[#This Row],[STATUS DA ETAPA]],"")</f>
        <v/>
      </c>
      <c r="CK141" s="21" t="str">
        <f>IF([1]!BANCO10[[#This Row],[SOLUÇÃO]]=CK$1,[1]!BANCO10[[#This Row],[STATUS DA ETAPA]],"")</f>
        <v/>
      </c>
      <c r="CL141" s="21" t="str">
        <f>IF([1]!BANCO10[[#This Row],[SOLUÇÃO]]=CL$1,[1]!BANCO10[[#This Row],[STATUS DA ETAPA]],"")</f>
        <v/>
      </c>
      <c r="CM141" s="21" t="str">
        <f>IF([1]!BANCO10[[#This Row],[SOLUÇÃO]]=CM$1,[1]!BANCO10[[#This Row],[STATUS DA ETAPA]],"")</f>
        <v/>
      </c>
      <c r="CN141" s="21" t="str">
        <f>IF([1]!BANCO10[[#This Row],[SOLUÇÃO]]=CN$1,[1]!BANCO10[[#This Row],[STATUS DA ETAPA]],"")</f>
        <v/>
      </c>
      <c r="CO141" s="21" t="str">
        <f>IF([1]!BANCO10[[#This Row],[SOLUÇÃO]]=CO$1,[1]!BANCO10[[#This Row],[STATUS DA ETAPA]],"")</f>
        <v/>
      </c>
      <c r="CP141" s="21" t="str">
        <f>IF([1]!BANCO10[[#This Row],[SOLUÇÃO]]=CP$1,[1]!BANCO10[[#This Row],[STATUS DA ETAPA]],"")</f>
        <v/>
      </c>
      <c r="CQ141" s="21" t="str">
        <f>IF([1]!BANCO10[[#This Row],[SOLUÇÃO]]=CQ$1,[1]!BANCO10[[#This Row],[STATUS DA ETAPA]],"")</f>
        <v/>
      </c>
      <c r="CR141" s="21" t="str">
        <f>IF([1]!BANCO10[[#This Row],[SOLUÇÃO]]=CR$1,[1]!BANCO10[[#This Row],[STATUS DA ETAPA]],"")</f>
        <v/>
      </c>
      <c r="CS141" s="21" t="str">
        <f>IF([1]!BANCO10[[#This Row],[SOLUÇÃO]]=CS$1,[1]!BANCO10[[#This Row],[STATUS DA ETAPA]],"")</f>
        <v/>
      </c>
      <c r="CT141" s="21" t="str">
        <f>IF([1]!BANCO10[[#This Row],[SOLUÇÃO]]=CT$1,[1]!BANCO10[[#This Row],[STATUS DA ETAPA]],"")</f>
        <v/>
      </c>
      <c r="CU141" s="21" t="str">
        <f>IF([1]!BANCO10[[#This Row],[SOLUÇÃO]]=CU$1,[1]!BANCO10[[#This Row],[STATUS DA ETAPA]],"")</f>
        <v/>
      </c>
      <c r="CV141" s="21" t="str">
        <f>IF([1]!BANCO10[[#This Row],[SOLUÇÃO]]=CV$1,[1]!BANCO10[[#This Row],[STATUS DA ETAPA]],"")</f>
        <v/>
      </c>
    </row>
    <row r="142" spans="1:100">
      <c r="A142" s="44" t="s">
        <v>1</v>
      </c>
      <c r="B142" s="44"/>
      <c r="C142" s="44" t="s">
        <v>1</v>
      </c>
      <c r="D142" s="44"/>
      <c r="E142" s="44" t="s">
        <v>1</v>
      </c>
      <c r="F142" s="44"/>
      <c r="G142" s="44" t="s">
        <v>1</v>
      </c>
      <c r="H142" s="44"/>
      <c r="I142" s="45" t="s">
        <v>1</v>
      </c>
      <c r="J142" s="46"/>
      <c r="K142" s="45" t="s">
        <v>1</v>
      </c>
      <c r="L142" s="33"/>
      <c r="M142" s="45" t="s">
        <v>1</v>
      </c>
      <c r="N142" s="33"/>
      <c r="O142" s="44" t="s">
        <v>2</v>
      </c>
      <c r="P142" s="44">
        <v>45007</v>
      </c>
      <c r="Q142" s="44" t="s">
        <v>2</v>
      </c>
      <c r="R142" s="44">
        <v>45412</v>
      </c>
      <c r="S142" s="44"/>
      <c r="T142" s="44"/>
      <c r="U142" s="44" t="s">
        <v>1</v>
      </c>
      <c r="V142" s="44"/>
      <c r="W142" s="44" t="s">
        <v>1</v>
      </c>
      <c r="X142" s="44"/>
      <c r="Y142" s="44" t="s">
        <v>1</v>
      </c>
      <c r="Z142" s="44"/>
      <c r="AA142" s="44" t="s">
        <v>1</v>
      </c>
      <c r="AB142" s="44"/>
      <c r="AC142" s="51">
        <v>45963</v>
      </c>
      <c r="AD142" s="50">
        <v>45963</v>
      </c>
      <c r="AE142" s="41" t="s">
        <v>1</v>
      </c>
      <c r="AF142" s="41" t="s">
        <v>1</v>
      </c>
      <c r="AG142" s="76" t="s">
        <v>5</v>
      </c>
      <c r="AH142" s="36" t="s">
        <v>0</v>
      </c>
      <c r="AI142" s="49">
        <v>0</v>
      </c>
      <c r="AJ142" s="36"/>
      <c r="AK142" s="10" t="s">
        <v>30</v>
      </c>
      <c r="AL142" s="36" t="s">
        <v>30</v>
      </c>
      <c r="AM142" s="36" t="s">
        <v>30</v>
      </c>
      <c r="AN142" s="35" t="s">
        <v>1</v>
      </c>
      <c r="AO142" s="35" t="s">
        <v>1</v>
      </c>
      <c r="AP142" s="35"/>
      <c r="AQ142" s="35" t="s">
        <v>1</v>
      </c>
      <c r="AR142" s="34" t="s">
        <v>1</v>
      </c>
      <c r="AS142" s="33"/>
      <c r="AT142" s="32"/>
      <c r="AU142" s="31"/>
      <c r="AV142" s="32"/>
      <c r="AW142" s="31"/>
      <c r="AX142" s="30" t="s">
        <v>0</v>
      </c>
      <c r="AY142" s="29"/>
      <c r="AZ142" s="28" t="s">
        <v>0</v>
      </c>
      <c r="BA142" s="27"/>
      <c r="BB142" s="74" t="s">
        <v>742</v>
      </c>
      <c r="BC142" s="25"/>
      <c r="BD142" s="24"/>
      <c r="BE142" s="24"/>
      <c r="BF142" s="24"/>
      <c r="BG142" s="24"/>
      <c r="BH142" s="130"/>
      <c r="BI142" s="24"/>
      <c r="BJ142" s="24"/>
      <c r="BK142" s="24"/>
      <c r="BL142" s="24">
        <v>45412</v>
      </c>
      <c r="BM142" s="24"/>
      <c r="BN142" s="24"/>
      <c r="BO142" s="24"/>
      <c r="BP142" s="24" t="s">
        <v>741</v>
      </c>
      <c r="BQ142" s="22">
        <f>YEAR([1]!BANCO10[[#This Row],[DATA INÍCIO]])</f>
        <v>2025</v>
      </c>
      <c r="BR142" s="22">
        <f>MONTH([1]!BANCO10[[#This Row],[DATA INÍCIO]])</f>
        <v>11</v>
      </c>
      <c r="BS142" s="129" t="e">
        <f>CONCATENATE(#REF!,#REF!)</f>
        <v>#REF!</v>
      </c>
      <c r="BT142" s="22"/>
      <c r="BU142" s="21" t="s">
        <v>30</v>
      </c>
      <c r="BV142" s="21" t="str">
        <f>IF([1]!BANCO10[[#This Row],[SOLUÇÃO]]=BV$1,[1]!BANCO10[[#This Row],[STATUS DA ETAPA]],"")</f>
        <v/>
      </c>
      <c r="BW142" s="21" t="str">
        <f>IF([1]!BANCO10[[#This Row],[SOLUÇÃO]]=BW$1,[1]!BANCO10[[#This Row],[STATUS DA ETAPA]],"")</f>
        <v/>
      </c>
      <c r="BX142" s="21" t="str">
        <f>IF([1]!BANCO10[[#This Row],[SOLUÇÃO]]=BX$1,[1]!BANCO10[[#This Row],[STATUS DA ETAPA]],"")</f>
        <v/>
      </c>
      <c r="BY142" s="21" t="str">
        <f>IF([1]!BANCO10[[#This Row],[SOLUÇÃO]]=BY$1,[1]!BANCO10[[#This Row],[STATUS DA ETAPA]],"")</f>
        <v/>
      </c>
      <c r="BZ142" s="21" t="str">
        <f>IF([1]!BANCO10[[#This Row],[SOLUÇÃO]]=BZ$1,[1]!BANCO10[[#This Row],[STATUS DA ETAPA]],"")</f>
        <v/>
      </c>
      <c r="CA142" s="21" t="str">
        <f>IF([1]!BANCO10[[#This Row],[SOLUÇÃO]]=CA$1,[1]!BANCO10[[#This Row],[STATUS DA ETAPA]],"")</f>
        <v/>
      </c>
      <c r="CB142" s="21" t="str">
        <f>IF([1]!BANCO10[[#This Row],[SOLUÇÃO]]=CB$1,[1]!BANCO10[[#This Row],[STATUS DA ETAPA]],"")</f>
        <v/>
      </c>
      <c r="CC142" s="21" t="str">
        <f>IF([1]!BANCO10[[#This Row],[SOLUÇÃO]]=CC$1,[1]!BANCO10[[#This Row],[STATUS DA ETAPA]],"")</f>
        <v/>
      </c>
      <c r="CD142" s="21" t="str">
        <f>IF([1]!BANCO10[[#This Row],[SOLUÇÃO]]=CD$1,[1]!BANCO10[[#This Row],[STATUS DA ETAPA]],"")</f>
        <v/>
      </c>
      <c r="CE142" s="21" t="str">
        <f>IF([1]!BANCO10[[#This Row],[SOLUÇÃO]]=CE$1,[1]!BANCO10[[#This Row],[STATUS DA ETAPA]],"")</f>
        <v/>
      </c>
      <c r="CF142" s="21" t="str">
        <f>IF([1]!BANCO10[[#This Row],[SOLUÇÃO]]=CF$1,[1]!BANCO10[[#This Row],[STATUS DA ETAPA]],"")</f>
        <v/>
      </c>
      <c r="CG142" s="21" t="str">
        <f>IF([1]!BANCO10[[#This Row],[SOLUÇÃO]]=CG$1,[1]!BANCO10[[#This Row],[STATUS DA ETAPA]],"")</f>
        <v/>
      </c>
      <c r="CH142" s="21" t="str">
        <f>IF([1]!BANCO10[[#This Row],[SOLUÇÃO]]=CH$1,[1]!BANCO10[[#This Row],[STATUS DA ETAPA]],"")</f>
        <v/>
      </c>
      <c r="CI142" s="21" t="str">
        <f>IF([1]!BANCO10[[#This Row],[SOLUÇÃO]]=CI$1,[1]!BANCO10[[#This Row],[STATUS DA ETAPA]],"")</f>
        <v/>
      </c>
      <c r="CJ142" s="21" t="str">
        <f>IF([1]!BANCO10[[#This Row],[SOLUÇÃO]]=CJ$1,[1]!BANCO10[[#This Row],[STATUS DA ETAPA]],"")</f>
        <v/>
      </c>
      <c r="CK142" s="21" t="str">
        <f>IF([1]!BANCO10[[#This Row],[SOLUÇÃO]]=CK$1,[1]!BANCO10[[#This Row],[STATUS DA ETAPA]],"")</f>
        <v/>
      </c>
      <c r="CL142" s="21" t="str">
        <f>IF([1]!BANCO10[[#This Row],[SOLUÇÃO]]=CL$1,[1]!BANCO10[[#This Row],[STATUS DA ETAPA]],"")</f>
        <v/>
      </c>
      <c r="CM142" s="21" t="str">
        <f>IF([1]!BANCO10[[#This Row],[SOLUÇÃO]]=CM$1,[1]!BANCO10[[#This Row],[STATUS DA ETAPA]],"")</f>
        <v/>
      </c>
      <c r="CN142" s="21" t="str">
        <f>IF([1]!BANCO10[[#This Row],[SOLUÇÃO]]=CN$1,[1]!BANCO10[[#This Row],[STATUS DA ETAPA]],"")</f>
        <v/>
      </c>
      <c r="CO142" s="21" t="str">
        <f>IF([1]!BANCO10[[#This Row],[SOLUÇÃO]]=CO$1,[1]!BANCO10[[#This Row],[STATUS DA ETAPA]],"")</f>
        <v>PROSPECÇÃO</v>
      </c>
      <c r="CP142" s="21" t="str">
        <f>IF([1]!BANCO10[[#This Row],[SOLUÇÃO]]=CP$1,[1]!BANCO10[[#This Row],[STATUS DA ETAPA]],"")</f>
        <v/>
      </c>
      <c r="CQ142" s="21" t="str">
        <f>IF([1]!BANCO10[[#This Row],[SOLUÇÃO]]=CQ$1,[1]!BANCO10[[#This Row],[STATUS DA ETAPA]],"")</f>
        <v/>
      </c>
      <c r="CR142" s="21" t="str">
        <f>IF([1]!BANCO10[[#This Row],[SOLUÇÃO]]=CR$1,[1]!BANCO10[[#This Row],[STATUS DA ETAPA]],"")</f>
        <v/>
      </c>
      <c r="CS142" s="21" t="str">
        <f>IF([1]!BANCO10[[#This Row],[SOLUÇÃO]]=CS$1,[1]!BANCO10[[#This Row],[STATUS DA ETAPA]],"")</f>
        <v/>
      </c>
      <c r="CT142" s="21" t="str">
        <f>IF([1]!BANCO10[[#This Row],[SOLUÇÃO]]=CT$1,[1]!BANCO10[[#This Row],[STATUS DA ETAPA]],"")</f>
        <v/>
      </c>
      <c r="CU142" s="21" t="str">
        <f>IF([1]!BANCO10[[#This Row],[SOLUÇÃO]]=CU$1,[1]!BANCO10[[#This Row],[STATUS DA ETAPA]],"")</f>
        <v/>
      </c>
      <c r="CV142" s="21" t="str">
        <f>IF([1]!BANCO10[[#This Row],[SOLUÇÃO]]=CV$1,[1]!BANCO10[[#This Row],[STATUS DA ETAPA]],"")</f>
        <v/>
      </c>
    </row>
    <row r="143" spans="1:100">
      <c r="A143" s="44" t="s">
        <v>1</v>
      </c>
      <c r="B143" s="44"/>
      <c r="C143" s="44" t="s">
        <v>1</v>
      </c>
      <c r="D143" s="44"/>
      <c r="E143" s="44" t="s">
        <v>1</v>
      </c>
      <c r="F143" s="44"/>
      <c r="G143" s="44" t="s">
        <v>1</v>
      </c>
      <c r="H143" s="44"/>
      <c r="I143" s="45" t="s">
        <v>1</v>
      </c>
      <c r="J143" s="46"/>
      <c r="K143" s="45" t="s">
        <v>1</v>
      </c>
      <c r="L143" s="33"/>
      <c r="M143" s="45" t="s">
        <v>1</v>
      </c>
      <c r="N143" s="33"/>
      <c r="O143" s="44" t="s">
        <v>2</v>
      </c>
      <c r="P143" s="44">
        <v>45009</v>
      </c>
      <c r="Q143" s="44" t="s">
        <v>0</v>
      </c>
      <c r="R143" s="44"/>
      <c r="S143" s="44" t="s">
        <v>1</v>
      </c>
      <c r="T143" s="44"/>
      <c r="U143" s="44" t="s">
        <v>1</v>
      </c>
      <c r="V143" s="44"/>
      <c r="W143" s="44" t="s">
        <v>1</v>
      </c>
      <c r="X143" s="44"/>
      <c r="Y143" s="44" t="s">
        <v>1</v>
      </c>
      <c r="Z143" s="44"/>
      <c r="AA143" s="44" t="s">
        <v>1</v>
      </c>
      <c r="AB143" s="44"/>
      <c r="AC143" s="51">
        <v>45008</v>
      </c>
      <c r="AD143" s="50">
        <v>45008</v>
      </c>
      <c r="AE143" s="40" t="s">
        <v>1</v>
      </c>
      <c r="AF143" s="40" t="s">
        <v>1</v>
      </c>
      <c r="AG143" s="76" t="s">
        <v>5</v>
      </c>
      <c r="AH143" s="36" t="s">
        <v>1</v>
      </c>
      <c r="AI143" s="49">
        <v>0</v>
      </c>
      <c r="AJ143" s="36" t="s">
        <v>1</v>
      </c>
      <c r="AK143" s="10" t="s">
        <v>1</v>
      </c>
      <c r="AL143" s="36" t="s">
        <v>1</v>
      </c>
      <c r="AM143" s="36" t="s">
        <v>1</v>
      </c>
      <c r="AN143" s="35" t="s">
        <v>1</v>
      </c>
      <c r="AO143" s="35" t="s">
        <v>1</v>
      </c>
      <c r="AP143" s="35" t="s">
        <v>1</v>
      </c>
      <c r="AQ143" s="35" t="s">
        <v>1</v>
      </c>
      <c r="AR143" s="82" t="s">
        <v>1</v>
      </c>
      <c r="AS143" s="33"/>
      <c r="AT143" s="32" t="s">
        <v>1</v>
      </c>
      <c r="AU143" s="31"/>
      <c r="AV143" s="32" t="s">
        <v>1</v>
      </c>
      <c r="AW143" s="31"/>
      <c r="AX143" s="30" t="s">
        <v>1</v>
      </c>
      <c r="AY143" s="55"/>
      <c r="AZ143" s="30" t="s">
        <v>1</v>
      </c>
      <c r="BA143" s="55"/>
      <c r="BB143" s="74" t="s">
        <v>738</v>
      </c>
      <c r="BC143" s="25" t="s">
        <v>740</v>
      </c>
      <c r="BD143" s="24" t="s">
        <v>19</v>
      </c>
      <c r="BE143" s="24" t="s">
        <v>19</v>
      </c>
      <c r="BF143" s="24" t="s">
        <v>51</v>
      </c>
      <c r="BG143" s="24" t="s">
        <v>11</v>
      </c>
      <c r="BH143" s="130" t="s">
        <v>19</v>
      </c>
      <c r="BI143" s="24"/>
      <c r="BJ143" s="24" t="s">
        <v>11</v>
      </c>
      <c r="BK143" s="24" t="s">
        <v>11</v>
      </c>
      <c r="BL143" s="24" t="s">
        <v>11</v>
      </c>
      <c r="BM143" s="24" t="s">
        <v>11</v>
      </c>
      <c r="BN143" s="24" t="s">
        <v>11</v>
      </c>
      <c r="BO143" s="24" t="s">
        <v>11</v>
      </c>
      <c r="BP143" s="24" t="s">
        <v>11</v>
      </c>
      <c r="BQ143" s="22">
        <f>YEAR([1]!BANCO10[[#This Row],[DATA INÍCIO]])</f>
        <v>2023</v>
      </c>
      <c r="BR143" s="22">
        <f>MONTH([1]!BANCO10[[#This Row],[DATA INÍCIO]])</f>
        <v>3</v>
      </c>
      <c r="BS143" s="129" t="e">
        <f>CONCATENATE(#REF!,#REF!)</f>
        <v>#REF!</v>
      </c>
      <c r="BT143" s="22"/>
      <c r="BU143" s="21" t="s">
        <v>739</v>
      </c>
      <c r="BV143" s="21" t="str">
        <f>IF([1]!BANCO10[[#This Row],[SOLUÇÃO]]=BV$1,[1]!BANCO10[[#This Row],[STATUS DA ETAPA]],"")</f>
        <v>CONCLUÍDO</v>
      </c>
      <c r="BW143" s="21" t="str">
        <f>IF([1]!BANCO10[[#This Row],[SOLUÇÃO]]=BW$1,[1]!BANCO10[[#This Row],[STATUS DA ETAPA]],"")</f>
        <v/>
      </c>
      <c r="BX143" s="21" t="str">
        <f>IF([1]!BANCO10[[#This Row],[SOLUÇÃO]]=BX$1,[1]!BANCO10[[#This Row],[STATUS DA ETAPA]],"")</f>
        <v/>
      </c>
      <c r="BY143" s="21" t="str">
        <f>IF([1]!BANCO10[[#This Row],[SOLUÇÃO]]=BY$1,[1]!BANCO10[[#This Row],[STATUS DA ETAPA]],"")</f>
        <v/>
      </c>
      <c r="BZ143" s="21" t="str">
        <f>IF([1]!BANCO10[[#This Row],[SOLUÇÃO]]=BZ$1,[1]!BANCO10[[#This Row],[STATUS DA ETAPA]],"")</f>
        <v/>
      </c>
      <c r="CA143" s="21" t="str">
        <f>IF([1]!BANCO10[[#This Row],[SOLUÇÃO]]=CA$1,[1]!BANCO10[[#This Row],[STATUS DA ETAPA]],"")</f>
        <v/>
      </c>
      <c r="CB143" s="21" t="str">
        <f>IF([1]!BANCO10[[#This Row],[SOLUÇÃO]]=CB$1,[1]!BANCO10[[#This Row],[STATUS DA ETAPA]],"")</f>
        <v/>
      </c>
      <c r="CC143" s="21" t="str">
        <f>IF([1]!BANCO10[[#This Row],[SOLUÇÃO]]=CC$1,[1]!BANCO10[[#This Row],[STATUS DA ETAPA]],"")</f>
        <v/>
      </c>
      <c r="CD143" s="21" t="str">
        <f>IF([1]!BANCO10[[#This Row],[SOLUÇÃO]]=CD$1,[1]!BANCO10[[#This Row],[STATUS DA ETAPA]],"")</f>
        <v/>
      </c>
      <c r="CE143" s="21" t="str">
        <f>IF([1]!BANCO10[[#This Row],[SOLUÇÃO]]=CE$1,[1]!BANCO10[[#This Row],[STATUS DA ETAPA]],"")</f>
        <v/>
      </c>
      <c r="CF143" s="21" t="str">
        <f>IF([1]!BANCO10[[#This Row],[SOLUÇÃO]]=CF$1,[1]!BANCO10[[#This Row],[STATUS DA ETAPA]],"")</f>
        <v/>
      </c>
      <c r="CG143" s="21" t="str">
        <f>IF([1]!BANCO10[[#This Row],[SOLUÇÃO]]=CG$1,[1]!BANCO10[[#This Row],[STATUS DA ETAPA]],"")</f>
        <v/>
      </c>
      <c r="CH143" s="21" t="str">
        <f>IF([1]!BANCO10[[#This Row],[SOLUÇÃO]]=CH$1,[1]!BANCO10[[#This Row],[STATUS DA ETAPA]],"")</f>
        <v/>
      </c>
      <c r="CI143" s="21" t="str">
        <f>IF([1]!BANCO10[[#This Row],[SOLUÇÃO]]=CI$1,[1]!BANCO10[[#This Row],[STATUS DA ETAPA]],"")</f>
        <v/>
      </c>
      <c r="CJ143" s="21" t="str">
        <f>IF([1]!BANCO10[[#This Row],[SOLUÇÃO]]=CJ$1,[1]!BANCO10[[#This Row],[STATUS DA ETAPA]],"")</f>
        <v/>
      </c>
      <c r="CK143" s="21" t="str">
        <f>IF([1]!BANCO10[[#This Row],[SOLUÇÃO]]=CK$1,[1]!BANCO10[[#This Row],[STATUS DA ETAPA]],"")</f>
        <v/>
      </c>
      <c r="CL143" s="21" t="str">
        <f>IF([1]!BANCO10[[#This Row],[SOLUÇÃO]]=CL$1,[1]!BANCO10[[#This Row],[STATUS DA ETAPA]],"")</f>
        <v/>
      </c>
      <c r="CM143" s="21" t="str">
        <f>IF([1]!BANCO10[[#This Row],[SOLUÇÃO]]=CM$1,[1]!BANCO10[[#This Row],[STATUS DA ETAPA]],"")</f>
        <v/>
      </c>
      <c r="CN143" s="21" t="str">
        <f>IF([1]!BANCO10[[#This Row],[SOLUÇÃO]]=CN$1,[1]!BANCO10[[#This Row],[STATUS DA ETAPA]],"")</f>
        <v/>
      </c>
      <c r="CO143" s="21" t="str">
        <f>IF([1]!BANCO10[[#This Row],[SOLUÇÃO]]=CO$1,[1]!BANCO10[[#This Row],[STATUS DA ETAPA]],"")</f>
        <v/>
      </c>
      <c r="CP143" s="21" t="str">
        <f>IF([1]!BANCO10[[#This Row],[SOLUÇÃO]]=CP$1,[1]!BANCO10[[#This Row],[STATUS DA ETAPA]],"")</f>
        <v/>
      </c>
      <c r="CQ143" s="21" t="str">
        <f>IF([1]!BANCO10[[#This Row],[SOLUÇÃO]]=CQ$1,[1]!BANCO10[[#This Row],[STATUS DA ETAPA]],"")</f>
        <v/>
      </c>
      <c r="CR143" s="21" t="str">
        <f>IF([1]!BANCO10[[#This Row],[SOLUÇÃO]]=CR$1,[1]!BANCO10[[#This Row],[STATUS DA ETAPA]],"")</f>
        <v/>
      </c>
      <c r="CS143" s="21" t="str">
        <f>IF([1]!BANCO10[[#This Row],[SOLUÇÃO]]=CS$1,[1]!BANCO10[[#This Row],[STATUS DA ETAPA]],"")</f>
        <v/>
      </c>
      <c r="CT143" s="21" t="str">
        <f>IF([1]!BANCO10[[#This Row],[SOLUÇÃO]]=CT$1,[1]!BANCO10[[#This Row],[STATUS DA ETAPA]],"")</f>
        <v/>
      </c>
      <c r="CU143" s="21" t="str">
        <f>IF([1]!BANCO10[[#This Row],[SOLUÇÃO]]=CU$1,[1]!BANCO10[[#This Row],[STATUS DA ETAPA]],"")</f>
        <v/>
      </c>
      <c r="CV143" s="21" t="str">
        <f>IF([1]!BANCO10[[#This Row],[SOLUÇÃO]]=CV$1,[1]!BANCO10[[#This Row],[STATUS DA ETAPA]],"")</f>
        <v/>
      </c>
    </row>
    <row r="144" spans="1:100">
      <c r="A144" s="44" t="s">
        <v>1</v>
      </c>
      <c r="B144" s="44"/>
      <c r="C144" s="44" t="s">
        <v>1</v>
      </c>
      <c r="D144" s="44"/>
      <c r="E144" s="44" t="s">
        <v>1</v>
      </c>
      <c r="F144" s="44"/>
      <c r="G144" s="44" t="s">
        <v>1</v>
      </c>
      <c r="H144" s="44"/>
      <c r="I144" s="45" t="s">
        <v>1</v>
      </c>
      <c r="J144" s="46"/>
      <c r="K144" s="45" t="s">
        <v>1</v>
      </c>
      <c r="L144" s="33"/>
      <c r="M144" s="45" t="s">
        <v>1</v>
      </c>
      <c r="N144" s="33"/>
      <c r="O144" s="44" t="s">
        <v>2</v>
      </c>
      <c r="P144" s="44">
        <v>45009</v>
      </c>
      <c r="Q144" s="44" t="s">
        <v>2</v>
      </c>
      <c r="R144" s="44">
        <v>45160</v>
      </c>
      <c r="S144" s="44" t="s">
        <v>2</v>
      </c>
      <c r="T144" s="44"/>
      <c r="U144" s="44" t="s">
        <v>2</v>
      </c>
      <c r="V144" s="44"/>
      <c r="W144" s="44"/>
      <c r="X144" s="44"/>
      <c r="Y144" s="44"/>
      <c r="Z144" s="44"/>
      <c r="AA144" s="44" t="s">
        <v>1</v>
      </c>
      <c r="AB144" s="44"/>
      <c r="AC144" s="51">
        <v>45963</v>
      </c>
      <c r="AD144" s="50">
        <v>45963</v>
      </c>
      <c r="AE144" s="41" t="s">
        <v>1</v>
      </c>
      <c r="AF144" s="41" t="s">
        <v>1</v>
      </c>
      <c r="AG144" s="76" t="s">
        <v>5</v>
      </c>
      <c r="AH144" s="36" t="s">
        <v>0</v>
      </c>
      <c r="AI144" s="49">
        <v>0</v>
      </c>
      <c r="AJ144" s="36"/>
      <c r="AK144" s="10" t="s">
        <v>30</v>
      </c>
      <c r="AL144" s="36" t="s">
        <v>30</v>
      </c>
      <c r="AM144" s="36" t="s">
        <v>30</v>
      </c>
      <c r="AN144" s="35" t="s">
        <v>1</v>
      </c>
      <c r="AO144" s="35" t="s">
        <v>1</v>
      </c>
      <c r="AP144" s="35"/>
      <c r="AQ144" s="35" t="s">
        <v>1</v>
      </c>
      <c r="AR144" s="34" t="s">
        <v>1</v>
      </c>
      <c r="AS144" s="33"/>
      <c r="AT144" s="32"/>
      <c r="AU144" s="31"/>
      <c r="AV144" s="32"/>
      <c r="AW144" s="31"/>
      <c r="AX144" s="30" t="s">
        <v>0</v>
      </c>
      <c r="AY144" s="29"/>
      <c r="AZ144" s="28" t="s">
        <v>0</v>
      </c>
      <c r="BA144" s="27"/>
      <c r="BB144" s="74" t="s">
        <v>738</v>
      </c>
      <c r="BC144" s="25"/>
      <c r="BD144" s="24" t="s">
        <v>19</v>
      </c>
      <c r="BE144" s="24" t="s">
        <v>19</v>
      </c>
      <c r="BF144" s="24" t="s">
        <v>51</v>
      </c>
      <c r="BG144" s="24" t="s">
        <v>11</v>
      </c>
      <c r="BH144" s="130" t="s">
        <v>19</v>
      </c>
      <c r="BI144" s="24"/>
      <c r="BJ144" s="24" t="s">
        <v>11</v>
      </c>
      <c r="BK144" s="24" t="s">
        <v>11</v>
      </c>
      <c r="BL144" s="24">
        <v>45393</v>
      </c>
      <c r="BM144" s="24"/>
      <c r="BN144" s="24" t="s">
        <v>11</v>
      </c>
      <c r="BO144" s="24"/>
      <c r="BP144" s="24" t="s">
        <v>178</v>
      </c>
      <c r="BQ144" s="22">
        <f>YEAR([1]!BANCO10[[#This Row],[DATA INÍCIO]])</f>
        <v>2025</v>
      </c>
      <c r="BR144" s="22">
        <f>MONTH([1]!BANCO10[[#This Row],[DATA INÍCIO]])</f>
        <v>11</v>
      </c>
      <c r="BS144" s="129" t="e">
        <f>CONCATENATE(#REF!,#REF!)</f>
        <v>#REF!</v>
      </c>
      <c r="BT144" s="22"/>
      <c r="BU144" s="21" t="s">
        <v>30</v>
      </c>
      <c r="BV144" s="21" t="str">
        <f>IF([1]!BANCO10[[#This Row],[SOLUÇÃO]]=BV$1,[1]!BANCO10[[#This Row],[STATUS DA ETAPA]],"")</f>
        <v/>
      </c>
      <c r="BW144" s="21" t="str">
        <f>IF([1]!BANCO10[[#This Row],[SOLUÇÃO]]=BW$1,[1]!BANCO10[[#This Row],[STATUS DA ETAPA]],"")</f>
        <v/>
      </c>
      <c r="BX144" s="21" t="str">
        <f>IF([1]!BANCO10[[#This Row],[SOLUÇÃO]]=BX$1,[1]!BANCO10[[#This Row],[STATUS DA ETAPA]],"")</f>
        <v/>
      </c>
      <c r="BY144" s="21" t="str">
        <f>IF([1]!BANCO10[[#This Row],[SOLUÇÃO]]=BY$1,[1]!BANCO10[[#This Row],[STATUS DA ETAPA]],"")</f>
        <v/>
      </c>
      <c r="BZ144" s="21" t="str">
        <f>IF([1]!BANCO10[[#This Row],[SOLUÇÃO]]=BZ$1,[1]!BANCO10[[#This Row],[STATUS DA ETAPA]],"")</f>
        <v/>
      </c>
      <c r="CA144" s="21" t="str">
        <f>IF([1]!BANCO10[[#This Row],[SOLUÇÃO]]=CA$1,[1]!BANCO10[[#This Row],[STATUS DA ETAPA]],"")</f>
        <v>PROSPECÇÃO</v>
      </c>
      <c r="CB144" s="21" t="str">
        <f>IF([1]!BANCO10[[#This Row],[SOLUÇÃO]]=CB$1,[1]!BANCO10[[#This Row],[STATUS DA ETAPA]],"")</f>
        <v/>
      </c>
      <c r="CC144" s="21" t="str">
        <f>IF([1]!BANCO10[[#This Row],[SOLUÇÃO]]=CC$1,[1]!BANCO10[[#This Row],[STATUS DA ETAPA]],"")</f>
        <v/>
      </c>
      <c r="CD144" s="21" t="str">
        <f>IF([1]!BANCO10[[#This Row],[SOLUÇÃO]]=CD$1,[1]!BANCO10[[#This Row],[STATUS DA ETAPA]],"")</f>
        <v/>
      </c>
      <c r="CE144" s="21" t="str">
        <f>IF([1]!BANCO10[[#This Row],[SOLUÇÃO]]=CE$1,[1]!BANCO10[[#This Row],[STATUS DA ETAPA]],"")</f>
        <v/>
      </c>
      <c r="CF144" s="21" t="str">
        <f>IF([1]!BANCO10[[#This Row],[SOLUÇÃO]]=CF$1,[1]!BANCO10[[#This Row],[STATUS DA ETAPA]],"")</f>
        <v/>
      </c>
      <c r="CG144" s="21" t="str">
        <f>IF([1]!BANCO10[[#This Row],[SOLUÇÃO]]=CG$1,[1]!BANCO10[[#This Row],[STATUS DA ETAPA]],"")</f>
        <v/>
      </c>
      <c r="CH144" s="21" t="str">
        <f>IF([1]!BANCO10[[#This Row],[SOLUÇÃO]]=CH$1,[1]!BANCO10[[#This Row],[STATUS DA ETAPA]],"")</f>
        <v/>
      </c>
      <c r="CI144" s="21" t="str">
        <f>IF([1]!BANCO10[[#This Row],[SOLUÇÃO]]=CI$1,[1]!BANCO10[[#This Row],[STATUS DA ETAPA]],"")</f>
        <v/>
      </c>
      <c r="CJ144" s="21" t="str">
        <f>IF([1]!BANCO10[[#This Row],[SOLUÇÃO]]=CJ$1,[1]!BANCO10[[#This Row],[STATUS DA ETAPA]],"")</f>
        <v/>
      </c>
      <c r="CK144" s="21" t="str">
        <f>IF([1]!BANCO10[[#This Row],[SOLUÇÃO]]=CK$1,[1]!BANCO10[[#This Row],[STATUS DA ETAPA]],"")</f>
        <v/>
      </c>
      <c r="CL144" s="21" t="str">
        <f>IF([1]!BANCO10[[#This Row],[SOLUÇÃO]]=CL$1,[1]!BANCO10[[#This Row],[STATUS DA ETAPA]],"")</f>
        <v/>
      </c>
      <c r="CM144" s="21" t="str">
        <f>IF([1]!BANCO10[[#This Row],[SOLUÇÃO]]=CM$1,[1]!BANCO10[[#This Row],[STATUS DA ETAPA]],"")</f>
        <v/>
      </c>
      <c r="CN144" s="21" t="str">
        <f>IF([1]!BANCO10[[#This Row],[SOLUÇÃO]]=CN$1,[1]!BANCO10[[#This Row],[STATUS DA ETAPA]],"")</f>
        <v/>
      </c>
      <c r="CO144" s="21" t="str">
        <f>IF([1]!BANCO10[[#This Row],[SOLUÇÃO]]=CO$1,[1]!BANCO10[[#This Row],[STATUS DA ETAPA]],"")</f>
        <v/>
      </c>
      <c r="CP144" s="21" t="str">
        <f>IF([1]!BANCO10[[#This Row],[SOLUÇÃO]]=CP$1,[1]!BANCO10[[#This Row],[STATUS DA ETAPA]],"")</f>
        <v/>
      </c>
      <c r="CQ144" s="21" t="str">
        <f>IF([1]!BANCO10[[#This Row],[SOLUÇÃO]]=CQ$1,[1]!BANCO10[[#This Row],[STATUS DA ETAPA]],"")</f>
        <v/>
      </c>
      <c r="CR144" s="21" t="str">
        <f>IF([1]!BANCO10[[#This Row],[SOLUÇÃO]]=CR$1,[1]!BANCO10[[#This Row],[STATUS DA ETAPA]],"")</f>
        <v/>
      </c>
      <c r="CS144" s="21" t="str">
        <f>IF([1]!BANCO10[[#This Row],[SOLUÇÃO]]=CS$1,[1]!BANCO10[[#This Row],[STATUS DA ETAPA]],"")</f>
        <v/>
      </c>
      <c r="CT144" s="21" t="str">
        <f>IF([1]!BANCO10[[#This Row],[SOLUÇÃO]]=CT$1,[1]!BANCO10[[#This Row],[STATUS DA ETAPA]],"")</f>
        <v/>
      </c>
      <c r="CU144" s="21" t="str">
        <f>IF([1]!BANCO10[[#This Row],[SOLUÇÃO]]=CU$1,[1]!BANCO10[[#This Row],[STATUS DA ETAPA]],"")</f>
        <v/>
      </c>
      <c r="CV144" s="21" t="str">
        <f>IF([1]!BANCO10[[#This Row],[SOLUÇÃO]]=CV$1,[1]!BANCO10[[#This Row],[STATUS DA ETAPA]],"")</f>
        <v/>
      </c>
    </row>
    <row r="145" spans="1:100">
      <c r="A145" s="44"/>
      <c r="B145" s="44"/>
      <c r="C145" s="44"/>
      <c r="D145" s="44"/>
      <c r="E145" s="44"/>
      <c r="F145" s="44"/>
      <c r="G145" s="44"/>
      <c r="H145" s="44"/>
      <c r="I145" s="45"/>
      <c r="J145" s="46"/>
      <c r="K145" s="45"/>
      <c r="L145" s="33"/>
      <c r="M145" s="45"/>
      <c r="N145" s="33"/>
      <c r="O145" s="44" t="s">
        <v>1</v>
      </c>
      <c r="P145" s="44"/>
      <c r="Q145" s="44" t="s">
        <v>1</v>
      </c>
      <c r="R145" s="44"/>
      <c r="S145" s="44" t="s">
        <v>1</v>
      </c>
      <c r="T145" s="44"/>
      <c r="U145" s="44" t="s">
        <v>1</v>
      </c>
      <c r="V145" s="44"/>
      <c r="W145" s="44" t="s">
        <v>1</v>
      </c>
      <c r="X145" s="44"/>
      <c r="Y145" s="44" t="s">
        <v>1</v>
      </c>
      <c r="Z145" s="44"/>
      <c r="AA145" s="44" t="s">
        <v>1</v>
      </c>
      <c r="AB145" s="44"/>
      <c r="AC145" s="51"/>
      <c r="AD145" s="50"/>
      <c r="AE145" s="41" t="s">
        <v>0</v>
      </c>
      <c r="AF145" s="41" t="s">
        <v>0</v>
      </c>
      <c r="AG145" s="40" t="s">
        <v>5</v>
      </c>
      <c r="AH145" s="36" t="s">
        <v>0</v>
      </c>
      <c r="AI145" s="49">
        <v>0</v>
      </c>
      <c r="AJ145" s="36" t="s">
        <v>1</v>
      </c>
      <c r="AK145" s="10" t="s">
        <v>1</v>
      </c>
      <c r="AL145" s="36" t="s">
        <v>1</v>
      </c>
      <c r="AM145" s="36" t="s">
        <v>1</v>
      </c>
      <c r="AN145" s="35" t="s">
        <v>1</v>
      </c>
      <c r="AO145" s="35" t="s">
        <v>1</v>
      </c>
      <c r="AP145" s="35" t="s">
        <v>1</v>
      </c>
      <c r="AQ145" s="35" t="s">
        <v>1</v>
      </c>
      <c r="AR145" s="34" t="s">
        <v>0</v>
      </c>
      <c r="AS145" s="33"/>
      <c r="AT145" s="30" t="s">
        <v>0</v>
      </c>
      <c r="AU145" s="31"/>
      <c r="AV145" s="30" t="s">
        <v>0</v>
      </c>
      <c r="AW145" s="31"/>
      <c r="AX145" s="30" t="s">
        <v>0</v>
      </c>
      <c r="AY145" s="29"/>
      <c r="AZ145" s="28" t="s">
        <v>0</v>
      </c>
      <c r="BA145" s="27"/>
      <c r="BB145" s="26"/>
      <c r="BC145" s="25"/>
      <c r="BD145" s="24"/>
      <c r="BE145" s="24"/>
      <c r="BF145" s="24"/>
      <c r="BG145" s="24"/>
      <c r="BH145" s="24"/>
      <c r="BI145" s="24"/>
      <c r="BJ145" s="24"/>
      <c r="BK145" s="24"/>
      <c r="BL145" s="24"/>
      <c r="BM145" s="24"/>
      <c r="BN145" s="24"/>
      <c r="BO145" s="24"/>
      <c r="BP145" s="24"/>
      <c r="BQ145" s="22">
        <f>YEAR([1]!BANCO10[[#This Row],[DATA INÍCIO]])</f>
        <v>1900</v>
      </c>
      <c r="BR145" s="22">
        <f>MONTH([1]!BANCO10[[#This Row],[DATA INÍCIO]])</f>
        <v>1</v>
      </c>
      <c r="BS145" s="23" t="e">
        <f>CONCATENATE(#REF!,#REF!)</f>
        <v>#REF!</v>
      </c>
      <c r="BT145" s="22"/>
      <c r="BU145" s="22"/>
      <c r="BV145" s="21" t="str">
        <f>IF([1]!BANCO10[[#This Row],[SOLUÇÃO]]=BV$1,[1]!BANCO10[[#This Row],[STATUS DA ETAPA]],"")</f>
        <v/>
      </c>
      <c r="BW145" s="21" t="str">
        <f>IF([1]!BANCO10[[#This Row],[SOLUÇÃO]]=BW$1,[1]!BANCO10[[#This Row],[STATUS DA ETAPA]],"")</f>
        <v/>
      </c>
      <c r="BX145" s="21" t="str">
        <f>IF([1]!BANCO10[[#This Row],[SOLUÇÃO]]=BX$1,[1]!BANCO10[[#This Row],[STATUS DA ETAPA]],"")</f>
        <v/>
      </c>
      <c r="BY145" s="21" t="str">
        <f>IF([1]!BANCO10[[#This Row],[SOLUÇÃO]]=BY$1,[1]!BANCO10[[#This Row],[STATUS DA ETAPA]],"")</f>
        <v/>
      </c>
      <c r="BZ145" s="21" t="str">
        <f>IF([1]!BANCO10[[#This Row],[SOLUÇÃO]]=BZ$1,[1]!BANCO10[[#This Row],[STATUS DA ETAPA]],"")</f>
        <v/>
      </c>
      <c r="CA145" s="21" t="str">
        <f>IF([1]!BANCO10[[#This Row],[SOLUÇÃO]]=CA$1,[1]!BANCO10[[#This Row],[STATUS DA ETAPA]],"")</f>
        <v/>
      </c>
      <c r="CB145" s="21" t="str">
        <f>IF([1]!BANCO10[[#This Row],[SOLUÇÃO]]=CB$1,[1]!BANCO10[[#This Row],[STATUS DA ETAPA]],"")</f>
        <v/>
      </c>
      <c r="CC145" s="21" t="str">
        <f>IF([1]!BANCO10[[#This Row],[SOLUÇÃO]]=CC$1,[1]!BANCO10[[#This Row],[STATUS DA ETAPA]],"")</f>
        <v/>
      </c>
      <c r="CD145" s="21" t="str">
        <f>IF([1]!BANCO10[[#This Row],[SOLUÇÃO]]=CD$1,[1]!BANCO10[[#This Row],[STATUS DA ETAPA]],"")</f>
        <v/>
      </c>
      <c r="CE145" s="21" t="str">
        <f>IF([1]!BANCO10[[#This Row],[SOLUÇÃO]]=CE$1,[1]!BANCO10[[#This Row],[STATUS DA ETAPA]],"")</f>
        <v/>
      </c>
      <c r="CF145" s="21" t="str">
        <f>IF([1]!BANCO10[[#This Row],[SOLUÇÃO]]=CF$1,[1]!BANCO10[[#This Row],[STATUS DA ETAPA]],"")</f>
        <v/>
      </c>
      <c r="CG145" s="21" t="str">
        <f>IF([1]!BANCO10[[#This Row],[SOLUÇÃO]]=CG$1,[1]!BANCO10[[#This Row],[STATUS DA ETAPA]],"")</f>
        <v/>
      </c>
      <c r="CH145" s="21" t="str">
        <f>IF([1]!BANCO10[[#This Row],[SOLUÇÃO]]=CH$1,[1]!BANCO10[[#This Row],[STATUS DA ETAPA]],"")</f>
        <v/>
      </c>
      <c r="CI145" s="21" t="str">
        <f>IF([1]!BANCO10[[#This Row],[SOLUÇÃO]]=CI$1,[1]!BANCO10[[#This Row],[STATUS DA ETAPA]],"")</f>
        <v/>
      </c>
      <c r="CJ145" s="21" t="str">
        <f>IF([1]!BANCO10[[#This Row],[SOLUÇÃO]]=CJ$1,[1]!BANCO10[[#This Row],[STATUS DA ETAPA]],"")</f>
        <v/>
      </c>
      <c r="CK145" s="21" t="str">
        <f>IF([1]!BANCO10[[#This Row],[SOLUÇÃO]]=CK$1,[1]!BANCO10[[#This Row],[STATUS DA ETAPA]],"")</f>
        <v/>
      </c>
      <c r="CL145" s="21" t="str">
        <f>IF([1]!BANCO10[[#This Row],[SOLUÇÃO]]=CL$1,[1]!BANCO10[[#This Row],[STATUS DA ETAPA]],"")</f>
        <v/>
      </c>
      <c r="CM145" s="21" t="str">
        <f>IF([1]!BANCO10[[#This Row],[SOLUÇÃO]]=CM$1,[1]!BANCO10[[#This Row],[STATUS DA ETAPA]],"")</f>
        <v/>
      </c>
      <c r="CN145" s="21" t="str">
        <f>IF([1]!BANCO10[[#This Row],[SOLUÇÃO]]=CN$1,[1]!BANCO10[[#This Row],[STATUS DA ETAPA]],"")</f>
        <v/>
      </c>
      <c r="CO145" s="21" t="str">
        <f>IF([1]!BANCO10[[#This Row],[SOLUÇÃO]]=CO$1,[1]!BANCO10[[#This Row],[STATUS DA ETAPA]],"")</f>
        <v/>
      </c>
      <c r="CP145" s="21" t="str">
        <f>IF([1]!BANCO10[[#This Row],[SOLUÇÃO]]=CP$1,[1]!BANCO10[[#This Row],[STATUS DA ETAPA]],"")</f>
        <v/>
      </c>
      <c r="CQ145" s="21" t="str">
        <f>IF([1]!BANCO10[[#This Row],[SOLUÇÃO]]=CQ$1,[1]!BANCO10[[#This Row],[STATUS DA ETAPA]],"")</f>
        <v/>
      </c>
      <c r="CR145" s="21" t="str">
        <f>IF([1]!BANCO10[[#This Row],[SOLUÇÃO]]=CR$1,[1]!BANCO10[[#This Row],[STATUS DA ETAPA]],"")</f>
        <v/>
      </c>
      <c r="CS145" s="21" t="str">
        <f>IF([1]!BANCO10[[#This Row],[SOLUÇÃO]]=CS$1,[1]!BANCO10[[#This Row],[STATUS DA ETAPA]],"")</f>
        <v/>
      </c>
      <c r="CT145" s="21" t="str">
        <f>IF([1]!BANCO10[[#This Row],[SOLUÇÃO]]=CT$1,[1]!BANCO10[[#This Row],[STATUS DA ETAPA]],"")</f>
        <v/>
      </c>
      <c r="CU145" s="21" t="str">
        <f>IF([1]!BANCO10[[#This Row],[SOLUÇÃO]]=CU$1,[1]!BANCO10[[#This Row],[STATUS DA ETAPA]],"")</f>
        <v/>
      </c>
      <c r="CV145" s="21" t="str">
        <f>IF([1]!BANCO10[[#This Row],[SOLUÇÃO]]=CV$1,[1]!BANCO10[[#This Row],[STATUS DA ETAPA]],"")</f>
        <v/>
      </c>
    </row>
    <row r="146" spans="1:100">
      <c r="A146" s="44" t="s">
        <v>1</v>
      </c>
      <c r="B146" s="44"/>
      <c r="C146" s="44" t="s">
        <v>1</v>
      </c>
      <c r="D146" s="44"/>
      <c r="E146" s="44" t="s">
        <v>1</v>
      </c>
      <c r="F146" s="44"/>
      <c r="G146" s="44" t="s">
        <v>1</v>
      </c>
      <c r="H146" s="44"/>
      <c r="I146" s="45" t="s">
        <v>1</v>
      </c>
      <c r="J146" s="46"/>
      <c r="K146" s="45" t="s">
        <v>1</v>
      </c>
      <c r="L146" s="33"/>
      <c r="M146" s="45" t="s">
        <v>1</v>
      </c>
      <c r="N146" s="33"/>
      <c r="O146" s="44" t="s">
        <v>1</v>
      </c>
      <c r="P146" s="44"/>
      <c r="Q146" s="44" t="s">
        <v>1</v>
      </c>
      <c r="R146" s="44"/>
      <c r="S146" s="44" t="s">
        <v>1</v>
      </c>
      <c r="T146" s="44"/>
      <c r="U146" s="44" t="s">
        <v>1</v>
      </c>
      <c r="V146" s="44"/>
      <c r="W146" s="44" t="s">
        <v>1</v>
      </c>
      <c r="X146" s="44"/>
      <c r="Y146" s="44" t="s">
        <v>1</v>
      </c>
      <c r="Z146" s="44"/>
      <c r="AA146" s="44" t="s">
        <v>1</v>
      </c>
      <c r="AB146" s="44"/>
      <c r="AC146" s="51">
        <v>45888</v>
      </c>
      <c r="AD146" s="50">
        <v>45888</v>
      </c>
      <c r="AE146" s="41" t="s">
        <v>1</v>
      </c>
      <c r="AF146" s="41" t="s">
        <v>1</v>
      </c>
      <c r="AG146" s="40" t="s">
        <v>5</v>
      </c>
      <c r="AH146" s="36" t="s">
        <v>1</v>
      </c>
      <c r="AI146" s="49">
        <v>0</v>
      </c>
      <c r="AJ146" s="36" t="s">
        <v>1</v>
      </c>
      <c r="AK146" s="10"/>
      <c r="AL146" s="36"/>
      <c r="AM146" s="36"/>
      <c r="AN146" s="35" t="s">
        <v>1</v>
      </c>
      <c r="AO146" s="35" t="s">
        <v>1</v>
      </c>
      <c r="AP146" s="35" t="s">
        <v>1</v>
      </c>
      <c r="AQ146" s="35" t="s">
        <v>1</v>
      </c>
      <c r="AR146" s="34" t="s">
        <v>1</v>
      </c>
      <c r="AS146" s="33"/>
      <c r="AT146" s="32" t="s">
        <v>0</v>
      </c>
      <c r="AU146" s="31"/>
      <c r="AV146" s="32" t="s">
        <v>0</v>
      </c>
      <c r="AW146" s="31"/>
      <c r="AX146" s="30" t="s">
        <v>0</v>
      </c>
      <c r="AY146" s="29"/>
      <c r="AZ146" s="28" t="s">
        <v>0</v>
      </c>
      <c r="BA146" s="27"/>
      <c r="BB146" s="74"/>
      <c r="BC146" s="25"/>
      <c r="BD146" s="24"/>
      <c r="BE146" s="24"/>
      <c r="BF146" s="24"/>
      <c r="BG146" s="24"/>
      <c r="BH146" s="24"/>
      <c r="BI146" s="24"/>
      <c r="BJ146" s="24"/>
      <c r="BK146" s="24"/>
      <c r="BL146" s="24"/>
      <c r="BM146" s="24"/>
      <c r="BN146" s="24"/>
      <c r="BO146" s="24"/>
      <c r="BP146" s="24"/>
      <c r="BQ146" s="22">
        <f>YEAR([1]!BANCO10[[#This Row],[DATA INÍCIO]])</f>
        <v>2025</v>
      </c>
      <c r="BR146" s="22">
        <f>MONTH([1]!BANCO10[[#This Row],[DATA INÍCIO]])</f>
        <v>8</v>
      </c>
      <c r="BS146" s="23" t="e">
        <f>CONCATENATE(#REF!,#REF!)</f>
        <v>#REF!</v>
      </c>
      <c r="BT146" s="22"/>
      <c r="BU146" s="22"/>
      <c r="BV146" s="21" t="str">
        <f>IF([1]!BANCO10[[#This Row],[SOLUÇÃO]]=BV$1,[1]!BANCO10[[#This Row],[STATUS DA ETAPA]],"")</f>
        <v>CONCLUÍDO</v>
      </c>
      <c r="BW146" s="21" t="str">
        <f>IF([1]!BANCO10[[#This Row],[SOLUÇÃO]]=BW$1,[1]!BANCO10[[#This Row],[STATUS DA ETAPA]],"")</f>
        <v/>
      </c>
      <c r="BX146" s="21" t="str">
        <f>IF([1]!BANCO10[[#This Row],[SOLUÇÃO]]=BX$1,[1]!BANCO10[[#This Row],[STATUS DA ETAPA]],"")</f>
        <v/>
      </c>
      <c r="BY146" s="21" t="str">
        <f>IF([1]!BANCO10[[#This Row],[SOLUÇÃO]]=BY$1,[1]!BANCO10[[#This Row],[STATUS DA ETAPA]],"")</f>
        <v/>
      </c>
      <c r="BZ146" s="21" t="str">
        <f>IF([1]!BANCO10[[#This Row],[SOLUÇÃO]]=BZ$1,[1]!BANCO10[[#This Row],[STATUS DA ETAPA]],"")</f>
        <v/>
      </c>
      <c r="CA146" s="21" t="str">
        <f>IF([1]!BANCO10[[#This Row],[SOLUÇÃO]]=CA$1,[1]!BANCO10[[#This Row],[STATUS DA ETAPA]],"")</f>
        <v/>
      </c>
      <c r="CB146" s="21" t="str">
        <f>IF([1]!BANCO10[[#This Row],[SOLUÇÃO]]=CB$1,[1]!BANCO10[[#This Row],[STATUS DA ETAPA]],"")</f>
        <v/>
      </c>
      <c r="CC146" s="21" t="str">
        <f>IF([1]!BANCO10[[#This Row],[SOLUÇÃO]]=CC$1,[1]!BANCO10[[#This Row],[STATUS DA ETAPA]],"")</f>
        <v/>
      </c>
      <c r="CD146" s="21" t="str">
        <f>IF([1]!BANCO10[[#This Row],[SOLUÇÃO]]=CD$1,[1]!BANCO10[[#This Row],[STATUS DA ETAPA]],"")</f>
        <v/>
      </c>
      <c r="CE146" s="21" t="str">
        <f>IF([1]!BANCO10[[#This Row],[SOLUÇÃO]]=CE$1,[1]!BANCO10[[#This Row],[STATUS DA ETAPA]],"")</f>
        <v/>
      </c>
      <c r="CF146" s="21" t="str">
        <f>IF([1]!BANCO10[[#This Row],[SOLUÇÃO]]=CF$1,[1]!BANCO10[[#This Row],[STATUS DA ETAPA]],"")</f>
        <v/>
      </c>
      <c r="CG146" s="21" t="str">
        <f>IF([1]!BANCO10[[#This Row],[SOLUÇÃO]]=CG$1,[1]!BANCO10[[#This Row],[STATUS DA ETAPA]],"")</f>
        <v/>
      </c>
      <c r="CH146" s="21" t="str">
        <f>IF([1]!BANCO10[[#This Row],[SOLUÇÃO]]=CH$1,[1]!BANCO10[[#This Row],[STATUS DA ETAPA]],"")</f>
        <v/>
      </c>
      <c r="CI146" s="21" t="str">
        <f>IF([1]!BANCO10[[#This Row],[SOLUÇÃO]]=CI$1,[1]!BANCO10[[#This Row],[STATUS DA ETAPA]],"")</f>
        <v/>
      </c>
      <c r="CJ146" s="21" t="str">
        <f>IF([1]!BANCO10[[#This Row],[SOLUÇÃO]]=CJ$1,[1]!BANCO10[[#This Row],[STATUS DA ETAPA]],"")</f>
        <v/>
      </c>
      <c r="CK146" s="21" t="str">
        <f>IF([1]!BANCO10[[#This Row],[SOLUÇÃO]]=CK$1,[1]!BANCO10[[#This Row],[STATUS DA ETAPA]],"")</f>
        <v/>
      </c>
      <c r="CL146" s="21" t="str">
        <f>IF([1]!BANCO10[[#This Row],[SOLUÇÃO]]=CL$1,[1]!BANCO10[[#This Row],[STATUS DA ETAPA]],"")</f>
        <v/>
      </c>
      <c r="CM146" s="21" t="str">
        <f>IF([1]!BANCO10[[#This Row],[SOLUÇÃO]]=CM$1,[1]!BANCO10[[#This Row],[STATUS DA ETAPA]],"")</f>
        <v/>
      </c>
      <c r="CN146" s="21" t="str">
        <f>IF([1]!BANCO10[[#This Row],[SOLUÇÃO]]=CN$1,[1]!BANCO10[[#This Row],[STATUS DA ETAPA]],"")</f>
        <v/>
      </c>
      <c r="CO146" s="21" t="str">
        <f>IF([1]!BANCO10[[#This Row],[SOLUÇÃO]]=CO$1,[1]!BANCO10[[#This Row],[STATUS DA ETAPA]],"")</f>
        <v/>
      </c>
      <c r="CP146" s="21" t="str">
        <f>IF([1]!BANCO10[[#This Row],[SOLUÇÃO]]=CP$1,[1]!BANCO10[[#This Row],[STATUS DA ETAPA]],"")</f>
        <v/>
      </c>
      <c r="CQ146" s="21" t="str">
        <f>IF([1]!BANCO10[[#This Row],[SOLUÇÃO]]=CQ$1,[1]!BANCO10[[#This Row],[STATUS DA ETAPA]],"")</f>
        <v/>
      </c>
      <c r="CR146" s="21" t="str">
        <f>IF([1]!BANCO10[[#This Row],[SOLUÇÃO]]=CR$1,[1]!BANCO10[[#This Row],[STATUS DA ETAPA]],"")</f>
        <v/>
      </c>
      <c r="CS146" s="21" t="str">
        <f>IF([1]!BANCO10[[#This Row],[SOLUÇÃO]]=CS$1,[1]!BANCO10[[#This Row],[STATUS DA ETAPA]],"")</f>
        <v/>
      </c>
      <c r="CT146" s="21" t="str">
        <f>IF([1]!BANCO10[[#This Row],[SOLUÇÃO]]=CT$1,[1]!BANCO10[[#This Row],[STATUS DA ETAPA]],"")</f>
        <v/>
      </c>
      <c r="CU146" s="21" t="str">
        <f>IF([1]!BANCO10[[#This Row],[SOLUÇÃO]]=CU$1,[1]!BANCO10[[#This Row],[STATUS DA ETAPA]],"")</f>
        <v/>
      </c>
      <c r="CV146" s="21" t="str">
        <f>IF([1]!BANCO10[[#This Row],[SOLUÇÃO]]=CV$1,[1]!BANCO10[[#This Row],[STATUS DA ETAPA]],"")</f>
        <v/>
      </c>
    </row>
    <row r="147" spans="1:100">
      <c r="A147" s="44" t="s">
        <v>1</v>
      </c>
      <c r="B147" s="44"/>
      <c r="C147" s="44" t="s">
        <v>1</v>
      </c>
      <c r="D147" s="44"/>
      <c r="E147" s="44" t="s">
        <v>1</v>
      </c>
      <c r="F147" s="44"/>
      <c r="G147" s="44" t="s">
        <v>1</v>
      </c>
      <c r="H147" s="44"/>
      <c r="I147" s="45" t="s">
        <v>1</v>
      </c>
      <c r="J147" s="46"/>
      <c r="K147" s="45" t="s">
        <v>1</v>
      </c>
      <c r="L147" s="33"/>
      <c r="M147" s="45" t="s">
        <v>1</v>
      </c>
      <c r="N147" s="33"/>
      <c r="O147" s="44" t="s">
        <v>2</v>
      </c>
      <c r="P147" s="44">
        <v>44741</v>
      </c>
      <c r="Q147" s="44" t="s">
        <v>0</v>
      </c>
      <c r="R147" s="44"/>
      <c r="S147" s="44" t="s">
        <v>1</v>
      </c>
      <c r="T147" s="44"/>
      <c r="U147" s="44" t="s">
        <v>1</v>
      </c>
      <c r="V147" s="44"/>
      <c r="W147" s="44" t="s">
        <v>1</v>
      </c>
      <c r="X147" s="44"/>
      <c r="Y147" s="44" t="s">
        <v>1</v>
      </c>
      <c r="Z147" s="44"/>
      <c r="AA147" s="44" t="s">
        <v>1</v>
      </c>
      <c r="AB147" s="44"/>
      <c r="AC147" s="51">
        <v>44926</v>
      </c>
      <c r="AD147" s="50">
        <v>44926</v>
      </c>
      <c r="AE147" s="40" t="s">
        <v>1</v>
      </c>
      <c r="AF147" s="40" t="s">
        <v>1</v>
      </c>
      <c r="AG147" s="76" t="s">
        <v>5</v>
      </c>
      <c r="AH147" s="36" t="s">
        <v>1</v>
      </c>
      <c r="AI147" s="49">
        <v>0</v>
      </c>
      <c r="AJ147" s="36" t="s">
        <v>1</v>
      </c>
      <c r="AK147" s="10" t="s">
        <v>1</v>
      </c>
      <c r="AL147" s="36" t="s">
        <v>1</v>
      </c>
      <c r="AM147" s="36" t="s">
        <v>1</v>
      </c>
      <c r="AN147" s="35" t="s">
        <v>1</v>
      </c>
      <c r="AO147" s="35" t="s">
        <v>1</v>
      </c>
      <c r="AP147" s="35" t="s">
        <v>1</v>
      </c>
      <c r="AQ147" s="35" t="s">
        <v>1</v>
      </c>
      <c r="AR147" s="82" t="s">
        <v>1</v>
      </c>
      <c r="AS147" s="33"/>
      <c r="AT147" s="32" t="s">
        <v>1</v>
      </c>
      <c r="AU147" s="31"/>
      <c r="AV147" s="32" t="s">
        <v>1</v>
      </c>
      <c r="AW147" s="31"/>
      <c r="AX147" s="30" t="s">
        <v>1</v>
      </c>
      <c r="AY147" s="55"/>
      <c r="AZ147" s="30" t="s">
        <v>1</v>
      </c>
      <c r="BA147" s="55"/>
      <c r="BB147" s="74"/>
      <c r="BC147" s="25"/>
      <c r="BD147" s="24" t="s">
        <v>11</v>
      </c>
      <c r="BE147" s="24" t="s">
        <v>11</v>
      </c>
      <c r="BF147" s="24" t="s">
        <v>88</v>
      </c>
      <c r="BG147" s="24" t="s">
        <v>21</v>
      </c>
      <c r="BH147" s="130" t="s">
        <v>63</v>
      </c>
      <c r="BI147" s="24"/>
      <c r="BJ147" s="24" t="s">
        <v>11</v>
      </c>
      <c r="BK147" s="24" t="s">
        <v>11</v>
      </c>
      <c r="BL147" s="24" t="s">
        <v>11</v>
      </c>
      <c r="BM147" s="24" t="s">
        <v>11</v>
      </c>
      <c r="BN147" s="24" t="s">
        <v>11</v>
      </c>
      <c r="BO147" s="24" t="s">
        <v>11</v>
      </c>
      <c r="BP147" s="24" t="s">
        <v>11</v>
      </c>
      <c r="BQ147" s="22">
        <f>YEAR([1]!BANCO10[[#This Row],[DATA INÍCIO]])</f>
        <v>2022</v>
      </c>
      <c r="BR147" s="22">
        <f>MONTH([1]!BANCO10[[#This Row],[DATA INÍCIO]])</f>
        <v>12</v>
      </c>
      <c r="BS147" s="129" t="e">
        <f>CONCATENATE(#REF!,#REF!)</f>
        <v>#REF!</v>
      </c>
      <c r="BT147" s="22"/>
      <c r="BU147" s="21" t="s">
        <v>737</v>
      </c>
      <c r="BV147" s="21" t="str">
        <f>IF([1]!BANCO10[[#This Row],[SOLUÇÃO]]=BV$1,[1]!BANCO10[[#This Row],[STATUS DA ETAPA]],"")</f>
        <v>CONCLUÍDO</v>
      </c>
      <c r="BW147" s="21" t="str">
        <f>IF([1]!BANCO10[[#This Row],[SOLUÇÃO]]=BW$1,[1]!BANCO10[[#This Row],[STATUS DA ETAPA]],"")</f>
        <v/>
      </c>
      <c r="BX147" s="21" t="str">
        <f>IF([1]!BANCO10[[#This Row],[SOLUÇÃO]]=BX$1,[1]!BANCO10[[#This Row],[STATUS DA ETAPA]],"")</f>
        <v/>
      </c>
      <c r="BY147" s="21" t="str">
        <f>IF([1]!BANCO10[[#This Row],[SOLUÇÃO]]=BY$1,[1]!BANCO10[[#This Row],[STATUS DA ETAPA]],"")</f>
        <v/>
      </c>
      <c r="BZ147" s="21" t="str">
        <f>IF([1]!BANCO10[[#This Row],[SOLUÇÃO]]=BZ$1,[1]!BANCO10[[#This Row],[STATUS DA ETAPA]],"")</f>
        <v/>
      </c>
      <c r="CA147" s="21" t="str">
        <f>IF([1]!BANCO10[[#This Row],[SOLUÇÃO]]=CA$1,[1]!BANCO10[[#This Row],[STATUS DA ETAPA]],"")</f>
        <v/>
      </c>
      <c r="CB147" s="21" t="str">
        <f>IF([1]!BANCO10[[#This Row],[SOLUÇÃO]]=CB$1,[1]!BANCO10[[#This Row],[STATUS DA ETAPA]],"")</f>
        <v/>
      </c>
      <c r="CC147" s="21" t="str">
        <f>IF([1]!BANCO10[[#This Row],[SOLUÇÃO]]=CC$1,[1]!BANCO10[[#This Row],[STATUS DA ETAPA]],"")</f>
        <v/>
      </c>
      <c r="CD147" s="21" t="str">
        <f>IF([1]!BANCO10[[#This Row],[SOLUÇÃO]]=CD$1,[1]!BANCO10[[#This Row],[STATUS DA ETAPA]],"")</f>
        <v/>
      </c>
      <c r="CE147" s="21" t="str">
        <f>IF([1]!BANCO10[[#This Row],[SOLUÇÃO]]=CE$1,[1]!BANCO10[[#This Row],[STATUS DA ETAPA]],"")</f>
        <v/>
      </c>
      <c r="CF147" s="21" t="str">
        <f>IF([1]!BANCO10[[#This Row],[SOLUÇÃO]]=CF$1,[1]!BANCO10[[#This Row],[STATUS DA ETAPA]],"")</f>
        <v/>
      </c>
      <c r="CG147" s="21" t="str">
        <f>IF([1]!BANCO10[[#This Row],[SOLUÇÃO]]=CG$1,[1]!BANCO10[[#This Row],[STATUS DA ETAPA]],"")</f>
        <v/>
      </c>
      <c r="CH147" s="21" t="str">
        <f>IF([1]!BANCO10[[#This Row],[SOLUÇÃO]]=CH$1,[1]!BANCO10[[#This Row],[STATUS DA ETAPA]],"")</f>
        <v/>
      </c>
      <c r="CI147" s="21" t="str">
        <f>IF([1]!BANCO10[[#This Row],[SOLUÇÃO]]=CI$1,[1]!BANCO10[[#This Row],[STATUS DA ETAPA]],"")</f>
        <v/>
      </c>
      <c r="CJ147" s="21" t="str">
        <f>IF([1]!BANCO10[[#This Row],[SOLUÇÃO]]=CJ$1,[1]!BANCO10[[#This Row],[STATUS DA ETAPA]],"")</f>
        <v/>
      </c>
      <c r="CK147" s="21" t="str">
        <f>IF([1]!BANCO10[[#This Row],[SOLUÇÃO]]=CK$1,[1]!BANCO10[[#This Row],[STATUS DA ETAPA]],"")</f>
        <v/>
      </c>
      <c r="CL147" s="21" t="str">
        <f>IF([1]!BANCO10[[#This Row],[SOLUÇÃO]]=CL$1,[1]!BANCO10[[#This Row],[STATUS DA ETAPA]],"")</f>
        <v/>
      </c>
      <c r="CM147" s="21" t="str">
        <f>IF([1]!BANCO10[[#This Row],[SOLUÇÃO]]=CM$1,[1]!BANCO10[[#This Row],[STATUS DA ETAPA]],"")</f>
        <v/>
      </c>
      <c r="CN147" s="21" t="str">
        <f>IF([1]!BANCO10[[#This Row],[SOLUÇÃO]]=CN$1,[1]!BANCO10[[#This Row],[STATUS DA ETAPA]],"")</f>
        <v/>
      </c>
      <c r="CO147" s="21" t="str">
        <f>IF([1]!BANCO10[[#This Row],[SOLUÇÃO]]=CO$1,[1]!BANCO10[[#This Row],[STATUS DA ETAPA]],"")</f>
        <v/>
      </c>
      <c r="CP147" s="21" t="str">
        <f>IF([1]!BANCO10[[#This Row],[SOLUÇÃO]]=CP$1,[1]!BANCO10[[#This Row],[STATUS DA ETAPA]],"")</f>
        <v/>
      </c>
      <c r="CQ147" s="21" t="str">
        <f>IF([1]!BANCO10[[#This Row],[SOLUÇÃO]]=CQ$1,[1]!BANCO10[[#This Row],[STATUS DA ETAPA]],"")</f>
        <v/>
      </c>
      <c r="CR147" s="21" t="str">
        <f>IF([1]!BANCO10[[#This Row],[SOLUÇÃO]]=CR$1,[1]!BANCO10[[#This Row],[STATUS DA ETAPA]],"")</f>
        <v/>
      </c>
      <c r="CS147" s="21" t="str">
        <f>IF([1]!BANCO10[[#This Row],[SOLUÇÃO]]=CS$1,[1]!BANCO10[[#This Row],[STATUS DA ETAPA]],"")</f>
        <v/>
      </c>
      <c r="CT147" s="21" t="str">
        <f>IF([1]!BANCO10[[#This Row],[SOLUÇÃO]]=CT$1,[1]!BANCO10[[#This Row],[STATUS DA ETAPA]],"")</f>
        <v/>
      </c>
      <c r="CU147" s="21" t="str">
        <f>IF([1]!BANCO10[[#This Row],[SOLUÇÃO]]=CU$1,[1]!BANCO10[[#This Row],[STATUS DA ETAPA]],"")</f>
        <v/>
      </c>
      <c r="CV147" s="21" t="str">
        <f>IF([1]!BANCO10[[#This Row],[SOLUÇÃO]]=CV$1,[1]!BANCO10[[#This Row],[STATUS DA ETAPA]],"")</f>
        <v/>
      </c>
    </row>
    <row r="148" spans="1:100">
      <c r="A148" s="44" t="s">
        <v>1</v>
      </c>
      <c r="B148" s="44"/>
      <c r="C148" s="44" t="s">
        <v>1</v>
      </c>
      <c r="D148" s="44"/>
      <c r="E148" s="44" t="s">
        <v>1</v>
      </c>
      <c r="F148" s="44"/>
      <c r="G148" s="44" t="s">
        <v>1</v>
      </c>
      <c r="H148" s="44"/>
      <c r="I148" s="45" t="s">
        <v>1</v>
      </c>
      <c r="J148" s="46"/>
      <c r="K148" s="45" t="s">
        <v>1</v>
      </c>
      <c r="L148" s="33"/>
      <c r="M148" s="45" t="s">
        <v>1</v>
      </c>
      <c r="N148" s="33"/>
      <c r="O148" s="44" t="s">
        <v>2</v>
      </c>
      <c r="P148" s="44">
        <v>44741</v>
      </c>
      <c r="Q148" s="44" t="s">
        <v>2</v>
      </c>
      <c r="R148" s="44">
        <v>44741</v>
      </c>
      <c r="S148" s="44" t="s">
        <v>2</v>
      </c>
      <c r="T148" s="44">
        <v>44741</v>
      </c>
      <c r="U148" s="44" t="s">
        <v>2</v>
      </c>
      <c r="V148" s="44">
        <v>44741</v>
      </c>
      <c r="W148" s="44" t="s">
        <v>2</v>
      </c>
      <c r="X148" s="44"/>
      <c r="Y148" s="44" t="s">
        <v>2</v>
      </c>
      <c r="Z148" s="44">
        <v>44925</v>
      </c>
      <c r="AA148" s="44" t="s">
        <v>2</v>
      </c>
      <c r="AB148" s="44"/>
      <c r="AC148" s="51">
        <v>44950</v>
      </c>
      <c r="AD148" s="50">
        <v>45055</v>
      </c>
      <c r="AE148" s="40" t="s">
        <v>2</v>
      </c>
      <c r="AF148" s="40" t="s">
        <v>2</v>
      </c>
      <c r="AG148" s="76" t="s">
        <v>5</v>
      </c>
      <c r="AH148" s="36" t="s">
        <v>0</v>
      </c>
      <c r="AI148" s="49">
        <v>0</v>
      </c>
      <c r="AJ148" s="36"/>
      <c r="AK148" s="10"/>
      <c r="AL148" s="36">
        <v>4731</v>
      </c>
      <c r="AM148" s="36" t="s">
        <v>1</v>
      </c>
      <c r="AN148" s="35" t="s">
        <v>1</v>
      </c>
      <c r="AO148" s="35" t="s">
        <v>1</v>
      </c>
      <c r="AP148" s="35" t="s">
        <v>2</v>
      </c>
      <c r="AQ148" s="35" t="s">
        <v>1</v>
      </c>
      <c r="AR148" s="34" t="s">
        <v>1</v>
      </c>
      <c r="AS148" s="33"/>
      <c r="AT148" s="32" t="s">
        <v>1</v>
      </c>
      <c r="AU148" s="31"/>
      <c r="AV148" s="32" t="s">
        <v>1</v>
      </c>
      <c r="AW148" s="31"/>
      <c r="AX148" s="30" t="s">
        <v>2</v>
      </c>
      <c r="AY148" s="55">
        <v>45082</v>
      </c>
      <c r="AZ148" s="30" t="s">
        <v>2</v>
      </c>
      <c r="BA148" s="55"/>
      <c r="BB148" s="74"/>
      <c r="BC148" s="25"/>
      <c r="BD148" s="24" t="s">
        <v>11</v>
      </c>
      <c r="BE148" s="24" t="s">
        <v>11</v>
      </c>
      <c r="BF148" s="24" t="s">
        <v>88</v>
      </c>
      <c r="BG148" s="24" t="s">
        <v>21</v>
      </c>
      <c r="BH148" s="130" t="s">
        <v>63</v>
      </c>
      <c r="BI148" s="24"/>
      <c r="BJ148" s="24" t="s">
        <v>11</v>
      </c>
      <c r="BK148" s="24" t="s">
        <v>11</v>
      </c>
      <c r="BL148" s="24" t="s">
        <v>11</v>
      </c>
      <c r="BM148" s="24" t="s">
        <v>11</v>
      </c>
      <c r="BN148" s="24" t="s">
        <v>11</v>
      </c>
      <c r="BO148" s="24" t="s">
        <v>11</v>
      </c>
      <c r="BP148" s="24" t="s">
        <v>11</v>
      </c>
      <c r="BQ148" s="22">
        <f>YEAR([1]!BANCO10[[#This Row],[DATA INÍCIO]])</f>
        <v>2023</v>
      </c>
      <c r="BR148" s="22">
        <f>MONTH([1]!BANCO10[[#This Row],[DATA INÍCIO]])</f>
        <v>1</v>
      </c>
      <c r="BS148" s="129" t="e">
        <f>CONCATENATE(#REF!,#REF!)</f>
        <v>#REF!</v>
      </c>
      <c r="BT148" s="22"/>
      <c r="BU148" s="21" t="s">
        <v>736</v>
      </c>
      <c r="BV148" s="21" t="str">
        <f>IF([1]!BANCO10[[#This Row],[SOLUÇÃO]]=BV$1,[1]!BANCO10[[#This Row],[STATUS DA ETAPA]],"")</f>
        <v/>
      </c>
      <c r="BW148" s="21" t="str">
        <f>IF([1]!BANCO10[[#This Row],[SOLUÇÃO]]=BW$1,[1]!BANCO10[[#This Row],[STATUS DA ETAPA]],"")</f>
        <v/>
      </c>
      <c r="BX148" s="21" t="str">
        <f>IF([1]!BANCO10[[#This Row],[SOLUÇÃO]]=BX$1,[1]!BANCO10[[#This Row],[STATUS DA ETAPA]],"")</f>
        <v/>
      </c>
      <c r="BY148" s="21" t="str">
        <f>IF([1]!BANCO10[[#This Row],[SOLUÇÃO]]=BY$1,[1]!BANCO10[[#This Row],[STATUS DA ETAPA]],"")</f>
        <v/>
      </c>
      <c r="BZ148" s="21" t="str">
        <f>IF([1]!BANCO10[[#This Row],[SOLUÇÃO]]=BZ$1,[1]!BANCO10[[#This Row],[STATUS DA ETAPA]],"")</f>
        <v/>
      </c>
      <c r="CA148" s="21" t="str">
        <f>IF([1]!BANCO10[[#This Row],[SOLUÇÃO]]=CA$1,[1]!BANCO10[[#This Row],[STATUS DA ETAPA]],"")</f>
        <v>CONCLUÍDO</v>
      </c>
      <c r="CB148" s="21" t="str">
        <f>IF([1]!BANCO10[[#This Row],[SOLUÇÃO]]=CB$1,[1]!BANCO10[[#This Row],[STATUS DA ETAPA]],"")</f>
        <v/>
      </c>
      <c r="CC148" s="21" t="str">
        <f>IF([1]!BANCO10[[#This Row],[SOLUÇÃO]]=CC$1,[1]!BANCO10[[#This Row],[STATUS DA ETAPA]],"")</f>
        <v/>
      </c>
      <c r="CD148" s="21" t="str">
        <f>IF([1]!BANCO10[[#This Row],[SOLUÇÃO]]=CD$1,[1]!BANCO10[[#This Row],[STATUS DA ETAPA]],"")</f>
        <v/>
      </c>
      <c r="CE148" s="21" t="str">
        <f>IF([1]!BANCO10[[#This Row],[SOLUÇÃO]]=CE$1,[1]!BANCO10[[#This Row],[STATUS DA ETAPA]],"")</f>
        <v/>
      </c>
      <c r="CF148" s="21" t="str">
        <f>IF([1]!BANCO10[[#This Row],[SOLUÇÃO]]=CF$1,[1]!BANCO10[[#This Row],[STATUS DA ETAPA]],"")</f>
        <v/>
      </c>
      <c r="CG148" s="21" t="str">
        <f>IF([1]!BANCO10[[#This Row],[SOLUÇÃO]]=CG$1,[1]!BANCO10[[#This Row],[STATUS DA ETAPA]],"")</f>
        <v/>
      </c>
      <c r="CH148" s="21" t="str">
        <f>IF([1]!BANCO10[[#This Row],[SOLUÇÃO]]=CH$1,[1]!BANCO10[[#This Row],[STATUS DA ETAPA]],"")</f>
        <v/>
      </c>
      <c r="CI148" s="21" t="str">
        <f>IF([1]!BANCO10[[#This Row],[SOLUÇÃO]]=CI$1,[1]!BANCO10[[#This Row],[STATUS DA ETAPA]],"")</f>
        <v/>
      </c>
      <c r="CJ148" s="21" t="str">
        <f>IF([1]!BANCO10[[#This Row],[SOLUÇÃO]]=CJ$1,[1]!BANCO10[[#This Row],[STATUS DA ETAPA]],"")</f>
        <v/>
      </c>
      <c r="CK148" s="21" t="str">
        <f>IF([1]!BANCO10[[#This Row],[SOLUÇÃO]]=CK$1,[1]!BANCO10[[#This Row],[STATUS DA ETAPA]],"")</f>
        <v/>
      </c>
      <c r="CL148" s="21" t="str">
        <f>IF([1]!BANCO10[[#This Row],[SOLUÇÃO]]=CL$1,[1]!BANCO10[[#This Row],[STATUS DA ETAPA]],"")</f>
        <v/>
      </c>
      <c r="CM148" s="21" t="str">
        <f>IF([1]!BANCO10[[#This Row],[SOLUÇÃO]]=CM$1,[1]!BANCO10[[#This Row],[STATUS DA ETAPA]],"")</f>
        <v/>
      </c>
      <c r="CN148" s="21" t="str">
        <f>IF([1]!BANCO10[[#This Row],[SOLUÇÃO]]=CN$1,[1]!BANCO10[[#This Row],[STATUS DA ETAPA]],"")</f>
        <v/>
      </c>
      <c r="CO148" s="21" t="str">
        <f>IF([1]!BANCO10[[#This Row],[SOLUÇÃO]]=CO$1,[1]!BANCO10[[#This Row],[STATUS DA ETAPA]],"")</f>
        <v/>
      </c>
      <c r="CP148" s="21" t="str">
        <f>IF([1]!BANCO10[[#This Row],[SOLUÇÃO]]=CP$1,[1]!BANCO10[[#This Row],[STATUS DA ETAPA]],"")</f>
        <v/>
      </c>
      <c r="CQ148" s="21" t="str">
        <f>IF([1]!BANCO10[[#This Row],[SOLUÇÃO]]=CQ$1,[1]!BANCO10[[#This Row],[STATUS DA ETAPA]],"")</f>
        <v/>
      </c>
      <c r="CR148" s="21" t="str">
        <f>IF([1]!BANCO10[[#This Row],[SOLUÇÃO]]=CR$1,[1]!BANCO10[[#This Row],[STATUS DA ETAPA]],"")</f>
        <v/>
      </c>
      <c r="CS148" s="21" t="str">
        <f>IF([1]!BANCO10[[#This Row],[SOLUÇÃO]]=CS$1,[1]!BANCO10[[#This Row],[STATUS DA ETAPA]],"")</f>
        <v/>
      </c>
      <c r="CT148" s="21" t="str">
        <f>IF([1]!BANCO10[[#This Row],[SOLUÇÃO]]=CT$1,[1]!BANCO10[[#This Row],[STATUS DA ETAPA]],"")</f>
        <v/>
      </c>
      <c r="CU148" s="21" t="str">
        <f>IF([1]!BANCO10[[#This Row],[SOLUÇÃO]]=CU$1,[1]!BANCO10[[#This Row],[STATUS DA ETAPA]],"")</f>
        <v/>
      </c>
      <c r="CV148" s="21" t="str">
        <f>IF([1]!BANCO10[[#This Row],[SOLUÇÃO]]=CV$1,[1]!BANCO10[[#This Row],[STATUS DA ETAPA]],"")</f>
        <v/>
      </c>
    </row>
    <row r="149" spans="1:100">
      <c r="A149" s="44" t="s">
        <v>1</v>
      </c>
      <c r="B149" s="44"/>
      <c r="C149" s="44" t="s">
        <v>1</v>
      </c>
      <c r="D149" s="44"/>
      <c r="E149" s="44" t="s">
        <v>1</v>
      </c>
      <c r="F149" s="44"/>
      <c r="G149" s="44" t="s">
        <v>1</v>
      </c>
      <c r="H149" s="44"/>
      <c r="I149" s="45" t="s">
        <v>1</v>
      </c>
      <c r="J149" s="46"/>
      <c r="K149" s="45" t="s">
        <v>1</v>
      </c>
      <c r="L149" s="33"/>
      <c r="M149" s="45" t="s">
        <v>1</v>
      </c>
      <c r="N149" s="33"/>
      <c r="O149" s="44" t="s">
        <v>2</v>
      </c>
      <c r="P149" s="44">
        <v>44741</v>
      </c>
      <c r="Q149" s="44" t="s">
        <v>2</v>
      </c>
      <c r="R149" s="44">
        <v>44741</v>
      </c>
      <c r="S149" s="44"/>
      <c r="T149" s="44"/>
      <c r="U149" s="44" t="s">
        <v>2</v>
      </c>
      <c r="V149" s="44">
        <v>44741</v>
      </c>
      <c r="W149" s="44" t="s">
        <v>2</v>
      </c>
      <c r="X149" s="44"/>
      <c r="Y149" s="44" t="s">
        <v>2</v>
      </c>
      <c r="Z149" s="44">
        <v>44741</v>
      </c>
      <c r="AA149" s="44" t="s">
        <v>2</v>
      </c>
      <c r="AB149" s="44"/>
      <c r="AC149" s="51">
        <v>45148</v>
      </c>
      <c r="AD149" s="50">
        <v>45271</v>
      </c>
      <c r="AE149" s="40" t="s">
        <v>2</v>
      </c>
      <c r="AF149" s="40" t="s">
        <v>2</v>
      </c>
      <c r="AG149" s="76" t="s">
        <v>5</v>
      </c>
      <c r="AH149" s="36" t="s">
        <v>0</v>
      </c>
      <c r="AI149" s="49">
        <v>0</v>
      </c>
      <c r="AJ149" s="36" t="s">
        <v>6</v>
      </c>
      <c r="AK149" s="10">
        <v>0</v>
      </c>
      <c r="AL149" s="36">
        <v>0</v>
      </c>
      <c r="AM149" s="36">
        <v>0</v>
      </c>
      <c r="AN149" s="35" t="s">
        <v>1</v>
      </c>
      <c r="AO149" s="35" t="s">
        <v>1</v>
      </c>
      <c r="AP149" s="35" t="s">
        <v>2</v>
      </c>
      <c r="AQ149" s="35" t="s">
        <v>1</v>
      </c>
      <c r="AR149" s="34" t="s">
        <v>1</v>
      </c>
      <c r="AS149" s="33"/>
      <c r="AT149" s="32" t="s">
        <v>1</v>
      </c>
      <c r="AU149" s="31"/>
      <c r="AV149" s="32" t="s">
        <v>1</v>
      </c>
      <c r="AW149" s="31"/>
      <c r="AX149" s="30" t="s">
        <v>2</v>
      </c>
      <c r="AY149" s="55">
        <v>45279</v>
      </c>
      <c r="AZ149" s="30" t="s">
        <v>1</v>
      </c>
      <c r="BA149" s="55"/>
      <c r="BB149" s="74"/>
      <c r="BC149" s="25"/>
      <c r="BD149" s="24" t="s">
        <v>11</v>
      </c>
      <c r="BE149" s="24" t="s">
        <v>11</v>
      </c>
      <c r="BF149" s="24" t="s">
        <v>88</v>
      </c>
      <c r="BG149" s="24" t="s">
        <v>21</v>
      </c>
      <c r="BH149" s="130" t="s">
        <v>63</v>
      </c>
      <c r="BI149" s="24"/>
      <c r="BJ149" s="24" t="s">
        <v>11</v>
      </c>
      <c r="BK149" s="24" t="s">
        <v>11</v>
      </c>
      <c r="BL149" s="24">
        <v>45390</v>
      </c>
      <c r="BM149" s="24" t="s">
        <v>18</v>
      </c>
      <c r="BN149" s="24" t="s">
        <v>72</v>
      </c>
      <c r="BO149" s="24"/>
      <c r="BP149" s="24" t="s">
        <v>735</v>
      </c>
      <c r="BQ149" s="22">
        <f>YEAR([1]!BANCO10[[#This Row],[DATA INÍCIO]])</f>
        <v>2023</v>
      </c>
      <c r="BR149" s="22">
        <f>MONTH([1]!BANCO10[[#This Row],[DATA INÍCIO]])</f>
        <v>8</v>
      </c>
      <c r="BS149" s="129" t="e">
        <f>CONCATENATE(#REF!,#REF!)</f>
        <v>#REF!</v>
      </c>
      <c r="BT149" s="22"/>
      <c r="BU149" s="21" t="s">
        <v>333</v>
      </c>
      <c r="BV149" s="21" t="str">
        <f>IF([1]!BANCO10[[#This Row],[SOLUÇÃO]]=BV$1,[1]!BANCO10[[#This Row],[STATUS DA ETAPA]],"")</f>
        <v/>
      </c>
      <c r="BW149" s="21" t="str">
        <f>IF([1]!BANCO10[[#This Row],[SOLUÇÃO]]=BW$1,[1]!BANCO10[[#This Row],[STATUS DA ETAPA]],"")</f>
        <v/>
      </c>
      <c r="BX149" s="21" t="str">
        <f>IF([1]!BANCO10[[#This Row],[SOLUÇÃO]]=BX$1,[1]!BANCO10[[#This Row],[STATUS DA ETAPA]],"")</f>
        <v/>
      </c>
      <c r="BY149" s="21" t="str">
        <f>IF([1]!BANCO10[[#This Row],[SOLUÇÃO]]=BY$1,[1]!BANCO10[[#This Row],[STATUS DA ETAPA]],"")</f>
        <v/>
      </c>
      <c r="BZ149" s="21" t="str">
        <f>IF([1]!BANCO10[[#This Row],[SOLUÇÃO]]=BZ$1,[1]!BANCO10[[#This Row],[STATUS DA ETAPA]],"")</f>
        <v/>
      </c>
      <c r="CA149" s="21" t="str">
        <f>IF([1]!BANCO10[[#This Row],[SOLUÇÃO]]=CA$1,[1]!BANCO10[[#This Row],[STATUS DA ETAPA]],"")</f>
        <v/>
      </c>
      <c r="CB149" s="21" t="str">
        <f>IF([1]!BANCO10[[#This Row],[SOLUÇÃO]]=CB$1,[1]!BANCO10[[#This Row],[STATUS DA ETAPA]],"")</f>
        <v/>
      </c>
      <c r="CC149" s="21" t="str">
        <f>IF([1]!BANCO10[[#This Row],[SOLUÇÃO]]=CC$1,[1]!BANCO10[[#This Row],[STATUS DA ETAPA]],"")</f>
        <v/>
      </c>
      <c r="CD149" s="21" t="str">
        <f>IF([1]!BANCO10[[#This Row],[SOLUÇÃO]]=CD$1,[1]!BANCO10[[#This Row],[STATUS DA ETAPA]],"")</f>
        <v/>
      </c>
      <c r="CE149" s="21" t="str">
        <f>IF([1]!BANCO10[[#This Row],[SOLUÇÃO]]=CE$1,[1]!BANCO10[[#This Row],[STATUS DA ETAPA]],"")</f>
        <v/>
      </c>
      <c r="CF149" s="21" t="str">
        <f>IF([1]!BANCO10[[#This Row],[SOLUÇÃO]]=CF$1,[1]!BANCO10[[#This Row],[STATUS DA ETAPA]],"")</f>
        <v/>
      </c>
      <c r="CG149" s="21" t="str">
        <f>IF([1]!BANCO10[[#This Row],[SOLUÇÃO]]=CG$1,[1]!BANCO10[[#This Row],[STATUS DA ETAPA]],"")</f>
        <v/>
      </c>
      <c r="CH149" s="21" t="str">
        <f>IF([1]!BANCO10[[#This Row],[SOLUÇÃO]]=CH$1,[1]!BANCO10[[#This Row],[STATUS DA ETAPA]],"")</f>
        <v/>
      </c>
      <c r="CI149" s="21" t="str">
        <f>IF([1]!BANCO10[[#This Row],[SOLUÇÃO]]=CI$1,[1]!BANCO10[[#This Row],[STATUS DA ETAPA]],"")</f>
        <v/>
      </c>
      <c r="CJ149" s="21" t="str">
        <f>IF([1]!BANCO10[[#This Row],[SOLUÇÃO]]=CJ$1,[1]!BANCO10[[#This Row],[STATUS DA ETAPA]],"")</f>
        <v/>
      </c>
      <c r="CK149" s="21" t="str">
        <f>IF([1]!BANCO10[[#This Row],[SOLUÇÃO]]=CK$1,[1]!BANCO10[[#This Row],[STATUS DA ETAPA]],"")</f>
        <v/>
      </c>
      <c r="CL149" s="21" t="str">
        <f>IF([1]!BANCO10[[#This Row],[SOLUÇÃO]]=CL$1,[1]!BANCO10[[#This Row],[STATUS DA ETAPA]],"")</f>
        <v/>
      </c>
      <c r="CM149" s="21" t="str">
        <f>IF([1]!BANCO10[[#This Row],[SOLUÇÃO]]=CM$1,[1]!BANCO10[[#This Row],[STATUS DA ETAPA]],"")</f>
        <v/>
      </c>
      <c r="CN149" s="21" t="str">
        <f>IF([1]!BANCO10[[#This Row],[SOLUÇÃO]]=CN$1,[1]!BANCO10[[#This Row],[STATUS DA ETAPA]],"")</f>
        <v/>
      </c>
      <c r="CO149" s="21" t="str">
        <f>IF([1]!BANCO10[[#This Row],[SOLUÇÃO]]=CO$1,[1]!BANCO10[[#This Row],[STATUS DA ETAPA]],"")</f>
        <v>CONCLUÍDO</v>
      </c>
      <c r="CP149" s="21" t="str">
        <f>IF([1]!BANCO10[[#This Row],[SOLUÇÃO]]=CP$1,[1]!BANCO10[[#This Row],[STATUS DA ETAPA]],"")</f>
        <v/>
      </c>
      <c r="CQ149" s="21" t="str">
        <f>IF([1]!BANCO10[[#This Row],[SOLUÇÃO]]=CQ$1,[1]!BANCO10[[#This Row],[STATUS DA ETAPA]],"")</f>
        <v/>
      </c>
      <c r="CR149" s="21" t="str">
        <f>IF([1]!BANCO10[[#This Row],[SOLUÇÃO]]=CR$1,[1]!BANCO10[[#This Row],[STATUS DA ETAPA]],"")</f>
        <v/>
      </c>
      <c r="CS149" s="21" t="str">
        <f>IF([1]!BANCO10[[#This Row],[SOLUÇÃO]]=CS$1,[1]!BANCO10[[#This Row],[STATUS DA ETAPA]],"")</f>
        <v/>
      </c>
      <c r="CT149" s="21" t="str">
        <f>IF([1]!BANCO10[[#This Row],[SOLUÇÃO]]=CT$1,[1]!BANCO10[[#This Row],[STATUS DA ETAPA]],"")</f>
        <v/>
      </c>
      <c r="CU149" s="21" t="str">
        <f>IF([1]!BANCO10[[#This Row],[SOLUÇÃO]]=CU$1,[1]!BANCO10[[#This Row],[STATUS DA ETAPA]],"")</f>
        <v/>
      </c>
      <c r="CV149" s="21" t="str">
        <f>IF([1]!BANCO10[[#This Row],[SOLUÇÃO]]=CV$1,[1]!BANCO10[[#This Row],[STATUS DA ETAPA]],"")</f>
        <v/>
      </c>
    </row>
    <row r="150" spans="1:100">
      <c r="A150" s="44" t="s">
        <v>1</v>
      </c>
      <c r="B150" s="44"/>
      <c r="C150" s="44" t="s">
        <v>1</v>
      </c>
      <c r="D150" s="44"/>
      <c r="E150" s="44" t="s">
        <v>1</v>
      </c>
      <c r="F150" s="44"/>
      <c r="G150" s="44" t="s">
        <v>1</v>
      </c>
      <c r="H150" s="44"/>
      <c r="I150" s="45" t="s">
        <v>1</v>
      </c>
      <c r="J150" s="46"/>
      <c r="K150" s="45" t="s">
        <v>1</v>
      </c>
      <c r="L150" s="33"/>
      <c r="M150" s="45" t="s">
        <v>1</v>
      </c>
      <c r="N150" s="33"/>
      <c r="O150" s="44" t="s">
        <v>2</v>
      </c>
      <c r="P150" s="44">
        <v>45005</v>
      </c>
      <c r="Q150" s="44" t="s">
        <v>0</v>
      </c>
      <c r="R150" s="44"/>
      <c r="S150" s="44" t="s">
        <v>1</v>
      </c>
      <c r="T150" s="44"/>
      <c r="U150" s="44" t="s">
        <v>1</v>
      </c>
      <c r="V150" s="44"/>
      <c r="W150" s="44" t="s">
        <v>1</v>
      </c>
      <c r="X150" s="44"/>
      <c r="Y150" s="44" t="s">
        <v>1</v>
      </c>
      <c r="Z150" s="44"/>
      <c r="AA150" s="44" t="s">
        <v>1</v>
      </c>
      <c r="AB150" s="44"/>
      <c r="AC150" s="51">
        <v>45005</v>
      </c>
      <c r="AD150" s="50">
        <v>45005</v>
      </c>
      <c r="AE150" s="40" t="s">
        <v>1</v>
      </c>
      <c r="AF150" s="40" t="s">
        <v>1</v>
      </c>
      <c r="AG150" s="76" t="s">
        <v>5</v>
      </c>
      <c r="AH150" s="36" t="s">
        <v>1</v>
      </c>
      <c r="AI150" s="49">
        <v>0</v>
      </c>
      <c r="AJ150" s="36" t="s">
        <v>1</v>
      </c>
      <c r="AK150" s="10" t="s">
        <v>1</v>
      </c>
      <c r="AL150" s="36" t="s">
        <v>1</v>
      </c>
      <c r="AM150" s="36" t="s">
        <v>1</v>
      </c>
      <c r="AN150" s="35" t="s">
        <v>1</v>
      </c>
      <c r="AO150" s="35" t="s">
        <v>1</v>
      </c>
      <c r="AP150" s="35" t="s">
        <v>1</v>
      </c>
      <c r="AQ150" s="35" t="s">
        <v>1</v>
      </c>
      <c r="AR150" s="82" t="s">
        <v>1</v>
      </c>
      <c r="AS150" s="33"/>
      <c r="AT150" s="32" t="s">
        <v>1</v>
      </c>
      <c r="AU150" s="31"/>
      <c r="AV150" s="32" t="s">
        <v>1</v>
      </c>
      <c r="AW150" s="31"/>
      <c r="AX150" s="30" t="s">
        <v>1</v>
      </c>
      <c r="AY150" s="55"/>
      <c r="AZ150" s="30" t="s">
        <v>1</v>
      </c>
      <c r="BA150" s="55"/>
      <c r="BB150" s="74"/>
      <c r="BC150" s="25"/>
      <c r="BD150" s="24" t="s">
        <v>11</v>
      </c>
      <c r="BE150" s="24" t="s">
        <v>11</v>
      </c>
      <c r="BF150" s="24" t="s">
        <v>136</v>
      </c>
      <c r="BG150" s="24" t="s">
        <v>21</v>
      </c>
      <c r="BH150" s="130" t="s">
        <v>18</v>
      </c>
      <c r="BI150" s="24" t="s">
        <v>732</v>
      </c>
      <c r="BJ150" s="24" t="s">
        <v>11</v>
      </c>
      <c r="BK150" s="24" t="s">
        <v>11</v>
      </c>
      <c r="BL150" s="24" t="s">
        <v>11</v>
      </c>
      <c r="BM150" s="24" t="s">
        <v>11</v>
      </c>
      <c r="BN150" s="24" t="s">
        <v>11</v>
      </c>
      <c r="BO150" s="24" t="s">
        <v>11</v>
      </c>
      <c r="BP150" s="24" t="s">
        <v>11</v>
      </c>
      <c r="BQ150" s="22">
        <f>YEAR([1]!BANCO10[[#This Row],[DATA INÍCIO]])</f>
        <v>2023</v>
      </c>
      <c r="BR150" s="22">
        <f>MONTH([1]!BANCO10[[#This Row],[DATA INÍCIO]])</f>
        <v>3</v>
      </c>
      <c r="BS150" s="129" t="e">
        <f>CONCATENATE(#REF!,#REF!)</f>
        <v>#REF!</v>
      </c>
      <c r="BT150" s="22"/>
      <c r="BU150" s="21" t="s">
        <v>734</v>
      </c>
      <c r="BV150" s="21" t="str">
        <f>IF([1]!BANCO10[[#This Row],[SOLUÇÃO]]=BV$1,[1]!BANCO10[[#This Row],[STATUS DA ETAPA]],"")</f>
        <v>CONCLUÍDO</v>
      </c>
      <c r="BW150" s="21" t="str">
        <f>IF([1]!BANCO10[[#This Row],[SOLUÇÃO]]=BW$1,[1]!BANCO10[[#This Row],[STATUS DA ETAPA]],"")</f>
        <v/>
      </c>
      <c r="BX150" s="21" t="str">
        <f>IF([1]!BANCO10[[#This Row],[SOLUÇÃO]]=BX$1,[1]!BANCO10[[#This Row],[STATUS DA ETAPA]],"")</f>
        <v/>
      </c>
      <c r="BY150" s="21" t="str">
        <f>IF([1]!BANCO10[[#This Row],[SOLUÇÃO]]=BY$1,[1]!BANCO10[[#This Row],[STATUS DA ETAPA]],"")</f>
        <v/>
      </c>
      <c r="BZ150" s="21" t="str">
        <f>IF([1]!BANCO10[[#This Row],[SOLUÇÃO]]=BZ$1,[1]!BANCO10[[#This Row],[STATUS DA ETAPA]],"")</f>
        <v/>
      </c>
      <c r="CA150" s="21" t="str">
        <f>IF([1]!BANCO10[[#This Row],[SOLUÇÃO]]=CA$1,[1]!BANCO10[[#This Row],[STATUS DA ETAPA]],"")</f>
        <v/>
      </c>
      <c r="CB150" s="21" t="str">
        <f>IF([1]!BANCO10[[#This Row],[SOLUÇÃO]]=CB$1,[1]!BANCO10[[#This Row],[STATUS DA ETAPA]],"")</f>
        <v/>
      </c>
      <c r="CC150" s="21" t="str">
        <f>IF([1]!BANCO10[[#This Row],[SOLUÇÃO]]=CC$1,[1]!BANCO10[[#This Row],[STATUS DA ETAPA]],"")</f>
        <v/>
      </c>
      <c r="CD150" s="21" t="str">
        <f>IF([1]!BANCO10[[#This Row],[SOLUÇÃO]]=CD$1,[1]!BANCO10[[#This Row],[STATUS DA ETAPA]],"")</f>
        <v/>
      </c>
      <c r="CE150" s="21" t="str">
        <f>IF([1]!BANCO10[[#This Row],[SOLUÇÃO]]=CE$1,[1]!BANCO10[[#This Row],[STATUS DA ETAPA]],"")</f>
        <v/>
      </c>
      <c r="CF150" s="21" t="str">
        <f>IF([1]!BANCO10[[#This Row],[SOLUÇÃO]]=CF$1,[1]!BANCO10[[#This Row],[STATUS DA ETAPA]],"")</f>
        <v/>
      </c>
      <c r="CG150" s="21" t="str">
        <f>IF([1]!BANCO10[[#This Row],[SOLUÇÃO]]=CG$1,[1]!BANCO10[[#This Row],[STATUS DA ETAPA]],"")</f>
        <v/>
      </c>
      <c r="CH150" s="21" t="str">
        <f>IF([1]!BANCO10[[#This Row],[SOLUÇÃO]]=CH$1,[1]!BANCO10[[#This Row],[STATUS DA ETAPA]],"")</f>
        <v/>
      </c>
      <c r="CI150" s="21" t="str">
        <f>IF([1]!BANCO10[[#This Row],[SOLUÇÃO]]=CI$1,[1]!BANCO10[[#This Row],[STATUS DA ETAPA]],"")</f>
        <v/>
      </c>
      <c r="CJ150" s="21" t="str">
        <f>IF([1]!BANCO10[[#This Row],[SOLUÇÃO]]=CJ$1,[1]!BANCO10[[#This Row],[STATUS DA ETAPA]],"")</f>
        <v/>
      </c>
      <c r="CK150" s="21" t="str">
        <f>IF([1]!BANCO10[[#This Row],[SOLUÇÃO]]=CK$1,[1]!BANCO10[[#This Row],[STATUS DA ETAPA]],"")</f>
        <v/>
      </c>
      <c r="CL150" s="21" t="str">
        <f>IF([1]!BANCO10[[#This Row],[SOLUÇÃO]]=CL$1,[1]!BANCO10[[#This Row],[STATUS DA ETAPA]],"")</f>
        <v/>
      </c>
      <c r="CM150" s="21" t="str">
        <f>IF([1]!BANCO10[[#This Row],[SOLUÇÃO]]=CM$1,[1]!BANCO10[[#This Row],[STATUS DA ETAPA]],"")</f>
        <v/>
      </c>
      <c r="CN150" s="21" t="str">
        <f>IF([1]!BANCO10[[#This Row],[SOLUÇÃO]]=CN$1,[1]!BANCO10[[#This Row],[STATUS DA ETAPA]],"")</f>
        <v/>
      </c>
      <c r="CO150" s="21" t="str">
        <f>IF([1]!BANCO10[[#This Row],[SOLUÇÃO]]=CO$1,[1]!BANCO10[[#This Row],[STATUS DA ETAPA]],"")</f>
        <v/>
      </c>
      <c r="CP150" s="21" t="str">
        <f>IF([1]!BANCO10[[#This Row],[SOLUÇÃO]]=CP$1,[1]!BANCO10[[#This Row],[STATUS DA ETAPA]],"")</f>
        <v/>
      </c>
      <c r="CQ150" s="21" t="str">
        <f>IF([1]!BANCO10[[#This Row],[SOLUÇÃO]]=CQ$1,[1]!BANCO10[[#This Row],[STATUS DA ETAPA]],"")</f>
        <v/>
      </c>
      <c r="CR150" s="21" t="str">
        <f>IF([1]!BANCO10[[#This Row],[SOLUÇÃO]]=CR$1,[1]!BANCO10[[#This Row],[STATUS DA ETAPA]],"")</f>
        <v/>
      </c>
      <c r="CS150" s="21" t="str">
        <f>IF([1]!BANCO10[[#This Row],[SOLUÇÃO]]=CS$1,[1]!BANCO10[[#This Row],[STATUS DA ETAPA]],"")</f>
        <v/>
      </c>
      <c r="CT150" s="21" t="str">
        <f>IF([1]!BANCO10[[#This Row],[SOLUÇÃO]]=CT$1,[1]!BANCO10[[#This Row],[STATUS DA ETAPA]],"")</f>
        <v/>
      </c>
      <c r="CU150" s="21" t="str">
        <f>IF([1]!BANCO10[[#This Row],[SOLUÇÃO]]=CU$1,[1]!BANCO10[[#This Row],[STATUS DA ETAPA]],"")</f>
        <v/>
      </c>
      <c r="CV150" s="21" t="str">
        <f>IF([1]!BANCO10[[#This Row],[SOLUÇÃO]]=CV$1,[1]!BANCO10[[#This Row],[STATUS DA ETAPA]],"")</f>
        <v/>
      </c>
    </row>
    <row r="151" spans="1:100">
      <c r="A151" s="44" t="s">
        <v>1</v>
      </c>
      <c r="B151" s="44"/>
      <c r="C151" s="44" t="s">
        <v>1</v>
      </c>
      <c r="D151" s="44"/>
      <c r="E151" s="44" t="s">
        <v>1</v>
      </c>
      <c r="F151" s="44"/>
      <c r="G151" s="44" t="s">
        <v>1</v>
      </c>
      <c r="H151" s="44"/>
      <c r="I151" s="45" t="s">
        <v>1</v>
      </c>
      <c r="J151" s="46"/>
      <c r="K151" s="45" t="s">
        <v>1</v>
      </c>
      <c r="L151" s="33"/>
      <c r="M151" s="45" t="s">
        <v>1</v>
      </c>
      <c r="N151" s="33"/>
      <c r="O151" s="44" t="s">
        <v>2</v>
      </c>
      <c r="P151" s="44">
        <v>45005</v>
      </c>
      <c r="Q151" s="44" t="s">
        <v>2</v>
      </c>
      <c r="R151" s="44">
        <v>45004</v>
      </c>
      <c r="S151" s="44" t="s">
        <v>1</v>
      </c>
      <c r="T151" s="44"/>
      <c r="U151" s="44" t="s">
        <v>2</v>
      </c>
      <c r="V151" s="44">
        <v>45009</v>
      </c>
      <c r="W151" s="44" t="s">
        <v>2</v>
      </c>
      <c r="X151" s="44"/>
      <c r="Y151" s="44" t="s">
        <v>2</v>
      </c>
      <c r="Z151" s="44">
        <v>45068</v>
      </c>
      <c r="AA151" s="44" t="s">
        <v>2</v>
      </c>
      <c r="AB151" s="44"/>
      <c r="AC151" s="51">
        <v>45118</v>
      </c>
      <c r="AD151" s="83">
        <v>45259</v>
      </c>
      <c r="AE151" s="40" t="s">
        <v>2</v>
      </c>
      <c r="AF151" s="40" t="s">
        <v>2</v>
      </c>
      <c r="AG151" s="76" t="s">
        <v>5</v>
      </c>
      <c r="AH151" s="36" t="s">
        <v>0</v>
      </c>
      <c r="AI151" s="49">
        <v>0</v>
      </c>
      <c r="AJ151" s="36"/>
      <c r="AK151" s="10"/>
      <c r="AL151" s="36"/>
      <c r="AM151" s="36" t="s">
        <v>1</v>
      </c>
      <c r="AN151" s="35" t="s">
        <v>1</v>
      </c>
      <c r="AO151" s="35" t="s">
        <v>1</v>
      </c>
      <c r="AP151" s="35" t="s">
        <v>2</v>
      </c>
      <c r="AQ151" s="35" t="s">
        <v>1</v>
      </c>
      <c r="AR151" s="34" t="s">
        <v>1</v>
      </c>
      <c r="AS151" s="33"/>
      <c r="AT151" s="32" t="s">
        <v>1</v>
      </c>
      <c r="AU151" s="31"/>
      <c r="AV151" s="32" t="s">
        <v>1</v>
      </c>
      <c r="AW151" s="31"/>
      <c r="AX151" s="30" t="s">
        <v>2</v>
      </c>
      <c r="AY151" s="55">
        <v>45259</v>
      </c>
      <c r="AZ151" s="30" t="s">
        <v>2</v>
      </c>
      <c r="BA151" s="55"/>
      <c r="BB151" s="74"/>
      <c r="BC151" s="25"/>
      <c r="BD151" s="24" t="s">
        <v>11</v>
      </c>
      <c r="BE151" s="24" t="s">
        <v>11</v>
      </c>
      <c r="BF151" s="24" t="s">
        <v>136</v>
      </c>
      <c r="BG151" s="24" t="s">
        <v>21</v>
      </c>
      <c r="BH151" s="130" t="s">
        <v>18</v>
      </c>
      <c r="BI151" s="24" t="s">
        <v>732</v>
      </c>
      <c r="BJ151" s="24" t="s">
        <v>11</v>
      </c>
      <c r="BK151" s="24" t="s">
        <v>11</v>
      </c>
      <c r="BL151" s="24" t="s">
        <v>11</v>
      </c>
      <c r="BM151" s="24" t="s">
        <v>11</v>
      </c>
      <c r="BN151" s="24" t="s">
        <v>11</v>
      </c>
      <c r="BO151" s="24" t="s">
        <v>11</v>
      </c>
      <c r="BP151" s="24" t="s">
        <v>11</v>
      </c>
      <c r="BQ151" s="22">
        <f>YEAR([1]!BANCO10[[#This Row],[DATA INÍCIO]])</f>
        <v>2023</v>
      </c>
      <c r="BR151" s="22">
        <f>MONTH([1]!BANCO10[[#This Row],[DATA INÍCIO]])</f>
        <v>7</v>
      </c>
      <c r="BS151" s="129" t="e">
        <f>CONCATENATE(#REF!,#REF!)</f>
        <v>#REF!</v>
      </c>
      <c r="BT151" s="22"/>
      <c r="BU151" s="21" t="s">
        <v>733</v>
      </c>
      <c r="BV151" s="21" t="str">
        <f>IF([1]!BANCO10[[#This Row],[SOLUÇÃO]]=BV$1,[1]!BANCO10[[#This Row],[STATUS DA ETAPA]],"")</f>
        <v/>
      </c>
      <c r="BW151" s="21" t="str">
        <f>IF([1]!BANCO10[[#This Row],[SOLUÇÃO]]=BW$1,[1]!BANCO10[[#This Row],[STATUS DA ETAPA]],"")</f>
        <v/>
      </c>
      <c r="BX151" s="21" t="str">
        <f>IF([1]!BANCO10[[#This Row],[SOLUÇÃO]]=BX$1,[1]!BANCO10[[#This Row],[STATUS DA ETAPA]],"")</f>
        <v/>
      </c>
      <c r="BY151" s="21" t="str">
        <f>IF([1]!BANCO10[[#This Row],[SOLUÇÃO]]=BY$1,[1]!BANCO10[[#This Row],[STATUS DA ETAPA]],"")</f>
        <v/>
      </c>
      <c r="BZ151" s="21" t="str">
        <f>IF([1]!BANCO10[[#This Row],[SOLUÇÃO]]=BZ$1,[1]!BANCO10[[#This Row],[STATUS DA ETAPA]],"")</f>
        <v/>
      </c>
      <c r="CA151" s="21" t="str">
        <f>IF([1]!BANCO10[[#This Row],[SOLUÇÃO]]=CA$1,[1]!BANCO10[[#This Row],[STATUS DA ETAPA]],"")</f>
        <v>CONCLUÍDO</v>
      </c>
      <c r="CB151" s="21" t="str">
        <f>IF([1]!BANCO10[[#This Row],[SOLUÇÃO]]=CB$1,[1]!BANCO10[[#This Row],[STATUS DA ETAPA]],"")</f>
        <v/>
      </c>
      <c r="CC151" s="21" t="str">
        <f>IF([1]!BANCO10[[#This Row],[SOLUÇÃO]]=CC$1,[1]!BANCO10[[#This Row],[STATUS DA ETAPA]],"")</f>
        <v/>
      </c>
      <c r="CD151" s="21" t="str">
        <f>IF([1]!BANCO10[[#This Row],[SOLUÇÃO]]=CD$1,[1]!BANCO10[[#This Row],[STATUS DA ETAPA]],"")</f>
        <v/>
      </c>
      <c r="CE151" s="21" t="str">
        <f>IF([1]!BANCO10[[#This Row],[SOLUÇÃO]]=CE$1,[1]!BANCO10[[#This Row],[STATUS DA ETAPA]],"")</f>
        <v/>
      </c>
      <c r="CF151" s="21" t="str">
        <f>IF([1]!BANCO10[[#This Row],[SOLUÇÃO]]=CF$1,[1]!BANCO10[[#This Row],[STATUS DA ETAPA]],"")</f>
        <v/>
      </c>
      <c r="CG151" s="21" t="str">
        <f>IF([1]!BANCO10[[#This Row],[SOLUÇÃO]]=CG$1,[1]!BANCO10[[#This Row],[STATUS DA ETAPA]],"")</f>
        <v/>
      </c>
      <c r="CH151" s="21" t="str">
        <f>IF([1]!BANCO10[[#This Row],[SOLUÇÃO]]=CH$1,[1]!BANCO10[[#This Row],[STATUS DA ETAPA]],"")</f>
        <v/>
      </c>
      <c r="CI151" s="21" t="str">
        <f>IF([1]!BANCO10[[#This Row],[SOLUÇÃO]]=CI$1,[1]!BANCO10[[#This Row],[STATUS DA ETAPA]],"")</f>
        <v/>
      </c>
      <c r="CJ151" s="21" t="str">
        <f>IF([1]!BANCO10[[#This Row],[SOLUÇÃO]]=CJ$1,[1]!BANCO10[[#This Row],[STATUS DA ETAPA]],"")</f>
        <v/>
      </c>
      <c r="CK151" s="21" t="str">
        <f>IF([1]!BANCO10[[#This Row],[SOLUÇÃO]]=CK$1,[1]!BANCO10[[#This Row],[STATUS DA ETAPA]],"")</f>
        <v/>
      </c>
      <c r="CL151" s="21" t="str">
        <f>IF([1]!BANCO10[[#This Row],[SOLUÇÃO]]=CL$1,[1]!BANCO10[[#This Row],[STATUS DA ETAPA]],"")</f>
        <v/>
      </c>
      <c r="CM151" s="21" t="str">
        <f>IF([1]!BANCO10[[#This Row],[SOLUÇÃO]]=CM$1,[1]!BANCO10[[#This Row],[STATUS DA ETAPA]],"")</f>
        <v/>
      </c>
      <c r="CN151" s="21" t="str">
        <f>IF([1]!BANCO10[[#This Row],[SOLUÇÃO]]=CN$1,[1]!BANCO10[[#This Row],[STATUS DA ETAPA]],"")</f>
        <v/>
      </c>
      <c r="CO151" s="21" t="str">
        <f>IF([1]!BANCO10[[#This Row],[SOLUÇÃO]]=CO$1,[1]!BANCO10[[#This Row],[STATUS DA ETAPA]],"")</f>
        <v/>
      </c>
      <c r="CP151" s="21" t="str">
        <f>IF([1]!BANCO10[[#This Row],[SOLUÇÃO]]=CP$1,[1]!BANCO10[[#This Row],[STATUS DA ETAPA]],"")</f>
        <v/>
      </c>
      <c r="CQ151" s="21" t="str">
        <f>IF([1]!BANCO10[[#This Row],[SOLUÇÃO]]=CQ$1,[1]!BANCO10[[#This Row],[STATUS DA ETAPA]],"")</f>
        <v/>
      </c>
      <c r="CR151" s="21" t="str">
        <f>IF([1]!BANCO10[[#This Row],[SOLUÇÃO]]=CR$1,[1]!BANCO10[[#This Row],[STATUS DA ETAPA]],"")</f>
        <v/>
      </c>
      <c r="CS151" s="21" t="str">
        <f>IF([1]!BANCO10[[#This Row],[SOLUÇÃO]]=CS$1,[1]!BANCO10[[#This Row],[STATUS DA ETAPA]],"")</f>
        <v/>
      </c>
      <c r="CT151" s="21" t="str">
        <f>IF([1]!BANCO10[[#This Row],[SOLUÇÃO]]=CT$1,[1]!BANCO10[[#This Row],[STATUS DA ETAPA]],"")</f>
        <v/>
      </c>
      <c r="CU151" s="21" t="str">
        <f>IF([1]!BANCO10[[#This Row],[SOLUÇÃO]]=CU$1,[1]!BANCO10[[#This Row],[STATUS DA ETAPA]],"")</f>
        <v/>
      </c>
      <c r="CV151" s="21" t="str">
        <f>IF([1]!BANCO10[[#This Row],[SOLUÇÃO]]=CV$1,[1]!BANCO10[[#This Row],[STATUS DA ETAPA]],"")</f>
        <v/>
      </c>
    </row>
    <row r="152" spans="1:100">
      <c r="A152" s="44" t="s">
        <v>1</v>
      </c>
      <c r="B152" s="44"/>
      <c r="C152" s="44" t="s">
        <v>1</v>
      </c>
      <c r="D152" s="44"/>
      <c r="E152" s="44" t="s">
        <v>1</v>
      </c>
      <c r="F152" s="44"/>
      <c r="G152" s="44" t="s">
        <v>1</v>
      </c>
      <c r="H152" s="44"/>
      <c r="I152" s="45" t="s">
        <v>1</v>
      </c>
      <c r="J152" s="46"/>
      <c r="K152" s="45" t="s">
        <v>1</v>
      </c>
      <c r="L152" s="33"/>
      <c r="M152" s="45" t="s">
        <v>1</v>
      </c>
      <c r="N152" s="33"/>
      <c r="O152" s="44" t="s">
        <v>2</v>
      </c>
      <c r="P152" s="44">
        <v>45005</v>
      </c>
      <c r="Q152" s="44" t="s">
        <v>2</v>
      </c>
      <c r="R152" s="44">
        <v>45378</v>
      </c>
      <c r="S152" s="44" t="s">
        <v>2</v>
      </c>
      <c r="T152" s="44"/>
      <c r="U152" s="44" t="s">
        <v>2</v>
      </c>
      <c r="V152" s="44">
        <v>45379</v>
      </c>
      <c r="W152" s="44" t="s">
        <v>2</v>
      </c>
      <c r="X152" s="44"/>
      <c r="Y152" s="44" t="s">
        <v>2</v>
      </c>
      <c r="Z152" s="44"/>
      <c r="AA152" s="44" t="s">
        <v>2</v>
      </c>
      <c r="AB152" s="44"/>
      <c r="AC152" s="51">
        <v>45436</v>
      </c>
      <c r="AD152" s="83">
        <v>45642</v>
      </c>
      <c r="AE152" s="40" t="s">
        <v>2</v>
      </c>
      <c r="AF152" s="41" t="s">
        <v>2</v>
      </c>
      <c r="AG152" s="76" t="s">
        <v>4</v>
      </c>
      <c r="AH152" s="36" t="s">
        <v>0</v>
      </c>
      <c r="AI152" s="49">
        <v>0</v>
      </c>
      <c r="AJ152" s="36" t="s">
        <v>6</v>
      </c>
      <c r="AK152" s="10">
        <v>2500</v>
      </c>
      <c r="AL152" s="36" t="s">
        <v>89</v>
      </c>
      <c r="AM152" s="36" t="s">
        <v>30</v>
      </c>
      <c r="AN152" s="35" t="s">
        <v>1</v>
      </c>
      <c r="AO152" s="35" t="s">
        <v>1</v>
      </c>
      <c r="AP152" s="35" t="s">
        <v>2</v>
      </c>
      <c r="AQ152" s="35" t="s">
        <v>1</v>
      </c>
      <c r="AR152" s="34" t="s">
        <v>1</v>
      </c>
      <c r="AS152" s="33"/>
      <c r="AT152" s="32" t="s">
        <v>1</v>
      </c>
      <c r="AU152" s="31"/>
      <c r="AV152" s="32" t="s">
        <v>1</v>
      </c>
      <c r="AW152" s="31"/>
      <c r="AX152" s="28" t="s">
        <v>2</v>
      </c>
      <c r="AY152" s="55">
        <v>45645</v>
      </c>
      <c r="AZ152" s="28" t="s">
        <v>0</v>
      </c>
      <c r="BA152" s="55"/>
      <c r="BB152" s="39" t="s">
        <v>32</v>
      </c>
      <c r="BC152" s="25" t="s">
        <v>31</v>
      </c>
      <c r="BD152" s="24" t="s">
        <v>11</v>
      </c>
      <c r="BE152" s="24" t="s">
        <v>11</v>
      </c>
      <c r="BF152" s="24" t="s">
        <v>136</v>
      </c>
      <c r="BG152" s="24" t="s">
        <v>21</v>
      </c>
      <c r="BH152" s="130" t="s">
        <v>18</v>
      </c>
      <c r="BI152" s="24" t="s">
        <v>732</v>
      </c>
      <c r="BJ152" s="24" t="s">
        <v>11</v>
      </c>
      <c r="BK152" s="24" t="s">
        <v>11</v>
      </c>
      <c r="BL152" s="24">
        <v>45391</v>
      </c>
      <c r="BM152" s="24" t="s">
        <v>18</v>
      </c>
      <c r="BN152" s="24" t="s">
        <v>11</v>
      </c>
      <c r="BO152" s="24"/>
      <c r="BP152" s="24" t="s">
        <v>214</v>
      </c>
      <c r="BQ152" s="22">
        <f>YEAR([1]!BANCO10[[#This Row],[DATA INÍCIO]])</f>
        <v>2024</v>
      </c>
      <c r="BR152" s="22">
        <f>MONTH([1]!BANCO10[[#This Row],[DATA INÍCIO]])</f>
        <v>5</v>
      </c>
      <c r="BS152" s="129" t="e">
        <f>CONCATENATE(#REF!,#REF!)</f>
        <v>#REF!</v>
      </c>
      <c r="BT152" s="22"/>
      <c r="BU152" s="21" t="s">
        <v>731</v>
      </c>
      <c r="BV152" s="21" t="str">
        <f>IF([1]!BANCO10[[#This Row],[SOLUÇÃO]]=BV$1,[1]!BANCO10[[#This Row],[STATUS DA ETAPA]],"")</f>
        <v/>
      </c>
      <c r="BW152" s="21" t="str">
        <f>IF([1]!BANCO10[[#This Row],[SOLUÇÃO]]=BW$1,[1]!BANCO10[[#This Row],[STATUS DA ETAPA]],"")</f>
        <v/>
      </c>
      <c r="BX152" s="21" t="str">
        <f>IF([1]!BANCO10[[#This Row],[SOLUÇÃO]]=BX$1,[1]!BANCO10[[#This Row],[STATUS DA ETAPA]],"")</f>
        <v>CONCLUÍDO</v>
      </c>
      <c r="BY152" s="21" t="str">
        <f>IF([1]!BANCO10[[#This Row],[SOLUÇÃO]]=BY$1,[1]!BANCO10[[#This Row],[STATUS DA ETAPA]],"")</f>
        <v/>
      </c>
      <c r="BZ152" s="21" t="str">
        <f>IF([1]!BANCO10[[#This Row],[SOLUÇÃO]]=BZ$1,[1]!BANCO10[[#This Row],[STATUS DA ETAPA]],"")</f>
        <v/>
      </c>
      <c r="CA152" s="21" t="str">
        <f>IF([1]!BANCO10[[#This Row],[SOLUÇÃO]]=CA$1,[1]!BANCO10[[#This Row],[STATUS DA ETAPA]],"")</f>
        <v/>
      </c>
      <c r="CB152" s="21" t="str">
        <f>IF([1]!BANCO10[[#This Row],[SOLUÇÃO]]=CB$1,[1]!BANCO10[[#This Row],[STATUS DA ETAPA]],"")</f>
        <v/>
      </c>
      <c r="CC152" s="21" t="str">
        <f>IF([1]!BANCO10[[#This Row],[SOLUÇÃO]]=CC$1,[1]!BANCO10[[#This Row],[STATUS DA ETAPA]],"")</f>
        <v/>
      </c>
      <c r="CD152" s="21" t="str">
        <f>IF([1]!BANCO10[[#This Row],[SOLUÇÃO]]=CD$1,[1]!BANCO10[[#This Row],[STATUS DA ETAPA]],"")</f>
        <v/>
      </c>
      <c r="CE152" s="21" t="str">
        <f>IF([1]!BANCO10[[#This Row],[SOLUÇÃO]]=CE$1,[1]!BANCO10[[#This Row],[STATUS DA ETAPA]],"")</f>
        <v/>
      </c>
      <c r="CF152" s="21" t="str">
        <f>IF([1]!BANCO10[[#This Row],[SOLUÇÃO]]=CF$1,[1]!BANCO10[[#This Row],[STATUS DA ETAPA]],"")</f>
        <v/>
      </c>
      <c r="CG152" s="21" t="str">
        <f>IF([1]!BANCO10[[#This Row],[SOLUÇÃO]]=CG$1,[1]!BANCO10[[#This Row],[STATUS DA ETAPA]],"")</f>
        <v/>
      </c>
      <c r="CH152" s="21" t="str">
        <f>IF([1]!BANCO10[[#This Row],[SOLUÇÃO]]=CH$1,[1]!BANCO10[[#This Row],[STATUS DA ETAPA]],"")</f>
        <v/>
      </c>
      <c r="CI152" s="21" t="str">
        <f>IF([1]!BANCO10[[#This Row],[SOLUÇÃO]]=CI$1,[1]!BANCO10[[#This Row],[STATUS DA ETAPA]],"")</f>
        <v/>
      </c>
      <c r="CJ152" s="21" t="str">
        <f>IF([1]!BANCO10[[#This Row],[SOLUÇÃO]]=CJ$1,[1]!BANCO10[[#This Row],[STATUS DA ETAPA]],"")</f>
        <v/>
      </c>
      <c r="CK152" s="21" t="str">
        <f>IF([1]!BANCO10[[#This Row],[SOLUÇÃO]]=CK$1,[1]!BANCO10[[#This Row],[STATUS DA ETAPA]],"")</f>
        <v/>
      </c>
      <c r="CL152" s="21" t="str">
        <f>IF([1]!BANCO10[[#This Row],[SOLUÇÃO]]=CL$1,[1]!BANCO10[[#This Row],[STATUS DA ETAPA]],"")</f>
        <v/>
      </c>
      <c r="CM152" s="21" t="str">
        <f>IF([1]!BANCO10[[#This Row],[SOLUÇÃO]]=CM$1,[1]!BANCO10[[#This Row],[STATUS DA ETAPA]],"")</f>
        <v/>
      </c>
      <c r="CN152" s="21" t="str">
        <f>IF([1]!BANCO10[[#This Row],[SOLUÇÃO]]=CN$1,[1]!BANCO10[[#This Row],[STATUS DA ETAPA]],"")</f>
        <v/>
      </c>
      <c r="CO152" s="21" t="str">
        <f>IF([1]!BANCO10[[#This Row],[SOLUÇÃO]]=CO$1,[1]!BANCO10[[#This Row],[STATUS DA ETAPA]],"")</f>
        <v/>
      </c>
      <c r="CP152" s="21" t="str">
        <f>IF([1]!BANCO10[[#This Row],[SOLUÇÃO]]=CP$1,[1]!BANCO10[[#This Row],[STATUS DA ETAPA]],"")</f>
        <v/>
      </c>
      <c r="CQ152" s="21" t="str">
        <f>IF([1]!BANCO10[[#This Row],[SOLUÇÃO]]=CQ$1,[1]!BANCO10[[#This Row],[STATUS DA ETAPA]],"")</f>
        <v/>
      </c>
      <c r="CR152" s="21" t="str">
        <f>IF([1]!BANCO10[[#This Row],[SOLUÇÃO]]=CR$1,[1]!BANCO10[[#This Row],[STATUS DA ETAPA]],"")</f>
        <v/>
      </c>
      <c r="CS152" s="21" t="str">
        <f>IF([1]!BANCO10[[#This Row],[SOLUÇÃO]]=CS$1,[1]!BANCO10[[#This Row],[STATUS DA ETAPA]],"")</f>
        <v/>
      </c>
      <c r="CT152" s="21" t="str">
        <f>IF([1]!BANCO10[[#This Row],[SOLUÇÃO]]=CT$1,[1]!BANCO10[[#This Row],[STATUS DA ETAPA]],"")</f>
        <v/>
      </c>
      <c r="CU152" s="21" t="str">
        <f>IF([1]!BANCO10[[#This Row],[SOLUÇÃO]]=CU$1,[1]!BANCO10[[#This Row],[STATUS DA ETAPA]],"")</f>
        <v/>
      </c>
      <c r="CV152" s="21" t="str">
        <f>IF([1]!BANCO10[[#This Row],[SOLUÇÃO]]=CV$1,[1]!BANCO10[[#This Row],[STATUS DA ETAPA]],"")</f>
        <v/>
      </c>
    </row>
    <row r="153" spans="1:100">
      <c r="A153" s="44" t="s">
        <v>1</v>
      </c>
      <c r="B153" s="44"/>
      <c r="C153" s="44" t="s">
        <v>1</v>
      </c>
      <c r="D153" s="44"/>
      <c r="E153" s="44" t="s">
        <v>1</v>
      </c>
      <c r="F153" s="44"/>
      <c r="G153" s="44" t="s">
        <v>1</v>
      </c>
      <c r="H153" s="44"/>
      <c r="I153" s="45" t="s">
        <v>1</v>
      </c>
      <c r="J153" s="46"/>
      <c r="K153" s="45" t="s">
        <v>1</v>
      </c>
      <c r="L153" s="33"/>
      <c r="M153" s="45" t="s">
        <v>1</v>
      </c>
      <c r="N153" s="33"/>
      <c r="O153" s="44" t="s">
        <v>1</v>
      </c>
      <c r="P153" s="44"/>
      <c r="Q153" s="44" t="s">
        <v>1</v>
      </c>
      <c r="R153" s="44"/>
      <c r="S153" s="44" t="s">
        <v>1</v>
      </c>
      <c r="T153" s="44"/>
      <c r="U153" s="44" t="s">
        <v>1</v>
      </c>
      <c r="V153" s="44"/>
      <c r="W153" s="44" t="s">
        <v>1</v>
      </c>
      <c r="X153" s="44"/>
      <c r="Y153" s="44" t="s">
        <v>1</v>
      </c>
      <c r="Z153" s="44"/>
      <c r="AA153" s="44" t="s">
        <v>2</v>
      </c>
      <c r="AB153" s="44"/>
      <c r="AC153" s="51">
        <v>45856</v>
      </c>
      <c r="AD153" s="50">
        <v>45924</v>
      </c>
      <c r="AE153" s="68" t="s">
        <v>2</v>
      </c>
      <c r="AF153" s="68" t="s">
        <v>2</v>
      </c>
      <c r="AG153" s="76" t="s">
        <v>5</v>
      </c>
      <c r="AH153" s="36" t="s">
        <v>0</v>
      </c>
      <c r="AI153" s="49">
        <v>0</v>
      </c>
      <c r="AJ153" s="36" t="s">
        <v>6</v>
      </c>
      <c r="AK153" s="128" t="s">
        <v>730</v>
      </c>
      <c r="AL153" s="36">
        <v>0</v>
      </c>
      <c r="AM153" s="36">
        <v>0</v>
      </c>
      <c r="AN153" s="35" t="s">
        <v>1</v>
      </c>
      <c r="AO153" s="35" t="s">
        <v>1</v>
      </c>
      <c r="AP153" s="35" t="s">
        <v>2</v>
      </c>
      <c r="AQ153" s="35" t="s">
        <v>1</v>
      </c>
      <c r="AR153" s="34" t="s">
        <v>1</v>
      </c>
      <c r="AS153" s="33"/>
      <c r="AT153" s="32" t="s">
        <v>2</v>
      </c>
      <c r="AU153" s="96">
        <v>45895</v>
      </c>
      <c r="AV153" s="28" t="s">
        <v>0</v>
      </c>
      <c r="AW153" s="31"/>
      <c r="AX153" s="30" t="s">
        <v>0</v>
      </c>
      <c r="AY153" s="29"/>
      <c r="AZ153" s="28" t="s">
        <v>0</v>
      </c>
      <c r="BA153" s="81"/>
      <c r="BB153" s="39">
        <v>45835</v>
      </c>
      <c r="BC153" s="25" t="s">
        <v>273</v>
      </c>
      <c r="BD153" s="24"/>
      <c r="BE153" s="24"/>
      <c r="BF153" s="24"/>
      <c r="BG153" s="24"/>
      <c r="BH153" s="24"/>
      <c r="BI153" s="24"/>
      <c r="BJ153" s="24"/>
      <c r="BK153" s="24"/>
      <c r="BL153" s="24"/>
      <c r="BM153" s="24"/>
      <c r="BN153" s="24"/>
      <c r="BO153" s="24"/>
      <c r="BP153" s="24"/>
      <c r="BQ153" s="22">
        <f>YEAR([1]!BANCO10[[#This Row],[DATA INÍCIO]])</f>
        <v>2025</v>
      </c>
      <c r="BR153" s="22">
        <f>MONTH([1]!BANCO10[[#This Row],[DATA INÍCIO]])</f>
        <v>7</v>
      </c>
      <c r="BS153" s="23" t="e">
        <f>CONCATENATE(#REF!,#REF!)</f>
        <v>#REF!</v>
      </c>
      <c r="BT153" s="22"/>
      <c r="BU153" s="22"/>
      <c r="BV153" s="21" t="str">
        <f>IF([1]!BANCO10[[#This Row],[SOLUÇÃO]]=BV$1,[1]!BANCO10[[#This Row],[STATUS DA ETAPA]],"")</f>
        <v/>
      </c>
      <c r="BW153" s="21" t="str">
        <f>IF([1]!BANCO10[[#This Row],[SOLUÇÃO]]=BW$1,[1]!BANCO10[[#This Row],[STATUS DA ETAPA]],"")</f>
        <v/>
      </c>
      <c r="BX153" s="21" t="str">
        <f>IF([1]!BANCO10[[#This Row],[SOLUÇÃO]]=BX$1,[1]!BANCO10[[#This Row],[STATUS DA ETAPA]],"")</f>
        <v/>
      </c>
      <c r="BY153" s="21" t="str">
        <f>IF([1]!BANCO10[[#This Row],[SOLUÇÃO]]=BY$1,[1]!BANCO10[[#This Row],[STATUS DA ETAPA]],"")</f>
        <v/>
      </c>
      <c r="BZ153" s="21" t="str">
        <f>IF([1]!BANCO10[[#This Row],[SOLUÇÃO]]=BZ$1,[1]!BANCO10[[#This Row],[STATUS DA ETAPA]],"")</f>
        <v/>
      </c>
      <c r="CA153" s="21" t="str">
        <f>IF([1]!BANCO10[[#This Row],[SOLUÇÃO]]=CA$1,[1]!BANCO10[[#This Row],[STATUS DA ETAPA]],"")</f>
        <v/>
      </c>
      <c r="CB153" s="21" t="str">
        <f>IF([1]!BANCO10[[#This Row],[SOLUÇÃO]]=CB$1,[1]!BANCO10[[#This Row],[STATUS DA ETAPA]],"")</f>
        <v/>
      </c>
      <c r="CC153" s="21" t="str">
        <f>IF([1]!BANCO10[[#This Row],[SOLUÇÃO]]=CC$1,[1]!BANCO10[[#This Row],[STATUS DA ETAPA]],"")</f>
        <v/>
      </c>
      <c r="CD153" s="21" t="str">
        <f>IF([1]!BANCO10[[#This Row],[SOLUÇÃO]]=CD$1,[1]!BANCO10[[#This Row],[STATUS DA ETAPA]],"")</f>
        <v/>
      </c>
      <c r="CE153" s="21" t="str">
        <f>IF([1]!BANCO10[[#This Row],[SOLUÇÃO]]=CE$1,[1]!BANCO10[[#This Row],[STATUS DA ETAPA]],"")</f>
        <v/>
      </c>
      <c r="CF153" s="21" t="str">
        <f>IF([1]!BANCO10[[#This Row],[SOLUÇÃO]]=CF$1,[1]!BANCO10[[#This Row],[STATUS DA ETAPA]],"")</f>
        <v/>
      </c>
      <c r="CG153" s="21" t="str">
        <f>IF([1]!BANCO10[[#This Row],[SOLUÇÃO]]=CG$1,[1]!BANCO10[[#This Row],[STATUS DA ETAPA]],"")</f>
        <v/>
      </c>
      <c r="CH153" s="21" t="str">
        <f>IF([1]!BANCO10[[#This Row],[SOLUÇÃO]]=CH$1,[1]!BANCO10[[#This Row],[STATUS DA ETAPA]],"")</f>
        <v/>
      </c>
      <c r="CI153" s="21" t="str">
        <f>IF([1]!BANCO10[[#This Row],[SOLUÇÃO]]=CI$1,[1]!BANCO10[[#This Row],[STATUS DA ETAPA]],"")</f>
        <v/>
      </c>
      <c r="CJ153" s="21" t="str">
        <f>IF([1]!BANCO10[[#This Row],[SOLUÇÃO]]=CJ$1,[1]!BANCO10[[#This Row],[STATUS DA ETAPA]],"")</f>
        <v/>
      </c>
      <c r="CK153" s="21" t="str">
        <f>IF([1]!BANCO10[[#This Row],[SOLUÇÃO]]=CK$1,[1]!BANCO10[[#This Row],[STATUS DA ETAPA]],"")</f>
        <v/>
      </c>
      <c r="CL153" s="21" t="str">
        <f>IF([1]!BANCO10[[#This Row],[SOLUÇÃO]]=CL$1,[1]!BANCO10[[#This Row],[STATUS DA ETAPA]],"")</f>
        <v>CONCLUÍDO</v>
      </c>
      <c r="CM153" s="21" t="str">
        <f>IF([1]!BANCO10[[#This Row],[SOLUÇÃO]]=CM$1,[1]!BANCO10[[#This Row],[STATUS DA ETAPA]],"")</f>
        <v/>
      </c>
      <c r="CN153" s="21" t="str">
        <f>IF([1]!BANCO10[[#This Row],[SOLUÇÃO]]=CN$1,[1]!BANCO10[[#This Row],[STATUS DA ETAPA]],"")</f>
        <v/>
      </c>
      <c r="CO153" s="21" t="str">
        <f>IF([1]!BANCO10[[#This Row],[SOLUÇÃO]]=CO$1,[1]!BANCO10[[#This Row],[STATUS DA ETAPA]],"")</f>
        <v/>
      </c>
      <c r="CP153" s="21" t="str">
        <f>IF([1]!BANCO10[[#This Row],[SOLUÇÃO]]=CP$1,[1]!BANCO10[[#This Row],[STATUS DA ETAPA]],"")</f>
        <v/>
      </c>
      <c r="CQ153" s="21" t="str">
        <f>IF([1]!BANCO10[[#This Row],[SOLUÇÃO]]=CQ$1,[1]!BANCO10[[#This Row],[STATUS DA ETAPA]],"")</f>
        <v/>
      </c>
      <c r="CR153" s="21" t="str">
        <f>IF([1]!BANCO10[[#This Row],[SOLUÇÃO]]=CR$1,[1]!BANCO10[[#This Row],[STATUS DA ETAPA]],"")</f>
        <v/>
      </c>
      <c r="CS153" s="21" t="str">
        <f>IF([1]!BANCO10[[#This Row],[SOLUÇÃO]]=CS$1,[1]!BANCO10[[#This Row],[STATUS DA ETAPA]],"")</f>
        <v/>
      </c>
      <c r="CT153" s="21" t="str">
        <f>IF([1]!BANCO10[[#This Row],[SOLUÇÃO]]=CT$1,[1]!BANCO10[[#This Row],[STATUS DA ETAPA]],"")</f>
        <v/>
      </c>
      <c r="CU153" s="21" t="str">
        <f>IF([1]!BANCO10[[#This Row],[SOLUÇÃO]]=CU$1,[1]!BANCO10[[#This Row],[STATUS DA ETAPA]],"")</f>
        <v/>
      </c>
      <c r="CV153" s="21" t="str">
        <f>IF([1]!BANCO10[[#This Row],[SOLUÇÃO]]=CV$1,[1]!BANCO10[[#This Row],[STATUS DA ETAPA]],"")</f>
        <v/>
      </c>
    </row>
    <row r="154" spans="1:100">
      <c r="A154" s="44" t="s">
        <v>1</v>
      </c>
      <c r="B154" s="44"/>
      <c r="C154" s="44" t="s">
        <v>1</v>
      </c>
      <c r="D154" s="44"/>
      <c r="E154" s="44" t="s">
        <v>1</v>
      </c>
      <c r="F154" s="44"/>
      <c r="G154" s="44" t="s">
        <v>1</v>
      </c>
      <c r="H154" s="44"/>
      <c r="I154" s="45" t="s">
        <v>1</v>
      </c>
      <c r="J154" s="46"/>
      <c r="K154" s="45" t="s">
        <v>1</v>
      </c>
      <c r="L154" s="33"/>
      <c r="M154" s="45" t="s">
        <v>1</v>
      </c>
      <c r="N154" s="33"/>
      <c r="O154" s="44" t="s">
        <v>2</v>
      </c>
      <c r="P154" s="44">
        <v>44927</v>
      </c>
      <c r="Q154" s="44"/>
      <c r="R154" s="44"/>
      <c r="S154" s="44"/>
      <c r="T154" s="44"/>
      <c r="U154" s="44" t="s">
        <v>1</v>
      </c>
      <c r="V154" s="44"/>
      <c r="W154" s="44" t="s">
        <v>1</v>
      </c>
      <c r="X154" s="44"/>
      <c r="Y154" s="44" t="s">
        <v>1</v>
      </c>
      <c r="Z154" s="44"/>
      <c r="AA154" s="44" t="s">
        <v>1</v>
      </c>
      <c r="AB154" s="44"/>
      <c r="AC154" s="51">
        <v>45238</v>
      </c>
      <c r="AD154" s="50">
        <v>45364</v>
      </c>
      <c r="AE154" s="40" t="s">
        <v>2</v>
      </c>
      <c r="AF154" s="40" t="s">
        <v>2</v>
      </c>
      <c r="AG154" s="76" t="s">
        <v>5</v>
      </c>
      <c r="AH154" s="36" t="s">
        <v>2</v>
      </c>
      <c r="AI154" s="49">
        <v>0</v>
      </c>
      <c r="AJ154" s="36" t="s">
        <v>1</v>
      </c>
      <c r="AK154" s="10" t="s">
        <v>1</v>
      </c>
      <c r="AL154" s="36" t="s">
        <v>1</v>
      </c>
      <c r="AM154" s="36" t="s">
        <v>1</v>
      </c>
      <c r="AN154" s="35" t="s">
        <v>1</v>
      </c>
      <c r="AO154" s="35" t="s">
        <v>1</v>
      </c>
      <c r="AP154" s="35" t="s">
        <v>2</v>
      </c>
      <c r="AQ154" s="35" t="s">
        <v>1</v>
      </c>
      <c r="AR154" s="34" t="s">
        <v>1</v>
      </c>
      <c r="AS154" s="33"/>
      <c r="AT154" s="32" t="s">
        <v>1</v>
      </c>
      <c r="AU154" s="31"/>
      <c r="AV154" s="32" t="s">
        <v>1</v>
      </c>
      <c r="AW154" s="31"/>
      <c r="AX154" s="30" t="s">
        <v>2</v>
      </c>
      <c r="AY154" s="55">
        <v>45364</v>
      </c>
      <c r="AZ154" s="30" t="s">
        <v>0</v>
      </c>
      <c r="BA154" s="55"/>
      <c r="BB154" s="74" t="s">
        <v>34</v>
      </c>
      <c r="BC154" s="25"/>
      <c r="BD154" s="24" t="s">
        <v>11</v>
      </c>
      <c r="BE154" s="24" t="s">
        <v>11</v>
      </c>
      <c r="BF154" s="24" t="s">
        <v>11</v>
      </c>
      <c r="BG154" s="24" t="s">
        <v>11</v>
      </c>
      <c r="BH154" s="130" t="s">
        <v>11</v>
      </c>
      <c r="BI154" s="24"/>
      <c r="BJ154" s="24" t="s">
        <v>11</v>
      </c>
      <c r="BK154" s="24" t="s">
        <v>11</v>
      </c>
      <c r="BL154" s="24">
        <v>45391</v>
      </c>
      <c r="BM154" s="24" t="s">
        <v>11</v>
      </c>
      <c r="BN154" s="24" t="s">
        <v>11</v>
      </c>
      <c r="BO154" s="24"/>
      <c r="BP154" s="24" t="s">
        <v>188</v>
      </c>
      <c r="BQ154" s="22">
        <f>YEAR([1]!BANCO10[[#This Row],[DATA INÍCIO]])</f>
        <v>2023</v>
      </c>
      <c r="BR154" s="22">
        <f>MONTH([1]!BANCO10[[#This Row],[DATA INÍCIO]])</f>
        <v>11</v>
      </c>
      <c r="BS154" s="129" t="e">
        <f>CONCATENATE(#REF!,#REF!)</f>
        <v>#REF!</v>
      </c>
      <c r="BT154" s="22"/>
      <c r="BU154" s="21" t="s">
        <v>729</v>
      </c>
      <c r="BV154" s="21" t="str">
        <f>IF([1]!BANCO10[[#This Row],[SOLUÇÃO]]=BV$1,[1]!BANCO10[[#This Row],[STATUS DA ETAPA]],"")</f>
        <v/>
      </c>
      <c r="BW154" s="21" t="str">
        <f>IF([1]!BANCO10[[#This Row],[SOLUÇÃO]]=BW$1,[1]!BANCO10[[#This Row],[STATUS DA ETAPA]],"")</f>
        <v/>
      </c>
      <c r="BX154" s="21" t="str">
        <f>IF([1]!BANCO10[[#This Row],[SOLUÇÃO]]=BX$1,[1]!BANCO10[[#This Row],[STATUS DA ETAPA]],"")</f>
        <v/>
      </c>
      <c r="BY154" s="21" t="str">
        <f>IF([1]!BANCO10[[#This Row],[SOLUÇÃO]]=BY$1,[1]!BANCO10[[#This Row],[STATUS DA ETAPA]],"")</f>
        <v/>
      </c>
      <c r="BZ154" s="21" t="str">
        <f>IF([1]!BANCO10[[#This Row],[SOLUÇÃO]]=BZ$1,[1]!BANCO10[[#This Row],[STATUS DA ETAPA]],"")</f>
        <v/>
      </c>
      <c r="CA154" s="21" t="str">
        <f>IF([1]!BANCO10[[#This Row],[SOLUÇÃO]]=CA$1,[1]!BANCO10[[#This Row],[STATUS DA ETAPA]],"")</f>
        <v>CONCLUÍDO</v>
      </c>
      <c r="CB154" s="21" t="str">
        <f>IF([1]!BANCO10[[#This Row],[SOLUÇÃO]]=CB$1,[1]!BANCO10[[#This Row],[STATUS DA ETAPA]],"")</f>
        <v/>
      </c>
      <c r="CC154" s="21" t="str">
        <f>IF([1]!BANCO10[[#This Row],[SOLUÇÃO]]=CC$1,[1]!BANCO10[[#This Row],[STATUS DA ETAPA]],"")</f>
        <v/>
      </c>
      <c r="CD154" s="21" t="str">
        <f>IF([1]!BANCO10[[#This Row],[SOLUÇÃO]]=CD$1,[1]!BANCO10[[#This Row],[STATUS DA ETAPA]],"")</f>
        <v/>
      </c>
      <c r="CE154" s="21" t="str">
        <f>IF([1]!BANCO10[[#This Row],[SOLUÇÃO]]=CE$1,[1]!BANCO10[[#This Row],[STATUS DA ETAPA]],"")</f>
        <v/>
      </c>
      <c r="CF154" s="21" t="str">
        <f>IF([1]!BANCO10[[#This Row],[SOLUÇÃO]]=CF$1,[1]!BANCO10[[#This Row],[STATUS DA ETAPA]],"")</f>
        <v/>
      </c>
      <c r="CG154" s="21" t="str">
        <f>IF([1]!BANCO10[[#This Row],[SOLUÇÃO]]=CG$1,[1]!BANCO10[[#This Row],[STATUS DA ETAPA]],"")</f>
        <v/>
      </c>
      <c r="CH154" s="21" t="str">
        <f>IF([1]!BANCO10[[#This Row],[SOLUÇÃO]]=CH$1,[1]!BANCO10[[#This Row],[STATUS DA ETAPA]],"")</f>
        <v/>
      </c>
      <c r="CI154" s="21" t="str">
        <f>IF([1]!BANCO10[[#This Row],[SOLUÇÃO]]=CI$1,[1]!BANCO10[[#This Row],[STATUS DA ETAPA]],"")</f>
        <v/>
      </c>
      <c r="CJ154" s="21" t="str">
        <f>IF([1]!BANCO10[[#This Row],[SOLUÇÃO]]=CJ$1,[1]!BANCO10[[#This Row],[STATUS DA ETAPA]],"")</f>
        <v/>
      </c>
      <c r="CK154" s="21" t="str">
        <f>IF([1]!BANCO10[[#This Row],[SOLUÇÃO]]=CK$1,[1]!BANCO10[[#This Row],[STATUS DA ETAPA]],"")</f>
        <v/>
      </c>
      <c r="CL154" s="21" t="str">
        <f>IF([1]!BANCO10[[#This Row],[SOLUÇÃO]]=CL$1,[1]!BANCO10[[#This Row],[STATUS DA ETAPA]],"")</f>
        <v/>
      </c>
      <c r="CM154" s="21" t="str">
        <f>IF([1]!BANCO10[[#This Row],[SOLUÇÃO]]=CM$1,[1]!BANCO10[[#This Row],[STATUS DA ETAPA]],"")</f>
        <v/>
      </c>
      <c r="CN154" s="21" t="str">
        <f>IF([1]!BANCO10[[#This Row],[SOLUÇÃO]]=CN$1,[1]!BANCO10[[#This Row],[STATUS DA ETAPA]],"")</f>
        <v/>
      </c>
      <c r="CO154" s="21" t="str">
        <f>IF([1]!BANCO10[[#This Row],[SOLUÇÃO]]=CO$1,[1]!BANCO10[[#This Row],[STATUS DA ETAPA]],"")</f>
        <v/>
      </c>
      <c r="CP154" s="21" t="str">
        <f>IF([1]!BANCO10[[#This Row],[SOLUÇÃO]]=CP$1,[1]!BANCO10[[#This Row],[STATUS DA ETAPA]],"")</f>
        <v/>
      </c>
      <c r="CQ154" s="21" t="str">
        <f>IF([1]!BANCO10[[#This Row],[SOLUÇÃO]]=CQ$1,[1]!BANCO10[[#This Row],[STATUS DA ETAPA]],"")</f>
        <v/>
      </c>
      <c r="CR154" s="21" t="str">
        <f>IF([1]!BANCO10[[#This Row],[SOLUÇÃO]]=CR$1,[1]!BANCO10[[#This Row],[STATUS DA ETAPA]],"")</f>
        <v/>
      </c>
      <c r="CS154" s="21" t="str">
        <f>IF([1]!BANCO10[[#This Row],[SOLUÇÃO]]=CS$1,[1]!BANCO10[[#This Row],[STATUS DA ETAPA]],"")</f>
        <v/>
      </c>
      <c r="CT154" s="21" t="str">
        <f>IF([1]!BANCO10[[#This Row],[SOLUÇÃO]]=CT$1,[1]!BANCO10[[#This Row],[STATUS DA ETAPA]],"")</f>
        <v/>
      </c>
      <c r="CU154" s="21" t="str">
        <f>IF([1]!BANCO10[[#This Row],[SOLUÇÃO]]=CU$1,[1]!BANCO10[[#This Row],[STATUS DA ETAPA]],"")</f>
        <v/>
      </c>
      <c r="CV154" s="21" t="str">
        <f>IF([1]!BANCO10[[#This Row],[SOLUÇÃO]]=CV$1,[1]!BANCO10[[#This Row],[STATUS DA ETAPA]],"")</f>
        <v/>
      </c>
    </row>
    <row r="155" spans="1:100">
      <c r="A155" s="44" t="s">
        <v>1</v>
      </c>
      <c r="B155" s="44"/>
      <c r="C155" s="44" t="s">
        <v>1</v>
      </c>
      <c r="D155" s="44"/>
      <c r="E155" s="44" t="s">
        <v>1</v>
      </c>
      <c r="F155" s="44"/>
      <c r="G155" s="44" t="s">
        <v>1</v>
      </c>
      <c r="H155" s="44"/>
      <c r="I155" s="45" t="s">
        <v>1</v>
      </c>
      <c r="J155" s="46"/>
      <c r="K155" s="45" t="s">
        <v>1</v>
      </c>
      <c r="L155" s="33"/>
      <c r="M155" s="45" t="s">
        <v>1</v>
      </c>
      <c r="N155" s="33"/>
      <c r="O155" s="44" t="s">
        <v>1</v>
      </c>
      <c r="P155" s="44"/>
      <c r="Q155" s="44" t="s">
        <v>1</v>
      </c>
      <c r="R155" s="44"/>
      <c r="S155" s="44" t="s">
        <v>1</v>
      </c>
      <c r="T155" s="44"/>
      <c r="U155" s="44" t="s">
        <v>1</v>
      </c>
      <c r="V155" s="44"/>
      <c r="W155" s="44" t="s">
        <v>1</v>
      </c>
      <c r="X155" s="44"/>
      <c r="Y155" s="44" t="s">
        <v>1</v>
      </c>
      <c r="Z155" s="44"/>
      <c r="AA155" s="44" t="s">
        <v>1</v>
      </c>
      <c r="AB155" s="44"/>
      <c r="AC155" s="51">
        <v>45553</v>
      </c>
      <c r="AD155" s="50">
        <v>45553</v>
      </c>
      <c r="AE155" s="41" t="s">
        <v>1</v>
      </c>
      <c r="AF155" s="41" t="s">
        <v>1</v>
      </c>
      <c r="AG155" s="40" t="s">
        <v>5</v>
      </c>
      <c r="AH155" s="36" t="s">
        <v>1</v>
      </c>
      <c r="AI155" s="49">
        <v>0</v>
      </c>
      <c r="AJ155" s="36" t="s">
        <v>1</v>
      </c>
      <c r="AK155" s="10" t="s">
        <v>1</v>
      </c>
      <c r="AL155" s="36" t="s">
        <v>1</v>
      </c>
      <c r="AM155" s="36" t="s">
        <v>1</v>
      </c>
      <c r="AN155" s="35" t="s">
        <v>1</v>
      </c>
      <c r="AO155" s="35" t="s">
        <v>1</v>
      </c>
      <c r="AP155" s="35" t="s">
        <v>1</v>
      </c>
      <c r="AQ155" s="35" t="s">
        <v>1</v>
      </c>
      <c r="AR155" s="90" t="s">
        <v>1</v>
      </c>
      <c r="AS155" s="89"/>
      <c r="AT155" s="88"/>
      <c r="AU155" s="25"/>
      <c r="AV155" s="88"/>
      <c r="AW155" s="25"/>
      <c r="AX155" s="88" t="s">
        <v>1</v>
      </c>
      <c r="AY155" s="25"/>
      <c r="AZ155" s="88" t="s">
        <v>1</v>
      </c>
      <c r="BA155" s="25"/>
      <c r="BB155" s="39" t="s">
        <v>144</v>
      </c>
      <c r="BC155" s="25"/>
      <c r="BD155" s="24"/>
      <c r="BE155" s="24"/>
      <c r="BF155" s="79"/>
      <c r="BG155" s="79"/>
      <c r="BH155" s="80"/>
      <c r="BI155" s="79"/>
      <c r="BJ155" s="54"/>
      <c r="BK155" s="78"/>
      <c r="BL155" s="69"/>
      <c r="BM155" s="78"/>
      <c r="BN155" s="78"/>
      <c r="BO155" s="78"/>
      <c r="BP155" s="78"/>
      <c r="BQ155" s="21">
        <f>YEAR([1]!BANCO10[[#This Row],[DATA INÍCIO]])</f>
        <v>2024</v>
      </c>
      <c r="BR155" s="21">
        <f>MONTH([1]!BANCO10[[#This Row],[DATA INÍCIO]])</f>
        <v>9</v>
      </c>
      <c r="BS155" s="21" t="e">
        <f>CONCATENATE(#REF!,#REF!)</f>
        <v>#REF!</v>
      </c>
      <c r="BT155" s="21"/>
      <c r="BU155" s="21"/>
      <c r="BV155" s="21" t="str">
        <f>IF([1]!BANCO10[[#This Row],[SOLUÇÃO]]=BV$1,[1]!BANCO10[[#This Row],[STATUS DA ETAPA]],"")</f>
        <v>CONCLUÍDO</v>
      </c>
      <c r="BW155" s="21" t="str">
        <f>IF([1]!BANCO10[[#This Row],[SOLUÇÃO]]=BW$1,[1]!BANCO10[[#This Row],[STATUS DA ETAPA]],"")</f>
        <v/>
      </c>
      <c r="BX155" s="21" t="str">
        <f>IF([1]!BANCO10[[#This Row],[SOLUÇÃO]]=BX$1,[1]!BANCO10[[#This Row],[STATUS DA ETAPA]],"")</f>
        <v/>
      </c>
      <c r="BY155" s="21" t="str">
        <f>IF([1]!BANCO10[[#This Row],[SOLUÇÃO]]=BY$1,[1]!BANCO10[[#This Row],[STATUS DA ETAPA]],"")</f>
        <v/>
      </c>
      <c r="BZ155" s="21" t="str">
        <f>IF([1]!BANCO10[[#This Row],[SOLUÇÃO]]=BZ$1,[1]!BANCO10[[#This Row],[STATUS DA ETAPA]],"")</f>
        <v/>
      </c>
      <c r="CA155" s="21" t="str">
        <f>IF([1]!BANCO10[[#This Row],[SOLUÇÃO]]=CA$1,[1]!BANCO10[[#This Row],[STATUS DA ETAPA]],"")</f>
        <v/>
      </c>
      <c r="CB155" s="21" t="str">
        <f>IF([1]!BANCO10[[#This Row],[SOLUÇÃO]]=CB$1,[1]!BANCO10[[#This Row],[STATUS DA ETAPA]],"")</f>
        <v/>
      </c>
      <c r="CC155" s="21" t="str">
        <f>IF([1]!BANCO10[[#This Row],[SOLUÇÃO]]=CC$1,[1]!BANCO10[[#This Row],[STATUS DA ETAPA]],"")</f>
        <v/>
      </c>
      <c r="CD155" s="21" t="str">
        <f>IF([1]!BANCO10[[#This Row],[SOLUÇÃO]]=CD$1,[1]!BANCO10[[#This Row],[STATUS DA ETAPA]],"")</f>
        <v/>
      </c>
      <c r="CE155" s="21" t="str">
        <f>IF([1]!BANCO10[[#This Row],[SOLUÇÃO]]=CE$1,[1]!BANCO10[[#This Row],[STATUS DA ETAPA]],"")</f>
        <v/>
      </c>
      <c r="CF155" s="21" t="str">
        <f>IF([1]!BANCO10[[#This Row],[SOLUÇÃO]]=CF$1,[1]!BANCO10[[#This Row],[STATUS DA ETAPA]],"")</f>
        <v/>
      </c>
      <c r="CG155" s="21" t="str">
        <f>IF([1]!BANCO10[[#This Row],[SOLUÇÃO]]=CG$1,[1]!BANCO10[[#This Row],[STATUS DA ETAPA]],"")</f>
        <v/>
      </c>
      <c r="CH155" s="21" t="str">
        <f>IF([1]!BANCO10[[#This Row],[SOLUÇÃO]]=CH$1,[1]!BANCO10[[#This Row],[STATUS DA ETAPA]],"")</f>
        <v/>
      </c>
      <c r="CI155" s="21" t="str">
        <f>IF([1]!BANCO10[[#This Row],[SOLUÇÃO]]=CI$1,[1]!BANCO10[[#This Row],[STATUS DA ETAPA]],"")</f>
        <v/>
      </c>
      <c r="CJ155" s="21" t="str">
        <f>IF([1]!BANCO10[[#This Row],[SOLUÇÃO]]=CJ$1,[1]!BANCO10[[#This Row],[STATUS DA ETAPA]],"")</f>
        <v/>
      </c>
      <c r="CK155" s="21" t="str">
        <f>IF([1]!BANCO10[[#This Row],[SOLUÇÃO]]=CK$1,[1]!BANCO10[[#This Row],[STATUS DA ETAPA]],"")</f>
        <v/>
      </c>
      <c r="CL155" s="22" t="str">
        <f>IF([1]!BANCO10[[#This Row],[SOLUÇÃO]]=CL$1,[1]!BANCO10[[#This Row],[STATUS DA ETAPA]],"")</f>
        <v/>
      </c>
      <c r="CM155" s="64" t="str">
        <f>IF([1]!BANCO10[[#This Row],[SOLUÇÃO]]=CM$1,[1]!BANCO10[[#This Row],[STATUS DA ETAPA]],"")</f>
        <v/>
      </c>
      <c r="CN155" s="64" t="str">
        <f>IF([1]!BANCO10[[#This Row],[SOLUÇÃO]]=CN$1,[1]!BANCO10[[#This Row],[STATUS DA ETAPA]],"")</f>
        <v/>
      </c>
      <c r="CO155" s="64" t="str">
        <f>IF([1]!BANCO10[[#This Row],[SOLUÇÃO]]=CO$1,[1]!BANCO10[[#This Row],[STATUS DA ETAPA]],"")</f>
        <v/>
      </c>
      <c r="CP155" s="64" t="str">
        <f>IF([1]!BANCO10[[#This Row],[SOLUÇÃO]]=CP$1,[1]!BANCO10[[#This Row],[STATUS DA ETAPA]],"")</f>
        <v/>
      </c>
      <c r="CQ155" s="64" t="str">
        <f>IF([1]!BANCO10[[#This Row],[SOLUÇÃO]]=CQ$1,[1]!BANCO10[[#This Row],[STATUS DA ETAPA]],"")</f>
        <v/>
      </c>
      <c r="CR155" s="64" t="str">
        <f>IF([1]!BANCO10[[#This Row],[SOLUÇÃO]]=CR$1,[1]!BANCO10[[#This Row],[STATUS DA ETAPA]],"")</f>
        <v/>
      </c>
      <c r="CS155" s="64" t="str">
        <f>IF([1]!BANCO10[[#This Row],[SOLUÇÃO]]=CS$1,[1]!BANCO10[[#This Row],[STATUS DA ETAPA]],"")</f>
        <v/>
      </c>
      <c r="CT155" s="64" t="str">
        <f>IF([1]!BANCO10[[#This Row],[SOLUÇÃO]]=CT$1,[1]!BANCO10[[#This Row],[STATUS DA ETAPA]],"")</f>
        <v/>
      </c>
      <c r="CU155" s="64" t="str">
        <f>IF([1]!BANCO10[[#This Row],[SOLUÇÃO]]=CU$1,[1]!BANCO10[[#This Row],[STATUS DA ETAPA]],"")</f>
        <v/>
      </c>
      <c r="CV155" s="64" t="str">
        <f>IF([1]!BANCO10[[#This Row],[SOLUÇÃO]]=CV$1,[1]!BANCO10[[#This Row],[STATUS DA ETAPA]],"")</f>
        <v/>
      </c>
    </row>
    <row r="156" spans="1:100">
      <c r="A156" s="44" t="s">
        <v>1</v>
      </c>
      <c r="B156" s="44"/>
      <c r="C156" s="44" t="s">
        <v>1</v>
      </c>
      <c r="D156" s="44"/>
      <c r="E156" s="44" t="s">
        <v>1</v>
      </c>
      <c r="F156" s="44"/>
      <c r="G156" s="44" t="s">
        <v>1</v>
      </c>
      <c r="H156" s="44"/>
      <c r="I156" s="45" t="s">
        <v>1</v>
      </c>
      <c r="J156" s="46"/>
      <c r="K156" s="45" t="s">
        <v>1</v>
      </c>
      <c r="L156" s="33"/>
      <c r="M156" s="45" t="s">
        <v>1</v>
      </c>
      <c r="N156" s="33"/>
      <c r="O156" s="44" t="s">
        <v>2</v>
      </c>
      <c r="P156" s="44">
        <v>45531</v>
      </c>
      <c r="Q156" s="44" t="s">
        <v>2</v>
      </c>
      <c r="R156" s="44">
        <v>45536</v>
      </c>
      <c r="S156" s="44" t="s">
        <v>2</v>
      </c>
      <c r="T156" s="44">
        <v>45594</v>
      </c>
      <c r="U156" s="44" t="s">
        <v>1</v>
      </c>
      <c r="V156" s="44"/>
      <c r="W156" s="44" t="s">
        <v>1</v>
      </c>
      <c r="X156" s="44"/>
      <c r="Y156" s="44" t="s">
        <v>1</v>
      </c>
      <c r="Z156" s="44"/>
      <c r="AA156" s="44" t="s">
        <v>1</v>
      </c>
      <c r="AB156" s="44"/>
      <c r="AC156" s="51">
        <v>45673</v>
      </c>
      <c r="AD156" s="50">
        <v>45791</v>
      </c>
      <c r="AE156" s="41" t="s">
        <v>2</v>
      </c>
      <c r="AF156" s="41" t="s">
        <v>2</v>
      </c>
      <c r="AG156" s="40" t="s">
        <v>5</v>
      </c>
      <c r="AH156" s="36" t="s">
        <v>0</v>
      </c>
      <c r="AI156" s="49">
        <v>14440</v>
      </c>
      <c r="AJ156" s="36" t="s">
        <v>6</v>
      </c>
      <c r="AK156" s="10">
        <v>575050</v>
      </c>
      <c r="AL156" s="36" t="s">
        <v>1</v>
      </c>
      <c r="AM156" s="36" t="s">
        <v>1</v>
      </c>
      <c r="AN156" s="35" t="s">
        <v>2</v>
      </c>
      <c r="AO156" s="35" t="s">
        <v>2</v>
      </c>
      <c r="AP156" s="35" t="s">
        <v>2</v>
      </c>
      <c r="AQ156" s="35" t="s">
        <v>2</v>
      </c>
      <c r="AR156" s="34" t="s">
        <v>2</v>
      </c>
      <c r="AS156" s="33">
        <v>45804</v>
      </c>
      <c r="AT156" s="32" t="s">
        <v>1</v>
      </c>
      <c r="AU156" s="31"/>
      <c r="AV156" s="32" t="s">
        <v>1</v>
      </c>
      <c r="AW156" s="31"/>
      <c r="AX156" s="30" t="s">
        <v>2</v>
      </c>
      <c r="AY156" s="29">
        <v>45804</v>
      </c>
      <c r="AZ156" s="28" t="s">
        <v>0</v>
      </c>
      <c r="BA156" s="27"/>
      <c r="BB156" s="95" t="s">
        <v>143</v>
      </c>
      <c r="BC156" s="25" t="s">
        <v>41</v>
      </c>
      <c r="BD156" s="24"/>
      <c r="BE156" s="24"/>
      <c r="BF156" s="79"/>
      <c r="BG156" s="79"/>
      <c r="BH156" s="80"/>
      <c r="BI156" s="79"/>
      <c r="BJ156" s="54"/>
      <c r="BK156" s="78"/>
      <c r="BL156" s="69"/>
      <c r="BM156" s="78"/>
      <c r="BN156" s="78"/>
      <c r="BO156" s="78"/>
      <c r="BP156" s="78"/>
      <c r="BQ156" s="21">
        <f>YEAR([1]!BANCO10[[#This Row],[DATA INÍCIO]])</f>
        <v>2025</v>
      </c>
      <c r="BR156" s="21">
        <f>MONTH([1]!BANCO10[[#This Row],[DATA INÍCIO]])</f>
        <v>1</v>
      </c>
      <c r="BS156" s="21" t="e">
        <f>CONCATENATE(#REF!,#REF!)</f>
        <v>#REF!</v>
      </c>
      <c r="BT156" s="21"/>
      <c r="BU156" s="21"/>
      <c r="BV156" s="21" t="str">
        <f>IF([1]!BANCO10[[#This Row],[SOLUÇÃO]]=BV$1,[1]!BANCO10[[#This Row],[STATUS DA ETAPA]],"")</f>
        <v/>
      </c>
      <c r="BW156" s="21" t="str">
        <f>IF([1]!BANCO10[[#This Row],[SOLUÇÃO]]=BW$1,[1]!BANCO10[[#This Row],[STATUS DA ETAPA]],"")</f>
        <v/>
      </c>
      <c r="BX156" s="21" t="str">
        <f>IF([1]!BANCO10[[#This Row],[SOLUÇÃO]]=BX$1,[1]!BANCO10[[#This Row],[STATUS DA ETAPA]],"")</f>
        <v/>
      </c>
      <c r="BY156" s="21" t="str">
        <f>IF([1]!BANCO10[[#This Row],[SOLUÇÃO]]=BY$1,[1]!BANCO10[[#This Row],[STATUS DA ETAPA]],"")</f>
        <v/>
      </c>
      <c r="BZ156" s="21" t="str">
        <f>IF([1]!BANCO10[[#This Row],[SOLUÇÃO]]=BZ$1,[1]!BANCO10[[#This Row],[STATUS DA ETAPA]],"")</f>
        <v/>
      </c>
      <c r="CA156" s="21" t="str">
        <f>IF([1]!BANCO10[[#This Row],[SOLUÇÃO]]=CA$1,[1]!BANCO10[[#This Row],[STATUS DA ETAPA]],"")</f>
        <v/>
      </c>
      <c r="CB156" s="21" t="str">
        <f>IF([1]!BANCO10[[#This Row],[SOLUÇÃO]]=CB$1,[1]!BANCO10[[#This Row],[STATUS DA ETAPA]],"")</f>
        <v>CONCLUÍDO</v>
      </c>
      <c r="CC156" s="21" t="str">
        <f>IF([1]!BANCO10[[#This Row],[SOLUÇÃO]]=CC$1,[1]!BANCO10[[#This Row],[STATUS DA ETAPA]],"")</f>
        <v/>
      </c>
      <c r="CD156" s="21" t="str">
        <f>IF([1]!BANCO10[[#This Row],[SOLUÇÃO]]=CD$1,[1]!BANCO10[[#This Row],[STATUS DA ETAPA]],"")</f>
        <v/>
      </c>
      <c r="CE156" s="21" t="str">
        <f>IF([1]!BANCO10[[#This Row],[SOLUÇÃO]]=CE$1,[1]!BANCO10[[#This Row],[STATUS DA ETAPA]],"")</f>
        <v/>
      </c>
      <c r="CF156" s="21" t="str">
        <f>IF([1]!BANCO10[[#This Row],[SOLUÇÃO]]=CF$1,[1]!BANCO10[[#This Row],[STATUS DA ETAPA]],"")</f>
        <v/>
      </c>
      <c r="CG156" s="21" t="str">
        <f>IF([1]!BANCO10[[#This Row],[SOLUÇÃO]]=CG$1,[1]!BANCO10[[#This Row],[STATUS DA ETAPA]],"")</f>
        <v/>
      </c>
      <c r="CH156" s="21" t="str">
        <f>IF([1]!BANCO10[[#This Row],[SOLUÇÃO]]=CH$1,[1]!BANCO10[[#This Row],[STATUS DA ETAPA]],"")</f>
        <v/>
      </c>
      <c r="CI156" s="21" t="str">
        <f>IF([1]!BANCO10[[#This Row],[SOLUÇÃO]]=CI$1,[1]!BANCO10[[#This Row],[STATUS DA ETAPA]],"")</f>
        <v/>
      </c>
      <c r="CJ156" s="21" t="str">
        <f>IF([1]!BANCO10[[#This Row],[SOLUÇÃO]]=CJ$1,[1]!BANCO10[[#This Row],[STATUS DA ETAPA]],"")</f>
        <v/>
      </c>
      <c r="CK156" s="21" t="str">
        <f>IF([1]!BANCO10[[#This Row],[SOLUÇÃO]]=CK$1,[1]!BANCO10[[#This Row],[STATUS DA ETAPA]],"")</f>
        <v/>
      </c>
      <c r="CL156" s="22" t="str">
        <f>IF([1]!BANCO10[[#This Row],[SOLUÇÃO]]=CL$1,[1]!BANCO10[[#This Row],[STATUS DA ETAPA]],"")</f>
        <v/>
      </c>
      <c r="CM156" s="64" t="str">
        <f>IF([1]!BANCO10[[#This Row],[SOLUÇÃO]]=CM$1,[1]!BANCO10[[#This Row],[STATUS DA ETAPA]],"")</f>
        <v/>
      </c>
      <c r="CN156" s="64" t="str">
        <f>IF([1]!BANCO10[[#This Row],[SOLUÇÃO]]=CN$1,[1]!BANCO10[[#This Row],[STATUS DA ETAPA]],"")</f>
        <v/>
      </c>
      <c r="CO156" s="64" t="str">
        <f>IF([1]!BANCO10[[#This Row],[SOLUÇÃO]]=CO$1,[1]!BANCO10[[#This Row],[STATUS DA ETAPA]],"")</f>
        <v/>
      </c>
      <c r="CP156" s="64" t="str">
        <f>IF([1]!BANCO10[[#This Row],[SOLUÇÃO]]=CP$1,[1]!BANCO10[[#This Row],[STATUS DA ETAPA]],"")</f>
        <v/>
      </c>
      <c r="CQ156" s="64" t="str">
        <f>IF([1]!BANCO10[[#This Row],[SOLUÇÃO]]=CQ$1,[1]!BANCO10[[#This Row],[STATUS DA ETAPA]],"")</f>
        <v/>
      </c>
      <c r="CR156" s="64" t="str">
        <f>IF([1]!BANCO10[[#This Row],[SOLUÇÃO]]=CR$1,[1]!BANCO10[[#This Row],[STATUS DA ETAPA]],"")</f>
        <v/>
      </c>
      <c r="CS156" s="64" t="str">
        <f>IF([1]!BANCO10[[#This Row],[SOLUÇÃO]]=CS$1,[1]!BANCO10[[#This Row],[STATUS DA ETAPA]],"")</f>
        <v/>
      </c>
      <c r="CT156" s="64" t="str">
        <f>IF([1]!BANCO10[[#This Row],[SOLUÇÃO]]=CT$1,[1]!BANCO10[[#This Row],[STATUS DA ETAPA]],"")</f>
        <v/>
      </c>
      <c r="CU156" s="64" t="str">
        <f>IF([1]!BANCO10[[#This Row],[SOLUÇÃO]]=CU$1,[1]!BANCO10[[#This Row],[STATUS DA ETAPA]],"")</f>
        <v/>
      </c>
      <c r="CV156" s="64" t="str">
        <f>IF([1]!BANCO10[[#This Row],[SOLUÇÃO]]=CV$1,[1]!BANCO10[[#This Row],[STATUS DA ETAPA]],"")</f>
        <v/>
      </c>
    </row>
    <row r="157" spans="1:100">
      <c r="A157" s="44" t="s">
        <v>1</v>
      </c>
      <c r="B157" s="44"/>
      <c r="C157" s="44" t="s">
        <v>1</v>
      </c>
      <c r="D157" s="44"/>
      <c r="E157" s="44" t="s">
        <v>1</v>
      </c>
      <c r="F157" s="44"/>
      <c r="G157" s="44" t="s">
        <v>1</v>
      </c>
      <c r="H157" s="44"/>
      <c r="I157" s="45" t="s">
        <v>1</v>
      </c>
      <c r="J157" s="46"/>
      <c r="K157" s="45" t="s">
        <v>1</v>
      </c>
      <c r="L157" s="33"/>
      <c r="M157" s="45" t="s">
        <v>1</v>
      </c>
      <c r="N157" s="33"/>
      <c r="O157" s="44" t="s">
        <v>1</v>
      </c>
      <c r="P157" s="44"/>
      <c r="Q157" s="44" t="s">
        <v>1</v>
      </c>
      <c r="R157" s="44"/>
      <c r="S157" s="44" t="s">
        <v>1</v>
      </c>
      <c r="T157" s="44"/>
      <c r="U157" s="44" t="s">
        <v>1</v>
      </c>
      <c r="V157" s="44"/>
      <c r="W157" s="44" t="s">
        <v>1</v>
      </c>
      <c r="X157" s="44"/>
      <c r="Y157" s="44" t="s">
        <v>1</v>
      </c>
      <c r="Z157" s="44"/>
      <c r="AA157" s="44" t="s">
        <v>1</v>
      </c>
      <c r="AB157" s="44"/>
      <c r="AC157" s="51">
        <v>45807</v>
      </c>
      <c r="AD157" s="50">
        <v>45807</v>
      </c>
      <c r="AE157" s="41" t="s">
        <v>1</v>
      </c>
      <c r="AF157" s="41" t="s">
        <v>1</v>
      </c>
      <c r="AG157" s="40" t="s">
        <v>4</v>
      </c>
      <c r="AH157" s="36" t="s">
        <v>0</v>
      </c>
      <c r="AI157" s="49">
        <v>0</v>
      </c>
      <c r="AJ157" s="36" t="s">
        <v>1</v>
      </c>
      <c r="AK157" s="10" t="s">
        <v>1</v>
      </c>
      <c r="AL157" s="36" t="s">
        <v>1</v>
      </c>
      <c r="AM157" s="36" t="s">
        <v>1</v>
      </c>
      <c r="AN157" s="35" t="s">
        <v>1</v>
      </c>
      <c r="AO157" s="35" t="s">
        <v>1</v>
      </c>
      <c r="AP157" s="35" t="s">
        <v>1</v>
      </c>
      <c r="AQ157" s="35" t="s">
        <v>2</v>
      </c>
      <c r="AR157" s="34" t="s">
        <v>0</v>
      </c>
      <c r="AS157" s="33"/>
      <c r="AT157" s="30" t="s">
        <v>0</v>
      </c>
      <c r="AU157" s="31"/>
      <c r="AV157" s="30" t="s">
        <v>0</v>
      </c>
      <c r="AW157" s="31"/>
      <c r="AX157" s="30" t="s">
        <v>0</v>
      </c>
      <c r="AY157" s="29"/>
      <c r="AZ157" s="28" t="s">
        <v>0</v>
      </c>
      <c r="BA157" s="27"/>
      <c r="BB157" s="26"/>
      <c r="BC157" s="25"/>
      <c r="BD157" s="24"/>
      <c r="BE157" s="24"/>
      <c r="BF157" s="24"/>
      <c r="BG157" s="24"/>
      <c r="BH157" s="24"/>
      <c r="BI157" s="24"/>
      <c r="BJ157" s="24"/>
      <c r="BK157" s="24"/>
      <c r="BL157" s="24"/>
      <c r="BM157" s="24"/>
      <c r="BN157" s="24"/>
      <c r="BO157" s="24"/>
      <c r="BP157" s="24"/>
      <c r="BQ157" s="22">
        <f>YEAR([1]!BANCO10[[#This Row],[DATA INÍCIO]])</f>
        <v>2025</v>
      </c>
      <c r="BR157" s="22">
        <f>MONTH([1]!BANCO10[[#This Row],[DATA INÍCIO]])</f>
        <v>5</v>
      </c>
      <c r="BS157" s="23" t="e">
        <f>CONCATENATE(#REF!,#REF!)</f>
        <v>#REF!</v>
      </c>
      <c r="BT157" s="22"/>
      <c r="BU157" s="22"/>
      <c r="BV157" s="21" t="str">
        <f>IF([1]!BANCO10[[#This Row],[SOLUÇÃO]]=BV$1,[1]!BANCO10[[#This Row],[STATUS DA ETAPA]],"")</f>
        <v/>
      </c>
      <c r="BW157" s="21" t="str">
        <f>IF([1]!BANCO10[[#This Row],[SOLUÇÃO]]=BW$1,[1]!BANCO10[[#This Row],[STATUS DA ETAPA]],"")</f>
        <v/>
      </c>
      <c r="BX157" s="21" t="str">
        <f>IF([1]!BANCO10[[#This Row],[SOLUÇÃO]]=BX$1,[1]!BANCO10[[#This Row],[STATUS DA ETAPA]],"")</f>
        <v/>
      </c>
      <c r="BY157" s="21" t="str">
        <f>IF([1]!BANCO10[[#This Row],[SOLUÇÃO]]=BY$1,[1]!BANCO10[[#This Row],[STATUS DA ETAPA]],"")</f>
        <v/>
      </c>
      <c r="BZ157" s="21" t="str">
        <f>IF([1]!BANCO10[[#This Row],[SOLUÇÃO]]=BZ$1,[1]!BANCO10[[#This Row],[STATUS DA ETAPA]],"")</f>
        <v/>
      </c>
      <c r="CA157" s="21" t="str">
        <f>IF([1]!BANCO10[[#This Row],[SOLUÇÃO]]=CA$1,[1]!BANCO10[[#This Row],[STATUS DA ETAPA]],"")</f>
        <v/>
      </c>
      <c r="CB157" s="21" t="str">
        <f>IF([1]!BANCO10[[#This Row],[SOLUÇÃO]]=CB$1,[1]!BANCO10[[#This Row],[STATUS DA ETAPA]],"")</f>
        <v/>
      </c>
      <c r="CC157" s="21" t="str">
        <f>IF([1]!BANCO10[[#This Row],[SOLUÇÃO]]=CC$1,[1]!BANCO10[[#This Row],[STATUS DA ETAPA]],"")</f>
        <v/>
      </c>
      <c r="CD157" s="21" t="str">
        <f>IF([1]!BANCO10[[#This Row],[SOLUÇÃO]]=CD$1,[1]!BANCO10[[#This Row],[STATUS DA ETAPA]],"")</f>
        <v/>
      </c>
      <c r="CE157" s="21" t="str">
        <f>IF([1]!BANCO10[[#This Row],[SOLUÇÃO]]=CE$1,[1]!BANCO10[[#This Row],[STATUS DA ETAPA]],"")</f>
        <v/>
      </c>
      <c r="CF157" s="21" t="str">
        <f>IF([1]!BANCO10[[#This Row],[SOLUÇÃO]]=CF$1,[1]!BANCO10[[#This Row],[STATUS DA ETAPA]],"")</f>
        <v/>
      </c>
      <c r="CG157" s="21" t="str">
        <f>IF([1]!BANCO10[[#This Row],[SOLUÇÃO]]=CG$1,[1]!BANCO10[[#This Row],[STATUS DA ETAPA]],"")</f>
        <v/>
      </c>
      <c r="CH157" s="21" t="str">
        <f>IF([1]!BANCO10[[#This Row],[SOLUÇÃO]]=CH$1,[1]!BANCO10[[#This Row],[STATUS DA ETAPA]],"")</f>
        <v/>
      </c>
      <c r="CI157" s="21" t="str">
        <f>IF([1]!BANCO10[[#This Row],[SOLUÇÃO]]=CI$1,[1]!BANCO10[[#This Row],[STATUS DA ETAPA]],"")</f>
        <v/>
      </c>
      <c r="CJ157" s="21" t="str">
        <f>IF([1]!BANCO10[[#This Row],[SOLUÇÃO]]=CJ$1,[1]!BANCO10[[#This Row],[STATUS DA ETAPA]],"")</f>
        <v/>
      </c>
      <c r="CK157" s="21" t="str">
        <f>IF([1]!BANCO10[[#This Row],[SOLUÇÃO]]=CK$1,[1]!BANCO10[[#This Row],[STATUS DA ETAPA]],"")</f>
        <v/>
      </c>
      <c r="CL157" s="21" t="str">
        <f>IF([1]!BANCO10[[#This Row],[SOLUÇÃO]]=CL$1,[1]!BANCO10[[#This Row],[STATUS DA ETAPA]],"")</f>
        <v/>
      </c>
      <c r="CM157" s="21" t="str">
        <f>IF([1]!BANCO10[[#This Row],[SOLUÇÃO]]=CM$1,[1]!BANCO10[[#This Row],[STATUS DA ETAPA]],"")</f>
        <v/>
      </c>
      <c r="CN157" s="21" t="str">
        <f>IF([1]!BANCO10[[#This Row],[SOLUÇÃO]]=CN$1,[1]!BANCO10[[#This Row],[STATUS DA ETAPA]],"")</f>
        <v/>
      </c>
      <c r="CO157" s="21" t="str">
        <f>IF([1]!BANCO10[[#This Row],[SOLUÇÃO]]=CO$1,[1]!BANCO10[[#This Row],[STATUS DA ETAPA]],"")</f>
        <v/>
      </c>
      <c r="CP157" s="21" t="str">
        <f>IF([1]!BANCO10[[#This Row],[SOLUÇÃO]]=CP$1,[1]!BANCO10[[#This Row],[STATUS DA ETAPA]],"")</f>
        <v/>
      </c>
      <c r="CQ157" s="21" t="str">
        <f>IF([1]!BANCO10[[#This Row],[SOLUÇÃO]]=CQ$1,[1]!BANCO10[[#This Row],[STATUS DA ETAPA]],"")</f>
        <v/>
      </c>
      <c r="CR157" s="21" t="str">
        <f>IF([1]!BANCO10[[#This Row],[SOLUÇÃO]]=CR$1,[1]!BANCO10[[#This Row],[STATUS DA ETAPA]],"")</f>
        <v/>
      </c>
      <c r="CS157" s="21" t="str">
        <f>IF([1]!BANCO10[[#This Row],[SOLUÇÃO]]=CS$1,[1]!BANCO10[[#This Row],[STATUS DA ETAPA]],"")</f>
        <v/>
      </c>
      <c r="CT157" s="21" t="str">
        <f>IF([1]!BANCO10[[#This Row],[SOLUÇÃO]]=CT$1,[1]!BANCO10[[#This Row],[STATUS DA ETAPA]],"")</f>
        <v/>
      </c>
      <c r="CU157" s="21" t="str">
        <f>IF([1]!BANCO10[[#This Row],[SOLUÇÃO]]=CU$1,[1]!BANCO10[[#This Row],[STATUS DA ETAPA]],"")</f>
        <v/>
      </c>
      <c r="CV157" s="21" t="str">
        <f>IF([1]!BANCO10[[#This Row],[SOLUÇÃO]]=CV$1,[1]!BANCO10[[#This Row],[STATUS DA ETAPA]],"")</f>
        <v/>
      </c>
    </row>
    <row r="158" spans="1:100">
      <c r="A158" s="44" t="s">
        <v>1</v>
      </c>
      <c r="B158" s="44"/>
      <c r="C158" s="44" t="s">
        <v>1</v>
      </c>
      <c r="D158" s="44"/>
      <c r="E158" s="44" t="s">
        <v>1</v>
      </c>
      <c r="F158" s="44"/>
      <c r="G158" s="44" t="s">
        <v>1</v>
      </c>
      <c r="H158" s="44"/>
      <c r="I158" s="45" t="s">
        <v>1</v>
      </c>
      <c r="J158" s="46"/>
      <c r="K158" s="45" t="s">
        <v>1</v>
      </c>
      <c r="L158" s="33"/>
      <c r="M158" s="45" t="s">
        <v>1</v>
      </c>
      <c r="N158" s="33"/>
      <c r="O158" s="44" t="s">
        <v>2</v>
      </c>
      <c r="P158" s="44">
        <v>44970</v>
      </c>
      <c r="Q158" s="44" t="s">
        <v>0</v>
      </c>
      <c r="R158" s="44"/>
      <c r="S158" s="44" t="s">
        <v>1</v>
      </c>
      <c r="T158" s="44"/>
      <c r="U158" s="44" t="s">
        <v>1</v>
      </c>
      <c r="V158" s="44"/>
      <c r="W158" s="44" t="s">
        <v>1</v>
      </c>
      <c r="X158" s="44"/>
      <c r="Y158" s="44" t="s">
        <v>1</v>
      </c>
      <c r="Z158" s="44"/>
      <c r="AA158" s="44" t="s">
        <v>1</v>
      </c>
      <c r="AB158" s="44"/>
      <c r="AC158" s="51">
        <v>44963</v>
      </c>
      <c r="AD158" s="83">
        <v>44963</v>
      </c>
      <c r="AE158" s="40" t="s">
        <v>1</v>
      </c>
      <c r="AF158" s="40" t="s">
        <v>1</v>
      </c>
      <c r="AG158" s="76" t="s">
        <v>5</v>
      </c>
      <c r="AH158" s="36" t="s">
        <v>1</v>
      </c>
      <c r="AI158" s="49">
        <v>0</v>
      </c>
      <c r="AJ158" s="36" t="s">
        <v>1</v>
      </c>
      <c r="AK158" s="10" t="s">
        <v>1</v>
      </c>
      <c r="AL158" s="36" t="s">
        <v>1</v>
      </c>
      <c r="AM158" s="36" t="s">
        <v>1</v>
      </c>
      <c r="AN158" s="35" t="s">
        <v>1</v>
      </c>
      <c r="AO158" s="35" t="s">
        <v>1</v>
      </c>
      <c r="AP158" s="35" t="s">
        <v>1</v>
      </c>
      <c r="AQ158" s="35" t="s">
        <v>1</v>
      </c>
      <c r="AR158" s="82" t="s">
        <v>1</v>
      </c>
      <c r="AS158" s="33"/>
      <c r="AT158" s="32" t="s">
        <v>1</v>
      </c>
      <c r="AU158" s="31"/>
      <c r="AV158" s="32" t="s">
        <v>1</v>
      </c>
      <c r="AW158" s="31"/>
      <c r="AX158" s="30" t="s">
        <v>1</v>
      </c>
      <c r="AY158" s="55"/>
      <c r="AZ158" s="30" t="s">
        <v>1</v>
      </c>
      <c r="BA158" s="55"/>
      <c r="BB158" s="74"/>
      <c r="BC158" s="25"/>
      <c r="BD158" s="24" t="s">
        <v>11</v>
      </c>
      <c r="BE158" s="24" t="s">
        <v>11</v>
      </c>
      <c r="BF158" s="24" t="s">
        <v>21</v>
      </c>
      <c r="BG158" s="24" t="s">
        <v>88</v>
      </c>
      <c r="BH158" s="130" t="s">
        <v>18</v>
      </c>
      <c r="BI158" s="24" t="s">
        <v>243</v>
      </c>
      <c r="BJ158" s="24" t="s">
        <v>11</v>
      </c>
      <c r="BK158" s="24" t="s">
        <v>11</v>
      </c>
      <c r="BL158" s="24" t="s">
        <v>11</v>
      </c>
      <c r="BM158" s="24" t="s">
        <v>11</v>
      </c>
      <c r="BN158" s="24" t="s">
        <v>11</v>
      </c>
      <c r="BO158" s="24" t="s">
        <v>11</v>
      </c>
      <c r="BP158" s="24" t="s">
        <v>11</v>
      </c>
      <c r="BQ158" s="22">
        <f>YEAR([1]!BANCO10[[#This Row],[DATA INÍCIO]])</f>
        <v>2023</v>
      </c>
      <c r="BR158" s="22">
        <f>MONTH([1]!BANCO10[[#This Row],[DATA INÍCIO]])</f>
        <v>2</v>
      </c>
      <c r="BS158" s="129" t="e">
        <f>CONCATENATE(#REF!,#REF!)</f>
        <v>#REF!</v>
      </c>
      <c r="BT158" s="22"/>
      <c r="BU158" s="21" t="s">
        <v>728</v>
      </c>
      <c r="BV158" s="21" t="str">
        <f>IF([1]!BANCO10[[#This Row],[SOLUÇÃO]]=BV$1,[1]!BANCO10[[#This Row],[STATUS DA ETAPA]],"")</f>
        <v>CONCLUÍDO</v>
      </c>
      <c r="BW158" s="21" t="str">
        <f>IF([1]!BANCO10[[#This Row],[SOLUÇÃO]]=BW$1,[1]!BANCO10[[#This Row],[STATUS DA ETAPA]],"")</f>
        <v/>
      </c>
      <c r="BX158" s="21" t="str">
        <f>IF([1]!BANCO10[[#This Row],[SOLUÇÃO]]=BX$1,[1]!BANCO10[[#This Row],[STATUS DA ETAPA]],"")</f>
        <v/>
      </c>
      <c r="BY158" s="21" t="str">
        <f>IF([1]!BANCO10[[#This Row],[SOLUÇÃO]]=BY$1,[1]!BANCO10[[#This Row],[STATUS DA ETAPA]],"")</f>
        <v/>
      </c>
      <c r="BZ158" s="21" t="str">
        <f>IF([1]!BANCO10[[#This Row],[SOLUÇÃO]]=BZ$1,[1]!BANCO10[[#This Row],[STATUS DA ETAPA]],"")</f>
        <v/>
      </c>
      <c r="CA158" s="21" t="str">
        <f>IF([1]!BANCO10[[#This Row],[SOLUÇÃO]]=CA$1,[1]!BANCO10[[#This Row],[STATUS DA ETAPA]],"")</f>
        <v/>
      </c>
      <c r="CB158" s="21" t="str">
        <f>IF([1]!BANCO10[[#This Row],[SOLUÇÃO]]=CB$1,[1]!BANCO10[[#This Row],[STATUS DA ETAPA]],"")</f>
        <v/>
      </c>
      <c r="CC158" s="21" t="str">
        <f>IF([1]!BANCO10[[#This Row],[SOLUÇÃO]]=CC$1,[1]!BANCO10[[#This Row],[STATUS DA ETAPA]],"")</f>
        <v/>
      </c>
      <c r="CD158" s="21" t="str">
        <f>IF([1]!BANCO10[[#This Row],[SOLUÇÃO]]=CD$1,[1]!BANCO10[[#This Row],[STATUS DA ETAPA]],"")</f>
        <v/>
      </c>
      <c r="CE158" s="21" t="str">
        <f>IF([1]!BANCO10[[#This Row],[SOLUÇÃO]]=CE$1,[1]!BANCO10[[#This Row],[STATUS DA ETAPA]],"")</f>
        <v/>
      </c>
      <c r="CF158" s="21" t="str">
        <f>IF([1]!BANCO10[[#This Row],[SOLUÇÃO]]=CF$1,[1]!BANCO10[[#This Row],[STATUS DA ETAPA]],"")</f>
        <v/>
      </c>
      <c r="CG158" s="21" t="str">
        <f>IF([1]!BANCO10[[#This Row],[SOLUÇÃO]]=CG$1,[1]!BANCO10[[#This Row],[STATUS DA ETAPA]],"")</f>
        <v/>
      </c>
      <c r="CH158" s="21" t="str">
        <f>IF([1]!BANCO10[[#This Row],[SOLUÇÃO]]=CH$1,[1]!BANCO10[[#This Row],[STATUS DA ETAPA]],"")</f>
        <v/>
      </c>
      <c r="CI158" s="21" t="str">
        <f>IF([1]!BANCO10[[#This Row],[SOLUÇÃO]]=CI$1,[1]!BANCO10[[#This Row],[STATUS DA ETAPA]],"")</f>
        <v/>
      </c>
      <c r="CJ158" s="21" t="str">
        <f>IF([1]!BANCO10[[#This Row],[SOLUÇÃO]]=CJ$1,[1]!BANCO10[[#This Row],[STATUS DA ETAPA]],"")</f>
        <v/>
      </c>
      <c r="CK158" s="21" t="str">
        <f>IF([1]!BANCO10[[#This Row],[SOLUÇÃO]]=CK$1,[1]!BANCO10[[#This Row],[STATUS DA ETAPA]],"")</f>
        <v/>
      </c>
      <c r="CL158" s="21" t="str">
        <f>IF([1]!BANCO10[[#This Row],[SOLUÇÃO]]=CL$1,[1]!BANCO10[[#This Row],[STATUS DA ETAPA]],"")</f>
        <v/>
      </c>
      <c r="CM158" s="21" t="str">
        <f>IF([1]!BANCO10[[#This Row],[SOLUÇÃO]]=CM$1,[1]!BANCO10[[#This Row],[STATUS DA ETAPA]],"")</f>
        <v/>
      </c>
      <c r="CN158" s="21" t="str">
        <f>IF([1]!BANCO10[[#This Row],[SOLUÇÃO]]=CN$1,[1]!BANCO10[[#This Row],[STATUS DA ETAPA]],"")</f>
        <v/>
      </c>
      <c r="CO158" s="21" t="str">
        <f>IF([1]!BANCO10[[#This Row],[SOLUÇÃO]]=CO$1,[1]!BANCO10[[#This Row],[STATUS DA ETAPA]],"")</f>
        <v/>
      </c>
      <c r="CP158" s="21" t="str">
        <f>IF([1]!BANCO10[[#This Row],[SOLUÇÃO]]=CP$1,[1]!BANCO10[[#This Row],[STATUS DA ETAPA]],"")</f>
        <v/>
      </c>
      <c r="CQ158" s="21" t="str">
        <f>IF([1]!BANCO10[[#This Row],[SOLUÇÃO]]=CQ$1,[1]!BANCO10[[#This Row],[STATUS DA ETAPA]],"")</f>
        <v/>
      </c>
      <c r="CR158" s="21" t="str">
        <f>IF([1]!BANCO10[[#This Row],[SOLUÇÃO]]=CR$1,[1]!BANCO10[[#This Row],[STATUS DA ETAPA]],"")</f>
        <v/>
      </c>
      <c r="CS158" s="21" t="str">
        <f>IF([1]!BANCO10[[#This Row],[SOLUÇÃO]]=CS$1,[1]!BANCO10[[#This Row],[STATUS DA ETAPA]],"")</f>
        <v/>
      </c>
      <c r="CT158" s="21" t="str">
        <f>IF([1]!BANCO10[[#This Row],[SOLUÇÃO]]=CT$1,[1]!BANCO10[[#This Row],[STATUS DA ETAPA]],"")</f>
        <v/>
      </c>
      <c r="CU158" s="21" t="str">
        <f>IF([1]!BANCO10[[#This Row],[SOLUÇÃO]]=CU$1,[1]!BANCO10[[#This Row],[STATUS DA ETAPA]],"")</f>
        <v/>
      </c>
      <c r="CV158" s="21" t="str">
        <f>IF([1]!BANCO10[[#This Row],[SOLUÇÃO]]=CV$1,[1]!BANCO10[[#This Row],[STATUS DA ETAPA]],"")</f>
        <v/>
      </c>
    </row>
    <row r="159" spans="1:100">
      <c r="A159" s="44" t="s">
        <v>1</v>
      </c>
      <c r="B159" s="44"/>
      <c r="C159" s="44" t="s">
        <v>1</v>
      </c>
      <c r="D159" s="44"/>
      <c r="E159" s="44" t="s">
        <v>1</v>
      </c>
      <c r="F159" s="44"/>
      <c r="G159" s="44" t="s">
        <v>1</v>
      </c>
      <c r="H159" s="44"/>
      <c r="I159" s="45" t="s">
        <v>1</v>
      </c>
      <c r="J159" s="46"/>
      <c r="K159" s="45" t="s">
        <v>1</v>
      </c>
      <c r="L159" s="33"/>
      <c r="M159" s="45" t="s">
        <v>1</v>
      </c>
      <c r="N159" s="33"/>
      <c r="O159" s="44" t="s">
        <v>2</v>
      </c>
      <c r="P159" s="44">
        <v>44970</v>
      </c>
      <c r="Q159" s="44" t="s">
        <v>2</v>
      </c>
      <c r="R159" s="44">
        <v>45002</v>
      </c>
      <c r="S159" s="44" t="s">
        <v>1</v>
      </c>
      <c r="T159" s="44"/>
      <c r="U159" s="44" t="s">
        <v>2</v>
      </c>
      <c r="V159" s="44">
        <v>45005</v>
      </c>
      <c r="W159" s="44" t="s">
        <v>2</v>
      </c>
      <c r="X159" s="44"/>
      <c r="Y159" s="44" t="s">
        <v>2</v>
      </c>
      <c r="Z159" s="44">
        <v>45007</v>
      </c>
      <c r="AA159" s="44" t="s">
        <v>2</v>
      </c>
      <c r="AB159" s="44"/>
      <c r="AC159" s="51">
        <v>45097</v>
      </c>
      <c r="AD159" s="83">
        <v>45188</v>
      </c>
      <c r="AE159" s="40" t="s">
        <v>2</v>
      </c>
      <c r="AF159" s="40" t="s">
        <v>2</v>
      </c>
      <c r="AG159" s="76" t="s">
        <v>5</v>
      </c>
      <c r="AH159" s="36" t="s">
        <v>0</v>
      </c>
      <c r="AI159" s="49">
        <v>0</v>
      </c>
      <c r="AJ159" s="36"/>
      <c r="AK159" s="10"/>
      <c r="AL159" s="36" t="s">
        <v>22</v>
      </c>
      <c r="AM159" s="36" t="s">
        <v>1</v>
      </c>
      <c r="AN159" s="35" t="s">
        <v>1</v>
      </c>
      <c r="AO159" s="35" t="s">
        <v>1</v>
      </c>
      <c r="AP159" s="35" t="s">
        <v>2</v>
      </c>
      <c r="AQ159" s="35" t="s">
        <v>1</v>
      </c>
      <c r="AR159" s="33" t="s">
        <v>1</v>
      </c>
      <c r="AS159" s="33"/>
      <c r="AT159" s="32" t="s">
        <v>1</v>
      </c>
      <c r="AU159" s="31"/>
      <c r="AV159" s="32" t="s">
        <v>1</v>
      </c>
      <c r="AW159" s="31"/>
      <c r="AX159" s="30" t="s">
        <v>2</v>
      </c>
      <c r="AY159" s="55">
        <v>45188</v>
      </c>
      <c r="AZ159" s="30" t="s">
        <v>2</v>
      </c>
      <c r="BA159" s="91"/>
      <c r="BB159" s="74"/>
      <c r="BC159" s="25"/>
      <c r="BD159" s="24" t="s">
        <v>11</v>
      </c>
      <c r="BE159" s="24" t="s">
        <v>11</v>
      </c>
      <c r="BF159" s="24" t="s">
        <v>21</v>
      </c>
      <c r="BG159" s="24" t="s">
        <v>88</v>
      </c>
      <c r="BH159" s="130" t="s">
        <v>18</v>
      </c>
      <c r="BI159" s="24" t="s">
        <v>243</v>
      </c>
      <c r="BJ159" s="24" t="s">
        <v>37</v>
      </c>
      <c r="BK159" s="24" t="s">
        <v>19</v>
      </c>
      <c r="BL159" s="24">
        <v>45391</v>
      </c>
      <c r="BM159" s="24" t="s">
        <v>18</v>
      </c>
      <c r="BN159" s="24" t="s">
        <v>11</v>
      </c>
      <c r="BO159" s="24"/>
      <c r="BP159" s="24" t="s">
        <v>727</v>
      </c>
      <c r="BQ159" s="22">
        <f>YEAR([1]!BANCO10[[#This Row],[DATA INÍCIO]])</f>
        <v>2023</v>
      </c>
      <c r="BR159" s="22">
        <f>MONTH([1]!BANCO10[[#This Row],[DATA INÍCIO]])</f>
        <v>6</v>
      </c>
      <c r="BS159" s="129" t="e">
        <f>CONCATENATE(#REF!,#REF!)</f>
        <v>#REF!</v>
      </c>
      <c r="BT159" s="22"/>
      <c r="BU159" s="21" t="s">
        <v>726</v>
      </c>
      <c r="BV159" s="21" t="str">
        <f>IF([1]!BANCO10[[#This Row],[SOLUÇÃO]]=BV$1,[1]!BANCO10[[#This Row],[STATUS DA ETAPA]],"")</f>
        <v/>
      </c>
      <c r="BW159" s="21" t="str">
        <f>IF([1]!BANCO10[[#This Row],[SOLUÇÃO]]=BW$1,[1]!BANCO10[[#This Row],[STATUS DA ETAPA]],"")</f>
        <v/>
      </c>
      <c r="BX159" s="21" t="str">
        <f>IF([1]!BANCO10[[#This Row],[SOLUÇÃO]]=BX$1,[1]!BANCO10[[#This Row],[STATUS DA ETAPA]],"")</f>
        <v/>
      </c>
      <c r="BY159" s="21" t="str">
        <f>IF([1]!BANCO10[[#This Row],[SOLUÇÃO]]=BY$1,[1]!BANCO10[[#This Row],[STATUS DA ETAPA]],"")</f>
        <v/>
      </c>
      <c r="BZ159" s="21" t="str">
        <f>IF([1]!BANCO10[[#This Row],[SOLUÇÃO]]=BZ$1,[1]!BANCO10[[#This Row],[STATUS DA ETAPA]],"")</f>
        <v/>
      </c>
      <c r="CA159" s="21" t="str">
        <f>IF([1]!BANCO10[[#This Row],[SOLUÇÃO]]=CA$1,[1]!BANCO10[[#This Row],[STATUS DA ETAPA]],"")</f>
        <v>CONCLUÍDO</v>
      </c>
      <c r="CB159" s="21" t="str">
        <f>IF([1]!BANCO10[[#This Row],[SOLUÇÃO]]=CB$1,[1]!BANCO10[[#This Row],[STATUS DA ETAPA]],"")</f>
        <v/>
      </c>
      <c r="CC159" s="21" t="str">
        <f>IF([1]!BANCO10[[#This Row],[SOLUÇÃO]]=CC$1,[1]!BANCO10[[#This Row],[STATUS DA ETAPA]],"")</f>
        <v/>
      </c>
      <c r="CD159" s="21" t="str">
        <f>IF([1]!BANCO10[[#This Row],[SOLUÇÃO]]=CD$1,[1]!BANCO10[[#This Row],[STATUS DA ETAPA]],"")</f>
        <v/>
      </c>
      <c r="CE159" s="21" t="str">
        <f>IF([1]!BANCO10[[#This Row],[SOLUÇÃO]]=CE$1,[1]!BANCO10[[#This Row],[STATUS DA ETAPA]],"")</f>
        <v/>
      </c>
      <c r="CF159" s="21" t="str">
        <f>IF([1]!BANCO10[[#This Row],[SOLUÇÃO]]=CF$1,[1]!BANCO10[[#This Row],[STATUS DA ETAPA]],"")</f>
        <v/>
      </c>
      <c r="CG159" s="21" t="str">
        <f>IF([1]!BANCO10[[#This Row],[SOLUÇÃO]]=CG$1,[1]!BANCO10[[#This Row],[STATUS DA ETAPA]],"")</f>
        <v/>
      </c>
      <c r="CH159" s="21" t="str">
        <f>IF([1]!BANCO10[[#This Row],[SOLUÇÃO]]=CH$1,[1]!BANCO10[[#This Row],[STATUS DA ETAPA]],"")</f>
        <v/>
      </c>
      <c r="CI159" s="21" t="str">
        <f>IF([1]!BANCO10[[#This Row],[SOLUÇÃO]]=CI$1,[1]!BANCO10[[#This Row],[STATUS DA ETAPA]],"")</f>
        <v/>
      </c>
      <c r="CJ159" s="21" t="str">
        <f>IF([1]!BANCO10[[#This Row],[SOLUÇÃO]]=CJ$1,[1]!BANCO10[[#This Row],[STATUS DA ETAPA]],"")</f>
        <v/>
      </c>
      <c r="CK159" s="21" t="str">
        <f>IF([1]!BANCO10[[#This Row],[SOLUÇÃO]]=CK$1,[1]!BANCO10[[#This Row],[STATUS DA ETAPA]],"")</f>
        <v/>
      </c>
      <c r="CL159" s="21" t="str">
        <f>IF([1]!BANCO10[[#This Row],[SOLUÇÃO]]=CL$1,[1]!BANCO10[[#This Row],[STATUS DA ETAPA]],"")</f>
        <v/>
      </c>
      <c r="CM159" s="21" t="str">
        <f>IF([1]!BANCO10[[#This Row],[SOLUÇÃO]]=CM$1,[1]!BANCO10[[#This Row],[STATUS DA ETAPA]],"")</f>
        <v/>
      </c>
      <c r="CN159" s="21" t="str">
        <f>IF([1]!BANCO10[[#This Row],[SOLUÇÃO]]=CN$1,[1]!BANCO10[[#This Row],[STATUS DA ETAPA]],"")</f>
        <v/>
      </c>
      <c r="CO159" s="21" t="str">
        <f>IF([1]!BANCO10[[#This Row],[SOLUÇÃO]]=CO$1,[1]!BANCO10[[#This Row],[STATUS DA ETAPA]],"")</f>
        <v/>
      </c>
      <c r="CP159" s="21" t="str">
        <f>IF([1]!BANCO10[[#This Row],[SOLUÇÃO]]=CP$1,[1]!BANCO10[[#This Row],[STATUS DA ETAPA]],"")</f>
        <v/>
      </c>
      <c r="CQ159" s="21" t="str">
        <f>IF([1]!BANCO10[[#This Row],[SOLUÇÃO]]=CQ$1,[1]!BANCO10[[#This Row],[STATUS DA ETAPA]],"")</f>
        <v/>
      </c>
      <c r="CR159" s="21" t="str">
        <f>IF([1]!BANCO10[[#This Row],[SOLUÇÃO]]=CR$1,[1]!BANCO10[[#This Row],[STATUS DA ETAPA]],"")</f>
        <v/>
      </c>
      <c r="CS159" s="21" t="str">
        <f>IF([1]!BANCO10[[#This Row],[SOLUÇÃO]]=CS$1,[1]!BANCO10[[#This Row],[STATUS DA ETAPA]],"")</f>
        <v/>
      </c>
      <c r="CT159" s="21" t="str">
        <f>IF([1]!BANCO10[[#This Row],[SOLUÇÃO]]=CT$1,[1]!BANCO10[[#This Row],[STATUS DA ETAPA]],"")</f>
        <v/>
      </c>
      <c r="CU159" s="21" t="str">
        <f>IF([1]!BANCO10[[#This Row],[SOLUÇÃO]]=CU$1,[1]!BANCO10[[#This Row],[STATUS DA ETAPA]],"")</f>
        <v/>
      </c>
      <c r="CV159" s="21" t="str">
        <f>IF([1]!BANCO10[[#This Row],[SOLUÇÃO]]=CV$1,[1]!BANCO10[[#This Row],[STATUS DA ETAPA]],"")</f>
        <v/>
      </c>
    </row>
    <row r="160" spans="1:100">
      <c r="A160" s="44" t="s">
        <v>0</v>
      </c>
      <c r="B160" s="44"/>
      <c r="C160" s="44" t="s">
        <v>0</v>
      </c>
      <c r="D160" s="44"/>
      <c r="E160" s="44" t="s">
        <v>0</v>
      </c>
      <c r="F160" s="44"/>
      <c r="G160" s="44" t="s">
        <v>0</v>
      </c>
      <c r="H160" s="44"/>
      <c r="I160" s="45" t="s">
        <v>0</v>
      </c>
      <c r="J160" s="46"/>
      <c r="K160" s="45" t="s">
        <v>0</v>
      </c>
      <c r="L160" s="33"/>
      <c r="M160" s="45" t="s">
        <v>0</v>
      </c>
      <c r="N160" s="33"/>
      <c r="O160" s="44" t="s">
        <v>0</v>
      </c>
      <c r="P160" s="44"/>
      <c r="Q160" s="44" t="s">
        <v>2</v>
      </c>
      <c r="R160" s="44">
        <v>45918</v>
      </c>
      <c r="S160" s="44" t="s">
        <v>0</v>
      </c>
      <c r="T160" s="44"/>
      <c r="U160" s="44" t="s">
        <v>1</v>
      </c>
      <c r="V160" s="44"/>
      <c r="W160" s="44" t="s">
        <v>1</v>
      </c>
      <c r="X160" s="44"/>
      <c r="Y160" s="44" t="s">
        <v>1</v>
      </c>
      <c r="Z160" s="44"/>
      <c r="AA160" s="44" t="s">
        <v>1</v>
      </c>
      <c r="AB160" s="44"/>
      <c r="AC160" s="51">
        <v>46022</v>
      </c>
      <c r="AD160" s="50">
        <v>46022</v>
      </c>
      <c r="AE160" s="41" t="s">
        <v>0</v>
      </c>
      <c r="AF160" s="41" t="s">
        <v>0</v>
      </c>
      <c r="AG160" s="40" t="s">
        <v>5</v>
      </c>
      <c r="AH160" s="36" t="s">
        <v>0</v>
      </c>
      <c r="AI160" s="49">
        <v>20140</v>
      </c>
      <c r="AJ160" s="36"/>
      <c r="AK160" s="10" t="s">
        <v>1</v>
      </c>
      <c r="AL160" s="36" t="s">
        <v>1</v>
      </c>
      <c r="AM160" s="36" t="s">
        <v>1</v>
      </c>
      <c r="AN160" s="35" t="s">
        <v>0</v>
      </c>
      <c r="AO160" s="35" t="s">
        <v>0</v>
      </c>
      <c r="AP160" s="35" t="s">
        <v>0</v>
      </c>
      <c r="AQ160" s="35" t="s">
        <v>0</v>
      </c>
      <c r="AR160" s="34" t="s">
        <v>0</v>
      </c>
      <c r="AS160" s="33"/>
      <c r="AT160" s="32" t="s">
        <v>0</v>
      </c>
      <c r="AU160" s="31"/>
      <c r="AV160" s="32" t="s">
        <v>0</v>
      </c>
      <c r="AW160" s="31"/>
      <c r="AX160" s="32" t="s">
        <v>0</v>
      </c>
      <c r="AY160" s="31"/>
      <c r="AZ160" s="32" t="s">
        <v>0</v>
      </c>
      <c r="BA160" s="31"/>
      <c r="BB160" s="26"/>
      <c r="BC160" s="25"/>
      <c r="BD160" s="24"/>
      <c r="BE160" s="24"/>
      <c r="BF160" s="24"/>
      <c r="BG160" s="24"/>
      <c r="BH160" s="24"/>
      <c r="BI160" s="24"/>
      <c r="BJ160" s="24"/>
      <c r="BK160" s="24"/>
      <c r="BL160" s="24"/>
      <c r="BM160" s="24"/>
      <c r="BN160" s="24"/>
      <c r="BO160" s="24"/>
      <c r="BP160" s="24"/>
      <c r="BQ160" s="22">
        <f>YEAR([1]!BANCO10[[#This Row],[DATA INÍCIO]])</f>
        <v>2025</v>
      </c>
      <c r="BR160" s="22">
        <f>MONTH([1]!BANCO10[[#This Row],[DATA INÍCIO]])</f>
        <v>12</v>
      </c>
      <c r="BS160" s="23" t="e">
        <f>CONCATENATE(#REF!,#REF!)</f>
        <v>#REF!</v>
      </c>
      <c r="BT160" s="22"/>
      <c r="BU160" s="22"/>
      <c r="BV160" s="21" t="str">
        <f>IF([1]!BANCO10[[#This Row],[SOLUÇÃO]]=BV$1,[1]!BANCO10[[#This Row],[STATUS DA ETAPA]],"")</f>
        <v/>
      </c>
      <c r="BW160" s="21" t="str">
        <f>IF([1]!BANCO10[[#This Row],[SOLUÇÃO]]=BW$1,[1]!BANCO10[[#This Row],[STATUS DA ETAPA]],"")</f>
        <v/>
      </c>
      <c r="BX160" s="21" t="str">
        <f>IF([1]!BANCO10[[#This Row],[SOLUÇÃO]]=BX$1,[1]!BANCO10[[#This Row],[STATUS DA ETAPA]],"")</f>
        <v/>
      </c>
      <c r="BY160" s="21" t="str">
        <f>IF([1]!BANCO10[[#This Row],[SOLUÇÃO]]=BY$1,[1]!BANCO10[[#This Row],[STATUS DA ETAPA]],"")</f>
        <v/>
      </c>
      <c r="BZ160" s="21" t="str">
        <f>IF([1]!BANCO10[[#This Row],[SOLUÇÃO]]=BZ$1,[1]!BANCO10[[#This Row],[STATUS DA ETAPA]],"")</f>
        <v/>
      </c>
      <c r="CA160" s="21" t="str">
        <f>IF([1]!BANCO10[[#This Row],[SOLUÇÃO]]=CA$1,[1]!BANCO10[[#This Row],[STATUS DA ETAPA]],"")</f>
        <v/>
      </c>
      <c r="CB160" s="21" t="str">
        <f>IF([1]!BANCO10[[#This Row],[SOLUÇÃO]]=CB$1,[1]!BANCO10[[#This Row],[STATUS DA ETAPA]],"")</f>
        <v/>
      </c>
      <c r="CC160" s="21" t="str">
        <f>IF([1]!BANCO10[[#This Row],[SOLUÇÃO]]=CC$1,[1]!BANCO10[[#This Row],[STATUS DA ETAPA]],"")</f>
        <v/>
      </c>
      <c r="CD160" s="21" t="str">
        <f>IF([1]!BANCO10[[#This Row],[SOLUÇÃO]]=CD$1,[1]!BANCO10[[#This Row],[STATUS DA ETAPA]],"")</f>
        <v/>
      </c>
      <c r="CE160" s="21" t="str">
        <f>IF([1]!BANCO10[[#This Row],[SOLUÇÃO]]=CE$1,[1]!BANCO10[[#This Row],[STATUS DA ETAPA]],"")</f>
        <v/>
      </c>
      <c r="CF160" s="21" t="str">
        <f>IF([1]!BANCO10[[#This Row],[SOLUÇÃO]]=CF$1,[1]!BANCO10[[#This Row],[STATUS DA ETAPA]],"")</f>
        <v/>
      </c>
      <c r="CG160" s="21" t="str">
        <f>IF([1]!BANCO10[[#This Row],[SOLUÇÃO]]=CG$1,[1]!BANCO10[[#This Row],[STATUS DA ETAPA]],"")</f>
        <v/>
      </c>
      <c r="CH160" s="21" t="str">
        <f>IF([1]!BANCO10[[#This Row],[SOLUÇÃO]]=CH$1,[1]!BANCO10[[#This Row],[STATUS DA ETAPA]],"")</f>
        <v/>
      </c>
      <c r="CI160" s="21" t="str">
        <f>IF([1]!BANCO10[[#This Row],[SOLUÇÃO]]=CI$1,[1]!BANCO10[[#This Row],[STATUS DA ETAPA]],"")</f>
        <v/>
      </c>
      <c r="CJ160" s="21" t="str">
        <f>IF([1]!BANCO10[[#This Row],[SOLUÇÃO]]=CJ$1,[1]!BANCO10[[#This Row],[STATUS DA ETAPA]],"")</f>
        <v/>
      </c>
      <c r="CK160" s="21" t="str">
        <f>IF([1]!BANCO10[[#This Row],[SOLUÇÃO]]=CK$1,[1]!BANCO10[[#This Row],[STATUS DA ETAPA]],"")</f>
        <v/>
      </c>
      <c r="CL160" s="21" t="str">
        <f>IF([1]!BANCO10[[#This Row],[SOLUÇÃO]]=CL$1,[1]!BANCO10[[#This Row],[STATUS DA ETAPA]],"")</f>
        <v/>
      </c>
      <c r="CM160" s="21" t="str">
        <f>IF([1]!BANCO10[[#This Row],[SOLUÇÃO]]=CM$1,[1]!BANCO10[[#This Row],[STATUS DA ETAPA]],"")</f>
        <v/>
      </c>
      <c r="CN160" s="21" t="str">
        <f>IF([1]!BANCO10[[#This Row],[SOLUÇÃO]]=CN$1,[1]!BANCO10[[#This Row],[STATUS DA ETAPA]],"")</f>
        <v/>
      </c>
      <c r="CO160" s="21" t="str">
        <f>IF([1]!BANCO10[[#This Row],[SOLUÇÃO]]=CO$1,[1]!BANCO10[[#This Row],[STATUS DA ETAPA]],"")</f>
        <v/>
      </c>
      <c r="CP160" s="21" t="str">
        <f>IF([1]!BANCO10[[#This Row],[SOLUÇÃO]]=CP$1,[1]!BANCO10[[#This Row],[STATUS DA ETAPA]],"")</f>
        <v/>
      </c>
      <c r="CQ160" s="21" t="str">
        <f>IF([1]!BANCO10[[#This Row],[SOLUÇÃO]]=CQ$1,[1]!BANCO10[[#This Row],[STATUS DA ETAPA]],"")</f>
        <v/>
      </c>
      <c r="CR160" s="21" t="str">
        <f>IF([1]!BANCO10[[#This Row],[SOLUÇÃO]]=CR$1,[1]!BANCO10[[#This Row],[STATUS DA ETAPA]],"")</f>
        <v/>
      </c>
      <c r="CS160" s="21" t="str">
        <f>IF([1]!BANCO10[[#This Row],[SOLUÇÃO]]=CS$1,[1]!BANCO10[[#This Row],[STATUS DA ETAPA]],"")</f>
        <v/>
      </c>
      <c r="CT160" s="21" t="str">
        <f>IF([1]!BANCO10[[#This Row],[SOLUÇÃO]]=CT$1,[1]!BANCO10[[#This Row],[STATUS DA ETAPA]],"")</f>
        <v/>
      </c>
      <c r="CU160" s="21" t="str">
        <f>IF([1]!BANCO10[[#This Row],[SOLUÇÃO]]=CU$1,[1]!BANCO10[[#This Row],[STATUS DA ETAPA]],"")</f>
        <v/>
      </c>
      <c r="CV160" s="21" t="str">
        <f>IF([1]!BANCO10[[#This Row],[SOLUÇÃO]]=CV$1,[1]!BANCO10[[#This Row],[STATUS DA ETAPA]],"")</f>
        <v/>
      </c>
    </row>
    <row r="161" spans="1:100">
      <c r="A161" s="44" t="s">
        <v>1</v>
      </c>
      <c r="B161" s="44"/>
      <c r="C161" s="44" t="s">
        <v>1</v>
      </c>
      <c r="D161" s="44"/>
      <c r="E161" s="44" t="s">
        <v>1</v>
      </c>
      <c r="F161" s="44"/>
      <c r="G161" s="44" t="s">
        <v>1</v>
      </c>
      <c r="H161" s="44"/>
      <c r="I161" s="45" t="s">
        <v>1</v>
      </c>
      <c r="J161" s="46"/>
      <c r="K161" s="45" t="s">
        <v>1</v>
      </c>
      <c r="L161" s="33"/>
      <c r="M161" s="45" t="s">
        <v>1</v>
      </c>
      <c r="N161" s="33"/>
      <c r="O161" s="44" t="s">
        <v>2</v>
      </c>
      <c r="P161" s="44">
        <v>45027</v>
      </c>
      <c r="Q161" s="44" t="s">
        <v>0</v>
      </c>
      <c r="R161" s="44"/>
      <c r="S161" s="44" t="s">
        <v>1</v>
      </c>
      <c r="T161" s="44"/>
      <c r="U161" s="44" t="s">
        <v>1</v>
      </c>
      <c r="V161" s="44"/>
      <c r="W161" s="44" t="s">
        <v>1</v>
      </c>
      <c r="X161" s="44"/>
      <c r="Y161" s="44" t="s">
        <v>1</v>
      </c>
      <c r="Z161" s="44"/>
      <c r="AA161" s="44" t="s">
        <v>1</v>
      </c>
      <c r="AB161" s="44"/>
      <c r="AC161" s="51">
        <v>45026</v>
      </c>
      <c r="AD161" s="50">
        <v>45026</v>
      </c>
      <c r="AE161" s="40" t="s">
        <v>1</v>
      </c>
      <c r="AF161" s="40" t="s">
        <v>1</v>
      </c>
      <c r="AG161" s="76" t="s">
        <v>5</v>
      </c>
      <c r="AH161" s="36" t="s">
        <v>1</v>
      </c>
      <c r="AI161" s="49">
        <v>0</v>
      </c>
      <c r="AJ161" s="36" t="s">
        <v>1</v>
      </c>
      <c r="AK161" s="10" t="s">
        <v>1</v>
      </c>
      <c r="AL161" s="36" t="s">
        <v>1</v>
      </c>
      <c r="AM161" s="36" t="s">
        <v>1</v>
      </c>
      <c r="AN161" s="35" t="s">
        <v>1</v>
      </c>
      <c r="AO161" s="35" t="s">
        <v>1</v>
      </c>
      <c r="AP161" s="35" t="s">
        <v>1</v>
      </c>
      <c r="AQ161" s="35" t="s">
        <v>1</v>
      </c>
      <c r="AR161" s="82" t="s">
        <v>1</v>
      </c>
      <c r="AS161" s="33"/>
      <c r="AT161" s="32" t="s">
        <v>1</v>
      </c>
      <c r="AU161" s="31"/>
      <c r="AV161" s="32" t="s">
        <v>1</v>
      </c>
      <c r="AW161" s="31"/>
      <c r="AX161" s="30" t="s">
        <v>1</v>
      </c>
      <c r="AY161" s="55"/>
      <c r="AZ161" s="30" t="s">
        <v>1</v>
      </c>
      <c r="BA161" s="55"/>
      <c r="BB161" s="74" t="s">
        <v>725</v>
      </c>
      <c r="BC161" s="25"/>
      <c r="BD161" s="24" t="s">
        <v>723</v>
      </c>
      <c r="BE161" s="24" t="s">
        <v>722</v>
      </c>
      <c r="BF161" s="24" t="s">
        <v>51</v>
      </c>
      <c r="BG161" s="24" t="s">
        <v>11</v>
      </c>
      <c r="BH161" s="130" t="s">
        <v>19</v>
      </c>
      <c r="BI161" s="24"/>
      <c r="BJ161" s="24" t="s">
        <v>11</v>
      </c>
      <c r="BK161" s="24" t="s">
        <v>11</v>
      </c>
      <c r="BL161" s="24" t="s">
        <v>11</v>
      </c>
      <c r="BM161" s="24" t="s">
        <v>11</v>
      </c>
      <c r="BN161" s="24" t="s">
        <v>11</v>
      </c>
      <c r="BO161" s="24" t="s">
        <v>11</v>
      </c>
      <c r="BP161" s="24" t="s">
        <v>11</v>
      </c>
      <c r="BQ161" s="22">
        <f>YEAR([1]!BANCO10[[#This Row],[DATA INÍCIO]])</f>
        <v>2023</v>
      </c>
      <c r="BR161" s="22">
        <f>MONTH([1]!BANCO10[[#This Row],[DATA INÍCIO]])</f>
        <v>4</v>
      </c>
      <c r="BS161" s="129" t="e">
        <f>CONCATENATE(#REF!,#REF!)</f>
        <v>#REF!</v>
      </c>
      <c r="BT161" s="22"/>
      <c r="BU161" s="21" t="s">
        <v>202</v>
      </c>
      <c r="BV161" s="21" t="str">
        <f>IF([1]!BANCO10[[#This Row],[SOLUÇÃO]]=BV$1,[1]!BANCO10[[#This Row],[STATUS DA ETAPA]],"")</f>
        <v>CONCLUÍDO</v>
      </c>
      <c r="BW161" s="21" t="str">
        <f>IF([1]!BANCO10[[#This Row],[SOLUÇÃO]]=BW$1,[1]!BANCO10[[#This Row],[STATUS DA ETAPA]],"")</f>
        <v/>
      </c>
      <c r="BX161" s="21" t="str">
        <f>IF([1]!BANCO10[[#This Row],[SOLUÇÃO]]=BX$1,[1]!BANCO10[[#This Row],[STATUS DA ETAPA]],"")</f>
        <v/>
      </c>
      <c r="BY161" s="21" t="str">
        <f>IF([1]!BANCO10[[#This Row],[SOLUÇÃO]]=BY$1,[1]!BANCO10[[#This Row],[STATUS DA ETAPA]],"")</f>
        <v/>
      </c>
      <c r="BZ161" s="21" t="str">
        <f>IF([1]!BANCO10[[#This Row],[SOLUÇÃO]]=BZ$1,[1]!BANCO10[[#This Row],[STATUS DA ETAPA]],"")</f>
        <v/>
      </c>
      <c r="CA161" s="21" t="str">
        <f>IF([1]!BANCO10[[#This Row],[SOLUÇÃO]]=CA$1,[1]!BANCO10[[#This Row],[STATUS DA ETAPA]],"")</f>
        <v/>
      </c>
      <c r="CB161" s="21" t="str">
        <f>IF([1]!BANCO10[[#This Row],[SOLUÇÃO]]=CB$1,[1]!BANCO10[[#This Row],[STATUS DA ETAPA]],"")</f>
        <v/>
      </c>
      <c r="CC161" s="21" t="str">
        <f>IF([1]!BANCO10[[#This Row],[SOLUÇÃO]]=CC$1,[1]!BANCO10[[#This Row],[STATUS DA ETAPA]],"")</f>
        <v/>
      </c>
      <c r="CD161" s="21" t="str">
        <f>IF([1]!BANCO10[[#This Row],[SOLUÇÃO]]=CD$1,[1]!BANCO10[[#This Row],[STATUS DA ETAPA]],"")</f>
        <v/>
      </c>
      <c r="CE161" s="21" t="str">
        <f>IF([1]!BANCO10[[#This Row],[SOLUÇÃO]]=CE$1,[1]!BANCO10[[#This Row],[STATUS DA ETAPA]],"")</f>
        <v/>
      </c>
      <c r="CF161" s="21" t="str">
        <f>IF([1]!BANCO10[[#This Row],[SOLUÇÃO]]=CF$1,[1]!BANCO10[[#This Row],[STATUS DA ETAPA]],"")</f>
        <v/>
      </c>
      <c r="CG161" s="21" t="str">
        <f>IF([1]!BANCO10[[#This Row],[SOLUÇÃO]]=CG$1,[1]!BANCO10[[#This Row],[STATUS DA ETAPA]],"")</f>
        <v/>
      </c>
      <c r="CH161" s="21" t="str">
        <f>IF([1]!BANCO10[[#This Row],[SOLUÇÃO]]=CH$1,[1]!BANCO10[[#This Row],[STATUS DA ETAPA]],"")</f>
        <v/>
      </c>
      <c r="CI161" s="21" t="str">
        <f>IF([1]!BANCO10[[#This Row],[SOLUÇÃO]]=CI$1,[1]!BANCO10[[#This Row],[STATUS DA ETAPA]],"")</f>
        <v/>
      </c>
      <c r="CJ161" s="21" t="str">
        <f>IF([1]!BANCO10[[#This Row],[SOLUÇÃO]]=CJ$1,[1]!BANCO10[[#This Row],[STATUS DA ETAPA]],"")</f>
        <v/>
      </c>
      <c r="CK161" s="21" t="str">
        <f>IF([1]!BANCO10[[#This Row],[SOLUÇÃO]]=CK$1,[1]!BANCO10[[#This Row],[STATUS DA ETAPA]],"")</f>
        <v/>
      </c>
      <c r="CL161" s="21" t="str">
        <f>IF([1]!BANCO10[[#This Row],[SOLUÇÃO]]=CL$1,[1]!BANCO10[[#This Row],[STATUS DA ETAPA]],"")</f>
        <v/>
      </c>
      <c r="CM161" s="21" t="str">
        <f>IF([1]!BANCO10[[#This Row],[SOLUÇÃO]]=CM$1,[1]!BANCO10[[#This Row],[STATUS DA ETAPA]],"")</f>
        <v/>
      </c>
      <c r="CN161" s="21" t="str">
        <f>IF([1]!BANCO10[[#This Row],[SOLUÇÃO]]=CN$1,[1]!BANCO10[[#This Row],[STATUS DA ETAPA]],"")</f>
        <v/>
      </c>
      <c r="CO161" s="21" t="str">
        <f>IF([1]!BANCO10[[#This Row],[SOLUÇÃO]]=CO$1,[1]!BANCO10[[#This Row],[STATUS DA ETAPA]],"")</f>
        <v/>
      </c>
      <c r="CP161" s="21" t="str">
        <f>IF([1]!BANCO10[[#This Row],[SOLUÇÃO]]=CP$1,[1]!BANCO10[[#This Row],[STATUS DA ETAPA]],"")</f>
        <v/>
      </c>
      <c r="CQ161" s="21" t="str">
        <f>IF([1]!BANCO10[[#This Row],[SOLUÇÃO]]=CQ$1,[1]!BANCO10[[#This Row],[STATUS DA ETAPA]],"")</f>
        <v/>
      </c>
      <c r="CR161" s="21" t="str">
        <f>IF([1]!BANCO10[[#This Row],[SOLUÇÃO]]=CR$1,[1]!BANCO10[[#This Row],[STATUS DA ETAPA]],"")</f>
        <v/>
      </c>
      <c r="CS161" s="21" t="str">
        <f>IF([1]!BANCO10[[#This Row],[SOLUÇÃO]]=CS$1,[1]!BANCO10[[#This Row],[STATUS DA ETAPA]],"")</f>
        <v/>
      </c>
      <c r="CT161" s="21" t="str">
        <f>IF([1]!BANCO10[[#This Row],[SOLUÇÃO]]=CT$1,[1]!BANCO10[[#This Row],[STATUS DA ETAPA]],"")</f>
        <v/>
      </c>
      <c r="CU161" s="21" t="str">
        <f>IF([1]!BANCO10[[#This Row],[SOLUÇÃO]]=CU$1,[1]!BANCO10[[#This Row],[STATUS DA ETAPA]],"")</f>
        <v/>
      </c>
      <c r="CV161" s="21" t="str">
        <f>IF([1]!BANCO10[[#This Row],[SOLUÇÃO]]=CV$1,[1]!BANCO10[[#This Row],[STATUS DA ETAPA]],"")</f>
        <v/>
      </c>
    </row>
    <row r="162" spans="1:100">
      <c r="A162" s="44" t="s">
        <v>1</v>
      </c>
      <c r="B162" s="44"/>
      <c r="C162" s="44" t="s">
        <v>1</v>
      </c>
      <c r="D162" s="44"/>
      <c r="E162" s="44" t="s">
        <v>1</v>
      </c>
      <c r="F162" s="44"/>
      <c r="G162" s="44" t="s">
        <v>1</v>
      </c>
      <c r="H162" s="44"/>
      <c r="I162" s="45" t="s">
        <v>1</v>
      </c>
      <c r="J162" s="46"/>
      <c r="K162" s="45" t="s">
        <v>1</v>
      </c>
      <c r="L162" s="33"/>
      <c r="M162" s="45" t="s">
        <v>1</v>
      </c>
      <c r="N162" s="33"/>
      <c r="O162" s="44" t="s">
        <v>2</v>
      </c>
      <c r="P162" s="44">
        <v>45027</v>
      </c>
      <c r="Q162" s="44" t="s">
        <v>2</v>
      </c>
      <c r="R162" s="44">
        <v>45399</v>
      </c>
      <c r="S162" s="44" t="s">
        <v>2</v>
      </c>
      <c r="T162" s="44">
        <v>45065</v>
      </c>
      <c r="U162" s="44" t="s">
        <v>1</v>
      </c>
      <c r="V162" s="44"/>
      <c r="W162" s="44" t="s">
        <v>1</v>
      </c>
      <c r="X162" s="44"/>
      <c r="Y162" s="44" t="s">
        <v>1</v>
      </c>
      <c r="Z162" s="44"/>
      <c r="AA162" s="44" t="s">
        <v>1</v>
      </c>
      <c r="AB162" s="44"/>
      <c r="AC162" s="51">
        <v>45320</v>
      </c>
      <c r="AD162" s="50">
        <v>45418</v>
      </c>
      <c r="AE162" s="40" t="s">
        <v>2</v>
      </c>
      <c r="AF162" s="40" t="s">
        <v>2</v>
      </c>
      <c r="AG162" s="76" t="s">
        <v>5</v>
      </c>
      <c r="AH162" s="36" t="s">
        <v>2</v>
      </c>
      <c r="AI162" s="49">
        <v>0</v>
      </c>
      <c r="AJ162" s="36" t="s">
        <v>1</v>
      </c>
      <c r="AK162" s="10" t="s">
        <v>1</v>
      </c>
      <c r="AL162" s="36" t="s">
        <v>1</v>
      </c>
      <c r="AM162" s="36" t="s">
        <v>1</v>
      </c>
      <c r="AN162" s="35" t="s">
        <v>1</v>
      </c>
      <c r="AO162" s="35" t="s">
        <v>1</v>
      </c>
      <c r="AP162" s="35" t="s">
        <v>2</v>
      </c>
      <c r="AQ162" s="35" t="s">
        <v>1</v>
      </c>
      <c r="AR162" s="34" t="s">
        <v>1</v>
      </c>
      <c r="AS162" s="33"/>
      <c r="AT162" s="32" t="s">
        <v>1</v>
      </c>
      <c r="AU162" s="31"/>
      <c r="AV162" s="32" t="s">
        <v>1</v>
      </c>
      <c r="AW162" s="31"/>
      <c r="AX162" s="30" t="s">
        <v>2</v>
      </c>
      <c r="AY162" s="55">
        <v>45418</v>
      </c>
      <c r="AZ162" s="30" t="s">
        <v>2</v>
      </c>
      <c r="BA162" s="55">
        <v>45622</v>
      </c>
      <c r="BB162" s="74" t="s">
        <v>724</v>
      </c>
      <c r="BC162" s="25"/>
      <c r="BD162" s="24" t="s">
        <v>723</v>
      </c>
      <c r="BE162" s="24" t="s">
        <v>722</v>
      </c>
      <c r="BF162" s="24" t="s">
        <v>51</v>
      </c>
      <c r="BG162" s="24" t="s">
        <v>11</v>
      </c>
      <c r="BH162" s="130" t="s">
        <v>19</v>
      </c>
      <c r="BI162" s="24"/>
      <c r="BJ162" s="24" t="s">
        <v>11</v>
      </c>
      <c r="BK162" s="24" t="s">
        <v>11</v>
      </c>
      <c r="BL162" s="24" t="s">
        <v>11</v>
      </c>
      <c r="BM162" s="24" t="s">
        <v>11</v>
      </c>
      <c r="BN162" s="24" t="s">
        <v>11</v>
      </c>
      <c r="BO162" s="24" t="s">
        <v>11</v>
      </c>
      <c r="BP162" s="24" t="s">
        <v>11</v>
      </c>
      <c r="BQ162" s="22">
        <f>YEAR([1]!BANCO10[[#This Row],[DATA INÍCIO]])</f>
        <v>2024</v>
      </c>
      <c r="BR162" s="22">
        <f>MONTH([1]!BANCO10[[#This Row],[DATA INÍCIO]])</f>
        <v>1</v>
      </c>
      <c r="BS162" s="129" t="e">
        <f>CONCATENATE(#REF!,#REF!)</f>
        <v>#REF!</v>
      </c>
      <c r="BT162" s="22"/>
      <c r="BU162" s="21" t="s">
        <v>721</v>
      </c>
      <c r="BV162" s="21" t="str">
        <f>IF([1]!BANCO10[[#This Row],[SOLUÇÃO]]=BV$1,[1]!BANCO10[[#This Row],[STATUS DA ETAPA]],"")</f>
        <v/>
      </c>
      <c r="BW162" s="21" t="str">
        <f>IF([1]!BANCO10[[#This Row],[SOLUÇÃO]]=BW$1,[1]!BANCO10[[#This Row],[STATUS DA ETAPA]],"")</f>
        <v/>
      </c>
      <c r="BX162" s="21" t="str">
        <f>IF([1]!BANCO10[[#This Row],[SOLUÇÃO]]=BX$1,[1]!BANCO10[[#This Row],[STATUS DA ETAPA]],"")</f>
        <v/>
      </c>
      <c r="BY162" s="21" t="str">
        <f>IF([1]!BANCO10[[#This Row],[SOLUÇÃO]]=BY$1,[1]!BANCO10[[#This Row],[STATUS DA ETAPA]],"")</f>
        <v/>
      </c>
      <c r="BZ162" s="21" t="str">
        <f>IF([1]!BANCO10[[#This Row],[SOLUÇÃO]]=BZ$1,[1]!BANCO10[[#This Row],[STATUS DA ETAPA]],"")</f>
        <v/>
      </c>
      <c r="CA162" s="21" t="str">
        <f>IF([1]!BANCO10[[#This Row],[SOLUÇÃO]]=CA$1,[1]!BANCO10[[#This Row],[STATUS DA ETAPA]],"")</f>
        <v>CONCLUÍDO</v>
      </c>
      <c r="CB162" s="21" t="str">
        <f>IF([1]!BANCO10[[#This Row],[SOLUÇÃO]]=CB$1,[1]!BANCO10[[#This Row],[STATUS DA ETAPA]],"")</f>
        <v/>
      </c>
      <c r="CC162" s="21" t="str">
        <f>IF([1]!BANCO10[[#This Row],[SOLUÇÃO]]=CC$1,[1]!BANCO10[[#This Row],[STATUS DA ETAPA]],"")</f>
        <v/>
      </c>
      <c r="CD162" s="21" t="str">
        <f>IF([1]!BANCO10[[#This Row],[SOLUÇÃO]]=CD$1,[1]!BANCO10[[#This Row],[STATUS DA ETAPA]],"")</f>
        <v/>
      </c>
      <c r="CE162" s="21" t="str">
        <f>IF([1]!BANCO10[[#This Row],[SOLUÇÃO]]=CE$1,[1]!BANCO10[[#This Row],[STATUS DA ETAPA]],"")</f>
        <v/>
      </c>
      <c r="CF162" s="21" t="str">
        <f>IF([1]!BANCO10[[#This Row],[SOLUÇÃO]]=CF$1,[1]!BANCO10[[#This Row],[STATUS DA ETAPA]],"")</f>
        <v/>
      </c>
      <c r="CG162" s="21" t="str">
        <f>IF([1]!BANCO10[[#This Row],[SOLUÇÃO]]=CG$1,[1]!BANCO10[[#This Row],[STATUS DA ETAPA]],"")</f>
        <v/>
      </c>
      <c r="CH162" s="21" t="str">
        <f>IF([1]!BANCO10[[#This Row],[SOLUÇÃO]]=CH$1,[1]!BANCO10[[#This Row],[STATUS DA ETAPA]],"")</f>
        <v/>
      </c>
      <c r="CI162" s="21" t="str">
        <f>IF([1]!BANCO10[[#This Row],[SOLUÇÃO]]=CI$1,[1]!BANCO10[[#This Row],[STATUS DA ETAPA]],"")</f>
        <v/>
      </c>
      <c r="CJ162" s="21" t="str">
        <f>IF([1]!BANCO10[[#This Row],[SOLUÇÃO]]=CJ$1,[1]!BANCO10[[#This Row],[STATUS DA ETAPA]],"")</f>
        <v/>
      </c>
      <c r="CK162" s="21" t="str">
        <f>IF([1]!BANCO10[[#This Row],[SOLUÇÃO]]=CK$1,[1]!BANCO10[[#This Row],[STATUS DA ETAPA]],"")</f>
        <v/>
      </c>
      <c r="CL162" s="21" t="str">
        <f>IF([1]!BANCO10[[#This Row],[SOLUÇÃO]]=CL$1,[1]!BANCO10[[#This Row],[STATUS DA ETAPA]],"")</f>
        <v/>
      </c>
      <c r="CM162" s="21" t="str">
        <f>IF([1]!BANCO10[[#This Row],[SOLUÇÃO]]=CM$1,[1]!BANCO10[[#This Row],[STATUS DA ETAPA]],"")</f>
        <v/>
      </c>
      <c r="CN162" s="21" t="str">
        <f>IF([1]!BANCO10[[#This Row],[SOLUÇÃO]]=CN$1,[1]!BANCO10[[#This Row],[STATUS DA ETAPA]],"")</f>
        <v/>
      </c>
      <c r="CO162" s="21" t="str">
        <f>IF([1]!BANCO10[[#This Row],[SOLUÇÃO]]=CO$1,[1]!BANCO10[[#This Row],[STATUS DA ETAPA]],"")</f>
        <v/>
      </c>
      <c r="CP162" s="21" t="str">
        <f>IF([1]!BANCO10[[#This Row],[SOLUÇÃO]]=CP$1,[1]!BANCO10[[#This Row],[STATUS DA ETAPA]],"")</f>
        <v/>
      </c>
      <c r="CQ162" s="21" t="str">
        <f>IF([1]!BANCO10[[#This Row],[SOLUÇÃO]]=CQ$1,[1]!BANCO10[[#This Row],[STATUS DA ETAPA]],"")</f>
        <v/>
      </c>
      <c r="CR162" s="21" t="str">
        <f>IF([1]!BANCO10[[#This Row],[SOLUÇÃO]]=CR$1,[1]!BANCO10[[#This Row],[STATUS DA ETAPA]],"")</f>
        <v/>
      </c>
      <c r="CS162" s="21" t="str">
        <f>IF([1]!BANCO10[[#This Row],[SOLUÇÃO]]=CS$1,[1]!BANCO10[[#This Row],[STATUS DA ETAPA]],"")</f>
        <v/>
      </c>
      <c r="CT162" s="21" t="str">
        <f>IF([1]!BANCO10[[#This Row],[SOLUÇÃO]]=CT$1,[1]!BANCO10[[#This Row],[STATUS DA ETAPA]],"")</f>
        <v/>
      </c>
      <c r="CU162" s="21" t="str">
        <f>IF([1]!BANCO10[[#This Row],[SOLUÇÃO]]=CU$1,[1]!BANCO10[[#This Row],[STATUS DA ETAPA]],"")</f>
        <v/>
      </c>
      <c r="CV162" s="21" t="str">
        <f>IF([1]!BANCO10[[#This Row],[SOLUÇÃO]]=CV$1,[1]!BANCO10[[#This Row],[STATUS DA ETAPA]],"")</f>
        <v/>
      </c>
    </row>
    <row r="163" spans="1:100">
      <c r="A163" s="44" t="s">
        <v>1</v>
      </c>
      <c r="B163" s="44"/>
      <c r="C163" s="44" t="s">
        <v>1</v>
      </c>
      <c r="D163" s="44"/>
      <c r="E163" s="44" t="s">
        <v>1</v>
      </c>
      <c r="F163" s="44"/>
      <c r="G163" s="44" t="s">
        <v>1</v>
      </c>
      <c r="H163" s="44"/>
      <c r="I163" s="45" t="s">
        <v>1</v>
      </c>
      <c r="J163" s="46"/>
      <c r="K163" s="45" t="s">
        <v>1</v>
      </c>
      <c r="L163" s="33"/>
      <c r="M163" s="45" t="s">
        <v>1</v>
      </c>
      <c r="N163" s="33"/>
      <c r="O163" s="44" t="s">
        <v>2</v>
      </c>
      <c r="P163" s="44">
        <v>45027</v>
      </c>
      <c r="Q163" s="44" t="s">
        <v>2</v>
      </c>
      <c r="R163" s="44">
        <v>45365</v>
      </c>
      <c r="S163" s="44" t="s">
        <v>2</v>
      </c>
      <c r="T163" s="44">
        <v>45365</v>
      </c>
      <c r="U163" s="44" t="s">
        <v>2</v>
      </c>
      <c r="V163" s="44">
        <v>45365</v>
      </c>
      <c r="W163" s="44" t="s">
        <v>2</v>
      </c>
      <c r="X163" s="44"/>
      <c r="Y163" s="44" t="s">
        <v>2</v>
      </c>
      <c r="Z163" s="44">
        <v>45365</v>
      </c>
      <c r="AA163" s="44" t="s">
        <v>2</v>
      </c>
      <c r="AB163" s="44"/>
      <c r="AC163" s="51">
        <v>45429</v>
      </c>
      <c r="AD163" s="50">
        <v>45622</v>
      </c>
      <c r="AE163" s="40" t="s">
        <v>2</v>
      </c>
      <c r="AF163" s="41" t="s">
        <v>2</v>
      </c>
      <c r="AG163" s="76" t="s">
        <v>4</v>
      </c>
      <c r="AH163" s="36" t="s">
        <v>0</v>
      </c>
      <c r="AI163" s="49">
        <v>0</v>
      </c>
      <c r="AJ163" s="36" t="s">
        <v>6</v>
      </c>
      <c r="AK163" s="10" t="s">
        <v>720</v>
      </c>
      <c r="AL163" s="36">
        <v>4702</v>
      </c>
      <c r="AM163" s="36">
        <v>114038</v>
      </c>
      <c r="AN163" s="35" t="s">
        <v>1</v>
      </c>
      <c r="AO163" s="35" t="s">
        <v>1</v>
      </c>
      <c r="AP163" s="35" t="s">
        <v>2</v>
      </c>
      <c r="AQ163" s="35" t="s">
        <v>1</v>
      </c>
      <c r="AR163" s="34" t="s">
        <v>1</v>
      </c>
      <c r="AS163" s="33"/>
      <c r="AT163" s="32" t="s">
        <v>1</v>
      </c>
      <c r="AU163" s="31"/>
      <c r="AV163" s="32" t="s">
        <v>1</v>
      </c>
      <c r="AW163" s="31"/>
      <c r="AX163" s="30" t="s">
        <v>2</v>
      </c>
      <c r="AY163" s="55">
        <v>45622</v>
      </c>
      <c r="AZ163" s="30" t="s">
        <v>2</v>
      </c>
      <c r="BA163" s="55">
        <v>45619</v>
      </c>
      <c r="BB163" s="74" t="s">
        <v>719</v>
      </c>
      <c r="BC163" s="25"/>
      <c r="BD163" s="24"/>
      <c r="BE163" s="24"/>
      <c r="BF163" s="24"/>
      <c r="BG163" s="24"/>
      <c r="BH163" s="130"/>
      <c r="BI163" s="24"/>
      <c r="BJ163" s="24"/>
      <c r="BK163" s="24"/>
      <c r="BL163" s="24">
        <v>45390</v>
      </c>
      <c r="BM163" s="24" t="s">
        <v>18</v>
      </c>
      <c r="BN163" s="24" t="s">
        <v>11</v>
      </c>
      <c r="BO163" s="24"/>
      <c r="BP163" s="24" t="s">
        <v>718</v>
      </c>
      <c r="BQ163" s="22">
        <f>YEAR([1]!BANCO10[[#This Row],[DATA INÍCIO]])</f>
        <v>2024</v>
      </c>
      <c r="BR163" s="22">
        <f>MONTH([1]!BANCO10[[#This Row],[DATA INÍCIO]])</f>
        <v>5</v>
      </c>
      <c r="BS163" s="129" t="e">
        <f>CONCATENATE(#REF!,#REF!)</f>
        <v>#REF!</v>
      </c>
      <c r="BT163" s="22"/>
      <c r="BU163" s="21" t="s">
        <v>717</v>
      </c>
      <c r="BV163" s="21" t="str">
        <f>IF([1]!BANCO10[[#This Row],[SOLUÇÃO]]=BV$1,[1]!BANCO10[[#This Row],[STATUS DA ETAPA]],"")</f>
        <v/>
      </c>
      <c r="BW163" s="21" t="str">
        <f>IF([1]!BANCO10[[#This Row],[SOLUÇÃO]]=BW$1,[1]!BANCO10[[#This Row],[STATUS DA ETAPA]],"")</f>
        <v/>
      </c>
      <c r="BX163" s="21" t="str">
        <f>IF([1]!BANCO10[[#This Row],[SOLUÇÃO]]=BX$1,[1]!BANCO10[[#This Row],[STATUS DA ETAPA]],"")</f>
        <v>CONCLUÍDO</v>
      </c>
      <c r="BY163" s="21" t="str">
        <f>IF([1]!BANCO10[[#This Row],[SOLUÇÃO]]=BY$1,[1]!BANCO10[[#This Row],[STATUS DA ETAPA]],"")</f>
        <v/>
      </c>
      <c r="BZ163" s="21" t="str">
        <f>IF([1]!BANCO10[[#This Row],[SOLUÇÃO]]=BZ$1,[1]!BANCO10[[#This Row],[STATUS DA ETAPA]],"")</f>
        <v/>
      </c>
      <c r="CA163" s="21" t="str">
        <f>IF([1]!BANCO10[[#This Row],[SOLUÇÃO]]=CA$1,[1]!BANCO10[[#This Row],[STATUS DA ETAPA]],"")</f>
        <v/>
      </c>
      <c r="CB163" s="21" t="str">
        <f>IF([1]!BANCO10[[#This Row],[SOLUÇÃO]]=CB$1,[1]!BANCO10[[#This Row],[STATUS DA ETAPA]],"")</f>
        <v/>
      </c>
      <c r="CC163" s="21" t="str">
        <f>IF([1]!BANCO10[[#This Row],[SOLUÇÃO]]=CC$1,[1]!BANCO10[[#This Row],[STATUS DA ETAPA]],"")</f>
        <v/>
      </c>
      <c r="CD163" s="21" t="str">
        <f>IF([1]!BANCO10[[#This Row],[SOLUÇÃO]]=CD$1,[1]!BANCO10[[#This Row],[STATUS DA ETAPA]],"")</f>
        <v/>
      </c>
      <c r="CE163" s="21" t="str">
        <f>IF([1]!BANCO10[[#This Row],[SOLUÇÃO]]=CE$1,[1]!BANCO10[[#This Row],[STATUS DA ETAPA]],"")</f>
        <v/>
      </c>
      <c r="CF163" s="21" t="str">
        <f>IF([1]!BANCO10[[#This Row],[SOLUÇÃO]]=CF$1,[1]!BANCO10[[#This Row],[STATUS DA ETAPA]],"")</f>
        <v/>
      </c>
      <c r="CG163" s="21" t="str">
        <f>IF([1]!BANCO10[[#This Row],[SOLUÇÃO]]=CG$1,[1]!BANCO10[[#This Row],[STATUS DA ETAPA]],"")</f>
        <v/>
      </c>
      <c r="CH163" s="21" t="str">
        <f>IF([1]!BANCO10[[#This Row],[SOLUÇÃO]]=CH$1,[1]!BANCO10[[#This Row],[STATUS DA ETAPA]],"")</f>
        <v/>
      </c>
      <c r="CI163" s="21" t="str">
        <f>IF([1]!BANCO10[[#This Row],[SOLUÇÃO]]=CI$1,[1]!BANCO10[[#This Row],[STATUS DA ETAPA]],"")</f>
        <v/>
      </c>
      <c r="CJ163" s="21" t="str">
        <f>IF([1]!BANCO10[[#This Row],[SOLUÇÃO]]=CJ$1,[1]!BANCO10[[#This Row],[STATUS DA ETAPA]],"")</f>
        <v/>
      </c>
      <c r="CK163" s="21" t="str">
        <f>IF([1]!BANCO10[[#This Row],[SOLUÇÃO]]=CK$1,[1]!BANCO10[[#This Row],[STATUS DA ETAPA]],"")</f>
        <v/>
      </c>
      <c r="CL163" s="21" t="str">
        <f>IF([1]!BANCO10[[#This Row],[SOLUÇÃO]]=CL$1,[1]!BANCO10[[#This Row],[STATUS DA ETAPA]],"")</f>
        <v/>
      </c>
      <c r="CM163" s="21" t="str">
        <f>IF([1]!BANCO10[[#This Row],[SOLUÇÃO]]=CM$1,[1]!BANCO10[[#This Row],[STATUS DA ETAPA]],"")</f>
        <v/>
      </c>
      <c r="CN163" s="21" t="str">
        <f>IF([1]!BANCO10[[#This Row],[SOLUÇÃO]]=CN$1,[1]!BANCO10[[#This Row],[STATUS DA ETAPA]],"")</f>
        <v/>
      </c>
      <c r="CO163" s="21" t="str">
        <f>IF([1]!BANCO10[[#This Row],[SOLUÇÃO]]=CO$1,[1]!BANCO10[[#This Row],[STATUS DA ETAPA]],"")</f>
        <v/>
      </c>
      <c r="CP163" s="21" t="str">
        <f>IF([1]!BANCO10[[#This Row],[SOLUÇÃO]]=CP$1,[1]!BANCO10[[#This Row],[STATUS DA ETAPA]],"")</f>
        <v/>
      </c>
      <c r="CQ163" s="21" t="str">
        <f>IF([1]!BANCO10[[#This Row],[SOLUÇÃO]]=CQ$1,[1]!BANCO10[[#This Row],[STATUS DA ETAPA]],"")</f>
        <v/>
      </c>
      <c r="CR163" s="21" t="str">
        <f>IF([1]!BANCO10[[#This Row],[SOLUÇÃO]]=CR$1,[1]!BANCO10[[#This Row],[STATUS DA ETAPA]],"")</f>
        <v/>
      </c>
      <c r="CS163" s="21" t="str">
        <f>IF([1]!BANCO10[[#This Row],[SOLUÇÃO]]=CS$1,[1]!BANCO10[[#This Row],[STATUS DA ETAPA]],"")</f>
        <v/>
      </c>
      <c r="CT163" s="21" t="str">
        <f>IF([1]!BANCO10[[#This Row],[SOLUÇÃO]]=CT$1,[1]!BANCO10[[#This Row],[STATUS DA ETAPA]],"")</f>
        <v/>
      </c>
      <c r="CU163" s="21" t="str">
        <f>IF([1]!BANCO10[[#This Row],[SOLUÇÃO]]=CU$1,[1]!BANCO10[[#This Row],[STATUS DA ETAPA]],"")</f>
        <v/>
      </c>
      <c r="CV163" s="21" t="str">
        <f>IF([1]!BANCO10[[#This Row],[SOLUÇÃO]]=CV$1,[1]!BANCO10[[#This Row],[STATUS DA ETAPA]],"")</f>
        <v/>
      </c>
    </row>
    <row r="164" spans="1:100">
      <c r="A164" s="44" t="s">
        <v>1</v>
      </c>
      <c r="B164" s="44"/>
      <c r="C164" s="44" t="s">
        <v>1</v>
      </c>
      <c r="D164" s="44"/>
      <c r="E164" s="44" t="s">
        <v>1</v>
      </c>
      <c r="F164" s="44"/>
      <c r="G164" s="44" t="s">
        <v>1</v>
      </c>
      <c r="H164" s="44"/>
      <c r="I164" s="45" t="s">
        <v>1</v>
      </c>
      <c r="J164" s="46"/>
      <c r="K164" s="45" t="s">
        <v>1</v>
      </c>
      <c r="L164" s="33"/>
      <c r="M164" s="45" t="s">
        <v>1</v>
      </c>
      <c r="N164" s="33"/>
      <c r="O164" s="44" t="s">
        <v>2</v>
      </c>
      <c r="P164" s="44">
        <v>45310</v>
      </c>
      <c r="Q164" s="44"/>
      <c r="R164" s="44"/>
      <c r="S164" s="44"/>
      <c r="T164" s="44"/>
      <c r="U164" s="44" t="s">
        <v>1</v>
      </c>
      <c r="V164" s="44"/>
      <c r="W164" s="44" t="s">
        <v>1</v>
      </c>
      <c r="X164" s="44"/>
      <c r="Y164" s="44" t="s">
        <v>1</v>
      </c>
      <c r="Z164" s="44"/>
      <c r="AA164" s="44" t="s">
        <v>1</v>
      </c>
      <c r="AB164" s="44"/>
      <c r="AC164" s="51">
        <v>45307</v>
      </c>
      <c r="AD164" s="83">
        <v>45407</v>
      </c>
      <c r="AE164" s="40" t="s">
        <v>2</v>
      </c>
      <c r="AF164" s="40" t="s">
        <v>2</v>
      </c>
      <c r="AG164" s="76" t="s">
        <v>5</v>
      </c>
      <c r="AH164" s="36" t="s">
        <v>2</v>
      </c>
      <c r="AI164" s="49">
        <v>0</v>
      </c>
      <c r="AJ164" s="36" t="s">
        <v>1</v>
      </c>
      <c r="AK164" s="10" t="s">
        <v>1</v>
      </c>
      <c r="AL164" s="36" t="s">
        <v>1</v>
      </c>
      <c r="AM164" s="36" t="s">
        <v>1</v>
      </c>
      <c r="AN164" s="35" t="s">
        <v>1</v>
      </c>
      <c r="AO164" s="35" t="s">
        <v>1</v>
      </c>
      <c r="AP164" s="35" t="s">
        <v>2</v>
      </c>
      <c r="AQ164" s="35" t="s">
        <v>1</v>
      </c>
      <c r="AR164" s="34" t="s">
        <v>1</v>
      </c>
      <c r="AS164" s="33"/>
      <c r="AT164" s="32" t="s">
        <v>1</v>
      </c>
      <c r="AU164" s="31"/>
      <c r="AV164" s="32" t="s">
        <v>1</v>
      </c>
      <c r="AW164" s="31"/>
      <c r="AX164" s="30" t="s">
        <v>2</v>
      </c>
      <c r="AY164" s="55">
        <v>45407</v>
      </c>
      <c r="AZ164" s="30" t="s">
        <v>0</v>
      </c>
      <c r="BA164" s="55"/>
      <c r="BB164" s="74" t="s">
        <v>26</v>
      </c>
      <c r="BC164" s="25"/>
      <c r="BD164" s="24"/>
      <c r="BE164" s="24"/>
      <c r="BF164" s="24"/>
      <c r="BG164" s="24"/>
      <c r="BH164" s="130"/>
      <c r="BI164" s="24"/>
      <c r="BJ164" s="24"/>
      <c r="BK164" s="24"/>
      <c r="BL164" s="24">
        <v>45392</v>
      </c>
      <c r="BM164" s="24"/>
      <c r="BN164" s="24"/>
      <c r="BO164" s="24"/>
      <c r="BP164" s="24" t="s">
        <v>716</v>
      </c>
      <c r="BQ164" s="22">
        <f>YEAR([1]!BANCO10[[#This Row],[DATA INÍCIO]])</f>
        <v>2024</v>
      </c>
      <c r="BR164" s="22">
        <f>MONTH([1]!BANCO10[[#This Row],[DATA INÍCIO]])</f>
        <v>1</v>
      </c>
      <c r="BS164" s="129" t="e">
        <f>CONCATENATE(#REF!,#REF!)</f>
        <v>#REF!</v>
      </c>
      <c r="BT164" s="22"/>
      <c r="BU164" s="21" t="s">
        <v>715</v>
      </c>
      <c r="BV164" s="21" t="str">
        <f>IF([1]!BANCO10[[#This Row],[SOLUÇÃO]]=BV$1,[1]!BANCO10[[#This Row],[STATUS DA ETAPA]],"")</f>
        <v/>
      </c>
      <c r="BW164" s="21" t="str">
        <f>IF([1]!BANCO10[[#This Row],[SOLUÇÃO]]=BW$1,[1]!BANCO10[[#This Row],[STATUS DA ETAPA]],"")</f>
        <v/>
      </c>
      <c r="BX164" s="21" t="str">
        <f>IF([1]!BANCO10[[#This Row],[SOLUÇÃO]]=BX$1,[1]!BANCO10[[#This Row],[STATUS DA ETAPA]],"")</f>
        <v/>
      </c>
      <c r="BY164" s="21" t="str">
        <f>IF([1]!BANCO10[[#This Row],[SOLUÇÃO]]=BY$1,[1]!BANCO10[[#This Row],[STATUS DA ETAPA]],"")</f>
        <v/>
      </c>
      <c r="BZ164" s="21" t="str">
        <f>IF([1]!BANCO10[[#This Row],[SOLUÇÃO]]=BZ$1,[1]!BANCO10[[#This Row],[STATUS DA ETAPA]],"")</f>
        <v/>
      </c>
      <c r="CA164" s="21" t="str">
        <f>IF([1]!BANCO10[[#This Row],[SOLUÇÃO]]=CA$1,[1]!BANCO10[[#This Row],[STATUS DA ETAPA]],"")</f>
        <v>CONCLUÍDO</v>
      </c>
      <c r="CB164" s="21" t="str">
        <f>IF([1]!BANCO10[[#This Row],[SOLUÇÃO]]=CB$1,[1]!BANCO10[[#This Row],[STATUS DA ETAPA]],"")</f>
        <v/>
      </c>
      <c r="CC164" s="21" t="str">
        <f>IF([1]!BANCO10[[#This Row],[SOLUÇÃO]]=CC$1,[1]!BANCO10[[#This Row],[STATUS DA ETAPA]],"")</f>
        <v/>
      </c>
      <c r="CD164" s="21" t="str">
        <f>IF([1]!BANCO10[[#This Row],[SOLUÇÃO]]=CD$1,[1]!BANCO10[[#This Row],[STATUS DA ETAPA]],"")</f>
        <v/>
      </c>
      <c r="CE164" s="21" t="str">
        <f>IF([1]!BANCO10[[#This Row],[SOLUÇÃO]]=CE$1,[1]!BANCO10[[#This Row],[STATUS DA ETAPA]],"")</f>
        <v/>
      </c>
      <c r="CF164" s="21" t="str">
        <f>IF([1]!BANCO10[[#This Row],[SOLUÇÃO]]=CF$1,[1]!BANCO10[[#This Row],[STATUS DA ETAPA]],"")</f>
        <v/>
      </c>
      <c r="CG164" s="21" t="str">
        <f>IF([1]!BANCO10[[#This Row],[SOLUÇÃO]]=CG$1,[1]!BANCO10[[#This Row],[STATUS DA ETAPA]],"")</f>
        <v/>
      </c>
      <c r="CH164" s="21" t="str">
        <f>IF([1]!BANCO10[[#This Row],[SOLUÇÃO]]=CH$1,[1]!BANCO10[[#This Row],[STATUS DA ETAPA]],"")</f>
        <v/>
      </c>
      <c r="CI164" s="21" t="str">
        <f>IF([1]!BANCO10[[#This Row],[SOLUÇÃO]]=CI$1,[1]!BANCO10[[#This Row],[STATUS DA ETAPA]],"")</f>
        <v/>
      </c>
      <c r="CJ164" s="21" t="str">
        <f>IF([1]!BANCO10[[#This Row],[SOLUÇÃO]]=CJ$1,[1]!BANCO10[[#This Row],[STATUS DA ETAPA]],"")</f>
        <v/>
      </c>
      <c r="CK164" s="21" t="str">
        <f>IF([1]!BANCO10[[#This Row],[SOLUÇÃO]]=CK$1,[1]!BANCO10[[#This Row],[STATUS DA ETAPA]],"")</f>
        <v/>
      </c>
      <c r="CL164" s="21" t="str">
        <f>IF([1]!BANCO10[[#This Row],[SOLUÇÃO]]=CL$1,[1]!BANCO10[[#This Row],[STATUS DA ETAPA]],"")</f>
        <v/>
      </c>
      <c r="CM164" s="21" t="str">
        <f>IF([1]!BANCO10[[#This Row],[SOLUÇÃO]]=CM$1,[1]!BANCO10[[#This Row],[STATUS DA ETAPA]],"")</f>
        <v/>
      </c>
      <c r="CN164" s="21" t="str">
        <f>IF([1]!BANCO10[[#This Row],[SOLUÇÃO]]=CN$1,[1]!BANCO10[[#This Row],[STATUS DA ETAPA]],"")</f>
        <v/>
      </c>
      <c r="CO164" s="21" t="str">
        <f>IF([1]!BANCO10[[#This Row],[SOLUÇÃO]]=CO$1,[1]!BANCO10[[#This Row],[STATUS DA ETAPA]],"")</f>
        <v/>
      </c>
      <c r="CP164" s="21" t="str">
        <f>IF([1]!BANCO10[[#This Row],[SOLUÇÃO]]=CP$1,[1]!BANCO10[[#This Row],[STATUS DA ETAPA]],"")</f>
        <v/>
      </c>
      <c r="CQ164" s="21" t="str">
        <f>IF([1]!BANCO10[[#This Row],[SOLUÇÃO]]=CQ$1,[1]!BANCO10[[#This Row],[STATUS DA ETAPA]],"")</f>
        <v/>
      </c>
      <c r="CR164" s="21" t="str">
        <f>IF([1]!BANCO10[[#This Row],[SOLUÇÃO]]=CR$1,[1]!BANCO10[[#This Row],[STATUS DA ETAPA]],"")</f>
        <v/>
      </c>
      <c r="CS164" s="21" t="str">
        <f>IF([1]!BANCO10[[#This Row],[SOLUÇÃO]]=CS$1,[1]!BANCO10[[#This Row],[STATUS DA ETAPA]],"")</f>
        <v/>
      </c>
      <c r="CT164" s="21" t="str">
        <f>IF([1]!BANCO10[[#This Row],[SOLUÇÃO]]=CT$1,[1]!BANCO10[[#This Row],[STATUS DA ETAPA]],"")</f>
        <v/>
      </c>
      <c r="CU164" s="21" t="str">
        <f>IF([1]!BANCO10[[#This Row],[SOLUÇÃO]]=CU$1,[1]!BANCO10[[#This Row],[STATUS DA ETAPA]],"")</f>
        <v/>
      </c>
      <c r="CV164" s="21" t="str">
        <f>IF([1]!BANCO10[[#This Row],[SOLUÇÃO]]=CV$1,[1]!BANCO10[[#This Row],[STATUS DA ETAPA]],"")</f>
        <v/>
      </c>
    </row>
    <row r="165" spans="1:100">
      <c r="A165" s="44" t="s">
        <v>1</v>
      </c>
      <c r="B165" s="44"/>
      <c r="C165" s="44" t="s">
        <v>1</v>
      </c>
      <c r="D165" s="44"/>
      <c r="E165" s="44" t="s">
        <v>1</v>
      </c>
      <c r="F165" s="44"/>
      <c r="G165" s="44" t="s">
        <v>1</v>
      </c>
      <c r="H165" s="44"/>
      <c r="I165" s="45" t="s">
        <v>1</v>
      </c>
      <c r="J165" s="46"/>
      <c r="K165" s="45" t="s">
        <v>1</v>
      </c>
      <c r="L165" s="33"/>
      <c r="M165" s="45" t="s">
        <v>1</v>
      </c>
      <c r="N165" s="33"/>
      <c r="O165" s="44" t="s">
        <v>1</v>
      </c>
      <c r="P165" s="44"/>
      <c r="Q165" s="44" t="s">
        <v>1</v>
      </c>
      <c r="R165" s="44"/>
      <c r="S165" s="44" t="s">
        <v>1</v>
      </c>
      <c r="T165" s="44"/>
      <c r="U165" s="44" t="s">
        <v>1</v>
      </c>
      <c r="V165" s="44"/>
      <c r="W165" s="44" t="s">
        <v>1</v>
      </c>
      <c r="X165" s="44"/>
      <c r="Y165" s="44" t="s">
        <v>1</v>
      </c>
      <c r="Z165" s="44"/>
      <c r="AA165" s="44" t="s">
        <v>1</v>
      </c>
      <c r="AB165" s="44"/>
      <c r="AC165" s="51">
        <v>45577</v>
      </c>
      <c r="AD165" s="83">
        <v>45577</v>
      </c>
      <c r="AE165" s="41" t="s">
        <v>0</v>
      </c>
      <c r="AF165" s="41" t="s">
        <v>0</v>
      </c>
      <c r="AG165" s="40" t="s">
        <v>5</v>
      </c>
      <c r="AH165" s="36" t="s">
        <v>1</v>
      </c>
      <c r="AI165" s="49">
        <v>0</v>
      </c>
      <c r="AJ165" s="36" t="s">
        <v>1</v>
      </c>
      <c r="AK165" s="10" t="s">
        <v>1</v>
      </c>
      <c r="AL165" s="36" t="s">
        <v>1</v>
      </c>
      <c r="AM165" s="36" t="s">
        <v>1</v>
      </c>
      <c r="AN165" s="35" t="s">
        <v>1</v>
      </c>
      <c r="AO165" s="35" t="s">
        <v>1</v>
      </c>
      <c r="AP165" s="35" t="s">
        <v>1</v>
      </c>
      <c r="AQ165" s="35" t="s">
        <v>1</v>
      </c>
      <c r="AR165" s="90" t="s">
        <v>1</v>
      </c>
      <c r="AS165" s="89"/>
      <c r="AT165" s="88"/>
      <c r="AU165" s="25"/>
      <c r="AV165" s="88"/>
      <c r="AW165" s="25"/>
      <c r="AX165" s="88" t="s">
        <v>1</v>
      </c>
      <c r="AY165" s="25"/>
      <c r="AZ165" s="88" t="s">
        <v>1</v>
      </c>
      <c r="BA165" s="25"/>
      <c r="BB165" s="26"/>
      <c r="BC165" s="86"/>
      <c r="BD165" s="24"/>
      <c r="BE165" s="24"/>
      <c r="BF165" s="24"/>
      <c r="BG165" s="24"/>
      <c r="BH165" s="24"/>
      <c r="BI165" s="24"/>
      <c r="BJ165" s="24"/>
      <c r="BK165" s="24"/>
      <c r="BL165" s="24"/>
      <c r="BM165" s="24"/>
      <c r="BN165" s="24"/>
      <c r="BO165" s="24"/>
      <c r="BP165" s="24"/>
      <c r="BQ165" s="22">
        <f>YEAR([1]!BANCO10[[#This Row],[DATA INÍCIO]])</f>
        <v>2024</v>
      </c>
      <c r="BR165" s="22">
        <f>MONTH([1]!BANCO10[[#This Row],[DATA INÍCIO]])</f>
        <v>10</v>
      </c>
      <c r="BS165" s="23" t="e">
        <f>CONCATENATE(#REF!,#REF!)</f>
        <v>#REF!</v>
      </c>
      <c r="BT165" s="22"/>
      <c r="BU165" s="22"/>
      <c r="BV165" s="21" t="str">
        <f>IF([1]!BANCO10[[#This Row],[SOLUÇÃO]]=BV$1,[1]!BANCO10[[#This Row],[STATUS DA ETAPA]],"")</f>
        <v>CONCLUÍDO</v>
      </c>
      <c r="BW165" s="21" t="str">
        <f>IF([1]!BANCO10[[#This Row],[SOLUÇÃO]]=BW$1,[1]!BANCO10[[#This Row],[STATUS DA ETAPA]],"")</f>
        <v/>
      </c>
      <c r="BX165" s="21" t="str">
        <f>IF([1]!BANCO10[[#This Row],[SOLUÇÃO]]=BX$1,[1]!BANCO10[[#This Row],[STATUS DA ETAPA]],"")</f>
        <v/>
      </c>
      <c r="BY165" s="21" t="str">
        <f>IF([1]!BANCO10[[#This Row],[SOLUÇÃO]]=BY$1,[1]!BANCO10[[#This Row],[STATUS DA ETAPA]],"")</f>
        <v/>
      </c>
      <c r="BZ165" s="21" t="str">
        <f>IF([1]!BANCO10[[#This Row],[SOLUÇÃO]]=BZ$1,[1]!BANCO10[[#This Row],[STATUS DA ETAPA]],"")</f>
        <v/>
      </c>
      <c r="CA165" s="21" t="str">
        <f>IF([1]!BANCO10[[#This Row],[SOLUÇÃO]]=CA$1,[1]!BANCO10[[#This Row],[STATUS DA ETAPA]],"")</f>
        <v/>
      </c>
      <c r="CB165" s="21" t="str">
        <f>IF([1]!BANCO10[[#This Row],[SOLUÇÃO]]=CB$1,[1]!BANCO10[[#This Row],[STATUS DA ETAPA]],"")</f>
        <v/>
      </c>
      <c r="CC165" s="21" t="str">
        <f>IF([1]!BANCO10[[#This Row],[SOLUÇÃO]]=CC$1,[1]!BANCO10[[#This Row],[STATUS DA ETAPA]],"")</f>
        <v/>
      </c>
      <c r="CD165" s="21" t="str">
        <f>IF([1]!BANCO10[[#This Row],[SOLUÇÃO]]=CD$1,[1]!BANCO10[[#This Row],[STATUS DA ETAPA]],"")</f>
        <v/>
      </c>
      <c r="CE165" s="21" t="str">
        <f>IF([1]!BANCO10[[#This Row],[SOLUÇÃO]]=CE$1,[1]!BANCO10[[#This Row],[STATUS DA ETAPA]],"")</f>
        <v/>
      </c>
      <c r="CF165" s="21" t="str">
        <f>IF([1]!BANCO10[[#This Row],[SOLUÇÃO]]=CF$1,[1]!BANCO10[[#This Row],[STATUS DA ETAPA]],"")</f>
        <v/>
      </c>
      <c r="CG165" s="21" t="str">
        <f>IF([1]!BANCO10[[#This Row],[SOLUÇÃO]]=CG$1,[1]!BANCO10[[#This Row],[STATUS DA ETAPA]],"")</f>
        <v/>
      </c>
      <c r="CH165" s="21" t="str">
        <f>IF([1]!BANCO10[[#This Row],[SOLUÇÃO]]=CH$1,[1]!BANCO10[[#This Row],[STATUS DA ETAPA]],"")</f>
        <v/>
      </c>
      <c r="CI165" s="21" t="str">
        <f>IF([1]!BANCO10[[#This Row],[SOLUÇÃO]]=CI$1,[1]!BANCO10[[#This Row],[STATUS DA ETAPA]],"")</f>
        <v/>
      </c>
      <c r="CJ165" s="21" t="str">
        <f>IF([1]!BANCO10[[#This Row],[SOLUÇÃO]]=CJ$1,[1]!BANCO10[[#This Row],[STATUS DA ETAPA]],"")</f>
        <v/>
      </c>
      <c r="CK165" s="21" t="str">
        <f>IF([1]!BANCO10[[#This Row],[SOLUÇÃO]]=CK$1,[1]!BANCO10[[#This Row],[STATUS DA ETAPA]],"")</f>
        <v/>
      </c>
      <c r="CL165" s="21" t="str">
        <f>IF([1]!BANCO10[[#This Row],[SOLUÇÃO]]=CL$1,[1]!BANCO10[[#This Row],[STATUS DA ETAPA]],"")</f>
        <v/>
      </c>
      <c r="CM165" s="21" t="str">
        <f>IF([1]!BANCO10[[#This Row],[SOLUÇÃO]]=CM$1,[1]!BANCO10[[#This Row],[STATUS DA ETAPA]],"")</f>
        <v/>
      </c>
      <c r="CN165" s="21" t="str">
        <f>IF([1]!BANCO10[[#This Row],[SOLUÇÃO]]=CN$1,[1]!BANCO10[[#This Row],[STATUS DA ETAPA]],"")</f>
        <v/>
      </c>
      <c r="CO165" s="21" t="str">
        <f>IF([1]!BANCO10[[#This Row],[SOLUÇÃO]]=CO$1,[1]!BANCO10[[#This Row],[STATUS DA ETAPA]],"")</f>
        <v/>
      </c>
      <c r="CP165" s="21" t="str">
        <f>IF([1]!BANCO10[[#This Row],[SOLUÇÃO]]=CP$1,[1]!BANCO10[[#This Row],[STATUS DA ETAPA]],"")</f>
        <v/>
      </c>
      <c r="CQ165" s="21" t="str">
        <f>IF([1]!BANCO10[[#This Row],[SOLUÇÃO]]=CQ$1,[1]!BANCO10[[#This Row],[STATUS DA ETAPA]],"")</f>
        <v/>
      </c>
      <c r="CR165" s="21" t="str">
        <f>IF([1]!BANCO10[[#This Row],[SOLUÇÃO]]=CR$1,[1]!BANCO10[[#This Row],[STATUS DA ETAPA]],"")</f>
        <v/>
      </c>
      <c r="CS165" s="21" t="str">
        <f>IF([1]!BANCO10[[#This Row],[SOLUÇÃO]]=CS$1,[1]!BANCO10[[#This Row],[STATUS DA ETAPA]],"")</f>
        <v/>
      </c>
      <c r="CT165" s="21" t="str">
        <f>IF([1]!BANCO10[[#This Row],[SOLUÇÃO]]=CT$1,[1]!BANCO10[[#This Row],[STATUS DA ETAPA]],"")</f>
        <v/>
      </c>
      <c r="CU165" s="21" t="str">
        <f>IF([1]!BANCO10[[#This Row],[SOLUÇÃO]]=CU$1,[1]!BANCO10[[#This Row],[STATUS DA ETAPA]],"")</f>
        <v/>
      </c>
      <c r="CV165" s="21" t="str">
        <f>IF([1]!BANCO10[[#This Row],[SOLUÇÃO]]=CV$1,[1]!BANCO10[[#This Row],[STATUS DA ETAPA]],"")</f>
        <v/>
      </c>
    </row>
    <row r="166" spans="1:100">
      <c r="A166" s="44" t="s">
        <v>1</v>
      </c>
      <c r="B166" s="44"/>
      <c r="C166" s="44" t="s">
        <v>1</v>
      </c>
      <c r="D166" s="44"/>
      <c r="E166" s="44" t="s">
        <v>1</v>
      </c>
      <c r="F166" s="44"/>
      <c r="G166" s="44" t="s">
        <v>1</v>
      </c>
      <c r="H166" s="44"/>
      <c r="I166" s="45" t="s">
        <v>1</v>
      </c>
      <c r="J166" s="46"/>
      <c r="K166" s="45" t="s">
        <v>1</v>
      </c>
      <c r="L166" s="33"/>
      <c r="M166" s="45" t="s">
        <v>1</v>
      </c>
      <c r="N166" s="33"/>
      <c r="O166" s="44" t="s">
        <v>1</v>
      </c>
      <c r="P166" s="44"/>
      <c r="Q166" s="44" t="s">
        <v>2</v>
      </c>
      <c r="R166" s="44">
        <v>45610</v>
      </c>
      <c r="S166" s="44" t="s">
        <v>2</v>
      </c>
      <c r="T166" s="44">
        <v>45610</v>
      </c>
      <c r="U166" s="44" t="s">
        <v>1</v>
      </c>
      <c r="V166" s="44"/>
      <c r="W166" s="44" t="s">
        <v>1</v>
      </c>
      <c r="X166" s="44"/>
      <c r="Y166" s="44" t="s">
        <v>1</v>
      </c>
      <c r="Z166" s="44"/>
      <c r="AA166" s="44" t="s">
        <v>1</v>
      </c>
      <c r="AB166" s="44"/>
      <c r="AC166" s="51">
        <v>45673</v>
      </c>
      <c r="AD166" s="50">
        <v>45777</v>
      </c>
      <c r="AE166" s="41" t="s">
        <v>2</v>
      </c>
      <c r="AF166" s="41" t="s">
        <v>2</v>
      </c>
      <c r="AG166" s="40" t="s">
        <v>5</v>
      </c>
      <c r="AH166" s="36" t="s">
        <v>0</v>
      </c>
      <c r="AI166" s="49">
        <v>0</v>
      </c>
      <c r="AJ166" s="36" t="s">
        <v>6</v>
      </c>
      <c r="AK166" s="10">
        <v>562867</v>
      </c>
      <c r="AL166" s="36" t="s">
        <v>1</v>
      </c>
      <c r="AM166" s="36" t="s">
        <v>1</v>
      </c>
      <c r="AN166" s="35" t="s">
        <v>1</v>
      </c>
      <c r="AO166" s="35" t="s">
        <v>1</v>
      </c>
      <c r="AP166" s="35" t="s">
        <v>1</v>
      </c>
      <c r="AQ166" s="35" t="s">
        <v>1</v>
      </c>
      <c r="AR166" s="33" t="s">
        <v>2</v>
      </c>
      <c r="AS166" s="33">
        <v>45814</v>
      </c>
      <c r="AT166" s="32" t="s">
        <v>1</v>
      </c>
      <c r="AU166" s="31"/>
      <c r="AV166" s="32" t="s">
        <v>1</v>
      </c>
      <c r="AW166" s="31"/>
      <c r="AX166" s="30" t="s">
        <v>2</v>
      </c>
      <c r="AY166" s="29">
        <v>45814</v>
      </c>
      <c r="AZ166" s="28" t="s">
        <v>0</v>
      </c>
      <c r="BA166" s="81"/>
      <c r="BB166" s="74" t="s">
        <v>42</v>
      </c>
      <c r="BC166" s="25" t="s">
        <v>41</v>
      </c>
      <c r="BD166" s="24"/>
      <c r="BE166" s="24"/>
      <c r="BF166" s="24"/>
      <c r="BG166" s="24"/>
      <c r="BH166" s="24"/>
      <c r="BI166" s="24"/>
      <c r="BJ166" s="24"/>
      <c r="BK166" s="24"/>
      <c r="BL166" s="24"/>
      <c r="BM166" s="24"/>
      <c r="BN166" s="24"/>
      <c r="BO166" s="24"/>
      <c r="BP166" s="24"/>
      <c r="BQ166" s="22">
        <f>YEAR([1]!BANCO10[[#This Row],[DATA INÍCIO]])</f>
        <v>2025</v>
      </c>
      <c r="BR166" s="22">
        <f>MONTH([1]!BANCO10[[#This Row],[DATA INÍCIO]])</f>
        <v>1</v>
      </c>
      <c r="BS166" s="23" t="e">
        <f>CONCATENATE(#REF!,#REF!)</f>
        <v>#REF!</v>
      </c>
      <c r="BT166" s="22"/>
      <c r="BU166" s="22"/>
      <c r="BV166" s="21" t="str">
        <f>IF([1]!BANCO10[[#This Row],[SOLUÇÃO]]=BV$1,[1]!BANCO10[[#This Row],[STATUS DA ETAPA]],"")</f>
        <v/>
      </c>
      <c r="BW166" s="21" t="str">
        <f>IF([1]!BANCO10[[#This Row],[SOLUÇÃO]]=BW$1,[1]!BANCO10[[#This Row],[STATUS DA ETAPA]],"")</f>
        <v/>
      </c>
      <c r="BX166" s="21" t="str">
        <f>IF([1]!BANCO10[[#This Row],[SOLUÇÃO]]=BX$1,[1]!BANCO10[[#This Row],[STATUS DA ETAPA]],"")</f>
        <v/>
      </c>
      <c r="BY166" s="21" t="str">
        <f>IF([1]!BANCO10[[#This Row],[SOLUÇÃO]]=BY$1,[1]!BANCO10[[#This Row],[STATUS DA ETAPA]],"")</f>
        <v/>
      </c>
      <c r="BZ166" s="21" t="str">
        <f>IF([1]!BANCO10[[#This Row],[SOLUÇÃO]]=BZ$1,[1]!BANCO10[[#This Row],[STATUS DA ETAPA]],"")</f>
        <v/>
      </c>
      <c r="CA166" s="21" t="str">
        <f>IF([1]!BANCO10[[#This Row],[SOLUÇÃO]]=CA$1,[1]!BANCO10[[#This Row],[STATUS DA ETAPA]],"")</f>
        <v/>
      </c>
      <c r="CB166" s="21" t="str">
        <f>IF([1]!BANCO10[[#This Row],[SOLUÇÃO]]=CB$1,[1]!BANCO10[[#This Row],[STATUS DA ETAPA]],"")</f>
        <v/>
      </c>
      <c r="CC166" s="21" t="str">
        <f>IF([1]!BANCO10[[#This Row],[SOLUÇÃO]]=CC$1,[1]!BANCO10[[#This Row],[STATUS DA ETAPA]],"")</f>
        <v/>
      </c>
      <c r="CD166" s="21" t="str">
        <f>IF([1]!BANCO10[[#This Row],[SOLUÇÃO]]=CD$1,[1]!BANCO10[[#This Row],[STATUS DA ETAPA]],"")</f>
        <v/>
      </c>
      <c r="CE166" s="21" t="str">
        <f>IF([1]!BANCO10[[#This Row],[SOLUÇÃO]]=CE$1,[1]!BANCO10[[#This Row],[STATUS DA ETAPA]],"")</f>
        <v/>
      </c>
      <c r="CF166" s="21" t="str">
        <f>IF([1]!BANCO10[[#This Row],[SOLUÇÃO]]=CF$1,[1]!BANCO10[[#This Row],[STATUS DA ETAPA]],"")</f>
        <v/>
      </c>
      <c r="CG166" s="21" t="str">
        <f>IF([1]!BANCO10[[#This Row],[SOLUÇÃO]]=CG$1,[1]!BANCO10[[#This Row],[STATUS DA ETAPA]],"")</f>
        <v/>
      </c>
      <c r="CH166" s="21" t="str">
        <f>IF([1]!BANCO10[[#This Row],[SOLUÇÃO]]=CH$1,[1]!BANCO10[[#This Row],[STATUS DA ETAPA]],"")</f>
        <v/>
      </c>
      <c r="CI166" s="21" t="str">
        <f>IF([1]!BANCO10[[#This Row],[SOLUÇÃO]]=CI$1,[1]!BANCO10[[#This Row],[STATUS DA ETAPA]],"")</f>
        <v/>
      </c>
      <c r="CJ166" s="21" t="str">
        <f>IF([1]!BANCO10[[#This Row],[SOLUÇÃO]]=CJ$1,[1]!BANCO10[[#This Row],[STATUS DA ETAPA]],"")</f>
        <v/>
      </c>
      <c r="CK166" s="21" t="str">
        <f>IF([1]!BANCO10[[#This Row],[SOLUÇÃO]]=CK$1,[1]!BANCO10[[#This Row],[STATUS DA ETAPA]],"")</f>
        <v/>
      </c>
      <c r="CL166" s="21" t="str">
        <f>IF([1]!BANCO10[[#This Row],[SOLUÇÃO]]=CL$1,[1]!BANCO10[[#This Row],[STATUS DA ETAPA]],"")</f>
        <v/>
      </c>
      <c r="CM166" s="21" t="str">
        <f>IF([1]!BANCO10[[#This Row],[SOLUÇÃO]]=CM$1,[1]!BANCO10[[#This Row],[STATUS DA ETAPA]],"")</f>
        <v/>
      </c>
      <c r="CN166" s="21" t="str">
        <f>IF([1]!BANCO10[[#This Row],[SOLUÇÃO]]=CN$1,[1]!BANCO10[[#This Row],[STATUS DA ETAPA]],"")</f>
        <v/>
      </c>
      <c r="CO166" s="21" t="str">
        <f>IF([1]!BANCO10[[#This Row],[SOLUÇÃO]]=CO$1,[1]!BANCO10[[#This Row],[STATUS DA ETAPA]],"")</f>
        <v/>
      </c>
      <c r="CP166" s="21" t="str">
        <f>IF([1]!BANCO10[[#This Row],[SOLUÇÃO]]=CP$1,[1]!BANCO10[[#This Row],[STATUS DA ETAPA]],"")</f>
        <v/>
      </c>
      <c r="CQ166" s="21" t="str">
        <f>IF([1]!BANCO10[[#This Row],[SOLUÇÃO]]=CQ$1,[1]!BANCO10[[#This Row],[STATUS DA ETAPA]],"")</f>
        <v/>
      </c>
      <c r="CR166" s="21" t="str">
        <f>IF([1]!BANCO10[[#This Row],[SOLUÇÃO]]=CR$1,[1]!BANCO10[[#This Row],[STATUS DA ETAPA]],"")</f>
        <v/>
      </c>
      <c r="CS166" s="21" t="str">
        <f>IF([1]!BANCO10[[#This Row],[SOLUÇÃO]]=CS$1,[1]!BANCO10[[#This Row],[STATUS DA ETAPA]],"")</f>
        <v/>
      </c>
      <c r="CT166" s="21" t="str">
        <f>IF([1]!BANCO10[[#This Row],[SOLUÇÃO]]=CT$1,[1]!BANCO10[[#This Row],[STATUS DA ETAPA]],"")</f>
        <v/>
      </c>
      <c r="CU166" s="21" t="str">
        <f>IF([1]!BANCO10[[#This Row],[SOLUÇÃO]]=CU$1,[1]!BANCO10[[#This Row],[STATUS DA ETAPA]],"")</f>
        <v/>
      </c>
      <c r="CV166" s="21" t="str">
        <f>IF([1]!BANCO10[[#This Row],[SOLUÇÃO]]=CV$1,[1]!BANCO10[[#This Row],[STATUS DA ETAPA]],"")</f>
        <v/>
      </c>
    </row>
    <row r="167" spans="1:100">
      <c r="A167" s="44" t="s">
        <v>2</v>
      </c>
      <c r="B167" s="44">
        <v>45713</v>
      </c>
      <c r="C167" s="44" t="s">
        <v>2</v>
      </c>
      <c r="D167" s="44">
        <v>45713</v>
      </c>
      <c r="E167" s="44" t="s">
        <v>2</v>
      </c>
      <c r="F167" s="44">
        <v>45713</v>
      </c>
      <c r="G167" s="44" t="s">
        <v>2</v>
      </c>
      <c r="H167" s="44">
        <v>45713</v>
      </c>
      <c r="I167" s="45" t="s">
        <v>2</v>
      </c>
      <c r="J167" s="46">
        <v>45715</v>
      </c>
      <c r="K167" s="45" t="s">
        <v>2</v>
      </c>
      <c r="L167" s="33">
        <v>45712</v>
      </c>
      <c r="M167" s="45" t="s">
        <v>2</v>
      </c>
      <c r="N167" s="33">
        <v>45713</v>
      </c>
      <c r="O167" s="44" t="s">
        <v>1</v>
      </c>
      <c r="P167" s="44"/>
      <c r="Q167" s="44" t="s">
        <v>1</v>
      </c>
      <c r="R167" s="44"/>
      <c r="S167" s="44" t="s">
        <v>2</v>
      </c>
      <c r="T167" s="44">
        <v>45708</v>
      </c>
      <c r="U167" s="44" t="s">
        <v>1</v>
      </c>
      <c r="V167" s="44"/>
      <c r="W167" s="44" t="s">
        <v>1</v>
      </c>
      <c r="X167" s="44"/>
      <c r="Y167" s="44" t="s">
        <v>1</v>
      </c>
      <c r="Z167" s="44"/>
      <c r="AA167" s="44" t="s">
        <v>1</v>
      </c>
      <c r="AB167" s="44"/>
      <c r="AC167" s="51">
        <v>46022</v>
      </c>
      <c r="AD167" s="50">
        <v>46022</v>
      </c>
      <c r="AE167" s="41" t="s">
        <v>0</v>
      </c>
      <c r="AF167" s="41" t="s">
        <v>0</v>
      </c>
      <c r="AG167" s="40" t="s">
        <v>5</v>
      </c>
      <c r="AH167" s="36" t="s">
        <v>0</v>
      </c>
      <c r="AI167" s="49">
        <v>20140</v>
      </c>
      <c r="AJ167" s="36" t="s">
        <v>3</v>
      </c>
      <c r="AK167" s="21">
        <v>675785</v>
      </c>
      <c r="AL167" s="36" t="s">
        <v>1</v>
      </c>
      <c r="AM167" s="36" t="s">
        <v>1</v>
      </c>
      <c r="AN167" s="35" t="s">
        <v>0</v>
      </c>
      <c r="AO167" s="35" t="s">
        <v>0</v>
      </c>
      <c r="AP167" s="35" t="s">
        <v>0</v>
      </c>
      <c r="AQ167" s="35" t="s">
        <v>0</v>
      </c>
      <c r="AR167" s="34" t="s">
        <v>0</v>
      </c>
      <c r="AS167" s="33"/>
      <c r="AT167" s="32" t="s">
        <v>0</v>
      </c>
      <c r="AU167" s="31"/>
      <c r="AV167" s="32" t="s">
        <v>0</v>
      </c>
      <c r="AW167" s="31"/>
      <c r="AX167" s="32" t="s">
        <v>0</v>
      </c>
      <c r="AY167" s="31"/>
      <c r="AZ167" s="32" t="s">
        <v>0</v>
      </c>
      <c r="BA167" s="31"/>
      <c r="BB167" s="26" t="s">
        <v>7</v>
      </c>
      <c r="BC167" s="22" t="s">
        <v>422</v>
      </c>
      <c r="BD167" s="24"/>
      <c r="BE167" s="24"/>
      <c r="BF167" s="24"/>
      <c r="BG167" s="24"/>
      <c r="BH167" s="24"/>
      <c r="BI167" s="24"/>
      <c r="BJ167" s="24"/>
      <c r="BK167" s="24"/>
      <c r="BL167" s="24"/>
      <c r="BM167" s="24"/>
      <c r="BN167" s="24"/>
      <c r="BO167" s="24"/>
      <c r="BP167" s="24"/>
      <c r="BQ167" s="22">
        <f>YEAR([1]!BANCO10[[#This Row],[DATA INÍCIO]])</f>
        <v>2025</v>
      </c>
      <c r="BR167" s="22">
        <f>MONTH([1]!BANCO10[[#This Row],[DATA INÍCIO]])</f>
        <v>12</v>
      </c>
      <c r="BS167" s="23" t="e">
        <f>CONCATENATE(#REF!,#REF!)</f>
        <v>#REF!</v>
      </c>
      <c r="BT167" s="22"/>
      <c r="BU167" s="22"/>
      <c r="BV167" s="21" t="str">
        <f>IF([1]!BANCO10[[#This Row],[SOLUÇÃO]]=BV$1,[1]!BANCO10[[#This Row],[STATUS DA ETAPA]],"")</f>
        <v/>
      </c>
      <c r="BW167" s="21" t="str">
        <f>IF([1]!BANCO10[[#This Row],[SOLUÇÃO]]=BW$1,[1]!BANCO10[[#This Row],[STATUS DA ETAPA]],"")</f>
        <v/>
      </c>
      <c r="BX167" s="21" t="str">
        <f>IF([1]!BANCO10[[#This Row],[SOLUÇÃO]]=BX$1,[1]!BANCO10[[#This Row],[STATUS DA ETAPA]],"")</f>
        <v/>
      </c>
      <c r="BY167" s="21" t="str">
        <f>IF([1]!BANCO10[[#This Row],[SOLUÇÃO]]=BY$1,[1]!BANCO10[[#This Row],[STATUS DA ETAPA]],"")</f>
        <v/>
      </c>
      <c r="BZ167" s="21" t="str">
        <f>IF([1]!BANCO10[[#This Row],[SOLUÇÃO]]=BZ$1,[1]!BANCO10[[#This Row],[STATUS DA ETAPA]],"")</f>
        <v/>
      </c>
      <c r="CA167" s="21" t="str">
        <f>IF([1]!BANCO10[[#This Row],[SOLUÇÃO]]=CA$1,[1]!BANCO10[[#This Row],[STATUS DA ETAPA]],"")</f>
        <v/>
      </c>
      <c r="CB167" s="21" t="str">
        <f>IF([1]!BANCO10[[#This Row],[SOLUÇÃO]]=CB$1,[1]!BANCO10[[#This Row],[STATUS DA ETAPA]],"")</f>
        <v>AGUARDANDO SALDO</v>
      </c>
      <c r="CC167" s="21" t="str">
        <f>IF([1]!BANCO10[[#This Row],[SOLUÇÃO]]=CC$1,[1]!BANCO10[[#This Row],[STATUS DA ETAPA]],"")</f>
        <v/>
      </c>
      <c r="CD167" s="21" t="str">
        <f>IF([1]!BANCO10[[#This Row],[SOLUÇÃO]]=CD$1,[1]!BANCO10[[#This Row],[STATUS DA ETAPA]],"")</f>
        <v/>
      </c>
      <c r="CE167" s="21" t="str">
        <f>IF([1]!BANCO10[[#This Row],[SOLUÇÃO]]=CE$1,[1]!BANCO10[[#This Row],[STATUS DA ETAPA]],"")</f>
        <v/>
      </c>
      <c r="CF167" s="21" t="str">
        <f>IF([1]!BANCO10[[#This Row],[SOLUÇÃO]]=CF$1,[1]!BANCO10[[#This Row],[STATUS DA ETAPA]],"")</f>
        <v/>
      </c>
      <c r="CG167" s="21" t="str">
        <f>IF([1]!BANCO10[[#This Row],[SOLUÇÃO]]=CG$1,[1]!BANCO10[[#This Row],[STATUS DA ETAPA]],"")</f>
        <v/>
      </c>
      <c r="CH167" s="21" t="str">
        <f>IF([1]!BANCO10[[#This Row],[SOLUÇÃO]]=CH$1,[1]!BANCO10[[#This Row],[STATUS DA ETAPA]],"")</f>
        <v/>
      </c>
      <c r="CI167" s="21" t="str">
        <f>IF([1]!BANCO10[[#This Row],[SOLUÇÃO]]=CI$1,[1]!BANCO10[[#This Row],[STATUS DA ETAPA]],"")</f>
        <v/>
      </c>
      <c r="CJ167" s="21" t="str">
        <f>IF([1]!BANCO10[[#This Row],[SOLUÇÃO]]=CJ$1,[1]!BANCO10[[#This Row],[STATUS DA ETAPA]],"")</f>
        <v/>
      </c>
      <c r="CK167" s="21" t="str">
        <f>IF([1]!BANCO10[[#This Row],[SOLUÇÃO]]=CK$1,[1]!BANCO10[[#This Row],[STATUS DA ETAPA]],"")</f>
        <v/>
      </c>
      <c r="CL167" s="21" t="str">
        <f>IF([1]!BANCO10[[#This Row],[SOLUÇÃO]]=CL$1,[1]!BANCO10[[#This Row],[STATUS DA ETAPA]],"")</f>
        <v/>
      </c>
      <c r="CM167" s="21" t="str">
        <f>IF([1]!BANCO10[[#This Row],[SOLUÇÃO]]=CM$1,[1]!BANCO10[[#This Row],[STATUS DA ETAPA]],"")</f>
        <v/>
      </c>
      <c r="CN167" s="21" t="str">
        <f>IF([1]!BANCO10[[#This Row],[SOLUÇÃO]]=CN$1,[1]!BANCO10[[#This Row],[STATUS DA ETAPA]],"")</f>
        <v/>
      </c>
      <c r="CO167" s="21" t="str">
        <f>IF([1]!BANCO10[[#This Row],[SOLUÇÃO]]=CO$1,[1]!BANCO10[[#This Row],[STATUS DA ETAPA]],"")</f>
        <v/>
      </c>
      <c r="CP167" s="21" t="str">
        <f>IF([1]!BANCO10[[#This Row],[SOLUÇÃO]]=CP$1,[1]!BANCO10[[#This Row],[STATUS DA ETAPA]],"")</f>
        <v/>
      </c>
      <c r="CQ167" s="21" t="str">
        <f>IF([1]!BANCO10[[#This Row],[SOLUÇÃO]]=CQ$1,[1]!BANCO10[[#This Row],[STATUS DA ETAPA]],"")</f>
        <v/>
      </c>
      <c r="CR167" s="21" t="str">
        <f>IF([1]!BANCO10[[#This Row],[SOLUÇÃO]]=CR$1,[1]!BANCO10[[#This Row],[STATUS DA ETAPA]],"")</f>
        <v/>
      </c>
      <c r="CS167" s="21" t="str">
        <f>IF([1]!BANCO10[[#This Row],[SOLUÇÃO]]=CS$1,[1]!BANCO10[[#This Row],[STATUS DA ETAPA]],"")</f>
        <v/>
      </c>
      <c r="CT167" s="21" t="str">
        <f>IF([1]!BANCO10[[#This Row],[SOLUÇÃO]]=CT$1,[1]!BANCO10[[#This Row],[STATUS DA ETAPA]],"")</f>
        <v/>
      </c>
      <c r="CU167" s="21" t="str">
        <f>IF([1]!BANCO10[[#This Row],[SOLUÇÃO]]=CU$1,[1]!BANCO10[[#This Row],[STATUS DA ETAPA]],"")</f>
        <v/>
      </c>
      <c r="CV167" s="21" t="str">
        <f>IF([1]!BANCO10[[#This Row],[SOLUÇÃO]]=CV$1,[1]!BANCO10[[#This Row],[STATUS DA ETAPA]],"")</f>
        <v/>
      </c>
    </row>
    <row r="168" spans="1:100">
      <c r="A168" s="44" t="s">
        <v>1</v>
      </c>
      <c r="B168" s="44"/>
      <c r="C168" s="44" t="s">
        <v>1</v>
      </c>
      <c r="D168" s="44"/>
      <c r="E168" s="44" t="s">
        <v>1</v>
      </c>
      <c r="F168" s="44"/>
      <c r="G168" s="44" t="s">
        <v>1</v>
      </c>
      <c r="H168" s="44"/>
      <c r="I168" s="45" t="s">
        <v>1</v>
      </c>
      <c r="J168" s="46"/>
      <c r="K168" s="45" t="s">
        <v>1</v>
      </c>
      <c r="L168" s="33"/>
      <c r="M168" s="45" t="s">
        <v>1</v>
      </c>
      <c r="N168" s="33"/>
      <c r="O168" s="44" t="s">
        <v>1</v>
      </c>
      <c r="P168" s="44"/>
      <c r="Q168" s="44" t="s">
        <v>1</v>
      </c>
      <c r="R168" s="44"/>
      <c r="S168" s="44" t="s">
        <v>1</v>
      </c>
      <c r="T168" s="44"/>
      <c r="U168" s="44" t="s">
        <v>1</v>
      </c>
      <c r="V168" s="44"/>
      <c r="W168" s="44" t="s">
        <v>1</v>
      </c>
      <c r="X168" s="44"/>
      <c r="Y168" s="44" t="s">
        <v>1</v>
      </c>
      <c r="Z168" s="44"/>
      <c r="AA168" s="44" t="s">
        <v>1</v>
      </c>
      <c r="AB168" s="44"/>
      <c r="AC168" s="51">
        <v>45265</v>
      </c>
      <c r="AD168" s="50">
        <v>45265</v>
      </c>
      <c r="AE168" s="40" t="s">
        <v>1</v>
      </c>
      <c r="AF168" s="40" t="s">
        <v>1</v>
      </c>
      <c r="AG168" s="76" t="s">
        <v>5</v>
      </c>
      <c r="AH168" s="36" t="s">
        <v>1</v>
      </c>
      <c r="AI168" s="49">
        <v>0</v>
      </c>
      <c r="AJ168" s="36" t="s">
        <v>1</v>
      </c>
      <c r="AK168" s="10" t="s">
        <v>1</v>
      </c>
      <c r="AL168" s="36" t="s">
        <v>1</v>
      </c>
      <c r="AM168" s="36" t="s">
        <v>1</v>
      </c>
      <c r="AN168" s="35" t="s">
        <v>1</v>
      </c>
      <c r="AO168" s="35" t="s">
        <v>1</v>
      </c>
      <c r="AP168" s="35" t="s">
        <v>1</v>
      </c>
      <c r="AQ168" s="35" t="s">
        <v>1</v>
      </c>
      <c r="AR168" s="82" t="s">
        <v>1</v>
      </c>
      <c r="AS168" s="33"/>
      <c r="AT168" s="32" t="s">
        <v>1</v>
      </c>
      <c r="AU168" s="31"/>
      <c r="AV168" s="32" t="s">
        <v>1</v>
      </c>
      <c r="AW168" s="31"/>
      <c r="AX168" s="30" t="s">
        <v>1</v>
      </c>
      <c r="AY168" s="55"/>
      <c r="AZ168" s="30" t="s">
        <v>1</v>
      </c>
      <c r="BA168" s="55"/>
      <c r="BB168" s="74" t="s">
        <v>15</v>
      </c>
      <c r="BC168" s="25" t="s">
        <v>14</v>
      </c>
      <c r="BD168" s="24"/>
      <c r="BE168" s="24"/>
      <c r="BF168" s="24"/>
      <c r="BG168" s="24"/>
      <c r="BH168" s="130"/>
      <c r="BI168" s="24"/>
      <c r="BJ168" s="24" t="s">
        <v>11</v>
      </c>
      <c r="BK168" s="24" t="s">
        <v>11</v>
      </c>
      <c r="BL168" s="24" t="s">
        <v>11</v>
      </c>
      <c r="BM168" s="24" t="s">
        <v>11</v>
      </c>
      <c r="BN168" s="24" t="s">
        <v>11</v>
      </c>
      <c r="BO168" s="24" t="s">
        <v>11</v>
      </c>
      <c r="BP168" s="24" t="s">
        <v>11</v>
      </c>
      <c r="BQ168" s="22">
        <f>YEAR([1]!BANCO10[[#This Row],[DATA INÍCIO]])</f>
        <v>2023</v>
      </c>
      <c r="BR168" s="22">
        <f>MONTH([1]!BANCO10[[#This Row],[DATA INÍCIO]])</f>
        <v>12</v>
      </c>
      <c r="BS168" s="129" t="e">
        <f>CONCATENATE(#REF!,#REF!)</f>
        <v>#REF!</v>
      </c>
      <c r="BT168" s="22"/>
      <c r="BU168" s="21" t="s">
        <v>30</v>
      </c>
      <c r="BV168" s="21" t="str">
        <f>IF([1]!BANCO10[[#This Row],[SOLUÇÃO]]=BV$1,[1]!BANCO10[[#This Row],[STATUS DA ETAPA]],"")</f>
        <v>CONCLUÍDO</v>
      </c>
      <c r="BW168" s="21" t="str">
        <f>IF([1]!BANCO10[[#This Row],[SOLUÇÃO]]=BW$1,[1]!BANCO10[[#This Row],[STATUS DA ETAPA]],"")</f>
        <v/>
      </c>
      <c r="BX168" s="21" t="str">
        <f>IF([1]!BANCO10[[#This Row],[SOLUÇÃO]]=BX$1,[1]!BANCO10[[#This Row],[STATUS DA ETAPA]],"")</f>
        <v/>
      </c>
      <c r="BY168" s="21" t="str">
        <f>IF([1]!BANCO10[[#This Row],[SOLUÇÃO]]=BY$1,[1]!BANCO10[[#This Row],[STATUS DA ETAPA]],"")</f>
        <v/>
      </c>
      <c r="BZ168" s="21" t="str">
        <f>IF([1]!BANCO10[[#This Row],[SOLUÇÃO]]=BZ$1,[1]!BANCO10[[#This Row],[STATUS DA ETAPA]],"")</f>
        <v/>
      </c>
      <c r="CA168" s="21" t="str">
        <f>IF([1]!BANCO10[[#This Row],[SOLUÇÃO]]=CA$1,[1]!BANCO10[[#This Row],[STATUS DA ETAPA]],"")</f>
        <v/>
      </c>
      <c r="CB168" s="21" t="str">
        <f>IF([1]!BANCO10[[#This Row],[SOLUÇÃO]]=CB$1,[1]!BANCO10[[#This Row],[STATUS DA ETAPA]],"")</f>
        <v/>
      </c>
      <c r="CC168" s="21" t="str">
        <f>IF([1]!BANCO10[[#This Row],[SOLUÇÃO]]=CC$1,[1]!BANCO10[[#This Row],[STATUS DA ETAPA]],"")</f>
        <v/>
      </c>
      <c r="CD168" s="21" t="str">
        <f>IF([1]!BANCO10[[#This Row],[SOLUÇÃO]]=CD$1,[1]!BANCO10[[#This Row],[STATUS DA ETAPA]],"")</f>
        <v/>
      </c>
      <c r="CE168" s="21" t="str">
        <f>IF([1]!BANCO10[[#This Row],[SOLUÇÃO]]=CE$1,[1]!BANCO10[[#This Row],[STATUS DA ETAPA]],"")</f>
        <v/>
      </c>
      <c r="CF168" s="21" t="str">
        <f>IF([1]!BANCO10[[#This Row],[SOLUÇÃO]]=CF$1,[1]!BANCO10[[#This Row],[STATUS DA ETAPA]],"")</f>
        <v/>
      </c>
      <c r="CG168" s="21" t="str">
        <f>IF([1]!BANCO10[[#This Row],[SOLUÇÃO]]=CG$1,[1]!BANCO10[[#This Row],[STATUS DA ETAPA]],"")</f>
        <v/>
      </c>
      <c r="CH168" s="21" t="str">
        <f>IF([1]!BANCO10[[#This Row],[SOLUÇÃO]]=CH$1,[1]!BANCO10[[#This Row],[STATUS DA ETAPA]],"")</f>
        <v/>
      </c>
      <c r="CI168" s="21" t="str">
        <f>IF([1]!BANCO10[[#This Row],[SOLUÇÃO]]=CI$1,[1]!BANCO10[[#This Row],[STATUS DA ETAPA]],"")</f>
        <v/>
      </c>
      <c r="CJ168" s="21" t="str">
        <f>IF([1]!BANCO10[[#This Row],[SOLUÇÃO]]=CJ$1,[1]!BANCO10[[#This Row],[STATUS DA ETAPA]],"")</f>
        <v/>
      </c>
      <c r="CK168" s="21" t="str">
        <f>IF([1]!BANCO10[[#This Row],[SOLUÇÃO]]=CK$1,[1]!BANCO10[[#This Row],[STATUS DA ETAPA]],"")</f>
        <v/>
      </c>
      <c r="CL168" s="21" t="str">
        <f>IF([1]!BANCO10[[#This Row],[SOLUÇÃO]]=CL$1,[1]!BANCO10[[#This Row],[STATUS DA ETAPA]],"")</f>
        <v/>
      </c>
      <c r="CM168" s="21" t="str">
        <f>IF([1]!BANCO10[[#This Row],[SOLUÇÃO]]=CM$1,[1]!BANCO10[[#This Row],[STATUS DA ETAPA]],"")</f>
        <v/>
      </c>
      <c r="CN168" s="21" t="str">
        <f>IF([1]!BANCO10[[#This Row],[SOLUÇÃO]]=CN$1,[1]!BANCO10[[#This Row],[STATUS DA ETAPA]],"")</f>
        <v/>
      </c>
      <c r="CO168" s="21" t="str">
        <f>IF([1]!BANCO10[[#This Row],[SOLUÇÃO]]=CO$1,[1]!BANCO10[[#This Row],[STATUS DA ETAPA]],"")</f>
        <v/>
      </c>
      <c r="CP168" s="21" t="str">
        <f>IF([1]!BANCO10[[#This Row],[SOLUÇÃO]]=CP$1,[1]!BANCO10[[#This Row],[STATUS DA ETAPA]],"")</f>
        <v/>
      </c>
      <c r="CQ168" s="21" t="str">
        <f>IF([1]!BANCO10[[#This Row],[SOLUÇÃO]]=CQ$1,[1]!BANCO10[[#This Row],[STATUS DA ETAPA]],"")</f>
        <v/>
      </c>
      <c r="CR168" s="21" t="str">
        <f>IF([1]!BANCO10[[#This Row],[SOLUÇÃO]]=CR$1,[1]!BANCO10[[#This Row],[STATUS DA ETAPA]],"")</f>
        <v/>
      </c>
      <c r="CS168" s="21" t="str">
        <f>IF([1]!BANCO10[[#This Row],[SOLUÇÃO]]=CS$1,[1]!BANCO10[[#This Row],[STATUS DA ETAPA]],"")</f>
        <v/>
      </c>
      <c r="CT168" s="21" t="str">
        <f>IF([1]!BANCO10[[#This Row],[SOLUÇÃO]]=CT$1,[1]!BANCO10[[#This Row],[STATUS DA ETAPA]],"")</f>
        <v/>
      </c>
      <c r="CU168" s="21" t="str">
        <f>IF([1]!BANCO10[[#This Row],[SOLUÇÃO]]=CU$1,[1]!BANCO10[[#This Row],[STATUS DA ETAPA]],"")</f>
        <v/>
      </c>
      <c r="CV168" s="21" t="str">
        <f>IF([1]!BANCO10[[#This Row],[SOLUÇÃO]]=CV$1,[1]!BANCO10[[#This Row],[STATUS DA ETAPA]],"")</f>
        <v/>
      </c>
    </row>
    <row r="169" spans="1:100">
      <c r="A169" s="44" t="s">
        <v>2</v>
      </c>
      <c r="B169" s="44">
        <v>45536</v>
      </c>
      <c r="C169" s="44" t="s">
        <v>2</v>
      </c>
      <c r="D169" s="44">
        <v>45568</v>
      </c>
      <c r="E169" s="44" t="s">
        <v>2</v>
      </c>
      <c r="F169" s="44">
        <v>45569</v>
      </c>
      <c r="G169" s="44" t="s">
        <v>2</v>
      </c>
      <c r="H169" s="44">
        <v>45569</v>
      </c>
      <c r="I169" s="45" t="s">
        <v>2</v>
      </c>
      <c r="J169" s="46">
        <v>45536</v>
      </c>
      <c r="K169" s="45" t="s">
        <v>2</v>
      </c>
      <c r="L169" s="33">
        <v>45588</v>
      </c>
      <c r="M169" s="45" t="s">
        <v>2</v>
      </c>
      <c r="N169" s="33">
        <v>45588</v>
      </c>
      <c r="O169" s="44" t="s">
        <v>2</v>
      </c>
      <c r="P169" s="44">
        <v>45531</v>
      </c>
      <c r="Q169" s="44" t="s">
        <v>2</v>
      </c>
      <c r="R169" s="44">
        <v>45536</v>
      </c>
      <c r="S169" s="44" t="s">
        <v>1</v>
      </c>
      <c r="T169" s="44"/>
      <c r="U169" s="44" t="s">
        <v>1</v>
      </c>
      <c r="V169" s="44"/>
      <c r="W169" s="44" t="s">
        <v>1</v>
      </c>
      <c r="X169" s="44"/>
      <c r="Y169" s="44" t="s">
        <v>1</v>
      </c>
      <c r="Z169" s="44"/>
      <c r="AA169" s="44" t="s">
        <v>1</v>
      </c>
      <c r="AB169" s="44"/>
      <c r="AC169" s="51">
        <v>45963</v>
      </c>
      <c r="AD169" s="50">
        <v>45963</v>
      </c>
      <c r="AE169" s="41" t="s">
        <v>1</v>
      </c>
      <c r="AF169" s="41" t="s">
        <v>1</v>
      </c>
      <c r="AG169" s="40" t="s">
        <v>5</v>
      </c>
      <c r="AH169" s="36" t="s">
        <v>1</v>
      </c>
      <c r="AI169" s="49">
        <v>0</v>
      </c>
      <c r="AJ169" s="36" t="s">
        <v>1</v>
      </c>
      <c r="AK169" s="9" t="s">
        <v>1</v>
      </c>
      <c r="AL169" s="36" t="s">
        <v>1</v>
      </c>
      <c r="AM169" s="36" t="s">
        <v>1</v>
      </c>
      <c r="AN169" s="35" t="s">
        <v>1</v>
      </c>
      <c r="AO169" s="35" t="s">
        <v>1</v>
      </c>
      <c r="AP169" s="35" t="s">
        <v>1</v>
      </c>
      <c r="AQ169" s="35" t="s">
        <v>1</v>
      </c>
      <c r="AR169" s="34" t="s">
        <v>1</v>
      </c>
      <c r="AS169" s="33"/>
      <c r="AT169" s="32" t="s">
        <v>1</v>
      </c>
      <c r="AU169" s="31"/>
      <c r="AV169" s="32" t="s">
        <v>1</v>
      </c>
      <c r="AW169" s="31"/>
      <c r="AX169" s="32" t="s">
        <v>1</v>
      </c>
      <c r="AY169" s="31"/>
      <c r="AZ169" s="32" t="s">
        <v>1</v>
      </c>
      <c r="BA169" s="31"/>
      <c r="BB169" s="39"/>
      <c r="BC169" s="25"/>
      <c r="BD169" s="24"/>
      <c r="BE169" s="24"/>
      <c r="BF169" s="79"/>
      <c r="BG169" s="79"/>
      <c r="BH169" s="80"/>
      <c r="BI169" s="79"/>
      <c r="BJ169" s="54"/>
      <c r="BK169" s="78"/>
      <c r="BL169" s="69"/>
      <c r="BM169" s="78"/>
      <c r="BN169" s="78"/>
      <c r="BO169" s="78"/>
      <c r="BP169" s="78"/>
      <c r="BQ169" s="21">
        <f>YEAR([1]!BANCO10[[#This Row],[DATA INÍCIO]])</f>
        <v>2025</v>
      </c>
      <c r="BR169" s="21">
        <f>MONTH([1]!BANCO10[[#This Row],[DATA INÍCIO]])</f>
        <v>11</v>
      </c>
      <c r="BS169" s="21" t="e">
        <f>CONCATENATE(#REF!,#REF!)</f>
        <v>#REF!</v>
      </c>
      <c r="BT169" s="21"/>
      <c r="BU169" s="21"/>
      <c r="BV169" s="21" t="str">
        <f>IF([1]!BANCO10[[#This Row],[SOLUÇÃO]]=BV$1,[1]!BANCO10[[#This Row],[STATUS DA ETAPA]],"")</f>
        <v/>
      </c>
      <c r="BW169" s="21" t="str">
        <f>IF([1]!BANCO10[[#This Row],[SOLUÇÃO]]=BW$1,[1]!BANCO10[[#This Row],[STATUS DA ETAPA]],"")</f>
        <v/>
      </c>
      <c r="BX169" s="21" t="str">
        <f>IF([1]!BANCO10[[#This Row],[SOLUÇÃO]]=BX$1,[1]!BANCO10[[#This Row],[STATUS DA ETAPA]],"")</f>
        <v/>
      </c>
      <c r="BY169" s="21" t="str">
        <f>IF([1]!BANCO10[[#This Row],[SOLUÇÃO]]=BY$1,[1]!BANCO10[[#This Row],[STATUS DA ETAPA]],"")</f>
        <v/>
      </c>
      <c r="BZ169" s="21" t="str">
        <f>IF([1]!BANCO10[[#This Row],[SOLUÇÃO]]=BZ$1,[1]!BANCO10[[#This Row],[STATUS DA ETAPA]],"")</f>
        <v/>
      </c>
      <c r="CA169" s="21" t="str">
        <f>IF([1]!BANCO10[[#This Row],[SOLUÇÃO]]=CA$1,[1]!BANCO10[[#This Row],[STATUS DA ETAPA]],"")</f>
        <v/>
      </c>
      <c r="CB169" s="21" t="str">
        <f>IF([1]!BANCO10[[#This Row],[SOLUÇÃO]]=CB$1,[1]!BANCO10[[#This Row],[STATUS DA ETAPA]],"")</f>
        <v>CANCELADO</v>
      </c>
      <c r="CC169" s="21" t="str">
        <f>IF([1]!BANCO10[[#This Row],[SOLUÇÃO]]=CC$1,[1]!BANCO10[[#This Row],[STATUS DA ETAPA]],"")</f>
        <v/>
      </c>
      <c r="CD169" s="21" t="str">
        <f>IF([1]!BANCO10[[#This Row],[SOLUÇÃO]]=CD$1,[1]!BANCO10[[#This Row],[STATUS DA ETAPA]],"")</f>
        <v/>
      </c>
      <c r="CE169" s="21" t="str">
        <f>IF([1]!BANCO10[[#This Row],[SOLUÇÃO]]=CE$1,[1]!BANCO10[[#This Row],[STATUS DA ETAPA]],"")</f>
        <v/>
      </c>
      <c r="CF169" s="21" t="str">
        <f>IF([1]!BANCO10[[#This Row],[SOLUÇÃO]]=CF$1,[1]!BANCO10[[#This Row],[STATUS DA ETAPA]],"")</f>
        <v/>
      </c>
      <c r="CG169" s="21" t="str">
        <f>IF([1]!BANCO10[[#This Row],[SOLUÇÃO]]=CG$1,[1]!BANCO10[[#This Row],[STATUS DA ETAPA]],"")</f>
        <v/>
      </c>
      <c r="CH169" s="21" t="str">
        <f>IF([1]!BANCO10[[#This Row],[SOLUÇÃO]]=CH$1,[1]!BANCO10[[#This Row],[STATUS DA ETAPA]],"")</f>
        <v/>
      </c>
      <c r="CI169" s="21" t="str">
        <f>IF([1]!BANCO10[[#This Row],[SOLUÇÃO]]=CI$1,[1]!BANCO10[[#This Row],[STATUS DA ETAPA]],"")</f>
        <v/>
      </c>
      <c r="CJ169" s="21" t="str">
        <f>IF([1]!BANCO10[[#This Row],[SOLUÇÃO]]=CJ$1,[1]!BANCO10[[#This Row],[STATUS DA ETAPA]],"")</f>
        <v/>
      </c>
      <c r="CK169" s="21" t="str">
        <f>IF([1]!BANCO10[[#This Row],[SOLUÇÃO]]=CK$1,[1]!BANCO10[[#This Row],[STATUS DA ETAPA]],"")</f>
        <v/>
      </c>
      <c r="CL169" s="22" t="str">
        <f>IF([1]!BANCO10[[#This Row],[SOLUÇÃO]]=CL$1,[1]!BANCO10[[#This Row],[STATUS DA ETAPA]],"")</f>
        <v/>
      </c>
      <c r="CM169" s="64" t="str">
        <f>IF([1]!BANCO10[[#This Row],[SOLUÇÃO]]=CM$1,[1]!BANCO10[[#This Row],[STATUS DA ETAPA]],"")</f>
        <v/>
      </c>
      <c r="CN169" s="64" t="str">
        <f>IF([1]!BANCO10[[#This Row],[SOLUÇÃO]]=CN$1,[1]!BANCO10[[#This Row],[STATUS DA ETAPA]],"")</f>
        <v/>
      </c>
      <c r="CO169" s="64" t="str">
        <f>IF([1]!BANCO10[[#This Row],[SOLUÇÃO]]=CO$1,[1]!BANCO10[[#This Row],[STATUS DA ETAPA]],"")</f>
        <v/>
      </c>
      <c r="CP169" s="64" t="str">
        <f>IF([1]!BANCO10[[#This Row],[SOLUÇÃO]]=CP$1,[1]!BANCO10[[#This Row],[STATUS DA ETAPA]],"")</f>
        <v/>
      </c>
      <c r="CQ169" s="64" t="str">
        <f>IF([1]!BANCO10[[#This Row],[SOLUÇÃO]]=CQ$1,[1]!BANCO10[[#This Row],[STATUS DA ETAPA]],"")</f>
        <v/>
      </c>
      <c r="CR169" s="64" t="str">
        <f>IF([1]!BANCO10[[#This Row],[SOLUÇÃO]]=CR$1,[1]!BANCO10[[#This Row],[STATUS DA ETAPA]],"")</f>
        <v/>
      </c>
      <c r="CS169" s="64" t="str">
        <f>IF([1]!BANCO10[[#This Row],[SOLUÇÃO]]=CS$1,[1]!BANCO10[[#This Row],[STATUS DA ETAPA]],"")</f>
        <v/>
      </c>
      <c r="CT169" s="64" t="str">
        <f>IF([1]!BANCO10[[#This Row],[SOLUÇÃO]]=CT$1,[1]!BANCO10[[#This Row],[STATUS DA ETAPA]],"")</f>
        <v/>
      </c>
      <c r="CU169" s="64" t="str">
        <f>IF([1]!BANCO10[[#This Row],[SOLUÇÃO]]=CU$1,[1]!BANCO10[[#This Row],[STATUS DA ETAPA]],"")</f>
        <v/>
      </c>
      <c r="CV169" s="64" t="str">
        <f>IF([1]!BANCO10[[#This Row],[SOLUÇÃO]]=CV$1,[1]!BANCO10[[#This Row],[STATUS DA ETAPA]],"")</f>
        <v/>
      </c>
    </row>
    <row r="170" spans="1:100">
      <c r="A170" s="44" t="s">
        <v>1</v>
      </c>
      <c r="B170" s="44"/>
      <c r="C170" s="44" t="s">
        <v>1</v>
      </c>
      <c r="D170" s="44"/>
      <c r="E170" s="44" t="s">
        <v>1</v>
      </c>
      <c r="F170" s="44"/>
      <c r="G170" s="44" t="s">
        <v>1</v>
      </c>
      <c r="H170" s="44"/>
      <c r="I170" s="45" t="s">
        <v>2</v>
      </c>
      <c r="J170" s="46">
        <v>45536</v>
      </c>
      <c r="K170" s="45" t="s">
        <v>0</v>
      </c>
      <c r="L170" s="33"/>
      <c r="M170" s="45" t="s">
        <v>0</v>
      </c>
      <c r="N170" s="33"/>
      <c r="O170" s="44" t="s">
        <v>2</v>
      </c>
      <c r="P170" s="44">
        <v>45531</v>
      </c>
      <c r="Q170" s="44" t="s">
        <v>2</v>
      </c>
      <c r="R170" s="44">
        <v>45536</v>
      </c>
      <c r="S170" s="44" t="s">
        <v>0</v>
      </c>
      <c r="T170" s="44"/>
      <c r="U170" s="44" t="s">
        <v>1</v>
      </c>
      <c r="V170" s="44"/>
      <c r="W170" s="44" t="s">
        <v>1</v>
      </c>
      <c r="X170" s="44"/>
      <c r="Y170" s="44" t="s">
        <v>1</v>
      </c>
      <c r="Z170" s="44"/>
      <c r="AA170" s="44" t="s">
        <v>1</v>
      </c>
      <c r="AB170" s="44"/>
      <c r="AC170" s="51">
        <v>45577</v>
      </c>
      <c r="AD170" s="50">
        <v>45577</v>
      </c>
      <c r="AE170" s="41" t="s">
        <v>0</v>
      </c>
      <c r="AF170" s="41" t="s">
        <v>1</v>
      </c>
      <c r="AG170" s="40" t="s">
        <v>5</v>
      </c>
      <c r="AH170" s="36" t="s">
        <v>1</v>
      </c>
      <c r="AI170" s="49">
        <v>0</v>
      </c>
      <c r="AJ170" s="36" t="s">
        <v>1</v>
      </c>
      <c r="AK170" s="10" t="s">
        <v>1</v>
      </c>
      <c r="AL170" s="36" t="s">
        <v>1</v>
      </c>
      <c r="AM170" s="36" t="s">
        <v>1</v>
      </c>
      <c r="AN170" s="35" t="s">
        <v>1</v>
      </c>
      <c r="AO170" s="35" t="s">
        <v>1</v>
      </c>
      <c r="AP170" s="35" t="s">
        <v>1</v>
      </c>
      <c r="AQ170" s="35" t="s">
        <v>1</v>
      </c>
      <c r="AR170" s="90" t="s">
        <v>1</v>
      </c>
      <c r="AS170" s="89"/>
      <c r="AT170" s="88"/>
      <c r="AU170" s="25"/>
      <c r="AV170" s="88"/>
      <c r="AW170" s="25"/>
      <c r="AX170" s="88" t="s">
        <v>1</v>
      </c>
      <c r="AY170" s="25"/>
      <c r="AZ170" s="88" t="s">
        <v>1</v>
      </c>
      <c r="BA170" s="25"/>
      <c r="BB170" s="39" t="s">
        <v>714</v>
      </c>
      <c r="BC170" s="25"/>
      <c r="BD170" s="24"/>
      <c r="BE170" s="24"/>
      <c r="BF170" s="79"/>
      <c r="BG170" s="79"/>
      <c r="BH170" s="80"/>
      <c r="BI170" s="79"/>
      <c r="BJ170" s="54"/>
      <c r="BK170" s="78"/>
      <c r="BL170" s="69"/>
      <c r="BM170" s="78"/>
      <c r="BN170" s="78"/>
      <c r="BO170" s="78"/>
      <c r="BP170" s="78"/>
      <c r="BQ170" s="21">
        <f>YEAR([1]!BANCO10[[#This Row],[DATA INÍCIO]])</f>
        <v>2024</v>
      </c>
      <c r="BR170" s="21">
        <f>MONTH([1]!BANCO10[[#This Row],[DATA INÍCIO]])</f>
        <v>10</v>
      </c>
      <c r="BS170" s="21" t="e">
        <f>CONCATENATE(#REF!,#REF!)</f>
        <v>#REF!</v>
      </c>
      <c r="BT170" s="21"/>
      <c r="BU170" s="21"/>
      <c r="BV170" s="21" t="str">
        <f>IF([1]!BANCO10[[#This Row],[SOLUÇÃO]]=BV$1,[1]!BANCO10[[#This Row],[STATUS DA ETAPA]],"")</f>
        <v>CONCLUÍDO</v>
      </c>
      <c r="BW170" s="21" t="str">
        <f>IF([1]!BANCO10[[#This Row],[SOLUÇÃO]]=BW$1,[1]!BANCO10[[#This Row],[STATUS DA ETAPA]],"")</f>
        <v/>
      </c>
      <c r="BX170" s="21" t="str">
        <f>IF([1]!BANCO10[[#This Row],[SOLUÇÃO]]=BX$1,[1]!BANCO10[[#This Row],[STATUS DA ETAPA]],"")</f>
        <v/>
      </c>
      <c r="BY170" s="21" t="str">
        <f>IF([1]!BANCO10[[#This Row],[SOLUÇÃO]]=BY$1,[1]!BANCO10[[#This Row],[STATUS DA ETAPA]],"")</f>
        <v/>
      </c>
      <c r="BZ170" s="21" t="str">
        <f>IF([1]!BANCO10[[#This Row],[SOLUÇÃO]]=BZ$1,[1]!BANCO10[[#This Row],[STATUS DA ETAPA]],"")</f>
        <v/>
      </c>
      <c r="CA170" s="21" t="str">
        <f>IF([1]!BANCO10[[#This Row],[SOLUÇÃO]]=CA$1,[1]!BANCO10[[#This Row],[STATUS DA ETAPA]],"")</f>
        <v/>
      </c>
      <c r="CB170" s="21" t="str">
        <f>IF([1]!BANCO10[[#This Row],[SOLUÇÃO]]=CB$1,[1]!BANCO10[[#This Row],[STATUS DA ETAPA]],"")</f>
        <v/>
      </c>
      <c r="CC170" s="21" t="str">
        <f>IF([1]!BANCO10[[#This Row],[SOLUÇÃO]]=CC$1,[1]!BANCO10[[#This Row],[STATUS DA ETAPA]],"")</f>
        <v/>
      </c>
      <c r="CD170" s="21" t="str">
        <f>IF([1]!BANCO10[[#This Row],[SOLUÇÃO]]=CD$1,[1]!BANCO10[[#This Row],[STATUS DA ETAPA]],"")</f>
        <v/>
      </c>
      <c r="CE170" s="21" t="str">
        <f>IF([1]!BANCO10[[#This Row],[SOLUÇÃO]]=CE$1,[1]!BANCO10[[#This Row],[STATUS DA ETAPA]],"")</f>
        <v/>
      </c>
      <c r="CF170" s="21" t="str">
        <f>IF([1]!BANCO10[[#This Row],[SOLUÇÃO]]=CF$1,[1]!BANCO10[[#This Row],[STATUS DA ETAPA]],"")</f>
        <v/>
      </c>
      <c r="CG170" s="21" t="str">
        <f>IF([1]!BANCO10[[#This Row],[SOLUÇÃO]]=CG$1,[1]!BANCO10[[#This Row],[STATUS DA ETAPA]],"")</f>
        <v/>
      </c>
      <c r="CH170" s="21" t="str">
        <f>IF([1]!BANCO10[[#This Row],[SOLUÇÃO]]=CH$1,[1]!BANCO10[[#This Row],[STATUS DA ETAPA]],"")</f>
        <v/>
      </c>
      <c r="CI170" s="21" t="str">
        <f>IF([1]!BANCO10[[#This Row],[SOLUÇÃO]]=CI$1,[1]!BANCO10[[#This Row],[STATUS DA ETAPA]],"")</f>
        <v/>
      </c>
      <c r="CJ170" s="21" t="str">
        <f>IF([1]!BANCO10[[#This Row],[SOLUÇÃO]]=CJ$1,[1]!BANCO10[[#This Row],[STATUS DA ETAPA]],"")</f>
        <v/>
      </c>
      <c r="CK170" s="21" t="str">
        <f>IF([1]!BANCO10[[#This Row],[SOLUÇÃO]]=CK$1,[1]!BANCO10[[#This Row],[STATUS DA ETAPA]],"")</f>
        <v/>
      </c>
      <c r="CL170" s="22" t="str">
        <f>IF([1]!BANCO10[[#This Row],[SOLUÇÃO]]=CL$1,[1]!BANCO10[[#This Row],[STATUS DA ETAPA]],"")</f>
        <v/>
      </c>
      <c r="CM170" s="64" t="str">
        <f>IF([1]!BANCO10[[#This Row],[SOLUÇÃO]]=CM$1,[1]!BANCO10[[#This Row],[STATUS DA ETAPA]],"")</f>
        <v/>
      </c>
      <c r="CN170" s="64" t="str">
        <f>IF([1]!BANCO10[[#This Row],[SOLUÇÃO]]=CN$1,[1]!BANCO10[[#This Row],[STATUS DA ETAPA]],"")</f>
        <v/>
      </c>
      <c r="CO170" s="64" t="str">
        <f>IF([1]!BANCO10[[#This Row],[SOLUÇÃO]]=CO$1,[1]!BANCO10[[#This Row],[STATUS DA ETAPA]],"")</f>
        <v/>
      </c>
      <c r="CP170" s="64" t="str">
        <f>IF([1]!BANCO10[[#This Row],[SOLUÇÃO]]=CP$1,[1]!BANCO10[[#This Row],[STATUS DA ETAPA]],"")</f>
        <v/>
      </c>
      <c r="CQ170" s="64" t="str">
        <f>IF([1]!BANCO10[[#This Row],[SOLUÇÃO]]=CQ$1,[1]!BANCO10[[#This Row],[STATUS DA ETAPA]],"")</f>
        <v/>
      </c>
      <c r="CR170" s="64" t="str">
        <f>IF([1]!BANCO10[[#This Row],[SOLUÇÃO]]=CR$1,[1]!BANCO10[[#This Row],[STATUS DA ETAPA]],"")</f>
        <v/>
      </c>
      <c r="CS170" s="64" t="str">
        <f>IF([1]!BANCO10[[#This Row],[SOLUÇÃO]]=CS$1,[1]!BANCO10[[#This Row],[STATUS DA ETAPA]],"")</f>
        <v/>
      </c>
      <c r="CT170" s="64" t="str">
        <f>IF([1]!BANCO10[[#This Row],[SOLUÇÃO]]=CT$1,[1]!BANCO10[[#This Row],[STATUS DA ETAPA]],"")</f>
        <v/>
      </c>
      <c r="CU170" s="64" t="str">
        <f>IF([1]!BANCO10[[#This Row],[SOLUÇÃO]]=CU$1,[1]!BANCO10[[#This Row],[STATUS DA ETAPA]],"")</f>
        <v/>
      </c>
      <c r="CV170" s="64" t="str">
        <f>IF([1]!BANCO10[[#This Row],[SOLUÇÃO]]=CV$1,[1]!BANCO10[[#This Row],[STATUS DA ETAPA]],"")</f>
        <v/>
      </c>
    </row>
    <row r="171" spans="1:100">
      <c r="A171" s="44" t="s">
        <v>1</v>
      </c>
      <c r="B171" s="44"/>
      <c r="C171" s="44" t="s">
        <v>1</v>
      </c>
      <c r="D171" s="44"/>
      <c r="E171" s="44" t="s">
        <v>1</v>
      </c>
      <c r="F171" s="44"/>
      <c r="G171" s="44" t="s">
        <v>1</v>
      </c>
      <c r="H171" s="44"/>
      <c r="I171" s="45" t="s">
        <v>1</v>
      </c>
      <c r="J171" s="46"/>
      <c r="K171" s="45" t="s">
        <v>1</v>
      </c>
      <c r="L171" s="33"/>
      <c r="M171" s="45" t="s">
        <v>1</v>
      </c>
      <c r="N171" s="33"/>
      <c r="O171" s="44" t="s">
        <v>1</v>
      </c>
      <c r="P171" s="44"/>
      <c r="Q171" s="44" t="s">
        <v>1</v>
      </c>
      <c r="R171" s="44"/>
      <c r="S171" s="44" t="s">
        <v>1</v>
      </c>
      <c r="T171" s="44"/>
      <c r="U171" s="44" t="s">
        <v>1</v>
      </c>
      <c r="V171" s="44"/>
      <c r="W171" s="44" t="s">
        <v>1</v>
      </c>
      <c r="X171" s="44"/>
      <c r="Y171" s="44" t="s">
        <v>1</v>
      </c>
      <c r="Z171" s="44"/>
      <c r="AA171" s="44" t="s">
        <v>1</v>
      </c>
      <c r="AB171" s="44"/>
      <c r="AC171" s="51"/>
      <c r="AD171" s="50"/>
      <c r="AE171" s="68"/>
      <c r="AF171" s="68"/>
      <c r="AG171" s="40" t="s">
        <v>5</v>
      </c>
      <c r="AH171" s="36" t="s">
        <v>0</v>
      </c>
      <c r="AI171" s="49">
        <v>0</v>
      </c>
      <c r="AJ171" s="36" t="s">
        <v>1</v>
      </c>
      <c r="AK171" s="10" t="s">
        <v>1</v>
      </c>
      <c r="AL171" s="36" t="s">
        <v>1</v>
      </c>
      <c r="AM171" s="36" t="s">
        <v>1</v>
      </c>
      <c r="AN171" s="35" t="s">
        <v>1</v>
      </c>
      <c r="AO171" s="35" t="s">
        <v>1</v>
      </c>
      <c r="AP171" s="35" t="s">
        <v>1</v>
      </c>
      <c r="AQ171" s="35" t="s">
        <v>2</v>
      </c>
      <c r="AR171" s="34" t="s">
        <v>0</v>
      </c>
      <c r="AS171" s="33"/>
      <c r="AT171" s="30" t="s">
        <v>0</v>
      </c>
      <c r="AU171" s="31"/>
      <c r="AV171" s="30" t="s">
        <v>0</v>
      </c>
      <c r="AW171" s="31"/>
      <c r="AX171" s="30" t="s">
        <v>0</v>
      </c>
      <c r="AY171" s="29"/>
      <c r="AZ171" s="28" t="s">
        <v>0</v>
      </c>
      <c r="BA171" s="27"/>
      <c r="BB171" s="39"/>
      <c r="BC171" s="25"/>
      <c r="BD171" s="24"/>
      <c r="BE171" s="24"/>
      <c r="BF171" s="24"/>
      <c r="BG171" s="24"/>
      <c r="BH171" s="24"/>
      <c r="BI171" s="24"/>
      <c r="BJ171" s="24"/>
      <c r="BK171" s="24"/>
      <c r="BL171" s="24"/>
      <c r="BM171" s="24"/>
      <c r="BN171" s="24"/>
      <c r="BO171" s="24"/>
      <c r="BP171" s="24"/>
      <c r="BQ171" s="22">
        <f>YEAR([1]!BANCO10[[#This Row],[DATA INÍCIO]])</f>
        <v>1900</v>
      </c>
      <c r="BR171" s="22">
        <f>MONTH([1]!BANCO10[[#This Row],[DATA INÍCIO]])</f>
        <v>1</v>
      </c>
      <c r="BS171" s="23" t="e">
        <f>CONCATENATE(#REF!,#REF!)</f>
        <v>#REF!</v>
      </c>
      <c r="BT171" s="22"/>
      <c r="BU171" s="22"/>
      <c r="BV171" s="21" t="str">
        <f>IF([1]!BANCO10[[#This Row],[SOLUÇÃO]]=BV$1,[1]!BANCO10[[#This Row],[STATUS DA ETAPA]],"")</f>
        <v/>
      </c>
      <c r="BW171" s="21" t="str">
        <f>IF([1]!BANCO10[[#This Row],[SOLUÇÃO]]=BW$1,[1]!BANCO10[[#This Row],[STATUS DA ETAPA]],"")</f>
        <v/>
      </c>
      <c r="BX171" s="21" t="str">
        <f>IF([1]!BANCO10[[#This Row],[SOLUÇÃO]]=BX$1,[1]!BANCO10[[#This Row],[STATUS DA ETAPA]],"")</f>
        <v/>
      </c>
      <c r="BY171" s="21" t="str">
        <f>IF([1]!BANCO10[[#This Row],[SOLUÇÃO]]=BY$1,[1]!BANCO10[[#This Row],[STATUS DA ETAPA]],"")</f>
        <v/>
      </c>
      <c r="BZ171" s="21" t="str">
        <f>IF([1]!BANCO10[[#This Row],[SOLUÇÃO]]=BZ$1,[1]!BANCO10[[#This Row],[STATUS DA ETAPA]],"")</f>
        <v/>
      </c>
      <c r="CA171" s="21" t="str">
        <f>IF([1]!BANCO10[[#This Row],[SOLUÇÃO]]=CA$1,[1]!BANCO10[[#This Row],[STATUS DA ETAPA]],"")</f>
        <v/>
      </c>
      <c r="CB171" s="21" t="str">
        <f>IF([1]!BANCO10[[#This Row],[SOLUÇÃO]]=CB$1,[1]!BANCO10[[#This Row],[STATUS DA ETAPA]],"")</f>
        <v/>
      </c>
      <c r="CC171" s="21" t="str">
        <f>IF([1]!BANCO10[[#This Row],[SOLUÇÃO]]=CC$1,[1]!BANCO10[[#This Row],[STATUS DA ETAPA]],"")</f>
        <v/>
      </c>
      <c r="CD171" s="21" t="str">
        <f>IF([1]!BANCO10[[#This Row],[SOLUÇÃO]]=CD$1,[1]!BANCO10[[#This Row],[STATUS DA ETAPA]],"")</f>
        <v/>
      </c>
      <c r="CE171" s="21" t="str">
        <f>IF([1]!BANCO10[[#This Row],[SOLUÇÃO]]=CE$1,[1]!BANCO10[[#This Row],[STATUS DA ETAPA]],"")</f>
        <v/>
      </c>
      <c r="CF171" s="21" t="str">
        <f>IF([1]!BANCO10[[#This Row],[SOLUÇÃO]]=CF$1,[1]!BANCO10[[#This Row],[STATUS DA ETAPA]],"")</f>
        <v/>
      </c>
      <c r="CG171" s="21" t="str">
        <f>IF([1]!BANCO10[[#This Row],[SOLUÇÃO]]=CG$1,[1]!BANCO10[[#This Row],[STATUS DA ETAPA]],"")</f>
        <v/>
      </c>
      <c r="CH171" s="21" t="str">
        <f>IF([1]!BANCO10[[#This Row],[SOLUÇÃO]]=CH$1,[1]!BANCO10[[#This Row],[STATUS DA ETAPA]],"")</f>
        <v/>
      </c>
      <c r="CI171" s="21" t="str">
        <f>IF([1]!BANCO10[[#This Row],[SOLUÇÃO]]=CI$1,[1]!BANCO10[[#This Row],[STATUS DA ETAPA]],"")</f>
        <v/>
      </c>
      <c r="CJ171" s="21" t="str">
        <f>IF([1]!BANCO10[[#This Row],[SOLUÇÃO]]=CJ$1,[1]!BANCO10[[#This Row],[STATUS DA ETAPA]],"")</f>
        <v/>
      </c>
      <c r="CK171" s="21" t="str">
        <f>IF([1]!BANCO10[[#This Row],[SOLUÇÃO]]=CK$1,[1]!BANCO10[[#This Row],[STATUS DA ETAPA]],"")</f>
        <v/>
      </c>
      <c r="CL171" s="21" t="str">
        <f>IF([1]!BANCO10[[#This Row],[SOLUÇÃO]]=CL$1,[1]!BANCO10[[#This Row],[STATUS DA ETAPA]],"")</f>
        <v/>
      </c>
      <c r="CM171" s="21" t="str">
        <f>IF([1]!BANCO10[[#This Row],[SOLUÇÃO]]=CM$1,[1]!BANCO10[[#This Row],[STATUS DA ETAPA]],"")</f>
        <v/>
      </c>
      <c r="CN171" s="21" t="str">
        <f>IF([1]!BANCO10[[#This Row],[SOLUÇÃO]]=CN$1,[1]!BANCO10[[#This Row],[STATUS DA ETAPA]],"")</f>
        <v/>
      </c>
      <c r="CO171" s="21" t="str">
        <f>IF([1]!BANCO10[[#This Row],[SOLUÇÃO]]=CO$1,[1]!BANCO10[[#This Row],[STATUS DA ETAPA]],"")</f>
        <v/>
      </c>
      <c r="CP171" s="21" t="str">
        <f>IF([1]!BANCO10[[#This Row],[SOLUÇÃO]]=CP$1,[1]!BANCO10[[#This Row],[STATUS DA ETAPA]],"")</f>
        <v/>
      </c>
      <c r="CQ171" s="21" t="str">
        <f>IF([1]!BANCO10[[#This Row],[SOLUÇÃO]]=CQ$1,[1]!BANCO10[[#This Row],[STATUS DA ETAPA]],"")</f>
        <v/>
      </c>
      <c r="CR171" s="21" t="str">
        <f>IF([1]!BANCO10[[#This Row],[SOLUÇÃO]]=CR$1,[1]!BANCO10[[#This Row],[STATUS DA ETAPA]],"")</f>
        <v/>
      </c>
      <c r="CS171" s="21" t="str">
        <f>IF([1]!BANCO10[[#This Row],[SOLUÇÃO]]=CS$1,[1]!BANCO10[[#This Row],[STATUS DA ETAPA]],"")</f>
        <v/>
      </c>
      <c r="CT171" s="21" t="str">
        <f>IF([1]!BANCO10[[#This Row],[SOLUÇÃO]]=CT$1,[1]!BANCO10[[#This Row],[STATUS DA ETAPA]],"")</f>
        <v/>
      </c>
      <c r="CU171" s="21" t="str">
        <f>IF([1]!BANCO10[[#This Row],[SOLUÇÃO]]=CU$1,[1]!BANCO10[[#This Row],[STATUS DA ETAPA]],"")</f>
        <v/>
      </c>
      <c r="CV171" s="21" t="str">
        <f>IF([1]!BANCO10[[#This Row],[SOLUÇÃO]]=CV$1,[1]!BANCO10[[#This Row],[STATUS DA ETAPA]],"")</f>
        <v/>
      </c>
    </row>
    <row r="172" spans="1:100">
      <c r="A172" s="44" t="s">
        <v>1</v>
      </c>
      <c r="B172" s="44"/>
      <c r="C172" s="44" t="s">
        <v>1</v>
      </c>
      <c r="D172" s="44"/>
      <c r="E172" s="44" t="s">
        <v>1</v>
      </c>
      <c r="F172" s="44"/>
      <c r="G172" s="44" t="s">
        <v>1</v>
      </c>
      <c r="H172" s="44"/>
      <c r="I172" s="45" t="s">
        <v>1</v>
      </c>
      <c r="J172" s="46"/>
      <c r="K172" s="45" t="s">
        <v>1</v>
      </c>
      <c r="L172" s="33"/>
      <c r="M172" s="45" t="s">
        <v>1</v>
      </c>
      <c r="N172" s="33"/>
      <c r="O172" s="44" t="s">
        <v>1</v>
      </c>
      <c r="P172" s="44"/>
      <c r="Q172" s="44" t="s">
        <v>1</v>
      </c>
      <c r="R172" s="44"/>
      <c r="S172" s="44" t="s">
        <v>1</v>
      </c>
      <c r="T172" s="44"/>
      <c r="U172" s="44" t="s">
        <v>1</v>
      </c>
      <c r="V172" s="44"/>
      <c r="W172" s="44" t="s">
        <v>1</v>
      </c>
      <c r="X172" s="44"/>
      <c r="Y172" s="44" t="s">
        <v>1</v>
      </c>
      <c r="Z172" s="44"/>
      <c r="AA172" s="44" t="s">
        <v>1</v>
      </c>
      <c r="AB172" s="44"/>
      <c r="AC172" s="51">
        <v>45577</v>
      </c>
      <c r="AD172" s="50">
        <v>45577</v>
      </c>
      <c r="AE172" s="41" t="s">
        <v>1</v>
      </c>
      <c r="AF172" s="41" t="s">
        <v>1</v>
      </c>
      <c r="AG172" s="40" t="s">
        <v>5</v>
      </c>
      <c r="AH172" s="36" t="s">
        <v>1</v>
      </c>
      <c r="AI172" s="49">
        <v>0</v>
      </c>
      <c r="AJ172" s="36" t="s">
        <v>1</v>
      </c>
      <c r="AK172" s="10" t="s">
        <v>1</v>
      </c>
      <c r="AL172" s="36" t="s">
        <v>1</v>
      </c>
      <c r="AM172" s="36" t="s">
        <v>1</v>
      </c>
      <c r="AN172" s="35" t="s">
        <v>1</v>
      </c>
      <c r="AO172" s="35" t="s">
        <v>1</v>
      </c>
      <c r="AP172" s="35" t="s">
        <v>1</v>
      </c>
      <c r="AQ172" s="35" t="s">
        <v>1</v>
      </c>
      <c r="AR172" s="90" t="s">
        <v>1</v>
      </c>
      <c r="AS172" s="89"/>
      <c r="AT172" s="88"/>
      <c r="AU172" s="25"/>
      <c r="AV172" s="88"/>
      <c r="AW172" s="25"/>
      <c r="AX172" s="88" t="s">
        <v>1</v>
      </c>
      <c r="AY172" s="25"/>
      <c r="AZ172" s="88" t="s">
        <v>1</v>
      </c>
      <c r="BA172" s="25"/>
      <c r="BB172" s="39"/>
      <c r="BC172" s="25"/>
      <c r="BD172" s="24"/>
      <c r="BE172" s="24"/>
      <c r="BF172" s="79"/>
      <c r="BG172" s="79"/>
      <c r="BH172" s="80"/>
      <c r="BI172" s="79"/>
      <c r="BJ172" s="54"/>
      <c r="BK172" s="78"/>
      <c r="BL172" s="69"/>
      <c r="BM172" s="78"/>
      <c r="BN172" s="78"/>
      <c r="BO172" s="78"/>
      <c r="BP172" s="78"/>
      <c r="BQ172" s="21">
        <f>YEAR([1]!BANCO10[[#This Row],[DATA INÍCIO]])</f>
        <v>2024</v>
      </c>
      <c r="BR172" s="21">
        <f>MONTH([1]!BANCO10[[#This Row],[DATA INÍCIO]])</f>
        <v>10</v>
      </c>
      <c r="BS172" s="21" t="e">
        <f>CONCATENATE(#REF!,#REF!)</f>
        <v>#REF!</v>
      </c>
      <c r="BT172" s="21"/>
      <c r="BU172" s="21"/>
      <c r="BV172" s="21" t="str">
        <f>IF([1]!BANCO10[[#This Row],[SOLUÇÃO]]=BV$1,[1]!BANCO10[[#This Row],[STATUS DA ETAPA]],"")</f>
        <v>CONCLUÍDO</v>
      </c>
      <c r="BW172" s="21" t="str">
        <f>IF([1]!BANCO10[[#This Row],[SOLUÇÃO]]=BW$1,[1]!BANCO10[[#This Row],[STATUS DA ETAPA]],"")</f>
        <v/>
      </c>
      <c r="BX172" s="21" t="str">
        <f>IF([1]!BANCO10[[#This Row],[SOLUÇÃO]]=BX$1,[1]!BANCO10[[#This Row],[STATUS DA ETAPA]],"")</f>
        <v/>
      </c>
      <c r="BY172" s="21" t="str">
        <f>IF([1]!BANCO10[[#This Row],[SOLUÇÃO]]=BY$1,[1]!BANCO10[[#This Row],[STATUS DA ETAPA]],"")</f>
        <v/>
      </c>
      <c r="BZ172" s="21" t="str">
        <f>IF([1]!BANCO10[[#This Row],[SOLUÇÃO]]=BZ$1,[1]!BANCO10[[#This Row],[STATUS DA ETAPA]],"")</f>
        <v/>
      </c>
      <c r="CA172" s="21" t="str">
        <f>IF([1]!BANCO10[[#This Row],[SOLUÇÃO]]=CA$1,[1]!BANCO10[[#This Row],[STATUS DA ETAPA]],"")</f>
        <v/>
      </c>
      <c r="CB172" s="21" t="str">
        <f>IF([1]!BANCO10[[#This Row],[SOLUÇÃO]]=CB$1,[1]!BANCO10[[#This Row],[STATUS DA ETAPA]],"")</f>
        <v/>
      </c>
      <c r="CC172" s="21" t="str">
        <f>IF([1]!BANCO10[[#This Row],[SOLUÇÃO]]=CC$1,[1]!BANCO10[[#This Row],[STATUS DA ETAPA]],"")</f>
        <v/>
      </c>
      <c r="CD172" s="21" t="str">
        <f>IF([1]!BANCO10[[#This Row],[SOLUÇÃO]]=CD$1,[1]!BANCO10[[#This Row],[STATUS DA ETAPA]],"")</f>
        <v/>
      </c>
      <c r="CE172" s="21" t="str">
        <f>IF([1]!BANCO10[[#This Row],[SOLUÇÃO]]=CE$1,[1]!BANCO10[[#This Row],[STATUS DA ETAPA]],"")</f>
        <v/>
      </c>
      <c r="CF172" s="21" t="str">
        <f>IF([1]!BANCO10[[#This Row],[SOLUÇÃO]]=CF$1,[1]!BANCO10[[#This Row],[STATUS DA ETAPA]],"")</f>
        <v/>
      </c>
      <c r="CG172" s="21" t="str">
        <f>IF([1]!BANCO10[[#This Row],[SOLUÇÃO]]=CG$1,[1]!BANCO10[[#This Row],[STATUS DA ETAPA]],"")</f>
        <v/>
      </c>
      <c r="CH172" s="21" t="str">
        <f>IF([1]!BANCO10[[#This Row],[SOLUÇÃO]]=CH$1,[1]!BANCO10[[#This Row],[STATUS DA ETAPA]],"")</f>
        <v/>
      </c>
      <c r="CI172" s="21" t="str">
        <f>IF([1]!BANCO10[[#This Row],[SOLUÇÃO]]=CI$1,[1]!BANCO10[[#This Row],[STATUS DA ETAPA]],"")</f>
        <v/>
      </c>
      <c r="CJ172" s="21" t="str">
        <f>IF([1]!BANCO10[[#This Row],[SOLUÇÃO]]=CJ$1,[1]!BANCO10[[#This Row],[STATUS DA ETAPA]],"")</f>
        <v/>
      </c>
      <c r="CK172" s="21" t="str">
        <f>IF([1]!BANCO10[[#This Row],[SOLUÇÃO]]=CK$1,[1]!BANCO10[[#This Row],[STATUS DA ETAPA]],"")</f>
        <v/>
      </c>
      <c r="CL172" s="22" t="str">
        <f>IF([1]!BANCO10[[#This Row],[SOLUÇÃO]]=CL$1,[1]!BANCO10[[#This Row],[STATUS DA ETAPA]],"")</f>
        <v/>
      </c>
      <c r="CM172" s="64" t="str">
        <f>IF([1]!BANCO10[[#This Row],[SOLUÇÃO]]=CM$1,[1]!BANCO10[[#This Row],[STATUS DA ETAPA]],"")</f>
        <v/>
      </c>
      <c r="CN172" s="64" t="str">
        <f>IF([1]!BANCO10[[#This Row],[SOLUÇÃO]]=CN$1,[1]!BANCO10[[#This Row],[STATUS DA ETAPA]],"")</f>
        <v/>
      </c>
      <c r="CO172" s="64" t="str">
        <f>IF([1]!BANCO10[[#This Row],[SOLUÇÃO]]=CO$1,[1]!BANCO10[[#This Row],[STATUS DA ETAPA]],"")</f>
        <v/>
      </c>
      <c r="CP172" s="64" t="str">
        <f>IF([1]!BANCO10[[#This Row],[SOLUÇÃO]]=CP$1,[1]!BANCO10[[#This Row],[STATUS DA ETAPA]],"")</f>
        <v/>
      </c>
      <c r="CQ172" s="64" t="str">
        <f>IF([1]!BANCO10[[#This Row],[SOLUÇÃO]]=CQ$1,[1]!BANCO10[[#This Row],[STATUS DA ETAPA]],"")</f>
        <v/>
      </c>
      <c r="CR172" s="64" t="str">
        <f>IF([1]!BANCO10[[#This Row],[SOLUÇÃO]]=CR$1,[1]!BANCO10[[#This Row],[STATUS DA ETAPA]],"")</f>
        <v/>
      </c>
      <c r="CS172" s="64" t="str">
        <f>IF([1]!BANCO10[[#This Row],[SOLUÇÃO]]=CS$1,[1]!BANCO10[[#This Row],[STATUS DA ETAPA]],"")</f>
        <v/>
      </c>
      <c r="CT172" s="64" t="str">
        <f>IF([1]!BANCO10[[#This Row],[SOLUÇÃO]]=CT$1,[1]!BANCO10[[#This Row],[STATUS DA ETAPA]],"")</f>
        <v/>
      </c>
      <c r="CU172" s="64" t="str">
        <f>IF([1]!BANCO10[[#This Row],[SOLUÇÃO]]=CU$1,[1]!BANCO10[[#This Row],[STATUS DA ETAPA]],"")</f>
        <v/>
      </c>
      <c r="CV172" s="64" t="str">
        <f>IF([1]!BANCO10[[#This Row],[SOLUÇÃO]]=CV$1,[1]!BANCO10[[#This Row],[STATUS DA ETAPA]],"")</f>
        <v/>
      </c>
    </row>
    <row r="173" spans="1:100">
      <c r="A173" s="44" t="s">
        <v>1</v>
      </c>
      <c r="B173" s="44"/>
      <c r="C173" s="44" t="s">
        <v>1</v>
      </c>
      <c r="D173" s="44"/>
      <c r="E173" s="44" t="s">
        <v>1</v>
      </c>
      <c r="F173" s="44"/>
      <c r="G173" s="44" t="s">
        <v>1</v>
      </c>
      <c r="H173" s="44"/>
      <c r="I173" s="45" t="s">
        <v>1</v>
      </c>
      <c r="J173" s="46"/>
      <c r="K173" s="45" t="s">
        <v>1</v>
      </c>
      <c r="L173" s="33"/>
      <c r="M173" s="45" t="s">
        <v>1</v>
      </c>
      <c r="N173" s="33"/>
      <c r="O173" s="44" t="s">
        <v>2</v>
      </c>
      <c r="P173" s="44">
        <v>45536</v>
      </c>
      <c r="Q173" s="44" t="s">
        <v>2</v>
      </c>
      <c r="R173" s="44">
        <v>45590</v>
      </c>
      <c r="S173" s="44" t="s">
        <v>1</v>
      </c>
      <c r="T173" s="44"/>
      <c r="U173" s="44" t="s">
        <v>1</v>
      </c>
      <c r="V173" s="44"/>
      <c r="W173" s="44" t="s">
        <v>1</v>
      </c>
      <c r="X173" s="44"/>
      <c r="Y173" s="44" t="s">
        <v>1</v>
      </c>
      <c r="Z173" s="44"/>
      <c r="AA173" s="44" t="s">
        <v>1</v>
      </c>
      <c r="AB173" s="44"/>
      <c r="AC173" s="51">
        <v>45963</v>
      </c>
      <c r="AD173" s="50">
        <v>45963</v>
      </c>
      <c r="AE173" s="41" t="s">
        <v>0</v>
      </c>
      <c r="AF173" s="41" t="s">
        <v>0</v>
      </c>
      <c r="AG173" s="40" t="s">
        <v>5</v>
      </c>
      <c r="AH173" s="36" t="s">
        <v>1</v>
      </c>
      <c r="AI173" s="49">
        <v>0</v>
      </c>
      <c r="AJ173" s="36" t="s">
        <v>1</v>
      </c>
      <c r="AK173" s="10">
        <v>666405</v>
      </c>
      <c r="AL173" s="36" t="s">
        <v>1</v>
      </c>
      <c r="AM173" s="36" t="s">
        <v>1</v>
      </c>
      <c r="AN173" s="35" t="s">
        <v>0</v>
      </c>
      <c r="AO173" s="35" t="s">
        <v>0</v>
      </c>
      <c r="AP173" s="35" t="s">
        <v>0</v>
      </c>
      <c r="AQ173" s="35" t="s">
        <v>0</v>
      </c>
      <c r="AR173" s="34" t="s">
        <v>0</v>
      </c>
      <c r="AS173" s="33"/>
      <c r="AT173" s="32" t="s">
        <v>1</v>
      </c>
      <c r="AU173" s="31"/>
      <c r="AV173" s="32" t="s">
        <v>1</v>
      </c>
      <c r="AW173" s="31"/>
      <c r="AX173" s="30" t="s">
        <v>2</v>
      </c>
      <c r="AY173" s="29"/>
      <c r="AZ173" s="28" t="s">
        <v>0</v>
      </c>
      <c r="BA173" s="27"/>
      <c r="BB173" s="39"/>
      <c r="BC173" s="25"/>
      <c r="BD173" s="24"/>
      <c r="BE173" s="24"/>
      <c r="BF173" s="79"/>
      <c r="BG173" s="79"/>
      <c r="BH173" s="80"/>
      <c r="BI173" s="79"/>
      <c r="BJ173" s="54"/>
      <c r="BK173" s="78"/>
      <c r="BL173" s="69"/>
      <c r="BM173" s="78"/>
      <c r="BN173" s="78"/>
      <c r="BO173" s="78"/>
      <c r="BP173" s="78"/>
      <c r="BQ173" s="21">
        <f>YEAR([1]!BANCO10[[#This Row],[DATA INÍCIO]])</f>
        <v>2025</v>
      </c>
      <c r="BR173" s="21">
        <f>MONTH([1]!BANCO10[[#This Row],[DATA INÍCIO]])</f>
        <v>11</v>
      </c>
      <c r="BS173" s="21" t="e">
        <f>CONCATENATE(#REF!,#REF!)</f>
        <v>#REF!</v>
      </c>
      <c r="BT173" s="21"/>
      <c r="BU173" s="21"/>
      <c r="BV173" s="21" t="str">
        <f>IF([1]!BANCO10[[#This Row],[SOLUÇÃO]]=BV$1,[1]!BANCO10[[#This Row],[STATUS DA ETAPA]],"")</f>
        <v/>
      </c>
      <c r="BW173" s="21" t="str">
        <f>IF([1]!BANCO10[[#This Row],[SOLUÇÃO]]=BW$1,[1]!BANCO10[[#This Row],[STATUS DA ETAPA]],"")</f>
        <v/>
      </c>
      <c r="BX173" s="21" t="str">
        <f>IF([1]!BANCO10[[#This Row],[SOLUÇÃO]]=BX$1,[1]!BANCO10[[#This Row],[STATUS DA ETAPA]],"")</f>
        <v/>
      </c>
      <c r="BY173" s="21" t="str">
        <f>IF([1]!BANCO10[[#This Row],[SOLUÇÃO]]=BY$1,[1]!BANCO10[[#This Row],[STATUS DA ETAPA]],"")</f>
        <v/>
      </c>
      <c r="BZ173" s="21" t="str">
        <f>IF([1]!BANCO10[[#This Row],[SOLUÇÃO]]=BZ$1,[1]!BANCO10[[#This Row],[STATUS DA ETAPA]],"")</f>
        <v/>
      </c>
      <c r="CA173" s="21" t="str">
        <f>IF([1]!BANCO10[[#This Row],[SOLUÇÃO]]=CA$1,[1]!BANCO10[[#This Row],[STATUS DA ETAPA]],"")</f>
        <v/>
      </c>
      <c r="CB173" s="21" t="str">
        <f>IF([1]!BANCO10[[#This Row],[SOLUÇÃO]]=CB$1,[1]!BANCO10[[#This Row],[STATUS DA ETAPA]],"")</f>
        <v>TRANSFERIDO</v>
      </c>
      <c r="CC173" s="21" t="str">
        <f>IF([1]!BANCO10[[#This Row],[SOLUÇÃO]]=CC$1,[1]!BANCO10[[#This Row],[STATUS DA ETAPA]],"")</f>
        <v/>
      </c>
      <c r="CD173" s="21" t="str">
        <f>IF([1]!BANCO10[[#This Row],[SOLUÇÃO]]=CD$1,[1]!BANCO10[[#This Row],[STATUS DA ETAPA]],"")</f>
        <v/>
      </c>
      <c r="CE173" s="21" t="str">
        <f>IF([1]!BANCO10[[#This Row],[SOLUÇÃO]]=CE$1,[1]!BANCO10[[#This Row],[STATUS DA ETAPA]],"")</f>
        <v/>
      </c>
      <c r="CF173" s="21" t="str">
        <f>IF([1]!BANCO10[[#This Row],[SOLUÇÃO]]=CF$1,[1]!BANCO10[[#This Row],[STATUS DA ETAPA]],"")</f>
        <v/>
      </c>
      <c r="CG173" s="21" t="str">
        <f>IF([1]!BANCO10[[#This Row],[SOLUÇÃO]]=CG$1,[1]!BANCO10[[#This Row],[STATUS DA ETAPA]],"")</f>
        <v/>
      </c>
      <c r="CH173" s="21" t="str">
        <f>IF([1]!BANCO10[[#This Row],[SOLUÇÃO]]=CH$1,[1]!BANCO10[[#This Row],[STATUS DA ETAPA]],"")</f>
        <v/>
      </c>
      <c r="CI173" s="21" t="str">
        <f>IF([1]!BANCO10[[#This Row],[SOLUÇÃO]]=CI$1,[1]!BANCO10[[#This Row],[STATUS DA ETAPA]],"")</f>
        <v/>
      </c>
      <c r="CJ173" s="21" t="str">
        <f>IF([1]!BANCO10[[#This Row],[SOLUÇÃO]]=CJ$1,[1]!BANCO10[[#This Row],[STATUS DA ETAPA]],"")</f>
        <v/>
      </c>
      <c r="CK173" s="21" t="str">
        <f>IF([1]!BANCO10[[#This Row],[SOLUÇÃO]]=CK$1,[1]!BANCO10[[#This Row],[STATUS DA ETAPA]],"")</f>
        <v/>
      </c>
      <c r="CL173" s="22" t="str">
        <f>IF([1]!BANCO10[[#This Row],[SOLUÇÃO]]=CL$1,[1]!BANCO10[[#This Row],[STATUS DA ETAPA]],"")</f>
        <v/>
      </c>
      <c r="CM173" s="64" t="str">
        <f>IF([1]!BANCO10[[#This Row],[SOLUÇÃO]]=CM$1,[1]!BANCO10[[#This Row],[STATUS DA ETAPA]],"")</f>
        <v/>
      </c>
      <c r="CN173" s="64" t="str">
        <f>IF([1]!BANCO10[[#This Row],[SOLUÇÃO]]=CN$1,[1]!BANCO10[[#This Row],[STATUS DA ETAPA]],"")</f>
        <v/>
      </c>
      <c r="CO173" s="64" t="str">
        <f>IF([1]!BANCO10[[#This Row],[SOLUÇÃO]]=CO$1,[1]!BANCO10[[#This Row],[STATUS DA ETAPA]],"")</f>
        <v/>
      </c>
      <c r="CP173" s="64" t="str">
        <f>IF([1]!BANCO10[[#This Row],[SOLUÇÃO]]=CP$1,[1]!BANCO10[[#This Row],[STATUS DA ETAPA]],"")</f>
        <v/>
      </c>
      <c r="CQ173" s="64" t="str">
        <f>IF([1]!BANCO10[[#This Row],[SOLUÇÃO]]=CQ$1,[1]!BANCO10[[#This Row],[STATUS DA ETAPA]],"")</f>
        <v/>
      </c>
      <c r="CR173" s="64" t="str">
        <f>IF([1]!BANCO10[[#This Row],[SOLUÇÃO]]=CR$1,[1]!BANCO10[[#This Row],[STATUS DA ETAPA]],"")</f>
        <v/>
      </c>
      <c r="CS173" s="64" t="str">
        <f>IF([1]!BANCO10[[#This Row],[SOLUÇÃO]]=CS$1,[1]!BANCO10[[#This Row],[STATUS DA ETAPA]],"")</f>
        <v/>
      </c>
      <c r="CT173" s="64" t="str">
        <f>IF([1]!BANCO10[[#This Row],[SOLUÇÃO]]=CT$1,[1]!BANCO10[[#This Row],[STATUS DA ETAPA]],"")</f>
        <v/>
      </c>
      <c r="CU173" s="64" t="str">
        <f>IF([1]!BANCO10[[#This Row],[SOLUÇÃO]]=CU$1,[1]!BANCO10[[#This Row],[STATUS DA ETAPA]],"")</f>
        <v/>
      </c>
      <c r="CV173" s="64" t="str">
        <f>IF([1]!BANCO10[[#This Row],[SOLUÇÃO]]=CV$1,[1]!BANCO10[[#This Row],[STATUS DA ETAPA]],"")</f>
        <v/>
      </c>
    </row>
    <row r="174" spans="1:100">
      <c r="A174" s="44" t="s">
        <v>1</v>
      </c>
      <c r="B174" s="44"/>
      <c r="C174" s="44" t="s">
        <v>1</v>
      </c>
      <c r="D174" s="44"/>
      <c r="E174" s="44" t="s">
        <v>1</v>
      </c>
      <c r="F174" s="44"/>
      <c r="G174" s="44" t="s">
        <v>1</v>
      </c>
      <c r="H174" s="44"/>
      <c r="I174" s="45" t="s">
        <v>1</v>
      </c>
      <c r="J174" s="46"/>
      <c r="K174" s="45" t="s">
        <v>1</v>
      </c>
      <c r="L174" s="33"/>
      <c r="M174" s="45" t="s">
        <v>1</v>
      </c>
      <c r="N174" s="33"/>
      <c r="O174" s="44" t="s">
        <v>2</v>
      </c>
      <c r="P174" s="44">
        <v>44707</v>
      </c>
      <c r="Q174" s="44" t="s">
        <v>0</v>
      </c>
      <c r="R174" s="44"/>
      <c r="S174" s="44" t="s">
        <v>1</v>
      </c>
      <c r="T174" s="44"/>
      <c r="U174" s="44" t="s">
        <v>1</v>
      </c>
      <c r="V174" s="44"/>
      <c r="W174" s="44" t="s">
        <v>1</v>
      </c>
      <c r="X174" s="44"/>
      <c r="Y174" s="44" t="s">
        <v>1</v>
      </c>
      <c r="Z174" s="44"/>
      <c r="AA174" s="44" t="s">
        <v>1</v>
      </c>
      <c r="AB174" s="44"/>
      <c r="AC174" s="51">
        <v>44706</v>
      </c>
      <c r="AD174" s="50">
        <v>44706</v>
      </c>
      <c r="AE174" s="40" t="s">
        <v>1</v>
      </c>
      <c r="AF174" s="40" t="s">
        <v>1</v>
      </c>
      <c r="AG174" s="76" t="s">
        <v>5</v>
      </c>
      <c r="AH174" s="36" t="s">
        <v>1</v>
      </c>
      <c r="AI174" s="49">
        <v>0</v>
      </c>
      <c r="AJ174" s="36" t="s">
        <v>1</v>
      </c>
      <c r="AK174" s="10" t="s">
        <v>1</v>
      </c>
      <c r="AL174" s="36" t="s">
        <v>1</v>
      </c>
      <c r="AM174" s="36" t="s">
        <v>1</v>
      </c>
      <c r="AN174" s="35" t="s">
        <v>1</v>
      </c>
      <c r="AO174" s="35" t="s">
        <v>1</v>
      </c>
      <c r="AP174" s="35" t="s">
        <v>1</v>
      </c>
      <c r="AQ174" s="35" t="s">
        <v>1</v>
      </c>
      <c r="AR174" s="82" t="s">
        <v>1</v>
      </c>
      <c r="AS174" s="33"/>
      <c r="AT174" s="32" t="s">
        <v>1</v>
      </c>
      <c r="AU174" s="31"/>
      <c r="AV174" s="32" t="s">
        <v>1</v>
      </c>
      <c r="AW174" s="31"/>
      <c r="AX174" s="30" t="s">
        <v>1</v>
      </c>
      <c r="AY174" s="55"/>
      <c r="AZ174" s="30" t="s">
        <v>1</v>
      </c>
      <c r="BA174" s="55"/>
      <c r="BB174" s="74" t="s">
        <v>19</v>
      </c>
      <c r="BC174" s="25"/>
      <c r="BD174" s="24" t="s">
        <v>11</v>
      </c>
      <c r="BE174" s="24" t="s">
        <v>11</v>
      </c>
      <c r="BF174" s="24" t="s">
        <v>80</v>
      </c>
      <c r="BG174" s="24" t="s">
        <v>88</v>
      </c>
      <c r="BH174" s="130" t="s">
        <v>711</v>
      </c>
      <c r="BI174" s="24"/>
      <c r="BJ174" s="24" t="s">
        <v>11</v>
      </c>
      <c r="BK174" s="24" t="s">
        <v>11</v>
      </c>
      <c r="BL174" s="24" t="s">
        <v>11</v>
      </c>
      <c r="BM174" s="24" t="s">
        <v>11</v>
      </c>
      <c r="BN174" s="24" t="s">
        <v>11</v>
      </c>
      <c r="BO174" s="24" t="s">
        <v>11</v>
      </c>
      <c r="BP174" s="24" t="s">
        <v>11</v>
      </c>
      <c r="BQ174" s="22">
        <f>YEAR([1]!BANCO10[[#This Row],[DATA INÍCIO]])</f>
        <v>2022</v>
      </c>
      <c r="BR174" s="22">
        <f>MONTH([1]!BANCO10[[#This Row],[DATA INÍCIO]])</f>
        <v>5</v>
      </c>
      <c r="BS174" s="129" t="e">
        <f>CONCATENATE(#REF!,#REF!)</f>
        <v>#REF!</v>
      </c>
      <c r="BT174" s="22"/>
      <c r="BU174" s="21" t="s">
        <v>713</v>
      </c>
      <c r="BV174" s="21" t="str">
        <f>IF([1]!BANCO10[[#This Row],[SOLUÇÃO]]=BV$1,[1]!BANCO10[[#This Row],[STATUS DA ETAPA]],"")</f>
        <v>CONCLUÍDO</v>
      </c>
      <c r="BW174" s="21" t="str">
        <f>IF([1]!BANCO10[[#This Row],[SOLUÇÃO]]=BW$1,[1]!BANCO10[[#This Row],[STATUS DA ETAPA]],"")</f>
        <v/>
      </c>
      <c r="BX174" s="21" t="str">
        <f>IF([1]!BANCO10[[#This Row],[SOLUÇÃO]]=BX$1,[1]!BANCO10[[#This Row],[STATUS DA ETAPA]],"")</f>
        <v/>
      </c>
      <c r="BY174" s="21" t="str">
        <f>IF([1]!BANCO10[[#This Row],[SOLUÇÃO]]=BY$1,[1]!BANCO10[[#This Row],[STATUS DA ETAPA]],"")</f>
        <v/>
      </c>
      <c r="BZ174" s="21" t="str">
        <f>IF([1]!BANCO10[[#This Row],[SOLUÇÃO]]=BZ$1,[1]!BANCO10[[#This Row],[STATUS DA ETAPA]],"")</f>
        <v/>
      </c>
      <c r="CA174" s="21" t="str">
        <f>IF([1]!BANCO10[[#This Row],[SOLUÇÃO]]=CA$1,[1]!BANCO10[[#This Row],[STATUS DA ETAPA]],"")</f>
        <v/>
      </c>
      <c r="CB174" s="21" t="str">
        <f>IF([1]!BANCO10[[#This Row],[SOLUÇÃO]]=CB$1,[1]!BANCO10[[#This Row],[STATUS DA ETAPA]],"")</f>
        <v/>
      </c>
      <c r="CC174" s="21" t="str">
        <f>IF([1]!BANCO10[[#This Row],[SOLUÇÃO]]=CC$1,[1]!BANCO10[[#This Row],[STATUS DA ETAPA]],"")</f>
        <v/>
      </c>
      <c r="CD174" s="21" t="str">
        <f>IF([1]!BANCO10[[#This Row],[SOLUÇÃO]]=CD$1,[1]!BANCO10[[#This Row],[STATUS DA ETAPA]],"")</f>
        <v/>
      </c>
      <c r="CE174" s="21" t="str">
        <f>IF([1]!BANCO10[[#This Row],[SOLUÇÃO]]=CE$1,[1]!BANCO10[[#This Row],[STATUS DA ETAPA]],"")</f>
        <v/>
      </c>
      <c r="CF174" s="21" t="str">
        <f>IF([1]!BANCO10[[#This Row],[SOLUÇÃO]]=CF$1,[1]!BANCO10[[#This Row],[STATUS DA ETAPA]],"")</f>
        <v/>
      </c>
      <c r="CG174" s="21" t="str">
        <f>IF([1]!BANCO10[[#This Row],[SOLUÇÃO]]=CG$1,[1]!BANCO10[[#This Row],[STATUS DA ETAPA]],"")</f>
        <v/>
      </c>
      <c r="CH174" s="21" t="str">
        <f>IF([1]!BANCO10[[#This Row],[SOLUÇÃO]]=CH$1,[1]!BANCO10[[#This Row],[STATUS DA ETAPA]],"")</f>
        <v/>
      </c>
      <c r="CI174" s="21" t="str">
        <f>IF([1]!BANCO10[[#This Row],[SOLUÇÃO]]=CI$1,[1]!BANCO10[[#This Row],[STATUS DA ETAPA]],"")</f>
        <v/>
      </c>
      <c r="CJ174" s="21" t="str">
        <f>IF([1]!BANCO10[[#This Row],[SOLUÇÃO]]=CJ$1,[1]!BANCO10[[#This Row],[STATUS DA ETAPA]],"")</f>
        <v/>
      </c>
      <c r="CK174" s="21" t="str">
        <f>IF([1]!BANCO10[[#This Row],[SOLUÇÃO]]=CK$1,[1]!BANCO10[[#This Row],[STATUS DA ETAPA]],"")</f>
        <v/>
      </c>
      <c r="CL174" s="21" t="str">
        <f>IF([1]!BANCO10[[#This Row],[SOLUÇÃO]]=CL$1,[1]!BANCO10[[#This Row],[STATUS DA ETAPA]],"")</f>
        <v/>
      </c>
      <c r="CM174" s="21" t="str">
        <f>IF([1]!BANCO10[[#This Row],[SOLUÇÃO]]=CM$1,[1]!BANCO10[[#This Row],[STATUS DA ETAPA]],"")</f>
        <v/>
      </c>
      <c r="CN174" s="21" t="str">
        <f>IF([1]!BANCO10[[#This Row],[SOLUÇÃO]]=CN$1,[1]!BANCO10[[#This Row],[STATUS DA ETAPA]],"")</f>
        <v/>
      </c>
      <c r="CO174" s="21" t="str">
        <f>IF([1]!BANCO10[[#This Row],[SOLUÇÃO]]=CO$1,[1]!BANCO10[[#This Row],[STATUS DA ETAPA]],"")</f>
        <v/>
      </c>
      <c r="CP174" s="21" t="str">
        <f>IF([1]!BANCO10[[#This Row],[SOLUÇÃO]]=CP$1,[1]!BANCO10[[#This Row],[STATUS DA ETAPA]],"")</f>
        <v/>
      </c>
      <c r="CQ174" s="21" t="str">
        <f>IF([1]!BANCO10[[#This Row],[SOLUÇÃO]]=CQ$1,[1]!BANCO10[[#This Row],[STATUS DA ETAPA]],"")</f>
        <v/>
      </c>
      <c r="CR174" s="21" t="str">
        <f>IF([1]!BANCO10[[#This Row],[SOLUÇÃO]]=CR$1,[1]!BANCO10[[#This Row],[STATUS DA ETAPA]],"")</f>
        <v/>
      </c>
      <c r="CS174" s="21" t="str">
        <f>IF([1]!BANCO10[[#This Row],[SOLUÇÃO]]=CS$1,[1]!BANCO10[[#This Row],[STATUS DA ETAPA]],"")</f>
        <v/>
      </c>
      <c r="CT174" s="21" t="str">
        <f>IF([1]!BANCO10[[#This Row],[SOLUÇÃO]]=CT$1,[1]!BANCO10[[#This Row],[STATUS DA ETAPA]],"")</f>
        <v/>
      </c>
      <c r="CU174" s="21" t="str">
        <f>IF([1]!BANCO10[[#This Row],[SOLUÇÃO]]=CU$1,[1]!BANCO10[[#This Row],[STATUS DA ETAPA]],"")</f>
        <v/>
      </c>
      <c r="CV174" s="21" t="str">
        <f>IF([1]!BANCO10[[#This Row],[SOLUÇÃO]]=CV$1,[1]!BANCO10[[#This Row],[STATUS DA ETAPA]],"")</f>
        <v/>
      </c>
    </row>
    <row r="175" spans="1:100">
      <c r="A175" s="44" t="s">
        <v>1</v>
      </c>
      <c r="B175" s="44"/>
      <c r="C175" s="44" t="s">
        <v>1</v>
      </c>
      <c r="D175" s="44"/>
      <c r="E175" s="44" t="s">
        <v>1</v>
      </c>
      <c r="F175" s="44"/>
      <c r="G175" s="44" t="s">
        <v>1</v>
      </c>
      <c r="H175" s="44"/>
      <c r="I175" s="45" t="s">
        <v>1</v>
      </c>
      <c r="J175" s="46"/>
      <c r="K175" s="45" t="s">
        <v>1</v>
      </c>
      <c r="L175" s="33"/>
      <c r="M175" s="45" t="s">
        <v>1</v>
      </c>
      <c r="N175" s="33"/>
      <c r="O175" s="44" t="s">
        <v>2</v>
      </c>
      <c r="P175" s="44">
        <v>44707</v>
      </c>
      <c r="Q175" s="44" t="s">
        <v>2</v>
      </c>
      <c r="R175" s="44">
        <v>44708</v>
      </c>
      <c r="S175" s="44" t="s">
        <v>2</v>
      </c>
      <c r="T175" s="44">
        <v>44709</v>
      </c>
      <c r="U175" s="44" t="s">
        <v>1</v>
      </c>
      <c r="V175" s="44"/>
      <c r="W175" s="44" t="s">
        <v>1</v>
      </c>
      <c r="X175" s="44"/>
      <c r="Y175" s="44" t="s">
        <v>1</v>
      </c>
      <c r="Z175" s="44"/>
      <c r="AA175" s="44" t="s">
        <v>1</v>
      </c>
      <c r="AB175" s="44"/>
      <c r="AC175" s="84">
        <v>44831</v>
      </c>
      <c r="AD175" s="83">
        <v>44922</v>
      </c>
      <c r="AE175" s="40" t="s">
        <v>2</v>
      </c>
      <c r="AF175" s="40" t="s">
        <v>2</v>
      </c>
      <c r="AG175" s="76" t="s">
        <v>5</v>
      </c>
      <c r="AH175" s="36"/>
      <c r="AI175" s="49">
        <v>0</v>
      </c>
      <c r="AJ175" s="36" t="s">
        <v>1</v>
      </c>
      <c r="AK175" s="10" t="s">
        <v>1</v>
      </c>
      <c r="AL175" s="36" t="s">
        <v>1</v>
      </c>
      <c r="AM175" s="36" t="s">
        <v>1</v>
      </c>
      <c r="AN175" s="35" t="s">
        <v>1</v>
      </c>
      <c r="AO175" s="35" t="s">
        <v>1</v>
      </c>
      <c r="AP175" s="35" t="s">
        <v>2</v>
      </c>
      <c r="AQ175" s="35" t="s">
        <v>1</v>
      </c>
      <c r="AR175" s="34" t="s">
        <v>1</v>
      </c>
      <c r="AS175" s="33"/>
      <c r="AT175" s="32" t="s">
        <v>1</v>
      </c>
      <c r="AU175" s="31"/>
      <c r="AV175" s="32" t="s">
        <v>1</v>
      </c>
      <c r="AW175" s="31"/>
      <c r="AX175" s="30" t="s">
        <v>2</v>
      </c>
      <c r="AY175" s="55">
        <v>44922</v>
      </c>
      <c r="AZ175" s="30" t="s">
        <v>1</v>
      </c>
      <c r="BA175" s="55"/>
      <c r="BB175" s="74"/>
      <c r="BC175" s="25" t="s">
        <v>427</v>
      </c>
      <c r="BD175" s="24" t="s">
        <v>11</v>
      </c>
      <c r="BE175" s="24" t="s">
        <v>11</v>
      </c>
      <c r="BF175" s="24" t="s">
        <v>80</v>
      </c>
      <c r="BG175" s="24" t="s">
        <v>88</v>
      </c>
      <c r="BH175" s="130" t="s">
        <v>711</v>
      </c>
      <c r="BI175" s="24"/>
      <c r="BJ175" s="24" t="s">
        <v>11</v>
      </c>
      <c r="BK175" s="24" t="s">
        <v>11</v>
      </c>
      <c r="BL175" s="24" t="s">
        <v>11</v>
      </c>
      <c r="BM175" s="24" t="s">
        <v>11</v>
      </c>
      <c r="BN175" s="24" t="s">
        <v>11</v>
      </c>
      <c r="BO175" s="24" t="s">
        <v>11</v>
      </c>
      <c r="BP175" s="24" t="s">
        <v>11</v>
      </c>
      <c r="BQ175" s="22">
        <f>YEAR([1]!BANCO10[[#This Row],[DATA INÍCIO]])</f>
        <v>2022</v>
      </c>
      <c r="BR175" s="22">
        <f>MONTH([1]!BANCO10[[#This Row],[DATA INÍCIO]])</f>
        <v>9</v>
      </c>
      <c r="BS175" s="129" t="e">
        <f>CONCATENATE(#REF!,#REF!)</f>
        <v>#REF!</v>
      </c>
      <c r="BT175" s="22"/>
      <c r="BU175" s="21" t="s">
        <v>712</v>
      </c>
      <c r="BV175" s="21" t="str">
        <f>IF([1]!BANCO10[[#This Row],[SOLUÇÃO]]=BV$1,[1]!BANCO10[[#This Row],[STATUS DA ETAPA]],"")</f>
        <v/>
      </c>
      <c r="BW175" s="21" t="str">
        <f>IF([1]!BANCO10[[#This Row],[SOLUÇÃO]]=BW$1,[1]!BANCO10[[#This Row],[STATUS DA ETAPA]],"")</f>
        <v/>
      </c>
      <c r="BX175" s="21" t="str">
        <f>IF([1]!BANCO10[[#This Row],[SOLUÇÃO]]=BX$1,[1]!BANCO10[[#This Row],[STATUS DA ETAPA]],"")</f>
        <v/>
      </c>
      <c r="BY175" s="21" t="str">
        <f>IF([1]!BANCO10[[#This Row],[SOLUÇÃO]]=BY$1,[1]!BANCO10[[#This Row],[STATUS DA ETAPA]],"")</f>
        <v/>
      </c>
      <c r="BZ175" s="21" t="str">
        <f>IF([1]!BANCO10[[#This Row],[SOLUÇÃO]]=BZ$1,[1]!BANCO10[[#This Row],[STATUS DA ETAPA]],"")</f>
        <v/>
      </c>
      <c r="CA175" s="21" t="str">
        <f>IF([1]!BANCO10[[#This Row],[SOLUÇÃO]]=CA$1,[1]!BANCO10[[#This Row],[STATUS DA ETAPA]],"")</f>
        <v>CONCLUÍDO</v>
      </c>
      <c r="CB175" s="21" t="str">
        <f>IF([1]!BANCO10[[#This Row],[SOLUÇÃO]]=CB$1,[1]!BANCO10[[#This Row],[STATUS DA ETAPA]],"")</f>
        <v/>
      </c>
      <c r="CC175" s="21" t="str">
        <f>IF([1]!BANCO10[[#This Row],[SOLUÇÃO]]=CC$1,[1]!BANCO10[[#This Row],[STATUS DA ETAPA]],"")</f>
        <v/>
      </c>
      <c r="CD175" s="21" t="str">
        <f>IF([1]!BANCO10[[#This Row],[SOLUÇÃO]]=CD$1,[1]!BANCO10[[#This Row],[STATUS DA ETAPA]],"")</f>
        <v/>
      </c>
      <c r="CE175" s="21" t="str">
        <f>IF([1]!BANCO10[[#This Row],[SOLUÇÃO]]=CE$1,[1]!BANCO10[[#This Row],[STATUS DA ETAPA]],"")</f>
        <v/>
      </c>
      <c r="CF175" s="21" t="str">
        <f>IF([1]!BANCO10[[#This Row],[SOLUÇÃO]]=CF$1,[1]!BANCO10[[#This Row],[STATUS DA ETAPA]],"")</f>
        <v/>
      </c>
      <c r="CG175" s="21" t="str">
        <f>IF([1]!BANCO10[[#This Row],[SOLUÇÃO]]=CG$1,[1]!BANCO10[[#This Row],[STATUS DA ETAPA]],"")</f>
        <v/>
      </c>
      <c r="CH175" s="21" t="str">
        <f>IF([1]!BANCO10[[#This Row],[SOLUÇÃO]]=CH$1,[1]!BANCO10[[#This Row],[STATUS DA ETAPA]],"")</f>
        <v/>
      </c>
      <c r="CI175" s="21" t="str">
        <f>IF([1]!BANCO10[[#This Row],[SOLUÇÃO]]=CI$1,[1]!BANCO10[[#This Row],[STATUS DA ETAPA]],"")</f>
        <v/>
      </c>
      <c r="CJ175" s="21" t="str">
        <f>IF([1]!BANCO10[[#This Row],[SOLUÇÃO]]=CJ$1,[1]!BANCO10[[#This Row],[STATUS DA ETAPA]],"")</f>
        <v/>
      </c>
      <c r="CK175" s="21" t="str">
        <f>IF([1]!BANCO10[[#This Row],[SOLUÇÃO]]=CK$1,[1]!BANCO10[[#This Row],[STATUS DA ETAPA]],"")</f>
        <v/>
      </c>
      <c r="CL175" s="21" t="str">
        <f>IF([1]!BANCO10[[#This Row],[SOLUÇÃO]]=CL$1,[1]!BANCO10[[#This Row],[STATUS DA ETAPA]],"")</f>
        <v/>
      </c>
      <c r="CM175" s="21" t="str">
        <f>IF([1]!BANCO10[[#This Row],[SOLUÇÃO]]=CM$1,[1]!BANCO10[[#This Row],[STATUS DA ETAPA]],"")</f>
        <v/>
      </c>
      <c r="CN175" s="21" t="str">
        <f>IF([1]!BANCO10[[#This Row],[SOLUÇÃO]]=CN$1,[1]!BANCO10[[#This Row],[STATUS DA ETAPA]],"")</f>
        <v/>
      </c>
      <c r="CO175" s="21" t="str">
        <f>IF([1]!BANCO10[[#This Row],[SOLUÇÃO]]=CO$1,[1]!BANCO10[[#This Row],[STATUS DA ETAPA]],"")</f>
        <v/>
      </c>
      <c r="CP175" s="21" t="str">
        <f>IF([1]!BANCO10[[#This Row],[SOLUÇÃO]]=CP$1,[1]!BANCO10[[#This Row],[STATUS DA ETAPA]],"")</f>
        <v/>
      </c>
      <c r="CQ175" s="21" t="str">
        <f>IF([1]!BANCO10[[#This Row],[SOLUÇÃO]]=CQ$1,[1]!BANCO10[[#This Row],[STATUS DA ETAPA]],"")</f>
        <v/>
      </c>
      <c r="CR175" s="21" t="str">
        <f>IF([1]!BANCO10[[#This Row],[SOLUÇÃO]]=CR$1,[1]!BANCO10[[#This Row],[STATUS DA ETAPA]],"")</f>
        <v/>
      </c>
      <c r="CS175" s="21" t="str">
        <f>IF([1]!BANCO10[[#This Row],[SOLUÇÃO]]=CS$1,[1]!BANCO10[[#This Row],[STATUS DA ETAPA]],"")</f>
        <v/>
      </c>
      <c r="CT175" s="21" t="str">
        <f>IF([1]!BANCO10[[#This Row],[SOLUÇÃO]]=CT$1,[1]!BANCO10[[#This Row],[STATUS DA ETAPA]],"")</f>
        <v/>
      </c>
      <c r="CU175" s="21" t="str">
        <f>IF([1]!BANCO10[[#This Row],[SOLUÇÃO]]=CU$1,[1]!BANCO10[[#This Row],[STATUS DA ETAPA]],"")</f>
        <v/>
      </c>
      <c r="CV175" s="21" t="str">
        <f>IF([1]!BANCO10[[#This Row],[SOLUÇÃO]]=CV$1,[1]!BANCO10[[#This Row],[STATUS DA ETAPA]],"")</f>
        <v/>
      </c>
    </row>
    <row r="176" spans="1:100">
      <c r="A176" s="44" t="s">
        <v>1</v>
      </c>
      <c r="B176" s="44"/>
      <c r="C176" s="44" t="s">
        <v>1</v>
      </c>
      <c r="D176" s="44"/>
      <c r="E176" s="44" t="s">
        <v>1</v>
      </c>
      <c r="F176" s="44"/>
      <c r="G176" s="44" t="s">
        <v>1</v>
      </c>
      <c r="H176" s="44"/>
      <c r="I176" s="45" t="s">
        <v>1</v>
      </c>
      <c r="J176" s="46"/>
      <c r="K176" s="45" t="s">
        <v>1</v>
      </c>
      <c r="L176" s="33"/>
      <c r="M176" s="45" t="s">
        <v>1</v>
      </c>
      <c r="N176" s="33"/>
      <c r="O176" s="44" t="s">
        <v>2</v>
      </c>
      <c r="P176" s="44">
        <v>44707</v>
      </c>
      <c r="Q176" s="44" t="s">
        <v>2</v>
      </c>
      <c r="R176" s="44">
        <v>44708</v>
      </c>
      <c r="S176" s="44" t="s">
        <v>2</v>
      </c>
      <c r="T176" s="44">
        <v>44709</v>
      </c>
      <c r="U176" s="44" t="s">
        <v>2</v>
      </c>
      <c r="V176" s="44">
        <v>44915</v>
      </c>
      <c r="W176" s="44" t="s">
        <v>2</v>
      </c>
      <c r="X176" s="44"/>
      <c r="Y176" s="44" t="s">
        <v>2</v>
      </c>
      <c r="Z176" s="44">
        <v>44928</v>
      </c>
      <c r="AA176" s="44" t="s">
        <v>2</v>
      </c>
      <c r="AB176" s="44"/>
      <c r="AC176" s="84">
        <v>44936</v>
      </c>
      <c r="AD176" s="83">
        <v>45075</v>
      </c>
      <c r="AE176" s="40" t="s">
        <v>2</v>
      </c>
      <c r="AF176" s="40" t="s">
        <v>2</v>
      </c>
      <c r="AG176" s="76" t="s">
        <v>5</v>
      </c>
      <c r="AH176" s="36" t="s">
        <v>0</v>
      </c>
      <c r="AI176" s="49">
        <v>0</v>
      </c>
      <c r="AJ176" s="36"/>
      <c r="AK176" s="10"/>
      <c r="AL176" s="36">
        <v>4746</v>
      </c>
      <c r="AM176" s="36" t="s">
        <v>1</v>
      </c>
      <c r="AN176" s="35" t="s">
        <v>1</v>
      </c>
      <c r="AO176" s="35" t="s">
        <v>1</v>
      </c>
      <c r="AP176" s="35" t="s">
        <v>2</v>
      </c>
      <c r="AQ176" s="35" t="s">
        <v>1</v>
      </c>
      <c r="AR176" s="34" t="s">
        <v>1</v>
      </c>
      <c r="AS176" s="33"/>
      <c r="AT176" s="32" t="s">
        <v>1</v>
      </c>
      <c r="AU176" s="31"/>
      <c r="AV176" s="32" t="s">
        <v>1</v>
      </c>
      <c r="AW176" s="31"/>
      <c r="AX176" s="30" t="s">
        <v>2</v>
      </c>
      <c r="AY176" s="55">
        <v>45077</v>
      </c>
      <c r="AZ176" s="30" t="s">
        <v>2</v>
      </c>
      <c r="BA176" s="55"/>
      <c r="BB176" s="74"/>
      <c r="BC176" s="25"/>
      <c r="BD176" s="24" t="s">
        <v>11</v>
      </c>
      <c r="BE176" s="24" t="s">
        <v>11</v>
      </c>
      <c r="BF176" s="24" t="s">
        <v>80</v>
      </c>
      <c r="BG176" s="24" t="s">
        <v>88</v>
      </c>
      <c r="BH176" s="130" t="s">
        <v>711</v>
      </c>
      <c r="BI176" s="24"/>
      <c r="BJ176" s="24" t="s">
        <v>11</v>
      </c>
      <c r="BK176" s="24" t="s">
        <v>11</v>
      </c>
      <c r="BL176" s="24">
        <v>45402</v>
      </c>
      <c r="BM176" s="24" t="s">
        <v>18</v>
      </c>
      <c r="BN176" s="24" t="s">
        <v>11</v>
      </c>
      <c r="BO176" s="24"/>
      <c r="BP176" s="24" t="s">
        <v>188</v>
      </c>
      <c r="BQ176" s="22">
        <f>YEAR([1]!BANCO10[[#This Row],[DATA INÍCIO]])</f>
        <v>2023</v>
      </c>
      <c r="BR176" s="22">
        <f>MONTH([1]!BANCO10[[#This Row],[DATA INÍCIO]])</f>
        <v>1</v>
      </c>
      <c r="BS176" s="129" t="e">
        <f>CONCATENATE(#REF!,#REF!)</f>
        <v>#REF!</v>
      </c>
      <c r="BT176" s="22"/>
      <c r="BU176" s="21" t="s">
        <v>710</v>
      </c>
      <c r="BV176" s="21" t="str">
        <f>IF([1]!BANCO10[[#This Row],[SOLUÇÃO]]=BV$1,[1]!BANCO10[[#This Row],[STATUS DA ETAPA]],"")</f>
        <v/>
      </c>
      <c r="BW176" s="21" t="str">
        <f>IF([1]!BANCO10[[#This Row],[SOLUÇÃO]]=BW$1,[1]!BANCO10[[#This Row],[STATUS DA ETAPA]],"")</f>
        <v/>
      </c>
      <c r="BX176" s="21" t="str">
        <f>IF([1]!BANCO10[[#This Row],[SOLUÇÃO]]=BX$1,[1]!BANCO10[[#This Row],[STATUS DA ETAPA]],"")</f>
        <v/>
      </c>
      <c r="BY176" s="21" t="str">
        <f>IF([1]!BANCO10[[#This Row],[SOLUÇÃO]]=BY$1,[1]!BANCO10[[#This Row],[STATUS DA ETAPA]],"")</f>
        <v/>
      </c>
      <c r="BZ176" s="21" t="str">
        <f>IF([1]!BANCO10[[#This Row],[SOLUÇÃO]]=BZ$1,[1]!BANCO10[[#This Row],[STATUS DA ETAPA]],"")</f>
        <v/>
      </c>
      <c r="CA176" s="21" t="str">
        <f>IF([1]!BANCO10[[#This Row],[SOLUÇÃO]]=CA$1,[1]!BANCO10[[#This Row],[STATUS DA ETAPA]],"")</f>
        <v/>
      </c>
      <c r="CB176" s="21" t="str">
        <f>IF([1]!BANCO10[[#This Row],[SOLUÇÃO]]=CB$1,[1]!BANCO10[[#This Row],[STATUS DA ETAPA]],"")</f>
        <v/>
      </c>
      <c r="CC176" s="21" t="str">
        <f>IF([1]!BANCO10[[#This Row],[SOLUÇÃO]]=CC$1,[1]!BANCO10[[#This Row],[STATUS DA ETAPA]],"")</f>
        <v>CONCLUÍDO</v>
      </c>
      <c r="CD176" s="21" t="str">
        <f>IF([1]!BANCO10[[#This Row],[SOLUÇÃO]]=CD$1,[1]!BANCO10[[#This Row],[STATUS DA ETAPA]],"")</f>
        <v/>
      </c>
      <c r="CE176" s="21" t="str">
        <f>IF([1]!BANCO10[[#This Row],[SOLUÇÃO]]=CE$1,[1]!BANCO10[[#This Row],[STATUS DA ETAPA]],"")</f>
        <v/>
      </c>
      <c r="CF176" s="21" t="str">
        <f>IF([1]!BANCO10[[#This Row],[SOLUÇÃO]]=CF$1,[1]!BANCO10[[#This Row],[STATUS DA ETAPA]],"")</f>
        <v/>
      </c>
      <c r="CG176" s="21" t="str">
        <f>IF([1]!BANCO10[[#This Row],[SOLUÇÃO]]=CG$1,[1]!BANCO10[[#This Row],[STATUS DA ETAPA]],"")</f>
        <v/>
      </c>
      <c r="CH176" s="21" t="str">
        <f>IF([1]!BANCO10[[#This Row],[SOLUÇÃO]]=CH$1,[1]!BANCO10[[#This Row],[STATUS DA ETAPA]],"")</f>
        <v/>
      </c>
      <c r="CI176" s="21" t="str">
        <f>IF([1]!BANCO10[[#This Row],[SOLUÇÃO]]=CI$1,[1]!BANCO10[[#This Row],[STATUS DA ETAPA]],"")</f>
        <v/>
      </c>
      <c r="CJ176" s="21" t="str">
        <f>IF([1]!BANCO10[[#This Row],[SOLUÇÃO]]=CJ$1,[1]!BANCO10[[#This Row],[STATUS DA ETAPA]],"")</f>
        <v/>
      </c>
      <c r="CK176" s="21" t="str">
        <f>IF([1]!BANCO10[[#This Row],[SOLUÇÃO]]=CK$1,[1]!BANCO10[[#This Row],[STATUS DA ETAPA]],"")</f>
        <v/>
      </c>
      <c r="CL176" s="21" t="str">
        <f>IF([1]!BANCO10[[#This Row],[SOLUÇÃO]]=CL$1,[1]!BANCO10[[#This Row],[STATUS DA ETAPA]],"")</f>
        <v/>
      </c>
      <c r="CM176" s="21" t="str">
        <f>IF([1]!BANCO10[[#This Row],[SOLUÇÃO]]=CM$1,[1]!BANCO10[[#This Row],[STATUS DA ETAPA]],"")</f>
        <v/>
      </c>
      <c r="CN176" s="21" t="str">
        <f>IF([1]!BANCO10[[#This Row],[SOLUÇÃO]]=CN$1,[1]!BANCO10[[#This Row],[STATUS DA ETAPA]],"")</f>
        <v/>
      </c>
      <c r="CO176" s="21" t="str">
        <f>IF([1]!BANCO10[[#This Row],[SOLUÇÃO]]=CO$1,[1]!BANCO10[[#This Row],[STATUS DA ETAPA]],"")</f>
        <v/>
      </c>
      <c r="CP176" s="21" t="str">
        <f>IF([1]!BANCO10[[#This Row],[SOLUÇÃO]]=CP$1,[1]!BANCO10[[#This Row],[STATUS DA ETAPA]],"")</f>
        <v/>
      </c>
      <c r="CQ176" s="21" t="str">
        <f>IF([1]!BANCO10[[#This Row],[SOLUÇÃO]]=CQ$1,[1]!BANCO10[[#This Row],[STATUS DA ETAPA]],"")</f>
        <v/>
      </c>
      <c r="CR176" s="21" t="str">
        <f>IF([1]!BANCO10[[#This Row],[SOLUÇÃO]]=CR$1,[1]!BANCO10[[#This Row],[STATUS DA ETAPA]],"")</f>
        <v/>
      </c>
      <c r="CS176" s="21" t="str">
        <f>IF([1]!BANCO10[[#This Row],[SOLUÇÃO]]=CS$1,[1]!BANCO10[[#This Row],[STATUS DA ETAPA]],"")</f>
        <v/>
      </c>
      <c r="CT176" s="21" t="str">
        <f>IF([1]!BANCO10[[#This Row],[SOLUÇÃO]]=CT$1,[1]!BANCO10[[#This Row],[STATUS DA ETAPA]],"")</f>
        <v/>
      </c>
      <c r="CU176" s="21" t="str">
        <f>IF([1]!BANCO10[[#This Row],[SOLUÇÃO]]=CU$1,[1]!BANCO10[[#This Row],[STATUS DA ETAPA]],"")</f>
        <v/>
      </c>
      <c r="CV176" s="21" t="str">
        <f>IF([1]!BANCO10[[#This Row],[SOLUÇÃO]]=CV$1,[1]!BANCO10[[#This Row],[STATUS DA ETAPA]],"")</f>
        <v/>
      </c>
    </row>
    <row r="177" spans="1:100">
      <c r="A177" s="44" t="s">
        <v>1</v>
      </c>
      <c r="B177" s="44"/>
      <c r="C177" s="44" t="s">
        <v>1</v>
      </c>
      <c r="D177" s="44"/>
      <c r="E177" s="44" t="s">
        <v>1</v>
      </c>
      <c r="F177" s="44"/>
      <c r="G177" s="44" t="s">
        <v>1</v>
      </c>
      <c r="H177" s="44"/>
      <c r="I177" s="45" t="s">
        <v>1</v>
      </c>
      <c r="J177" s="46"/>
      <c r="K177" s="45" t="s">
        <v>1</v>
      </c>
      <c r="L177" s="33"/>
      <c r="M177" s="45" t="s">
        <v>1</v>
      </c>
      <c r="N177" s="33"/>
      <c r="O177" s="44" t="s">
        <v>2</v>
      </c>
      <c r="P177" s="44">
        <v>44927</v>
      </c>
      <c r="Q177" s="44"/>
      <c r="R177" s="44"/>
      <c r="S177" s="44" t="s">
        <v>1</v>
      </c>
      <c r="T177" s="44"/>
      <c r="U177" s="44" t="s">
        <v>1</v>
      </c>
      <c r="V177" s="44"/>
      <c r="W177" s="44" t="s">
        <v>1</v>
      </c>
      <c r="X177" s="44"/>
      <c r="Y177" s="44" t="s">
        <v>1</v>
      </c>
      <c r="Z177" s="44"/>
      <c r="AA177" s="44" t="s">
        <v>1</v>
      </c>
      <c r="AB177" s="44"/>
      <c r="AC177" s="84">
        <v>45265</v>
      </c>
      <c r="AD177" s="83">
        <v>45334</v>
      </c>
      <c r="AE177" s="40" t="s">
        <v>2</v>
      </c>
      <c r="AF177" s="40" t="s">
        <v>2</v>
      </c>
      <c r="AG177" s="76" t="s">
        <v>5</v>
      </c>
      <c r="AH177" s="36" t="s">
        <v>2</v>
      </c>
      <c r="AI177" s="49">
        <v>0</v>
      </c>
      <c r="AJ177" s="36" t="s">
        <v>1</v>
      </c>
      <c r="AK177" s="10" t="s">
        <v>1</v>
      </c>
      <c r="AL177" s="36" t="s">
        <v>1</v>
      </c>
      <c r="AM177" s="36" t="s">
        <v>1</v>
      </c>
      <c r="AN177" s="35" t="s">
        <v>1</v>
      </c>
      <c r="AO177" s="35" t="s">
        <v>1</v>
      </c>
      <c r="AP177" s="35" t="s">
        <v>2</v>
      </c>
      <c r="AQ177" s="35" t="s">
        <v>1</v>
      </c>
      <c r="AR177" s="34" t="s">
        <v>1</v>
      </c>
      <c r="AS177" s="33"/>
      <c r="AT177" s="32" t="s">
        <v>1</v>
      </c>
      <c r="AU177" s="31"/>
      <c r="AV177" s="32" t="s">
        <v>1</v>
      </c>
      <c r="AW177" s="31"/>
      <c r="AX177" s="30" t="s">
        <v>2</v>
      </c>
      <c r="AY177" s="55">
        <v>45334</v>
      </c>
      <c r="AZ177" s="30" t="s">
        <v>2</v>
      </c>
      <c r="BA177" s="55">
        <v>45622</v>
      </c>
      <c r="BB177" s="74" t="s">
        <v>438</v>
      </c>
      <c r="BC177" s="25"/>
      <c r="BD177" s="24" t="s">
        <v>11</v>
      </c>
      <c r="BE177" s="24" t="s">
        <v>11</v>
      </c>
      <c r="BF177" s="24" t="s">
        <v>11</v>
      </c>
      <c r="BG177" s="24" t="s">
        <v>11</v>
      </c>
      <c r="BH177" s="130" t="s">
        <v>11</v>
      </c>
      <c r="BI177" s="24"/>
      <c r="BJ177" s="24" t="s">
        <v>11</v>
      </c>
      <c r="BK177" s="24" t="s">
        <v>11</v>
      </c>
      <c r="BL177" s="24" t="s">
        <v>11</v>
      </c>
      <c r="BM177" s="24" t="s">
        <v>11</v>
      </c>
      <c r="BN177" s="24" t="s">
        <v>11</v>
      </c>
      <c r="BO177" s="24" t="s">
        <v>11</v>
      </c>
      <c r="BP177" s="24" t="s">
        <v>11</v>
      </c>
      <c r="BQ177" s="22">
        <f>YEAR([1]!BANCO10[[#This Row],[DATA INÍCIO]])</f>
        <v>2023</v>
      </c>
      <c r="BR177" s="22">
        <f>MONTH([1]!BANCO10[[#This Row],[DATA INÍCIO]])</f>
        <v>12</v>
      </c>
      <c r="BS177" s="129" t="e">
        <f>CONCATENATE(#REF!,#REF!)</f>
        <v>#REF!</v>
      </c>
      <c r="BT177" s="22"/>
      <c r="BU177" s="21" t="s">
        <v>709</v>
      </c>
      <c r="BV177" s="21" t="str">
        <f>IF([1]!BANCO10[[#This Row],[SOLUÇÃO]]=BV$1,[1]!BANCO10[[#This Row],[STATUS DA ETAPA]],"")</f>
        <v/>
      </c>
      <c r="BW177" s="21" t="str">
        <f>IF([1]!BANCO10[[#This Row],[SOLUÇÃO]]=BW$1,[1]!BANCO10[[#This Row],[STATUS DA ETAPA]],"")</f>
        <v/>
      </c>
      <c r="BX177" s="21" t="str">
        <f>IF([1]!BANCO10[[#This Row],[SOLUÇÃO]]=BX$1,[1]!BANCO10[[#This Row],[STATUS DA ETAPA]],"")</f>
        <v/>
      </c>
      <c r="BY177" s="21" t="str">
        <f>IF([1]!BANCO10[[#This Row],[SOLUÇÃO]]=BY$1,[1]!BANCO10[[#This Row],[STATUS DA ETAPA]],"")</f>
        <v/>
      </c>
      <c r="BZ177" s="21" t="str">
        <f>IF([1]!BANCO10[[#This Row],[SOLUÇÃO]]=BZ$1,[1]!BANCO10[[#This Row],[STATUS DA ETAPA]],"")</f>
        <v/>
      </c>
      <c r="CA177" s="21" t="str">
        <f>IF([1]!BANCO10[[#This Row],[SOLUÇÃO]]=CA$1,[1]!BANCO10[[#This Row],[STATUS DA ETAPA]],"")</f>
        <v>CONCLUÍDO</v>
      </c>
      <c r="CB177" s="21" t="str">
        <f>IF([1]!BANCO10[[#This Row],[SOLUÇÃO]]=CB$1,[1]!BANCO10[[#This Row],[STATUS DA ETAPA]],"")</f>
        <v/>
      </c>
      <c r="CC177" s="21" t="str">
        <f>IF([1]!BANCO10[[#This Row],[SOLUÇÃO]]=CC$1,[1]!BANCO10[[#This Row],[STATUS DA ETAPA]],"")</f>
        <v/>
      </c>
      <c r="CD177" s="21" t="str">
        <f>IF([1]!BANCO10[[#This Row],[SOLUÇÃO]]=CD$1,[1]!BANCO10[[#This Row],[STATUS DA ETAPA]],"")</f>
        <v/>
      </c>
      <c r="CE177" s="21" t="str">
        <f>IF([1]!BANCO10[[#This Row],[SOLUÇÃO]]=CE$1,[1]!BANCO10[[#This Row],[STATUS DA ETAPA]],"")</f>
        <v/>
      </c>
      <c r="CF177" s="21" t="str">
        <f>IF([1]!BANCO10[[#This Row],[SOLUÇÃO]]=CF$1,[1]!BANCO10[[#This Row],[STATUS DA ETAPA]],"")</f>
        <v/>
      </c>
      <c r="CG177" s="21" t="str">
        <f>IF([1]!BANCO10[[#This Row],[SOLUÇÃO]]=CG$1,[1]!BANCO10[[#This Row],[STATUS DA ETAPA]],"")</f>
        <v/>
      </c>
      <c r="CH177" s="21" t="str">
        <f>IF([1]!BANCO10[[#This Row],[SOLUÇÃO]]=CH$1,[1]!BANCO10[[#This Row],[STATUS DA ETAPA]],"")</f>
        <v/>
      </c>
      <c r="CI177" s="21" t="str">
        <f>IF([1]!BANCO10[[#This Row],[SOLUÇÃO]]=CI$1,[1]!BANCO10[[#This Row],[STATUS DA ETAPA]],"")</f>
        <v/>
      </c>
      <c r="CJ177" s="21" t="str">
        <f>IF([1]!BANCO10[[#This Row],[SOLUÇÃO]]=CJ$1,[1]!BANCO10[[#This Row],[STATUS DA ETAPA]],"")</f>
        <v/>
      </c>
      <c r="CK177" s="21" t="str">
        <f>IF([1]!BANCO10[[#This Row],[SOLUÇÃO]]=CK$1,[1]!BANCO10[[#This Row],[STATUS DA ETAPA]],"")</f>
        <v/>
      </c>
      <c r="CL177" s="21" t="str">
        <f>IF([1]!BANCO10[[#This Row],[SOLUÇÃO]]=CL$1,[1]!BANCO10[[#This Row],[STATUS DA ETAPA]],"")</f>
        <v/>
      </c>
      <c r="CM177" s="21" t="str">
        <f>IF([1]!BANCO10[[#This Row],[SOLUÇÃO]]=CM$1,[1]!BANCO10[[#This Row],[STATUS DA ETAPA]],"")</f>
        <v/>
      </c>
      <c r="CN177" s="21" t="str">
        <f>IF([1]!BANCO10[[#This Row],[SOLUÇÃO]]=CN$1,[1]!BANCO10[[#This Row],[STATUS DA ETAPA]],"")</f>
        <v/>
      </c>
      <c r="CO177" s="21" t="str">
        <f>IF([1]!BANCO10[[#This Row],[SOLUÇÃO]]=CO$1,[1]!BANCO10[[#This Row],[STATUS DA ETAPA]],"")</f>
        <v/>
      </c>
      <c r="CP177" s="21" t="str">
        <f>IF([1]!BANCO10[[#This Row],[SOLUÇÃO]]=CP$1,[1]!BANCO10[[#This Row],[STATUS DA ETAPA]],"")</f>
        <v/>
      </c>
      <c r="CQ177" s="21" t="str">
        <f>IF([1]!BANCO10[[#This Row],[SOLUÇÃO]]=CQ$1,[1]!BANCO10[[#This Row],[STATUS DA ETAPA]],"")</f>
        <v/>
      </c>
      <c r="CR177" s="21" t="str">
        <f>IF([1]!BANCO10[[#This Row],[SOLUÇÃO]]=CR$1,[1]!BANCO10[[#This Row],[STATUS DA ETAPA]],"")</f>
        <v/>
      </c>
      <c r="CS177" s="21" t="str">
        <f>IF([1]!BANCO10[[#This Row],[SOLUÇÃO]]=CS$1,[1]!BANCO10[[#This Row],[STATUS DA ETAPA]],"")</f>
        <v/>
      </c>
      <c r="CT177" s="21" t="str">
        <f>IF([1]!BANCO10[[#This Row],[SOLUÇÃO]]=CT$1,[1]!BANCO10[[#This Row],[STATUS DA ETAPA]],"")</f>
        <v/>
      </c>
      <c r="CU177" s="21" t="str">
        <f>IF([1]!BANCO10[[#This Row],[SOLUÇÃO]]=CU$1,[1]!BANCO10[[#This Row],[STATUS DA ETAPA]],"")</f>
        <v/>
      </c>
      <c r="CV177" s="21" t="str">
        <f>IF([1]!BANCO10[[#This Row],[SOLUÇÃO]]=CV$1,[1]!BANCO10[[#This Row],[STATUS DA ETAPA]],"")</f>
        <v/>
      </c>
    </row>
    <row r="178" spans="1:100">
      <c r="A178" s="44" t="s">
        <v>1</v>
      </c>
      <c r="B178" s="44"/>
      <c r="C178" s="44" t="s">
        <v>1</v>
      </c>
      <c r="D178" s="44"/>
      <c r="E178" s="44" t="s">
        <v>1</v>
      </c>
      <c r="F178" s="44"/>
      <c r="G178" s="44" t="s">
        <v>1</v>
      </c>
      <c r="H178" s="44"/>
      <c r="I178" s="45" t="s">
        <v>1</v>
      </c>
      <c r="J178" s="46"/>
      <c r="K178" s="45" t="s">
        <v>1</v>
      </c>
      <c r="L178" s="33"/>
      <c r="M178" s="45" t="s">
        <v>1</v>
      </c>
      <c r="N178" s="33"/>
      <c r="O178" s="44" t="s">
        <v>2</v>
      </c>
      <c r="P178" s="44">
        <v>45310</v>
      </c>
      <c r="Q178" s="44"/>
      <c r="R178" s="44"/>
      <c r="S178" s="44" t="s">
        <v>2</v>
      </c>
      <c r="T178" s="44">
        <v>45378</v>
      </c>
      <c r="U178" s="44" t="s">
        <v>2</v>
      </c>
      <c r="V178" s="44">
        <v>45379</v>
      </c>
      <c r="W178" s="44" t="s">
        <v>2</v>
      </c>
      <c r="X178" s="44"/>
      <c r="Y178" s="44" t="s">
        <v>1</v>
      </c>
      <c r="Z178" s="44"/>
      <c r="AA178" s="44" t="s">
        <v>2</v>
      </c>
      <c r="AB178" s="44"/>
      <c r="AC178" s="51">
        <v>45448</v>
      </c>
      <c r="AD178" s="50">
        <v>45614</v>
      </c>
      <c r="AE178" s="76" t="s">
        <v>2</v>
      </c>
      <c r="AF178" s="40" t="s">
        <v>2</v>
      </c>
      <c r="AG178" s="76" t="s">
        <v>5</v>
      </c>
      <c r="AH178" s="36" t="s">
        <v>0</v>
      </c>
      <c r="AI178" s="49">
        <v>0</v>
      </c>
      <c r="AJ178" s="36" t="s">
        <v>6</v>
      </c>
      <c r="AK178" s="10">
        <v>2406</v>
      </c>
      <c r="AL178" s="36" t="s">
        <v>152</v>
      </c>
      <c r="AM178" s="36"/>
      <c r="AN178" s="35" t="s">
        <v>1</v>
      </c>
      <c r="AO178" s="35" t="s">
        <v>1</v>
      </c>
      <c r="AP178" s="35" t="s">
        <v>2</v>
      </c>
      <c r="AQ178" s="35" t="s">
        <v>1</v>
      </c>
      <c r="AR178" s="34" t="s">
        <v>1</v>
      </c>
      <c r="AS178" s="33"/>
      <c r="AT178" s="32" t="s">
        <v>1</v>
      </c>
      <c r="AU178" s="31"/>
      <c r="AV178" s="32" t="s">
        <v>1</v>
      </c>
      <c r="AW178" s="31"/>
      <c r="AX178" s="30" t="s">
        <v>2</v>
      </c>
      <c r="AY178" s="55">
        <v>45614</v>
      </c>
      <c r="AZ178" s="28" t="s">
        <v>2</v>
      </c>
      <c r="BA178" s="55">
        <v>45622</v>
      </c>
      <c r="BB178" s="74"/>
      <c r="BC178" s="25"/>
      <c r="BD178" s="24"/>
      <c r="BE178" s="24"/>
      <c r="BF178" s="24"/>
      <c r="BG178" s="24"/>
      <c r="BH178" s="130"/>
      <c r="BI178" s="24"/>
      <c r="BJ178" s="24"/>
      <c r="BK178" s="24"/>
      <c r="BL178" s="24">
        <v>45391</v>
      </c>
      <c r="BM178" s="24" t="s">
        <v>11</v>
      </c>
      <c r="BN178" s="24" t="s">
        <v>11</v>
      </c>
      <c r="BO178" s="24"/>
      <c r="BP178" s="24" t="s">
        <v>214</v>
      </c>
      <c r="BQ178" s="22">
        <f>YEAR([1]!BANCO10[[#This Row],[DATA INÍCIO]])</f>
        <v>2024</v>
      </c>
      <c r="BR178" s="22">
        <f>MONTH([1]!BANCO10[[#This Row],[DATA INÍCIO]])</f>
        <v>6</v>
      </c>
      <c r="BS178" s="129" t="e">
        <f>CONCATENATE(#REF!,#REF!)</f>
        <v>#REF!</v>
      </c>
      <c r="BT178" s="22"/>
      <c r="BU178" s="21" t="s">
        <v>708</v>
      </c>
      <c r="BV178" s="21" t="str">
        <f>IF([1]!BANCO10[[#This Row],[SOLUÇÃO]]=BV$1,[1]!BANCO10[[#This Row],[STATUS DA ETAPA]],"")</f>
        <v/>
      </c>
      <c r="BW178" s="21" t="str">
        <f>IF([1]!BANCO10[[#This Row],[SOLUÇÃO]]=BW$1,[1]!BANCO10[[#This Row],[STATUS DA ETAPA]],"")</f>
        <v/>
      </c>
      <c r="BX178" s="21" t="str">
        <f>IF([1]!BANCO10[[#This Row],[SOLUÇÃO]]=BX$1,[1]!BANCO10[[#This Row],[STATUS DA ETAPA]],"")</f>
        <v/>
      </c>
      <c r="BY178" s="21" t="str">
        <f>IF([1]!BANCO10[[#This Row],[SOLUÇÃO]]=BY$1,[1]!BANCO10[[#This Row],[STATUS DA ETAPA]],"")</f>
        <v/>
      </c>
      <c r="BZ178" s="21" t="str">
        <f>IF([1]!BANCO10[[#This Row],[SOLUÇÃO]]=BZ$1,[1]!BANCO10[[#This Row],[STATUS DA ETAPA]],"")</f>
        <v/>
      </c>
      <c r="CA178" s="21" t="str">
        <f>IF([1]!BANCO10[[#This Row],[SOLUÇÃO]]=CA$1,[1]!BANCO10[[#This Row],[STATUS DA ETAPA]],"")</f>
        <v/>
      </c>
      <c r="CB178" s="21" t="str">
        <f>IF([1]!BANCO10[[#This Row],[SOLUÇÃO]]=CB$1,[1]!BANCO10[[#This Row],[STATUS DA ETAPA]],"")</f>
        <v/>
      </c>
      <c r="CC178" s="21" t="str">
        <f>IF([1]!BANCO10[[#This Row],[SOLUÇÃO]]=CC$1,[1]!BANCO10[[#This Row],[STATUS DA ETAPA]],"")</f>
        <v/>
      </c>
      <c r="CD178" s="21" t="str">
        <f>IF([1]!BANCO10[[#This Row],[SOLUÇÃO]]=CD$1,[1]!BANCO10[[#This Row],[STATUS DA ETAPA]],"")</f>
        <v/>
      </c>
      <c r="CE178" s="21" t="str">
        <f>IF([1]!BANCO10[[#This Row],[SOLUÇÃO]]=CE$1,[1]!BANCO10[[#This Row],[STATUS DA ETAPA]],"")</f>
        <v/>
      </c>
      <c r="CF178" s="21" t="str">
        <f>IF([1]!BANCO10[[#This Row],[SOLUÇÃO]]=CF$1,[1]!BANCO10[[#This Row],[STATUS DA ETAPA]],"")</f>
        <v/>
      </c>
      <c r="CG178" s="21" t="str">
        <f>IF([1]!BANCO10[[#This Row],[SOLUÇÃO]]=CG$1,[1]!BANCO10[[#This Row],[STATUS DA ETAPA]],"")</f>
        <v/>
      </c>
      <c r="CH178" s="21" t="str">
        <f>IF([1]!BANCO10[[#This Row],[SOLUÇÃO]]=CH$1,[1]!BANCO10[[#This Row],[STATUS DA ETAPA]],"")</f>
        <v/>
      </c>
      <c r="CI178" s="21" t="str">
        <f>IF([1]!BANCO10[[#This Row],[SOLUÇÃO]]=CI$1,[1]!BANCO10[[#This Row],[STATUS DA ETAPA]],"")</f>
        <v/>
      </c>
      <c r="CJ178" s="21" t="str">
        <f>IF([1]!BANCO10[[#This Row],[SOLUÇÃO]]=CJ$1,[1]!BANCO10[[#This Row],[STATUS DA ETAPA]],"")</f>
        <v/>
      </c>
      <c r="CK178" s="21" t="str">
        <f>IF([1]!BANCO10[[#This Row],[SOLUÇÃO]]=CK$1,[1]!BANCO10[[#This Row],[STATUS DA ETAPA]],"")</f>
        <v/>
      </c>
      <c r="CL178" s="21" t="str">
        <f>IF([1]!BANCO10[[#This Row],[SOLUÇÃO]]=CL$1,[1]!BANCO10[[#This Row],[STATUS DA ETAPA]],"")</f>
        <v>CONCLUÍDO</v>
      </c>
      <c r="CM178" s="21" t="str">
        <f>IF([1]!BANCO10[[#This Row],[SOLUÇÃO]]=CM$1,[1]!BANCO10[[#This Row],[STATUS DA ETAPA]],"")</f>
        <v/>
      </c>
      <c r="CN178" s="21" t="str">
        <f>IF([1]!BANCO10[[#This Row],[SOLUÇÃO]]=CN$1,[1]!BANCO10[[#This Row],[STATUS DA ETAPA]],"")</f>
        <v/>
      </c>
      <c r="CO178" s="21" t="str">
        <f>IF([1]!BANCO10[[#This Row],[SOLUÇÃO]]=CO$1,[1]!BANCO10[[#This Row],[STATUS DA ETAPA]],"")</f>
        <v/>
      </c>
      <c r="CP178" s="21" t="str">
        <f>IF([1]!BANCO10[[#This Row],[SOLUÇÃO]]=CP$1,[1]!BANCO10[[#This Row],[STATUS DA ETAPA]],"")</f>
        <v/>
      </c>
      <c r="CQ178" s="21" t="str">
        <f>IF([1]!BANCO10[[#This Row],[SOLUÇÃO]]=CQ$1,[1]!BANCO10[[#This Row],[STATUS DA ETAPA]],"")</f>
        <v/>
      </c>
      <c r="CR178" s="21" t="str">
        <f>IF([1]!BANCO10[[#This Row],[SOLUÇÃO]]=CR$1,[1]!BANCO10[[#This Row],[STATUS DA ETAPA]],"")</f>
        <v/>
      </c>
      <c r="CS178" s="21" t="str">
        <f>IF([1]!BANCO10[[#This Row],[SOLUÇÃO]]=CS$1,[1]!BANCO10[[#This Row],[STATUS DA ETAPA]],"")</f>
        <v/>
      </c>
      <c r="CT178" s="21" t="str">
        <f>IF([1]!BANCO10[[#This Row],[SOLUÇÃO]]=CT$1,[1]!BANCO10[[#This Row],[STATUS DA ETAPA]],"")</f>
        <v/>
      </c>
      <c r="CU178" s="21" t="str">
        <f>IF([1]!BANCO10[[#This Row],[SOLUÇÃO]]=CU$1,[1]!BANCO10[[#This Row],[STATUS DA ETAPA]],"")</f>
        <v/>
      </c>
      <c r="CV178" s="21" t="str">
        <f>IF([1]!BANCO10[[#This Row],[SOLUÇÃO]]=CV$1,[1]!BANCO10[[#This Row],[STATUS DA ETAPA]],"")</f>
        <v/>
      </c>
    </row>
    <row r="179" spans="1:100">
      <c r="A179" s="44" t="s">
        <v>2</v>
      </c>
      <c r="B179" s="44">
        <v>45708</v>
      </c>
      <c r="C179" s="44" t="s">
        <v>2</v>
      </c>
      <c r="D179" s="44">
        <v>45708</v>
      </c>
      <c r="E179" s="44" t="s">
        <v>2</v>
      </c>
      <c r="F179" s="44">
        <v>45709</v>
      </c>
      <c r="G179" s="44" t="s">
        <v>2</v>
      </c>
      <c r="H179" s="44">
        <v>45709</v>
      </c>
      <c r="I179" s="45" t="s">
        <v>2</v>
      </c>
      <c r="J179" s="46">
        <v>45709</v>
      </c>
      <c r="K179" s="45" t="s">
        <v>2</v>
      </c>
      <c r="L179" s="33">
        <v>45709</v>
      </c>
      <c r="M179" s="45" t="s">
        <v>2</v>
      </c>
      <c r="N179" s="33">
        <v>45709</v>
      </c>
      <c r="O179" s="44" t="s">
        <v>1</v>
      </c>
      <c r="P179" s="44"/>
      <c r="Q179" s="44" t="s">
        <v>2</v>
      </c>
      <c r="R179" s="44"/>
      <c r="S179" s="44" t="s">
        <v>2</v>
      </c>
      <c r="T179" s="44">
        <v>45708</v>
      </c>
      <c r="U179" s="44" t="s">
        <v>1</v>
      </c>
      <c r="V179" s="44"/>
      <c r="W179" s="44" t="s">
        <v>1</v>
      </c>
      <c r="X179" s="44"/>
      <c r="Y179" s="44" t="s">
        <v>1</v>
      </c>
      <c r="Z179" s="44"/>
      <c r="AA179" s="44" t="s">
        <v>1</v>
      </c>
      <c r="AB179" s="44"/>
      <c r="AC179" s="51">
        <v>45785</v>
      </c>
      <c r="AD179" s="50">
        <v>45898</v>
      </c>
      <c r="AE179" s="41" t="s">
        <v>2</v>
      </c>
      <c r="AF179" s="41" t="s">
        <v>2</v>
      </c>
      <c r="AG179" s="40" t="s">
        <v>5</v>
      </c>
      <c r="AH179" s="36" t="s">
        <v>0</v>
      </c>
      <c r="AI179" s="49">
        <v>20140</v>
      </c>
      <c r="AJ179" s="36" t="s">
        <v>6</v>
      </c>
      <c r="AK179" s="10">
        <v>667399</v>
      </c>
      <c r="AL179" s="36" t="s">
        <v>1</v>
      </c>
      <c r="AM179" s="36" t="s">
        <v>1</v>
      </c>
      <c r="AN179" s="35" t="s">
        <v>2</v>
      </c>
      <c r="AO179" s="35" t="s">
        <v>2</v>
      </c>
      <c r="AP179" s="35" t="s">
        <v>2</v>
      </c>
      <c r="AQ179" s="35" t="s">
        <v>2</v>
      </c>
      <c r="AR179" s="34" t="s">
        <v>0</v>
      </c>
      <c r="AS179" s="33"/>
      <c r="AT179" s="30" t="s">
        <v>2</v>
      </c>
      <c r="AU179" s="31">
        <v>45908</v>
      </c>
      <c r="AV179" s="32" t="s">
        <v>1</v>
      </c>
      <c r="AW179" s="31"/>
      <c r="AX179" s="32" t="s">
        <v>0</v>
      </c>
      <c r="AY179" s="31"/>
      <c r="AZ179" s="32" t="s">
        <v>0</v>
      </c>
      <c r="BA179" s="31"/>
      <c r="BB179" s="109" t="s">
        <v>481</v>
      </c>
      <c r="BC179" s="25" t="s">
        <v>707</v>
      </c>
      <c r="BD179" s="24"/>
      <c r="BE179" s="24"/>
      <c r="BF179" s="24"/>
      <c r="BG179" s="24"/>
      <c r="BH179" s="24"/>
      <c r="BI179" s="24"/>
      <c r="BJ179" s="24"/>
      <c r="BK179" s="24"/>
      <c r="BL179" s="24"/>
      <c r="BM179" s="24"/>
      <c r="BN179" s="24"/>
      <c r="BO179" s="24"/>
      <c r="BP179" s="24"/>
      <c r="BQ179" s="22">
        <f>YEAR([1]!BANCO10[[#This Row],[DATA INÍCIO]])</f>
        <v>2025</v>
      </c>
      <c r="BR179" s="22">
        <f>MONTH([1]!BANCO10[[#This Row],[DATA INÍCIO]])</f>
        <v>5</v>
      </c>
      <c r="BS179" s="23" t="e">
        <f>CONCATENATE(#REF!,#REF!)</f>
        <v>#REF!</v>
      </c>
      <c r="BT179" s="22"/>
      <c r="BU179" s="22"/>
      <c r="BV179" s="21" t="str">
        <f>IF([1]!BANCO10[[#This Row],[SOLUÇÃO]]=BV$1,[1]!BANCO10[[#This Row],[STATUS DA ETAPA]],"")</f>
        <v/>
      </c>
      <c r="BW179" s="21" t="str">
        <f>IF([1]!BANCO10[[#This Row],[SOLUÇÃO]]=BW$1,[1]!BANCO10[[#This Row],[STATUS DA ETAPA]],"")</f>
        <v/>
      </c>
      <c r="BX179" s="21" t="str">
        <f>IF([1]!BANCO10[[#This Row],[SOLUÇÃO]]=BX$1,[1]!BANCO10[[#This Row],[STATUS DA ETAPA]],"")</f>
        <v/>
      </c>
      <c r="BY179" s="21" t="str">
        <f>IF([1]!BANCO10[[#This Row],[SOLUÇÃO]]=BY$1,[1]!BANCO10[[#This Row],[STATUS DA ETAPA]],"")</f>
        <v/>
      </c>
      <c r="BZ179" s="21" t="str">
        <f>IF([1]!BANCO10[[#This Row],[SOLUÇÃO]]=BZ$1,[1]!BANCO10[[#This Row],[STATUS DA ETAPA]],"")</f>
        <v/>
      </c>
      <c r="CA179" s="21" t="str">
        <f>IF([1]!BANCO10[[#This Row],[SOLUÇÃO]]=CA$1,[1]!BANCO10[[#This Row],[STATUS DA ETAPA]],"")</f>
        <v/>
      </c>
      <c r="CB179" s="21" t="str">
        <f>IF([1]!BANCO10[[#This Row],[SOLUÇÃO]]=CB$1,[1]!BANCO10[[#This Row],[STATUS DA ETAPA]],"")</f>
        <v>CONCLUÍDO</v>
      </c>
      <c r="CC179" s="21" t="str">
        <f>IF([1]!BANCO10[[#This Row],[SOLUÇÃO]]=CC$1,[1]!BANCO10[[#This Row],[STATUS DA ETAPA]],"")</f>
        <v/>
      </c>
      <c r="CD179" s="21" t="str">
        <f>IF([1]!BANCO10[[#This Row],[SOLUÇÃO]]=CD$1,[1]!BANCO10[[#This Row],[STATUS DA ETAPA]],"")</f>
        <v/>
      </c>
      <c r="CE179" s="21" t="str">
        <f>IF([1]!BANCO10[[#This Row],[SOLUÇÃO]]=CE$1,[1]!BANCO10[[#This Row],[STATUS DA ETAPA]],"")</f>
        <v/>
      </c>
      <c r="CF179" s="21" t="str">
        <f>IF([1]!BANCO10[[#This Row],[SOLUÇÃO]]=CF$1,[1]!BANCO10[[#This Row],[STATUS DA ETAPA]],"")</f>
        <v/>
      </c>
      <c r="CG179" s="21" t="str">
        <f>IF([1]!BANCO10[[#This Row],[SOLUÇÃO]]=CG$1,[1]!BANCO10[[#This Row],[STATUS DA ETAPA]],"")</f>
        <v/>
      </c>
      <c r="CH179" s="21" t="str">
        <f>IF([1]!BANCO10[[#This Row],[SOLUÇÃO]]=CH$1,[1]!BANCO10[[#This Row],[STATUS DA ETAPA]],"")</f>
        <v/>
      </c>
      <c r="CI179" s="21" t="str">
        <f>IF([1]!BANCO10[[#This Row],[SOLUÇÃO]]=CI$1,[1]!BANCO10[[#This Row],[STATUS DA ETAPA]],"")</f>
        <v/>
      </c>
      <c r="CJ179" s="21" t="str">
        <f>IF([1]!BANCO10[[#This Row],[SOLUÇÃO]]=CJ$1,[1]!BANCO10[[#This Row],[STATUS DA ETAPA]],"")</f>
        <v/>
      </c>
      <c r="CK179" s="21" t="str">
        <f>IF([1]!BANCO10[[#This Row],[SOLUÇÃO]]=CK$1,[1]!BANCO10[[#This Row],[STATUS DA ETAPA]],"")</f>
        <v/>
      </c>
      <c r="CL179" s="21" t="str">
        <f>IF([1]!BANCO10[[#This Row],[SOLUÇÃO]]=CL$1,[1]!BANCO10[[#This Row],[STATUS DA ETAPA]],"")</f>
        <v/>
      </c>
      <c r="CM179" s="21" t="str">
        <f>IF([1]!BANCO10[[#This Row],[SOLUÇÃO]]=CM$1,[1]!BANCO10[[#This Row],[STATUS DA ETAPA]],"")</f>
        <v/>
      </c>
      <c r="CN179" s="21" t="str">
        <f>IF([1]!BANCO10[[#This Row],[SOLUÇÃO]]=CN$1,[1]!BANCO10[[#This Row],[STATUS DA ETAPA]],"")</f>
        <v/>
      </c>
      <c r="CO179" s="21" t="str">
        <f>IF([1]!BANCO10[[#This Row],[SOLUÇÃO]]=CO$1,[1]!BANCO10[[#This Row],[STATUS DA ETAPA]],"")</f>
        <v/>
      </c>
      <c r="CP179" s="21" t="str">
        <f>IF([1]!BANCO10[[#This Row],[SOLUÇÃO]]=CP$1,[1]!BANCO10[[#This Row],[STATUS DA ETAPA]],"")</f>
        <v/>
      </c>
      <c r="CQ179" s="21" t="str">
        <f>IF([1]!BANCO10[[#This Row],[SOLUÇÃO]]=CQ$1,[1]!BANCO10[[#This Row],[STATUS DA ETAPA]],"")</f>
        <v/>
      </c>
      <c r="CR179" s="21" t="str">
        <f>IF([1]!BANCO10[[#This Row],[SOLUÇÃO]]=CR$1,[1]!BANCO10[[#This Row],[STATUS DA ETAPA]],"")</f>
        <v/>
      </c>
      <c r="CS179" s="21" t="str">
        <f>IF([1]!BANCO10[[#This Row],[SOLUÇÃO]]=CS$1,[1]!BANCO10[[#This Row],[STATUS DA ETAPA]],"")</f>
        <v/>
      </c>
      <c r="CT179" s="21" t="str">
        <f>IF([1]!BANCO10[[#This Row],[SOLUÇÃO]]=CT$1,[1]!BANCO10[[#This Row],[STATUS DA ETAPA]],"")</f>
        <v/>
      </c>
      <c r="CU179" s="21" t="str">
        <f>IF([1]!BANCO10[[#This Row],[SOLUÇÃO]]=CU$1,[1]!BANCO10[[#This Row],[STATUS DA ETAPA]],"")</f>
        <v/>
      </c>
      <c r="CV179" s="21" t="str">
        <f>IF([1]!BANCO10[[#This Row],[SOLUÇÃO]]=CV$1,[1]!BANCO10[[#This Row],[STATUS DA ETAPA]],"")</f>
        <v/>
      </c>
    </row>
    <row r="180" spans="1:100">
      <c r="A180" s="44" t="s">
        <v>1</v>
      </c>
      <c r="B180" s="44"/>
      <c r="C180" s="44" t="s">
        <v>1</v>
      </c>
      <c r="D180" s="44"/>
      <c r="E180" s="44" t="s">
        <v>1</v>
      </c>
      <c r="F180" s="44"/>
      <c r="G180" s="44" t="s">
        <v>1</v>
      </c>
      <c r="H180" s="44"/>
      <c r="I180" s="45" t="s">
        <v>1</v>
      </c>
      <c r="J180" s="46"/>
      <c r="K180" s="45" t="s">
        <v>1</v>
      </c>
      <c r="L180" s="33"/>
      <c r="M180" s="45" t="s">
        <v>1</v>
      </c>
      <c r="N180" s="33"/>
      <c r="O180" s="44" t="s">
        <v>2</v>
      </c>
      <c r="P180" s="44">
        <v>44985</v>
      </c>
      <c r="Q180" s="44" t="s">
        <v>0</v>
      </c>
      <c r="R180" s="44"/>
      <c r="S180" s="44" t="s">
        <v>1</v>
      </c>
      <c r="T180" s="44"/>
      <c r="U180" s="44" t="s">
        <v>1</v>
      </c>
      <c r="V180" s="44"/>
      <c r="W180" s="44" t="s">
        <v>1</v>
      </c>
      <c r="X180" s="44"/>
      <c r="Y180" s="44" t="s">
        <v>1</v>
      </c>
      <c r="Z180" s="44"/>
      <c r="AA180" s="44" t="s">
        <v>1</v>
      </c>
      <c r="AB180" s="44"/>
      <c r="AC180" s="84">
        <v>44980</v>
      </c>
      <c r="AD180" s="83">
        <v>44980</v>
      </c>
      <c r="AE180" s="40" t="s">
        <v>1</v>
      </c>
      <c r="AF180" s="40" t="s">
        <v>1</v>
      </c>
      <c r="AG180" s="76" t="s">
        <v>5</v>
      </c>
      <c r="AH180" s="36" t="s">
        <v>1</v>
      </c>
      <c r="AI180" s="49">
        <v>0</v>
      </c>
      <c r="AJ180" s="36" t="s">
        <v>1</v>
      </c>
      <c r="AK180" s="10" t="s">
        <v>1</v>
      </c>
      <c r="AL180" s="36" t="s">
        <v>1</v>
      </c>
      <c r="AM180" s="36" t="s">
        <v>1</v>
      </c>
      <c r="AN180" s="35" t="s">
        <v>1</v>
      </c>
      <c r="AO180" s="35" t="s">
        <v>1</v>
      </c>
      <c r="AP180" s="35" t="s">
        <v>1</v>
      </c>
      <c r="AQ180" s="35" t="s">
        <v>1</v>
      </c>
      <c r="AR180" s="48" t="s">
        <v>1</v>
      </c>
      <c r="AS180" s="33"/>
      <c r="AT180" s="32" t="s">
        <v>1</v>
      </c>
      <c r="AU180" s="31"/>
      <c r="AV180" s="32" t="s">
        <v>1</v>
      </c>
      <c r="AW180" s="31"/>
      <c r="AX180" s="30" t="s">
        <v>1</v>
      </c>
      <c r="AY180" s="55"/>
      <c r="AZ180" s="30" t="s">
        <v>1</v>
      </c>
      <c r="BA180" s="91"/>
      <c r="BB180" s="74" t="s">
        <v>705</v>
      </c>
      <c r="BC180" s="25"/>
      <c r="BD180" s="24" t="s">
        <v>19</v>
      </c>
      <c r="BE180" s="24" t="s">
        <v>19</v>
      </c>
      <c r="BF180" s="24" t="s">
        <v>51</v>
      </c>
      <c r="BG180" s="24" t="s">
        <v>11</v>
      </c>
      <c r="BH180" s="130" t="s">
        <v>19</v>
      </c>
      <c r="BI180" s="24"/>
      <c r="BJ180" s="24" t="s">
        <v>11</v>
      </c>
      <c r="BK180" s="24" t="s">
        <v>11</v>
      </c>
      <c r="BL180" s="24" t="s">
        <v>11</v>
      </c>
      <c r="BM180" s="24" t="s">
        <v>11</v>
      </c>
      <c r="BN180" s="24" t="s">
        <v>11</v>
      </c>
      <c r="BO180" s="24" t="s">
        <v>11</v>
      </c>
      <c r="BP180" s="24" t="s">
        <v>11</v>
      </c>
      <c r="BQ180" s="22">
        <f>YEAR([1]!BANCO10[[#This Row],[DATA INÍCIO]])</f>
        <v>2023</v>
      </c>
      <c r="BR180" s="22">
        <f>MONTH([1]!BANCO10[[#This Row],[DATA INÍCIO]])</f>
        <v>2</v>
      </c>
      <c r="BS180" s="129" t="e">
        <f>CONCATENATE(#REF!,#REF!)</f>
        <v>#REF!</v>
      </c>
      <c r="BT180" s="22"/>
      <c r="BU180" s="21" t="s">
        <v>706</v>
      </c>
      <c r="BV180" s="21" t="str">
        <f>IF([1]!BANCO10[[#This Row],[SOLUÇÃO]]=BV$1,[1]!BANCO10[[#This Row],[STATUS DA ETAPA]],"")</f>
        <v>CONCLUÍDO</v>
      </c>
      <c r="BW180" s="21" t="str">
        <f>IF([1]!BANCO10[[#This Row],[SOLUÇÃO]]=BW$1,[1]!BANCO10[[#This Row],[STATUS DA ETAPA]],"")</f>
        <v/>
      </c>
      <c r="BX180" s="21" t="str">
        <f>IF([1]!BANCO10[[#This Row],[SOLUÇÃO]]=BX$1,[1]!BANCO10[[#This Row],[STATUS DA ETAPA]],"")</f>
        <v/>
      </c>
      <c r="BY180" s="21" t="str">
        <f>IF([1]!BANCO10[[#This Row],[SOLUÇÃO]]=BY$1,[1]!BANCO10[[#This Row],[STATUS DA ETAPA]],"")</f>
        <v/>
      </c>
      <c r="BZ180" s="21" t="str">
        <f>IF([1]!BANCO10[[#This Row],[SOLUÇÃO]]=BZ$1,[1]!BANCO10[[#This Row],[STATUS DA ETAPA]],"")</f>
        <v/>
      </c>
      <c r="CA180" s="21" t="str">
        <f>IF([1]!BANCO10[[#This Row],[SOLUÇÃO]]=CA$1,[1]!BANCO10[[#This Row],[STATUS DA ETAPA]],"")</f>
        <v/>
      </c>
      <c r="CB180" s="21" t="str">
        <f>IF([1]!BANCO10[[#This Row],[SOLUÇÃO]]=CB$1,[1]!BANCO10[[#This Row],[STATUS DA ETAPA]],"")</f>
        <v/>
      </c>
      <c r="CC180" s="21" t="str">
        <f>IF([1]!BANCO10[[#This Row],[SOLUÇÃO]]=CC$1,[1]!BANCO10[[#This Row],[STATUS DA ETAPA]],"")</f>
        <v/>
      </c>
      <c r="CD180" s="21" t="str">
        <f>IF([1]!BANCO10[[#This Row],[SOLUÇÃO]]=CD$1,[1]!BANCO10[[#This Row],[STATUS DA ETAPA]],"")</f>
        <v/>
      </c>
      <c r="CE180" s="21" t="str">
        <f>IF([1]!BANCO10[[#This Row],[SOLUÇÃO]]=CE$1,[1]!BANCO10[[#This Row],[STATUS DA ETAPA]],"")</f>
        <v/>
      </c>
      <c r="CF180" s="21" t="str">
        <f>IF([1]!BANCO10[[#This Row],[SOLUÇÃO]]=CF$1,[1]!BANCO10[[#This Row],[STATUS DA ETAPA]],"")</f>
        <v/>
      </c>
      <c r="CG180" s="21" t="str">
        <f>IF([1]!BANCO10[[#This Row],[SOLUÇÃO]]=CG$1,[1]!BANCO10[[#This Row],[STATUS DA ETAPA]],"")</f>
        <v/>
      </c>
      <c r="CH180" s="21" t="str">
        <f>IF([1]!BANCO10[[#This Row],[SOLUÇÃO]]=CH$1,[1]!BANCO10[[#This Row],[STATUS DA ETAPA]],"")</f>
        <v/>
      </c>
      <c r="CI180" s="21" t="str">
        <f>IF([1]!BANCO10[[#This Row],[SOLUÇÃO]]=CI$1,[1]!BANCO10[[#This Row],[STATUS DA ETAPA]],"")</f>
        <v/>
      </c>
      <c r="CJ180" s="21" t="str">
        <f>IF([1]!BANCO10[[#This Row],[SOLUÇÃO]]=CJ$1,[1]!BANCO10[[#This Row],[STATUS DA ETAPA]],"")</f>
        <v/>
      </c>
      <c r="CK180" s="21" t="str">
        <f>IF([1]!BANCO10[[#This Row],[SOLUÇÃO]]=CK$1,[1]!BANCO10[[#This Row],[STATUS DA ETAPA]],"")</f>
        <v/>
      </c>
      <c r="CL180" s="21" t="str">
        <f>IF([1]!BANCO10[[#This Row],[SOLUÇÃO]]=CL$1,[1]!BANCO10[[#This Row],[STATUS DA ETAPA]],"")</f>
        <v/>
      </c>
      <c r="CM180" s="21" t="str">
        <f>IF([1]!BANCO10[[#This Row],[SOLUÇÃO]]=CM$1,[1]!BANCO10[[#This Row],[STATUS DA ETAPA]],"")</f>
        <v/>
      </c>
      <c r="CN180" s="21" t="str">
        <f>IF([1]!BANCO10[[#This Row],[SOLUÇÃO]]=CN$1,[1]!BANCO10[[#This Row],[STATUS DA ETAPA]],"")</f>
        <v/>
      </c>
      <c r="CO180" s="21" t="str">
        <f>IF([1]!BANCO10[[#This Row],[SOLUÇÃO]]=CO$1,[1]!BANCO10[[#This Row],[STATUS DA ETAPA]],"")</f>
        <v/>
      </c>
      <c r="CP180" s="21" t="str">
        <f>IF([1]!BANCO10[[#This Row],[SOLUÇÃO]]=CP$1,[1]!BANCO10[[#This Row],[STATUS DA ETAPA]],"")</f>
        <v/>
      </c>
      <c r="CQ180" s="21" t="str">
        <f>IF([1]!BANCO10[[#This Row],[SOLUÇÃO]]=CQ$1,[1]!BANCO10[[#This Row],[STATUS DA ETAPA]],"")</f>
        <v/>
      </c>
      <c r="CR180" s="21" t="str">
        <f>IF([1]!BANCO10[[#This Row],[SOLUÇÃO]]=CR$1,[1]!BANCO10[[#This Row],[STATUS DA ETAPA]],"")</f>
        <v/>
      </c>
      <c r="CS180" s="21" t="str">
        <f>IF([1]!BANCO10[[#This Row],[SOLUÇÃO]]=CS$1,[1]!BANCO10[[#This Row],[STATUS DA ETAPA]],"")</f>
        <v/>
      </c>
      <c r="CT180" s="21" t="str">
        <f>IF([1]!BANCO10[[#This Row],[SOLUÇÃO]]=CT$1,[1]!BANCO10[[#This Row],[STATUS DA ETAPA]],"")</f>
        <v/>
      </c>
      <c r="CU180" s="21" t="str">
        <f>IF([1]!BANCO10[[#This Row],[SOLUÇÃO]]=CU$1,[1]!BANCO10[[#This Row],[STATUS DA ETAPA]],"")</f>
        <v/>
      </c>
      <c r="CV180" s="21" t="str">
        <f>IF([1]!BANCO10[[#This Row],[SOLUÇÃO]]=CV$1,[1]!BANCO10[[#This Row],[STATUS DA ETAPA]],"")</f>
        <v/>
      </c>
    </row>
    <row r="181" spans="1:100">
      <c r="A181" s="44" t="s">
        <v>1</v>
      </c>
      <c r="B181" s="44"/>
      <c r="C181" s="44" t="s">
        <v>1</v>
      </c>
      <c r="D181" s="44"/>
      <c r="E181" s="44" t="s">
        <v>1</v>
      </c>
      <c r="F181" s="44"/>
      <c r="G181" s="44" t="s">
        <v>1</v>
      </c>
      <c r="H181" s="44"/>
      <c r="I181" s="45" t="s">
        <v>1</v>
      </c>
      <c r="J181" s="46"/>
      <c r="K181" s="45" t="s">
        <v>1</v>
      </c>
      <c r="L181" s="33"/>
      <c r="M181" s="45" t="s">
        <v>1</v>
      </c>
      <c r="N181" s="33"/>
      <c r="O181" s="44" t="s">
        <v>2</v>
      </c>
      <c r="P181" s="44">
        <v>44981</v>
      </c>
      <c r="Q181" s="44" t="s">
        <v>2</v>
      </c>
      <c r="R181" s="44">
        <v>45260</v>
      </c>
      <c r="S181" s="44" t="s">
        <v>2</v>
      </c>
      <c r="T181" s="44"/>
      <c r="U181" s="44" t="s">
        <v>2</v>
      </c>
      <c r="V181" s="44"/>
      <c r="W181" s="44"/>
      <c r="X181" s="44"/>
      <c r="Y181" s="44"/>
      <c r="Z181" s="44"/>
      <c r="AA181" s="44" t="s">
        <v>1</v>
      </c>
      <c r="AB181" s="44"/>
      <c r="AC181" s="51">
        <v>45963</v>
      </c>
      <c r="AD181" s="50">
        <v>45963</v>
      </c>
      <c r="AE181" s="41" t="s">
        <v>1</v>
      </c>
      <c r="AF181" s="41" t="s">
        <v>1</v>
      </c>
      <c r="AG181" s="76" t="s">
        <v>5</v>
      </c>
      <c r="AH181" s="36" t="s">
        <v>0</v>
      </c>
      <c r="AI181" s="49">
        <v>0</v>
      </c>
      <c r="AJ181" s="36"/>
      <c r="AK181" s="10" t="s">
        <v>30</v>
      </c>
      <c r="AL181" s="36" t="s">
        <v>30</v>
      </c>
      <c r="AM181" s="36" t="s">
        <v>30</v>
      </c>
      <c r="AN181" s="35" t="s">
        <v>1</v>
      </c>
      <c r="AO181" s="35" t="s">
        <v>1</v>
      </c>
      <c r="AP181" s="35"/>
      <c r="AQ181" s="35" t="s">
        <v>1</v>
      </c>
      <c r="AR181" s="34" t="s">
        <v>1</v>
      </c>
      <c r="AS181" s="33"/>
      <c r="AT181" s="32"/>
      <c r="AU181" s="31"/>
      <c r="AV181" s="32"/>
      <c r="AW181" s="31"/>
      <c r="AX181" s="30" t="s">
        <v>0</v>
      </c>
      <c r="AY181" s="29"/>
      <c r="AZ181" s="28" t="s">
        <v>0</v>
      </c>
      <c r="BA181" s="27"/>
      <c r="BB181" s="74" t="s">
        <v>705</v>
      </c>
      <c r="BC181" s="25"/>
      <c r="BD181" s="24" t="s">
        <v>19</v>
      </c>
      <c r="BE181" s="24" t="s">
        <v>19</v>
      </c>
      <c r="BF181" s="24" t="s">
        <v>51</v>
      </c>
      <c r="BG181" s="24" t="s">
        <v>11</v>
      </c>
      <c r="BH181" s="130" t="s">
        <v>19</v>
      </c>
      <c r="BI181" s="24"/>
      <c r="BJ181" s="24" t="s">
        <v>11</v>
      </c>
      <c r="BK181" s="24" t="s">
        <v>11</v>
      </c>
      <c r="BL181" s="24">
        <v>45394</v>
      </c>
      <c r="BM181" s="24" t="s">
        <v>11</v>
      </c>
      <c r="BN181" s="24" t="s">
        <v>11</v>
      </c>
      <c r="BO181" s="24"/>
      <c r="BP181" s="24" t="s">
        <v>704</v>
      </c>
      <c r="BQ181" s="22">
        <f>YEAR([1]!BANCO10[[#This Row],[DATA INÍCIO]])</f>
        <v>2025</v>
      </c>
      <c r="BR181" s="22">
        <f>MONTH([1]!BANCO10[[#This Row],[DATA INÍCIO]])</f>
        <v>11</v>
      </c>
      <c r="BS181" s="129" t="e">
        <f>CONCATENATE(#REF!,#REF!)</f>
        <v>#REF!</v>
      </c>
      <c r="BT181" s="22"/>
      <c r="BU181" s="21" t="s">
        <v>30</v>
      </c>
      <c r="BV181" s="21" t="str">
        <f>IF([1]!BANCO10[[#This Row],[SOLUÇÃO]]=BV$1,[1]!BANCO10[[#This Row],[STATUS DA ETAPA]],"")</f>
        <v/>
      </c>
      <c r="BW181" s="21" t="str">
        <f>IF([1]!BANCO10[[#This Row],[SOLUÇÃO]]=BW$1,[1]!BANCO10[[#This Row],[STATUS DA ETAPA]],"")</f>
        <v/>
      </c>
      <c r="BX181" s="21" t="str">
        <f>IF([1]!BANCO10[[#This Row],[SOLUÇÃO]]=BX$1,[1]!BANCO10[[#This Row],[STATUS DA ETAPA]],"")</f>
        <v/>
      </c>
      <c r="BY181" s="21" t="str">
        <f>IF([1]!BANCO10[[#This Row],[SOLUÇÃO]]=BY$1,[1]!BANCO10[[#This Row],[STATUS DA ETAPA]],"")</f>
        <v/>
      </c>
      <c r="BZ181" s="21" t="str">
        <f>IF([1]!BANCO10[[#This Row],[SOLUÇÃO]]=BZ$1,[1]!BANCO10[[#This Row],[STATUS DA ETAPA]],"")</f>
        <v/>
      </c>
      <c r="CA181" s="21" t="str">
        <f>IF([1]!BANCO10[[#This Row],[SOLUÇÃO]]=CA$1,[1]!BANCO10[[#This Row],[STATUS DA ETAPA]],"")</f>
        <v>PROSPECÇÃO</v>
      </c>
      <c r="CB181" s="21" t="str">
        <f>IF([1]!BANCO10[[#This Row],[SOLUÇÃO]]=CB$1,[1]!BANCO10[[#This Row],[STATUS DA ETAPA]],"")</f>
        <v/>
      </c>
      <c r="CC181" s="21" t="str">
        <f>IF([1]!BANCO10[[#This Row],[SOLUÇÃO]]=CC$1,[1]!BANCO10[[#This Row],[STATUS DA ETAPA]],"")</f>
        <v/>
      </c>
      <c r="CD181" s="21" t="str">
        <f>IF([1]!BANCO10[[#This Row],[SOLUÇÃO]]=CD$1,[1]!BANCO10[[#This Row],[STATUS DA ETAPA]],"")</f>
        <v/>
      </c>
      <c r="CE181" s="21" t="str">
        <f>IF([1]!BANCO10[[#This Row],[SOLUÇÃO]]=CE$1,[1]!BANCO10[[#This Row],[STATUS DA ETAPA]],"")</f>
        <v/>
      </c>
      <c r="CF181" s="21" t="str">
        <f>IF([1]!BANCO10[[#This Row],[SOLUÇÃO]]=CF$1,[1]!BANCO10[[#This Row],[STATUS DA ETAPA]],"")</f>
        <v/>
      </c>
      <c r="CG181" s="21" t="str">
        <f>IF([1]!BANCO10[[#This Row],[SOLUÇÃO]]=CG$1,[1]!BANCO10[[#This Row],[STATUS DA ETAPA]],"")</f>
        <v/>
      </c>
      <c r="CH181" s="21" t="str">
        <f>IF([1]!BANCO10[[#This Row],[SOLUÇÃO]]=CH$1,[1]!BANCO10[[#This Row],[STATUS DA ETAPA]],"")</f>
        <v/>
      </c>
      <c r="CI181" s="21" t="str">
        <f>IF([1]!BANCO10[[#This Row],[SOLUÇÃO]]=CI$1,[1]!BANCO10[[#This Row],[STATUS DA ETAPA]],"")</f>
        <v/>
      </c>
      <c r="CJ181" s="21" t="str">
        <f>IF([1]!BANCO10[[#This Row],[SOLUÇÃO]]=CJ$1,[1]!BANCO10[[#This Row],[STATUS DA ETAPA]],"")</f>
        <v/>
      </c>
      <c r="CK181" s="21" t="str">
        <f>IF([1]!BANCO10[[#This Row],[SOLUÇÃO]]=CK$1,[1]!BANCO10[[#This Row],[STATUS DA ETAPA]],"")</f>
        <v/>
      </c>
      <c r="CL181" s="21" t="str">
        <f>IF([1]!BANCO10[[#This Row],[SOLUÇÃO]]=CL$1,[1]!BANCO10[[#This Row],[STATUS DA ETAPA]],"")</f>
        <v/>
      </c>
      <c r="CM181" s="21" t="str">
        <f>IF([1]!BANCO10[[#This Row],[SOLUÇÃO]]=CM$1,[1]!BANCO10[[#This Row],[STATUS DA ETAPA]],"")</f>
        <v/>
      </c>
      <c r="CN181" s="21" t="str">
        <f>IF([1]!BANCO10[[#This Row],[SOLUÇÃO]]=CN$1,[1]!BANCO10[[#This Row],[STATUS DA ETAPA]],"")</f>
        <v/>
      </c>
      <c r="CO181" s="21" t="str">
        <f>IF([1]!BANCO10[[#This Row],[SOLUÇÃO]]=CO$1,[1]!BANCO10[[#This Row],[STATUS DA ETAPA]],"")</f>
        <v/>
      </c>
      <c r="CP181" s="21" t="str">
        <f>IF([1]!BANCO10[[#This Row],[SOLUÇÃO]]=CP$1,[1]!BANCO10[[#This Row],[STATUS DA ETAPA]],"")</f>
        <v/>
      </c>
      <c r="CQ181" s="21" t="str">
        <f>IF([1]!BANCO10[[#This Row],[SOLUÇÃO]]=CQ$1,[1]!BANCO10[[#This Row],[STATUS DA ETAPA]],"")</f>
        <v/>
      </c>
      <c r="CR181" s="21" t="str">
        <f>IF([1]!BANCO10[[#This Row],[SOLUÇÃO]]=CR$1,[1]!BANCO10[[#This Row],[STATUS DA ETAPA]],"")</f>
        <v/>
      </c>
      <c r="CS181" s="21" t="str">
        <f>IF([1]!BANCO10[[#This Row],[SOLUÇÃO]]=CS$1,[1]!BANCO10[[#This Row],[STATUS DA ETAPA]],"")</f>
        <v/>
      </c>
      <c r="CT181" s="21" t="str">
        <f>IF([1]!BANCO10[[#This Row],[SOLUÇÃO]]=CT$1,[1]!BANCO10[[#This Row],[STATUS DA ETAPA]],"")</f>
        <v/>
      </c>
      <c r="CU181" s="21" t="str">
        <f>IF([1]!BANCO10[[#This Row],[SOLUÇÃO]]=CU$1,[1]!BANCO10[[#This Row],[STATUS DA ETAPA]],"")</f>
        <v/>
      </c>
      <c r="CV181" s="21" t="str">
        <f>IF([1]!BANCO10[[#This Row],[SOLUÇÃO]]=CV$1,[1]!BANCO10[[#This Row],[STATUS DA ETAPA]],"")</f>
        <v/>
      </c>
    </row>
    <row r="182" spans="1:100">
      <c r="A182" s="44" t="s">
        <v>2</v>
      </c>
      <c r="B182" s="44">
        <v>45883</v>
      </c>
      <c r="C182" s="44" t="s">
        <v>2</v>
      </c>
      <c r="D182" s="44">
        <v>45883</v>
      </c>
      <c r="E182" s="44" t="s">
        <v>2</v>
      </c>
      <c r="F182" s="44">
        <v>45903</v>
      </c>
      <c r="G182" s="44" t="s">
        <v>2</v>
      </c>
      <c r="H182" s="44">
        <v>45903</v>
      </c>
      <c r="I182" s="45" t="s">
        <v>2</v>
      </c>
      <c r="J182" s="46">
        <v>45901</v>
      </c>
      <c r="K182" s="45" t="s">
        <v>0</v>
      </c>
      <c r="L182" s="33"/>
      <c r="M182" s="45" t="s">
        <v>0</v>
      </c>
      <c r="N182" s="33"/>
      <c r="O182" s="44" t="s">
        <v>1</v>
      </c>
      <c r="P182" s="44"/>
      <c r="Q182" s="44" t="s">
        <v>0</v>
      </c>
      <c r="R182" s="44"/>
      <c r="S182" s="44"/>
      <c r="T182" s="44"/>
      <c r="U182" s="44" t="s">
        <v>1</v>
      </c>
      <c r="V182" s="44"/>
      <c r="W182" s="44" t="s">
        <v>1</v>
      </c>
      <c r="X182" s="44"/>
      <c r="Y182" s="44" t="s">
        <v>0</v>
      </c>
      <c r="Z182" s="44"/>
      <c r="AA182" s="44" t="s">
        <v>0</v>
      </c>
      <c r="AB182" s="44"/>
      <c r="AC182" s="51">
        <v>46022</v>
      </c>
      <c r="AD182" s="50">
        <v>46022</v>
      </c>
      <c r="AE182" s="41" t="s">
        <v>0</v>
      </c>
      <c r="AF182" s="41" t="s">
        <v>0</v>
      </c>
      <c r="AG182" s="40" t="s">
        <v>5</v>
      </c>
      <c r="AH182" s="36" t="s">
        <v>0</v>
      </c>
      <c r="AI182" s="49">
        <v>20140</v>
      </c>
      <c r="AJ182" s="36" t="s">
        <v>3</v>
      </c>
      <c r="AK182" s="21">
        <v>711247</v>
      </c>
      <c r="AL182" s="36" t="s">
        <v>1</v>
      </c>
      <c r="AM182" s="36" t="s">
        <v>1</v>
      </c>
      <c r="AN182" s="35" t="s">
        <v>0</v>
      </c>
      <c r="AO182" s="35" t="s">
        <v>0</v>
      </c>
      <c r="AP182" s="35" t="s">
        <v>0</v>
      </c>
      <c r="AQ182" s="35" t="s">
        <v>0</v>
      </c>
      <c r="AR182" s="34" t="s">
        <v>0</v>
      </c>
      <c r="AS182" s="33"/>
      <c r="AT182" s="32" t="s">
        <v>0</v>
      </c>
      <c r="AU182" s="31"/>
      <c r="AV182" s="32" t="s">
        <v>0</v>
      </c>
      <c r="AW182" s="31"/>
      <c r="AX182" s="32" t="s">
        <v>0</v>
      </c>
      <c r="AY182" s="31"/>
      <c r="AZ182" s="32" t="s">
        <v>0</v>
      </c>
      <c r="BA182" s="31"/>
      <c r="BB182" s="26"/>
      <c r="BC182" s="25"/>
      <c r="BD182" s="24"/>
      <c r="BE182" s="24"/>
      <c r="BF182" s="24"/>
      <c r="BG182" s="24"/>
      <c r="BH182" s="24"/>
      <c r="BI182" s="24"/>
      <c r="BJ182" s="24"/>
      <c r="BK182" s="24"/>
      <c r="BL182" s="24"/>
      <c r="BM182" s="24"/>
      <c r="BN182" s="24"/>
      <c r="BO182" s="24"/>
      <c r="BP182" s="24"/>
      <c r="BQ182" s="22">
        <f>YEAR([1]!BANCO10[[#This Row],[DATA INÍCIO]])</f>
        <v>2025</v>
      </c>
      <c r="BR182" s="22">
        <f>MONTH([1]!BANCO10[[#This Row],[DATA INÍCIO]])</f>
        <v>12</v>
      </c>
      <c r="BS182" s="23" t="e">
        <f>CONCATENATE(#REF!,#REF!)</f>
        <v>#REF!</v>
      </c>
      <c r="BT182" s="22"/>
      <c r="BU182" s="22"/>
      <c r="BV182" s="21" t="str">
        <f>IF([1]!BANCO10[[#This Row],[SOLUÇÃO]]=BV$1,[1]!BANCO10[[#This Row],[STATUS DA ETAPA]],"")</f>
        <v/>
      </c>
      <c r="BW182" s="21" t="str">
        <f>IF([1]!BANCO10[[#This Row],[SOLUÇÃO]]=BW$1,[1]!BANCO10[[#This Row],[STATUS DA ETAPA]],"")</f>
        <v/>
      </c>
      <c r="BX182" s="21" t="str">
        <f>IF([1]!BANCO10[[#This Row],[SOLUÇÃO]]=BX$1,[1]!BANCO10[[#This Row],[STATUS DA ETAPA]],"")</f>
        <v/>
      </c>
      <c r="BY182" s="21" t="str">
        <f>IF([1]!BANCO10[[#This Row],[SOLUÇÃO]]=BY$1,[1]!BANCO10[[#This Row],[STATUS DA ETAPA]],"")</f>
        <v/>
      </c>
      <c r="BZ182" s="21" t="str">
        <f>IF([1]!BANCO10[[#This Row],[SOLUÇÃO]]=BZ$1,[1]!BANCO10[[#This Row],[STATUS DA ETAPA]],"")</f>
        <v/>
      </c>
      <c r="CA182" s="21" t="str">
        <f>IF([1]!BANCO10[[#This Row],[SOLUÇÃO]]=CA$1,[1]!BANCO10[[#This Row],[STATUS DA ETAPA]],"")</f>
        <v/>
      </c>
      <c r="CB182" s="21" t="str">
        <f>IF([1]!BANCO10[[#This Row],[SOLUÇÃO]]=CB$1,[1]!BANCO10[[#This Row],[STATUS DA ETAPA]],"")</f>
        <v>AGUARDANDO SALDO</v>
      </c>
      <c r="CC182" s="21" t="str">
        <f>IF([1]!BANCO10[[#This Row],[SOLUÇÃO]]=CC$1,[1]!BANCO10[[#This Row],[STATUS DA ETAPA]],"")</f>
        <v/>
      </c>
      <c r="CD182" s="21" t="str">
        <f>IF([1]!BANCO10[[#This Row],[SOLUÇÃO]]=CD$1,[1]!BANCO10[[#This Row],[STATUS DA ETAPA]],"")</f>
        <v/>
      </c>
      <c r="CE182" s="21" t="str">
        <f>IF([1]!BANCO10[[#This Row],[SOLUÇÃO]]=CE$1,[1]!BANCO10[[#This Row],[STATUS DA ETAPA]],"")</f>
        <v/>
      </c>
      <c r="CF182" s="21" t="str">
        <f>IF([1]!BANCO10[[#This Row],[SOLUÇÃO]]=CF$1,[1]!BANCO10[[#This Row],[STATUS DA ETAPA]],"")</f>
        <v/>
      </c>
      <c r="CG182" s="21" t="str">
        <f>IF([1]!BANCO10[[#This Row],[SOLUÇÃO]]=CG$1,[1]!BANCO10[[#This Row],[STATUS DA ETAPA]],"")</f>
        <v/>
      </c>
      <c r="CH182" s="21" t="str">
        <f>IF([1]!BANCO10[[#This Row],[SOLUÇÃO]]=CH$1,[1]!BANCO10[[#This Row],[STATUS DA ETAPA]],"")</f>
        <v/>
      </c>
      <c r="CI182" s="21" t="str">
        <f>IF([1]!BANCO10[[#This Row],[SOLUÇÃO]]=CI$1,[1]!BANCO10[[#This Row],[STATUS DA ETAPA]],"")</f>
        <v/>
      </c>
      <c r="CJ182" s="21" t="str">
        <f>IF([1]!BANCO10[[#This Row],[SOLUÇÃO]]=CJ$1,[1]!BANCO10[[#This Row],[STATUS DA ETAPA]],"")</f>
        <v/>
      </c>
      <c r="CK182" s="21" t="str">
        <f>IF([1]!BANCO10[[#This Row],[SOLUÇÃO]]=CK$1,[1]!BANCO10[[#This Row],[STATUS DA ETAPA]],"")</f>
        <v/>
      </c>
      <c r="CL182" s="21" t="str">
        <f>IF([1]!BANCO10[[#This Row],[SOLUÇÃO]]=CL$1,[1]!BANCO10[[#This Row],[STATUS DA ETAPA]],"")</f>
        <v/>
      </c>
      <c r="CM182" s="21" t="str">
        <f>IF([1]!BANCO10[[#This Row],[SOLUÇÃO]]=CM$1,[1]!BANCO10[[#This Row],[STATUS DA ETAPA]],"")</f>
        <v/>
      </c>
      <c r="CN182" s="21" t="str">
        <f>IF([1]!BANCO10[[#This Row],[SOLUÇÃO]]=CN$1,[1]!BANCO10[[#This Row],[STATUS DA ETAPA]],"")</f>
        <v/>
      </c>
      <c r="CO182" s="21" t="str">
        <f>IF([1]!BANCO10[[#This Row],[SOLUÇÃO]]=CO$1,[1]!BANCO10[[#This Row],[STATUS DA ETAPA]],"")</f>
        <v/>
      </c>
      <c r="CP182" s="21" t="str">
        <f>IF([1]!BANCO10[[#This Row],[SOLUÇÃO]]=CP$1,[1]!BANCO10[[#This Row],[STATUS DA ETAPA]],"")</f>
        <v/>
      </c>
      <c r="CQ182" s="21" t="str">
        <f>IF([1]!BANCO10[[#This Row],[SOLUÇÃO]]=CQ$1,[1]!BANCO10[[#This Row],[STATUS DA ETAPA]],"")</f>
        <v/>
      </c>
      <c r="CR182" s="21" t="str">
        <f>IF([1]!BANCO10[[#This Row],[SOLUÇÃO]]=CR$1,[1]!BANCO10[[#This Row],[STATUS DA ETAPA]],"")</f>
        <v/>
      </c>
      <c r="CS182" s="21" t="str">
        <f>IF([1]!BANCO10[[#This Row],[SOLUÇÃO]]=CS$1,[1]!BANCO10[[#This Row],[STATUS DA ETAPA]],"")</f>
        <v/>
      </c>
      <c r="CT182" s="21" t="str">
        <f>IF([1]!BANCO10[[#This Row],[SOLUÇÃO]]=CT$1,[1]!BANCO10[[#This Row],[STATUS DA ETAPA]],"")</f>
        <v/>
      </c>
      <c r="CU182" s="21" t="str">
        <f>IF([1]!BANCO10[[#This Row],[SOLUÇÃO]]=CU$1,[1]!BANCO10[[#This Row],[STATUS DA ETAPA]],"")</f>
        <v/>
      </c>
      <c r="CV182" s="21" t="str">
        <f>IF([1]!BANCO10[[#This Row],[SOLUÇÃO]]=CV$1,[1]!BANCO10[[#This Row],[STATUS DA ETAPA]],"")</f>
        <v/>
      </c>
    </row>
    <row r="183" spans="1:100">
      <c r="A183" s="44" t="s">
        <v>1</v>
      </c>
      <c r="B183" s="44"/>
      <c r="C183" s="44" t="s">
        <v>1</v>
      </c>
      <c r="D183" s="44"/>
      <c r="E183" s="44" t="s">
        <v>1</v>
      </c>
      <c r="F183" s="44"/>
      <c r="G183" s="44" t="s">
        <v>1</v>
      </c>
      <c r="H183" s="44"/>
      <c r="I183" s="45" t="s">
        <v>1</v>
      </c>
      <c r="J183" s="46"/>
      <c r="K183" s="45" t="s">
        <v>1</v>
      </c>
      <c r="L183" s="33"/>
      <c r="M183" s="45" t="s">
        <v>1</v>
      </c>
      <c r="N183" s="33"/>
      <c r="O183" s="44" t="s">
        <v>1</v>
      </c>
      <c r="P183" s="44"/>
      <c r="Q183" s="44" t="s">
        <v>1</v>
      </c>
      <c r="R183" s="44"/>
      <c r="S183" s="44" t="s">
        <v>1</v>
      </c>
      <c r="T183" s="44"/>
      <c r="U183" s="44" t="s">
        <v>1</v>
      </c>
      <c r="V183" s="44"/>
      <c r="W183" s="44" t="s">
        <v>1</v>
      </c>
      <c r="X183" s="44"/>
      <c r="Y183" s="44" t="s">
        <v>1</v>
      </c>
      <c r="Z183" s="44"/>
      <c r="AA183" s="44" t="s">
        <v>1</v>
      </c>
      <c r="AB183" s="44"/>
      <c r="AC183" s="51">
        <v>45502</v>
      </c>
      <c r="AD183" s="50">
        <v>45691</v>
      </c>
      <c r="AE183" s="41" t="s">
        <v>2</v>
      </c>
      <c r="AF183" s="41" t="s">
        <v>0</v>
      </c>
      <c r="AG183" s="76" t="s">
        <v>5</v>
      </c>
      <c r="AH183" s="36" t="s">
        <v>0</v>
      </c>
      <c r="AI183" s="49">
        <v>0</v>
      </c>
      <c r="AJ183" s="36" t="s">
        <v>6</v>
      </c>
      <c r="AK183" s="10" t="s">
        <v>1</v>
      </c>
      <c r="AL183" s="36" t="s">
        <v>1</v>
      </c>
      <c r="AM183" s="36" t="s">
        <v>1</v>
      </c>
      <c r="AN183" s="35" t="s">
        <v>1</v>
      </c>
      <c r="AO183" s="35" t="s">
        <v>1</v>
      </c>
      <c r="AP183" s="35" t="s">
        <v>1</v>
      </c>
      <c r="AQ183" s="35" t="s">
        <v>1</v>
      </c>
      <c r="AR183" s="34" t="s">
        <v>1</v>
      </c>
      <c r="AS183" s="33"/>
      <c r="AT183" s="30"/>
      <c r="AU183" s="29"/>
      <c r="AV183" s="30"/>
      <c r="AW183" s="29"/>
      <c r="AX183" s="30" t="s">
        <v>0</v>
      </c>
      <c r="AY183" s="29"/>
      <c r="AZ183" s="28" t="s">
        <v>0</v>
      </c>
      <c r="BA183" s="27"/>
      <c r="BB183" s="74" t="s">
        <v>703</v>
      </c>
      <c r="BC183" s="25"/>
      <c r="BD183" s="24"/>
      <c r="BE183" s="24"/>
      <c r="BF183" s="24"/>
      <c r="BG183" s="24"/>
      <c r="BH183" s="130"/>
      <c r="BI183" s="24"/>
      <c r="BJ183" s="24"/>
      <c r="BK183" s="24"/>
      <c r="BL183" s="24"/>
      <c r="BM183" s="24"/>
      <c r="BN183" s="24"/>
      <c r="BO183" s="24"/>
      <c r="BP183" s="24" t="s">
        <v>702</v>
      </c>
      <c r="BQ183" s="22">
        <f>YEAR([1]!BANCO10[[#This Row],[DATA INÍCIO]])</f>
        <v>2024</v>
      </c>
      <c r="BR183" s="22">
        <f>MONTH([1]!BANCO10[[#This Row],[DATA INÍCIO]])</f>
        <v>7</v>
      </c>
      <c r="BS183" s="23" t="e">
        <f>CONCATENATE(#REF!,#REF!)</f>
        <v>#REF!</v>
      </c>
      <c r="BT183" s="22"/>
      <c r="BU183" s="97" t="s">
        <v>701</v>
      </c>
      <c r="BV183" s="160" t="str">
        <f>IF([1]!BANCO10[[#This Row],[SOLUÇÃO]]=BV$1,[1]!BANCO10[[#This Row],[STATUS DA ETAPA]],"")</f>
        <v/>
      </c>
      <c r="BW183" s="160" t="str">
        <f>IF([1]!BANCO10[[#This Row],[SOLUÇÃO]]=BW$1,[1]!BANCO10[[#This Row],[STATUS DA ETAPA]],"")</f>
        <v/>
      </c>
      <c r="BX183" s="160" t="str">
        <f>IF([1]!BANCO10[[#This Row],[SOLUÇÃO]]=BX$1,[1]!BANCO10[[#This Row],[STATUS DA ETAPA]],"")</f>
        <v/>
      </c>
      <c r="BY183" s="160" t="str">
        <f>IF([1]!BANCO10[[#This Row],[SOLUÇÃO]]=BY$1,[1]!BANCO10[[#This Row],[STATUS DA ETAPA]],"")</f>
        <v/>
      </c>
      <c r="BZ183" s="160" t="str">
        <f>IF([1]!BANCO10[[#This Row],[SOLUÇÃO]]=BZ$1,[1]!BANCO10[[#This Row],[STATUS DA ETAPA]],"")</f>
        <v/>
      </c>
      <c r="CA183" s="160" t="str">
        <f>IF([1]!BANCO10[[#This Row],[SOLUÇÃO]]=CA$1,[1]!BANCO10[[#This Row],[STATUS DA ETAPA]],"")</f>
        <v>CONCLUÍDO</v>
      </c>
      <c r="CB183" s="160" t="str">
        <f>IF([1]!BANCO10[[#This Row],[SOLUÇÃO]]=CB$1,[1]!BANCO10[[#This Row],[STATUS DA ETAPA]],"")</f>
        <v/>
      </c>
      <c r="CC183" s="160" t="str">
        <f>IF([1]!BANCO10[[#This Row],[SOLUÇÃO]]=CC$1,[1]!BANCO10[[#This Row],[STATUS DA ETAPA]],"")</f>
        <v/>
      </c>
      <c r="CD183" s="160" t="str">
        <f>IF([1]!BANCO10[[#This Row],[SOLUÇÃO]]=CD$1,[1]!BANCO10[[#This Row],[STATUS DA ETAPA]],"")</f>
        <v/>
      </c>
      <c r="CE183" s="160" t="str">
        <f>IF([1]!BANCO10[[#This Row],[SOLUÇÃO]]=CE$1,[1]!BANCO10[[#This Row],[STATUS DA ETAPA]],"")</f>
        <v/>
      </c>
      <c r="CF183" s="160" t="str">
        <f>IF([1]!BANCO10[[#This Row],[SOLUÇÃO]]=CF$1,[1]!BANCO10[[#This Row],[STATUS DA ETAPA]],"")</f>
        <v/>
      </c>
      <c r="CG183" s="160" t="str">
        <f>IF([1]!BANCO10[[#This Row],[SOLUÇÃO]]=CG$1,[1]!BANCO10[[#This Row],[STATUS DA ETAPA]],"")</f>
        <v/>
      </c>
      <c r="CH183" s="160" t="str">
        <f>IF([1]!BANCO10[[#This Row],[SOLUÇÃO]]=CH$1,[1]!BANCO10[[#This Row],[STATUS DA ETAPA]],"")</f>
        <v/>
      </c>
      <c r="CI183" s="160" t="str">
        <f>IF([1]!BANCO10[[#This Row],[SOLUÇÃO]]=CI$1,[1]!BANCO10[[#This Row],[STATUS DA ETAPA]],"")</f>
        <v/>
      </c>
      <c r="CJ183" s="160" t="str">
        <f>IF([1]!BANCO10[[#This Row],[SOLUÇÃO]]=CJ$1,[1]!BANCO10[[#This Row],[STATUS DA ETAPA]],"")</f>
        <v/>
      </c>
      <c r="CK183" s="160" t="str">
        <f>IF([1]!BANCO10[[#This Row],[SOLUÇÃO]]=CK$1,[1]!BANCO10[[#This Row],[STATUS DA ETAPA]],"")</f>
        <v/>
      </c>
      <c r="CL183" s="160" t="str">
        <f>IF([1]!BANCO10[[#This Row],[SOLUÇÃO]]=CL$1,[1]!BANCO10[[#This Row],[STATUS DA ETAPA]],"")</f>
        <v/>
      </c>
      <c r="CM183" s="160" t="str">
        <f>IF([1]!BANCO10[[#This Row],[SOLUÇÃO]]=CM$1,[1]!BANCO10[[#This Row],[STATUS DA ETAPA]],"")</f>
        <v/>
      </c>
      <c r="CN183" s="160" t="str">
        <f>IF([1]!BANCO10[[#This Row],[SOLUÇÃO]]=CN$1,[1]!BANCO10[[#This Row],[STATUS DA ETAPA]],"")</f>
        <v/>
      </c>
      <c r="CO183" s="160" t="str">
        <f>IF([1]!BANCO10[[#This Row],[SOLUÇÃO]]=CO$1,[1]!BANCO10[[#This Row],[STATUS DA ETAPA]],"")</f>
        <v/>
      </c>
      <c r="CP183" s="160" t="str">
        <f>IF([1]!BANCO10[[#This Row],[SOLUÇÃO]]=CP$1,[1]!BANCO10[[#This Row],[STATUS DA ETAPA]],"")</f>
        <v/>
      </c>
      <c r="CQ183" s="160" t="str">
        <f>IF([1]!BANCO10[[#This Row],[SOLUÇÃO]]=CQ$1,[1]!BANCO10[[#This Row],[STATUS DA ETAPA]],"")</f>
        <v/>
      </c>
      <c r="CR183" s="160" t="str">
        <f>IF([1]!BANCO10[[#This Row],[SOLUÇÃO]]=CR$1,[1]!BANCO10[[#This Row],[STATUS DA ETAPA]],"")</f>
        <v/>
      </c>
      <c r="CS183" s="160" t="str">
        <f>IF([1]!BANCO10[[#This Row],[SOLUÇÃO]]=CS$1,[1]!BANCO10[[#This Row],[STATUS DA ETAPA]],"")</f>
        <v/>
      </c>
      <c r="CT183" s="160" t="str">
        <f>IF([1]!BANCO10[[#This Row],[SOLUÇÃO]]=CT$1,[1]!BANCO10[[#This Row],[STATUS DA ETAPA]],"")</f>
        <v/>
      </c>
      <c r="CU183" s="160" t="str">
        <f>IF([1]!BANCO10[[#This Row],[SOLUÇÃO]]=CU$1,[1]!BANCO10[[#This Row],[STATUS DA ETAPA]],"")</f>
        <v/>
      </c>
      <c r="CV183" s="160" t="str">
        <f>IF([1]!BANCO10[[#This Row],[SOLUÇÃO]]=CV$1,[1]!BANCO10[[#This Row],[STATUS DA ETAPA]],"")</f>
        <v/>
      </c>
    </row>
    <row r="184" spans="1:100">
      <c r="A184" s="44" t="s">
        <v>1</v>
      </c>
      <c r="B184" s="44"/>
      <c r="C184" s="44" t="s">
        <v>1</v>
      </c>
      <c r="D184" s="44"/>
      <c r="E184" s="44" t="s">
        <v>1</v>
      </c>
      <c r="F184" s="44"/>
      <c r="G184" s="44" t="s">
        <v>1</v>
      </c>
      <c r="H184" s="44"/>
      <c r="I184" s="45" t="s">
        <v>1</v>
      </c>
      <c r="J184" s="46"/>
      <c r="K184" s="45" t="s">
        <v>1</v>
      </c>
      <c r="L184" s="33"/>
      <c r="M184" s="45" t="s">
        <v>1</v>
      </c>
      <c r="N184" s="33"/>
      <c r="O184" s="44" t="s">
        <v>1</v>
      </c>
      <c r="P184" s="44"/>
      <c r="Q184" s="44" t="s">
        <v>1</v>
      </c>
      <c r="R184" s="44"/>
      <c r="S184" s="44" t="s">
        <v>1</v>
      </c>
      <c r="T184" s="44"/>
      <c r="U184" s="44" t="s">
        <v>1</v>
      </c>
      <c r="V184" s="44"/>
      <c r="W184" s="44" t="s">
        <v>1</v>
      </c>
      <c r="X184" s="44"/>
      <c r="Y184" s="44" t="s">
        <v>1</v>
      </c>
      <c r="Z184" s="44"/>
      <c r="AA184" s="44" t="s">
        <v>1</v>
      </c>
      <c r="AB184" s="44"/>
      <c r="AC184" s="84">
        <v>45216</v>
      </c>
      <c r="AD184" s="83">
        <v>45216</v>
      </c>
      <c r="AE184" s="40" t="s">
        <v>1</v>
      </c>
      <c r="AF184" s="40" t="s">
        <v>1</v>
      </c>
      <c r="AG184" s="76" t="s">
        <v>5</v>
      </c>
      <c r="AH184" s="36" t="s">
        <v>1</v>
      </c>
      <c r="AI184" s="49">
        <v>0</v>
      </c>
      <c r="AJ184" s="36" t="s">
        <v>1</v>
      </c>
      <c r="AK184" s="10" t="s">
        <v>1</v>
      </c>
      <c r="AL184" s="36" t="s">
        <v>1</v>
      </c>
      <c r="AM184" s="36" t="s">
        <v>1</v>
      </c>
      <c r="AN184" s="35" t="s">
        <v>1</v>
      </c>
      <c r="AO184" s="35" t="s">
        <v>1</v>
      </c>
      <c r="AP184" s="35" t="s">
        <v>1</v>
      </c>
      <c r="AQ184" s="35" t="s">
        <v>1</v>
      </c>
      <c r="AR184" s="82" t="s">
        <v>1</v>
      </c>
      <c r="AS184" s="33"/>
      <c r="AT184" s="32" t="s">
        <v>1</v>
      </c>
      <c r="AU184" s="31"/>
      <c r="AV184" s="32" t="s">
        <v>1</v>
      </c>
      <c r="AW184" s="31"/>
      <c r="AX184" s="30" t="s">
        <v>1</v>
      </c>
      <c r="AY184" s="55"/>
      <c r="AZ184" s="30" t="s">
        <v>1</v>
      </c>
      <c r="BA184" s="55"/>
      <c r="BB184" s="74" t="s">
        <v>699</v>
      </c>
      <c r="BC184" s="25"/>
      <c r="BD184" s="24" t="s">
        <v>19</v>
      </c>
      <c r="BE184" s="24" t="s">
        <v>19</v>
      </c>
      <c r="BF184" s="24" t="s">
        <v>51</v>
      </c>
      <c r="BG184" s="24" t="s">
        <v>11</v>
      </c>
      <c r="BH184" s="130" t="s">
        <v>19</v>
      </c>
      <c r="BI184" s="24"/>
      <c r="BJ184" s="24" t="s">
        <v>11</v>
      </c>
      <c r="BK184" s="24" t="s">
        <v>11</v>
      </c>
      <c r="BL184" s="24" t="s">
        <v>11</v>
      </c>
      <c r="BM184" s="24" t="s">
        <v>11</v>
      </c>
      <c r="BN184" s="24" t="s">
        <v>11</v>
      </c>
      <c r="BO184" s="24" t="s">
        <v>11</v>
      </c>
      <c r="BP184" s="24" t="s">
        <v>11</v>
      </c>
      <c r="BQ184" s="22">
        <f>YEAR([1]!BANCO10[[#This Row],[DATA INÍCIO]])</f>
        <v>2023</v>
      </c>
      <c r="BR184" s="22">
        <f>MONTH([1]!BANCO10[[#This Row],[DATA INÍCIO]])</f>
        <v>10</v>
      </c>
      <c r="BS184" s="129" t="e">
        <f>CONCATENATE(#REF!,#REF!)</f>
        <v>#REF!</v>
      </c>
      <c r="BT184" s="22"/>
      <c r="BU184" s="21" t="s">
        <v>700</v>
      </c>
      <c r="BV184" s="21" t="str">
        <f>IF([1]!BANCO10[[#This Row],[SOLUÇÃO]]=BV$1,[1]!BANCO10[[#This Row],[STATUS DA ETAPA]],"")</f>
        <v>CONCLUÍDO</v>
      </c>
      <c r="BW184" s="21" t="str">
        <f>IF([1]!BANCO10[[#This Row],[SOLUÇÃO]]=BW$1,[1]!BANCO10[[#This Row],[STATUS DA ETAPA]],"")</f>
        <v/>
      </c>
      <c r="BX184" s="21" t="str">
        <f>IF([1]!BANCO10[[#This Row],[SOLUÇÃO]]=BX$1,[1]!BANCO10[[#This Row],[STATUS DA ETAPA]],"")</f>
        <v/>
      </c>
      <c r="BY184" s="21" t="str">
        <f>IF([1]!BANCO10[[#This Row],[SOLUÇÃO]]=BY$1,[1]!BANCO10[[#This Row],[STATUS DA ETAPA]],"")</f>
        <v/>
      </c>
      <c r="BZ184" s="21" t="str">
        <f>IF([1]!BANCO10[[#This Row],[SOLUÇÃO]]=BZ$1,[1]!BANCO10[[#This Row],[STATUS DA ETAPA]],"")</f>
        <v/>
      </c>
      <c r="CA184" s="21" t="str">
        <f>IF([1]!BANCO10[[#This Row],[SOLUÇÃO]]=CA$1,[1]!BANCO10[[#This Row],[STATUS DA ETAPA]],"")</f>
        <v/>
      </c>
      <c r="CB184" s="21" t="str">
        <f>IF([1]!BANCO10[[#This Row],[SOLUÇÃO]]=CB$1,[1]!BANCO10[[#This Row],[STATUS DA ETAPA]],"")</f>
        <v/>
      </c>
      <c r="CC184" s="21" t="str">
        <f>IF([1]!BANCO10[[#This Row],[SOLUÇÃO]]=CC$1,[1]!BANCO10[[#This Row],[STATUS DA ETAPA]],"")</f>
        <v/>
      </c>
      <c r="CD184" s="21" t="str">
        <f>IF([1]!BANCO10[[#This Row],[SOLUÇÃO]]=CD$1,[1]!BANCO10[[#This Row],[STATUS DA ETAPA]],"")</f>
        <v/>
      </c>
      <c r="CE184" s="21" t="str">
        <f>IF([1]!BANCO10[[#This Row],[SOLUÇÃO]]=CE$1,[1]!BANCO10[[#This Row],[STATUS DA ETAPA]],"")</f>
        <v/>
      </c>
      <c r="CF184" s="21" t="str">
        <f>IF([1]!BANCO10[[#This Row],[SOLUÇÃO]]=CF$1,[1]!BANCO10[[#This Row],[STATUS DA ETAPA]],"")</f>
        <v/>
      </c>
      <c r="CG184" s="21" t="str">
        <f>IF([1]!BANCO10[[#This Row],[SOLUÇÃO]]=CG$1,[1]!BANCO10[[#This Row],[STATUS DA ETAPA]],"")</f>
        <v/>
      </c>
      <c r="CH184" s="21" t="str">
        <f>IF([1]!BANCO10[[#This Row],[SOLUÇÃO]]=CH$1,[1]!BANCO10[[#This Row],[STATUS DA ETAPA]],"")</f>
        <v/>
      </c>
      <c r="CI184" s="21" t="str">
        <f>IF([1]!BANCO10[[#This Row],[SOLUÇÃO]]=CI$1,[1]!BANCO10[[#This Row],[STATUS DA ETAPA]],"")</f>
        <v/>
      </c>
      <c r="CJ184" s="21" t="str">
        <f>IF([1]!BANCO10[[#This Row],[SOLUÇÃO]]=CJ$1,[1]!BANCO10[[#This Row],[STATUS DA ETAPA]],"")</f>
        <v/>
      </c>
      <c r="CK184" s="21" t="str">
        <f>IF([1]!BANCO10[[#This Row],[SOLUÇÃO]]=CK$1,[1]!BANCO10[[#This Row],[STATUS DA ETAPA]],"")</f>
        <v/>
      </c>
      <c r="CL184" s="21" t="str">
        <f>IF([1]!BANCO10[[#This Row],[SOLUÇÃO]]=CL$1,[1]!BANCO10[[#This Row],[STATUS DA ETAPA]],"")</f>
        <v/>
      </c>
      <c r="CM184" s="21" t="str">
        <f>IF([1]!BANCO10[[#This Row],[SOLUÇÃO]]=CM$1,[1]!BANCO10[[#This Row],[STATUS DA ETAPA]],"")</f>
        <v/>
      </c>
      <c r="CN184" s="21" t="str">
        <f>IF([1]!BANCO10[[#This Row],[SOLUÇÃO]]=CN$1,[1]!BANCO10[[#This Row],[STATUS DA ETAPA]],"")</f>
        <v/>
      </c>
      <c r="CO184" s="21" t="str">
        <f>IF([1]!BANCO10[[#This Row],[SOLUÇÃO]]=CO$1,[1]!BANCO10[[#This Row],[STATUS DA ETAPA]],"")</f>
        <v/>
      </c>
      <c r="CP184" s="21" t="str">
        <f>IF([1]!BANCO10[[#This Row],[SOLUÇÃO]]=CP$1,[1]!BANCO10[[#This Row],[STATUS DA ETAPA]],"")</f>
        <v/>
      </c>
      <c r="CQ184" s="21" t="str">
        <f>IF([1]!BANCO10[[#This Row],[SOLUÇÃO]]=CQ$1,[1]!BANCO10[[#This Row],[STATUS DA ETAPA]],"")</f>
        <v/>
      </c>
      <c r="CR184" s="21" t="str">
        <f>IF([1]!BANCO10[[#This Row],[SOLUÇÃO]]=CR$1,[1]!BANCO10[[#This Row],[STATUS DA ETAPA]],"")</f>
        <v/>
      </c>
      <c r="CS184" s="21" t="str">
        <f>IF([1]!BANCO10[[#This Row],[SOLUÇÃO]]=CS$1,[1]!BANCO10[[#This Row],[STATUS DA ETAPA]],"")</f>
        <v/>
      </c>
      <c r="CT184" s="21" t="str">
        <f>IF([1]!BANCO10[[#This Row],[SOLUÇÃO]]=CT$1,[1]!BANCO10[[#This Row],[STATUS DA ETAPA]],"")</f>
        <v/>
      </c>
      <c r="CU184" s="21" t="str">
        <f>IF([1]!BANCO10[[#This Row],[SOLUÇÃO]]=CU$1,[1]!BANCO10[[#This Row],[STATUS DA ETAPA]],"")</f>
        <v/>
      </c>
      <c r="CV184" s="21" t="str">
        <f>IF([1]!BANCO10[[#This Row],[SOLUÇÃO]]=CV$1,[1]!BANCO10[[#This Row],[STATUS DA ETAPA]],"")</f>
        <v/>
      </c>
    </row>
    <row r="185" spans="1:100">
      <c r="A185" s="44" t="s">
        <v>1</v>
      </c>
      <c r="B185" s="44"/>
      <c r="C185" s="44" t="s">
        <v>1</v>
      </c>
      <c r="D185" s="44"/>
      <c r="E185" s="44" t="s">
        <v>1</v>
      </c>
      <c r="F185" s="44"/>
      <c r="G185" s="44" t="s">
        <v>1</v>
      </c>
      <c r="H185" s="44"/>
      <c r="I185" s="45" t="s">
        <v>1</v>
      </c>
      <c r="J185" s="46"/>
      <c r="K185" s="45" t="s">
        <v>1</v>
      </c>
      <c r="L185" s="33"/>
      <c r="M185" s="45" t="s">
        <v>1</v>
      </c>
      <c r="N185" s="33"/>
      <c r="O185" s="44" t="s">
        <v>2</v>
      </c>
      <c r="P185" s="44">
        <v>44927</v>
      </c>
      <c r="Q185" s="44" t="s">
        <v>2</v>
      </c>
      <c r="R185" s="44">
        <v>44927</v>
      </c>
      <c r="S185" s="44" t="s">
        <v>1</v>
      </c>
      <c r="T185" s="44"/>
      <c r="U185" s="44" t="s">
        <v>2</v>
      </c>
      <c r="V185" s="44">
        <v>44927</v>
      </c>
      <c r="W185" s="44" t="s">
        <v>2</v>
      </c>
      <c r="X185" s="44">
        <v>44927</v>
      </c>
      <c r="Y185" s="44" t="s">
        <v>2</v>
      </c>
      <c r="Z185" s="44">
        <v>44927</v>
      </c>
      <c r="AA185" s="44" t="s">
        <v>1</v>
      </c>
      <c r="AB185" s="44"/>
      <c r="AC185" s="51">
        <v>45963</v>
      </c>
      <c r="AD185" s="50">
        <v>45963</v>
      </c>
      <c r="AE185" s="41" t="s">
        <v>1</v>
      </c>
      <c r="AF185" s="41" t="s">
        <v>1</v>
      </c>
      <c r="AG185" s="76" t="s">
        <v>5</v>
      </c>
      <c r="AH185" s="36" t="s">
        <v>0</v>
      </c>
      <c r="AI185" s="49">
        <v>0</v>
      </c>
      <c r="AJ185" s="36"/>
      <c r="AK185" s="10" t="s">
        <v>30</v>
      </c>
      <c r="AL185" s="36" t="s">
        <v>30</v>
      </c>
      <c r="AM185" s="36" t="s">
        <v>30</v>
      </c>
      <c r="AN185" s="35" t="s">
        <v>1</v>
      </c>
      <c r="AO185" s="35" t="s">
        <v>1</v>
      </c>
      <c r="AP185" s="35"/>
      <c r="AQ185" s="35" t="s">
        <v>1</v>
      </c>
      <c r="AR185" s="34" t="s">
        <v>1</v>
      </c>
      <c r="AS185" s="33"/>
      <c r="AT185" s="32"/>
      <c r="AU185" s="31"/>
      <c r="AV185" s="32"/>
      <c r="AW185" s="31"/>
      <c r="AX185" s="30" t="s">
        <v>0</v>
      </c>
      <c r="AY185" s="29"/>
      <c r="AZ185" s="28" t="s">
        <v>0</v>
      </c>
      <c r="BA185" s="27"/>
      <c r="BB185" s="74" t="s">
        <v>699</v>
      </c>
      <c r="BC185" s="25"/>
      <c r="BD185" s="24" t="s">
        <v>19</v>
      </c>
      <c r="BE185" s="24" t="s">
        <v>19</v>
      </c>
      <c r="BF185" s="24" t="s">
        <v>51</v>
      </c>
      <c r="BG185" s="24" t="s">
        <v>11</v>
      </c>
      <c r="BH185" s="130" t="s">
        <v>19</v>
      </c>
      <c r="BI185" s="24"/>
      <c r="BJ185" s="24" t="s">
        <v>11</v>
      </c>
      <c r="BK185" s="24" t="s">
        <v>11</v>
      </c>
      <c r="BL185" s="24">
        <v>45402</v>
      </c>
      <c r="BM185" s="24" t="s">
        <v>11</v>
      </c>
      <c r="BN185" s="24" t="s">
        <v>11</v>
      </c>
      <c r="BO185" s="24"/>
      <c r="BP185" s="24" t="s">
        <v>178</v>
      </c>
      <c r="BQ185" s="22">
        <f>YEAR([1]!BANCO10[[#This Row],[DATA INÍCIO]])</f>
        <v>2025</v>
      </c>
      <c r="BR185" s="22">
        <f>MONTH([1]!BANCO10[[#This Row],[DATA INÍCIO]])</f>
        <v>11</v>
      </c>
      <c r="BS185" s="129" t="e">
        <f>CONCATENATE(#REF!,#REF!)</f>
        <v>#REF!</v>
      </c>
      <c r="BT185" s="22"/>
      <c r="BU185" s="21" t="s">
        <v>30</v>
      </c>
      <c r="BV185" s="21" t="str">
        <f>IF([1]!BANCO10[[#This Row],[SOLUÇÃO]]=BV$1,[1]!BANCO10[[#This Row],[STATUS DA ETAPA]],"")</f>
        <v/>
      </c>
      <c r="BW185" s="21" t="str">
        <f>IF([1]!BANCO10[[#This Row],[SOLUÇÃO]]=BW$1,[1]!BANCO10[[#This Row],[STATUS DA ETAPA]],"")</f>
        <v/>
      </c>
      <c r="BX185" s="21" t="str">
        <f>IF([1]!BANCO10[[#This Row],[SOLUÇÃO]]=BX$1,[1]!BANCO10[[#This Row],[STATUS DA ETAPA]],"")</f>
        <v/>
      </c>
      <c r="BY185" s="21" t="str">
        <f>IF([1]!BANCO10[[#This Row],[SOLUÇÃO]]=BY$1,[1]!BANCO10[[#This Row],[STATUS DA ETAPA]],"")</f>
        <v/>
      </c>
      <c r="BZ185" s="21" t="str">
        <f>IF([1]!BANCO10[[#This Row],[SOLUÇÃO]]=BZ$1,[1]!BANCO10[[#This Row],[STATUS DA ETAPA]],"")</f>
        <v/>
      </c>
      <c r="CA185" s="21" t="str">
        <f>IF([1]!BANCO10[[#This Row],[SOLUÇÃO]]=CA$1,[1]!BANCO10[[#This Row],[STATUS DA ETAPA]],"")</f>
        <v>PROSPECÇÃO</v>
      </c>
      <c r="CB185" s="21" t="str">
        <f>IF([1]!BANCO10[[#This Row],[SOLUÇÃO]]=CB$1,[1]!BANCO10[[#This Row],[STATUS DA ETAPA]],"")</f>
        <v/>
      </c>
      <c r="CC185" s="21" t="str">
        <f>IF([1]!BANCO10[[#This Row],[SOLUÇÃO]]=CC$1,[1]!BANCO10[[#This Row],[STATUS DA ETAPA]],"")</f>
        <v/>
      </c>
      <c r="CD185" s="21" t="str">
        <f>IF([1]!BANCO10[[#This Row],[SOLUÇÃO]]=CD$1,[1]!BANCO10[[#This Row],[STATUS DA ETAPA]],"")</f>
        <v/>
      </c>
      <c r="CE185" s="21" t="str">
        <f>IF([1]!BANCO10[[#This Row],[SOLUÇÃO]]=CE$1,[1]!BANCO10[[#This Row],[STATUS DA ETAPA]],"")</f>
        <v/>
      </c>
      <c r="CF185" s="21" t="str">
        <f>IF([1]!BANCO10[[#This Row],[SOLUÇÃO]]=CF$1,[1]!BANCO10[[#This Row],[STATUS DA ETAPA]],"")</f>
        <v/>
      </c>
      <c r="CG185" s="21" t="str">
        <f>IF([1]!BANCO10[[#This Row],[SOLUÇÃO]]=CG$1,[1]!BANCO10[[#This Row],[STATUS DA ETAPA]],"")</f>
        <v/>
      </c>
      <c r="CH185" s="21" t="str">
        <f>IF([1]!BANCO10[[#This Row],[SOLUÇÃO]]=CH$1,[1]!BANCO10[[#This Row],[STATUS DA ETAPA]],"")</f>
        <v/>
      </c>
      <c r="CI185" s="21" t="str">
        <f>IF([1]!BANCO10[[#This Row],[SOLUÇÃO]]=CI$1,[1]!BANCO10[[#This Row],[STATUS DA ETAPA]],"")</f>
        <v/>
      </c>
      <c r="CJ185" s="21" t="str">
        <f>IF([1]!BANCO10[[#This Row],[SOLUÇÃO]]=CJ$1,[1]!BANCO10[[#This Row],[STATUS DA ETAPA]],"")</f>
        <v/>
      </c>
      <c r="CK185" s="21" t="str">
        <f>IF([1]!BANCO10[[#This Row],[SOLUÇÃO]]=CK$1,[1]!BANCO10[[#This Row],[STATUS DA ETAPA]],"")</f>
        <v/>
      </c>
      <c r="CL185" s="21" t="str">
        <f>IF([1]!BANCO10[[#This Row],[SOLUÇÃO]]=CL$1,[1]!BANCO10[[#This Row],[STATUS DA ETAPA]],"")</f>
        <v/>
      </c>
      <c r="CM185" s="21" t="str">
        <f>IF([1]!BANCO10[[#This Row],[SOLUÇÃO]]=CM$1,[1]!BANCO10[[#This Row],[STATUS DA ETAPA]],"")</f>
        <v/>
      </c>
      <c r="CN185" s="21" t="str">
        <f>IF([1]!BANCO10[[#This Row],[SOLUÇÃO]]=CN$1,[1]!BANCO10[[#This Row],[STATUS DA ETAPA]],"")</f>
        <v/>
      </c>
      <c r="CO185" s="21" t="str">
        <f>IF([1]!BANCO10[[#This Row],[SOLUÇÃO]]=CO$1,[1]!BANCO10[[#This Row],[STATUS DA ETAPA]],"")</f>
        <v/>
      </c>
      <c r="CP185" s="21" t="str">
        <f>IF([1]!BANCO10[[#This Row],[SOLUÇÃO]]=CP$1,[1]!BANCO10[[#This Row],[STATUS DA ETAPA]],"")</f>
        <v/>
      </c>
      <c r="CQ185" s="21" t="str">
        <f>IF([1]!BANCO10[[#This Row],[SOLUÇÃO]]=CQ$1,[1]!BANCO10[[#This Row],[STATUS DA ETAPA]],"")</f>
        <v/>
      </c>
      <c r="CR185" s="21" t="str">
        <f>IF([1]!BANCO10[[#This Row],[SOLUÇÃO]]=CR$1,[1]!BANCO10[[#This Row],[STATUS DA ETAPA]],"")</f>
        <v/>
      </c>
      <c r="CS185" s="21" t="str">
        <f>IF([1]!BANCO10[[#This Row],[SOLUÇÃO]]=CS$1,[1]!BANCO10[[#This Row],[STATUS DA ETAPA]],"")</f>
        <v/>
      </c>
      <c r="CT185" s="21" t="str">
        <f>IF([1]!BANCO10[[#This Row],[SOLUÇÃO]]=CT$1,[1]!BANCO10[[#This Row],[STATUS DA ETAPA]],"")</f>
        <v/>
      </c>
      <c r="CU185" s="21" t="str">
        <f>IF([1]!BANCO10[[#This Row],[SOLUÇÃO]]=CU$1,[1]!BANCO10[[#This Row],[STATUS DA ETAPA]],"")</f>
        <v/>
      </c>
      <c r="CV185" s="21" t="str">
        <f>IF([1]!BANCO10[[#This Row],[SOLUÇÃO]]=CV$1,[1]!BANCO10[[#This Row],[STATUS DA ETAPA]],"")</f>
        <v/>
      </c>
    </row>
    <row r="186" spans="1:100">
      <c r="A186" s="44" t="s">
        <v>1</v>
      </c>
      <c r="B186" s="44"/>
      <c r="C186" s="44" t="s">
        <v>1</v>
      </c>
      <c r="D186" s="44"/>
      <c r="E186" s="44" t="s">
        <v>1</v>
      </c>
      <c r="F186" s="44"/>
      <c r="G186" s="44" t="s">
        <v>1</v>
      </c>
      <c r="H186" s="44"/>
      <c r="I186" s="45" t="s">
        <v>1</v>
      </c>
      <c r="J186" s="46"/>
      <c r="K186" s="45" t="s">
        <v>1</v>
      </c>
      <c r="L186" s="33"/>
      <c r="M186" s="45" t="s">
        <v>1</v>
      </c>
      <c r="N186" s="33"/>
      <c r="O186" s="44" t="s">
        <v>1</v>
      </c>
      <c r="P186" s="44"/>
      <c r="Q186" s="44" t="s">
        <v>1</v>
      </c>
      <c r="R186" s="44"/>
      <c r="S186" s="44" t="s">
        <v>1</v>
      </c>
      <c r="T186" s="44"/>
      <c r="U186" s="44" t="s">
        <v>1</v>
      </c>
      <c r="V186" s="44"/>
      <c r="W186" s="44" t="s">
        <v>1</v>
      </c>
      <c r="X186" s="44"/>
      <c r="Y186" s="44" t="s">
        <v>1</v>
      </c>
      <c r="Z186" s="44"/>
      <c r="AA186" s="44" t="s">
        <v>1</v>
      </c>
      <c r="AB186" s="44"/>
      <c r="AC186" s="51">
        <v>45963</v>
      </c>
      <c r="AD186" s="50">
        <v>45963</v>
      </c>
      <c r="AE186" s="40" t="s">
        <v>1</v>
      </c>
      <c r="AF186" s="40" t="s">
        <v>1</v>
      </c>
      <c r="AG186" s="40" t="s">
        <v>1</v>
      </c>
      <c r="AH186" s="36" t="s">
        <v>1</v>
      </c>
      <c r="AI186" s="49">
        <v>0</v>
      </c>
      <c r="AJ186" s="36" t="s">
        <v>1</v>
      </c>
      <c r="AK186" s="10" t="s">
        <v>1</v>
      </c>
      <c r="AL186" s="36" t="s">
        <v>1</v>
      </c>
      <c r="AM186" s="36" t="s">
        <v>1</v>
      </c>
      <c r="AN186" s="35" t="s">
        <v>1</v>
      </c>
      <c r="AO186" s="35" t="s">
        <v>1</v>
      </c>
      <c r="AP186" s="35" t="s">
        <v>1</v>
      </c>
      <c r="AQ186" s="35" t="s">
        <v>1</v>
      </c>
      <c r="AR186" s="33" t="s">
        <v>1</v>
      </c>
      <c r="AS186" s="63"/>
      <c r="AT186" s="32" t="s">
        <v>1</v>
      </c>
      <c r="AU186" s="31"/>
      <c r="AV186" s="32" t="s">
        <v>1</v>
      </c>
      <c r="AW186" s="31"/>
      <c r="AX186" s="32" t="s">
        <v>1</v>
      </c>
      <c r="AY186" s="31"/>
      <c r="AZ186" s="32" t="s">
        <v>1</v>
      </c>
      <c r="BA186" s="47"/>
      <c r="BB186" s="74"/>
      <c r="BC186" s="25"/>
      <c r="BD186" s="24" t="s">
        <v>695</v>
      </c>
      <c r="BE186" s="24" t="s">
        <v>11</v>
      </c>
      <c r="BF186" s="24" t="s">
        <v>51</v>
      </c>
      <c r="BG186" s="24" t="s">
        <v>11</v>
      </c>
      <c r="BH186" s="130" t="s">
        <v>19</v>
      </c>
      <c r="BI186" s="24"/>
      <c r="BJ186" s="24" t="s">
        <v>11</v>
      </c>
      <c r="BK186" s="24" t="s">
        <v>11</v>
      </c>
      <c r="BL186" s="24">
        <v>45390</v>
      </c>
      <c r="BM186" s="24" t="s">
        <v>11</v>
      </c>
      <c r="BN186" s="24" t="s">
        <v>11</v>
      </c>
      <c r="BO186" s="24"/>
      <c r="BP186" s="24" t="s">
        <v>698</v>
      </c>
      <c r="BQ186" s="22">
        <f>YEAR([1]!BANCO10[[#This Row],[DATA INÍCIO]])</f>
        <v>2025</v>
      </c>
      <c r="BR186" s="22">
        <f>MONTH([1]!BANCO10[[#This Row],[DATA INÍCIO]])</f>
        <v>11</v>
      </c>
      <c r="BS186" s="129" t="e">
        <f>CONCATENATE(#REF!,#REF!)</f>
        <v>#REF!</v>
      </c>
      <c r="BT186" s="22"/>
      <c r="BU186" s="21" t="s">
        <v>30</v>
      </c>
      <c r="BV186" s="21" t="str">
        <f>IF([1]!BANCO10[[#This Row],[SOLUÇÃO]]=BV$1,[1]!BANCO10[[#This Row],[STATUS DA ETAPA]],"")</f>
        <v/>
      </c>
      <c r="BW186" s="21" t="str">
        <f>IF([1]!BANCO10[[#This Row],[SOLUÇÃO]]=BW$1,[1]!BANCO10[[#This Row],[STATUS DA ETAPA]],"")</f>
        <v/>
      </c>
      <c r="BX186" s="21" t="str">
        <f>IF([1]!BANCO10[[#This Row],[SOLUÇÃO]]=BX$1,[1]!BANCO10[[#This Row],[STATUS DA ETAPA]],"")</f>
        <v/>
      </c>
      <c r="BY186" s="21" t="str">
        <f>IF([1]!BANCO10[[#This Row],[SOLUÇÃO]]=BY$1,[1]!BANCO10[[#This Row],[STATUS DA ETAPA]],"")</f>
        <v/>
      </c>
      <c r="BZ186" s="21" t="str">
        <f>IF([1]!BANCO10[[#This Row],[SOLUÇÃO]]=BZ$1,[1]!BANCO10[[#This Row],[STATUS DA ETAPA]],"")</f>
        <v/>
      </c>
      <c r="CA186" s="21" t="str">
        <f>IF([1]!BANCO10[[#This Row],[SOLUÇÃO]]=CA$1,[1]!BANCO10[[#This Row],[STATUS DA ETAPA]],"")</f>
        <v/>
      </c>
      <c r="CB186" s="21" t="str">
        <f>IF([1]!BANCO10[[#This Row],[SOLUÇÃO]]=CB$1,[1]!BANCO10[[#This Row],[STATUS DA ETAPA]],"")</f>
        <v/>
      </c>
      <c r="CC186" s="21" t="str">
        <f>IF([1]!BANCO10[[#This Row],[SOLUÇÃO]]=CC$1,[1]!BANCO10[[#This Row],[STATUS DA ETAPA]],"")</f>
        <v/>
      </c>
      <c r="CD186" s="21" t="str">
        <f>IF([1]!BANCO10[[#This Row],[SOLUÇÃO]]=CD$1,[1]!BANCO10[[#This Row],[STATUS DA ETAPA]],"")</f>
        <v/>
      </c>
      <c r="CE186" s="21" t="str">
        <f>IF([1]!BANCO10[[#This Row],[SOLUÇÃO]]=CE$1,[1]!BANCO10[[#This Row],[STATUS DA ETAPA]],"")</f>
        <v/>
      </c>
      <c r="CF186" s="21" t="str">
        <f>IF([1]!BANCO10[[#This Row],[SOLUÇÃO]]=CF$1,[1]!BANCO10[[#This Row],[STATUS DA ETAPA]],"")</f>
        <v/>
      </c>
      <c r="CG186" s="21" t="str">
        <f>IF([1]!BANCO10[[#This Row],[SOLUÇÃO]]=CG$1,[1]!BANCO10[[#This Row],[STATUS DA ETAPA]],"")</f>
        <v/>
      </c>
      <c r="CH186" s="21" t="str">
        <f>IF([1]!BANCO10[[#This Row],[SOLUÇÃO]]=CH$1,[1]!BANCO10[[#This Row],[STATUS DA ETAPA]],"")</f>
        <v/>
      </c>
      <c r="CI186" s="21" t="str">
        <f>IF([1]!BANCO10[[#This Row],[SOLUÇÃO]]=CI$1,[1]!BANCO10[[#This Row],[STATUS DA ETAPA]],"")</f>
        <v/>
      </c>
      <c r="CJ186" s="21" t="str">
        <f>IF([1]!BANCO10[[#This Row],[SOLUÇÃO]]=CJ$1,[1]!BANCO10[[#This Row],[STATUS DA ETAPA]],"")</f>
        <v/>
      </c>
      <c r="CK186" s="21" t="str">
        <f>IF([1]!BANCO10[[#This Row],[SOLUÇÃO]]=CK$1,[1]!BANCO10[[#This Row],[STATUS DA ETAPA]],"")</f>
        <v/>
      </c>
      <c r="CL186" s="21" t="str">
        <f>IF([1]!BANCO10[[#This Row],[SOLUÇÃO]]=CL$1,[1]!BANCO10[[#This Row],[STATUS DA ETAPA]],"")</f>
        <v>CANCELADO</v>
      </c>
      <c r="CM186" s="21" t="str">
        <f>IF([1]!BANCO10[[#This Row],[SOLUÇÃO]]=CM$1,[1]!BANCO10[[#This Row],[STATUS DA ETAPA]],"")</f>
        <v/>
      </c>
      <c r="CN186" s="21" t="str">
        <f>IF([1]!BANCO10[[#This Row],[SOLUÇÃO]]=CN$1,[1]!BANCO10[[#This Row],[STATUS DA ETAPA]],"")</f>
        <v/>
      </c>
      <c r="CO186" s="21" t="str">
        <f>IF([1]!BANCO10[[#This Row],[SOLUÇÃO]]=CO$1,[1]!BANCO10[[#This Row],[STATUS DA ETAPA]],"")</f>
        <v/>
      </c>
      <c r="CP186" s="21" t="str">
        <f>IF([1]!BANCO10[[#This Row],[SOLUÇÃO]]=CP$1,[1]!BANCO10[[#This Row],[STATUS DA ETAPA]],"")</f>
        <v/>
      </c>
      <c r="CQ186" s="21" t="str">
        <f>IF([1]!BANCO10[[#This Row],[SOLUÇÃO]]=CQ$1,[1]!BANCO10[[#This Row],[STATUS DA ETAPA]],"")</f>
        <v/>
      </c>
      <c r="CR186" s="21" t="str">
        <f>IF([1]!BANCO10[[#This Row],[SOLUÇÃO]]=CR$1,[1]!BANCO10[[#This Row],[STATUS DA ETAPA]],"")</f>
        <v/>
      </c>
      <c r="CS186" s="21" t="str">
        <f>IF([1]!BANCO10[[#This Row],[SOLUÇÃO]]=CS$1,[1]!BANCO10[[#This Row],[STATUS DA ETAPA]],"")</f>
        <v/>
      </c>
      <c r="CT186" s="21" t="str">
        <f>IF([1]!BANCO10[[#This Row],[SOLUÇÃO]]=CT$1,[1]!BANCO10[[#This Row],[STATUS DA ETAPA]],"")</f>
        <v/>
      </c>
      <c r="CU186" s="21" t="str">
        <f>IF([1]!BANCO10[[#This Row],[SOLUÇÃO]]=CU$1,[1]!BANCO10[[#This Row],[STATUS DA ETAPA]],"")</f>
        <v/>
      </c>
      <c r="CV186" s="21" t="str">
        <f>IF([1]!BANCO10[[#This Row],[SOLUÇÃO]]=CV$1,[1]!BANCO10[[#This Row],[STATUS DA ETAPA]],"")</f>
        <v/>
      </c>
    </row>
    <row r="187" spans="1:100">
      <c r="A187" s="44" t="s">
        <v>1</v>
      </c>
      <c r="B187" s="44"/>
      <c r="C187" s="44" t="s">
        <v>1</v>
      </c>
      <c r="D187" s="44"/>
      <c r="E187" s="44" t="s">
        <v>1</v>
      </c>
      <c r="F187" s="44"/>
      <c r="G187" s="44" t="s">
        <v>1</v>
      </c>
      <c r="H187" s="44"/>
      <c r="I187" s="45" t="s">
        <v>1</v>
      </c>
      <c r="J187" s="46"/>
      <c r="K187" s="45" t="s">
        <v>1</v>
      </c>
      <c r="L187" s="33"/>
      <c r="M187" s="45" t="s">
        <v>1</v>
      </c>
      <c r="N187" s="33"/>
      <c r="O187" s="44" t="s">
        <v>2</v>
      </c>
      <c r="P187" s="44">
        <v>44949</v>
      </c>
      <c r="Q187" s="44" t="s">
        <v>0</v>
      </c>
      <c r="R187" s="44"/>
      <c r="S187" s="44" t="s">
        <v>1</v>
      </c>
      <c r="T187" s="44"/>
      <c r="U187" s="44" t="s">
        <v>1</v>
      </c>
      <c r="V187" s="44"/>
      <c r="W187" s="44" t="s">
        <v>1</v>
      </c>
      <c r="X187" s="44"/>
      <c r="Y187" s="44" t="s">
        <v>1</v>
      </c>
      <c r="Z187" s="44"/>
      <c r="AA187" s="44" t="s">
        <v>1</v>
      </c>
      <c r="AB187" s="44"/>
      <c r="AC187" s="51">
        <v>44949</v>
      </c>
      <c r="AD187" s="50">
        <v>44949</v>
      </c>
      <c r="AE187" s="40" t="s">
        <v>1</v>
      </c>
      <c r="AF187" s="40" t="s">
        <v>1</v>
      </c>
      <c r="AG187" s="76" t="s">
        <v>5</v>
      </c>
      <c r="AH187" s="36" t="s">
        <v>1</v>
      </c>
      <c r="AI187" s="49">
        <v>0</v>
      </c>
      <c r="AJ187" s="36" t="s">
        <v>1</v>
      </c>
      <c r="AK187" s="10" t="s">
        <v>1</v>
      </c>
      <c r="AL187" s="36" t="s">
        <v>1</v>
      </c>
      <c r="AM187" s="36" t="s">
        <v>1</v>
      </c>
      <c r="AN187" s="35" t="s">
        <v>1</v>
      </c>
      <c r="AO187" s="35" t="s">
        <v>1</v>
      </c>
      <c r="AP187" s="35" t="s">
        <v>1</v>
      </c>
      <c r="AQ187" s="35" t="s">
        <v>1</v>
      </c>
      <c r="AR187" s="82" t="s">
        <v>1</v>
      </c>
      <c r="AS187" s="33"/>
      <c r="AT187" s="32" t="s">
        <v>1</v>
      </c>
      <c r="AU187" s="31"/>
      <c r="AV187" s="32" t="s">
        <v>1</v>
      </c>
      <c r="AW187" s="31"/>
      <c r="AX187" s="30" t="s">
        <v>1</v>
      </c>
      <c r="AY187" s="55"/>
      <c r="AZ187" s="30" t="s">
        <v>1</v>
      </c>
      <c r="BA187" s="55"/>
      <c r="BB187" s="74" t="s">
        <v>696</v>
      </c>
      <c r="BC187" s="25"/>
      <c r="BD187" s="24" t="s">
        <v>695</v>
      </c>
      <c r="BE187" s="24" t="s">
        <v>11</v>
      </c>
      <c r="BF187" s="24" t="s">
        <v>51</v>
      </c>
      <c r="BG187" s="24" t="s">
        <v>11</v>
      </c>
      <c r="BH187" s="130" t="s">
        <v>19</v>
      </c>
      <c r="BI187" s="24"/>
      <c r="BJ187" s="24" t="s">
        <v>11</v>
      </c>
      <c r="BK187" s="24" t="s">
        <v>11</v>
      </c>
      <c r="BL187" s="24" t="s">
        <v>11</v>
      </c>
      <c r="BM187" s="24" t="s">
        <v>11</v>
      </c>
      <c r="BN187" s="24" t="s">
        <v>11</v>
      </c>
      <c r="BO187" s="24" t="s">
        <v>11</v>
      </c>
      <c r="BP187" s="24" t="s">
        <v>11</v>
      </c>
      <c r="BQ187" s="22">
        <f>YEAR([1]!BANCO10[[#This Row],[DATA INÍCIO]])</f>
        <v>2023</v>
      </c>
      <c r="BR187" s="22">
        <f>MONTH([1]!BANCO10[[#This Row],[DATA INÍCIO]])</f>
        <v>1</v>
      </c>
      <c r="BS187" s="129" t="e">
        <f>CONCATENATE(#REF!,#REF!)</f>
        <v>#REF!</v>
      </c>
      <c r="BT187" s="22"/>
      <c r="BU187" s="21" t="s">
        <v>697</v>
      </c>
      <c r="BV187" s="21" t="str">
        <f>IF([1]!BANCO10[[#This Row],[SOLUÇÃO]]=BV$1,[1]!BANCO10[[#This Row],[STATUS DA ETAPA]],"")</f>
        <v>CONCLUÍDO</v>
      </c>
      <c r="BW187" s="21" t="str">
        <f>IF([1]!BANCO10[[#This Row],[SOLUÇÃO]]=BW$1,[1]!BANCO10[[#This Row],[STATUS DA ETAPA]],"")</f>
        <v/>
      </c>
      <c r="BX187" s="21" t="str">
        <f>IF([1]!BANCO10[[#This Row],[SOLUÇÃO]]=BX$1,[1]!BANCO10[[#This Row],[STATUS DA ETAPA]],"")</f>
        <v/>
      </c>
      <c r="BY187" s="21" t="str">
        <f>IF([1]!BANCO10[[#This Row],[SOLUÇÃO]]=BY$1,[1]!BANCO10[[#This Row],[STATUS DA ETAPA]],"")</f>
        <v/>
      </c>
      <c r="BZ187" s="21" t="str">
        <f>IF([1]!BANCO10[[#This Row],[SOLUÇÃO]]=BZ$1,[1]!BANCO10[[#This Row],[STATUS DA ETAPA]],"")</f>
        <v/>
      </c>
      <c r="CA187" s="21" t="str">
        <f>IF([1]!BANCO10[[#This Row],[SOLUÇÃO]]=CA$1,[1]!BANCO10[[#This Row],[STATUS DA ETAPA]],"")</f>
        <v/>
      </c>
      <c r="CB187" s="21" t="str">
        <f>IF([1]!BANCO10[[#This Row],[SOLUÇÃO]]=CB$1,[1]!BANCO10[[#This Row],[STATUS DA ETAPA]],"")</f>
        <v/>
      </c>
      <c r="CC187" s="21" t="str">
        <f>IF([1]!BANCO10[[#This Row],[SOLUÇÃO]]=CC$1,[1]!BANCO10[[#This Row],[STATUS DA ETAPA]],"")</f>
        <v/>
      </c>
      <c r="CD187" s="21" t="str">
        <f>IF([1]!BANCO10[[#This Row],[SOLUÇÃO]]=CD$1,[1]!BANCO10[[#This Row],[STATUS DA ETAPA]],"")</f>
        <v/>
      </c>
      <c r="CE187" s="21" t="str">
        <f>IF([1]!BANCO10[[#This Row],[SOLUÇÃO]]=CE$1,[1]!BANCO10[[#This Row],[STATUS DA ETAPA]],"")</f>
        <v/>
      </c>
      <c r="CF187" s="21" t="str">
        <f>IF([1]!BANCO10[[#This Row],[SOLUÇÃO]]=CF$1,[1]!BANCO10[[#This Row],[STATUS DA ETAPA]],"")</f>
        <v/>
      </c>
      <c r="CG187" s="21" t="str">
        <f>IF([1]!BANCO10[[#This Row],[SOLUÇÃO]]=CG$1,[1]!BANCO10[[#This Row],[STATUS DA ETAPA]],"")</f>
        <v/>
      </c>
      <c r="CH187" s="21" t="str">
        <f>IF([1]!BANCO10[[#This Row],[SOLUÇÃO]]=CH$1,[1]!BANCO10[[#This Row],[STATUS DA ETAPA]],"")</f>
        <v/>
      </c>
      <c r="CI187" s="21" t="str">
        <f>IF([1]!BANCO10[[#This Row],[SOLUÇÃO]]=CI$1,[1]!BANCO10[[#This Row],[STATUS DA ETAPA]],"")</f>
        <v/>
      </c>
      <c r="CJ187" s="21" t="str">
        <f>IF([1]!BANCO10[[#This Row],[SOLUÇÃO]]=CJ$1,[1]!BANCO10[[#This Row],[STATUS DA ETAPA]],"")</f>
        <v/>
      </c>
      <c r="CK187" s="21" t="str">
        <f>IF([1]!BANCO10[[#This Row],[SOLUÇÃO]]=CK$1,[1]!BANCO10[[#This Row],[STATUS DA ETAPA]],"")</f>
        <v/>
      </c>
      <c r="CL187" s="21" t="str">
        <f>IF([1]!BANCO10[[#This Row],[SOLUÇÃO]]=CL$1,[1]!BANCO10[[#This Row],[STATUS DA ETAPA]],"")</f>
        <v/>
      </c>
      <c r="CM187" s="21" t="str">
        <f>IF([1]!BANCO10[[#This Row],[SOLUÇÃO]]=CM$1,[1]!BANCO10[[#This Row],[STATUS DA ETAPA]],"")</f>
        <v/>
      </c>
      <c r="CN187" s="21" t="str">
        <f>IF([1]!BANCO10[[#This Row],[SOLUÇÃO]]=CN$1,[1]!BANCO10[[#This Row],[STATUS DA ETAPA]],"")</f>
        <v/>
      </c>
      <c r="CO187" s="21" t="str">
        <f>IF([1]!BANCO10[[#This Row],[SOLUÇÃO]]=CO$1,[1]!BANCO10[[#This Row],[STATUS DA ETAPA]],"")</f>
        <v/>
      </c>
      <c r="CP187" s="21" t="str">
        <f>IF([1]!BANCO10[[#This Row],[SOLUÇÃO]]=CP$1,[1]!BANCO10[[#This Row],[STATUS DA ETAPA]],"")</f>
        <v/>
      </c>
      <c r="CQ187" s="21" t="str">
        <f>IF([1]!BANCO10[[#This Row],[SOLUÇÃO]]=CQ$1,[1]!BANCO10[[#This Row],[STATUS DA ETAPA]],"")</f>
        <v/>
      </c>
      <c r="CR187" s="21" t="str">
        <f>IF([1]!BANCO10[[#This Row],[SOLUÇÃO]]=CR$1,[1]!BANCO10[[#This Row],[STATUS DA ETAPA]],"")</f>
        <v/>
      </c>
      <c r="CS187" s="21" t="str">
        <f>IF([1]!BANCO10[[#This Row],[SOLUÇÃO]]=CS$1,[1]!BANCO10[[#This Row],[STATUS DA ETAPA]],"")</f>
        <v/>
      </c>
      <c r="CT187" s="21" t="str">
        <f>IF([1]!BANCO10[[#This Row],[SOLUÇÃO]]=CT$1,[1]!BANCO10[[#This Row],[STATUS DA ETAPA]],"")</f>
        <v/>
      </c>
      <c r="CU187" s="21" t="str">
        <f>IF([1]!BANCO10[[#This Row],[SOLUÇÃO]]=CU$1,[1]!BANCO10[[#This Row],[STATUS DA ETAPA]],"")</f>
        <v/>
      </c>
      <c r="CV187" s="21" t="str">
        <f>IF([1]!BANCO10[[#This Row],[SOLUÇÃO]]=CV$1,[1]!BANCO10[[#This Row],[STATUS DA ETAPA]],"")</f>
        <v/>
      </c>
    </row>
    <row r="188" spans="1:100">
      <c r="A188" s="44" t="s">
        <v>1</v>
      </c>
      <c r="B188" s="44"/>
      <c r="C188" s="44" t="s">
        <v>1</v>
      </c>
      <c r="D188" s="44"/>
      <c r="E188" s="44" t="s">
        <v>1</v>
      </c>
      <c r="F188" s="44"/>
      <c r="G188" s="44" t="s">
        <v>1</v>
      </c>
      <c r="H188" s="44"/>
      <c r="I188" s="45" t="s">
        <v>1</v>
      </c>
      <c r="J188" s="46"/>
      <c r="K188" s="45" t="s">
        <v>1</v>
      </c>
      <c r="L188" s="33"/>
      <c r="M188" s="45" t="s">
        <v>1</v>
      </c>
      <c r="N188" s="33"/>
      <c r="O188" s="44" t="s">
        <v>2</v>
      </c>
      <c r="P188" s="44">
        <v>44949</v>
      </c>
      <c r="Q188" s="44" t="s">
        <v>2</v>
      </c>
      <c r="R188" s="44">
        <v>45159</v>
      </c>
      <c r="S188" s="44"/>
      <c r="T188" s="44"/>
      <c r="U188" s="44" t="s">
        <v>2</v>
      </c>
      <c r="V188" s="44">
        <v>45148</v>
      </c>
      <c r="W188" s="44" t="s">
        <v>1</v>
      </c>
      <c r="X188" s="44"/>
      <c r="Y188" s="44" t="s">
        <v>1</v>
      </c>
      <c r="Z188" s="44"/>
      <c r="AA188" s="44" t="s">
        <v>1</v>
      </c>
      <c r="AB188" s="44"/>
      <c r="AC188" s="51">
        <v>45320</v>
      </c>
      <c r="AD188" s="50">
        <v>45457</v>
      </c>
      <c r="AE188" s="40" t="s">
        <v>2</v>
      </c>
      <c r="AF188" s="40" t="s">
        <v>2</v>
      </c>
      <c r="AG188" s="76" t="s">
        <v>5</v>
      </c>
      <c r="AH188" s="36" t="s">
        <v>2</v>
      </c>
      <c r="AI188" s="49">
        <v>0</v>
      </c>
      <c r="AJ188" s="36" t="s">
        <v>1</v>
      </c>
      <c r="AK188" s="10" t="s">
        <v>1</v>
      </c>
      <c r="AL188" s="36" t="s">
        <v>1</v>
      </c>
      <c r="AM188" s="36" t="s">
        <v>1</v>
      </c>
      <c r="AN188" s="35" t="s">
        <v>1</v>
      </c>
      <c r="AO188" s="35" t="s">
        <v>1</v>
      </c>
      <c r="AP188" s="35" t="s">
        <v>2</v>
      </c>
      <c r="AQ188" s="35" t="s">
        <v>1</v>
      </c>
      <c r="AR188" s="34" t="s">
        <v>1</v>
      </c>
      <c r="AS188" s="33"/>
      <c r="AT188" s="32" t="s">
        <v>1</v>
      </c>
      <c r="AU188" s="31"/>
      <c r="AV188" s="32" t="s">
        <v>1</v>
      </c>
      <c r="AW188" s="31"/>
      <c r="AX188" s="30" t="s">
        <v>2</v>
      </c>
      <c r="AY188" s="55">
        <v>45457</v>
      </c>
      <c r="AZ188" s="30" t="s">
        <v>2</v>
      </c>
      <c r="BA188" s="55">
        <v>45622</v>
      </c>
      <c r="BB188" s="74" t="s">
        <v>696</v>
      </c>
      <c r="BC188" s="25"/>
      <c r="BD188" s="24" t="s">
        <v>695</v>
      </c>
      <c r="BE188" s="24" t="s">
        <v>11</v>
      </c>
      <c r="BF188" s="24" t="s">
        <v>51</v>
      </c>
      <c r="BG188" s="24" t="s">
        <v>11</v>
      </c>
      <c r="BH188" s="130" t="s">
        <v>19</v>
      </c>
      <c r="BI188" s="24"/>
      <c r="BJ188" s="24" t="s">
        <v>11</v>
      </c>
      <c r="BK188" s="24" t="s">
        <v>11</v>
      </c>
      <c r="BL188" s="24" t="s">
        <v>11</v>
      </c>
      <c r="BM188" s="24" t="s">
        <v>11</v>
      </c>
      <c r="BN188" s="24" t="s">
        <v>11</v>
      </c>
      <c r="BO188" s="24" t="s">
        <v>11</v>
      </c>
      <c r="BP188" s="24" t="s">
        <v>11</v>
      </c>
      <c r="BQ188" s="22">
        <f>YEAR([1]!BANCO10[[#This Row],[DATA INÍCIO]])</f>
        <v>2024</v>
      </c>
      <c r="BR188" s="22">
        <f>MONTH([1]!BANCO10[[#This Row],[DATA INÍCIO]])</f>
        <v>1</v>
      </c>
      <c r="BS188" s="129" t="e">
        <f>CONCATENATE(#REF!,#REF!)</f>
        <v>#REF!</v>
      </c>
      <c r="BT188" s="22"/>
      <c r="BU188" s="21" t="s">
        <v>694</v>
      </c>
      <c r="BV188" s="21" t="str">
        <f>IF([1]!BANCO10[[#This Row],[SOLUÇÃO]]=BV$1,[1]!BANCO10[[#This Row],[STATUS DA ETAPA]],"")</f>
        <v/>
      </c>
      <c r="BW188" s="21" t="str">
        <f>IF([1]!BANCO10[[#This Row],[SOLUÇÃO]]=BW$1,[1]!BANCO10[[#This Row],[STATUS DA ETAPA]],"")</f>
        <v/>
      </c>
      <c r="BX188" s="21" t="str">
        <f>IF([1]!BANCO10[[#This Row],[SOLUÇÃO]]=BX$1,[1]!BANCO10[[#This Row],[STATUS DA ETAPA]],"")</f>
        <v/>
      </c>
      <c r="BY188" s="21" t="str">
        <f>IF([1]!BANCO10[[#This Row],[SOLUÇÃO]]=BY$1,[1]!BANCO10[[#This Row],[STATUS DA ETAPA]],"")</f>
        <v/>
      </c>
      <c r="BZ188" s="21" t="str">
        <f>IF([1]!BANCO10[[#This Row],[SOLUÇÃO]]=BZ$1,[1]!BANCO10[[#This Row],[STATUS DA ETAPA]],"")</f>
        <v/>
      </c>
      <c r="CA188" s="21" t="str">
        <f>IF([1]!BANCO10[[#This Row],[SOLUÇÃO]]=CA$1,[1]!BANCO10[[#This Row],[STATUS DA ETAPA]],"")</f>
        <v>CONCLUÍDO</v>
      </c>
      <c r="CB188" s="21" t="str">
        <f>IF([1]!BANCO10[[#This Row],[SOLUÇÃO]]=CB$1,[1]!BANCO10[[#This Row],[STATUS DA ETAPA]],"")</f>
        <v/>
      </c>
      <c r="CC188" s="21" t="str">
        <f>IF([1]!BANCO10[[#This Row],[SOLUÇÃO]]=CC$1,[1]!BANCO10[[#This Row],[STATUS DA ETAPA]],"")</f>
        <v/>
      </c>
      <c r="CD188" s="21" t="str">
        <f>IF([1]!BANCO10[[#This Row],[SOLUÇÃO]]=CD$1,[1]!BANCO10[[#This Row],[STATUS DA ETAPA]],"")</f>
        <v/>
      </c>
      <c r="CE188" s="21" t="str">
        <f>IF([1]!BANCO10[[#This Row],[SOLUÇÃO]]=CE$1,[1]!BANCO10[[#This Row],[STATUS DA ETAPA]],"")</f>
        <v/>
      </c>
      <c r="CF188" s="21" t="str">
        <f>IF([1]!BANCO10[[#This Row],[SOLUÇÃO]]=CF$1,[1]!BANCO10[[#This Row],[STATUS DA ETAPA]],"")</f>
        <v/>
      </c>
      <c r="CG188" s="21" t="str">
        <f>IF([1]!BANCO10[[#This Row],[SOLUÇÃO]]=CG$1,[1]!BANCO10[[#This Row],[STATUS DA ETAPA]],"")</f>
        <v/>
      </c>
      <c r="CH188" s="21" t="str">
        <f>IF([1]!BANCO10[[#This Row],[SOLUÇÃO]]=CH$1,[1]!BANCO10[[#This Row],[STATUS DA ETAPA]],"")</f>
        <v/>
      </c>
      <c r="CI188" s="21" t="str">
        <f>IF([1]!BANCO10[[#This Row],[SOLUÇÃO]]=CI$1,[1]!BANCO10[[#This Row],[STATUS DA ETAPA]],"")</f>
        <v/>
      </c>
      <c r="CJ188" s="21" t="str">
        <f>IF([1]!BANCO10[[#This Row],[SOLUÇÃO]]=CJ$1,[1]!BANCO10[[#This Row],[STATUS DA ETAPA]],"")</f>
        <v/>
      </c>
      <c r="CK188" s="21" t="str">
        <f>IF([1]!BANCO10[[#This Row],[SOLUÇÃO]]=CK$1,[1]!BANCO10[[#This Row],[STATUS DA ETAPA]],"")</f>
        <v/>
      </c>
      <c r="CL188" s="21" t="str">
        <f>IF([1]!BANCO10[[#This Row],[SOLUÇÃO]]=CL$1,[1]!BANCO10[[#This Row],[STATUS DA ETAPA]],"")</f>
        <v/>
      </c>
      <c r="CM188" s="21" t="str">
        <f>IF([1]!BANCO10[[#This Row],[SOLUÇÃO]]=CM$1,[1]!BANCO10[[#This Row],[STATUS DA ETAPA]],"")</f>
        <v/>
      </c>
      <c r="CN188" s="21" t="str">
        <f>IF([1]!BANCO10[[#This Row],[SOLUÇÃO]]=CN$1,[1]!BANCO10[[#This Row],[STATUS DA ETAPA]],"")</f>
        <v/>
      </c>
      <c r="CO188" s="21" t="str">
        <f>IF([1]!BANCO10[[#This Row],[SOLUÇÃO]]=CO$1,[1]!BANCO10[[#This Row],[STATUS DA ETAPA]],"")</f>
        <v/>
      </c>
      <c r="CP188" s="21" t="str">
        <f>IF([1]!BANCO10[[#This Row],[SOLUÇÃO]]=CP$1,[1]!BANCO10[[#This Row],[STATUS DA ETAPA]],"")</f>
        <v/>
      </c>
      <c r="CQ188" s="21" t="str">
        <f>IF([1]!BANCO10[[#This Row],[SOLUÇÃO]]=CQ$1,[1]!BANCO10[[#This Row],[STATUS DA ETAPA]],"")</f>
        <v/>
      </c>
      <c r="CR188" s="21" t="str">
        <f>IF([1]!BANCO10[[#This Row],[SOLUÇÃO]]=CR$1,[1]!BANCO10[[#This Row],[STATUS DA ETAPA]],"")</f>
        <v/>
      </c>
      <c r="CS188" s="21" t="str">
        <f>IF([1]!BANCO10[[#This Row],[SOLUÇÃO]]=CS$1,[1]!BANCO10[[#This Row],[STATUS DA ETAPA]],"")</f>
        <v/>
      </c>
      <c r="CT188" s="21" t="str">
        <f>IF([1]!BANCO10[[#This Row],[SOLUÇÃO]]=CT$1,[1]!BANCO10[[#This Row],[STATUS DA ETAPA]],"")</f>
        <v/>
      </c>
      <c r="CU188" s="21" t="str">
        <f>IF([1]!BANCO10[[#This Row],[SOLUÇÃO]]=CU$1,[1]!BANCO10[[#This Row],[STATUS DA ETAPA]],"")</f>
        <v/>
      </c>
      <c r="CV188" s="21" t="str">
        <f>IF([1]!BANCO10[[#This Row],[SOLUÇÃO]]=CV$1,[1]!BANCO10[[#This Row],[STATUS DA ETAPA]],"")</f>
        <v/>
      </c>
    </row>
    <row r="189" spans="1:100">
      <c r="A189" s="44" t="s">
        <v>1</v>
      </c>
      <c r="B189" s="44"/>
      <c r="C189" s="44" t="s">
        <v>1</v>
      </c>
      <c r="D189" s="44"/>
      <c r="E189" s="44" t="s">
        <v>1</v>
      </c>
      <c r="F189" s="44"/>
      <c r="G189" s="44" t="s">
        <v>1</v>
      </c>
      <c r="H189" s="44"/>
      <c r="I189" s="45" t="s">
        <v>1</v>
      </c>
      <c r="J189" s="46"/>
      <c r="K189" s="45" t="s">
        <v>1</v>
      </c>
      <c r="L189" s="33"/>
      <c r="M189" s="45" t="s">
        <v>1</v>
      </c>
      <c r="N189" s="33"/>
      <c r="O189" s="44" t="s">
        <v>1</v>
      </c>
      <c r="P189" s="44"/>
      <c r="Q189" s="44" t="s">
        <v>1</v>
      </c>
      <c r="R189" s="44"/>
      <c r="S189" s="44" t="s">
        <v>1</v>
      </c>
      <c r="T189" s="44"/>
      <c r="U189" s="44" t="s">
        <v>1</v>
      </c>
      <c r="V189" s="44"/>
      <c r="W189" s="44" t="s">
        <v>1</v>
      </c>
      <c r="X189" s="44"/>
      <c r="Y189" s="44" t="s">
        <v>1</v>
      </c>
      <c r="Z189" s="44"/>
      <c r="AA189" s="44" t="s">
        <v>1</v>
      </c>
      <c r="AB189" s="44"/>
      <c r="AC189" s="51">
        <v>45963</v>
      </c>
      <c r="AD189" s="50">
        <v>45963</v>
      </c>
      <c r="AE189" s="40" t="s">
        <v>1</v>
      </c>
      <c r="AF189" s="40" t="s">
        <v>1</v>
      </c>
      <c r="AG189" s="40" t="s">
        <v>1</v>
      </c>
      <c r="AH189" s="36" t="s">
        <v>1</v>
      </c>
      <c r="AI189" s="49">
        <v>0</v>
      </c>
      <c r="AJ189" s="36" t="s">
        <v>1</v>
      </c>
      <c r="AK189" s="10" t="s">
        <v>1</v>
      </c>
      <c r="AL189" s="36" t="s">
        <v>1</v>
      </c>
      <c r="AM189" s="36" t="s">
        <v>1</v>
      </c>
      <c r="AN189" s="35" t="s">
        <v>1</v>
      </c>
      <c r="AO189" s="35" t="s">
        <v>1</v>
      </c>
      <c r="AP189" s="35" t="s">
        <v>1</v>
      </c>
      <c r="AQ189" s="35" t="s">
        <v>1</v>
      </c>
      <c r="AR189" s="34" t="s">
        <v>1</v>
      </c>
      <c r="AS189" s="63"/>
      <c r="AT189" s="32" t="s">
        <v>1</v>
      </c>
      <c r="AU189" s="31"/>
      <c r="AV189" s="32" t="s">
        <v>1</v>
      </c>
      <c r="AW189" s="31"/>
      <c r="AX189" s="32" t="s">
        <v>1</v>
      </c>
      <c r="AY189" s="31"/>
      <c r="AZ189" s="32" t="s">
        <v>1</v>
      </c>
      <c r="BA189" s="31"/>
      <c r="BB189" s="39" t="s">
        <v>129</v>
      </c>
      <c r="BC189" s="25"/>
      <c r="BD189" s="24"/>
      <c r="BE189" s="24"/>
      <c r="BF189" s="79"/>
      <c r="BG189" s="79"/>
      <c r="BH189" s="80"/>
      <c r="BI189" s="79"/>
      <c r="BJ189" s="54"/>
      <c r="BK189" s="78"/>
      <c r="BL189" s="69"/>
      <c r="BM189" s="78"/>
      <c r="BN189" s="78"/>
      <c r="BO189" s="78"/>
      <c r="BP189" s="78"/>
      <c r="BQ189" s="21">
        <f>YEAR([1]!BANCO10[[#This Row],[DATA INÍCIO]])</f>
        <v>2025</v>
      </c>
      <c r="BR189" s="21">
        <f>MONTH([1]!BANCO10[[#This Row],[DATA INÍCIO]])</f>
        <v>11</v>
      </c>
      <c r="BS189" s="21" t="e">
        <f>CONCATENATE(#REF!,#REF!)</f>
        <v>#REF!</v>
      </c>
      <c r="BT189" s="21"/>
      <c r="BU189" s="21"/>
      <c r="BV189" s="21" t="str">
        <f>IF([1]!BANCO10[[#This Row],[SOLUÇÃO]]=BV$1,[1]!BANCO10[[#This Row],[STATUS DA ETAPA]],"")</f>
        <v/>
      </c>
      <c r="BW189" s="21" t="str">
        <f>IF([1]!BANCO10[[#This Row],[SOLUÇÃO]]=BW$1,[1]!BANCO10[[#This Row],[STATUS DA ETAPA]],"")</f>
        <v/>
      </c>
      <c r="BX189" s="21" t="str">
        <f>IF([1]!BANCO10[[#This Row],[SOLUÇÃO]]=BX$1,[1]!BANCO10[[#This Row],[STATUS DA ETAPA]],"")</f>
        <v>CANCELADO</v>
      </c>
      <c r="BY189" s="21" t="str">
        <f>IF([1]!BANCO10[[#This Row],[SOLUÇÃO]]=BY$1,[1]!BANCO10[[#This Row],[STATUS DA ETAPA]],"")</f>
        <v/>
      </c>
      <c r="BZ189" s="21" t="str">
        <f>IF([1]!BANCO10[[#This Row],[SOLUÇÃO]]=BZ$1,[1]!BANCO10[[#This Row],[STATUS DA ETAPA]],"")</f>
        <v/>
      </c>
      <c r="CA189" s="21" t="str">
        <f>IF([1]!BANCO10[[#This Row],[SOLUÇÃO]]=CA$1,[1]!BANCO10[[#This Row],[STATUS DA ETAPA]],"")</f>
        <v/>
      </c>
      <c r="CB189" s="21" t="str">
        <f>IF([1]!BANCO10[[#This Row],[SOLUÇÃO]]=CB$1,[1]!BANCO10[[#This Row],[STATUS DA ETAPA]],"")</f>
        <v/>
      </c>
      <c r="CC189" s="21" t="str">
        <f>IF([1]!BANCO10[[#This Row],[SOLUÇÃO]]=CC$1,[1]!BANCO10[[#This Row],[STATUS DA ETAPA]],"")</f>
        <v/>
      </c>
      <c r="CD189" s="21" t="str">
        <f>IF([1]!BANCO10[[#This Row],[SOLUÇÃO]]=CD$1,[1]!BANCO10[[#This Row],[STATUS DA ETAPA]],"")</f>
        <v/>
      </c>
      <c r="CE189" s="21" t="str">
        <f>IF([1]!BANCO10[[#This Row],[SOLUÇÃO]]=CE$1,[1]!BANCO10[[#This Row],[STATUS DA ETAPA]],"")</f>
        <v/>
      </c>
      <c r="CF189" s="21" t="str">
        <f>IF([1]!BANCO10[[#This Row],[SOLUÇÃO]]=CF$1,[1]!BANCO10[[#This Row],[STATUS DA ETAPA]],"")</f>
        <v/>
      </c>
      <c r="CG189" s="21" t="str">
        <f>IF([1]!BANCO10[[#This Row],[SOLUÇÃO]]=CG$1,[1]!BANCO10[[#This Row],[STATUS DA ETAPA]],"")</f>
        <v/>
      </c>
      <c r="CH189" s="21" t="str">
        <f>IF([1]!BANCO10[[#This Row],[SOLUÇÃO]]=CH$1,[1]!BANCO10[[#This Row],[STATUS DA ETAPA]],"")</f>
        <v/>
      </c>
      <c r="CI189" s="21" t="str">
        <f>IF([1]!BANCO10[[#This Row],[SOLUÇÃO]]=CI$1,[1]!BANCO10[[#This Row],[STATUS DA ETAPA]],"")</f>
        <v/>
      </c>
      <c r="CJ189" s="21" t="str">
        <f>IF([1]!BANCO10[[#This Row],[SOLUÇÃO]]=CJ$1,[1]!BANCO10[[#This Row],[STATUS DA ETAPA]],"")</f>
        <v/>
      </c>
      <c r="CK189" s="21" t="str">
        <f>IF([1]!BANCO10[[#This Row],[SOLUÇÃO]]=CK$1,[1]!BANCO10[[#This Row],[STATUS DA ETAPA]],"")</f>
        <v/>
      </c>
      <c r="CL189" s="22" t="str">
        <f>IF([1]!BANCO10[[#This Row],[SOLUÇÃO]]=CL$1,[1]!BANCO10[[#This Row],[STATUS DA ETAPA]],"")</f>
        <v/>
      </c>
      <c r="CM189" s="64" t="str">
        <f>IF([1]!BANCO10[[#This Row],[SOLUÇÃO]]=CM$1,[1]!BANCO10[[#This Row],[STATUS DA ETAPA]],"")</f>
        <v/>
      </c>
      <c r="CN189" s="64" t="str">
        <f>IF([1]!BANCO10[[#This Row],[SOLUÇÃO]]=CN$1,[1]!BANCO10[[#This Row],[STATUS DA ETAPA]],"")</f>
        <v/>
      </c>
      <c r="CO189" s="64" t="str">
        <f>IF([1]!BANCO10[[#This Row],[SOLUÇÃO]]=CO$1,[1]!BANCO10[[#This Row],[STATUS DA ETAPA]],"")</f>
        <v/>
      </c>
      <c r="CP189" s="64" t="str">
        <f>IF([1]!BANCO10[[#This Row],[SOLUÇÃO]]=CP$1,[1]!BANCO10[[#This Row],[STATUS DA ETAPA]],"")</f>
        <v/>
      </c>
      <c r="CQ189" s="64" t="str">
        <f>IF([1]!BANCO10[[#This Row],[SOLUÇÃO]]=CQ$1,[1]!BANCO10[[#This Row],[STATUS DA ETAPA]],"")</f>
        <v/>
      </c>
      <c r="CR189" s="64" t="str">
        <f>IF([1]!BANCO10[[#This Row],[SOLUÇÃO]]=CR$1,[1]!BANCO10[[#This Row],[STATUS DA ETAPA]],"")</f>
        <v/>
      </c>
      <c r="CS189" s="64" t="str">
        <f>IF([1]!BANCO10[[#This Row],[SOLUÇÃO]]=CS$1,[1]!BANCO10[[#This Row],[STATUS DA ETAPA]],"")</f>
        <v/>
      </c>
      <c r="CT189" s="64" t="str">
        <f>IF([1]!BANCO10[[#This Row],[SOLUÇÃO]]=CT$1,[1]!BANCO10[[#This Row],[STATUS DA ETAPA]],"")</f>
        <v/>
      </c>
      <c r="CU189" s="64" t="str">
        <f>IF([1]!BANCO10[[#This Row],[SOLUÇÃO]]=CU$1,[1]!BANCO10[[#This Row],[STATUS DA ETAPA]],"")</f>
        <v/>
      </c>
      <c r="CV189" s="64" t="str">
        <f>IF([1]!BANCO10[[#This Row],[SOLUÇÃO]]=CV$1,[1]!BANCO10[[#This Row],[STATUS DA ETAPA]],"")</f>
        <v/>
      </c>
    </row>
    <row r="190" spans="1:100">
      <c r="A190" s="44" t="s">
        <v>1</v>
      </c>
      <c r="B190" s="44"/>
      <c r="C190" s="44" t="s">
        <v>1</v>
      </c>
      <c r="D190" s="44"/>
      <c r="E190" s="44" t="s">
        <v>1</v>
      </c>
      <c r="F190" s="44"/>
      <c r="G190" s="44" t="s">
        <v>1</v>
      </c>
      <c r="H190" s="44"/>
      <c r="I190" s="45" t="s">
        <v>1</v>
      </c>
      <c r="J190" s="46"/>
      <c r="K190" s="45" t="s">
        <v>1</v>
      </c>
      <c r="L190" s="33"/>
      <c r="M190" s="45" t="s">
        <v>1</v>
      </c>
      <c r="N190" s="33"/>
      <c r="O190" s="44" t="s">
        <v>1</v>
      </c>
      <c r="P190" s="44"/>
      <c r="Q190" s="44" t="s">
        <v>1</v>
      </c>
      <c r="R190" s="44"/>
      <c r="S190" s="44" t="s">
        <v>1</v>
      </c>
      <c r="T190" s="44"/>
      <c r="U190" s="44" t="s">
        <v>1</v>
      </c>
      <c r="V190" s="44"/>
      <c r="W190" s="44" t="s">
        <v>1</v>
      </c>
      <c r="X190" s="44"/>
      <c r="Y190" s="44" t="s">
        <v>1</v>
      </c>
      <c r="Z190" s="44"/>
      <c r="AA190" s="44" t="s">
        <v>1</v>
      </c>
      <c r="AB190" s="44"/>
      <c r="AC190" s="84">
        <v>45362</v>
      </c>
      <c r="AD190" s="83">
        <v>45362</v>
      </c>
      <c r="AE190" s="40" t="s">
        <v>1</v>
      </c>
      <c r="AF190" s="40" t="s">
        <v>1</v>
      </c>
      <c r="AG190" s="76" t="s">
        <v>5</v>
      </c>
      <c r="AH190" s="36" t="s">
        <v>1</v>
      </c>
      <c r="AI190" s="49">
        <v>0</v>
      </c>
      <c r="AJ190" s="36" t="s">
        <v>1</v>
      </c>
      <c r="AK190" s="10" t="s">
        <v>1</v>
      </c>
      <c r="AL190" s="36" t="s">
        <v>1</v>
      </c>
      <c r="AM190" s="36" t="s">
        <v>1</v>
      </c>
      <c r="AN190" s="35" t="s">
        <v>1</v>
      </c>
      <c r="AO190" s="35" t="s">
        <v>1</v>
      </c>
      <c r="AP190" s="35" t="s">
        <v>1</v>
      </c>
      <c r="AQ190" s="35" t="s">
        <v>1</v>
      </c>
      <c r="AR190" s="82" t="s">
        <v>1</v>
      </c>
      <c r="AS190" s="33"/>
      <c r="AT190" s="32" t="s">
        <v>1</v>
      </c>
      <c r="AU190" s="31"/>
      <c r="AV190" s="32" t="s">
        <v>1</v>
      </c>
      <c r="AW190" s="31"/>
      <c r="AX190" s="30" t="s">
        <v>1</v>
      </c>
      <c r="AY190" s="55"/>
      <c r="AZ190" s="30" t="s">
        <v>1</v>
      </c>
      <c r="BA190" s="55"/>
      <c r="BB190" s="74"/>
      <c r="BC190" s="25"/>
      <c r="BD190" s="24"/>
      <c r="BE190" s="24"/>
      <c r="BF190" s="24"/>
      <c r="BG190" s="24"/>
      <c r="BH190" s="130"/>
      <c r="BI190" s="24"/>
      <c r="BJ190" s="24" t="s">
        <v>11</v>
      </c>
      <c r="BK190" s="24" t="s">
        <v>11</v>
      </c>
      <c r="BL190" s="24" t="s">
        <v>11</v>
      </c>
      <c r="BM190" s="24" t="s">
        <v>11</v>
      </c>
      <c r="BN190" s="24" t="s">
        <v>11</v>
      </c>
      <c r="BO190" s="24" t="s">
        <v>11</v>
      </c>
      <c r="BP190" s="24" t="s">
        <v>11</v>
      </c>
      <c r="BQ190" s="22">
        <f>YEAR([1]!BANCO10[[#This Row],[DATA INÍCIO]])</f>
        <v>2024</v>
      </c>
      <c r="BR190" s="22">
        <f>MONTH([1]!BANCO10[[#This Row],[DATA INÍCIO]])</f>
        <v>3</v>
      </c>
      <c r="BS190" s="129" t="e">
        <f>CONCATENATE(#REF!,#REF!)</f>
        <v>#REF!</v>
      </c>
      <c r="BT190" s="22"/>
      <c r="BU190" s="21" t="s">
        <v>693</v>
      </c>
      <c r="BV190" s="21" t="str">
        <f>IF([1]!BANCO10[[#This Row],[SOLUÇÃO]]=BV$1,[1]!BANCO10[[#This Row],[STATUS DA ETAPA]],"")</f>
        <v>CONCLUÍDO</v>
      </c>
      <c r="BW190" s="21" t="str">
        <f>IF([1]!BANCO10[[#This Row],[SOLUÇÃO]]=BW$1,[1]!BANCO10[[#This Row],[STATUS DA ETAPA]],"")</f>
        <v/>
      </c>
      <c r="BX190" s="21" t="str">
        <f>IF([1]!BANCO10[[#This Row],[SOLUÇÃO]]=BX$1,[1]!BANCO10[[#This Row],[STATUS DA ETAPA]],"")</f>
        <v/>
      </c>
      <c r="BY190" s="21" t="str">
        <f>IF([1]!BANCO10[[#This Row],[SOLUÇÃO]]=BY$1,[1]!BANCO10[[#This Row],[STATUS DA ETAPA]],"")</f>
        <v/>
      </c>
      <c r="BZ190" s="21" t="str">
        <f>IF([1]!BANCO10[[#This Row],[SOLUÇÃO]]=BZ$1,[1]!BANCO10[[#This Row],[STATUS DA ETAPA]],"")</f>
        <v/>
      </c>
      <c r="CA190" s="21" t="str">
        <f>IF([1]!BANCO10[[#This Row],[SOLUÇÃO]]=CA$1,[1]!BANCO10[[#This Row],[STATUS DA ETAPA]],"")</f>
        <v/>
      </c>
      <c r="CB190" s="21" t="str">
        <f>IF([1]!BANCO10[[#This Row],[SOLUÇÃO]]=CB$1,[1]!BANCO10[[#This Row],[STATUS DA ETAPA]],"")</f>
        <v/>
      </c>
      <c r="CC190" s="21" t="str">
        <f>IF([1]!BANCO10[[#This Row],[SOLUÇÃO]]=CC$1,[1]!BANCO10[[#This Row],[STATUS DA ETAPA]],"")</f>
        <v/>
      </c>
      <c r="CD190" s="21" t="str">
        <f>IF([1]!BANCO10[[#This Row],[SOLUÇÃO]]=CD$1,[1]!BANCO10[[#This Row],[STATUS DA ETAPA]],"")</f>
        <v/>
      </c>
      <c r="CE190" s="21" t="str">
        <f>IF([1]!BANCO10[[#This Row],[SOLUÇÃO]]=CE$1,[1]!BANCO10[[#This Row],[STATUS DA ETAPA]],"")</f>
        <v/>
      </c>
      <c r="CF190" s="21" t="str">
        <f>IF([1]!BANCO10[[#This Row],[SOLUÇÃO]]=CF$1,[1]!BANCO10[[#This Row],[STATUS DA ETAPA]],"")</f>
        <v/>
      </c>
      <c r="CG190" s="21" t="str">
        <f>IF([1]!BANCO10[[#This Row],[SOLUÇÃO]]=CG$1,[1]!BANCO10[[#This Row],[STATUS DA ETAPA]],"")</f>
        <v/>
      </c>
      <c r="CH190" s="21" t="str">
        <f>IF([1]!BANCO10[[#This Row],[SOLUÇÃO]]=CH$1,[1]!BANCO10[[#This Row],[STATUS DA ETAPA]],"")</f>
        <v/>
      </c>
      <c r="CI190" s="21" t="str">
        <f>IF([1]!BANCO10[[#This Row],[SOLUÇÃO]]=CI$1,[1]!BANCO10[[#This Row],[STATUS DA ETAPA]],"")</f>
        <v/>
      </c>
      <c r="CJ190" s="21" t="str">
        <f>IF([1]!BANCO10[[#This Row],[SOLUÇÃO]]=CJ$1,[1]!BANCO10[[#This Row],[STATUS DA ETAPA]],"")</f>
        <v/>
      </c>
      <c r="CK190" s="21" t="str">
        <f>IF([1]!BANCO10[[#This Row],[SOLUÇÃO]]=CK$1,[1]!BANCO10[[#This Row],[STATUS DA ETAPA]],"")</f>
        <v/>
      </c>
      <c r="CL190" s="21" t="str">
        <f>IF([1]!BANCO10[[#This Row],[SOLUÇÃO]]=CL$1,[1]!BANCO10[[#This Row],[STATUS DA ETAPA]],"")</f>
        <v/>
      </c>
      <c r="CM190" s="21" t="str">
        <f>IF([1]!BANCO10[[#This Row],[SOLUÇÃO]]=CM$1,[1]!BANCO10[[#This Row],[STATUS DA ETAPA]],"")</f>
        <v/>
      </c>
      <c r="CN190" s="21" t="str">
        <f>IF([1]!BANCO10[[#This Row],[SOLUÇÃO]]=CN$1,[1]!BANCO10[[#This Row],[STATUS DA ETAPA]],"")</f>
        <v/>
      </c>
      <c r="CO190" s="21" t="str">
        <f>IF([1]!BANCO10[[#This Row],[SOLUÇÃO]]=CO$1,[1]!BANCO10[[#This Row],[STATUS DA ETAPA]],"")</f>
        <v/>
      </c>
      <c r="CP190" s="21" t="str">
        <f>IF([1]!BANCO10[[#This Row],[SOLUÇÃO]]=CP$1,[1]!BANCO10[[#This Row],[STATUS DA ETAPA]],"")</f>
        <v/>
      </c>
      <c r="CQ190" s="21" t="str">
        <f>IF([1]!BANCO10[[#This Row],[SOLUÇÃO]]=CQ$1,[1]!BANCO10[[#This Row],[STATUS DA ETAPA]],"")</f>
        <v/>
      </c>
      <c r="CR190" s="21" t="str">
        <f>IF([1]!BANCO10[[#This Row],[SOLUÇÃO]]=CR$1,[1]!BANCO10[[#This Row],[STATUS DA ETAPA]],"")</f>
        <v/>
      </c>
      <c r="CS190" s="21" t="str">
        <f>IF([1]!BANCO10[[#This Row],[SOLUÇÃO]]=CS$1,[1]!BANCO10[[#This Row],[STATUS DA ETAPA]],"")</f>
        <v/>
      </c>
      <c r="CT190" s="21" t="str">
        <f>IF([1]!BANCO10[[#This Row],[SOLUÇÃO]]=CT$1,[1]!BANCO10[[#This Row],[STATUS DA ETAPA]],"")</f>
        <v/>
      </c>
      <c r="CU190" s="21" t="str">
        <f>IF([1]!BANCO10[[#This Row],[SOLUÇÃO]]=CU$1,[1]!BANCO10[[#This Row],[STATUS DA ETAPA]],"")</f>
        <v/>
      </c>
      <c r="CV190" s="21" t="str">
        <f>IF([1]!BANCO10[[#This Row],[SOLUÇÃO]]=CV$1,[1]!BANCO10[[#This Row],[STATUS DA ETAPA]],"")</f>
        <v/>
      </c>
    </row>
    <row r="191" spans="1:100">
      <c r="A191" s="44" t="s">
        <v>1</v>
      </c>
      <c r="B191" s="44"/>
      <c r="C191" s="44" t="s">
        <v>1</v>
      </c>
      <c r="D191" s="44"/>
      <c r="E191" s="44" t="s">
        <v>1</v>
      </c>
      <c r="F191" s="44"/>
      <c r="G191" s="44" t="s">
        <v>1</v>
      </c>
      <c r="H191" s="44"/>
      <c r="I191" s="45" t="s">
        <v>1</v>
      </c>
      <c r="J191" s="46"/>
      <c r="K191" s="45" t="s">
        <v>1</v>
      </c>
      <c r="L191" s="33"/>
      <c r="M191" s="45" t="s">
        <v>1</v>
      </c>
      <c r="N191" s="33"/>
      <c r="O191" s="44" t="s">
        <v>1</v>
      </c>
      <c r="P191" s="44"/>
      <c r="Q191" s="44" t="s">
        <v>1</v>
      </c>
      <c r="R191" s="44"/>
      <c r="S191" s="44" t="s">
        <v>1</v>
      </c>
      <c r="T191" s="44"/>
      <c r="U191" s="44" t="s">
        <v>1</v>
      </c>
      <c r="V191" s="44"/>
      <c r="W191" s="44" t="s">
        <v>1</v>
      </c>
      <c r="X191" s="44"/>
      <c r="Y191" s="44" t="s">
        <v>1</v>
      </c>
      <c r="Z191" s="44"/>
      <c r="AA191" s="44" t="s">
        <v>1</v>
      </c>
      <c r="AB191" s="44"/>
      <c r="AC191" s="51">
        <v>45362</v>
      </c>
      <c r="AD191" s="50">
        <v>45362</v>
      </c>
      <c r="AE191" s="41" t="s">
        <v>1</v>
      </c>
      <c r="AF191" s="41" t="s">
        <v>1</v>
      </c>
      <c r="AG191" s="40" t="s">
        <v>5</v>
      </c>
      <c r="AH191" s="36" t="s">
        <v>1</v>
      </c>
      <c r="AI191" s="49">
        <v>0</v>
      </c>
      <c r="AJ191" s="36" t="s">
        <v>1</v>
      </c>
      <c r="AK191" s="10" t="s">
        <v>1</v>
      </c>
      <c r="AL191" s="36" t="s">
        <v>1</v>
      </c>
      <c r="AM191" s="36" t="s">
        <v>1</v>
      </c>
      <c r="AN191" s="35" t="s">
        <v>1</v>
      </c>
      <c r="AO191" s="35" t="s">
        <v>1</v>
      </c>
      <c r="AP191" s="35" t="s">
        <v>1</v>
      </c>
      <c r="AQ191" s="35" t="s">
        <v>1</v>
      </c>
      <c r="AR191" s="82" t="s">
        <v>1</v>
      </c>
      <c r="AS191" s="33"/>
      <c r="AT191" s="30"/>
      <c r="AU191" s="55"/>
      <c r="AV191" s="30"/>
      <c r="AW191" s="55"/>
      <c r="AX191" s="30" t="s">
        <v>1</v>
      </c>
      <c r="AY191" s="55"/>
      <c r="AZ191" s="30" t="s">
        <v>1</v>
      </c>
      <c r="BA191" s="55"/>
      <c r="BB191" s="74"/>
      <c r="BC191" s="25" t="s">
        <v>41</v>
      </c>
      <c r="BD191" s="24"/>
      <c r="BE191" s="24"/>
      <c r="BF191" s="24"/>
      <c r="BG191" s="24"/>
      <c r="BH191" s="130"/>
      <c r="BI191" s="24"/>
      <c r="BJ191" s="24"/>
      <c r="BK191" s="24"/>
      <c r="BL191" s="24"/>
      <c r="BM191" s="24"/>
      <c r="BN191" s="24"/>
      <c r="BO191" s="24"/>
      <c r="BP191" s="24"/>
      <c r="BQ191" s="22">
        <f>YEAR([1]!BANCO10[[#This Row],[DATA INÍCIO]])</f>
        <v>2024</v>
      </c>
      <c r="BR191" s="22">
        <f>MONTH([1]!BANCO10[[#This Row],[DATA INÍCIO]])</f>
        <v>3</v>
      </c>
      <c r="BS191" s="129" t="e">
        <f>CONCATENATE(#REF!,#REF!)</f>
        <v>#REF!</v>
      </c>
      <c r="BT191" s="22"/>
      <c r="BU191" s="21" t="s">
        <v>692</v>
      </c>
      <c r="BV191" s="21" t="str">
        <f>IF([1]!BANCO10[[#This Row],[SOLUÇÃO]]=BV$1,[1]!BANCO10[[#This Row],[STATUS DA ETAPA]],"")</f>
        <v>CONCLUÍDO</v>
      </c>
      <c r="BW191" s="21" t="str">
        <f>IF([1]!BANCO10[[#This Row],[SOLUÇÃO]]=BW$1,[1]!BANCO10[[#This Row],[STATUS DA ETAPA]],"")</f>
        <v/>
      </c>
      <c r="BX191" s="21" t="str">
        <f>IF([1]!BANCO10[[#This Row],[SOLUÇÃO]]=BX$1,[1]!BANCO10[[#This Row],[STATUS DA ETAPA]],"")</f>
        <v/>
      </c>
      <c r="BY191" s="21" t="str">
        <f>IF([1]!BANCO10[[#This Row],[SOLUÇÃO]]=BY$1,[1]!BANCO10[[#This Row],[STATUS DA ETAPA]],"")</f>
        <v/>
      </c>
      <c r="BZ191" s="21" t="str">
        <f>IF([1]!BANCO10[[#This Row],[SOLUÇÃO]]=BZ$1,[1]!BANCO10[[#This Row],[STATUS DA ETAPA]],"")</f>
        <v/>
      </c>
      <c r="CA191" s="21" t="str">
        <f>IF([1]!BANCO10[[#This Row],[SOLUÇÃO]]=CA$1,[1]!BANCO10[[#This Row],[STATUS DA ETAPA]],"")</f>
        <v/>
      </c>
      <c r="CB191" s="21" t="str">
        <f>IF([1]!BANCO10[[#This Row],[SOLUÇÃO]]=CB$1,[1]!BANCO10[[#This Row],[STATUS DA ETAPA]],"")</f>
        <v/>
      </c>
      <c r="CC191" s="21" t="str">
        <f>IF([1]!BANCO10[[#This Row],[SOLUÇÃO]]=CC$1,[1]!BANCO10[[#This Row],[STATUS DA ETAPA]],"")</f>
        <v/>
      </c>
      <c r="CD191" s="21" t="str">
        <f>IF([1]!BANCO10[[#This Row],[SOLUÇÃO]]=CD$1,[1]!BANCO10[[#This Row],[STATUS DA ETAPA]],"")</f>
        <v/>
      </c>
      <c r="CE191" s="21" t="str">
        <f>IF([1]!BANCO10[[#This Row],[SOLUÇÃO]]=CE$1,[1]!BANCO10[[#This Row],[STATUS DA ETAPA]],"")</f>
        <v/>
      </c>
      <c r="CF191" s="21" t="str">
        <f>IF([1]!BANCO10[[#This Row],[SOLUÇÃO]]=CF$1,[1]!BANCO10[[#This Row],[STATUS DA ETAPA]],"")</f>
        <v/>
      </c>
      <c r="CG191" s="21" t="str">
        <f>IF([1]!BANCO10[[#This Row],[SOLUÇÃO]]=CG$1,[1]!BANCO10[[#This Row],[STATUS DA ETAPA]],"")</f>
        <v/>
      </c>
      <c r="CH191" s="21" t="str">
        <f>IF([1]!BANCO10[[#This Row],[SOLUÇÃO]]=CH$1,[1]!BANCO10[[#This Row],[STATUS DA ETAPA]],"")</f>
        <v/>
      </c>
      <c r="CI191" s="21" t="str">
        <f>IF([1]!BANCO10[[#This Row],[SOLUÇÃO]]=CI$1,[1]!BANCO10[[#This Row],[STATUS DA ETAPA]],"")</f>
        <v/>
      </c>
      <c r="CJ191" s="21" t="str">
        <f>IF([1]!BANCO10[[#This Row],[SOLUÇÃO]]=CJ$1,[1]!BANCO10[[#This Row],[STATUS DA ETAPA]],"")</f>
        <v/>
      </c>
      <c r="CK191" s="21" t="str">
        <f>IF([1]!BANCO10[[#This Row],[SOLUÇÃO]]=CK$1,[1]!BANCO10[[#This Row],[STATUS DA ETAPA]],"")</f>
        <v/>
      </c>
      <c r="CL191" s="21" t="str">
        <f>IF([1]!BANCO10[[#This Row],[SOLUÇÃO]]=CL$1,[1]!BANCO10[[#This Row],[STATUS DA ETAPA]],"")</f>
        <v/>
      </c>
      <c r="CM191" s="21" t="str">
        <f>IF([1]!BANCO10[[#This Row],[SOLUÇÃO]]=CM$1,[1]!BANCO10[[#This Row],[STATUS DA ETAPA]],"")</f>
        <v/>
      </c>
      <c r="CN191" s="21" t="str">
        <f>IF([1]!BANCO10[[#This Row],[SOLUÇÃO]]=CN$1,[1]!BANCO10[[#This Row],[STATUS DA ETAPA]],"")</f>
        <v/>
      </c>
      <c r="CO191" s="21" t="str">
        <f>IF([1]!BANCO10[[#This Row],[SOLUÇÃO]]=CO$1,[1]!BANCO10[[#This Row],[STATUS DA ETAPA]],"")</f>
        <v/>
      </c>
      <c r="CP191" s="21" t="str">
        <f>IF([1]!BANCO10[[#This Row],[SOLUÇÃO]]=CP$1,[1]!BANCO10[[#This Row],[STATUS DA ETAPA]],"")</f>
        <v/>
      </c>
      <c r="CQ191" s="21" t="str">
        <f>IF([1]!BANCO10[[#This Row],[SOLUÇÃO]]=CQ$1,[1]!BANCO10[[#This Row],[STATUS DA ETAPA]],"")</f>
        <v/>
      </c>
      <c r="CR191" s="21" t="str">
        <f>IF([1]!BANCO10[[#This Row],[SOLUÇÃO]]=CR$1,[1]!BANCO10[[#This Row],[STATUS DA ETAPA]],"")</f>
        <v/>
      </c>
      <c r="CS191" s="21" t="str">
        <f>IF([1]!BANCO10[[#This Row],[SOLUÇÃO]]=CS$1,[1]!BANCO10[[#This Row],[STATUS DA ETAPA]],"")</f>
        <v/>
      </c>
      <c r="CT191" s="21" t="str">
        <f>IF([1]!BANCO10[[#This Row],[SOLUÇÃO]]=CT$1,[1]!BANCO10[[#This Row],[STATUS DA ETAPA]],"")</f>
        <v/>
      </c>
      <c r="CU191" s="21" t="str">
        <f>IF([1]!BANCO10[[#This Row],[SOLUÇÃO]]=CU$1,[1]!BANCO10[[#This Row],[STATUS DA ETAPA]],"")</f>
        <v/>
      </c>
      <c r="CV191" s="21" t="str">
        <f>IF([1]!BANCO10[[#This Row],[SOLUÇÃO]]=CV$1,[1]!BANCO10[[#This Row],[STATUS DA ETAPA]],"")</f>
        <v/>
      </c>
    </row>
    <row r="192" spans="1:100">
      <c r="A192" s="44" t="s">
        <v>2</v>
      </c>
      <c r="B192" s="44">
        <v>45383</v>
      </c>
      <c r="C192" s="44" t="s">
        <v>2</v>
      </c>
      <c r="D192" s="44">
        <v>45383</v>
      </c>
      <c r="E192" s="44" t="s">
        <v>2</v>
      </c>
      <c r="F192" s="44">
        <v>45383</v>
      </c>
      <c r="G192" s="44" t="s">
        <v>2</v>
      </c>
      <c r="H192" s="44">
        <v>45383</v>
      </c>
      <c r="I192" s="45" t="s">
        <v>2</v>
      </c>
      <c r="J192" s="46">
        <v>45536</v>
      </c>
      <c r="K192" s="45" t="s">
        <v>2</v>
      </c>
      <c r="L192" s="33">
        <v>45536</v>
      </c>
      <c r="M192" s="45" t="s">
        <v>2</v>
      </c>
      <c r="N192" s="33">
        <v>45536</v>
      </c>
      <c r="O192" s="44" t="s">
        <v>2</v>
      </c>
      <c r="P192" s="44">
        <v>45491</v>
      </c>
      <c r="Q192" s="44" t="s">
        <v>2</v>
      </c>
      <c r="R192" s="44">
        <v>45491</v>
      </c>
      <c r="S192" s="44" t="s">
        <v>2</v>
      </c>
      <c r="T192" s="44">
        <v>45536</v>
      </c>
      <c r="U192" s="44" t="s">
        <v>1</v>
      </c>
      <c r="V192" s="44"/>
      <c r="W192" s="44" t="s">
        <v>1</v>
      </c>
      <c r="X192" s="44"/>
      <c r="Y192" s="44" t="s">
        <v>1</v>
      </c>
      <c r="Z192" s="44"/>
      <c r="AA192" s="44" t="s">
        <v>1</v>
      </c>
      <c r="AB192" s="44"/>
      <c r="AC192" s="51">
        <v>45450</v>
      </c>
      <c r="AD192" s="50">
        <v>45560</v>
      </c>
      <c r="AE192" s="41" t="s">
        <v>2</v>
      </c>
      <c r="AF192" s="41" t="s">
        <v>2</v>
      </c>
      <c r="AG192" s="40" t="s">
        <v>5</v>
      </c>
      <c r="AH192" s="36" t="s">
        <v>0</v>
      </c>
      <c r="AI192" s="49">
        <v>0</v>
      </c>
      <c r="AJ192" s="36" t="s">
        <v>6</v>
      </c>
      <c r="AK192" s="10">
        <v>550467</v>
      </c>
      <c r="AL192" s="36" t="s">
        <v>1</v>
      </c>
      <c r="AM192" s="36" t="s">
        <v>1</v>
      </c>
      <c r="AN192" s="35" t="s">
        <v>2</v>
      </c>
      <c r="AO192" s="35" t="s">
        <v>2</v>
      </c>
      <c r="AP192" s="35" t="s">
        <v>2</v>
      </c>
      <c r="AQ192" s="35" t="s">
        <v>2</v>
      </c>
      <c r="AR192" s="34" t="s">
        <v>2</v>
      </c>
      <c r="AS192" s="33">
        <v>45614</v>
      </c>
      <c r="AT192" s="30"/>
      <c r="AU192" s="31"/>
      <c r="AV192" s="30"/>
      <c r="AW192" s="31"/>
      <c r="AX192" s="30" t="s">
        <v>2</v>
      </c>
      <c r="AY192" s="31">
        <v>45614</v>
      </c>
      <c r="AZ192" s="30" t="s">
        <v>2</v>
      </c>
      <c r="BA192" s="55">
        <v>45649</v>
      </c>
      <c r="BB192" s="74"/>
      <c r="BC192" s="25" t="s">
        <v>41</v>
      </c>
      <c r="BD192" s="24"/>
      <c r="BE192" s="24"/>
      <c r="BF192" s="24"/>
      <c r="BG192" s="24"/>
      <c r="BH192" s="130"/>
      <c r="BI192" s="24"/>
      <c r="BJ192" s="24"/>
      <c r="BK192" s="24"/>
      <c r="BL192" s="24"/>
      <c r="BM192" s="24"/>
      <c r="BN192" s="24"/>
      <c r="BO192" s="24"/>
      <c r="BP192" s="24"/>
      <c r="BQ192" s="22">
        <f>YEAR([1]!BANCO10[[#This Row],[DATA INÍCIO]])</f>
        <v>2024</v>
      </c>
      <c r="BR192" s="22">
        <f>MONTH([1]!BANCO10[[#This Row],[DATA INÍCIO]])</f>
        <v>6</v>
      </c>
      <c r="BS192" s="23" t="e">
        <f>CONCATENATE(#REF!,#REF!)</f>
        <v>#REF!</v>
      </c>
      <c r="BT192" s="22"/>
      <c r="BU192" s="21" t="s">
        <v>691</v>
      </c>
      <c r="BV192" s="21" t="str">
        <f>IF([1]!BANCO10[[#This Row],[SOLUÇÃO]]=BV$1,[1]!BANCO10[[#This Row],[STATUS DA ETAPA]],"")</f>
        <v/>
      </c>
      <c r="BW192" s="21" t="str">
        <f>IF([1]!BANCO10[[#This Row],[SOLUÇÃO]]=BW$1,[1]!BANCO10[[#This Row],[STATUS DA ETAPA]],"")</f>
        <v/>
      </c>
      <c r="BX192" s="21" t="str">
        <f>IF([1]!BANCO10[[#This Row],[SOLUÇÃO]]=BX$1,[1]!BANCO10[[#This Row],[STATUS DA ETAPA]],"")</f>
        <v/>
      </c>
      <c r="BY192" s="21" t="str">
        <f>IF([1]!BANCO10[[#This Row],[SOLUÇÃO]]=BY$1,[1]!BANCO10[[#This Row],[STATUS DA ETAPA]],"")</f>
        <v/>
      </c>
      <c r="BZ192" s="21" t="str">
        <f>IF([1]!BANCO10[[#This Row],[SOLUÇÃO]]=BZ$1,[1]!BANCO10[[#This Row],[STATUS DA ETAPA]],"")</f>
        <v/>
      </c>
      <c r="CA192" s="21" t="str">
        <f>IF([1]!BANCO10[[#This Row],[SOLUÇÃO]]=CA$1,[1]!BANCO10[[#This Row],[STATUS DA ETAPA]],"")</f>
        <v/>
      </c>
      <c r="CB192" s="21" t="str">
        <f>IF([1]!BANCO10[[#This Row],[SOLUÇÃO]]=CB$1,[1]!BANCO10[[#This Row],[STATUS DA ETAPA]],"")</f>
        <v>CONCLUÍDO</v>
      </c>
      <c r="CC192" s="21" t="str">
        <f>IF([1]!BANCO10[[#This Row],[SOLUÇÃO]]=CC$1,[1]!BANCO10[[#This Row],[STATUS DA ETAPA]],"")</f>
        <v/>
      </c>
      <c r="CD192" s="21" t="str">
        <f>IF([1]!BANCO10[[#This Row],[SOLUÇÃO]]=CD$1,[1]!BANCO10[[#This Row],[STATUS DA ETAPA]],"")</f>
        <v/>
      </c>
      <c r="CE192" s="21" t="str">
        <f>IF([1]!BANCO10[[#This Row],[SOLUÇÃO]]=CE$1,[1]!BANCO10[[#This Row],[STATUS DA ETAPA]],"")</f>
        <v/>
      </c>
      <c r="CF192" s="21" t="str">
        <f>IF([1]!BANCO10[[#This Row],[SOLUÇÃO]]=CF$1,[1]!BANCO10[[#This Row],[STATUS DA ETAPA]],"")</f>
        <v/>
      </c>
      <c r="CG192" s="21" t="str">
        <f>IF([1]!BANCO10[[#This Row],[SOLUÇÃO]]=CG$1,[1]!BANCO10[[#This Row],[STATUS DA ETAPA]],"")</f>
        <v/>
      </c>
      <c r="CH192" s="21" t="str">
        <f>IF([1]!BANCO10[[#This Row],[SOLUÇÃO]]=CH$1,[1]!BANCO10[[#This Row],[STATUS DA ETAPA]],"")</f>
        <v/>
      </c>
      <c r="CI192" s="21" t="str">
        <f>IF([1]!BANCO10[[#This Row],[SOLUÇÃO]]=CI$1,[1]!BANCO10[[#This Row],[STATUS DA ETAPA]],"")</f>
        <v/>
      </c>
      <c r="CJ192" s="21" t="str">
        <f>IF([1]!BANCO10[[#This Row],[SOLUÇÃO]]=CJ$1,[1]!BANCO10[[#This Row],[STATUS DA ETAPA]],"")</f>
        <v/>
      </c>
      <c r="CK192" s="21" t="str">
        <f>IF([1]!BANCO10[[#This Row],[SOLUÇÃO]]=CK$1,[1]!BANCO10[[#This Row],[STATUS DA ETAPA]],"")</f>
        <v/>
      </c>
      <c r="CL192" s="21" t="str">
        <f>IF([1]!BANCO10[[#This Row],[SOLUÇÃO]]=CL$1,[1]!BANCO10[[#This Row],[STATUS DA ETAPA]],"")</f>
        <v/>
      </c>
      <c r="CM192" s="21" t="str">
        <f>IF([1]!BANCO10[[#This Row],[SOLUÇÃO]]=CM$1,[1]!BANCO10[[#This Row],[STATUS DA ETAPA]],"")</f>
        <v/>
      </c>
      <c r="CN192" s="21" t="str">
        <f>IF([1]!BANCO10[[#This Row],[SOLUÇÃO]]=CN$1,[1]!BANCO10[[#This Row],[STATUS DA ETAPA]],"")</f>
        <v/>
      </c>
      <c r="CO192" s="21" t="str">
        <f>IF([1]!BANCO10[[#This Row],[SOLUÇÃO]]=CO$1,[1]!BANCO10[[#This Row],[STATUS DA ETAPA]],"")</f>
        <v/>
      </c>
      <c r="CP192" s="21" t="str">
        <f>IF([1]!BANCO10[[#This Row],[SOLUÇÃO]]=CP$1,[1]!BANCO10[[#This Row],[STATUS DA ETAPA]],"")</f>
        <v/>
      </c>
      <c r="CQ192" s="21" t="str">
        <f>IF([1]!BANCO10[[#This Row],[SOLUÇÃO]]=CQ$1,[1]!BANCO10[[#This Row],[STATUS DA ETAPA]],"")</f>
        <v/>
      </c>
      <c r="CR192" s="21" t="str">
        <f>IF([1]!BANCO10[[#This Row],[SOLUÇÃO]]=CR$1,[1]!BANCO10[[#This Row],[STATUS DA ETAPA]],"")</f>
        <v/>
      </c>
      <c r="CS192" s="21" t="str">
        <f>IF([1]!BANCO10[[#This Row],[SOLUÇÃO]]=CS$1,[1]!BANCO10[[#This Row],[STATUS DA ETAPA]],"")</f>
        <v/>
      </c>
      <c r="CT192" s="21" t="str">
        <f>IF([1]!BANCO10[[#This Row],[SOLUÇÃO]]=CT$1,[1]!BANCO10[[#This Row],[STATUS DA ETAPA]],"")</f>
        <v/>
      </c>
      <c r="CU192" s="21" t="str">
        <f>IF([1]!BANCO10[[#This Row],[SOLUÇÃO]]=CU$1,[1]!BANCO10[[#This Row],[STATUS DA ETAPA]],"")</f>
        <v/>
      </c>
      <c r="CV192" s="21" t="str">
        <f>IF([1]!BANCO10[[#This Row],[SOLUÇÃO]]=CV$1,[1]!BANCO10[[#This Row],[STATUS DA ETAPA]],"")</f>
        <v/>
      </c>
    </row>
    <row r="193" spans="1:100">
      <c r="A193" s="44" t="s">
        <v>1</v>
      </c>
      <c r="B193" s="44"/>
      <c r="C193" s="44" t="s">
        <v>1</v>
      </c>
      <c r="D193" s="44"/>
      <c r="E193" s="44" t="s">
        <v>1</v>
      </c>
      <c r="F193" s="44"/>
      <c r="G193" s="44" t="s">
        <v>1</v>
      </c>
      <c r="H193" s="44"/>
      <c r="I193" s="45" t="s">
        <v>1</v>
      </c>
      <c r="J193" s="46"/>
      <c r="K193" s="45" t="s">
        <v>1</v>
      </c>
      <c r="L193" s="33"/>
      <c r="M193" s="45" t="s">
        <v>1</v>
      </c>
      <c r="N193" s="33"/>
      <c r="O193" s="44"/>
      <c r="P193" s="44"/>
      <c r="Q193" s="44" t="s">
        <v>1</v>
      </c>
      <c r="R193" s="44"/>
      <c r="S193" s="44"/>
      <c r="T193" s="44"/>
      <c r="U193" s="44"/>
      <c r="V193" s="44"/>
      <c r="W193" s="44"/>
      <c r="X193" s="44"/>
      <c r="Y193" s="44"/>
      <c r="Z193" s="44"/>
      <c r="AA193" s="44"/>
      <c r="AB193" s="44"/>
      <c r="AC193" s="51">
        <v>45636</v>
      </c>
      <c r="AD193" s="50">
        <v>45636</v>
      </c>
      <c r="AE193" s="41" t="s">
        <v>1</v>
      </c>
      <c r="AF193" s="41" t="s">
        <v>1</v>
      </c>
      <c r="AG193" s="40" t="s">
        <v>4</v>
      </c>
      <c r="AH193" s="36" t="s">
        <v>0</v>
      </c>
      <c r="AI193" s="49">
        <v>0</v>
      </c>
      <c r="AJ193" s="36" t="s">
        <v>1</v>
      </c>
      <c r="AK193" s="10" t="s">
        <v>1</v>
      </c>
      <c r="AL193" s="36" t="s">
        <v>1</v>
      </c>
      <c r="AM193" s="36" t="s">
        <v>1</v>
      </c>
      <c r="AN193" s="35" t="s">
        <v>1</v>
      </c>
      <c r="AO193" s="35" t="s">
        <v>1</v>
      </c>
      <c r="AP193" s="35" t="s">
        <v>1</v>
      </c>
      <c r="AQ193" s="35" t="s">
        <v>2</v>
      </c>
      <c r="AR193" s="34" t="s">
        <v>0</v>
      </c>
      <c r="AS193" s="33"/>
      <c r="AT193" s="30" t="s">
        <v>0</v>
      </c>
      <c r="AU193" s="31"/>
      <c r="AV193" s="30" t="s">
        <v>0</v>
      </c>
      <c r="AW193" s="31"/>
      <c r="AX193" s="30" t="s">
        <v>0</v>
      </c>
      <c r="AY193" s="29"/>
      <c r="AZ193" s="28" t="s">
        <v>0</v>
      </c>
      <c r="BA193" s="27"/>
      <c r="BB193" s="26"/>
      <c r="BC193" s="25"/>
      <c r="BD193" s="24"/>
      <c r="BE193" s="24"/>
      <c r="BF193" s="24"/>
      <c r="BG193" s="24"/>
      <c r="BH193" s="24"/>
      <c r="BI193" s="24"/>
      <c r="BJ193" s="24"/>
      <c r="BK193" s="24"/>
      <c r="BL193" s="24"/>
      <c r="BM193" s="24"/>
      <c r="BN193" s="24"/>
      <c r="BO193" s="24"/>
      <c r="BP193" s="24"/>
      <c r="BQ193" s="22">
        <f>YEAR([1]!BANCO10[[#This Row],[DATA INÍCIO]])</f>
        <v>2024</v>
      </c>
      <c r="BR193" s="22">
        <f>MONTH([1]!BANCO10[[#This Row],[DATA INÍCIO]])</f>
        <v>12</v>
      </c>
      <c r="BS193" s="23" t="e">
        <f>CONCATENATE(#REF!,#REF!)</f>
        <v>#REF!</v>
      </c>
      <c r="BT193" s="22"/>
      <c r="BU193" s="22"/>
      <c r="BV193" s="21" t="str">
        <f>IF([1]!BANCO10[[#This Row],[SOLUÇÃO]]=BV$1,[1]!BANCO10[[#This Row],[STATUS DA ETAPA]],"")</f>
        <v/>
      </c>
      <c r="BW193" s="21" t="str">
        <f>IF([1]!BANCO10[[#This Row],[SOLUÇÃO]]=BW$1,[1]!BANCO10[[#This Row],[STATUS DA ETAPA]],"")</f>
        <v/>
      </c>
      <c r="BX193" s="21" t="str">
        <f>IF([1]!BANCO10[[#This Row],[SOLUÇÃO]]=BX$1,[1]!BANCO10[[#This Row],[STATUS DA ETAPA]],"")</f>
        <v/>
      </c>
      <c r="BY193" s="21" t="str">
        <f>IF([1]!BANCO10[[#This Row],[SOLUÇÃO]]=BY$1,[1]!BANCO10[[#This Row],[STATUS DA ETAPA]],"")</f>
        <v/>
      </c>
      <c r="BZ193" s="21" t="str">
        <f>IF([1]!BANCO10[[#This Row],[SOLUÇÃO]]=BZ$1,[1]!BANCO10[[#This Row],[STATUS DA ETAPA]],"")</f>
        <v/>
      </c>
      <c r="CA193" s="21" t="str">
        <f>IF([1]!BANCO10[[#This Row],[SOLUÇÃO]]=CA$1,[1]!BANCO10[[#This Row],[STATUS DA ETAPA]],"")</f>
        <v/>
      </c>
      <c r="CB193" s="21" t="str">
        <f>IF([1]!BANCO10[[#This Row],[SOLUÇÃO]]=CB$1,[1]!BANCO10[[#This Row],[STATUS DA ETAPA]],"")</f>
        <v/>
      </c>
      <c r="CC193" s="21" t="str">
        <f>IF([1]!BANCO10[[#This Row],[SOLUÇÃO]]=CC$1,[1]!BANCO10[[#This Row],[STATUS DA ETAPA]],"")</f>
        <v/>
      </c>
      <c r="CD193" s="21" t="str">
        <f>IF([1]!BANCO10[[#This Row],[SOLUÇÃO]]=CD$1,[1]!BANCO10[[#This Row],[STATUS DA ETAPA]],"")</f>
        <v/>
      </c>
      <c r="CE193" s="21" t="str">
        <f>IF([1]!BANCO10[[#This Row],[SOLUÇÃO]]=CE$1,[1]!BANCO10[[#This Row],[STATUS DA ETAPA]],"")</f>
        <v/>
      </c>
      <c r="CF193" s="21" t="str">
        <f>IF([1]!BANCO10[[#This Row],[SOLUÇÃO]]=CF$1,[1]!BANCO10[[#This Row],[STATUS DA ETAPA]],"")</f>
        <v/>
      </c>
      <c r="CG193" s="21" t="str">
        <f>IF([1]!BANCO10[[#This Row],[SOLUÇÃO]]=CG$1,[1]!BANCO10[[#This Row],[STATUS DA ETAPA]],"")</f>
        <v/>
      </c>
      <c r="CH193" s="21" t="str">
        <f>IF([1]!BANCO10[[#This Row],[SOLUÇÃO]]=CH$1,[1]!BANCO10[[#This Row],[STATUS DA ETAPA]],"")</f>
        <v/>
      </c>
      <c r="CI193" s="21" t="str">
        <f>IF([1]!BANCO10[[#This Row],[SOLUÇÃO]]=CI$1,[1]!BANCO10[[#This Row],[STATUS DA ETAPA]],"")</f>
        <v/>
      </c>
      <c r="CJ193" s="21" t="str">
        <f>IF([1]!BANCO10[[#This Row],[SOLUÇÃO]]=CJ$1,[1]!BANCO10[[#This Row],[STATUS DA ETAPA]],"")</f>
        <v/>
      </c>
      <c r="CK193" s="21" t="str">
        <f>IF([1]!BANCO10[[#This Row],[SOLUÇÃO]]=CK$1,[1]!BANCO10[[#This Row],[STATUS DA ETAPA]],"")</f>
        <v/>
      </c>
      <c r="CL193" s="21" t="str">
        <f>IF([1]!BANCO10[[#This Row],[SOLUÇÃO]]=CL$1,[1]!BANCO10[[#This Row],[STATUS DA ETAPA]],"")</f>
        <v/>
      </c>
      <c r="CM193" s="21" t="str">
        <f>IF([1]!BANCO10[[#This Row],[SOLUÇÃO]]=CM$1,[1]!BANCO10[[#This Row],[STATUS DA ETAPA]],"")</f>
        <v/>
      </c>
      <c r="CN193" s="21" t="str">
        <f>IF([1]!BANCO10[[#This Row],[SOLUÇÃO]]=CN$1,[1]!BANCO10[[#This Row],[STATUS DA ETAPA]],"")</f>
        <v/>
      </c>
      <c r="CO193" s="21" t="str">
        <f>IF([1]!BANCO10[[#This Row],[SOLUÇÃO]]=CO$1,[1]!BANCO10[[#This Row],[STATUS DA ETAPA]],"")</f>
        <v/>
      </c>
      <c r="CP193" s="21" t="str">
        <f>IF([1]!BANCO10[[#This Row],[SOLUÇÃO]]=CP$1,[1]!BANCO10[[#This Row],[STATUS DA ETAPA]],"")</f>
        <v/>
      </c>
      <c r="CQ193" s="21" t="str">
        <f>IF([1]!BANCO10[[#This Row],[SOLUÇÃO]]=CQ$1,[1]!BANCO10[[#This Row],[STATUS DA ETAPA]],"")</f>
        <v/>
      </c>
      <c r="CR193" s="21" t="str">
        <f>IF([1]!BANCO10[[#This Row],[SOLUÇÃO]]=CR$1,[1]!BANCO10[[#This Row],[STATUS DA ETAPA]],"")</f>
        <v/>
      </c>
      <c r="CS193" s="21" t="str">
        <f>IF([1]!BANCO10[[#This Row],[SOLUÇÃO]]=CS$1,[1]!BANCO10[[#This Row],[STATUS DA ETAPA]],"")</f>
        <v/>
      </c>
      <c r="CT193" s="21" t="str">
        <f>IF([1]!BANCO10[[#This Row],[SOLUÇÃO]]=CT$1,[1]!BANCO10[[#This Row],[STATUS DA ETAPA]],"")</f>
        <v/>
      </c>
      <c r="CU193" s="21" t="str">
        <f>IF([1]!BANCO10[[#This Row],[SOLUÇÃO]]=CU$1,[1]!BANCO10[[#This Row],[STATUS DA ETAPA]],"")</f>
        <v/>
      </c>
      <c r="CV193" s="21" t="str">
        <f>IF([1]!BANCO10[[#This Row],[SOLUÇÃO]]=CV$1,[1]!BANCO10[[#This Row],[STATUS DA ETAPA]],"")</f>
        <v/>
      </c>
    </row>
    <row r="194" spans="1:100">
      <c r="A194" s="44" t="s">
        <v>1</v>
      </c>
      <c r="B194" s="44"/>
      <c r="C194" s="44" t="s">
        <v>1</v>
      </c>
      <c r="D194" s="44"/>
      <c r="E194" s="44" t="s">
        <v>1</v>
      </c>
      <c r="F194" s="44"/>
      <c r="G194" s="44" t="s">
        <v>1</v>
      </c>
      <c r="H194" s="44"/>
      <c r="I194" s="45" t="s">
        <v>1</v>
      </c>
      <c r="J194" s="46"/>
      <c r="K194" s="45" t="s">
        <v>1</v>
      </c>
      <c r="L194" s="33"/>
      <c r="M194" s="45" t="s">
        <v>1</v>
      </c>
      <c r="N194" s="33"/>
      <c r="O194" s="44"/>
      <c r="P194" s="44"/>
      <c r="Q194" s="44" t="s">
        <v>1</v>
      </c>
      <c r="R194" s="44"/>
      <c r="S194" s="44"/>
      <c r="T194" s="44"/>
      <c r="U194" s="44"/>
      <c r="V194" s="44"/>
      <c r="W194" s="44"/>
      <c r="X194" s="44"/>
      <c r="Y194" s="44"/>
      <c r="Z194" s="44"/>
      <c r="AA194" s="44"/>
      <c r="AB194" s="44"/>
      <c r="AC194" s="84">
        <v>45636</v>
      </c>
      <c r="AD194" s="83">
        <v>45636</v>
      </c>
      <c r="AE194" s="41" t="s">
        <v>1</v>
      </c>
      <c r="AF194" s="41" t="s">
        <v>1</v>
      </c>
      <c r="AG194" s="40" t="s">
        <v>4</v>
      </c>
      <c r="AH194" s="36" t="s">
        <v>0</v>
      </c>
      <c r="AI194" s="49">
        <v>0</v>
      </c>
      <c r="AJ194" s="36" t="s">
        <v>1</v>
      </c>
      <c r="AK194" s="10" t="s">
        <v>1</v>
      </c>
      <c r="AL194" s="36" t="s">
        <v>1</v>
      </c>
      <c r="AM194" s="36" t="s">
        <v>1</v>
      </c>
      <c r="AN194" s="35" t="s">
        <v>1</v>
      </c>
      <c r="AO194" s="35" t="s">
        <v>1</v>
      </c>
      <c r="AP194" s="35" t="s">
        <v>1</v>
      </c>
      <c r="AQ194" s="35" t="s">
        <v>2</v>
      </c>
      <c r="AR194" s="34" t="s">
        <v>0</v>
      </c>
      <c r="AS194" s="33"/>
      <c r="AT194" s="30" t="s">
        <v>0</v>
      </c>
      <c r="AU194" s="31"/>
      <c r="AV194" s="30" t="s">
        <v>0</v>
      </c>
      <c r="AW194" s="31"/>
      <c r="AX194" s="30" t="s">
        <v>0</v>
      </c>
      <c r="AY194" s="29"/>
      <c r="AZ194" s="28" t="s">
        <v>0</v>
      </c>
      <c r="BA194" s="27"/>
      <c r="BB194" s="26"/>
      <c r="BC194" s="25"/>
      <c r="BD194" s="24"/>
      <c r="BE194" s="24"/>
      <c r="BF194" s="24"/>
      <c r="BG194" s="24"/>
      <c r="BH194" s="24"/>
      <c r="BI194" s="24"/>
      <c r="BJ194" s="24"/>
      <c r="BK194" s="24"/>
      <c r="BL194" s="24"/>
      <c r="BM194" s="24"/>
      <c r="BN194" s="24"/>
      <c r="BO194" s="24"/>
      <c r="BP194" s="24"/>
      <c r="BQ194" s="22">
        <f>YEAR([1]!BANCO10[[#This Row],[DATA INÍCIO]])</f>
        <v>2024</v>
      </c>
      <c r="BR194" s="22">
        <f>MONTH([1]!BANCO10[[#This Row],[DATA INÍCIO]])</f>
        <v>12</v>
      </c>
      <c r="BS194" s="23" t="e">
        <f>CONCATENATE(#REF!,#REF!)</f>
        <v>#REF!</v>
      </c>
      <c r="BT194" s="22"/>
      <c r="BU194" s="22"/>
      <c r="BV194" s="21" t="str">
        <f>IF([1]!BANCO10[[#This Row],[SOLUÇÃO]]=BV$1,[1]!BANCO10[[#This Row],[STATUS DA ETAPA]],"")</f>
        <v/>
      </c>
      <c r="BW194" s="21" t="str">
        <f>IF([1]!BANCO10[[#This Row],[SOLUÇÃO]]=BW$1,[1]!BANCO10[[#This Row],[STATUS DA ETAPA]],"")</f>
        <v/>
      </c>
      <c r="BX194" s="21" t="str">
        <f>IF([1]!BANCO10[[#This Row],[SOLUÇÃO]]=BX$1,[1]!BANCO10[[#This Row],[STATUS DA ETAPA]],"")</f>
        <v/>
      </c>
      <c r="BY194" s="21" t="str">
        <f>IF([1]!BANCO10[[#This Row],[SOLUÇÃO]]=BY$1,[1]!BANCO10[[#This Row],[STATUS DA ETAPA]],"")</f>
        <v/>
      </c>
      <c r="BZ194" s="21" t="str">
        <f>IF([1]!BANCO10[[#This Row],[SOLUÇÃO]]=BZ$1,[1]!BANCO10[[#This Row],[STATUS DA ETAPA]],"")</f>
        <v/>
      </c>
      <c r="CA194" s="21" t="str">
        <f>IF([1]!BANCO10[[#This Row],[SOLUÇÃO]]=CA$1,[1]!BANCO10[[#This Row],[STATUS DA ETAPA]],"")</f>
        <v/>
      </c>
      <c r="CB194" s="21" t="str">
        <f>IF([1]!BANCO10[[#This Row],[SOLUÇÃO]]=CB$1,[1]!BANCO10[[#This Row],[STATUS DA ETAPA]],"")</f>
        <v/>
      </c>
      <c r="CC194" s="21" t="str">
        <f>IF([1]!BANCO10[[#This Row],[SOLUÇÃO]]=CC$1,[1]!BANCO10[[#This Row],[STATUS DA ETAPA]],"")</f>
        <v/>
      </c>
      <c r="CD194" s="21" t="str">
        <f>IF([1]!BANCO10[[#This Row],[SOLUÇÃO]]=CD$1,[1]!BANCO10[[#This Row],[STATUS DA ETAPA]],"")</f>
        <v/>
      </c>
      <c r="CE194" s="21" t="str">
        <f>IF([1]!BANCO10[[#This Row],[SOLUÇÃO]]=CE$1,[1]!BANCO10[[#This Row],[STATUS DA ETAPA]],"")</f>
        <v/>
      </c>
      <c r="CF194" s="21" t="str">
        <f>IF([1]!BANCO10[[#This Row],[SOLUÇÃO]]=CF$1,[1]!BANCO10[[#This Row],[STATUS DA ETAPA]],"")</f>
        <v/>
      </c>
      <c r="CG194" s="21" t="str">
        <f>IF([1]!BANCO10[[#This Row],[SOLUÇÃO]]=CG$1,[1]!BANCO10[[#This Row],[STATUS DA ETAPA]],"")</f>
        <v/>
      </c>
      <c r="CH194" s="21" t="str">
        <f>IF([1]!BANCO10[[#This Row],[SOLUÇÃO]]=CH$1,[1]!BANCO10[[#This Row],[STATUS DA ETAPA]],"")</f>
        <v/>
      </c>
      <c r="CI194" s="21" t="str">
        <f>IF([1]!BANCO10[[#This Row],[SOLUÇÃO]]=CI$1,[1]!BANCO10[[#This Row],[STATUS DA ETAPA]],"")</f>
        <v/>
      </c>
      <c r="CJ194" s="21" t="str">
        <f>IF([1]!BANCO10[[#This Row],[SOLUÇÃO]]=CJ$1,[1]!BANCO10[[#This Row],[STATUS DA ETAPA]],"")</f>
        <v/>
      </c>
      <c r="CK194" s="21" t="str">
        <f>IF([1]!BANCO10[[#This Row],[SOLUÇÃO]]=CK$1,[1]!BANCO10[[#This Row],[STATUS DA ETAPA]],"")</f>
        <v/>
      </c>
      <c r="CL194" s="21" t="str">
        <f>IF([1]!BANCO10[[#This Row],[SOLUÇÃO]]=CL$1,[1]!BANCO10[[#This Row],[STATUS DA ETAPA]],"")</f>
        <v/>
      </c>
      <c r="CM194" s="21" t="str">
        <f>IF([1]!BANCO10[[#This Row],[SOLUÇÃO]]=CM$1,[1]!BANCO10[[#This Row],[STATUS DA ETAPA]],"")</f>
        <v/>
      </c>
      <c r="CN194" s="21" t="str">
        <f>IF([1]!BANCO10[[#This Row],[SOLUÇÃO]]=CN$1,[1]!BANCO10[[#This Row],[STATUS DA ETAPA]],"")</f>
        <v/>
      </c>
      <c r="CO194" s="21" t="str">
        <f>IF([1]!BANCO10[[#This Row],[SOLUÇÃO]]=CO$1,[1]!BANCO10[[#This Row],[STATUS DA ETAPA]],"")</f>
        <v/>
      </c>
      <c r="CP194" s="21" t="str">
        <f>IF([1]!BANCO10[[#This Row],[SOLUÇÃO]]=CP$1,[1]!BANCO10[[#This Row],[STATUS DA ETAPA]],"")</f>
        <v/>
      </c>
      <c r="CQ194" s="21" t="str">
        <f>IF([1]!BANCO10[[#This Row],[SOLUÇÃO]]=CQ$1,[1]!BANCO10[[#This Row],[STATUS DA ETAPA]],"")</f>
        <v/>
      </c>
      <c r="CR194" s="21" t="str">
        <f>IF([1]!BANCO10[[#This Row],[SOLUÇÃO]]=CR$1,[1]!BANCO10[[#This Row],[STATUS DA ETAPA]],"")</f>
        <v/>
      </c>
      <c r="CS194" s="21" t="str">
        <f>IF([1]!BANCO10[[#This Row],[SOLUÇÃO]]=CS$1,[1]!BANCO10[[#This Row],[STATUS DA ETAPA]],"")</f>
        <v/>
      </c>
      <c r="CT194" s="21" t="str">
        <f>IF([1]!BANCO10[[#This Row],[SOLUÇÃO]]=CT$1,[1]!BANCO10[[#This Row],[STATUS DA ETAPA]],"")</f>
        <v/>
      </c>
      <c r="CU194" s="21" t="str">
        <f>IF([1]!BANCO10[[#This Row],[SOLUÇÃO]]=CU$1,[1]!BANCO10[[#This Row],[STATUS DA ETAPA]],"")</f>
        <v/>
      </c>
      <c r="CV194" s="21" t="str">
        <f>IF([1]!BANCO10[[#This Row],[SOLUÇÃO]]=CV$1,[1]!BANCO10[[#This Row],[STATUS DA ETAPA]],"")</f>
        <v/>
      </c>
    </row>
    <row r="195" spans="1:100">
      <c r="A195" s="44" t="s">
        <v>1</v>
      </c>
      <c r="B195" s="44"/>
      <c r="C195" s="44" t="s">
        <v>1</v>
      </c>
      <c r="D195" s="44"/>
      <c r="E195" s="44" t="s">
        <v>1</v>
      </c>
      <c r="F195" s="44"/>
      <c r="G195" s="44" t="s">
        <v>1</v>
      </c>
      <c r="H195" s="44"/>
      <c r="I195" s="45" t="s">
        <v>1</v>
      </c>
      <c r="J195" s="46"/>
      <c r="K195" s="45" t="s">
        <v>1</v>
      </c>
      <c r="L195" s="33"/>
      <c r="M195" s="45" t="s">
        <v>1</v>
      </c>
      <c r="N195" s="33"/>
      <c r="O195" s="44" t="s">
        <v>1</v>
      </c>
      <c r="P195" s="44"/>
      <c r="Q195" s="44" t="s">
        <v>1</v>
      </c>
      <c r="R195" s="44"/>
      <c r="S195" s="44" t="s">
        <v>1</v>
      </c>
      <c r="T195" s="44"/>
      <c r="U195" s="44" t="s">
        <v>1</v>
      </c>
      <c r="V195" s="44"/>
      <c r="W195" s="44" t="s">
        <v>1</v>
      </c>
      <c r="X195" s="44"/>
      <c r="Y195" s="44" t="s">
        <v>1</v>
      </c>
      <c r="Z195" s="44"/>
      <c r="AA195" s="44" t="s">
        <v>1</v>
      </c>
      <c r="AB195" s="44"/>
      <c r="AC195" s="84">
        <v>45420</v>
      </c>
      <c r="AD195" s="83">
        <v>45420</v>
      </c>
      <c r="AE195" s="41" t="s">
        <v>1</v>
      </c>
      <c r="AF195" s="41" t="s">
        <v>1</v>
      </c>
      <c r="AG195" s="40" t="s">
        <v>5</v>
      </c>
      <c r="AH195" s="36" t="s">
        <v>1</v>
      </c>
      <c r="AI195" s="49">
        <v>0</v>
      </c>
      <c r="AJ195" s="36" t="s">
        <v>1</v>
      </c>
      <c r="AK195" s="10" t="s">
        <v>1</v>
      </c>
      <c r="AL195" s="36" t="s">
        <v>1</v>
      </c>
      <c r="AM195" s="36" t="s">
        <v>1</v>
      </c>
      <c r="AN195" s="35" t="s">
        <v>1</v>
      </c>
      <c r="AO195" s="35" t="s">
        <v>1</v>
      </c>
      <c r="AP195" s="35" t="s">
        <v>1</v>
      </c>
      <c r="AQ195" s="35" t="s">
        <v>1</v>
      </c>
      <c r="AR195" s="48" t="s">
        <v>1</v>
      </c>
      <c r="AS195" s="33"/>
      <c r="AT195" s="30"/>
      <c r="AU195" s="55"/>
      <c r="AV195" s="30"/>
      <c r="AW195" s="55"/>
      <c r="AX195" s="30" t="s">
        <v>1</v>
      </c>
      <c r="AY195" s="55"/>
      <c r="AZ195" s="30" t="s">
        <v>1</v>
      </c>
      <c r="BA195" s="91"/>
      <c r="BB195" s="74"/>
      <c r="BC195" s="25" t="s">
        <v>41</v>
      </c>
      <c r="BD195" s="24"/>
      <c r="BE195" s="24"/>
      <c r="BF195" s="24"/>
      <c r="BG195" s="24"/>
      <c r="BH195" s="130"/>
      <c r="BI195" s="24"/>
      <c r="BJ195" s="24"/>
      <c r="BK195" s="24"/>
      <c r="BL195" s="24"/>
      <c r="BM195" s="24"/>
      <c r="BN195" s="24"/>
      <c r="BO195" s="24"/>
      <c r="BP195" s="24"/>
      <c r="BQ195" s="22">
        <f>YEAR([1]!BANCO10[[#This Row],[DATA INÍCIO]])</f>
        <v>2024</v>
      </c>
      <c r="BR195" s="22">
        <f>MONTH([1]!BANCO10[[#This Row],[DATA INÍCIO]])</f>
        <v>5</v>
      </c>
      <c r="BS195" s="23" t="e">
        <f>CONCATENATE(#REF!,#REF!)</f>
        <v>#REF!</v>
      </c>
      <c r="BT195" s="22"/>
      <c r="BU195" s="97" t="s">
        <v>690</v>
      </c>
      <c r="BV195" s="21" t="str">
        <f>IF([1]!BANCO10[[#This Row],[SOLUÇÃO]]=BV$1,[1]!BANCO10[[#This Row],[STATUS DA ETAPA]],"")</f>
        <v>CONCLUÍDO</v>
      </c>
      <c r="BW195" s="21" t="str">
        <f>IF([1]!BANCO10[[#This Row],[SOLUÇÃO]]=BW$1,[1]!BANCO10[[#This Row],[STATUS DA ETAPA]],"")</f>
        <v/>
      </c>
      <c r="BX195" s="21" t="str">
        <f>IF([1]!BANCO10[[#This Row],[SOLUÇÃO]]=BX$1,[1]!BANCO10[[#This Row],[STATUS DA ETAPA]],"")</f>
        <v/>
      </c>
      <c r="BY195" s="21" t="str">
        <f>IF([1]!BANCO10[[#This Row],[SOLUÇÃO]]=BY$1,[1]!BANCO10[[#This Row],[STATUS DA ETAPA]],"")</f>
        <v/>
      </c>
      <c r="BZ195" s="21" t="str">
        <f>IF([1]!BANCO10[[#This Row],[SOLUÇÃO]]=BZ$1,[1]!BANCO10[[#This Row],[STATUS DA ETAPA]],"")</f>
        <v/>
      </c>
      <c r="CA195" s="21" t="str">
        <f>IF([1]!BANCO10[[#This Row],[SOLUÇÃO]]=CA$1,[1]!BANCO10[[#This Row],[STATUS DA ETAPA]],"")</f>
        <v/>
      </c>
      <c r="CB195" s="21" t="str">
        <f>IF([1]!BANCO10[[#This Row],[SOLUÇÃO]]=CB$1,[1]!BANCO10[[#This Row],[STATUS DA ETAPA]],"")</f>
        <v/>
      </c>
      <c r="CC195" s="21" t="str">
        <f>IF([1]!BANCO10[[#This Row],[SOLUÇÃO]]=CC$1,[1]!BANCO10[[#This Row],[STATUS DA ETAPA]],"")</f>
        <v/>
      </c>
      <c r="CD195" s="21" t="str">
        <f>IF([1]!BANCO10[[#This Row],[SOLUÇÃO]]=CD$1,[1]!BANCO10[[#This Row],[STATUS DA ETAPA]],"")</f>
        <v/>
      </c>
      <c r="CE195" s="21" t="str">
        <f>IF([1]!BANCO10[[#This Row],[SOLUÇÃO]]=CE$1,[1]!BANCO10[[#This Row],[STATUS DA ETAPA]],"")</f>
        <v/>
      </c>
      <c r="CF195" s="21" t="str">
        <f>IF([1]!BANCO10[[#This Row],[SOLUÇÃO]]=CF$1,[1]!BANCO10[[#This Row],[STATUS DA ETAPA]],"")</f>
        <v/>
      </c>
      <c r="CG195" s="21" t="str">
        <f>IF([1]!BANCO10[[#This Row],[SOLUÇÃO]]=CG$1,[1]!BANCO10[[#This Row],[STATUS DA ETAPA]],"")</f>
        <v/>
      </c>
      <c r="CH195" s="21" t="str">
        <f>IF([1]!BANCO10[[#This Row],[SOLUÇÃO]]=CH$1,[1]!BANCO10[[#This Row],[STATUS DA ETAPA]],"")</f>
        <v/>
      </c>
      <c r="CI195" s="21" t="str">
        <f>IF([1]!BANCO10[[#This Row],[SOLUÇÃO]]=CI$1,[1]!BANCO10[[#This Row],[STATUS DA ETAPA]],"")</f>
        <v/>
      </c>
      <c r="CJ195" s="21" t="str">
        <f>IF([1]!BANCO10[[#This Row],[SOLUÇÃO]]=CJ$1,[1]!BANCO10[[#This Row],[STATUS DA ETAPA]],"")</f>
        <v/>
      </c>
      <c r="CK195" s="21" t="str">
        <f>IF([1]!BANCO10[[#This Row],[SOLUÇÃO]]=CK$1,[1]!BANCO10[[#This Row],[STATUS DA ETAPA]],"")</f>
        <v/>
      </c>
      <c r="CL195" s="21" t="str">
        <f>IF([1]!BANCO10[[#This Row],[SOLUÇÃO]]=CL$1,[1]!BANCO10[[#This Row],[STATUS DA ETAPA]],"")</f>
        <v/>
      </c>
      <c r="CM195" s="21" t="str">
        <f>IF([1]!BANCO10[[#This Row],[SOLUÇÃO]]=CM$1,[1]!BANCO10[[#This Row],[STATUS DA ETAPA]],"")</f>
        <v/>
      </c>
      <c r="CN195" s="21" t="str">
        <f>IF([1]!BANCO10[[#This Row],[SOLUÇÃO]]=CN$1,[1]!BANCO10[[#This Row],[STATUS DA ETAPA]],"")</f>
        <v/>
      </c>
      <c r="CO195" s="21" t="str">
        <f>IF([1]!BANCO10[[#This Row],[SOLUÇÃO]]=CO$1,[1]!BANCO10[[#This Row],[STATUS DA ETAPA]],"")</f>
        <v/>
      </c>
      <c r="CP195" s="21" t="str">
        <f>IF([1]!BANCO10[[#This Row],[SOLUÇÃO]]=CP$1,[1]!BANCO10[[#This Row],[STATUS DA ETAPA]],"")</f>
        <v/>
      </c>
      <c r="CQ195" s="21" t="str">
        <f>IF([1]!BANCO10[[#This Row],[SOLUÇÃO]]=CQ$1,[1]!BANCO10[[#This Row],[STATUS DA ETAPA]],"")</f>
        <v/>
      </c>
      <c r="CR195" s="21" t="str">
        <f>IF([1]!BANCO10[[#This Row],[SOLUÇÃO]]=CR$1,[1]!BANCO10[[#This Row],[STATUS DA ETAPA]],"")</f>
        <v/>
      </c>
      <c r="CS195" s="21" t="str">
        <f>IF([1]!BANCO10[[#This Row],[SOLUÇÃO]]=CS$1,[1]!BANCO10[[#This Row],[STATUS DA ETAPA]],"")</f>
        <v/>
      </c>
      <c r="CT195" s="21" t="str">
        <f>IF([1]!BANCO10[[#This Row],[SOLUÇÃO]]=CT$1,[1]!BANCO10[[#This Row],[STATUS DA ETAPA]],"")</f>
        <v/>
      </c>
      <c r="CU195" s="21" t="str">
        <f>IF([1]!BANCO10[[#This Row],[SOLUÇÃO]]=CU$1,[1]!BANCO10[[#This Row],[STATUS DA ETAPA]],"")</f>
        <v/>
      </c>
      <c r="CV195" s="21" t="str">
        <f>IF([1]!BANCO10[[#This Row],[SOLUÇÃO]]=CV$1,[1]!BANCO10[[#This Row],[STATUS DA ETAPA]],"")</f>
        <v/>
      </c>
    </row>
    <row r="196" spans="1:100">
      <c r="A196" s="44" t="s">
        <v>2</v>
      </c>
      <c r="B196" s="44">
        <v>45383</v>
      </c>
      <c r="C196" s="44" t="s">
        <v>2</v>
      </c>
      <c r="D196" s="44">
        <v>45383</v>
      </c>
      <c r="E196" s="44" t="s">
        <v>2</v>
      </c>
      <c r="F196" s="44">
        <v>45383</v>
      </c>
      <c r="G196" s="44" t="s">
        <v>2</v>
      </c>
      <c r="H196" s="44">
        <v>45383</v>
      </c>
      <c r="I196" s="45" t="s">
        <v>2</v>
      </c>
      <c r="J196" s="46">
        <v>45536</v>
      </c>
      <c r="K196" s="45" t="s">
        <v>2</v>
      </c>
      <c r="L196" s="33">
        <v>45536</v>
      </c>
      <c r="M196" s="45" t="s">
        <v>2</v>
      </c>
      <c r="N196" s="33">
        <v>45536</v>
      </c>
      <c r="O196" s="44" t="s">
        <v>2</v>
      </c>
      <c r="P196" s="44">
        <v>45491</v>
      </c>
      <c r="Q196" s="44" t="s">
        <v>2</v>
      </c>
      <c r="R196" s="44">
        <v>45491</v>
      </c>
      <c r="S196" s="44" t="s">
        <v>2</v>
      </c>
      <c r="T196" s="44">
        <v>45536</v>
      </c>
      <c r="U196" s="44" t="s">
        <v>1</v>
      </c>
      <c r="V196" s="44"/>
      <c r="W196" s="44" t="s">
        <v>1</v>
      </c>
      <c r="X196" s="44"/>
      <c r="Y196" s="44" t="s">
        <v>1</v>
      </c>
      <c r="Z196" s="44"/>
      <c r="AA196" s="44" t="s">
        <v>1</v>
      </c>
      <c r="AB196" s="44"/>
      <c r="AC196" s="84">
        <v>45457</v>
      </c>
      <c r="AD196" s="83">
        <v>45565</v>
      </c>
      <c r="AE196" s="41" t="s">
        <v>2</v>
      </c>
      <c r="AF196" s="41" t="s">
        <v>2</v>
      </c>
      <c r="AG196" s="40" t="s">
        <v>5</v>
      </c>
      <c r="AH196" s="36" t="s">
        <v>0</v>
      </c>
      <c r="AI196" s="49">
        <v>0</v>
      </c>
      <c r="AJ196" s="36" t="s">
        <v>6</v>
      </c>
      <c r="AK196" s="10">
        <v>552020</v>
      </c>
      <c r="AL196" s="36" t="s">
        <v>1</v>
      </c>
      <c r="AM196" s="36" t="s">
        <v>1</v>
      </c>
      <c r="AN196" s="35" t="s">
        <v>2</v>
      </c>
      <c r="AO196" s="35" t="s">
        <v>2</v>
      </c>
      <c r="AP196" s="35" t="s">
        <v>2</v>
      </c>
      <c r="AQ196" s="35" t="s">
        <v>2</v>
      </c>
      <c r="AR196" s="34" t="s">
        <v>2</v>
      </c>
      <c r="AS196" s="33">
        <v>45649</v>
      </c>
      <c r="AT196" s="30"/>
      <c r="AU196" s="31"/>
      <c r="AV196" s="30"/>
      <c r="AW196" s="31"/>
      <c r="AX196" s="30" t="s">
        <v>2</v>
      </c>
      <c r="AY196" s="31">
        <v>45614</v>
      </c>
      <c r="AZ196" s="30" t="s">
        <v>2</v>
      </c>
      <c r="BA196" s="55">
        <v>45622</v>
      </c>
      <c r="BB196" s="26"/>
      <c r="BC196" s="25" t="s">
        <v>41</v>
      </c>
      <c r="BD196" s="24"/>
      <c r="BE196" s="24"/>
      <c r="BF196" s="24"/>
      <c r="BG196" s="24"/>
      <c r="BH196" s="130"/>
      <c r="BI196" s="24"/>
      <c r="BJ196" s="24"/>
      <c r="BK196" s="24"/>
      <c r="BL196" s="24"/>
      <c r="BM196" s="24"/>
      <c r="BN196" s="24"/>
      <c r="BO196" s="24"/>
      <c r="BP196" s="24"/>
      <c r="BQ196" s="22">
        <f>YEAR([1]!BANCO10[[#This Row],[DATA INÍCIO]])</f>
        <v>2024</v>
      </c>
      <c r="BR196" s="22">
        <f>MONTH([1]!BANCO10[[#This Row],[DATA INÍCIO]])</f>
        <v>6</v>
      </c>
      <c r="BS196" s="23" t="e">
        <f>CONCATENATE(#REF!,#REF!)</f>
        <v>#REF!</v>
      </c>
      <c r="BT196" s="22"/>
      <c r="BU196" s="21" t="s">
        <v>689</v>
      </c>
      <c r="BV196" s="21" t="str">
        <f>IF([1]!BANCO10[[#This Row],[SOLUÇÃO]]=BV$1,[1]!BANCO10[[#This Row],[STATUS DA ETAPA]],"")</f>
        <v/>
      </c>
      <c r="BW196" s="21" t="str">
        <f>IF([1]!BANCO10[[#This Row],[SOLUÇÃO]]=BW$1,[1]!BANCO10[[#This Row],[STATUS DA ETAPA]],"")</f>
        <v/>
      </c>
      <c r="BX196" s="21" t="str">
        <f>IF([1]!BANCO10[[#This Row],[SOLUÇÃO]]=BX$1,[1]!BANCO10[[#This Row],[STATUS DA ETAPA]],"")</f>
        <v/>
      </c>
      <c r="BY196" s="21" t="str">
        <f>IF([1]!BANCO10[[#This Row],[SOLUÇÃO]]=BY$1,[1]!BANCO10[[#This Row],[STATUS DA ETAPA]],"")</f>
        <v/>
      </c>
      <c r="BZ196" s="21" t="str">
        <f>IF([1]!BANCO10[[#This Row],[SOLUÇÃO]]=BZ$1,[1]!BANCO10[[#This Row],[STATUS DA ETAPA]],"")</f>
        <v/>
      </c>
      <c r="CA196" s="21" t="str">
        <f>IF([1]!BANCO10[[#This Row],[SOLUÇÃO]]=CA$1,[1]!BANCO10[[#This Row],[STATUS DA ETAPA]],"")</f>
        <v/>
      </c>
      <c r="CB196" s="21" t="str">
        <f>IF([1]!BANCO10[[#This Row],[SOLUÇÃO]]=CB$1,[1]!BANCO10[[#This Row],[STATUS DA ETAPA]],"")</f>
        <v>CONCLUÍDO</v>
      </c>
      <c r="CC196" s="21" t="str">
        <f>IF([1]!BANCO10[[#This Row],[SOLUÇÃO]]=CC$1,[1]!BANCO10[[#This Row],[STATUS DA ETAPA]],"")</f>
        <v/>
      </c>
      <c r="CD196" s="21" t="str">
        <f>IF([1]!BANCO10[[#This Row],[SOLUÇÃO]]=CD$1,[1]!BANCO10[[#This Row],[STATUS DA ETAPA]],"")</f>
        <v/>
      </c>
      <c r="CE196" s="21" t="str">
        <f>IF([1]!BANCO10[[#This Row],[SOLUÇÃO]]=CE$1,[1]!BANCO10[[#This Row],[STATUS DA ETAPA]],"")</f>
        <v/>
      </c>
      <c r="CF196" s="21" t="str">
        <f>IF([1]!BANCO10[[#This Row],[SOLUÇÃO]]=CF$1,[1]!BANCO10[[#This Row],[STATUS DA ETAPA]],"")</f>
        <v/>
      </c>
      <c r="CG196" s="21" t="str">
        <f>IF([1]!BANCO10[[#This Row],[SOLUÇÃO]]=CG$1,[1]!BANCO10[[#This Row],[STATUS DA ETAPA]],"")</f>
        <v/>
      </c>
      <c r="CH196" s="21" t="str">
        <f>IF([1]!BANCO10[[#This Row],[SOLUÇÃO]]=CH$1,[1]!BANCO10[[#This Row],[STATUS DA ETAPA]],"")</f>
        <v/>
      </c>
      <c r="CI196" s="21" t="str">
        <f>IF([1]!BANCO10[[#This Row],[SOLUÇÃO]]=CI$1,[1]!BANCO10[[#This Row],[STATUS DA ETAPA]],"")</f>
        <v/>
      </c>
      <c r="CJ196" s="21" t="str">
        <f>IF([1]!BANCO10[[#This Row],[SOLUÇÃO]]=CJ$1,[1]!BANCO10[[#This Row],[STATUS DA ETAPA]],"")</f>
        <v/>
      </c>
      <c r="CK196" s="21" t="str">
        <f>IF([1]!BANCO10[[#This Row],[SOLUÇÃO]]=CK$1,[1]!BANCO10[[#This Row],[STATUS DA ETAPA]],"")</f>
        <v/>
      </c>
      <c r="CL196" s="21" t="str">
        <f>IF([1]!BANCO10[[#This Row],[SOLUÇÃO]]=CL$1,[1]!BANCO10[[#This Row],[STATUS DA ETAPA]],"")</f>
        <v/>
      </c>
      <c r="CM196" s="21" t="str">
        <f>IF([1]!BANCO10[[#This Row],[SOLUÇÃO]]=CM$1,[1]!BANCO10[[#This Row],[STATUS DA ETAPA]],"")</f>
        <v/>
      </c>
      <c r="CN196" s="21" t="str">
        <f>IF([1]!BANCO10[[#This Row],[SOLUÇÃO]]=CN$1,[1]!BANCO10[[#This Row],[STATUS DA ETAPA]],"")</f>
        <v/>
      </c>
      <c r="CO196" s="21" t="str">
        <f>IF([1]!BANCO10[[#This Row],[SOLUÇÃO]]=CO$1,[1]!BANCO10[[#This Row],[STATUS DA ETAPA]],"")</f>
        <v/>
      </c>
      <c r="CP196" s="21" t="str">
        <f>IF([1]!BANCO10[[#This Row],[SOLUÇÃO]]=CP$1,[1]!BANCO10[[#This Row],[STATUS DA ETAPA]],"")</f>
        <v/>
      </c>
      <c r="CQ196" s="21" t="str">
        <f>IF([1]!BANCO10[[#This Row],[SOLUÇÃO]]=CQ$1,[1]!BANCO10[[#This Row],[STATUS DA ETAPA]],"")</f>
        <v/>
      </c>
      <c r="CR196" s="21" t="str">
        <f>IF([1]!BANCO10[[#This Row],[SOLUÇÃO]]=CR$1,[1]!BANCO10[[#This Row],[STATUS DA ETAPA]],"")</f>
        <v/>
      </c>
      <c r="CS196" s="21" t="str">
        <f>IF([1]!BANCO10[[#This Row],[SOLUÇÃO]]=CS$1,[1]!BANCO10[[#This Row],[STATUS DA ETAPA]],"")</f>
        <v/>
      </c>
      <c r="CT196" s="21" t="str">
        <f>IF([1]!BANCO10[[#This Row],[SOLUÇÃO]]=CT$1,[1]!BANCO10[[#This Row],[STATUS DA ETAPA]],"")</f>
        <v/>
      </c>
      <c r="CU196" s="21" t="str">
        <f>IF([1]!BANCO10[[#This Row],[SOLUÇÃO]]=CU$1,[1]!BANCO10[[#This Row],[STATUS DA ETAPA]],"")</f>
        <v/>
      </c>
      <c r="CV196" s="21" t="str">
        <f>IF([1]!BANCO10[[#This Row],[SOLUÇÃO]]=CV$1,[1]!BANCO10[[#This Row],[STATUS DA ETAPA]],"")</f>
        <v/>
      </c>
    </row>
    <row r="197" spans="1:100">
      <c r="A197" s="44" t="s">
        <v>1</v>
      </c>
      <c r="B197" s="44"/>
      <c r="C197" s="44" t="s">
        <v>1</v>
      </c>
      <c r="D197" s="44"/>
      <c r="E197" s="44" t="s">
        <v>1</v>
      </c>
      <c r="F197" s="44"/>
      <c r="G197" s="44" t="s">
        <v>1</v>
      </c>
      <c r="H197" s="44"/>
      <c r="I197" s="45" t="s">
        <v>1</v>
      </c>
      <c r="J197" s="46"/>
      <c r="K197" s="45" t="s">
        <v>1</v>
      </c>
      <c r="L197" s="33"/>
      <c r="M197" s="45" t="s">
        <v>1</v>
      </c>
      <c r="N197" s="33"/>
      <c r="O197" s="44"/>
      <c r="P197" s="44"/>
      <c r="Q197" s="44" t="s">
        <v>1</v>
      </c>
      <c r="R197" s="44"/>
      <c r="S197" s="44"/>
      <c r="T197" s="44"/>
      <c r="U197" s="44"/>
      <c r="V197" s="44"/>
      <c r="W197" s="44"/>
      <c r="X197" s="44"/>
      <c r="Y197" s="44"/>
      <c r="Z197" s="44"/>
      <c r="AA197" s="44"/>
      <c r="AB197" s="44"/>
      <c r="AC197" s="51">
        <v>45636</v>
      </c>
      <c r="AD197" s="50">
        <v>45636</v>
      </c>
      <c r="AE197" s="41" t="s">
        <v>1</v>
      </c>
      <c r="AF197" s="41" t="s">
        <v>1</v>
      </c>
      <c r="AG197" s="40" t="s">
        <v>4</v>
      </c>
      <c r="AH197" s="36" t="s">
        <v>0</v>
      </c>
      <c r="AI197" s="49">
        <v>0</v>
      </c>
      <c r="AJ197" s="36" t="s">
        <v>1</v>
      </c>
      <c r="AK197" s="10" t="s">
        <v>1</v>
      </c>
      <c r="AL197" s="36" t="s">
        <v>1</v>
      </c>
      <c r="AM197" s="36" t="s">
        <v>1</v>
      </c>
      <c r="AN197" s="35" t="s">
        <v>1</v>
      </c>
      <c r="AO197" s="35" t="s">
        <v>1</v>
      </c>
      <c r="AP197" s="35" t="s">
        <v>1</v>
      </c>
      <c r="AQ197" s="35" t="s">
        <v>2</v>
      </c>
      <c r="AR197" s="34" t="s">
        <v>0</v>
      </c>
      <c r="AS197" s="33"/>
      <c r="AT197" s="30" t="s">
        <v>0</v>
      </c>
      <c r="AU197" s="31"/>
      <c r="AV197" s="30" t="s">
        <v>0</v>
      </c>
      <c r="AW197" s="31"/>
      <c r="AX197" s="30" t="s">
        <v>0</v>
      </c>
      <c r="AY197" s="29"/>
      <c r="AZ197" s="28" t="s">
        <v>0</v>
      </c>
      <c r="BA197" s="27"/>
      <c r="BB197" s="26"/>
      <c r="BC197" s="25"/>
      <c r="BD197" s="24"/>
      <c r="BE197" s="24"/>
      <c r="BF197" s="24"/>
      <c r="BG197" s="24"/>
      <c r="BH197" s="24"/>
      <c r="BI197" s="24"/>
      <c r="BJ197" s="24"/>
      <c r="BK197" s="24"/>
      <c r="BL197" s="24"/>
      <c r="BM197" s="24"/>
      <c r="BN197" s="24"/>
      <c r="BO197" s="24"/>
      <c r="BP197" s="24"/>
      <c r="BQ197" s="22">
        <f>YEAR([1]!BANCO10[[#This Row],[DATA INÍCIO]])</f>
        <v>2024</v>
      </c>
      <c r="BR197" s="22">
        <f>MONTH([1]!BANCO10[[#This Row],[DATA INÍCIO]])</f>
        <v>12</v>
      </c>
      <c r="BS197" s="23" t="e">
        <f>CONCATENATE(#REF!,#REF!)</f>
        <v>#REF!</v>
      </c>
      <c r="BT197" s="22"/>
      <c r="BU197" s="22"/>
      <c r="BV197" s="21" t="str">
        <f>IF([1]!BANCO10[[#This Row],[SOLUÇÃO]]=BV$1,[1]!BANCO10[[#This Row],[STATUS DA ETAPA]],"")</f>
        <v/>
      </c>
      <c r="BW197" s="21" t="str">
        <f>IF([1]!BANCO10[[#This Row],[SOLUÇÃO]]=BW$1,[1]!BANCO10[[#This Row],[STATUS DA ETAPA]],"")</f>
        <v/>
      </c>
      <c r="BX197" s="21" t="str">
        <f>IF([1]!BANCO10[[#This Row],[SOLUÇÃO]]=BX$1,[1]!BANCO10[[#This Row],[STATUS DA ETAPA]],"")</f>
        <v/>
      </c>
      <c r="BY197" s="21" t="str">
        <f>IF([1]!BANCO10[[#This Row],[SOLUÇÃO]]=BY$1,[1]!BANCO10[[#This Row],[STATUS DA ETAPA]],"")</f>
        <v/>
      </c>
      <c r="BZ197" s="21" t="str">
        <f>IF([1]!BANCO10[[#This Row],[SOLUÇÃO]]=BZ$1,[1]!BANCO10[[#This Row],[STATUS DA ETAPA]],"")</f>
        <v/>
      </c>
      <c r="CA197" s="21" t="str">
        <f>IF([1]!BANCO10[[#This Row],[SOLUÇÃO]]=CA$1,[1]!BANCO10[[#This Row],[STATUS DA ETAPA]],"")</f>
        <v/>
      </c>
      <c r="CB197" s="21" t="str">
        <f>IF([1]!BANCO10[[#This Row],[SOLUÇÃO]]=CB$1,[1]!BANCO10[[#This Row],[STATUS DA ETAPA]],"")</f>
        <v/>
      </c>
      <c r="CC197" s="21" t="str">
        <f>IF([1]!BANCO10[[#This Row],[SOLUÇÃO]]=CC$1,[1]!BANCO10[[#This Row],[STATUS DA ETAPA]],"")</f>
        <v/>
      </c>
      <c r="CD197" s="21" t="str">
        <f>IF([1]!BANCO10[[#This Row],[SOLUÇÃO]]=CD$1,[1]!BANCO10[[#This Row],[STATUS DA ETAPA]],"")</f>
        <v/>
      </c>
      <c r="CE197" s="21" t="str">
        <f>IF([1]!BANCO10[[#This Row],[SOLUÇÃO]]=CE$1,[1]!BANCO10[[#This Row],[STATUS DA ETAPA]],"")</f>
        <v/>
      </c>
      <c r="CF197" s="21" t="str">
        <f>IF([1]!BANCO10[[#This Row],[SOLUÇÃO]]=CF$1,[1]!BANCO10[[#This Row],[STATUS DA ETAPA]],"")</f>
        <v/>
      </c>
      <c r="CG197" s="21" t="str">
        <f>IF([1]!BANCO10[[#This Row],[SOLUÇÃO]]=CG$1,[1]!BANCO10[[#This Row],[STATUS DA ETAPA]],"")</f>
        <v/>
      </c>
      <c r="CH197" s="21" t="str">
        <f>IF([1]!BANCO10[[#This Row],[SOLUÇÃO]]=CH$1,[1]!BANCO10[[#This Row],[STATUS DA ETAPA]],"")</f>
        <v/>
      </c>
      <c r="CI197" s="21" t="str">
        <f>IF([1]!BANCO10[[#This Row],[SOLUÇÃO]]=CI$1,[1]!BANCO10[[#This Row],[STATUS DA ETAPA]],"")</f>
        <v/>
      </c>
      <c r="CJ197" s="21" t="str">
        <f>IF([1]!BANCO10[[#This Row],[SOLUÇÃO]]=CJ$1,[1]!BANCO10[[#This Row],[STATUS DA ETAPA]],"")</f>
        <v/>
      </c>
      <c r="CK197" s="21" t="str">
        <f>IF([1]!BANCO10[[#This Row],[SOLUÇÃO]]=CK$1,[1]!BANCO10[[#This Row],[STATUS DA ETAPA]],"")</f>
        <v/>
      </c>
      <c r="CL197" s="21" t="str">
        <f>IF([1]!BANCO10[[#This Row],[SOLUÇÃO]]=CL$1,[1]!BANCO10[[#This Row],[STATUS DA ETAPA]],"")</f>
        <v/>
      </c>
      <c r="CM197" s="21" t="str">
        <f>IF([1]!BANCO10[[#This Row],[SOLUÇÃO]]=CM$1,[1]!BANCO10[[#This Row],[STATUS DA ETAPA]],"")</f>
        <v/>
      </c>
      <c r="CN197" s="21" t="str">
        <f>IF([1]!BANCO10[[#This Row],[SOLUÇÃO]]=CN$1,[1]!BANCO10[[#This Row],[STATUS DA ETAPA]],"")</f>
        <v/>
      </c>
      <c r="CO197" s="21" t="str">
        <f>IF([1]!BANCO10[[#This Row],[SOLUÇÃO]]=CO$1,[1]!BANCO10[[#This Row],[STATUS DA ETAPA]],"")</f>
        <v/>
      </c>
      <c r="CP197" s="21" t="str">
        <f>IF([1]!BANCO10[[#This Row],[SOLUÇÃO]]=CP$1,[1]!BANCO10[[#This Row],[STATUS DA ETAPA]],"")</f>
        <v/>
      </c>
      <c r="CQ197" s="21" t="str">
        <f>IF([1]!BANCO10[[#This Row],[SOLUÇÃO]]=CQ$1,[1]!BANCO10[[#This Row],[STATUS DA ETAPA]],"")</f>
        <v/>
      </c>
      <c r="CR197" s="21" t="str">
        <f>IF([1]!BANCO10[[#This Row],[SOLUÇÃO]]=CR$1,[1]!BANCO10[[#This Row],[STATUS DA ETAPA]],"")</f>
        <v/>
      </c>
      <c r="CS197" s="21" t="str">
        <f>IF([1]!BANCO10[[#This Row],[SOLUÇÃO]]=CS$1,[1]!BANCO10[[#This Row],[STATUS DA ETAPA]],"")</f>
        <v/>
      </c>
      <c r="CT197" s="21" t="str">
        <f>IF([1]!BANCO10[[#This Row],[SOLUÇÃO]]=CT$1,[1]!BANCO10[[#This Row],[STATUS DA ETAPA]],"")</f>
        <v/>
      </c>
      <c r="CU197" s="21" t="str">
        <f>IF([1]!BANCO10[[#This Row],[SOLUÇÃO]]=CU$1,[1]!BANCO10[[#This Row],[STATUS DA ETAPA]],"")</f>
        <v/>
      </c>
      <c r="CV197" s="21" t="str">
        <f>IF([1]!BANCO10[[#This Row],[SOLUÇÃO]]=CV$1,[1]!BANCO10[[#This Row],[STATUS DA ETAPA]],"")</f>
        <v/>
      </c>
    </row>
    <row r="198" spans="1:100">
      <c r="A198" s="44" t="s">
        <v>2</v>
      </c>
      <c r="B198" s="44">
        <v>45713</v>
      </c>
      <c r="C198" s="44" t="s">
        <v>2</v>
      </c>
      <c r="D198" s="44">
        <v>45713</v>
      </c>
      <c r="E198" s="44" t="s">
        <v>2</v>
      </c>
      <c r="F198" s="44">
        <v>45713</v>
      </c>
      <c r="G198" s="44" t="s">
        <v>2</v>
      </c>
      <c r="H198" s="44">
        <v>45713</v>
      </c>
      <c r="I198" s="45" t="s">
        <v>2</v>
      </c>
      <c r="J198" s="46">
        <v>45712</v>
      </c>
      <c r="K198" s="45" t="s">
        <v>0</v>
      </c>
      <c r="L198" s="33"/>
      <c r="M198" s="45" t="s">
        <v>0</v>
      </c>
      <c r="N198" s="33"/>
      <c r="O198" s="44" t="s">
        <v>1</v>
      </c>
      <c r="P198" s="44"/>
      <c r="Q198" s="44" t="s">
        <v>1</v>
      </c>
      <c r="R198" s="44"/>
      <c r="S198" s="44" t="s">
        <v>2</v>
      </c>
      <c r="T198" s="44">
        <v>45708</v>
      </c>
      <c r="U198" s="44" t="s">
        <v>1</v>
      </c>
      <c r="V198" s="44"/>
      <c r="W198" s="44" t="s">
        <v>1</v>
      </c>
      <c r="X198" s="44"/>
      <c r="Y198" s="44" t="s">
        <v>1</v>
      </c>
      <c r="Z198" s="44"/>
      <c r="AA198" s="44" t="s">
        <v>1</v>
      </c>
      <c r="AB198" s="44"/>
      <c r="AC198" s="51">
        <v>46022</v>
      </c>
      <c r="AD198" s="50">
        <v>46022</v>
      </c>
      <c r="AE198" s="41" t="s">
        <v>0</v>
      </c>
      <c r="AF198" s="41" t="s">
        <v>0</v>
      </c>
      <c r="AG198" s="40" t="s">
        <v>5</v>
      </c>
      <c r="AH198" s="36" t="s">
        <v>0</v>
      </c>
      <c r="AI198" s="49">
        <v>20140</v>
      </c>
      <c r="AJ198" s="36" t="s">
        <v>3</v>
      </c>
      <c r="AK198" s="21">
        <v>678872</v>
      </c>
      <c r="AL198" s="36" t="s">
        <v>1</v>
      </c>
      <c r="AM198" s="36" t="s">
        <v>1</v>
      </c>
      <c r="AN198" s="35" t="s">
        <v>0</v>
      </c>
      <c r="AO198" s="35" t="s">
        <v>0</v>
      </c>
      <c r="AP198" s="35" t="s">
        <v>0</v>
      </c>
      <c r="AQ198" s="35" t="s">
        <v>0</v>
      </c>
      <c r="AR198" s="34" t="s">
        <v>0</v>
      </c>
      <c r="AS198" s="33"/>
      <c r="AT198" s="32" t="s">
        <v>0</v>
      </c>
      <c r="AU198" s="31"/>
      <c r="AV198" s="32" t="s">
        <v>0</v>
      </c>
      <c r="AW198" s="31"/>
      <c r="AX198" s="32" t="s">
        <v>0</v>
      </c>
      <c r="AY198" s="31"/>
      <c r="AZ198" s="32" t="s">
        <v>0</v>
      </c>
      <c r="BA198" s="31"/>
      <c r="BB198" s="26" t="s">
        <v>7</v>
      </c>
      <c r="BC198" s="22" t="s">
        <v>422</v>
      </c>
      <c r="BD198" s="24"/>
      <c r="BE198" s="24"/>
      <c r="BF198" s="24"/>
      <c r="BG198" s="24"/>
      <c r="BH198" s="24"/>
      <c r="BI198" s="24"/>
      <c r="BJ198" s="24"/>
      <c r="BK198" s="24"/>
      <c r="BL198" s="24"/>
      <c r="BM198" s="24"/>
      <c r="BN198" s="24"/>
      <c r="BO198" s="24"/>
      <c r="BP198" s="24"/>
      <c r="BQ198" s="22">
        <f>YEAR([1]!BANCO10[[#This Row],[DATA INÍCIO]])</f>
        <v>2025</v>
      </c>
      <c r="BR198" s="22">
        <f>MONTH([1]!BANCO10[[#This Row],[DATA INÍCIO]])</f>
        <v>12</v>
      </c>
      <c r="BS198" s="23" t="e">
        <f>CONCATENATE(#REF!,#REF!)</f>
        <v>#REF!</v>
      </c>
      <c r="BT198" s="22"/>
      <c r="BU198" s="22"/>
      <c r="BV198" s="21" t="str">
        <f>IF([1]!BANCO10[[#This Row],[SOLUÇÃO]]=BV$1,[1]!BANCO10[[#This Row],[STATUS DA ETAPA]],"")</f>
        <v/>
      </c>
      <c r="BW198" s="21" t="str">
        <f>IF([1]!BANCO10[[#This Row],[SOLUÇÃO]]=BW$1,[1]!BANCO10[[#This Row],[STATUS DA ETAPA]],"")</f>
        <v/>
      </c>
      <c r="BX198" s="21" t="str">
        <f>IF([1]!BANCO10[[#This Row],[SOLUÇÃO]]=BX$1,[1]!BANCO10[[#This Row],[STATUS DA ETAPA]],"")</f>
        <v/>
      </c>
      <c r="BY198" s="21" t="str">
        <f>IF([1]!BANCO10[[#This Row],[SOLUÇÃO]]=BY$1,[1]!BANCO10[[#This Row],[STATUS DA ETAPA]],"")</f>
        <v/>
      </c>
      <c r="BZ198" s="21" t="str">
        <f>IF([1]!BANCO10[[#This Row],[SOLUÇÃO]]=BZ$1,[1]!BANCO10[[#This Row],[STATUS DA ETAPA]],"")</f>
        <v/>
      </c>
      <c r="CA198" s="21" t="str">
        <f>IF([1]!BANCO10[[#This Row],[SOLUÇÃO]]=CA$1,[1]!BANCO10[[#This Row],[STATUS DA ETAPA]],"")</f>
        <v/>
      </c>
      <c r="CB198" s="21" t="str">
        <f>IF([1]!BANCO10[[#This Row],[SOLUÇÃO]]=CB$1,[1]!BANCO10[[#This Row],[STATUS DA ETAPA]],"")</f>
        <v>AGUARDANDO SALDO</v>
      </c>
      <c r="CC198" s="21" t="str">
        <f>IF([1]!BANCO10[[#This Row],[SOLUÇÃO]]=CC$1,[1]!BANCO10[[#This Row],[STATUS DA ETAPA]],"")</f>
        <v/>
      </c>
      <c r="CD198" s="21" t="str">
        <f>IF([1]!BANCO10[[#This Row],[SOLUÇÃO]]=CD$1,[1]!BANCO10[[#This Row],[STATUS DA ETAPA]],"")</f>
        <v/>
      </c>
      <c r="CE198" s="21" t="str">
        <f>IF([1]!BANCO10[[#This Row],[SOLUÇÃO]]=CE$1,[1]!BANCO10[[#This Row],[STATUS DA ETAPA]],"")</f>
        <v/>
      </c>
      <c r="CF198" s="21" t="str">
        <f>IF([1]!BANCO10[[#This Row],[SOLUÇÃO]]=CF$1,[1]!BANCO10[[#This Row],[STATUS DA ETAPA]],"")</f>
        <v/>
      </c>
      <c r="CG198" s="21" t="str">
        <f>IF([1]!BANCO10[[#This Row],[SOLUÇÃO]]=CG$1,[1]!BANCO10[[#This Row],[STATUS DA ETAPA]],"")</f>
        <v/>
      </c>
      <c r="CH198" s="21" t="str">
        <f>IF([1]!BANCO10[[#This Row],[SOLUÇÃO]]=CH$1,[1]!BANCO10[[#This Row],[STATUS DA ETAPA]],"")</f>
        <v/>
      </c>
      <c r="CI198" s="21" t="str">
        <f>IF([1]!BANCO10[[#This Row],[SOLUÇÃO]]=CI$1,[1]!BANCO10[[#This Row],[STATUS DA ETAPA]],"")</f>
        <v/>
      </c>
      <c r="CJ198" s="21" t="str">
        <f>IF([1]!BANCO10[[#This Row],[SOLUÇÃO]]=CJ$1,[1]!BANCO10[[#This Row],[STATUS DA ETAPA]],"")</f>
        <v/>
      </c>
      <c r="CK198" s="21" t="str">
        <f>IF([1]!BANCO10[[#This Row],[SOLUÇÃO]]=CK$1,[1]!BANCO10[[#This Row],[STATUS DA ETAPA]],"")</f>
        <v/>
      </c>
      <c r="CL198" s="21" t="str">
        <f>IF([1]!BANCO10[[#This Row],[SOLUÇÃO]]=CL$1,[1]!BANCO10[[#This Row],[STATUS DA ETAPA]],"")</f>
        <v/>
      </c>
      <c r="CM198" s="21" t="str">
        <f>IF([1]!BANCO10[[#This Row],[SOLUÇÃO]]=CM$1,[1]!BANCO10[[#This Row],[STATUS DA ETAPA]],"")</f>
        <v/>
      </c>
      <c r="CN198" s="21" t="str">
        <f>IF([1]!BANCO10[[#This Row],[SOLUÇÃO]]=CN$1,[1]!BANCO10[[#This Row],[STATUS DA ETAPA]],"")</f>
        <v/>
      </c>
      <c r="CO198" s="21" t="str">
        <f>IF([1]!BANCO10[[#This Row],[SOLUÇÃO]]=CO$1,[1]!BANCO10[[#This Row],[STATUS DA ETAPA]],"")</f>
        <v/>
      </c>
      <c r="CP198" s="21" t="str">
        <f>IF([1]!BANCO10[[#This Row],[SOLUÇÃO]]=CP$1,[1]!BANCO10[[#This Row],[STATUS DA ETAPA]],"")</f>
        <v/>
      </c>
      <c r="CQ198" s="21" t="str">
        <f>IF([1]!BANCO10[[#This Row],[SOLUÇÃO]]=CQ$1,[1]!BANCO10[[#This Row],[STATUS DA ETAPA]],"")</f>
        <v/>
      </c>
      <c r="CR198" s="21" t="str">
        <f>IF([1]!BANCO10[[#This Row],[SOLUÇÃO]]=CR$1,[1]!BANCO10[[#This Row],[STATUS DA ETAPA]],"")</f>
        <v/>
      </c>
      <c r="CS198" s="21" t="str">
        <f>IF([1]!BANCO10[[#This Row],[SOLUÇÃO]]=CS$1,[1]!BANCO10[[#This Row],[STATUS DA ETAPA]],"")</f>
        <v/>
      </c>
      <c r="CT198" s="21" t="str">
        <f>IF([1]!BANCO10[[#This Row],[SOLUÇÃO]]=CT$1,[1]!BANCO10[[#This Row],[STATUS DA ETAPA]],"")</f>
        <v/>
      </c>
      <c r="CU198" s="21" t="str">
        <f>IF([1]!BANCO10[[#This Row],[SOLUÇÃO]]=CU$1,[1]!BANCO10[[#This Row],[STATUS DA ETAPA]],"")</f>
        <v/>
      </c>
      <c r="CV198" s="21" t="str">
        <f>IF([1]!BANCO10[[#This Row],[SOLUÇÃO]]=CV$1,[1]!BANCO10[[#This Row],[STATUS DA ETAPA]],"")</f>
        <v/>
      </c>
    </row>
    <row r="199" spans="1:100">
      <c r="A199" s="44" t="s">
        <v>1</v>
      </c>
      <c r="B199" s="44"/>
      <c r="C199" s="44" t="s">
        <v>1</v>
      </c>
      <c r="D199" s="44"/>
      <c r="E199" s="44" t="s">
        <v>1</v>
      </c>
      <c r="F199" s="44"/>
      <c r="G199" s="44" t="s">
        <v>1</v>
      </c>
      <c r="H199" s="44"/>
      <c r="I199" s="45" t="s">
        <v>1</v>
      </c>
      <c r="J199" s="46"/>
      <c r="K199" s="45" t="s">
        <v>1</v>
      </c>
      <c r="L199" s="33"/>
      <c r="M199" s="45" t="s">
        <v>1</v>
      </c>
      <c r="N199" s="33"/>
      <c r="O199" s="44" t="s">
        <v>2</v>
      </c>
      <c r="P199" s="44">
        <v>44985</v>
      </c>
      <c r="Q199" s="44" t="s">
        <v>0</v>
      </c>
      <c r="R199" s="44"/>
      <c r="S199" s="44" t="s">
        <v>1</v>
      </c>
      <c r="T199" s="44"/>
      <c r="U199" s="44" t="s">
        <v>1</v>
      </c>
      <c r="V199" s="44"/>
      <c r="W199" s="44" t="s">
        <v>1</v>
      </c>
      <c r="X199" s="44"/>
      <c r="Y199" s="44" t="s">
        <v>1</v>
      </c>
      <c r="Z199" s="44"/>
      <c r="AA199" s="44" t="s">
        <v>1</v>
      </c>
      <c r="AB199" s="44"/>
      <c r="AC199" s="51">
        <v>44985</v>
      </c>
      <c r="AD199" s="50">
        <v>44985</v>
      </c>
      <c r="AE199" s="40" t="s">
        <v>1</v>
      </c>
      <c r="AF199" s="40" t="s">
        <v>1</v>
      </c>
      <c r="AG199" s="76" t="s">
        <v>5</v>
      </c>
      <c r="AH199" s="36" t="s">
        <v>1</v>
      </c>
      <c r="AI199" s="49">
        <v>0</v>
      </c>
      <c r="AJ199" s="36" t="s">
        <v>1</v>
      </c>
      <c r="AK199" s="10" t="s">
        <v>1</v>
      </c>
      <c r="AL199" s="36" t="s">
        <v>1</v>
      </c>
      <c r="AM199" s="36" t="s">
        <v>1</v>
      </c>
      <c r="AN199" s="35" t="s">
        <v>1</v>
      </c>
      <c r="AO199" s="35" t="s">
        <v>1</v>
      </c>
      <c r="AP199" s="35" t="s">
        <v>1</v>
      </c>
      <c r="AQ199" s="35" t="s">
        <v>1</v>
      </c>
      <c r="AR199" s="82" t="s">
        <v>1</v>
      </c>
      <c r="AS199" s="33"/>
      <c r="AT199" s="30"/>
      <c r="AU199" s="55"/>
      <c r="AV199" s="30"/>
      <c r="AW199" s="55"/>
      <c r="AX199" s="30" t="s">
        <v>1</v>
      </c>
      <c r="AY199" s="55"/>
      <c r="AZ199" s="30" t="s">
        <v>1</v>
      </c>
      <c r="BA199" s="55"/>
      <c r="BB199" s="74"/>
      <c r="BC199" s="25"/>
      <c r="BD199" s="24" t="s">
        <v>11</v>
      </c>
      <c r="BE199" s="24" t="s">
        <v>11</v>
      </c>
      <c r="BF199" s="24" t="s">
        <v>11</v>
      </c>
      <c r="BG199" s="24" t="s">
        <v>11</v>
      </c>
      <c r="BH199" s="130" t="s">
        <v>19</v>
      </c>
      <c r="BI199" s="24"/>
      <c r="BJ199" s="24" t="s">
        <v>11</v>
      </c>
      <c r="BK199" s="24" t="s">
        <v>11</v>
      </c>
      <c r="BL199" s="24" t="s">
        <v>11</v>
      </c>
      <c r="BM199" s="24" t="s">
        <v>11</v>
      </c>
      <c r="BN199" s="24" t="s">
        <v>11</v>
      </c>
      <c r="BO199" s="24" t="s">
        <v>11</v>
      </c>
      <c r="BP199" s="24" t="s">
        <v>11</v>
      </c>
      <c r="BQ199" s="22">
        <f>YEAR([1]!BANCO10[[#This Row],[DATA INÍCIO]])</f>
        <v>2023</v>
      </c>
      <c r="BR199" s="22">
        <f>MONTH([1]!BANCO10[[#This Row],[DATA INÍCIO]])</f>
        <v>2</v>
      </c>
      <c r="BS199" s="129" t="e">
        <f>CONCATENATE(#REF!,#REF!)</f>
        <v>#REF!</v>
      </c>
      <c r="BT199" s="22"/>
      <c r="BU199" s="21" t="s">
        <v>1</v>
      </c>
      <c r="BV199" s="21" t="str">
        <f>IF([1]!BANCO10[[#This Row],[SOLUÇÃO]]=BV$1,[1]!BANCO10[[#This Row],[STATUS DA ETAPA]],"")</f>
        <v>CONCLUÍDO</v>
      </c>
      <c r="BW199" s="21" t="str">
        <f>IF([1]!BANCO10[[#This Row],[SOLUÇÃO]]=BW$1,[1]!BANCO10[[#This Row],[STATUS DA ETAPA]],"")</f>
        <v/>
      </c>
      <c r="BX199" s="21" t="str">
        <f>IF([1]!BANCO10[[#This Row],[SOLUÇÃO]]=BX$1,[1]!BANCO10[[#This Row],[STATUS DA ETAPA]],"")</f>
        <v/>
      </c>
      <c r="BY199" s="21" t="str">
        <f>IF([1]!BANCO10[[#This Row],[SOLUÇÃO]]=BY$1,[1]!BANCO10[[#This Row],[STATUS DA ETAPA]],"")</f>
        <v/>
      </c>
      <c r="BZ199" s="21" t="str">
        <f>IF([1]!BANCO10[[#This Row],[SOLUÇÃO]]=BZ$1,[1]!BANCO10[[#This Row],[STATUS DA ETAPA]],"")</f>
        <v/>
      </c>
      <c r="CA199" s="21" t="str">
        <f>IF([1]!BANCO10[[#This Row],[SOLUÇÃO]]=CA$1,[1]!BANCO10[[#This Row],[STATUS DA ETAPA]],"")</f>
        <v/>
      </c>
      <c r="CB199" s="21" t="str">
        <f>IF([1]!BANCO10[[#This Row],[SOLUÇÃO]]=CB$1,[1]!BANCO10[[#This Row],[STATUS DA ETAPA]],"")</f>
        <v/>
      </c>
      <c r="CC199" s="21" t="str">
        <f>IF([1]!BANCO10[[#This Row],[SOLUÇÃO]]=CC$1,[1]!BANCO10[[#This Row],[STATUS DA ETAPA]],"")</f>
        <v/>
      </c>
      <c r="CD199" s="21" t="str">
        <f>IF([1]!BANCO10[[#This Row],[SOLUÇÃO]]=CD$1,[1]!BANCO10[[#This Row],[STATUS DA ETAPA]],"")</f>
        <v/>
      </c>
      <c r="CE199" s="21" t="str">
        <f>IF([1]!BANCO10[[#This Row],[SOLUÇÃO]]=CE$1,[1]!BANCO10[[#This Row],[STATUS DA ETAPA]],"")</f>
        <v/>
      </c>
      <c r="CF199" s="21" t="str">
        <f>IF([1]!BANCO10[[#This Row],[SOLUÇÃO]]=CF$1,[1]!BANCO10[[#This Row],[STATUS DA ETAPA]],"")</f>
        <v/>
      </c>
      <c r="CG199" s="21" t="str">
        <f>IF([1]!BANCO10[[#This Row],[SOLUÇÃO]]=CG$1,[1]!BANCO10[[#This Row],[STATUS DA ETAPA]],"")</f>
        <v/>
      </c>
      <c r="CH199" s="21" t="str">
        <f>IF([1]!BANCO10[[#This Row],[SOLUÇÃO]]=CH$1,[1]!BANCO10[[#This Row],[STATUS DA ETAPA]],"")</f>
        <v/>
      </c>
      <c r="CI199" s="21" t="str">
        <f>IF([1]!BANCO10[[#This Row],[SOLUÇÃO]]=CI$1,[1]!BANCO10[[#This Row],[STATUS DA ETAPA]],"")</f>
        <v/>
      </c>
      <c r="CJ199" s="21" t="str">
        <f>IF([1]!BANCO10[[#This Row],[SOLUÇÃO]]=CJ$1,[1]!BANCO10[[#This Row],[STATUS DA ETAPA]],"")</f>
        <v/>
      </c>
      <c r="CK199" s="21" t="str">
        <f>IF([1]!BANCO10[[#This Row],[SOLUÇÃO]]=CK$1,[1]!BANCO10[[#This Row],[STATUS DA ETAPA]],"")</f>
        <v/>
      </c>
      <c r="CL199" s="21" t="str">
        <f>IF([1]!BANCO10[[#This Row],[SOLUÇÃO]]=CL$1,[1]!BANCO10[[#This Row],[STATUS DA ETAPA]],"")</f>
        <v/>
      </c>
      <c r="CM199" s="21" t="str">
        <f>IF([1]!BANCO10[[#This Row],[SOLUÇÃO]]=CM$1,[1]!BANCO10[[#This Row],[STATUS DA ETAPA]],"")</f>
        <v/>
      </c>
      <c r="CN199" s="21" t="str">
        <f>IF([1]!BANCO10[[#This Row],[SOLUÇÃO]]=CN$1,[1]!BANCO10[[#This Row],[STATUS DA ETAPA]],"")</f>
        <v/>
      </c>
      <c r="CO199" s="21" t="str">
        <f>IF([1]!BANCO10[[#This Row],[SOLUÇÃO]]=CO$1,[1]!BANCO10[[#This Row],[STATUS DA ETAPA]],"")</f>
        <v/>
      </c>
      <c r="CP199" s="21" t="str">
        <f>IF([1]!BANCO10[[#This Row],[SOLUÇÃO]]=CP$1,[1]!BANCO10[[#This Row],[STATUS DA ETAPA]],"")</f>
        <v/>
      </c>
      <c r="CQ199" s="21" t="str">
        <f>IF([1]!BANCO10[[#This Row],[SOLUÇÃO]]=CQ$1,[1]!BANCO10[[#This Row],[STATUS DA ETAPA]],"")</f>
        <v/>
      </c>
      <c r="CR199" s="21" t="str">
        <f>IF([1]!BANCO10[[#This Row],[SOLUÇÃO]]=CR$1,[1]!BANCO10[[#This Row],[STATUS DA ETAPA]],"")</f>
        <v/>
      </c>
      <c r="CS199" s="21" t="str">
        <f>IF([1]!BANCO10[[#This Row],[SOLUÇÃO]]=CS$1,[1]!BANCO10[[#This Row],[STATUS DA ETAPA]],"")</f>
        <v/>
      </c>
      <c r="CT199" s="21" t="str">
        <f>IF([1]!BANCO10[[#This Row],[SOLUÇÃO]]=CT$1,[1]!BANCO10[[#This Row],[STATUS DA ETAPA]],"")</f>
        <v/>
      </c>
      <c r="CU199" s="21" t="str">
        <f>IF([1]!BANCO10[[#This Row],[SOLUÇÃO]]=CU$1,[1]!BANCO10[[#This Row],[STATUS DA ETAPA]],"")</f>
        <v/>
      </c>
      <c r="CV199" s="21" t="str">
        <f>IF([1]!BANCO10[[#This Row],[SOLUÇÃO]]=CV$1,[1]!BANCO10[[#This Row],[STATUS DA ETAPA]],"")</f>
        <v/>
      </c>
    </row>
    <row r="200" spans="1:100">
      <c r="A200" s="44" t="s">
        <v>1</v>
      </c>
      <c r="B200" s="44"/>
      <c r="C200" s="44" t="s">
        <v>1</v>
      </c>
      <c r="D200" s="44"/>
      <c r="E200" s="44" t="s">
        <v>1</v>
      </c>
      <c r="F200" s="44"/>
      <c r="G200" s="44" t="s">
        <v>1</v>
      </c>
      <c r="H200" s="44"/>
      <c r="I200" s="45" t="s">
        <v>1</v>
      </c>
      <c r="J200" s="46"/>
      <c r="K200" s="45" t="s">
        <v>1</v>
      </c>
      <c r="L200" s="33"/>
      <c r="M200" s="45" t="s">
        <v>1</v>
      </c>
      <c r="N200" s="33"/>
      <c r="O200" s="44" t="s">
        <v>2</v>
      </c>
      <c r="P200" s="44">
        <v>44985</v>
      </c>
      <c r="Q200" s="44" t="s">
        <v>2</v>
      </c>
      <c r="R200" s="44">
        <v>45168</v>
      </c>
      <c r="S200" s="44"/>
      <c r="T200" s="44"/>
      <c r="U200" s="44" t="s">
        <v>1</v>
      </c>
      <c r="V200" s="44"/>
      <c r="W200" s="44" t="s">
        <v>1</v>
      </c>
      <c r="X200" s="44"/>
      <c r="Y200" s="44" t="s">
        <v>1</v>
      </c>
      <c r="Z200" s="44"/>
      <c r="AA200" s="44" t="s">
        <v>1</v>
      </c>
      <c r="AB200" s="44"/>
      <c r="AC200" s="51">
        <v>45963</v>
      </c>
      <c r="AD200" s="50">
        <v>45963</v>
      </c>
      <c r="AE200" s="41" t="s">
        <v>1</v>
      </c>
      <c r="AF200" s="41" t="s">
        <v>1</v>
      </c>
      <c r="AG200" s="76" t="s">
        <v>5</v>
      </c>
      <c r="AH200" s="36" t="s">
        <v>0</v>
      </c>
      <c r="AI200" s="49">
        <v>0</v>
      </c>
      <c r="AJ200" s="36"/>
      <c r="AK200" s="10" t="s">
        <v>30</v>
      </c>
      <c r="AL200" s="36" t="s">
        <v>30</v>
      </c>
      <c r="AM200" s="36" t="s">
        <v>30</v>
      </c>
      <c r="AN200" s="35" t="s">
        <v>1</v>
      </c>
      <c r="AO200" s="35" t="s">
        <v>1</v>
      </c>
      <c r="AP200" s="35"/>
      <c r="AQ200" s="35" t="s">
        <v>1</v>
      </c>
      <c r="AR200" s="34" t="s">
        <v>1</v>
      </c>
      <c r="AS200" s="33"/>
      <c r="AT200" s="32"/>
      <c r="AU200" s="31"/>
      <c r="AV200" s="32"/>
      <c r="AW200" s="31"/>
      <c r="AX200" s="30" t="s">
        <v>0</v>
      </c>
      <c r="AY200" s="29"/>
      <c r="AZ200" s="28" t="s">
        <v>0</v>
      </c>
      <c r="BA200" s="27"/>
      <c r="BB200" s="74"/>
      <c r="BC200" s="25" t="s">
        <v>14</v>
      </c>
      <c r="BD200" s="24" t="s">
        <v>11</v>
      </c>
      <c r="BE200" s="24" t="s">
        <v>11</v>
      </c>
      <c r="BF200" s="24" t="s">
        <v>11</v>
      </c>
      <c r="BG200" s="24" t="s">
        <v>11</v>
      </c>
      <c r="BH200" s="130" t="s">
        <v>19</v>
      </c>
      <c r="BI200" s="24"/>
      <c r="BJ200" s="24" t="s">
        <v>11</v>
      </c>
      <c r="BK200" s="24" t="s">
        <v>11</v>
      </c>
      <c r="BL200" s="24">
        <v>45402</v>
      </c>
      <c r="BM200" s="24"/>
      <c r="BN200" s="24" t="s">
        <v>11</v>
      </c>
      <c r="BO200" s="24"/>
      <c r="BP200" s="24" t="s">
        <v>688</v>
      </c>
      <c r="BQ200" s="22">
        <f>YEAR([1]!BANCO10[[#This Row],[DATA INÍCIO]])</f>
        <v>2025</v>
      </c>
      <c r="BR200" s="22">
        <f>MONTH([1]!BANCO10[[#This Row],[DATA INÍCIO]])</f>
        <v>11</v>
      </c>
      <c r="BS200" s="129" t="e">
        <f>CONCATENATE(#REF!,#REF!)</f>
        <v>#REF!</v>
      </c>
      <c r="BT200" s="22"/>
      <c r="BU200" s="21" t="s">
        <v>30</v>
      </c>
      <c r="BV200" s="21" t="str">
        <f>IF([1]!BANCO10[[#This Row],[SOLUÇÃO]]=BV$1,[1]!BANCO10[[#This Row],[STATUS DA ETAPA]],"")</f>
        <v/>
      </c>
      <c r="BW200" s="21" t="str">
        <f>IF([1]!BANCO10[[#This Row],[SOLUÇÃO]]=BW$1,[1]!BANCO10[[#This Row],[STATUS DA ETAPA]],"")</f>
        <v/>
      </c>
      <c r="BX200" s="21" t="str">
        <f>IF([1]!BANCO10[[#This Row],[SOLUÇÃO]]=BX$1,[1]!BANCO10[[#This Row],[STATUS DA ETAPA]],"")</f>
        <v/>
      </c>
      <c r="BY200" s="21" t="str">
        <f>IF([1]!BANCO10[[#This Row],[SOLUÇÃO]]=BY$1,[1]!BANCO10[[#This Row],[STATUS DA ETAPA]],"")</f>
        <v/>
      </c>
      <c r="BZ200" s="21" t="str">
        <f>IF([1]!BANCO10[[#This Row],[SOLUÇÃO]]=BZ$1,[1]!BANCO10[[#This Row],[STATUS DA ETAPA]],"")</f>
        <v/>
      </c>
      <c r="CA200" s="21" t="str">
        <f>IF([1]!BANCO10[[#This Row],[SOLUÇÃO]]=CA$1,[1]!BANCO10[[#This Row],[STATUS DA ETAPA]],"")</f>
        <v/>
      </c>
      <c r="CB200" s="21" t="str">
        <f>IF([1]!BANCO10[[#This Row],[SOLUÇÃO]]=CB$1,[1]!BANCO10[[#This Row],[STATUS DA ETAPA]],"")</f>
        <v/>
      </c>
      <c r="CC200" s="21" t="str">
        <f>IF([1]!BANCO10[[#This Row],[SOLUÇÃO]]=CC$1,[1]!BANCO10[[#This Row],[STATUS DA ETAPA]],"")</f>
        <v/>
      </c>
      <c r="CD200" s="21" t="str">
        <f>IF([1]!BANCO10[[#This Row],[SOLUÇÃO]]=CD$1,[1]!BANCO10[[#This Row],[STATUS DA ETAPA]],"")</f>
        <v/>
      </c>
      <c r="CE200" s="21" t="str">
        <f>IF([1]!BANCO10[[#This Row],[SOLUÇÃO]]=CE$1,[1]!BANCO10[[#This Row],[STATUS DA ETAPA]],"")</f>
        <v/>
      </c>
      <c r="CF200" s="21" t="str">
        <f>IF([1]!BANCO10[[#This Row],[SOLUÇÃO]]=CF$1,[1]!BANCO10[[#This Row],[STATUS DA ETAPA]],"")</f>
        <v/>
      </c>
      <c r="CG200" s="21" t="str">
        <f>IF([1]!BANCO10[[#This Row],[SOLUÇÃO]]=CG$1,[1]!BANCO10[[#This Row],[STATUS DA ETAPA]],"")</f>
        <v/>
      </c>
      <c r="CH200" s="21" t="str">
        <f>IF([1]!BANCO10[[#This Row],[SOLUÇÃO]]=CH$1,[1]!BANCO10[[#This Row],[STATUS DA ETAPA]],"")</f>
        <v/>
      </c>
      <c r="CI200" s="21" t="str">
        <f>IF([1]!BANCO10[[#This Row],[SOLUÇÃO]]=CI$1,[1]!BANCO10[[#This Row],[STATUS DA ETAPA]],"")</f>
        <v/>
      </c>
      <c r="CJ200" s="21" t="str">
        <f>IF([1]!BANCO10[[#This Row],[SOLUÇÃO]]=CJ$1,[1]!BANCO10[[#This Row],[STATUS DA ETAPA]],"")</f>
        <v/>
      </c>
      <c r="CK200" s="21" t="str">
        <f>IF([1]!BANCO10[[#This Row],[SOLUÇÃO]]=CK$1,[1]!BANCO10[[#This Row],[STATUS DA ETAPA]],"")</f>
        <v/>
      </c>
      <c r="CL200" s="21" t="str">
        <f>IF([1]!BANCO10[[#This Row],[SOLUÇÃO]]=CL$1,[1]!BANCO10[[#This Row],[STATUS DA ETAPA]],"")</f>
        <v/>
      </c>
      <c r="CM200" s="21" t="str">
        <f>IF([1]!BANCO10[[#This Row],[SOLUÇÃO]]=CM$1,[1]!BANCO10[[#This Row],[STATUS DA ETAPA]],"")</f>
        <v>PROSPECÇÃO</v>
      </c>
      <c r="CN200" s="21" t="str">
        <f>IF([1]!BANCO10[[#This Row],[SOLUÇÃO]]=CN$1,[1]!BANCO10[[#This Row],[STATUS DA ETAPA]],"")</f>
        <v/>
      </c>
      <c r="CO200" s="21" t="str">
        <f>IF([1]!BANCO10[[#This Row],[SOLUÇÃO]]=CO$1,[1]!BANCO10[[#This Row],[STATUS DA ETAPA]],"")</f>
        <v/>
      </c>
      <c r="CP200" s="21" t="str">
        <f>IF([1]!BANCO10[[#This Row],[SOLUÇÃO]]=CP$1,[1]!BANCO10[[#This Row],[STATUS DA ETAPA]],"")</f>
        <v/>
      </c>
      <c r="CQ200" s="21" t="str">
        <f>IF([1]!BANCO10[[#This Row],[SOLUÇÃO]]=CQ$1,[1]!BANCO10[[#This Row],[STATUS DA ETAPA]],"")</f>
        <v/>
      </c>
      <c r="CR200" s="21" t="str">
        <f>IF([1]!BANCO10[[#This Row],[SOLUÇÃO]]=CR$1,[1]!BANCO10[[#This Row],[STATUS DA ETAPA]],"")</f>
        <v/>
      </c>
      <c r="CS200" s="21" t="str">
        <f>IF([1]!BANCO10[[#This Row],[SOLUÇÃO]]=CS$1,[1]!BANCO10[[#This Row],[STATUS DA ETAPA]],"")</f>
        <v/>
      </c>
      <c r="CT200" s="21" t="str">
        <f>IF([1]!BANCO10[[#This Row],[SOLUÇÃO]]=CT$1,[1]!BANCO10[[#This Row],[STATUS DA ETAPA]],"")</f>
        <v/>
      </c>
      <c r="CU200" s="21" t="str">
        <f>IF([1]!BANCO10[[#This Row],[SOLUÇÃO]]=CU$1,[1]!BANCO10[[#This Row],[STATUS DA ETAPA]],"")</f>
        <v/>
      </c>
      <c r="CV200" s="21" t="str">
        <f>IF([1]!BANCO10[[#This Row],[SOLUÇÃO]]=CV$1,[1]!BANCO10[[#This Row],[STATUS DA ETAPA]],"")</f>
        <v/>
      </c>
    </row>
    <row r="201" spans="1:100">
      <c r="A201" s="44" t="s">
        <v>1</v>
      </c>
      <c r="B201" s="44"/>
      <c r="C201" s="44" t="s">
        <v>1</v>
      </c>
      <c r="D201" s="44"/>
      <c r="E201" s="44" t="s">
        <v>1</v>
      </c>
      <c r="F201" s="44"/>
      <c r="G201" s="44" t="s">
        <v>1</v>
      </c>
      <c r="H201" s="44"/>
      <c r="I201" s="45" t="s">
        <v>1</v>
      </c>
      <c r="J201" s="46"/>
      <c r="K201" s="45" t="s">
        <v>1</v>
      </c>
      <c r="L201" s="33"/>
      <c r="M201" s="45" t="s">
        <v>1</v>
      </c>
      <c r="N201" s="33"/>
      <c r="O201" s="44" t="s">
        <v>2</v>
      </c>
      <c r="P201" s="44">
        <v>44984</v>
      </c>
      <c r="Q201" s="44" t="s">
        <v>0</v>
      </c>
      <c r="R201" s="44"/>
      <c r="S201" s="44" t="s">
        <v>1</v>
      </c>
      <c r="T201" s="44"/>
      <c r="U201" s="44" t="s">
        <v>1</v>
      </c>
      <c r="V201" s="44"/>
      <c r="W201" s="44" t="s">
        <v>1</v>
      </c>
      <c r="X201" s="44"/>
      <c r="Y201" s="44" t="s">
        <v>1</v>
      </c>
      <c r="Z201" s="44"/>
      <c r="AA201" s="44" t="s">
        <v>1</v>
      </c>
      <c r="AB201" s="44"/>
      <c r="AC201" s="51">
        <v>44981</v>
      </c>
      <c r="AD201" s="50">
        <v>44981</v>
      </c>
      <c r="AE201" s="40" t="s">
        <v>1</v>
      </c>
      <c r="AF201" s="40" t="s">
        <v>1</v>
      </c>
      <c r="AG201" s="76" t="s">
        <v>5</v>
      </c>
      <c r="AH201" s="36" t="s">
        <v>1</v>
      </c>
      <c r="AI201" s="49">
        <v>0</v>
      </c>
      <c r="AJ201" s="36" t="s">
        <v>1</v>
      </c>
      <c r="AK201" s="10" t="s">
        <v>1</v>
      </c>
      <c r="AL201" s="36" t="s">
        <v>1</v>
      </c>
      <c r="AM201" s="36" t="s">
        <v>1</v>
      </c>
      <c r="AN201" s="35" t="s">
        <v>1</v>
      </c>
      <c r="AO201" s="35" t="s">
        <v>1</v>
      </c>
      <c r="AP201" s="35" t="s">
        <v>1</v>
      </c>
      <c r="AQ201" s="35" t="s">
        <v>1</v>
      </c>
      <c r="AR201" s="82" t="s">
        <v>1</v>
      </c>
      <c r="AS201" s="33"/>
      <c r="AT201" s="32" t="s">
        <v>1</v>
      </c>
      <c r="AU201" s="31"/>
      <c r="AV201" s="32" t="s">
        <v>1</v>
      </c>
      <c r="AW201" s="31"/>
      <c r="AX201" s="30" t="s">
        <v>1</v>
      </c>
      <c r="AY201" s="55"/>
      <c r="AZ201" s="30" t="s">
        <v>1</v>
      </c>
      <c r="BA201" s="55"/>
      <c r="BB201" s="74"/>
      <c r="BC201" s="25"/>
      <c r="BD201" s="24" t="s">
        <v>11</v>
      </c>
      <c r="BE201" s="24" t="s">
        <v>11</v>
      </c>
      <c r="BF201" s="24" t="s">
        <v>136</v>
      </c>
      <c r="BG201" s="24" t="s">
        <v>64</v>
      </c>
      <c r="BH201" s="130" t="s">
        <v>63</v>
      </c>
      <c r="BI201" s="24"/>
      <c r="BJ201" s="24" t="s">
        <v>11</v>
      </c>
      <c r="BK201" s="24" t="s">
        <v>11</v>
      </c>
      <c r="BL201" s="24" t="s">
        <v>11</v>
      </c>
      <c r="BM201" s="24" t="s">
        <v>11</v>
      </c>
      <c r="BN201" s="24" t="s">
        <v>11</v>
      </c>
      <c r="BO201" s="24" t="s">
        <v>11</v>
      </c>
      <c r="BP201" s="24" t="s">
        <v>11</v>
      </c>
      <c r="BQ201" s="22">
        <f>YEAR([1]!BANCO10[[#This Row],[DATA INÍCIO]])</f>
        <v>2023</v>
      </c>
      <c r="BR201" s="22">
        <f>MONTH([1]!BANCO10[[#This Row],[DATA INÍCIO]])</f>
        <v>2</v>
      </c>
      <c r="BS201" s="129" t="e">
        <f>CONCATENATE(#REF!,#REF!)</f>
        <v>#REF!</v>
      </c>
      <c r="BT201" s="22"/>
      <c r="BU201" s="21" t="s">
        <v>687</v>
      </c>
      <c r="BV201" s="21" t="str">
        <f>IF([1]!BANCO10[[#This Row],[SOLUÇÃO]]=BV$1,[1]!BANCO10[[#This Row],[STATUS DA ETAPA]],"")</f>
        <v>CONCLUÍDO</v>
      </c>
      <c r="BW201" s="21" t="str">
        <f>IF([1]!BANCO10[[#This Row],[SOLUÇÃO]]=BW$1,[1]!BANCO10[[#This Row],[STATUS DA ETAPA]],"")</f>
        <v/>
      </c>
      <c r="BX201" s="21" t="str">
        <f>IF([1]!BANCO10[[#This Row],[SOLUÇÃO]]=BX$1,[1]!BANCO10[[#This Row],[STATUS DA ETAPA]],"")</f>
        <v/>
      </c>
      <c r="BY201" s="21" t="str">
        <f>IF([1]!BANCO10[[#This Row],[SOLUÇÃO]]=BY$1,[1]!BANCO10[[#This Row],[STATUS DA ETAPA]],"")</f>
        <v/>
      </c>
      <c r="BZ201" s="21" t="str">
        <f>IF([1]!BANCO10[[#This Row],[SOLUÇÃO]]=BZ$1,[1]!BANCO10[[#This Row],[STATUS DA ETAPA]],"")</f>
        <v/>
      </c>
      <c r="CA201" s="21" t="str">
        <f>IF([1]!BANCO10[[#This Row],[SOLUÇÃO]]=CA$1,[1]!BANCO10[[#This Row],[STATUS DA ETAPA]],"")</f>
        <v/>
      </c>
      <c r="CB201" s="21" t="str">
        <f>IF([1]!BANCO10[[#This Row],[SOLUÇÃO]]=CB$1,[1]!BANCO10[[#This Row],[STATUS DA ETAPA]],"")</f>
        <v/>
      </c>
      <c r="CC201" s="21" t="str">
        <f>IF([1]!BANCO10[[#This Row],[SOLUÇÃO]]=CC$1,[1]!BANCO10[[#This Row],[STATUS DA ETAPA]],"")</f>
        <v/>
      </c>
      <c r="CD201" s="21" t="str">
        <f>IF([1]!BANCO10[[#This Row],[SOLUÇÃO]]=CD$1,[1]!BANCO10[[#This Row],[STATUS DA ETAPA]],"")</f>
        <v/>
      </c>
      <c r="CE201" s="21" t="str">
        <f>IF([1]!BANCO10[[#This Row],[SOLUÇÃO]]=CE$1,[1]!BANCO10[[#This Row],[STATUS DA ETAPA]],"")</f>
        <v/>
      </c>
      <c r="CF201" s="21" t="str">
        <f>IF([1]!BANCO10[[#This Row],[SOLUÇÃO]]=CF$1,[1]!BANCO10[[#This Row],[STATUS DA ETAPA]],"")</f>
        <v/>
      </c>
      <c r="CG201" s="21" t="str">
        <f>IF([1]!BANCO10[[#This Row],[SOLUÇÃO]]=CG$1,[1]!BANCO10[[#This Row],[STATUS DA ETAPA]],"")</f>
        <v/>
      </c>
      <c r="CH201" s="21" t="str">
        <f>IF([1]!BANCO10[[#This Row],[SOLUÇÃO]]=CH$1,[1]!BANCO10[[#This Row],[STATUS DA ETAPA]],"")</f>
        <v/>
      </c>
      <c r="CI201" s="21" t="str">
        <f>IF([1]!BANCO10[[#This Row],[SOLUÇÃO]]=CI$1,[1]!BANCO10[[#This Row],[STATUS DA ETAPA]],"")</f>
        <v/>
      </c>
      <c r="CJ201" s="21" t="str">
        <f>IF([1]!BANCO10[[#This Row],[SOLUÇÃO]]=CJ$1,[1]!BANCO10[[#This Row],[STATUS DA ETAPA]],"")</f>
        <v/>
      </c>
      <c r="CK201" s="21" t="str">
        <f>IF([1]!BANCO10[[#This Row],[SOLUÇÃO]]=CK$1,[1]!BANCO10[[#This Row],[STATUS DA ETAPA]],"")</f>
        <v/>
      </c>
      <c r="CL201" s="21" t="str">
        <f>IF([1]!BANCO10[[#This Row],[SOLUÇÃO]]=CL$1,[1]!BANCO10[[#This Row],[STATUS DA ETAPA]],"")</f>
        <v/>
      </c>
      <c r="CM201" s="21" t="str">
        <f>IF([1]!BANCO10[[#This Row],[SOLUÇÃO]]=CM$1,[1]!BANCO10[[#This Row],[STATUS DA ETAPA]],"")</f>
        <v/>
      </c>
      <c r="CN201" s="21" t="str">
        <f>IF([1]!BANCO10[[#This Row],[SOLUÇÃO]]=CN$1,[1]!BANCO10[[#This Row],[STATUS DA ETAPA]],"")</f>
        <v/>
      </c>
      <c r="CO201" s="21" t="str">
        <f>IF([1]!BANCO10[[#This Row],[SOLUÇÃO]]=CO$1,[1]!BANCO10[[#This Row],[STATUS DA ETAPA]],"")</f>
        <v/>
      </c>
      <c r="CP201" s="21" t="str">
        <f>IF([1]!BANCO10[[#This Row],[SOLUÇÃO]]=CP$1,[1]!BANCO10[[#This Row],[STATUS DA ETAPA]],"")</f>
        <v/>
      </c>
      <c r="CQ201" s="21" t="str">
        <f>IF([1]!BANCO10[[#This Row],[SOLUÇÃO]]=CQ$1,[1]!BANCO10[[#This Row],[STATUS DA ETAPA]],"")</f>
        <v/>
      </c>
      <c r="CR201" s="21" t="str">
        <f>IF([1]!BANCO10[[#This Row],[SOLUÇÃO]]=CR$1,[1]!BANCO10[[#This Row],[STATUS DA ETAPA]],"")</f>
        <v/>
      </c>
      <c r="CS201" s="21" t="str">
        <f>IF([1]!BANCO10[[#This Row],[SOLUÇÃO]]=CS$1,[1]!BANCO10[[#This Row],[STATUS DA ETAPA]],"")</f>
        <v/>
      </c>
      <c r="CT201" s="21" t="str">
        <f>IF([1]!BANCO10[[#This Row],[SOLUÇÃO]]=CT$1,[1]!BANCO10[[#This Row],[STATUS DA ETAPA]],"")</f>
        <v/>
      </c>
      <c r="CU201" s="21" t="str">
        <f>IF([1]!BANCO10[[#This Row],[SOLUÇÃO]]=CU$1,[1]!BANCO10[[#This Row],[STATUS DA ETAPA]],"")</f>
        <v/>
      </c>
      <c r="CV201" s="21" t="str">
        <f>IF([1]!BANCO10[[#This Row],[SOLUÇÃO]]=CV$1,[1]!BANCO10[[#This Row],[STATUS DA ETAPA]],"")</f>
        <v/>
      </c>
    </row>
    <row r="202" spans="1:100">
      <c r="A202" s="44" t="s">
        <v>1</v>
      </c>
      <c r="B202" s="44"/>
      <c r="C202" s="44" t="s">
        <v>1</v>
      </c>
      <c r="D202" s="44"/>
      <c r="E202" s="44" t="s">
        <v>1</v>
      </c>
      <c r="F202" s="44"/>
      <c r="G202" s="44" t="s">
        <v>1</v>
      </c>
      <c r="H202" s="44"/>
      <c r="I202" s="45" t="s">
        <v>1</v>
      </c>
      <c r="J202" s="46"/>
      <c r="K202" s="45" t="s">
        <v>1</v>
      </c>
      <c r="L202" s="33"/>
      <c r="M202" s="45" t="s">
        <v>1</v>
      </c>
      <c r="N202" s="33"/>
      <c r="O202" s="44" t="s">
        <v>2</v>
      </c>
      <c r="P202" s="44">
        <v>44927</v>
      </c>
      <c r="Q202" s="44" t="s">
        <v>2</v>
      </c>
      <c r="R202" s="44">
        <v>44562</v>
      </c>
      <c r="S202" s="44" t="s">
        <v>1</v>
      </c>
      <c r="T202" s="44"/>
      <c r="U202" s="44" t="s">
        <v>2</v>
      </c>
      <c r="V202" s="44">
        <v>45006</v>
      </c>
      <c r="W202" s="44" t="s">
        <v>2</v>
      </c>
      <c r="X202" s="44"/>
      <c r="Y202" s="44" t="s">
        <v>2</v>
      </c>
      <c r="Z202" s="44">
        <v>45000</v>
      </c>
      <c r="AA202" s="44" t="s">
        <v>2</v>
      </c>
      <c r="AB202" s="44"/>
      <c r="AC202" s="51">
        <v>45043</v>
      </c>
      <c r="AD202" s="50">
        <v>45099</v>
      </c>
      <c r="AE202" s="40" t="s">
        <v>2</v>
      </c>
      <c r="AF202" s="40" t="s">
        <v>2</v>
      </c>
      <c r="AG202" s="76" t="s">
        <v>5</v>
      </c>
      <c r="AH202" s="36" t="s">
        <v>0</v>
      </c>
      <c r="AI202" s="49">
        <v>0</v>
      </c>
      <c r="AJ202" s="36" t="s">
        <v>6</v>
      </c>
      <c r="AK202" s="10"/>
      <c r="AL202" s="36" t="s">
        <v>61</v>
      </c>
      <c r="AM202" s="36"/>
      <c r="AN202" s="35" t="s">
        <v>1</v>
      </c>
      <c r="AO202" s="35" t="s">
        <v>1</v>
      </c>
      <c r="AP202" s="35" t="s">
        <v>2</v>
      </c>
      <c r="AQ202" s="35" t="s">
        <v>1</v>
      </c>
      <c r="AR202" s="34" t="s">
        <v>1</v>
      </c>
      <c r="AS202" s="33"/>
      <c r="AT202" s="32" t="s">
        <v>1</v>
      </c>
      <c r="AU202" s="31"/>
      <c r="AV202" s="32" t="s">
        <v>1</v>
      </c>
      <c r="AW202" s="31"/>
      <c r="AX202" s="30" t="s">
        <v>2</v>
      </c>
      <c r="AY202" s="55">
        <v>45100</v>
      </c>
      <c r="AZ202" s="30" t="s">
        <v>2</v>
      </c>
      <c r="BA202" s="55"/>
      <c r="BB202" s="74"/>
      <c r="BC202" s="25"/>
      <c r="BD202" s="24" t="s">
        <v>11</v>
      </c>
      <c r="BE202" s="24" t="s">
        <v>11</v>
      </c>
      <c r="BF202" s="24" t="s">
        <v>136</v>
      </c>
      <c r="BG202" s="24" t="s">
        <v>64</v>
      </c>
      <c r="BH202" s="130" t="s">
        <v>63</v>
      </c>
      <c r="BI202" s="24"/>
      <c r="BJ202" s="24" t="s">
        <v>11</v>
      </c>
      <c r="BK202" s="24" t="s">
        <v>11</v>
      </c>
      <c r="BL202" s="24" t="s">
        <v>11</v>
      </c>
      <c r="BM202" s="24" t="s">
        <v>11</v>
      </c>
      <c r="BN202" s="24" t="s">
        <v>11</v>
      </c>
      <c r="BO202" s="24" t="s">
        <v>11</v>
      </c>
      <c r="BP202" s="24" t="s">
        <v>11</v>
      </c>
      <c r="BQ202" s="22">
        <f>YEAR([1]!BANCO10[[#This Row],[DATA INÍCIO]])</f>
        <v>2023</v>
      </c>
      <c r="BR202" s="22">
        <f>MONTH([1]!BANCO10[[#This Row],[DATA INÍCIO]])</f>
        <v>4</v>
      </c>
      <c r="BS202" s="129" t="e">
        <f>CONCATENATE(#REF!,#REF!)</f>
        <v>#REF!</v>
      </c>
      <c r="BT202" s="22"/>
      <c r="BU202" s="21" t="s">
        <v>686</v>
      </c>
      <c r="BV202" s="21" t="str">
        <f>IF([1]!BANCO10[[#This Row],[SOLUÇÃO]]=BV$1,[1]!BANCO10[[#This Row],[STATUS DA ETAPA]],"")</f>
        <v/>
      </c>
      <c r="BW202" s="21" t="str">
        <f>IF([1]!BANCO10[[#This Row],[SOLUÇÃO]]=BW$1,[1]!BANCO10[[#This Row],[STATUS DA ETAPA]],"")</f>
        <v/>
      </c>
      <c r="BX202" s="21" t="str">
        <f>IF([1]!BANCO10[[#This Row],[SOLUÇÃO]]=BX$1,[1]!BANCO10[[#This Row],[STATUS DA ETAPA]],"")</f>
        <v/>
      </c>
      <c r="BY202" s="21" t="str">
        <f>IF([1]!BANCO10[[#This Row],[SOLUÇÃO]]=BY$1,[1]!BANCO10[[#This Row],[STATUS DA ETAPA]],"")</f>
        <v/>
      </c>
      <c r="BZ202" s="21" t="str">
        <f>IF([1]!BANCO10[[#This Row],[SOLUÇÃO]]=BZ$1,[1]!BANCO10[[#This Row],[STATUS DA ETAPA]],"")</f>
        <v/>
      </c>
      <c r="CA202" s="21" t="str">
        <f>IF([1]!BANCO10[[#This Row],[SOLUÇÃO]]=CA$1,[1]!BANCO10[[#This Row],[STATUS DA ETAPA]],"")</f>
        <v>CONCLUÍDO</v>
      </c>
      <c r="CB202" s="21" t="str">
        <f>IF([1]!BANCO10[[#This Row],[SOLUÇÃO]]=CB$1,[1]!BANCO10[[#This Row],[STATUS DA ETAPA]],"")</f>
        <v/>
      </c>
      <c r="CC202" s="21" t="str">
        <f>IF([1]!BANCO10[[#This Row],[SOLUÇÃO]]=CC$1,[1]!BANCO10[[#This Row],[STATUS DA ETAPA]],"")</f>
        <v/>
      </c>
      <c r="CD202" s="21" t="str">
        <f>IF([1]!BANCO10[[#This Row],[SOLUÇÃO]]=CD$1,[1]!BANCO10[[#This Row],[STATUS DA ETAPA]],"")</f>
        <v/>
      </c>
      <c r="CE202" s="21" t="str">
        <f>IF([1]!BANCO10[[#This Row],[SOLUÇÃO]]=CE$1,[1]!BANCO10[[#This Row],[STATUS DA ETAPA]],"")</f>
        <v/>
      </c>
      <c r="CF202" s="21" t="str">
        <f>IF([1]!BANCO10[[#This Row],[SOLUÇÃO]]=CF$1,[1]!BANCO10[[#This Row],[STATUS DA ETAPA]],"")</f>
        <v/>
      </c>
      <c r="CG202" s="21" t="str">
        <f>IF([1]!BANCO10[[#This Row],[SOLUÇÃO]]=CG$1,[1]!BANCO10[[#This Row],[STATUS DA ETAPA]],"")</f>
        <v/>
      </c>
      <c r="CH202" s="21" t="str">
        <f>IF([1]!BANCO10[[#This Row],[SOLUÇÃO]]=CH$1,[1]!BANCO10[[#This Row],[STATUS DA ETAPA]],"")</f>
        <v/>
      </c>
      <c r="CI202" s="21" t="str">
        <f>IF([1]!BANCO10[[#This Row],[SOLUÇÃO]]=CI$1,[1]!BANCO10[[#This Row],[STATUS DA ETAPA]],"")</f>
        <v/>
      </c>
      <c r="CJ202" s="21" t="str">
        <f>IF([1]!BANCO10[[#This Row],[SOLUÇÃO]]=CJ$1,[1]!BANCO10[[#This Row],[STATUS DA ETAPA]],"")</f>
        <v/>
      </c>
      <c r="CK202" s="21" t="str">
        <f>IF([1]!BANCO10[[#This Row],[SOLUÇÃO]]=CK$1,[1]!BANCO10[[#This Row],[STATUS DA ETAPA]],"")</f>
        <v/>
      </c>
      <c r="CL202" s="21" t="str">
        <f>IF([1]!BANCO10[[#This Row],[SOLUÇÃO]]=CL$1,[1]!BANCO10[[#This Row],[STATUS DA ETAPA]],"")</f>
        <v/>
      </c>
      <c r="CM202" s="21" t="str">
        <f>IF([1]!BANCO10[[#This Row],[SOLUÇÃO]]=CM$1,[1]!BANCO10[[#This Row],[STATUS DA ETAPA]],"")</f>
        <v/>
      </c>
      <c r="CN202" s="21" t="str">
        <f>IF([1]!BANCO10[[#This Row],[SOLUÇÃO]]=CN$1,[1]!BANCO10[[#This Row],[STATUS DA ETAPA]],"")</f>
        <v/>
      </c>
      <c r="CO202" s="21" t="str">
        <f>IF([1]!BANCO10[[#This Row],[SOLUÇÃO]]=CO$1,[1]!BANCO10[[#This Row],[STATUS DA ETAPA]],"")</f>
        <v/>
      </c>
      <c r="CP202" s="21" t="str">
        <f>IF([1]!BANCO10[[#This Row],[SOLUÇÃO]]=CP$1,[1]!BANCO10[[#This Row],[STATUS DA ETAPA]],"")</f>
        <v/>
      </c>
      <c r="CQ202" s="21" t="str">
        <f>IF([1]!BANCO10[[#This Row],[SOLUÇÃO]]=CQ$1,[1]!BANCO10[[#This Row],[STATUS DA ETAPA]],"")</f>
        <v/>
      </c>
      <c r="CR202" s="21" t="str">
        <f>IF([1]!BANCO10[[#This Row],[SOLUÇÃO]]=CR$1,[1]!BANCO10[[#This Row],[STATUS DA ETAPA]],"")</f>
        <v/>
      </c>
      <c r="CS202" s="21" t="str">
        <f>IF([1]!BANCO10[[#This Row],[SOLUÇÃO]]=CS$1,[1]!BANCO10[[#This Row],[STATUS DA ETAPA]],"")</f>
        <v/>
      </c>
      <c r="CT202" s="21" t="str">
        <f>IF([1]!BANCO10[[#This Row],[SOLUÇÃO]]=CT$1,[1]!BANCO10[[#This Row],[STATUS DA ETAPA]],"")</f>
        <v/>
      </c>
      <c r="CU202" s="21" t="str">
        <f>IF([1]!BANCO10[[#This Row],[SOLUÇÃO]]=CU$1,[1]!BANCO10[[#This Row],[STATUS DA ETAPA]],"")</f>
        <v/>
      </c>
      <c r="CV202" s="21" t="str">
        <f>IF([1]!BANCO10[[#This Row],[SOLUÇÃO]]=CV$1,[1]!BANCO10[[#This Row],[STATUS DA ETAPA]],"")</f>
        <v/>
      </c>
    </row>
    <row r="203" spans="1:100">
      <c r="A203" s="44" t="s">
        <v>1</v>
      </c>
      <c r="B203" s="44"/>
      <c r="C203" s="44" t="s">
        <v>1</v>
      </c>
      <c r="D203" s="44"/>
      <c r="E203" s="44" t="s">
        <v>1</v>
      </c>
      <c r="F203" s="44"/>
      <c r="G203" s="44" t="s">
        <v>1</v>
      </c>
      <c r="H203" s="44"/>
      <c r="I203" s="45" t="s">
        <v>1</v>
      </c>
      <c r="J203" s="46"/>
      <c r="K203" s="45" t="s">
        <v>1</v>
      </c>
      <c r="L203" s="33"/>
      <c r="M203" s="45" t="s">
        <v>1</v>
      </c>
      <c r="N203" s="33"/>
      <c r="O203" s="44" t="s">
        <v>2</v>
      </c>
      <c r="P203" s="44">
        <v>44927</v>
      </c>
      <c r="Q203" s="44" t="s">
        <v>2</v>
      </c>
      <c r="R203" s="44">
        <v>44562</v>
      </c>
      <c r="S203" s="44" t="s">
        <v>1</v>
      </c>
      <c r="T203" s="44"/>
      <c r="U203" s="44" t="s">
        <v>2</v>
      </c>
      <c r="V203" s="44">
        <v>45141</v>
      </c>
      <c r="W203" s="44" t="s">
        <v>2</v>
      </c>
      <c r="X203" s="44"/>
      <c r="Y203" s="44" t="s">
        <v>2</v>
      </c>
      <c r="Z203" s="44">
        <v>45108</v>
      </c>
      <c r="AA203" s="44" t="s">
        <v>2</v>
      </c>
      <c r="AB203" s="44"/>
      <c r="AC203" s="51">
        <v>45174</v>
      </c>
      <c r="AD203" s="50">
        <v>45229</v>
      </c>
      <c r="AE203" s="40" t="s">
        <v>2</v>
      </c>
      <c r="AF203" s="40" t="s">
        <v>2</v>
      </c>
      <c r="AG203" s="76" t="s">
        <v>5</v>
      </c>
      <c r="AH203" s="36" t="s">
        <v>0</v>
      </c>
      <c r="AI203" s="49">
        <v>0</v>
      </c>
      <c r="AJ203" s="36"/>
      <c r="AK203" s="10">
        <v>0</v>
      </c>
      <c r="AL203" s="36">
        <v>0</v>
      </c>
      <c r="AM203" s="36" t="s">
        <v>1</v>
      </c>
      <c r="AN203" s="35" t="s">
        <v>1</v>
      </c>
      <c r="AO203" s="35" t="s">
        <v>1</v>
      </c>
      <c r="AP203" s="35" t="s">
        <v>2</v>
      </c>
      <c r="AQ203" s="35" t="s">
        <v>1</v>
      </c>
      <c r="AR203" s="34" t="s">
        <v>1</v>
      </c>
      <c r="AS203" s="33"/>
      <c r="AT203" s="32" t="s">
        <v>1</v>
      </c>
      <c r="AU203" s="31"/>
      <c r="AV203" s="32" t="s">
        <v>1</v>
      </c>
      <c r="AW203" s="31"/>
      <c r="AX203" s="30" t="s">
        <v>2</v>
      </c>
      <c r="AY203" s="55">
        <v>45229</v>
      </c>
      <c r="AZ203" s="30" t="s">
        <v>2</v>
      </c>
      <c r="BA203" s="55"/>
      <c r="BB203" s="74"/>
      <c r="BC203" s="25" t="s">
        <v>685</v>
      </c>
      <c r="BD203" s="24" t="s">
        <v>11</v>
      </c>
      <c r="BE203" s="24" t="s">
        <v>11</v>
      </c>
      <c r="BF203" s="24" t="s">
        <v>136</v>
      </c>
      <c r="BG203" s="24" t="s">
        <v>64</v>
      </c>
      <c r="BH203" s="130" t="s">
        <v>63</v>
      </c>
      <c r="BI203" s="24"/>
      <c r="BJ203" s="24" t="s">
        <v>37</v>
      </c>
      <c r="BK203" s="24" t="s">
        <v>19</v>
      </c>
      <c r="BL203" s="24">
        <v>45412</v>
      </c>
      <c r="BM203" s="24" t="s">
        <v>18</v>
      </c>
      <c r="BN203" s="24" t="s">
        <v>11</v>
      </c>
      <c r="BO203" s="24"/>
      <c r="BP203" s="24" t="s">
        <v>684</v>
      </c>
      <c r="BQ203" s="22">
        <f>YEAR([1]!BANCO10[[#This Row],[DATA INÍCIO]])</f>
        <v>2023</v>
      </c>
      <c r="BR203" s="22">
        <f>MONTH([1]!BANCO10[[#This Row],[DATA INÍCIO]])</f>
        <v>9</v>
      </c>
      <c r="BS203" s="129" t="e">
        <f>CONCATENATE(#REF!,#REF!)</f>
        <v>#REF!</v>
      </c>
      <c r="BT203" s="22"/>
      <c r="BU203" s="21" t="s">
        <v>683</v>
      </c>
      <c r="BV203" s="21" t="str">
        <f>IF([1]!BANCO10[[#This Row],[SOLUÇÃO]]=BV$1,[1]!BANCO10[[#This Row],[STATUS DA ETAPA]],"")</f>
        <v/>
      </c>
      <c r="BW203" s="21" t="str">
        <f>IF([1]!BANCO10[[#This Row],[SOLUÇÃO]]=BW$1,[1]!BANCO10[[#This Row],[STATUS DA ETAPA]],"")</f>
        <v/>
      </c>
      <c r="BX203" s="21" t="str">
        <f>IF([1]!BANCO10[[#This Row],[SOLUÇÃO]]=BX$1,[1]!BANCO10[[#This Row],[STATUS DA ETAPA]],"")</f>
        <v/>
      </c>
      <c r="BY203" s="21" t="str">
        <f>IF([1]!BANCO10[[#This Row],[SOLUÇÃO]]=BY$1,[1]!BANCO10[[#This Row],[STATUS DA ETAPA]],"")</f>
        <v/>
      </c>
      <c r="BZ203" s="21" t="str">
        <f>IF([1]!BANCO10[[#This Row],[SOLUÇÃO]]=BZ$1,[1]!BANCO10[[#This Row],[STATUS DA ETAPA]],"")</f>
        <v/>
      </c>
      <c r="CA203" s="21" t="str">
        <f>IF([1]!BANCO10[[#This Row],[SOLUÇÃO]]=CA$1,[1]!BANCO10[[#This Row],[STATUS DA ETAPA]],"")</f>
        <v/>
      </c>
      <c r="CB203" s="21" t="str">
        <f>IF([1]!BANCO10[[#This Row],[SOLUÇÃO]]=CB$1,[1]!BANCO10[[#This Row],[STATUS DA ETAPA]],"")</f>
        <v/>
      </c>
      <c r="CC203" s="21" t="str">
        <f>IF([1]!BANCO10[[#This Row],[SOLUÇÃO]]=CC$1,[1]!BANCO10[[#This Row],[STATUS DA ETAPA]],"")</f>
        <v>CONCLUÍDO</v>
      </c>
      <c r="CD203" s="21" t="str">
        <f>IF([1]!BANCO10[[#This Row],[SOLUÇÃO]]=CD$1,[1]!BANCO10[[#This Row],[STATUS DA ETAPA]],"")</f>
        <v/>
      </c>
      <c r="CE203" s="21" t="str">
        <f>IF([1]!BANCO10[[#This Row],[SOLUÇÃO]]=CE$1,[1]!BANCO10[[#This Row],[STATUS DA ETAPA]],"")</f>
        <v/>
      </c>
      <c r="CF203" s="21" t="str">
        <f>IF([1]!BANCO10[[#This Row],[SOLUÇÃO]]=CF$1,[1]!BANCO10[[#This Row],[STATUS DA ETAPA]],"")</f>
        <v/>
      </c>
      <c r="CG203" s="21" t="str">
        <f>IF([1]!BANCO10[[#This Row],[SOLUÇÃO]]=CG$1,[1]!BANCO10[[#This Row],[STATUS DA ETAPA]],"")</f>
        <v/>
      </c>
      <c r="CH203" s="21" t="str">
        <f>IF([1]!BANCO10[[#This Row],[SOLUÇÃO]]=CH$1,[1]!BANCO10[[#This Row],[STATUS DA ETAPA]],"")</f>
        <v/>
      </c>
      <c r="CI203" s="21" t="str">
        <f>IF([1]!BANCO10[[#This Row],[SOLUÇÃO]]=CI$1,[1]!BANCO10[[#This Row],[STATUS DA ETAPA]],"")</f>
        <v/>
      </c>
      <c r="CJ203" s="21" t="str">
        <f>IF([1]!BANCO10[[#This Row],[SOLUÇÃO]]=CJ$1,[1]!BANCO10[[#This Row],[STATUS DA ETAPA]],"")</f>
        <v/>
      </c>
      <c r="CK203" s="21" t="str">
        <f>IF([1]!BANCO10[[#This Row],[SOLUÇÃO]]=CK$1,[1]!BANCO10[[#This Row],[STATUS DA ETAPA]],"")</f>
        <v/>
      </c>
      <c r="CL203" s="21" t="str">
        <f>IF([1]!BANCO10[[#This Row],[SOLUÇÃO]]=CL$1,[1]!BANCO10[[#This Row],[STATUS DA ETAPA]],"")</f>
        <v/>
      </c>
      <c r="CM203" s="21" t="str">
        <f>IF([1]!BANCO10[[#This Row],[SOLUÇÃO]]=CM$1,[1]!BANCO10[[#This Row],[STATUS DA ETAPA]],"")</f>
        <v/>
      </c>
      <c r="CN203" s="21" t="str">
        <f>IF([1]!BANCO10[[#This Row],[SOLUÇÃO]]=CN$1,[1]!BANCO10[[#This Row],[STATUS DA ETAPA]],"")</f>
        <v/>
      </c>
      <c r="CO203" s="21" t="str">
        <f>IF([1]!BANCO10[[#This Row],[SOLUÇÃO]]=CO$1,[1]!BANCO10[[#This Row],[STATUS DA ETAPA]],"")</f>
        <v/>
      </c>
      <c r="CP203" s="21" t="str">
        <f>IF([1]!BANCO10[[#This Row],[SOLUÇÃO]]=CP$1,[1]!BANCO10[[#This Row],[STATUS DA ETAPA]],"")</f>
        <v/>
      </c>
      <c r="CQ203" s="21" t="str">
        <f>IF([1]!BANCO10[[#This Row],[SOLUÇÃO]]=CQ$1,[1]!BANCO10[[#This Row],[STATUS DA ETAPA]],"")</f>
        <v/>
      </c>
      <c r="CR203" s="21" t="str">
        <f>IF([1]!BANCO10[[#This Row],[SOLUÇÃO]]=CR$1,[1]!BANCO10[[#This Row],[STATUS DA ETAPA]],"")</f>
        <v/>
      </c>
      <c r="CS203" s="21" t="str">
        <f>IF([1]!BANCO10[[#This Row],[SOLUÇÃO]]=CS$1,[1]!BANCO10[[#This Row],[STATUS DA ETAPA]],"")</f>
        <v/>
      </c>
      <c r="CT203" s="21" t="str">
        <f>IF([1]!BANCO10[[#This Row],[SOLUÇÃO]]=CT$1,[1]!BANCO10[[#This Row],[STATUS DA ETAPA]],"")</f>
        <v/>
      </c>
      <c r="CU203" s="21" t="str">
        <f>IF([1]!BANCO10[[#This Row],[SOLUÇÃO]]=CU$1,[1]!BANCO10[[#This Row],[STATUS DA ETAPA]],"")</f>
        <v/>
      </c>
      <c r="CV203" s="21" t="str">
        <f>IF([1]!BANCO10[[#This Row],[SOLUÇÃO]]=CV$1,[1]!BANCO10[[#This Row],[STATUS DA ETAPA]],"")</f>
        <v/>
      </c>
    </row>
    <row r="204" spans="1:100">
      <c r="A204" s="44" t="s">
        <v>2</v>
      </c>
      <c r="B204" s="44">
        <v>45772</v>
      </c>
      <c r="C204" s="44" t="s">
        <v>2</v>
      </c>
      <c r="D204" s="44">
        <v>45775</v>
      </c>
      <c r="E204" s="44" t="s">
        <v>2</v>
      </c>
      <c r="F204" s="44">
        <v>45776</v>
      </c>
      <c r="G204" s="44" t="s">
        <v>2</v>
      </c>
      <c r="H204" s="44">
        <v>45776</v>
      </c>
      <c r="I204" s="45" t="s">
        <v>2</v>
      </c>
      <c r="J204" s="46"/>
      <c r="K204" s="45" t="s">
        <v>0</v>
      </c>
      <c r="L204" s="33"/>
      <c r="M204" s="45" t="s">
        <v>0</v>
      </c>
      <c r="N204" s="33"/>
      <c r="O204" s="44" t="s">
        <v>1</v>
      </c>
      <c r="P204" s="44"/>
      <c r="Q204" s="44" t="s">
        <v>1</v>
      </c>
      <c r="R204" s="44"/>
      <c r="S204" s="44" t="s">
        <v>2</v>
      </c>
      <c r="T204" s="44">
        <v>45708</v>
      </c>
      <c r="U204" s="44" t="s">
        <v>1</v>
      </c>
      <c r="V204" s="44"/>
      <c r="W204" s="44" t="s">
        <v>1</v>
      </c>
      <c r="X204" s="44"/>
      <c r="Y204" s="44" t="s">
        <v>1</v>
      </c>
      <c r="Z204" s="44"/>
      <c r="AA204" s="44" t="s">
        <v>1</v>
      </c>
      <c r="AB204" s="44"/>
      <c r="AC204" s="51">
        <v>46022</v>
      </c>
      <c r="AD204" s="50">
        <v>46022</v>
      </c>
      <c r="AE204" s="41" t="s">
        <v>0</v>
      </c>
      <c r="AF204" s="41" t="s">
        <v>0</v>
      </c>
      <c r="AG204" s="40" t="s">
        <v>5</v>
      </c>
      <c r="AH204" s="36" t="s">
        <v>0</v>
      </c>
      <c r="AI204" s="49">
        <v>20140</v>
      </c>
      <c r="AJ204" s="36" t="s">
        <v>3</v>
      </c>
      <c r="AK204" s="21">
        <v>692126</v>
      </c>
      <c r="AL204" s="36" t="s">
        <v>1</v>
      </c>
      <c r="AM204" s="36" t="s">
        <v>1</v>
      </c>
      <c r="AN204" s="35" t="s">
        <v>0</v>
      </c>
      <c r="AO204" s="35" t="s">
        <v>0</v>
      </c>
      <c r="AP204" s="35" t="s">
        <v>0</v>
      </c>
      <c r="AQ204" s="35" t="s">
        <v>0</v>
      </c>
      <c r="AR204" s="34" t="s">
        <v>0</v>
      </c>
      <c r="AS204" s="33"/>
      <c r="AT204" s="32" t="s">
        <v>0</v>
      </c>
      <c r="AU204" s="31"/>
      <c r="AV204" s="32" t="s">
        <v>0</v>
      </c>
      <c r="AW204" s="31"/>
      <c r="AX204" s="32" t="s">
        <v>0</v>
      </c>
      <c r="AY204" s="31"/>
      <c r="AZ204" s="32" t="s">
        <v>0</v>
      </c>
      <c r="BA204" s="31"/>
      <c r="BB204" s="26" t="s">
        <v>7</v>
      </c>
      <c r="BC204" s="25"/>
      <c r="BD204" s="24"/>
      <c r="BE204" s="24"/>
      <c r="BF204" s="24"/>
      <c r="BG204" s="24"/>
      <c r="BH204" s="24"/>
      <c r="BI204" s="24"/>
      <c r="BJ204" s="24"/>
      <c r="BK204" s="24"/>
      <c r="BL204" s="24"/>
      <c r="BM204" s="24"/>
      <c r="BN204" s="24"/>
      <c r="BO204" s="24"/>
      <c r="BP204" s="24"/>
      <c r="BQ204" s="22">
        <f>YEAR([1]!BANCO10[[#This Row],[DATA INÍCIO]])</f>
        <v>2025</v>
      </c>
      <c r="BR204" s="22">
        <f>MONTH([1]!BANCO10[[#This Row],[DATA INÍCIO]])</f>
        <v>12</v>
      </c>
      <c r="BS204" s="23" t="e">
        <f>CONCATENATE(#REF!,#REF!)</f>
        <v>#REF!</v>
      </c>
      <c r="BT204" s="22"/>
      <c r="BU204" s="22"/>
      <c r="BV204" s="21" t="str">
        <f>IF([1]!BANCO10[[#This Row],[SOLUÇÃO]]=BV$1,[1]!BANCO10[[#This Row],[STATUS DA ETAPA]],"")</f>
        <v/>
      </c>
      <c r="BW204" s="21" t="str">
        <f>IF([1]!BANCO10[[#This Row],[SOLUÇÃO]]=BW$1,[1]!BANCO10[[#This Row],[STATUS DA ETAPA]],"")</f>
        <v/>
      </c>
      <c r="BX204" s="21" t="str">
        <f>IF([1]!BANCO10[[#This Row],[SOLUÇÃO]]=BX$1,[1]!BANCO10[[#This Row],[STATUS DA ETAPA]],"")</f>
        <v/>
      </c>
      <c r="BY204" s="21" t="str">
        <f>IF([1]!BANCO10[[#This Row],[SOLUÇÃO]]=BY$1,[1]!BANCO10[[#This Row],[STATUS DA ETAPA]],"")</f>
        <v/>
      </c>
      <c r="BZ204" s="21" t="str">
        <f>IF([1]!BANCO10[[#This Row],[SOLUÇÃO]]=BZ$1,[1]!BANCO10[[#This Row],[STATUS DA ETAPA]],"")</f>
        <v/>
      </c>
      <c r="CA204" s="21" t="str">
        <f>IF([1]!BANCO10[[#This Row],[SOLUÇÃO]]=CA$1,[1]!BANCO10[[#This Row],[STATUS DA ETAPA]],"")</f>
        <v/>
      </c>
      <c r="CB204" s="21" t="str">
        <f>IF([1]!BANCO10[[#This Row],[SOLUÇÃO]]=CB$1,[1]!BANCO10[[#This Row],[STATUS DA ETAPA]],"")</f>
        <v>AGUARDANDO SALDO</v>
      </c>
      <c r="CC204" s="21" t="str">
        <f>IF([1]!BANCO10[[#This Row],[SOLUÇÃO]]=CC$1,[1]!BANCO10[[#This Row],[STATUS DA ETAPA]],"")</f>
        <v/>
      </c>
      <c r="CD204" s="21" t="str">
        <f>IF([1]!BANCO10[[#This Row],[SOLUÇÃO]]=CD$1,[1]!BANCO10[[#This Row],[STATUS DA ETAPA]],"")</f>
        <v/>
      </c>
      <c r="CE204" s="21" t="str">
        <f>IF([1]!BANCO10[[#This Row],[SOLUÇÃO]]=CE$1,[1]!BANCO10[[#This Row],[STATUS DA ETAPA]],"")</f>
        <v/>
      </c>
      <c r="CF204" s="21" t="str">
        <f>IF([1]!BANCO10[[#This Row],[SOLUÇÃO]]=CF$1,[1]!BANCO10[[#This Row],[STATUS DA ETAPA]],"")</f>
        <v/>
      </c>
      <c r="CG204" s="21" t="str">
        <f>IF([1]!BANCO10[[#This Row],[SOLUÇÃO]]=CG$1,[1]!BANCO10[[#This Row],[STATUS DA ETAPA]],"")</f>
        <v/>
      </c>
      <c r="CH204" s="21" t="str">
        <f>IF([1]!BANCO10[[#This Row],[SOLUÇÃO]]=CH$1,[1]!BANCO10[[#This Row],[STATUS DA ETAPA]],"")</f>
        <v/>
      </c>
      <c r="CI204" s="21" t="str">
        <f>IF([1]!BANCO10[[#This Row],[SOLUÇÃO]]=CI$1,[1]!BANCO10[[#This Row],[STATUS DA ETAPA]],"")</f>
        <v/>
      </c>
      <c r="CJ204" s="21" t="str">
        <f>IF([1]!BANCO10[[#This Row],[SOLUÇÃO]]=CJ$1,[1]!BANCO10[[#This Row],[STATUS DA ETAPA]],"")</f>
        <v/>
      </c>
      <c r="CK204" s="21" t="str">
        <f>IF([1]!BANCO10[[#This Row],[SOLUÇÃO]]=CK$1,[1]!BANCO10[[#This Row],[STATUS DA ETAPA]],"")</f>
        <v/>
      </c>
      <c r="CL204" s="21" t="str">
        <f>IF([1]!BANCO10[[#This Row],[SOLUÇÃO]]=CL$1,[1]!BANCO10[[#This Row],[STATUS DA ETAPA]],"")</f>
        <v/>
      </c>
      <c r="CM204" s="21" t="str">
        <f>IF([1]!BANCO10[[#This Row],[SOLUÇÃO]]=CM$1,[1]!BANCO10[[#This Row],[STATUS DA ETAPA]],"")</f>
        <v/>
      </c>
      <c r="CN204" s="21" t="str">
        <f>IF([1]!BANCO10[[#This Row],[SOLUÇÃO]]=CN$1,[1]!BANCO10[[#This Row],[STATUS DA ETAPA]],"")</f>
        <v/>
      </c>
      <c r="CO204" s="21" t="str">
        <f>IF([1]!BANCO10[[#This Row],[SOLUÇÃO]]=CO$1,[1]!BANCO10[[#This Row],[STATUS DA ETAPA]],"")</f>
        <v/>
      </c>
      <c r="CP204" s="21" t="str">
        <f>IF([1]!BANCO10[[#This Row],[SOLUÇÃO]]=CP$1,[1]!BANCO10[[#This Row],[STATUS DA ETAPA]],"")</f>
        <v/>
      </c>
      <c r="CQ204" s="21" t="str">
        <f>IF([1]!BANCO10[[#This Row],[SOLUÇÃO]]=CQ$1,[1]!BANCO10[[#This Row],[STATUS DA ETAPA]],"")</f>
        <v/>
      </c>
      <c r="CR204" s="21" t="str">
        <f>IF([1]!BANCO10[[#This Row],[SOLUÇÃO]]=CR$1,[1]!BANCO10[[#This Row],[STATUS DA ETAPA]],"")</f>
        <v/>
      </c>
      <c r="CS204" s="21" t="str">
        <f>IF([1]!BANCO10[[#This Row],[SOLUÇÃO]]=CS$1,[1]!BANCO10[[#This Row],[STATUS DA ETAPA]],"")</f>
        <v/>
      </c>
      <c r="CT204" s="21" t="str">
        <f>IF([1]!BANCO10[[#This Row],[SOLUÇÃO]]=CT$1,[1]!BANCO10[[#This Row],[STATUS DA ETAPA]],"")</f>
        <v/>
      </c>
      <c r="CU204" s="21" t="str">
        <f>IF([1]!BANCO10[[#This Row],[SOLUÇÃO]]=CU$1,[1]!BANCO10[[#This Row],[STATUS DA ETAPA]],"")</f>
        <v/>
      </c>
      <c r="CV204" s="21" t="str">
        <f>IF([1]!BANCO10[[#This Row],[SOLUÇÃO]]=CV$1,[1]!BANCO10[[#This Row],[STATUS DA ETAPA]],"")</f>
        <v/>
      </c>
    </row>
    <row r="205" spans="1:100">
      <c r="A205" s="44" t="s">
        <v>1</v>
      </c>
      <c r="B205" s="44"/>
      <c r="C205" s="44" t="s">
        <v>1</v>
      </c>
      <c r="D205" s="44"/>
      <c r="E205" s="44" t="s">
        <v>1</v>
      </c>
      <c r="F205" s="44"/>
      <c r="G205" s="44" t="s">
        <v>1</v>
      </c>
      <c r="H205" s="44"/>
      <c r="I205" s="45" t="s">
        <v>1</v>
      </c>
      <c r="J205" s="46"/>
      <c r="K205" s="45" t="s">
        <v>1</v>
      </c>
      <c r="L205" s="33"/>
      <c r="M205" s="45" t="s">
        <v>1</v>
      </c>
      <c r="N205" s="33"/>
      <c r="O205" s="44" t="s">
        <v>1</v>
      </c>
      <c r="P205" s="44"/>
      <c r="Q205" s="44" t="s">
        <v>1</v>
      </c>
      <c r="R205" s="44"/>
      <c r="S205" s="44" t="s">
        <v>1</v>
      </c>
      <c r="T205" s="44"/>
      <c r="U205" s="44" t="s">
        <v>1</v>
      </c>
      <c r="V205" s="44"/>
      <c r="W205" s="44" t="s">
        <v>1</v>
      </c>
      <c r="X205" s="44"/>
      <c r="Y205" s="44" t="s">
        <v>1</v>
      </c>
      <c r="Z205" s="44"/>
      <c r="AA205" s="44" t="s">
        <v>1</v>
      </c>
      <c r="AB205" s="44"/>
      <c r="AC205" s="51">
        <v>45963</v>
      </c>
      <c r="AD205" s="50">
        <v>45963</v>
      </c>
      <c r="AE205" s="40" t="s">
        <v>1</v>
      </c>
      <c r="AF205" s="40" t="s">
        <v>1</v>
      </c>
      <c r="AG205" s="40" t="s">
        <v>1</v>
      </c>
      <c r="AH205" s="36" t="s">
        <v>1</v>
      </c>
      <c r="AI205" s="49">
        <v>0</v>
      </c>
      <c r="AJ205" s="36" t="s">
        <v>1</v>
      </c>
      <c r="AK205" s="10" t="s">
        <v>1</v>
      </c>
      <c r="AL205" s="36" t="s">
        <v>1</v>
      </c>
      <c r="AM205" s="36" t="s">
        <v>1</v>
      </c>
      <c r="AN205" s="35" t="s">
        <v>1</v>
      </c>
      <c r="AO205" s="35" t="s">
        <v>1</v>
      </c>
      <c r="AP205" s="35" t="s">
        <v>1</v>
      </c>
      <c r="AQ205" s="35" t="s">
        <v>1</v>
      </c>
      <c r="AR205" s="34" t="s">
        <v>1</v>
      </c>
      <c r="AS205" s="63"/>
      <c r="AT205" s="32" t="s">
        <v>1</v>
      </c>
      <c r="AU205" s="31"/>
      <c r="AV205" s="32" t="s">
        <v>1</v>
      </c>
      <c r="AW205" s="31"/>
      <c r="AX205" s="32" t="s">
        <v>1</v>
      </c>
      <c r="AY205" s="31"/>
      <c r="AZ205" s="32" t="s">
        <v>1</v>
      </c>
      <c r="BA205" s="31"/>
      <c r="BB205" s="74" t="s">
        <v>682</v>
      </c>
      <c r="BC205" s="25"/>
      <c r="BD205" s="24" t="s">
        <v>11</v>
      </c>
      <c r="BE205" s="24" t="s">
        <v>11</v>
      </c>
      <c r="BF205" s="24" t="s">
        <v>11</v>
      </c>
      <c r="BG205" s="24" t="s">
        <v>11</v>
      </c>
      <c r="BH205" s="130" t="s">
        <v>11</v>
      </c>
      <c r="BI205" s="24"/>
      <c r="BJ205" s="24" t="s">
        <v>11</v>
      </c>
      <c r="BK205" s="24" t="s">
        <v>11</v>
      </c>
      <c r="BL205" s="24" t="s">
        <v>11</v>
      </c>
      <c r="BM205" s="24" t="s">
        <v>11</v>
      </c>
      <c r="BN205" s="24" t="s">
        <v>11</v>
      </c>
      <c r="BO205" s="24" t="s">
        <v>11</v>
      </c>
      <c r="BP205" s="24" t="s">
        <v>11</v>
      </c>
      <c r="BQ205" s="22">
        <f>YEAR([1]!BANCO10[[#This Row],[DATA INÍCIO]])</f>
        <v>2025</v>
      </c>
      <c r="BR205" s="22">
        <f>MONTH([1]!BANCO10[[#This Row],[DATA INÍCIO]])</f>
        <v>11</v>
      </c>
      <c r="BS205" s="129" t="e">
        <f>CONCATENATE(#REF!,#REF!)</f>
        <v>#REF!</v>
      </c>
      <c r="BT205" s="22"/>
      <c r="BU205" s="21" t="s">
        <v>30</v>
      </c>
      <c r="BV205" s="21" t="str">
        <f>IF([1]!BANCO10[[#This Row],[SOLUÇÃO]]=BV$1,[1]!BANCO10[[#This Row],[STATUS DA ETAPA]],"")</f>
        <v/>
      </c>
      <c r="BW205" s="21" t="str">
        <f>IF([1]!BANCO10[[#This Row],[SOLUÇÃO]]=BW$1,[1]!BANCO10[[#This Row],[STATUS DA ETAPA]],"")</f>
        <v/>
      </c>
      <c r="BX205" s="21" t="str">
        <f>IF([1]!BANCO10[[#This Row],[SOLUÇÃO]]=BX$1,[1]!BANCO10[[#This Row],[STATUS DA ETAPA]],"")</f>
        <v/>
      </c>
      <c r="BY205" s="21" t="str">
        <f>IF([1]!BANCO10[[#This Row],[SOLUÇÃO]]=BY$1,[1]!BANCO10[[#This Row],[STATUS DA ETAPA]],"")</f>
        <v/>
      </c>
      <c r="BZ205" s="21" t="str">
        <f>IF([1]!BANCO10[[#This Row],[SOLUÇÃO]]=BZ$1,[1]!BANCO10[[#This Row],[STATUS DA ETAPA]],"")</f>
        <v/>
      </c>
      <c r="CA205" s="21" t="str">
        <f>IF([1]!BANCO10[[#This Row],[SOLUÇÃO]]=CA$1,[1]!BANCO10[[#This Row],[STATUS DA ETAPA]],"")</f>
        <v/>
      </c>
      <c r="CB205" s="21" t="str">
        <f>IF([1]!BANCO10[[#This Row],[SOLUÇÃO]]=CB$1,[1]!BANCO10[[#This Row],[STATUS DA ETAPA]],"")</f>
        <v/>
      </c>
      <c r="CC205" s="21" t="str">
        <f>IF([1]!BANCO10[[#This Row],[SOLUÇÃO]]=CC$1,[1]!BANCO10[[#This Row],[STATUS DA ETAPA]],"")</f>
        <v>CANCELADO</v>
      </c>
      <c r="CD205" s="21" t="str">
        <f>IF([1]!BANCO10[[#This Row],[SOLUÇÃO]]=CD$1,[1]!BANCO10[[#This Row],[STATUS DA ETAPA]],"")</f>
        <v/>
      </c>
      <c r="CE205" s="21" t="str">
        <f>IF([1]!BANCO10[[#This Row],[SOLUÇÃO]]=CE$1,[1]!BANCO10[[#This Row],[STATUS DA ETAPA]],"")</f>
        <v/>
      </c>
      <c r="CF205" s="21" t="str">
        <f>IF([1]!BANCO10[[#This Row],[SOLUÇÃO]]=CF$1,[1]!BANCO10[[#This Row],[STATUS DA ETAPA]],"")</f>
        <v/>
      </c>
      <c r="CG205" s="21" t="str">
        <f>IF([1]!BANCO10[[#This Row],[SOLUÇÃO]]=CG$1,[1]!BANCO10[[#This Row],[STATUS DA ETAPA]],"")</f>
        <v/>
      </c>
      <c r="CH205" s="21" t="str">
        <f>IF([1]!BANCO10[[#This Row],[SOLUÇÃO]]=CH$1,[1]!BANCO10[[#This Row],[STATUS DA ETAPA]],"")</f>
        <v/>
      </c>
      <c r="CI205" s="21" t="str">
        <f>IF([1]!BANCO10[[#This Row],[SOLUÇÃO]]=CI$1,[1]!BANCO10[[#This Row],[STATUS DA ETAPA]],"")</f>
        <v/>
      </c>
      <c r="CJ205" s="21" t="str">
        <f>IF([1]!BANCO10[[#This Row],[SOLUÇÃO]]=CJ$1,[1]!BANCO10[[#This Row],[STATUS DA ETAPA]],"")</f>
        <v/>
      </c>
      <c r="CK205" s="21" t="str">
        <f>IF([1]!BANCO10[[#This Row],[SOLUÇÃO]]=CK$1,[1]!BANCO10[[#This Row],[STATUS DA ETAPA]],"")</f>
        <v/>
      </c>
      <c r="CL205" s="21" t="str">
        <f>IF([1]!BANCO10[[#This Row],[SOLUÇÃO]]=CL$1,[1]!BANCO10[[#This Row],[STATUS DA ETAPA]],"")</f>
        <v/>
      </c>
      <c r="CM205" s="21" t="str">
        <f>IF([1]!BANCO10[[#This Row],[SOLUÇÃO]]=CM$1,[1]!BANCO10[[#This Row],[STATUS DA ETAPA]],"")</f>
        <v/>
      </c>
      <c r="CN205" s="21" t="str">
        <f>IF([1]!BANCO10[[#This Row],[SOLUÇÃO]]=CN$1,[1]!BANCO10[[#This Row],[STATUS DA ETAPA]],"")</f>
        <v/>
      </c>
      <c r="CO205" s="21" t="str">
        <f>IF([1]!BANCO10[[#This Row],[SOLUÇÃO]]=CO$1,[1]!BANCO10[[#This Row],[STATUS DA ETAPA]],"")</f>
        <v/>
      </c>
      <c r="CP205" s="21" t="str">
        <f>IF([1]!BANCO10[[#This Row],[SOLUÇÃO]]=CP$1,[1]!BANCO10[[#This Row],[STATUS DA ETAPA]],"")</f>
        <v/>
      </c>
      <c r="CQ205" s="21" t="str">
        <f>IF([1]!BANCO10[[#This Row],[SOLUÇÃO]]=CQ$1,[1]!BANCO10[[#This Row],[STATUS DA ETAPA]],"")</f>
        <v/>
      </c>
      <c r="CR205" s="21" t="str">
        <f>IF([1]!BANCO10[[#This Row],[SOLUÇÃO]]=CR$1,[1]!BANCO10[[#This Row],[STATUS DA ETAPA]],"")</f>
        <v/>
      </c>
      <c r="CS205" s="21" t="str">
        <f>IF([1]!BANCO10[[#This Row],[SOLUÇÃO]]=CS$1,[1]!BANCO10[[#This Row],[STATUS DA ETAPA]],"")</f>
        <v/>
      </c>
      <c r="CT205" s="21" t="str">
        <f>IF([1]!BANCO10[[#This Row],[SOLUÇÃO]]=CT$1,[1]!BANCO10[[#This Row],[STATUS DA ETAPA]],"")</f>
        <v/>
      </c>
      <c r="CU205" s="21" t="str">
        <f>IF([1]!BANCO10[[#This Row],[SOLUÇÃO]]=CU$1,[1]!BANCO10[[#This Row],[STATUS DA ETAPA]],"")</f>
        <v/>
      </c>
      <c r="CV205" s="21" t="str">
        <f>IF([1]!BANCO10[[#This Row],[SOLUÇÃO]]=CV$1,[1]!BANCO10[[#This Row],[STATUS DA ETAPA]],"")</f>
        <v/>
      </c>
    </row>
    <row r="206" spans="1:100">
      <c r="A206" s="44" t="s">
        <v>1</v>
      </c>
      <c r="B206" s="44"/>
      <c r="C206" s="44" t="s">
        <v>1</v>
      </c>
      <c r="D206" s="44"/>
      <c r="E206" s="44" t="s">
        <v>1</v>
      </c>
      <c r="F206" s="44"/>
      <c r="G206" s="44" t="s">
        <v>1</v>
      </c>
      <c r="H206" s="44"/>
      <c r="I206" s="45" t="s">
        <v>1</v>
      </c>
      <c r="J206" s="46"/>
      <c r="K206" s="45" t="s">
        <v>1</v>
      </c>
      <c r="L206" s="33"/>
      <c r="M206" s="45" t="s">
        <v>1</v>
      </c>
      <c r="N206" s="33"/>
      <c r="O206" s="44" t="s">
        <v>1</v>
      </c>
      <c r="P206" s="44"/>
      <c r="Q206" s="44" t="s">
        <v>1</v>
      </c>
      <c r="R206" s="44"/>
      <c r="S206" s="44" t="s">
        <v>1</v>
      </c>
      <c r="T206" s="44"/>
      <c r="U206" s="44" t="s">
        <v>1</v>
      </c>
      <c r="V206" s="44"/>
      <c r="W206" s="44" t="s">
        <v>1</v>
      </c>
      <c r="X206" s="44"/>
      <c r="Y206" s="44" t="s">
        <v>1</v>
      </c>
      <c r="Z206" s="44"/>
      <c r="AA206" s="44" t="s">
        <v>1</v>
      </c>
      <c r="AB206" s="44"/>
      <c r="AC206" s="51">
        <v>45577</v>
      </c>
      <c r="AD206" s="50">
        <v>45577</v>
      </c>
      <c r="AE206" s="41" t="s">
        <v>1</v>
      </c>
      <c r="AF206" s="41" t="s">
        <v>1</v>
      </c>
      <c r="AG206" s="40" t="s">
        <v>5</v>
      </c>
      <c r="AH206" s="36" t="s">
        <v>1</v>
      </c>
      <c r="AI206" s="49">
        <v>0</v>
      </c>
      <c r="AJ206" s="36" t="s">
        <v>1</v>
      </c>
      <c r="AK206" s="10" t="s">
        <v>1</v>
      </c>
      <c r="AL206" s="36" t="s">
        <v>1</v>
      </c>
      <c r="AM206" s="36" t="s">
        <v>1</v>
      </c>
      <c r="AN206" s="35" t="s">
        <v>1</v>
      </c>
      <c r="AO206" s="35" t="s">
        <v>1</v>
      </c>
      <c r="AP206" s="35" t="s">
        <v>1</v>
      </c>
      <c r="AQ206" s="35" t="s">
        <v>1</v>
      </c>
      <c r="AR206" s="90" t="s">
        <v>1</v>
      </c>
      <c r="AS206" s="89"/>
      <c r="AT206" s="88"/>
      <c r="AU206" s="25"/>
      <c r="AV206" s="88"/>
      <c r="AW206" s="25"/>
      <c r="AX206" s="88" t="s">
        <v>1</v>
      </c>
      <c r="AY206" s="25"/>
      <c r="AZ206" s="88" t="s">
        <v>1</v>
      </c>
      <c r="BA206" s="25"/>
      <c r="BB206" s="39"/>
      <c r="BC206" s="25"/>
      <c r="BD206" s="24"/>
      <c r="BE206" s="24"/>
      <c r="BF206" s="79"/>
      <c r="BG206" s="79"/>
      <c r="BH206" s="80"/>
      <c r="BI206" s="79"/>
      <c r="BJ206" s="54"/>
      <c r="BK206" s="78"/>
      <c r="BL206" s="69"/>
      <c r="BM206" s="78"/>
      <c r="BN206" s="78"/>
      <c r="BO206" s="78"/>
      <c r="BP206" s="78"/>
      <c r="BQ206" s="21">
        <f>YEAR([1]!BANCO10[[#This Row],[DATA INÍCIO]])</f>
        <v>2024</v>
      </c>
      <c r="BR206" s="21">
        <f>MONTH([1]!BANCO10[[#This Row],[DATA INÍCIO]])</f>
        <v>10</v>
      </c>
      <c r="BS206" s="21" t="e">
        <f>CONCATENATE(#REF!,#REF!)</f>
        <v>#REF!</v>
      </c>
      <c r="BT206" s="21"/>
      <c r="BU206" s="21"/>
      <c r="BV206" s="21" t="str">
        <f>IF([1]!BANCO10[[#This Row],[SOLUÇÃO]]=BV$1,[1]!BANCO10[[#This Row],[STATUS DA ETAPA]],"")</f>
        <v>CONCLUÍDO</v>
      </c>
      <c r="BW206" s="21" t="str">
        <f>IF([1]!BANCO10[[#This Row],[SOLUÇÃO]]=BW$1,[1]!BANCO10[[#This Row],[STATUS DA ETAPA]],"")</f>
        <v/>
      </c>
      <c r="BX206" s="21" t="str">
        <f>IF([1]!BANCO10[[#This Row],[SOLUÇÃO]]=BX$1,[1]!BANCO10[[#This Row],[STATUS DA ETAPA]],"")</f>
        <v/>
      </c>
      <c r="BY206" s="21" t="str">
        <f>IF([1]!BANCO10[[#This Row],[SOLUÇÃO]]=BY$1,[1]!BANCO10[[#This Row],[STATUS DA ETAPA]],"")</f>
        <v/>
      </c>
      <c r="BZ206" s="21" t="str">
        <f>IF([1]!BANCO10[[#This Row],[SOLUÇÃO]]=BZ$1,[1]!BANCO10[[#This Row],[STATUS DA ETAPA]],"")</f>
        <v/>
      </c>
      <c r="CA206" s="21" t="str">
        <f>IF([1]!BANCO10[[#This Row],[SOLUÇÃO]]=CA$1,[1]!BANCO10[[#This Row],[STATUS DA ETAPA]],"")</f>
        <v/>
      </c>
      <c r="CB206" s="21" t="str">
        <f>IF([1]!BANCO10[[#This Row],[SOLUÇÃO]]=CB$1,[1]!BANCO10[[#This Row],[STATUS DA ETAPA]],"")</f>
        <v/>
      </c>
      <c r="CC206" s="21" t="str">
        <f>IF([1]!BANCO10[[#This Row],[SOLUÇÃO]]=CC$1,[1]!BANCO10[[#This Row],[STATUS DA ETAPA]],"")</f>
        <v/>
      </c>
      <c r="CD206" s="21" t="str">
        <f>IF([1]!BANCO10[[#This Row],[SOLUÇÃO]]=CD$1,[1]!BANCO10[[#This Row],[STATUS DA ETAPA]],"")</f>
        <v/>
      </c>
      <c r="CE206" s="21" t="str">
        <f>IF([1]!BANCO10[[#This Row],[SOLUÇÃO]]=CE$1,[1]!BANCO10[[#This Row],[STATUS DA ETAPA]],"")</f>
        <v/>
      </c>
      <c r="CF206" s="21" t="str">
        <f>IF([1]!BANCO10[[#This Row],[SOLUÇÃO]]=CF$1,[1]!BANCO10[[#This Row],[STATUS DA ETAPA]],"")</f>
        <v/>
      </c>
      <c r="CG206" s="21" t="str">
        <f>IF([1]!BANCO10[[#This Row],[SOLUÇÃO]]=CG$1,[1]!BANCO10[[#This Row],[STATUS DA ETAPA]],"")</f>
        <v/>
      </c>
      <c r="CH206" s="21" t="str">
        <f>IF([1]!BANCO10[[#This Row],[SOLUÇÃO]]=CH$1,[1]!BANCO10[[#This Row],[STATUS DA ETAPA]],"")</f>
        <v/>
      </c>
      <c r="CI206" s="21" t="str">
        <f>IF([1]!BANCO10[[#This Row],[SOLUÇÃO]]=CI$1,[1]!BANCO10[[#This Row],[STATUS DA ETAPA]],"")</f>
        <v/>
      </c>
      <c r="CJ206" s="21" t="str">
        <f>IF([1]!BANCO10[[#This Row],[SOLUÇÃO]]=CJ$1,[1]!BANCO10[[#This Row],[STATUS DA ETAPA]],"")</f>
        <v/>
      </c>
      <c r="CK206" s="21" t="str">
        <f>IF([1]!BANCO10[[#This Row],[SOLUÇÃO]]=CK$1,[1]!BANCO10[[#This Row],[STATUS DA ETAPA]],"")</f>
        <v/>
      </c>
      <c r="CL206" s="22" t="str">
        <f>IF([1]!BANCO10[[#This Row],[SOLUÇÃO]]=CL$1,[1]!BANCO10[[#This Row],[STATUS DA ETAPA]],"")</f>
        <v/>
      </c>
      <c r="CM206" s="64" t="str">
        <f>IF([1]!BANCO10[[#This Row],[SOLUÇÃO]]=CM$1,[1]!BANCO10[[#This Row],[STATUS DA ETAPA]],"")</f>
        <v/>
      </c>
      <c r="CN206" s="64" t="str">
        <f>IF([1]!BANCO10[[#This Row],[SOLUÇÃO]]=CN$1,[1]!BANCO10[[#This Row],[STATUS DA ETAPA]],"")</f>
        <v/>
      </c>
      <c r="CO206" s="64" t="str">
        <f>IF([1]!BANCO10[[#This Row],[SOLUÇÃO]]=CO$1,[1]!BANCO10[[#This Row],[STATUS DA ETAPA]],"")</f>
        <v/>
      </c>
      <c r="CP206" s="64" t="str">
        <f>IF([1]!BANCO10[[#This Row],[SOLUÇÃO]]=CP$1,[1]!BANCO10[[#This Row],[STATUS DA ETAPA]],"")</f>
        <v/>
      </c>
      <c r="CQ206" s="64" t="str">
        <f>IF([1]!BANCO10[[#This Row],[SOLUÇÃO]]=CQ$1,[1]!BANCO10[[#This Row],[STATUS DA ETAPA]],"")</f>
        <v/>
      </c>
      <c r="CR206" s="64" t="str">
        <f>IF([1]!BANCO10[[#This Row],[SOLUÇÃO]]=CR$1,[1]!BANCO10[[#This Row],[STATUS DA ETAPA]],"")</f>
        <v/>
      </c>
      <c r="CS206" s="64" t="str">
        <f>IF([1]!BANCO10[[#This Row],[SOLUÇÃO]]=CS$1,[1]!BANCO10[[#This Row],[STATUS DA ETAPA]],"")</f>
        <v/>
      </c>
      <c r="CT206" s="64" t="str">
        <f>IF([1]!BANCO10[[#This Row],[SOLUÇÃO]]=CT$1,[1]!BANCO10[[#This Row],[STATUS DA ETAPA]],"")</f>
        <v/>
      </c>
      <c r="CU206" s="64" t="str">
        <f>IF([1]!BANCO10[[#This Row],[SOLUÇÃO]]=CU$1,[1]!BANCO10[[#This Row],[STATUS DA ETAPA]],"")</f>
        <v/>
      </c>
      <c r="CV206" s="64" t="str">
        <f>IF([1]!BANCO10[[#This Row],[SOLUÇÃO]]=CV$1,[1]!BANCO10[[#This Row],[STATUS DA ETAPA]],"")</f>
        <v/>
      </c>
    </row>
    <row r="207" spans="1:100">
      <c r="A207" s="44" t="s">
        <v>1</v>
      </c>
      <c r="B207" s="44"/>
      <c r="C207" s="44" t="s">
        <v>1</v>
      </c>
      <c r="D207" s="44"/>
      <c r="E207" s="44" t="s">
        <v>1</v>
      </c>
      <c r="F207" s="44"/>
      <c r="G207" s="44" t="s">
        <v>1</v>
      </c>
      <c r="H207" s="44"/>
      <c r="I207" s="45" t="s">
        <v>1</v>
      </c>
      <c r="J207" s="46"/>
      <c r="K207" s="45" t="s">
        <v>1</v>
      </c>
      <c r="L207" s="33"/>
      <c r="M207" s="45" t="s">
        <v>1</v>
      </c>
      <c r="N207" s="33"/>
      <c r="O207" s="44" t="s">
        <v>2</v>
      </c>
      <c r="P207" s="44">
        <v>45566</v>
      </c>
      <c r="Q207" s="44" t="s">
        <v>2</v>
      </c>
      <c r="R207" s="44">
        <v>45590</v>
      </c>
      <c r="S207" s="44" t="s">
        <v>2</v>
      </c>
      <c r="T207" s="44">
        <v>45608</v>
      </c>
      <c r="U207" s="44" t="s">
        <v>1</v>
      </c>
      <c r="V207" s="44"/>
      <c r="W207" s="44" t="s">
        <v>1</v>
      </c>
      <c r="X207" s="44"/>
      <c r="Y207" s="44" t="s">
        <v>1</v>
      </c>
      <c r="Z207" s="44"/>
      <c r="AA207" s="44" t="s">
        <v>1</v>
      </c>
      <c r="AB207" s="44"/>
      <c r="AC207" s="51">
        <v>45671</v>
      </c>
      <c r="AD207" s="50">
        <v>45762</v>
      </c>
      <c r="AE207" s="41" t="s">
        <v>2</v>
      </c>
      <c r="AF207" s="41" t="s">
        <v>2</v>
      </c>
      <c r="AG207" s="40" t="s">
        <v>5</v>
      </c>
      <c r="AH207" s="36" t="s">
        <v>0</v>
      </c>
      <c r="AI207" s="49">
        <v>0</v>
      </c>
      <c r="AJ207" s="36" t="s">
        <v>6</v>
      </c>
      <c r="AK207" s="10">
        <v>580881</v>
      </c>
      <c r="AL207" s="36" t="s">
        <v>1</v>
      </c>
      <c r="AM207" s="36" t="s">
        <v>1</v>
      </c>
      <c r="AN207" s="35" t="s">
        <v>2</v>
      </c>
      <c r="AO207" s="35" t="s">
        <v>2</v>
      </c>
      <c r="AP207" s="35" t="s">
        <v>2</v>
      </c>
      <c r="AQ207" s="35" t="s">
        <v>2</v>
      </c>
      <c r="AR207" s="34" t="s">
        <v>2</v>
      </c>
      <c r="AS207" s="33">
        <v>45803</v>
      </c>
      <c r="AT207" s="32" t="s">
        <v>1</v>
      </c>
      <c r="AU207" s="31"/>
      <c r="AV207" s="32" t="s">
        <v>1</v>
      </c>
      <c r="AW207" s="31"/>
      <c r="AX207" s="30" t="s">
        <v>2</v>
      </c>
      <c r="AY207" s="29">
        <v>45803</v>
      </c>
      <c r="AZ207" s="28" t="s">
        <v>0</v>
      </c>
      <c r="BA207" s="27"/>
      <c r="BB207" s="95" t="s">
        <v>99</v>
      </c>
      <c r="BC207" s="25" t="s">
        <v>41</v>
      </c>
      <c r="BD207" s="24"/>
      <c r="BE207" s="24"/>
      <c r="BF207" s="79"/>
      <c r="BG207" s="79"/>
      <c r="BH207" s="80"/>
      <c r="BI207" s="79"/>
      <c r="BJ207" s="54"/>
      <c r="BK207" s="78"/>
      <c r="BL207" s="69"/>
      <c r="BM207" s="78"/>
      <c r="BN207" s="78"/>
      <c r="BO207" s="78"/>
      <c r="BP207" s="78" t="s">
        <v>98</v>
      </c>
      <c r="BQ207" s="21">
        <f>YEAR([1]!BANCO10[[#This Row],[DATA INÍCIO]])</f>
        <v>2025</v>
      </c>
      <c r="BR207" s="21">
        <f>MONTH([1]!BANCO10[[#This Row],[DATA INÍCIO]])</f>
        <v>1</v>
      </c>
      <c r="BS207" s="21" t="e">
        <f>CONCATENATE(#REF!,#REF!)</f>
        <v>#REF!</v>
      </c>
      <c r="BT207" s="21"/>
      <c r="BU207" s="21"/>
      <c r="BV207" s="21" t="str">
        <f>IF([1]!BANCO10[[#This Row],[SOLUÇÃO]]=BV$1,[1]!BANCO10[[#This Row],[STATUS DA ETAPA]],"")</f>
        <v/>
      </c>
      <c r="BW207" s="21" t="str">
        <f>IF([1]!BANCO10[[#This Row],[SOLUÇÃO]]=BW$1,[1]!BANCO10[[#This Row],[STATUS DA ETAPA]],"")</f>
        <v/>
      </c>
      <c r="BX207" s="21" t="str">
        <f>IF([1]!BANCO10[[#This Row],[SOLUÇÃO]]=BX$1,[1]!BANCO10[[#This Row],[STATUS DA ETAPA]],"")</f>
        <v/>
      </c>
      <c r="BY207" s="21" t="str">
        <f>IF([1]!BANCO10[[#This Row],[SOLUÇÃO]]=BY$1,[1]!BANCO10[[#This Row],[STATUS DA ETAPA]],"")</f>
        <v/>
      </c>
      <c r="BZ207" s="21" t="str">
        <f>IF([1]!BANCO10[[#This Row],[SOLUÇÃO]]=BZ$1,[1]!BANCO10[[#This Row],[STATUS DA ETAPA]],"")</f>
        <v/>
      </c>
      <c r="CA207" s="21" t="str">
        <f>IF([1]!BANCO10[[#This Row],[SOLUÇÃO]]=CA$1,[1]!BANCO10[[#This Row],[STATUS DA ETAPA]],"")</f>
        <v/>
      </c>
      <c r="CB207" s="21" t="str">
        <f>IF([1]!BANCO10[[#This Row],[SOLUÇÃO]]=CB$1,[1]!BANCO10[[#This Row],[STATUS DA ETAPA]],"")</f>
        <v>CONCLUÍDO</v>
      </c>
      <c r="CC207" s="21" t="str">
        <f>IF([1]!BANCO10[[#This Row],[SOLUÇÃO]]=CC$1,[1]!BANCO10[[#This Row],[STATUS DA ETAPA]],"")</f>
        <v/>
      </c>
      <c r="CD207" s="21" t="str">
        <f>IF([1]!BANCO10[[#This Row],[SOLUÇÃO]]=CD$1,[1]!BANCO10[[#This Row],[STATUS DA ETAPA]],"")</f>
        <v/>
      </c>
      <c r="CE207" s="21" t="str">
        <f>IF([1]!BANCO10[[#This Row],[SOLUÇÃO]]=CE$1,[1]!BANCO10[[#This Row],[STATUS DA ETAPA]],"")</f>
        <v/>
      </c>
      <c r="CF207" s="21" t="str">
        <f>IF([1]!BANCO10[[#This Row],[SOLUÇÃO]]=CF$1,[1]!BANCO10[[#This Row],[STATUS DA ETAPA]],"")</f>
        <v/>
      </c>
      <c r="CG207" s="21" t="str">
        <f>IF([1]!BANCO10[[#This Row],[SOLUÇÃO]]=CG$1,[1]!BANCO10[[#This Row],[STATUS DA ETAPA]],"")</f>
        <v/>
      </c>
      <c r="CH207" s="21" t="str">
        <f>IF([1]!BANCO10[[#This Row],[SOLUÇÃO]]=CH$1,[1]!BANCO10[[#This Row],[STATUS DA ETAPA]],"")</f>
        <v/>
      </c>
      <c r="CI207" s="21" t="str">
        <f>IF([1]!BANCO10[[#This Row],[SOLUÇÃO]]=CI$1,[1]!BANCO10[[#This Row],[STATUS DA ETAPA]],"")</f>
        <v/>
      </c>
      <c r="CJ207" s="21" t="str">
        <f>IF([1]!BANCO10[[#This Row],[SOLUÇÃO]]=CJ$1,[1]!BANCO10[[#This Row],[STATUS DA ETAPA]],"")</f>
        <v/>
      </c>
      <c r="CK207" s="21" t="str">
        <f>IF([1]!BANCO10[[#This Row],[SOLUÇÃO]]=CK$1,[1]!BANCO10[[#This Row],[STATUS DA ETAPA]],"")</f>
        <v/>
      </c>
      <c r="CL207" s="22" t="str">
        <f>IF([1]!BANCO10[[#This Row],[SOLUÇÃO]]=CL$1,[1]!BANCO10[[#This Row],[STATUS DA ETAPA]],"")</f>
        <v/>
      </c>
      <c r="CM207" s="64" t="str">
        <f>IF([1]!BANCO10[[#This Row],[SOLUÇÃO]]=CM$1,[1]!BANCO10[[#This Row],[STATUS DA ETAPA]],"")</f>
        <v/>
      </c>
      <c r="CN207" s="64" t="str">
        <f>IF([1]!BANCO10[[#This Row],[SOLUÇÃO]]=CN$1,[1]!BANCO10[[#This Row],[STATUS DA ETAPA]],"")</f>
        <v/>
      </c>
      <c r="CO207" s="64" t="str">
        <f>IF([1]!BANCO10[[#This Row],[SOLUÇÃO]]=CO$1,[1]!BANCO10[[#This Row],[STATUS DA ETAPA]],"")</f>
        <v/>
      </c>
      <c r="CP207" s="64" t="str">
        <f>IF([1]!BANCO10[[#This Row],[SOLUÇÃO]]=CP$1,[1]!BANCO10[[#This Row],[STATUS DA ETAPA]],"")</f>
        <v/>
      </c>
      <c r="CQ207" s="64" t="str">
        <f>IF([1]!BANCO10[[#This Row],[SOLUÇÃO]]=CQ$1,[1]!BANCO10[[#This Row],[STATUS DA ETAPA]],"")</f>
        <v/>
      </c>
      <c r="CR207" s="64" t="str">
        <f>IF([1]!BANCO10[[#This Row],[SOLUÇÃO]]=CR$1,[1]!BANCO10[[#This Row],[STATUS DA ETAPA]],"")</f>
        <v/>
      </c>
      <c r="CS207" s="64" t="str">
        <f>IF([1]!BANCO10[[#This Row],[SOLUÇÃO]]=CS$1,[1]!BANCO10[[#This Row],[STATUS DA ETAPA]],"")</f>
        <v/>
      </c>
      <c r="CT207" s="64" t="str">
        <f>IF([1]!BANCO10[[#This Row],[SOLUÇÃO]]=CT$1,[1]!BANCO10[[#This Row],[STATUS DA ETAPA]],"")</f>
        <v/>
      </c>
      <c r="CU207" s="64" t="str">
        <f>IF([1]!BANCO10[[#This Row],[SOLUÇÃO]]=CU$1,[1]!BANCO10[[#This Row],[STATUS DA ETAPA]],"")</f>
        <v/>
      </c>
      <c r="CV207" s="64" t="str">
        <f>IF([1]!BANCO10[[#This Row],[SOLUÇÃO]]=CV$1,[1]!BANCO10[[#This Row],[STATUS DA ETAPA]],"")</f>
        <v/>
      </c>
    </row>
    <row r="208" spans="1:100">
      <c r="A208" s="44" t="s">
        <v>1</v>
      </c>
      <c r="B208" s="44"/>
      <c r="C208" s="44" t="s">
        <v>1</v>
      </c>
      <c r="D208" s="44"/>
      <c r="E208" s="44" t="s">
        <v>1</v>
      </c>
      <c r="F208" s="44"/>
      <c r="G208" s="44" t="s">
        <v>1</v>
      </c>
      <c r="H208" s="44"/>
      <c r="I208" s="45" t="s">
        <v>1</v>
      </c>
      <c r="J208" s="46"/>
      <c r="K208" s="45" t="s">
        <v>1</v>
      </c>
      <c r="L208" s="33"/>
      <c r="M208" s="45" t="s">
        <v>1</v>
      </c>
      <c r="N208" s="33"/>
      <c r="O208" s="44" t="s">
        <v>1</v>
      </c>
      <c r="P208" s="44"/>
      <c r="Q208" s="44" t="s">
        <v>1</v>
      </c>
      <c r="R208" s="44"/>
      <c r="S208" s="44" t="s">
        <v>1</v>
      </c>
      <c r="T208" s="44"/>
      <c r="U208" s="44" t="s">
        <v>1</v>
      </c>
      <c r="V208" s="44"/>
      <c r="W208" s="44" t="s">
        <v>1</v>
      </c>
      <c r="X208" s="44"/>
      <c r="Y208" s="44" t="s">
        <v>1</v>
      </c>
      <c r="Z208" s="44"/>
      <c r="AA208" s="44" t="s">
        <v>1</v>
      </c>
      <c r="AB208" s="44"/>
      <c r="AC208" s="51">
        <v>45807</v>
      </c>
      <c r="AD208" s="50">
        <v>45807</v>
      </c>
      <c r="AE208" s="41" t="s">
        <v>1</v>
      </c>
      <c r="AF208" s="41" t="s">
        <v>1</v>
      </c>
      <c r="AG208" s="40" t="s">
        <v>4</v>
      </c>
      <c r="AH208" s="36" t="s">
        <v>0</v>
      </c>
      <c r="AI208" s="49">
        <v>0</v>
      </c>
      <c r="AJ208" s="36" t="s">
        <v>1</v>
      </c>
      <c r="AK208" s="10" t="s">
        <v>1</v>
      </c>
      <c r="AL208" s="36" t="s">
        <v>1</v>
      </c>
      <c r="AM208" s="36" t="s">
        <v>1</v>
      </c>
      <c r="AN208" s="35" t="s">
        <v>1</v>
      </c>
      <c r="AO208" s="35" t="s">
        <v>1</v>
      </c>
      <c r="AP208" s="35" t="s">
        <v>1</v>
      </c>
      <c r="AQ208" s="35" t="s">
        <v>2</v>
      </c>
      <c r="AR208" s="34" t="s">
        <v>0</v>
      </c>
      <c r="AS208" s="33"/>
      <c r="AT208" s="30" t="s">
        <v>0</v>
      </c>
      <c r="AU208" s="31"/>
      <c r="AV208" s="30" t="s">
        <v>0</v>
      </c>
      <c r="AW208" s="31"/>
      <c r="AX208" s="30" t="s">
        <v>0</v>
      </c>
      <c r="AY208" s="29"/>
      <c r="AZ208" s="28" t="s">
        <v>0</v>
      </c>
      <c r="BA208" s="27"/>
      <c r="BB208" s="159"/>
      <c r="BC208" s="158"/>
      <c r="BD208" s="24"/>
      <c r="BE208" s="24"/>
      <c r="BF208" s="24"/>
      <c r="BG208" s="24"/>
      <c r="BH208" s="24"/>
      <c r="BI208" s="24"/>
      <c r="BJ208" s="24"/>
      <c r="BK208" s="24"/>
      <c r="BL208" s="24"/>
      <c r="BM208" s="24"/>
      <c r="BN208" s="24"/>
      <c r="BO208" s="24"/>
      <c r="BP208" s="24"/>
      <c r="BQ208" s="21"/>
      <c r="BR208" s="25"/>
      <c r="BS208" s="38"/>
      <c r="BT208" s="37"/>
      <c r="BU208" s="37"/>
      <c r="BV208" s="75"/>
      <c r="BW208" s="75"/>
      <c r="BX208" s="10"/>
      <c r="BY208" s="10"/>
      <c r="BZ208" s="10"/>
      <c r="CA208" s="10"/>
      <c r="CB208" s="75"/>
      <c r="CC208" s="10"/>
      <c r="CD208" s="5"/>
      <c r="CE208" s="134"/>
      <c r="CF208" s="5"/>
      <c r="CG208" s="134"/>
      <c r="CH208" s="25"/>
      <c r="CI208" s="133"/>
      <c r="CJ208" s="133"/>
      <c r="CK208" s="133"/>
      <c r="CL208" s="86"/>
      <c r="CM208" s="25"/>
      <c r="CN208" s="21" t="str">
        <f>IF([1]!BANCO10[[#This Row],[SOLUÇÃO]]=CN$1,[1]!BANCO10[[#This Row],[STATUS DA ETAPA]],"")</f>
        <v/>
      </c>
      <c r="CO208" s="21" t="str">
        <f>IF([1]!BANCO10[[#This Row],[SOLUÇÃO]]=CO$1,[1]!BANCO10[[#This Row],[STATUS DA ETAPA]],"")</f>
        <v/>
      </c>
      <c r="CP208" s="21" t="str">
        <f>IF([1]!BANCO10[[#This Row],[SOLUÇÃO]]=CP$1,[1]!BANCO10[[#This Row],[STATUS DA ETAPA]],"")</f>
        <v/>
      </c>
      <c r="CQ208" s="21" t="str">
        <f>IF([1]!BANCO10[[#This Row],[SOLUÇÃO]]=CQ$1,[1]!BANCO10[[#This Row],[STATUS DA ETAPA]],"")</f>
        <v/>
      </c>
      <c r="CR208" s="21" t="str">
        <f>IF([1]!BANCO10[[#This Row],[SOLUÇÃO]]=CR$1,[1]!BANCO10[[#This Row],[STATUS DA ETAPA]],"")</f>
        <v/>
      </c>
      <c r="CS208" s="21" t="str">
        <f>IF([1]!BANCO10[[#This Row],[SOLUÇÃO]]=CS$1,[1]!BANCO10[[#This Row],[STATUS DA ETAPA]],"")</f>
        <v/>
      </c>
      <c r="CT208" s="21" t="str">
        <f>IF([1]!BANCO10[[#This Row],[SOLUÇÃO]]=CT$1,[1]!BANCO10[[#This Row],[STATUS DA ETAPA]],"")</f>
        <v/>
      </c>
      <c r="CU208" s="21" t="str">
        <f>IF([1]!BANCO10[[#This Row],[SOLUÇÃO]]=CU$1,[1]!BANCO10[[#This Row],[STATUS DA ETAPA]],"")</f>
        <v/>
      </c>
      <c r="CV208" s="21" t="str">
        <f>IF([1]!BANCO10[[#This Row],[SOLUÇÃO]]=CV$1,[1]!BANCO10[[#This Row],[STATUS DA ETAPA]],"")</f>
        <v/>
      </c>
    </row>
    <row r="209" spans="1:100">
      <c r="A209" s="44" t="s">
        <v>1</v>
      </c>
      <c r="B209" s="44"/>
      <c r="C209" s="44" t="s">
        <v>1</v>
      </c>
      <c r="D209" s="44"/>
      <c r="E209" s="44" t="s">
        <v>1</v>
      </c>
      <c r="F209" s="44"/>
      <c r="G209" s="44" t="s">
        <v>1</v>
      </c>
      <c r="H209" s="44"/>
      <c r="I209" s="45" t="s">
        <v>1</v>
      </c>
      <c r="J209" s="46"/>
      <c r="K209" s="45" t="s">
        <v>1</v>
      </c>
      <c r="L209" s="33"/>
      <c r="M209" s="45" t="s">
        <v>1</v>
      </c>
      <c r="N209" s="33"/>
      <c r="O209" s="44" t="s">
        <v>1</v>
      </c>
      <c r="P209" s="44"/>
      <c r="Q209" s="44" t="s">
        <v>1</v>
      </c>
      <c r="R209" s="44"/>
      <c r="S209" s="44" t="s">
        <v>1</v>
      </c>
      <c r="T209" s="44"/>
      <c r="U209" s="44" t="s">
        <v>1</v>
      </c>
      <c r="V209" s="44"/>
      <c r="W209" s="44" t="s">
        <v>1</v>
      </c>
      <c r="X209" s="44"/>
      <c r="Y209" s="44" t="s">
        <v>1</v>
      </c>
      <c r="Z209" s="44"/>
      <c r="AA209" s="44" t="s">
        <v>1</v>
      </c>
      <c r="AB209" s="44"/>
      <c r="AC209" s="51">
        <v>45372</v>
      </c>
      <c r="AD209" s="50">
        <v>45372</v>
      </c>
      <c r="AE209" s="40" t="s">
        <v>1</v>
      </c>
      <c r="AF209" s="40" t="s">
        <v>1</v>
      </c>
      <c r="AG209" s="76" t="s">
        <v>5</v>
      </c>
      <c r="AH209" s="36" t="s">
        <v>1</v>
      </c>
      <c r="AI209" s="49">
        <v>0</v>
      </c>
      <c r="AJ209" s="36" t="s">
        <v>1</v>
      </c>
      <c r="AK209" s="10" t="s">
        <v>1</v>
      </c>
      <c r="AL209" s="36" t="s">
        <v>1</v>
      </c>
      <c r="AM209" s="36" t="s">
        <v>1</v>
      </c>
      <c r="AN209" s="35" t="s">
        <v>1</v>
      </c>
      <c r="AO209" s="35" t="s">
        <v>1</v>
      </c>
      <c r="AP209" s="35" t="s">
        <v>1</v>
      </c>
      <c r="AQ209" s="35" t="s">
        <v>1</v>
      </c>
      <c r="AR209" s="82" t="s">
        <v>1</v>
      </c>
      <c r="AS209" s="33"/>
      <c r="AT209" s="30"/>
      <c r="AU209" s="55"/>
      <c r="AV209" s="30"/>
      <c r="AW209" s="55"/>
      <c r="AX209" s="30" t="s">
        <v>1</v>
      </c>
      <c r="AY209" s="55"/>
      <c r="AZ209" s="30" t="s">
        <v>1</v>
      </c>
      <c r="BA209" s="55"/>
      <c r="BB209" s="74"/>
      <c r="BC209" s="25"/>
      <c r="BD209" s="24" t="s">
        <v>11</v>
      </c>
      <c r="BE209" s="24" t="s">
        <v>11</v>
      </c>
      <c r="BF209" s="24" t="s">
        <v>11</v>
      </c>
      <c r="BG209" s="24" t="s">
        <v>11</v>
      </c>
      <c r="BH209" s="130" t="s">
        <v>11</v>
      </c>
      <c r="BI209" s="24"/>
      <c r="BJ209" s="24" t="s">
        <v>11</v>
      </c>
      <c r="BK209" s="24" t="s">
        <v>11</v>
      </c>
      <c r="BL209" s="24" t="s">
        <v>11</v>
      </c>
      <c r="BM209" s="24" t="s">
        <v>11</v>
      </c>
      <c r="BN209" s="24" t="s">
        <v>11</v>
      </c>
      <c r="BO209" s="24" t="s">
        <v>11</v>
      </c>
      <c r="BP209" s="24" t="s">
        <v>11</v>
      </c>
      <c r="BQ209" s="22">
        <f>YEAR([1]!BANCO10[[#This Row],[DATA INÍCIO]])</f>
        <v>2024</v>
      </c>
      <c r="BR209" s="22">
        <f>MONTH([1]!BANCO10[[#This Row],[DATA INÍCIO]])</f>
        <v>3</v>
      </c>
      <c r="BS209" s="129" t="e">
        <f>CONCATENATE(#REF!,#REF!)</f>
        <v>#REF!</v>
      </c>
      <c r="BT209" s="22"/>
      <c r="BU209" s="21" t="s">
        <v>681</v>
      </c>
      <c r="BV209" s="21" t="str">
        <f>IF([1]!BANCO10[[#This Row],[SOLUÇÃO]]=BV$1,[1]!BANCO10[[#This Row],[STATUS DA ETAPA]],"")</f>
        <v>CONCLUÍDO</v>
      </c>
      <c r="BW209" s="21" t="str">
        <f>IF([1]!BANCO10[[#This Row],[SOLUÇÃO]]=BW$1,[1]!BANCO10[[#This Row],[STATUS DA ETAPA]],"")</f>
        <v/>
      </c>
      <c r="BX209" s="21" t="str">
        <f>IF([1]!BANCO10[[#This Row],[SOLUÇÃO]]=BX$1,[1]!BANCO10[[#This Row],[STATUS DA ETAPA]],"")</f>
        <v/>
      </c>
      <c r="BY209" s="21" t="str">
        <f>IF([1]!BANCO10[[#This Row],[SOLUÇÃO]]=BY$1,[1]!BANCO10[[#This Row],[STATUS DA ETAPA]],"")</f>
        <v/>
      </c>
      <c r="BZ209" s="21" t="str">
        <f>IF([1]!BANCO10[[#This Row],[SOLUÇÃO]]=BZ$1,[1]!BANCO10[[#This Row],[STATUS DA ETAPA]],"")</f>
        <v/>
      </c>
      <c r="CA209" s="21" t="str">
        <f>IF([1]!BANCO10[[#This Row],[SOLUÇÃO]]=CA$1,[1]!BANCO10[[#This Row],[STATUS DA ETAPA]],"")</f>
        <v/>
      </c>
      <c r="CB209" s="21" t="str">
        <f>IF([1]!BANCO10[[#This Row],[SOLUÇÃO]]=CB$1,[1]!BANCO10[[#This Row],[STATUS DA ETAPA]],"")</f>
        <v/>
      </c>
      <c r="CC209" s="21" t="str">
        <f>IF([1]!BANCO10[[#This Row],[SOLUÇÃO]]=CC$1,[1]!BANCO10[[#This Row],[STATUS DA ETAPA]],"")</f>
        <v/>
      </c>
      <c r="CD209" s="21" t="str">
        <f>IF([1]!BANCO10[[#This Row],[SOLUÇÃO]]=CD$1,[1]!BANCO10[[#This Row],[STATUS DA ETAPA]],"")</f>
        <v/>
      </c>
      <c r="CE209" s="21" t="str">
        <f>IF([1]!BANCO10[[#This Row],[SOLUÇÃO]]=CE$1,[1]!BANCO10[[#This Row],[STATUS DA ETAPA]],"")</f>
        <v/>
      </c>
      <c r="CF209" s="21" t="str">
        <f>IF([1]!BANCO10[[#This Row],[SOLUÇÃO]]=CF$1,[1]!BANCO10[[#This Row],[STATUS DA ETAPA]],"")</f>
        <v/>
      </c>
      <c r="CG209" s="21" t="str">
        <f>IF([1]!BANCO10[[#This Row],[SOLUÇÃO]]=CG$1,[1]!BANCO10[[#This Row],[STATUS DA ETAPA]],"")</f>
        <v/>
      </c>
      <c r="CH209" s="21" t="str">
        <f>IF([1]!BANCO10[[#This Row],[SOLUÇÃO]]=CH$1,[1]!BANCO10[[#This Row],[STATUS DA ETAPA]],"")</f>
        <v/>
      </c>
      <c r="CI209" s="21" t="str">
        <f>IF([1]!BANCO10[[#This Row],[SOLUÇÃO]]=CI$1,[1]!BANCO10[[#This Row],[STATUS DA ETAPA]],"")</f>
        <v/>
      </c>
      <c r="CJ209" s="21" t="str">
        <f>IF([1]!BANCO10[[#This Row],[SOLUÇÃO]]=CJ$1,[1]!BANCO10[[#This Row],[STATUS DA ETAPA]],"")</f>
        <v/>
      </c>
      <c r="CK209" s="21" t="str">
        <f>IF([1]!BANCO10[[#This Row],[SOLUÇÃO]]=CK$1,[1]!BANCO10[[#This Row],[STATUS DA ETAPA]],"")</f>
        <v/>
      </c>
      <c r="CL209" s="21" t="str">
        <f>IF([1]!BANCO10[[#This Row],[SOLUÇÃO]]=CL$1,[1]!BANCO10[[#This Row],[STATUS DA ETAPA]],"")</f>
        <v/>
      </c>
      <c r="CM209" s="21" t="str">
        <f>IF([1]!BANCO10[[#This Row],[SOLUÇÃO]]=CM$1,[1]!BANCO10[[#This Row],[STATUS DA ETAPA]],"")</f>
        <v/>
      </c>
      <c r="CN209" s="21" t="str">
        <f>IF([1]!BANCO10[[#This Row],[SOLUÇÃO]]=CN$1,[1]!BANCO10[[#This Row],[STATUS DA ETAPA]],"")</f>
        <v/>
      </c>
      <c r="CO209" s="21" t="str">
        <f>IF([1]!BANCO10[[#This Row],[SOLUÇÃO]]=CO$1,[1]!BANCO10[[#This Row],[STATUS DA ETAPA]],"")</f>
        <v/>
      </c>
      <c r="CP209" s="21" t="str">
        <f>IF([1]!BANCO10[[#This Row],[SOLUÇÃO]]=CP$1,[1]!BANCO10[[#This Row],[STATUS DA ETAPA]],"")</f>
        <v/>
      </c>
      <c r="CQ209" s="21" t="str">
        <f>IF([1]!BANCO10[[#This Row],[SOLUÇÃO]]=CQ$1,[1]!BANCO10[[#This Row],[STATUS DA ETAPA]],"")</f>
        <v/>
      </c>
      <c r="CR209" s="21" t="str">
        <f>IF([1]!BANCO10[[#This Row],[SOLUÇÃO]]=CR$1,[1]!BANCO10[[#This Row],[STATUS DA ETAPA]],"")</f>
        <v/>
      </c>
      <c r="CS209" s="21" t="str">
        <f>IF([1]!BANCO10[[#This Row],[SOLUÇÃO]]=CS$1,[1]!BANCO10[[#This Row],[STATUS DA ETAPA]],"")</f>
        <v/>
      </c>
      <c r="CT209" s="21" t="str">
        <f>IF([1]!BANCO10[[#This Row],[SOLUÇÃO]]=CT$1,[1]!BANCO10[[#This Row],[STATUS DA ETAPA]],"")</f>
        <v/>
      </c>
      <c r="CU209" s="21" t="str">
        <f>IF([1]!BANCO10[[#This Row],[SOLUÇÃO]]=CU$1,[1]!BANCO10[[#This Row],[STATUS DA ETAPA]],"")</f>
        <v/>
      </c>
      <c r="CV209" s="21" t="str">
        <f>IF([1]!BANCO10[[#This Row],[SOLUÇÃO]]=CV$1,[1]!BANCO10[[#This Row],[STATUS DA ETAPA]],"")</f>
        <v/>
      </c>
    </row>
    <row r="210" spans="1:100">
      <c r="A210" s="44" t="s">
        <v>1</v>
      </c>
      <c r="B210" s="44"/>
      <c r="C210" s="44" t="s">
        <v>1</v>
      </c>
      <c r="D210" s="44"/>
      <c r="E210" s="44" t="s">
        <v>1</v>
      </c>
      <c r="F210" s="44"/>
      <c r="G210" s="44" t="s">
        <v>1</v>
      </c>
      <c r="H210" s="44"/>
      <c r="I210" s="45" t="s">
        <v>1</v>
      </c>
      <c r="J210" s="46"/>
      <c r="K210" s="45" t="s">
        <v>1</v>
      </c>
      <c r="L210" s="33"/>
      <c r="M210" s="45" t="s">
        <v>1</v>
      </c>
      <c r="N210" s="33"/>
      <c r="O210" s="44" t="s">
        <v>1</v>
      </c>
      <c r="P210" s="44"/>
      <c r="Q210" s="44" t="s">
        <v>0</v>
      </c>
      <c r="R210" s="44"/>
      <c r="S210" s="44" t="s">
        <v>1</v>
      </c>
      <c r="T210" s="44"/>
      <c r="U210" s="44" t="s">
        <v>1</v>
      </c>
      <c r="V210" s="44"/>
      <c r="W210" s="44" t="s">
        <v>1</v>
      </c>
      <c r="X210" s="44"/>
      <c r="Y210" s="44" t="s">
        <v>1</v>
      </c>
      <c r="Z210" s="44"/>
      <c r="AA210" s="44" t="s">
        <v>1</v>
      </c>
      <c r="AB210" s="44"/>
      <c r="AC210" s="51">
        <v>45822</v>
      </c>
      <c r="AD210" s="50">
        <v>45955</v>
      </c>
      <c r="AE210" s="41" t="s">
        <v>1</v>
      </c>
      <c r="AF210" s="41" t="s">
        <v>1</v>
      </c>
      <c r="AG210" s="40" t="s">
        <v>5</v>
      </c>
      <c r="AH210" s="36" t="s">
        <v>1</v>
      </c>
      <c r="AI210" s="49">
        <v>0</v>
      </c>
      <c r="AJ210" s="36" t="s">
        <v>1</v>
      </c>
      <c r="AK210" s="10" t="s">
        <v>1</v>
      </c>
      <c r="AL210" s="36" t="s">
        <v>1</v>
      </c>
      <c r="AM210" s="36" t="s">
        <v>1</v>
      </c>
      <c r="AN210" s="35" t="s">
        <v>1</v>
      </c>
      <c r="AO210" s="35" t="s">
        <v>1</v>
      </c>
      <c r="AP210" s="35" t="s">
        <v>1</v>
      </c>
      <c r="AQ210" s="35" t="s">
        <v>1</v>
      </c>
      <c r="AR210" s="82" t="s">
        <v>1</v>
      </c>
      <c r="AS210" s="33"/>
      <c r="AT210" s="32" t="s">
        <v>1</v>
      </c>
      <c r="AU210" s="31"/>
      <c r="AV210" s="32" t="s">
        <v>1</v>
      </c>
      <c r="AW210" s="31"/>
      <c r="AX210" s="32" t="s">
        <v>1</v>
      </c>
      <c r="AY210" s="31"/>
      <c r="AZ210" s="32" t="s">
        <v>1</v>
      </c>
      <c r="BA210" s="31"/>
      <c r="BB210" s="74" t="s">
        <v>680</v>
      </c>
      <c r="BC210" s="157" t="s">
        <v>679</v>
      </c>
      <c r="BD210" s="24"/>
      <c r="BE210" s="24"/>
      <c r="BF210" s="24"/>
      <c r="BG210" s="24"/>
      <c r="BH210" s="24"/>
      <c r="BI210" s="24"/>
      <c r="BJ210" s="24"/>
      <c r="BK210" s="24"/>
      <c r="BL210" s="24"/>
      <c r="BM210" s="24"/>
      <c r="BN210" s="24"/>
      <c r="BO210" s="24"/>
      <c r="BP210" s="24"/>
      <c r="BQ210" s="22">
        <f>YEAR([1]!BANCO10[[#This Row],[DATA INÍCIO]])</f>
        <v>2025</v>
      </c>
      <c r="BR210" s="22">
        <f>MONTH([1]!BANCO10[[#This Row],[DATA INÍCIO]])</f>
        <v>6</v>
      </c>
      <c r="BS210" s="23" t="e">
        <f>CONCATENATE(#REF!,#REF!)</f>
        <v>#REF!</v>
      </c>
      <c r="BT210" s="22"/>
      <c r="BU210" s="22"/>
      <c r="BV210" s="21" t="str">
        <f>IF([1]!BANCO10[[#This Row],[SOLUÇÃO]]=BV$1,[1]!BANCO10[[#This Row],[STATUS DA ETAPA]],"")</f>
        <v>CANCELADO</v>
      </c>
      <c r="BW210" s="21" t="str">
        <f>IF([1]!BANCO10[[#This Row],[SOLUÇÃO]]=BW$1,[1]!BANCO10[[#This Row],[STATUS DA ETAPA]],"")</f>
        <v/>
      </c>
      <c r="BX210" s="21" t="str">
        <f>IF([1]!BANCO10[[#This Row],[SOLUÇÃO]]=BX$1,[1]!BANCO10[[#This Row],[STATUS DA ETAPA]],"")</f>
        <v/>
      </c>
      <c r="BY210" s="21" t="str">
        <f>IF([1]!BANCO10[[#This Row],[SOLUÇÃO]]=BY$1,[1]!BANCO10[[#This Row],[STATUS DA ETAPA]],"")</f>
        <v/>
      </c>
      <c r="BZ210" s="21" t="str">
        <f>IF([1]!BANCO10[[#This Row],[SOLUÇÃO]]=BZ$1,[1]!BANCO10[[#This Row],[STATUS DA ETAPA]],"")</f>
        <v/>
      </c>
      <c r="CA210" s="21" t="str">
        <f>IF([1]!BANCO10[[#This Row],[SOLUÇÃO]]=CA$1,[1]!BANCO10[[#This Row],[STATUS DA ETAPA]],"")</f>
        <v/>
      </c>
      <c r="CB210" s="21" t="str">
        <f>IF([1]!BANCO10[[#This Row],[SOLUÇÃO]]=CB$1,[1]!BANCO10[[#This Row],[STATUS DA ETAPA]],"")</f>
        <v/>
      </c>
      <c r="CC210" s="21" t="str">
        <f>IF([1]!BANCO10[[#This Row],[SOLUÇÃO]]=CC$1,[1]!BANCO10[[#This Row],[STATUS DA ETAPA]],"")</f>
        <v/>
      </c>
      <c r="CD210" s="21" t="str">
        <f>IF([1]!BANCO10[[#This Row],[SOLUÇÃO]]=CD$1,[1]!BANCO10[[#This Row],[STATUS DA ETAPA]],"")</f>
        <v/>
      </c>
      <c r="CE210" s="21" t="str">
        <f>IF([1]!BANCO10[[#This Row],[SOLUÇÃO]]=CE$1,[1]!BANCO10[[#This Row],[STATUS DA ETAPA]],"")</f>
        <v/>
      </c>
      <c r="CF210" s="21" t="str">
        <f>IF([1]!BANCO10[[#This Row],[SOLUÇÃO]]=CF$1,[1]!BANCO10[[#This Row],[STATUS DA ETAPA]],"")</f>
        <v/>
      </c>
      <c r="CG210" s="21" t="str">
        <f>IF([1]!BANCO10[[#This Row],[SOLUÇÃO]]=CG$1,[1]!BANCO10[[#This Row],[STATUS DA ETAPA]],"")</f>
        <v/>
      </c>
      <c r="CH210" s="21" t="str">
        <f>IF([1]!BANCO10[[#This Row],[SOLUÇÃO]]=CH$1,[1]!BANCO10[[#This Row],[STATUS DA ETAPA]],"")</f>
        <v/>
      </c>
      <c r="CI210" s="21" t="str">
        <f>IF([1]!BANCO10[[#This Row],[SOLUÇÃO]]=CI$1,[1]!BANCO10[[#This Row],[STATUS DA ETAPA]],"")</f>
        <v/>
      </c>
      <c r="CJ210" s="21" t="str">
        <f>IF([1]!BANCO10[[#This Row],[SOLUÇÃO]]=CJ$1,[1]!BANCO10[[#This Row],[STATUS DA ETAPA]],"")</f>
        <v/>
      </c>
      <c r="CK210" s="21" t="str">
        <f>IF([1]!BANCO10[[#This Row],[SOLUÇÃO]]=CK$1,[1]!BANCO10[[#This Row],[STATUS DA ETAPA]],"")</f>
        <v/>
      </c>
      <c r="CL210" s="21" t="str">
        <f>IF([1]!BANCO10[[#This Row],[SOLUÇÃO]]=CL$1,[1]!BANCO10[[#This Row],[STATUS DA ETAPA]],"")</f>
        <v/>
      </c>
      <c r="CM210" s="21" t="str">
        <f>IF([1]!BANCO10[[#This Row],[SOLUÇÃO]]=CM$1,[1]!BANCO10[[#This Row],[STATUS DA ETAPA]],"")</f>
        <v/>
      </c>
      <c r="CN210" s="21" t="str">
        <f>IF([1]!BANCO10[[#This Row],[SOLUÇÃO]]=CN$1,[1]!BANCO10[[#This Row],[STATUS DA ETAPA]],"")</f>
        <v/>
      </c>
      <c r="CO210" s="21" t="str">
        <f>IF([1]!BANCO10[[#This Row],[SOLUÇÃO]]=CO$1,[1]!BANCO10[[#This Row],[STATUS DA ETAPA]],"")</f>
        <v/>
      </c>
      <c r="CP210" s="21" t="str">
        <f>IF([1]!BANCO10[[#This Row],[SOLUÇÃO]]=CP$1,[1]!BANCO10[[#This Row],[STATUS DA ETAPA]],"")</f>
        <v/>
      </c>
      <c r="CQ210" s="21" t="str">
        <f>IF([1]!BANCO10[[#This Row],[SOLUÇÃO]]=CQ$1,[1]!BANCO10[[#This Row],[STATUS DA ETAPA]],"")</f>
        <v/>
      </c>
      <c r="CR210" s="21" t="str">
        <f>IF([1]!BANCO10[[#This Row],[SOLUÇÃO]]=CR$1,[1]!BANCO10[[#This Row],[STATUS DA ETAPA]],"")</f>
        <v/>
      </c>
      <c r="CS210" s="21" t="str">
        <f>IF([1]!BANCO10[[#This Row],[SOLUÇÃO]]=CS$1,[1]!BANCO10[[#This Row],[STATUS DA ETAPA]],"")</f>
        <v/>
      </c>
      <c r="CT210" s="21" t="str">
        <f>IF([1]!BANCO10[[#This Row],[SOLUÇÃO]]=CT$1,[1]!BANCO10[[#This Row],[STATUS DA ETAPA]],"")</f>
        <v/>
      </c>
      <c r="CU210" s="21" t="str">
        <f>IF([1]!BANCO10[[#This Row],[SOLUÇÃO]]=CU$1,[1]!BANCO10[[#This Row],[STATUS DA ETAPA]],"")</f>
        <v/>
      </c>
      <c r="CV210" s="21" t="str">
        <f>IF([1]!BANCO10[[#This Row],[SOLUÇÃO]]=CV$1,[1]!BANCO10[[#This Row],[STATUS DA ETAPA]],"")</f>
        <v/>
      </c>
    </row>
    <row r="211" spans="1:100">
      <c r="A211" s="44" t="s">
        <v>2</v>
      </c>
      <c r="B211" s="44">
        <v>45757</v>
      </c>
      <c r="C211" s="44" t="s">
        <v>2</v>
      </c>
      <c r="D211" s="44">
        <v>45757</v>
      </c>
      <c r="E211" s="44" t="s">
        <v>2</v>
      </c>
      <c r="F211" s="44">
        <v>45757</v>
      </c>
      <c r="G211" s="44" t="s">
        <v>2</v>
      </c>
      <c r="H211" s="44">
        <v>45757</v>
      </c>
      <c r="I211" s="45" t="s">
        <v>2</v>
      </c>
      <c r="J211" s="46">
        <v>45757</v>
      </c>
      <c r="K211" s="45" t="s">
        <v>0</v>
      </c>
      <c r="L211" s="33"/>
      <c r="M211" s="45" t="s">
        <v>0</v>
      </c>
      <c r="N211" s="33"/>
      <c r="O211" s="44" t="s">
        <v>1</v>
      </c>
      <c r="P211" s="44"/>
      <c r="Q211" s="44" t="s">
        <v>1</v>
      </c>
      <c r="R211" s="44"/>
      <c r="S211" s="44" t="s">
        <v>2</v>
      </c>
      <c r="T211" s="44">
        <v>45708</v>
      </c>
      <c r="U211" s="44" t="s">
        <v>1</v>
      </c>
      <c r="V211" s="44"/>
      <c r="W211" s="44" t="s">
        <v>1</v>
      </c>
      <c r="X211" s="44"/>
      <c r="Y211" s="44" t="s">
        <v>1</v>
      </c>
      <c r="Z211" s="44"/>
      <c r="AA211" s="44" t="s">
        <v>1</v>
      </c>
      <c r="AB211" s="44"/>
      <c r="AC211" s="51">
        <v>46022</v>
      </c>
      <c r="AD211" s="50">
        <v>46022</v>
      </c>
      <c r="AE211" s="41" t="s">
        <v>0</v>
      </c>
      <c r="AF211" s="41" t="s">
        <v>0</v>
      </c>
      <c r="AG211" s="40" t="s">
        <v>5</v>
      </c>
      <c r="AH211" s="36" t="s">
        <v>0</v>
      </c>
      <c r="AI211" s="49">
        <v>20140</v>
      </c>
      <c r="AJ211" s="36" t="s">
        <v>3</v>
      </c>
      <c r="AK211" s="21" t="s">
        <v>1</v>
      </c>
      <c r="AL211" s="36" t="s">
        <v>1</v>
      </c>
      <c r="AM211" s="36" t="s">
        <v>1</v>
      </c>
      <c r="AN211" s="52" t="s">
        <v>0</v>
      </c>
      <c r="AO211" s="52" t="s">
        <v>0</v>
      </c>
      <c r="AP211" s="52" t="s">
        <v>0</v>
      </c>
      <c r="AQ211" s="52" t="s">
        <v>0</v>
      </c>
      <c r="AR211" s="34" t="s">
        <v>0</v>
      </c>
      <c r="AS211" s="33"/>
      <c r="AT211" s="32" t="s">
        <v>0</v>
      </c>
      <c r="AU211" s="31"/>
      <c r="AV211" s="32" t="s">
        <v>0</v>
      </c>
      <c r="AW211" s="31"/>
      <c r="AX211" s="32" t="s">
        <v>0</v>
      </c>
      <c r="AY211" s="31"/>
      <c r="AZ211" s="32" t="s">
        <v>0</v>
      </c>
      <c r="BA211" s="31"/>
      <c r="BB211" s="26" t="s">
        <v>7</v>
      </c>
      <c r="BC211" s="25"/>
      <c r="BD211" s="24"/>
      <c r="BE211" s="24"/>
      <c r="BF211" s="24"/>
      <c r="BG211" s="24"/>
      <c r="BH211" s="24"/>
      <c r="BI211" s="24"/>
      <c r="BJ211" s="24"/>
      <c r="BK211" s="24"/>
      <c r="BL211" s="24"/>
      <c r="BM211" s="24"/>
      <c r="BN211" s="24"/>
      <c r="BO211" s="24"/>
      <c r="BP211" s="24"/>
      <c r="BQ211" s="22">
        <f>YEAR([1]!BANCO10[[#This Row],[DATA INÍCIO]])</f>
        <v>2025</v>
      </c>
      <c r="BR211" s="22">
        <f>MONTH([1]!BANCO10[[#This Row],[DATA INÍCIO]])</f>
        <v>12</v>
      </c>
      <c r="BS211" s="23" t="e">
        <f>CONCATENATE(#REF!,#REF!)</f>
        <v>#REF!</v>
      </c>
      <c r="BT211" s="22"/>
      <c r="BU211" s="22"/>
      <c r="BV211" s="21" t="str">
        <f>IF([1]!BANCO10[[#This Row],[SOLUÇÃO]]=BV$1,[1]!BANCO10[[#This Row],[STATUS DA ETAPA]],"")</f>
        <v/>
      </c>
      <c r="BW211" s="21" t="str">
        <f>IF([1]!BANCO10[[#This Row],[SOLUÇÃO]]=BW$1,[1]!BANCO10[[#This Row],[STATUS DA ETAPA]],"")</f>
        <v/>
      </c>
      <c r="BX211" s="21" t="str">
        <f>IF([1]!BANCO10[[#This Row],[SOLUÇÃO]]=BX$1,[1]!BANCO10[[#This Row],[STATUS DA ETAPA]],"")</f>
        <v/>
      </c>
      <c r="BY211" s="21" t="str">
        <f>IF([1]!BANCO10[[#This Row],[SOLUÇÃO]]=BY$1,[1]!BANCO10[[#This Row],[STATUS DA ETAPA]],"")</f>
        <v/>
      </c>
      <c r="BZ211" s="21" t="str">
        <f>IF([1]!BANCO10[[#This Row],[SOLUÇÃO]]=BZ$1,[1]!BANCO10[[#This Row],[STATUS DA ETAPA]],"")</f>
        <v/>
      </c>
      <c r="CA211" s="21" t="str">
        <f>IF([1]!BANCO10[[#This Row],[SOLUÇÃO]]=CA$1,[1]!BANCO10[[#This Row],[STATUS DA ETAPA]],"")</f>
        <v/>
      </c>
      <c r="CB211" s="21" t="str">
        <f>IF([1]!BANCO10[[#This Row],[SOLUÇÃO]]=CB$1,[1]!BANCO10[[#This Row],[STATUS DA ETAPA]],"")</f>
        <v>AGUARDANDO SALDO</v>
      </c>
      <c r="CC211" s="21" t="str">
        <f>IF([1]!BANCO10[[#This Row],[SOLUÇÃO]]=CC$1,[1]!BANCO10[[#This Row],[STATUS DA ETAPA]],"")</f>
        <v/>
      </c>
      <c r="CD211" s="21" t="str">
        <f>IF([1]!BANCO10[[#This Row],[SOLUÇÃO]]=CD$1,[1]!BANCO10[[#This Row],[STATUS DA ETAPA]],"")</f>
        <v/>
      </c>
      <c r="CE211" s="21" t="str">
        <f>IF([1]!BANCO10[[#This Row],[SOLUÇÃO]]=CE$1,[1]!BANCO10[[#This Row],[STATUS DA ETAPA]],"")</f>
        <v/>
      </c>
      <c r="CF211" s="21" t="str">
        <f>IF([1]!BANCO10[[#This Row],[SOLUÇÃO]]=CF$1,[1]!BANCO10[[#This Row],[STATUS DA ETAPA]],"")</f>
        <v/>
      </c>
      <c r="CG211" s="21" t="str">
        <f>IF([1]!BANCO10[[#This Row],[SOLUÇÃO]]=CG$1,[1]!BANCO10[[#This Row],[STATUS DA ETAPA]],"")</f>
        <v/>
      </c>
      <c r="CH211" s="21" t="str">
        <f>IF([1]!BANCO10[[#This Row],[SOLUÇÃO]]=CH$1,[1]!BANCO10[[#This Row],[STATUS DA ETAPA]],"")</f>
        <v/>
      </c>
      <c r="CI211" s="21" t="str">
        <f>IF([1]!BANCO10[[#This Row],[SOLUÇÃO]]=CI$1,[1]!BANCO10[[#This Row],[STATUS DA ETAPA]],"")</f>
        <v/>
      </c>
      <c r="CJ211" s="21" t="str">
        <f>IF([1]!BANCO10[[#This Row],[SOLUÇÃO]]=CJ$1,[1]!BANCO10[[#This Row],[STATUS DA ETAPA]],"")</f>
        <v/>
      </c>
      <c r="CK211" s="21" t="str">
        <f>IF([1]!BANCO10[[#This Row],[SOLUÇÃO]]=CK$1,[1]!BANCO10[[#This Row],[STATUS DA ETAPA]],"")</f>
        <v/>
      </c>
      <c r="CL211" s="21" t="str">
        <f>IF([1]!BANCO10[[#This Row],[SOLUÇÃO]]=CL$1,[1]!BANCO10[[#This Row],[STATUS DA ETAPA]],"")</f>
        <v/>
      </c>
      <c r="CM211" s="21" t="str">
        <f>IF([1]!BANCO10[[#This Row],[SOLUÇÃO]]=CM$1,[1]!BANCO10[[#This Row],[STATUS DA ETAPA]],"")</f>
        <v/>
      </c>
      <c r="CN211" s="21" t="str">
        <f>IF([1]!BANCO10[[#This Row],[SOLUÇÃO]]=CN$1,[1]!BANCO10[[#This Row],[STATUS DA ETAPA]],"")</f>
        <v/>
      </c>
      <c r="CO211" s="21" t="str">
        <f>IF([1]!BANCO10[[#This Row],[SOLUÇÃO]]=CO$1,[1]!BANCO10[[#This Row],[STATUS DA ETAPA]],"")</f>
        <v/>
      </c>
      <c r="CP211" s="21" t="str">
        <f>IF([1]!BANCO10[[#This Row],[SOLUÇÃO]]=CP$1,[1]!BANCO10[[#This Row],[STATUS DA ETAPA]],"")</f>
        <v/>
      </c>
      <c r="CQ211" s="21" t="str">
        <f>IF([1]!BANCO10[[#This Row],[SOLUÇÃO]]=CQ$1,[1]!BANCO10[[#This Row],[STATUS DA ETAPA]],"")</f>
        <v/>
      </c>
      <c r="CR211" s="21" t="str">
        <f>IF([1]!BANCO10[[#This Row],[SOLUÇÃO]]=CR$1,[1]!BANCO10[[#This Row],[STATUS DA ETAPA]],"")</f>
        <v/>
      </c>
      <c r="CS211" s="21" t="str">
        <f>IF([1]!BANCO10[[#This Row],[SOLUÇÃO]]=CS$1,[1]!BANCO10[[#This Row],[STATUS DA ETAPA]],"")</f>
        <v/>
      </c>
      <c r="CT211" s="21" t="str">
        <f>IF([1]!BANCO10[[#This Row],[SOLUÇÃO]]=CT$1,[1]!BANCO10[[#This Row],[STATUS DA ETAPA]],"")</f>
        <v/>
      </c>
      <c r="CU211" s="21" t="str">
        <f>IF([1]!BANCO10[[#This Row],[SOLUÇÃO]]=CU$1,[1]!BANCO10[[#This Row],[STATUS DA ETAPA]],"")</f>
        <v/>
      </c>
      <c r="CV211" s="21" t="str">
        <f>IF([1]!BANCO10[[#This Row],[SOLUÇÃO]]=CV$1,[1]!BANCO10[[#This Row],[STATUS DA ETAPA]],"")</f>
        <v/>
      </c>
    </row>
    <row r="212" spans="1:100">
      <c r="A212" s="44" t="s">
        <v>1</v>
      </c>
      <c r="B212" s="44"/>
      <c r="C212" s="44" t="s">
        <v>1</v>
      </c>
      <c r="D212" s="44"/>
      <c r="E212" s="44" t="s">
        <v>1</v>
      </c>
      <c r="F212" s="44"/>
      <c r="G212" s="44" t="s">
        <v>1</v>
      </c>
      <c r="H212" s="44"/>
      <c r="I212" s="45" t="s">
        <v>1</v>
      </c>
      <c r="J212" s="46"/>
      <c r="K212" s="45" t="s">
        <v>1</v>
      </c>
      <c r="L212" s="33"/>
      <c r="M212" s="45" t="s">
        <v>1</v>
      </c>
      <c r="N212" s="33"/>
      <c r="O212" s="44" t="s">
        <v>2</v>
      </c>
      <c r="P212" s="44">
        <v>44742</v>
      </c>
      <c r="Q212" s="44" t="s">
        <v>0</v>
      </c>
      <c r="R212" s="44"/>
      <c r="S212" s="44" t="s">
        <v>1</v>
      </c>
      <c r="T212" s="44"/>
      <c r="U212" s="44" t="s">
        <v>1</v>
      </c>
      <c r="V212" s="44"/>
      <c r="W212" s="44" t="s">
        <v>1</v>
      </c>
      <c r="X212" s="44"/>
      <c r="Y212" s="44" t="s">
        <v>1</v>
      </c>
      <c r="Z212" s="44"/>
      <c r="AA212" s="44" t="s">
        <v>1</v>
      </c>
      <c r="AB212" s="44"/>
      <c r="AC212" s="51">
        <v>44742</v>
      </c>
      <c r="AD212" s="51">
        <v>44742</v>
      </c>
      <c r="AE212" s="40" t="s">
        <v>1</v>
      </c>
      <c r="AF212" s="40" t="s">
        <v>1</v>
      </c>
      <c r="AG212" s="76" t="s">
        <v>5</v>
      </c>
      <c r="AH212" s="36" t="s">
        <v>1</v>
      </c>
      <c r="AI212" s="49">
        <v>0</v>
      </c>
      <c r="AJ212" s="36" t="s">
        <v>1</v>
      </c>
      <c r="AK212" s="10" t="s">
        <v>1</v>
      </c>
      <c r="AL212" s="36" t="s">
        <v>1</v>
      </c>
      <c r="AM212" s="36" t="s">
        <v>1</v>
      </c>
      <c r="AN212" s="35" t="s">
        <v>1</v>
      </c>
      <c r="AO212" s="35" t="s">
        <v>1</v>
      </c>
      <c r="AP212" s="35" t="s">
        <v>1</v>
      </c>
      <c r="AQ212" s="35" t="s">
        <v>1</v>
      </c>
      <c r="AR212" s="82" t="s">
        <v>1</v>
      </c>
      <c r="AS212" s="33"/>
      <c r="AT212" s="32" t="s">
        <v>1</v>
      </c>
      <c r="AU212" s="31"/>
      <c r="AV212" s="32" t="s">
        <v>1</v>
      </c>
      <c r="AW212" s="31"/>
      <c r="AX212" s="30" t="s">
        <v>1</v>
      </c>
      <c r="AY212" s="55"/>
      <c r="AZ212" s="30" t="s">
        <v>1</v>
      </c>
      <c r="BA212" s="55"/>
      <c r="BB212" s="74"/>
      <c r="BC212" s="25"/>
      <c r="BD212" s="24" t="s">
        <v>11</v>
      </c>
      <c r="BE212" s="24" t="s">
        <v>11</v>
      </c>
      <c r="BF212" s="24" t="s">
        <v>21</v>
      </c>
      <c r="BG212" s="24" t="s">
        <v>11</v>
      </c>
      <c r="BH212" s="130" t="s">
        <v>18</v>
      </c>
      <c r="BI212" s="24" t="s">
        <v>21</v>
      </c>
      <c r="BJ212" s="24" t="s">
        <v>11</v>
      </c>
      <c r="BK212" s="24" t="s">
        <v>11</v>
      </c>
      <c r="BL212" s="24" t="s">
        <v>11</v>
      </c>
      <c r="BM212" s="24" t="s">
        <v>11</v>
      </c>
      <c r="BN212" s="24" t="s">
        <v>11</v>
      </c>
      <c r="BO212" s="24" t="s">
        <v>11</v>
      </c>
      <c r="BP212" s="24" t="s">
        <v>11</v>
      </c>
      <c r="BQ212" s="22">
        <f>YEAR([1]!BANCO10[[#This Row],[DATA INÍCIO]])</f>
        <v>2022</v>
      </c>
      <c r="BR212" s="22">
        <f>MONTH([1]!BANCO10[[#This Row],[DATA INÍCIO]])</f>
        <v>6</v>
      </c>
      <c r="BS212" s="129" t="e">
        <f>CONCATENATE(#REF!,#REF!)</f>
        <v>#REF!</v>
      </c>
      <c r="BT212" s="22"/>
      <c r="BU212" s="21" t="s">
        <v>678</v>
      </c>
      <c r="BV212" s="21" t="str">
        <f>IF([1]!BANCO10[[#This Row],[SOLUÇÃO]]=BV$1,[1]!BANCO10[[#This Row],[STATUS DA ETAPA]],"")</f>
        <v>CONCLUÍDO</v>
      </c>
      <c r="BW212" s="21" t="str">
        <f>IF([1]!BANCO10[[#This Row],[SOLUÇÃO]]=BW$1,[1]!BANCO10[[#This Row],[STATUS DA ETAPA]],"")</f>
        <v/>
      </c>
      <c r="BX212" s="21" t="str">
        <f>IF([1]!BANCO10[[#This Row],[SOLUÇÃO]]=BX$1,[1]!BANCO10[[#This Row],[STATUS DA ETAPA]],"")</f>
        <v/>
      </c>
      <c r="BY212" s="21" t="str">
        <f>IF([1]!BANCO10[[#This Row],[SOLUÇÃO]]=BY$1,[1]!BANCO10[[#This Row],[STATUS DA ETAPA]],"")</f>
        <v/>
      </c>
      <c r="BZ212" s="21" t="str">
        <f>IF([1]!BANCO10[[#This Row],[SOLUÇÃO]]=BZ$1,[1]!BANCO10[[#This Row],[STATUS DA ETAPA]],"")</f>
        <v/>
      </c>
      <c r="CA212" s="21" t="str">
        <f>IF([1]!BANCO10[[#This Row],[SOLUÇÃO]]=CA$1,[1]!BANCO10[[#This Row],[STATUS DA ETAPA]],"")</f>
        <v/>
      </c>
      <c r="CB212" s="21" t="str">
        <f>IF([1]!BANCO10[[#This Row],[SOLUÇÃO]]=CB$1,[1]!BANCO10[[#This Row],[STATUS DA ETAPA]],"")</f>
        <v/>
      </c>
      <c r="CC212" s="21" t="str">
        <f>IF([1]!BANCO10[[#This Row],[SOLUÇÃO]]=CC$1,[1]!BANCO10[[#This Row],[STATUS DA ETAPA]],"")</f>
        <v/>
      </c>
      <c r="CD212" s="21" t="str">
        <f>IF([1]!BANCO10[[#This Row],[SOLUÇÃO]]=CD$1,[1]!BANCO10[[#This Row],[STATUS DA ETAPA]],"")</f>
        <v/>
      </c>
      <c r="CE212" s="21" t="str">
        <f>IF([1]!BANCO10[[#This Row],[SOLUÇÃO]]=CE$1,[1]!BANCO10[[#This Row],[STATUS DA ETAPA]],"")</f>
        <v/>
      </c>
      <c r="CF212" s="21" t="str">
        <f>IF([1]!BANCO10[[#This Row],[SOLUÇÃO]]=CF$1,[1]!BANCO10[[#This Row],[STATUS DA ETAPA]],"")</f>
        <v/>
      </c>
      <c r="CG212" s="21" t="str">
        <f>IF([1]!BANCO10[[#This Row],[SOLUÇÃO]]=CG$1,[1]!BANCO10[[#This Row],[STATUS DA ETAPA]],"")</f>
        <v/>
      </c>
      <c r="CH212" s="21" t="str">
        <f>IF([1]!BANCO10[[#This Row],[SOLUÇÃO]]=CH$1,[1]!BANCO10[[#This Row],[STATUS DA ETAPA]],"")</f>
        <v/>
      </c>
      <c r="CI212" s="21" t="str">
        <f>IF([1]!BANCO10[[#This Row],[SOLUÇÃO]]=CI$1,[1]!BANCO10[[#This Row],[STATUS DA ETAPA]],"")</f>
        <v/>
      </c>
      <c r="CJ212" s="21" t="str">
        <f>IF([1]!BANCO10[[#This Row],[SOLUÇÃO]]=CJ$1,[1]!BANCO10[[#This Row],[STATUS DA ETAPA]],"")</f>
        <v/>
      </c>
      <c r="CK212" s="21" t="str">
        <f>IF([1]!BANCO10[[#This Row],[SOLUÇÃO]]=CK$1,[1]!BANCO10[[#This Row],[STATUS DA ETAPA]],"")</f>
        <v/>
      </c>
      <c r="CL212" s="21" t="str">
        <f>IF([1]!BANCO10[[#This Row],[SOLUÇÃO]]=CL$1,[1]!BANCO10[[#This Row],[STATUS DA ETAPA]],"")</f>
        <v/>
      </c>
      <c r="CM212" s="21" t="str">
        <f>IF([1]!BANCO10[[#This Row],[SOLUÇÃO]]=CM$1,[1]!BANCO10[[#This Row],[STATUS DA ETAPA]],"")</f>
        <v/>
      </c>
      <c r="CN212" s="21" t="str">
        <f>IF([1]!BANCO10[[#This Row],[SOLUÇÃO]]=CN$1,[1]!BANCO10[[#This Row],[STATUS DA ETAPA]],"")</f>
        <v/>
      </c>
      <c r="CO212" s="21" t="str">
        <f>IF([1]!BANCO10[[#This Row],[SOLUÇÃO]]=CO$1,[1]!BANCO10[[#This Row],[STATUS DA ETAPA]],"")</f>
        <v/>
      </c>
      <c r="CP212" s="21" t="str">
        <f>IF([1]!BANCO10[[#This Row],[SOLUÇÃO]]=CP$1,[1]!BANCO10[[#This Row],[STATUS DA ETAPA]],"")</f>
        <v/>
      </c>
      <c r="CQ212" s="21" t="str">
        <f>IF([1]!BANCO10[[#This Row],[SOLUÇÃO]]=CQ$1,[1]!BANCO10[[#This Row],[STATUS DA ETAPA]],"")</f>
        <v/>
      </c>
      <c r="CR212" s="21" t="str">
        <f>IF([1]!BANCO10[[#This Row],[SOLUÇÃO]]=CR$1,[1]!BANCO10[[#This Row],[STATUS DA ETAPA]],"")</f>
        <v/>
      </c>
      <c r="CS212" s="21" t="str">
        <f>IF([1]!BANCO10[[#This Row],[SOLUÇÃO]]=CS$1,[1]!BANCO10[[#This Row],[STATUS DA ETAPA]],"")</f>
        <v/>
      </c>
      <c r="CT212" s="21" t="str">
        <f>IF([1]!BANCO10[[#This Row],[SOLUÇÃO]]=CT$1,[1]!BANCO10[[#This Row],[STATUS DA ETAPA]],"")</f>
        <v/>
      </c>
      <c r="CU212" s="21" t="str">
        <f>IF([1]!BANCO10[[#This Row],[SOLUÇÃO]]=CU$1,[1]!BANCO10[[#This Row],[STATUS DA ETAPA]],"")</f>
        <v/>
      </c>
      <c r="CV212" s="21" t="str">
        <f>IF([1]!BANCO10[[#This Row],[SOLUÇÃO]]=CV$1,[1]!BANCO10[[#This Row],[STATUS DA ETAPA]],"")</f>
        <v/>
      </c>
    </row>
    <row r="213" spans="1:100">
      <c r="A213" s="44" t="s">
        <v>1</v>
      </c>
      <c r="B213" s="44"/>
      <c r="C213" s="44" t="s">
        <v>1</v>
      </c>
      <c r="D213" s="44"/>
      <c r="E213" s="44" t="s">
        <v>1</v>
      </c>
      <c r="F213" s="44"/>
      <c r="G213" s="44" t="s">
        <v>1</v>
      </c>
      <c r="H213" s="44"/>
      <c r="I213" s="45" t="s">
        <v>1</v>
      </c>
      <c r="J213" s="46"/>
      <c r="K213" s="45" t="s">
        <v>1</v>
      </c>
      <c r="L213" s="33"/>
      <c r="M213" s="45" t="s">
        <v>1</v>
      </c>
      <c r="N213" s="33"/>
      <c r="O213" s="44" t="s">
        <v>2</v>
      </c>
      <c r="P213" s="44">
        <v>44742</v>
      </c>
      <c r="Q213" s="44" t="s">
        <v>2</v>
      </c>
      <c r="R213" s="44">
        <v>44742</v>
      </c>
      <c r="S213" s="44" t="s">
        <v>2</v>
      </c>
      <c r="T213" s="44">
        <v>45005</v>
      </c>
      <c r="U213" s="44" t="s">
        <v>2</v>
      </c>
      <c r="V213" s="44">
        <v>45005</v>
      </c>
      <c r="W213" s="44" t="s">
        <v>2</v>
      </c>
      <c r="X213" s="44"/>
      <c r="Y213" s="44" t="s">
        <v>2</v>
      </c>
      <c r="Z213" s="44">
        <v>45007</v>
      </c>
      <c r="AA213" s="44" t="s">
        <v>2</v>
      </c>
      <c r="AB213" s="44"/>
      <c r="AC213" s="51">
        <v>45030</v>
      </c>
      <c r="AD213" s="50">
        <v>45119</v>
      </c>
      <c r="AE213" s="40" t="s">
        <v>2</v>
      </c>
      <c r="AF213" s="40" t="s">
        <v>2</v>
      </c>
      <c r="AG213" s="76" t="s">
        <v>5</v>
      </c>
      <c r="AH213" s="36" t="s">
        <v>0</v>
      </c>
      <c r="AI213" s="49">
        <v>0</v>
      </c>
      <c r="AJ213" s="36"/>
      <c r="AK213" s="10"/>
      <c r="AL213" s="36">
        <v>4731</v>
      </c>
      <c r="AM213" s="36" t="s">
        <v>1</v>
      </c>
      <c r="AN213" s="35" t="s">
        <v>1</v>
      </c>
      <c r="AO213" s="35" t="s">
        <v>1</v>
      </c>
      <c r="AP213" s="35" t="s">
        <v>2</v>
      </c>
      <c r="AQ213" s="35" t="s">
        <v>1</v>
      </c>
      <c r="AR213" s="34" t="s">
        <v>1</v>
      </c>
      <c r="AS213" s="33"/>
      <c r="AT213" s="32" t="s">
        <v>1</v>
      </c>
      <c r="AU213" s="31"/>
      <c r="AV213" s="32" t="s">
        <v>1</v>
      </c>
      <c r="AW213" s="31"/>
      <c r="AX213" s="30" t="s">
        <v>2</v>
      </c>
      <c r="AY213" s="55">
        <v>45133</v>
      </c>
      <c r="AZ213" s="30" t="s">
        <v>0</v>
      </c>
      <c r="BA213" s="55"/>
      <c r="BB213" s="74"/>
      <c r="BC213" s="25"/>
      <c r="BD213" s="24" t="s">
        <v>11</v>
      </c>
      <c r="BE213" s="24" t="s">
        <v>11</v>
      </c>
      <c r="BF213" s="24" t="s">
        <v>21</v>
      </c>
      <c r="BG213" s="24" t="s">
        <v>11</v>
      </c>
      <c r="BH213" s="130" t="s">
        <v>18</v>
      </c>
      <c r="BI213" s="24" t="s">
        <v>21</v>
      </c>
      <c r="BJ213" s="24" t="s">
        <v>11</v>
      </c>
      <c r="BK213" s="24" t="s">
        <v>11</v>
      </c>
      <c r="BL213" s="24">
        <v>45402</v>
      </c>
      <c r="BM213" s="24" t="s">
        <v>18</v>
      </c>
      <c r="BN213" s="24" t="s">
        <v>11</v>
      </c>
      <c r="BO213" s="24"/>
      <c r="BP213" s="24" t="s">
        <v>677</v>
      </c>
      <c r="BQ213" s="22">
        <f>YEAR([1]!BANCO10[[#This Row],[DATA INÍCIO]])</f>
        <v>2023</v>
      </c>
      <c r="BR213" s="22">
        <f>MONTH([1]!BANCO10[[#This Row],[DATA INÍCIO]])</f>
        <v>4</v>
      </c>
      <c r="BS213" s="129" t="e">
        <f>CONCATENATE(#REF!,#REF!)</f>
        <v>#REF!</v>
      </c>
      <c r="BT213" s="22"/>
      <c r="BU213" s="21" t="s">
        <v>676</v>
      </c>
      <c r="BV213" s="21" t="str">
        <f>IF([1]!BANCO10[[#This Row],[SOLUÇÃO]]=BV$1,[1]!BANCO10[[#This Row],[STATUS DA ETAPA]],"")</f>
        <v/>
      </c>
      <c r="BW213" s="21" t="str">
        <f>IF([1]!BANCO10[[#This Row],[SOLUÇÃO]]=BW$1,[1]!BANCO10[[#This Row],[STATUS DA ETAPA]],"")</f>
        <v/>
      </c>
      <c r="BX213" s="21" t="str">
        <f>IF([1]!BANCO10[[#This Row],[SOLUÇÃO]]=BX$1,[1]!BANCO10[[#This Row],[STATUS DA ETAPA]],"")</f>
        <v/>
      </c>
      <c r="BY213" s="21" t="str">
        <f>IF([1]!BANCO10[[#This Row],[SOLUÇÃO]]=BY$1,[1]!BANCO10[[#This Row],[STATUS DA ETAPA]],"")</f>
        <v/>
      </c>
      <c r="BZ213" s="21" t="str">
        <f>IF([1]!BANCO10[[#This Row],[SOLUÇÃO]]=BZ$1,[1]!BANCO10[[#This Row],[STATUS DA ETAPA]],"")</f>
        <v/>
      </c>
      <c r="CA213" s="21" t="str">
        <f>IF([1]!BANCO10[[#This Row],[SOLUÇÃO]]=CA$1,[1]!BANCO10[[#This Row],[STATUS DA ETAPA]],"")</f>
        <v>CONCLUÍDO</v>
      </c>
      <c r="CB213" s="21" t="str">
        <f>IF([1]!BANCO10[[#This Row],[SOLUÇÃO]]=CB$1,[1]!BANCO10[[#This Row],[STATUS DA ETAPA]],"")</f>
        <v/>
      </c>
      <c r="CC213" s="21" t="str">
        <f>IF([1]!BANCO10[[#This Row],[SOLUÇÃO]]=CC$1,[1]!BANCO10[[#This Row],[STATUS DA ETAPA]],"")</f>
        <v/>
      </c>
      <c r="CD213" s="21" t="str">
        <f>IF([1]!BANCO10[[#This Row],[SOLUÇÃO]]=CD$1,[1]!BANCO10[[#This Row],[STATUS DA ETAPA]],"")</f>
        <v/>
      </c>
      <c r="CE213" s="21" t="str">
        <f>IF([1]!BANCO10[[#This Row],[SOLUÇÃO]]=CE$1,[1]!BANCO10[[#This Row],[STATUS DA ETAPA]],"")</f>
        <v/>
      </c>
      <c r="CF213" s="21" t="str">
        <f>IF([1]!BANCO10[[#This Row],[SOLUÇÃO]]=CF$1,[1]!BANCO10[[#This Row],[STATUS DA ETAPA]],"")</f>
        <v/>
      </c>
      <c r="CG213" s="21" t="str">
        <f>IF([1]!BANCO10[[#This Row],[SOLUÇÃO]]=CG$1,[1]!BANCO10[[#This Row],[STATUS DA ETAPA]],"")</f>
        <v/>
      </c>
      <c r="CH213" s="21" t="str">
        <f>IF([1]!BANCO10[[#This Row],[SOLUÇÃO]]=CH$1,[1]!BANCO10[[#This Row],[STATUS DA ETAPA]],"")</f>
        <v/>
      </c>
      <c r="CI213" s="21" t="str">
        <f>IF([1]!BANCO10[[#This Row],[SOLUÇÃO]]=CI$1,[1]!BANCO10[[#This Row],[STATUS DA ETAPA]],"")</f>
        <v/>
      </c>
      <c r="CJ213" s="21" t="str">
        <f>IF([1]!BANCO10[[#This Row],[SOLUÇÃO]]=CJ$1,[1]!BANCO10[[#This Row],[STATUS DA ETAPA]],"")</f>
        <v/>
      </c>
      <c r="CK213" s="21" t="str">
        <f>IF([1]!BANCO10[[#This Row],[SOLUÇÃO]]=CK$1,[1]!BANCO10[[#This Row],[STATUS DA ETAPA]],"")</f>
        <v/>
      </c>
      <c r="CL213" s="21" t="str">
        <f>IF([1]!BANCO10[[#This Row],[SOLUÇÃO]]=CL$1,[1]!BANCO10[[#This Row],[STATUS DA ETAPA]],"")</f>
        <v/>
      </c>
      <c r="CM213" s="21" t="str">
        <f>IF([1]!BANCO10[[#This Row],[SOLUÇÃO]]=CM$1,[1]!BANCO10[[#This Row],[STATUS DA ETAPA]],"")</f>
        <v/>
      </c>
      <c r="CN213" s="21" t="str">
        <f>IF([1]!BANCO10[[#This Row],[SOLUÇÃO]]=CN$1,[1]!BANCO10[[#This Row],[STATUS DA ETAPA]],"")</f>
        <v/>
      </c>
      <c r="CO213" s="21" t="str">
        <f>IF([1]!BANCO10[[#This Row],[SOLUÇÃO]]=CO$1,[1]!BANCO10[[#This Row],[STATUS DA ETAPA]],"")</f>
        <v/>
      </c>
      <c r="CP213" s="21" t="str">
        <f>IF([1]!BANCO10[[#This Row],[SOLUÇÃO]]=CP$1,[1]!BANCO10[[#This Row],[STATUS DA ETAPA]],"")</f>
        <v/>
      </c>
      <c r="CQ213" s="21" t="str">
        <f>IF([1]!BANCO10[[#This Row],[SOLUÇÃO]]=CQ$1,[1]!BANCO10[[#This Row],[STATUS DA ETAPA]],"")</f>
        <v/>
      </c>
      <c r="CR213" s="21" t="str">
        <f>IF([1]!BANCO10[[#This Row],[SOLUÇÃO]]=CR$1,[1]!BANCO10[[#This Row],[STATUS DA ETAPA]],"")</f>
        <v/>
      </c>
      <c r="CS213" s="21" t="str">
        <f>IF([1]!BANCO10[[#This Row],[SOLUÇÃO]]=CS$1,[1]!BANCO10[[#This Row],[STATUS DA ETAPA]],"")</f>
        <v/>
      </c>
      <c r="CT213" s="21" t="str">
        <f>IF([1]!BANCO10[[#This Row],[SOLUÇÃO]]=CT$1,[1]!BANCO10[[#This Row],[STATUS DA ETAPA]],"")</f>
        <v/>
      </c>
      <c r="CU213" s="21" t="str">
        <f>IF([1]!BANCO10[[#This Row],[SOLUÇÃO]]=CU$1,[1]!BANCO10[[#This Row],[STATUS DA ETAPA]],"")</f>
        <v/>
      </c>
      <c r="CV213" s="21" t="str">
        <f>IF([1]!BANCO10[[#This Row],[SOLUÇÃO]]=CV$1,[1]!BANCO10[[#This Row],[STATUS DA ETAPA]],"")</f>
        <v/>
      </c>
    </row>
    <row r="214" spans="1:100">
      <c r="A214" s="44" t="s">
        <v>1</v>
      </c>
      <c r="B214" s="44"/>
      <c r="C214" s="44" t="s">
        <v>1</v>
      </c>
      <c r="D214" s="44"/>
      <c r="E214" s="44" t="s">
        <v>1</v>
      </c>
      <c r="F214" s="44"/>
      <c r="G214" s="44" t="s">
        <v>1</v>
      </c>
      <c r="H214" s="44"/>
      <c r="I214" s="45" t="s">
        <v>1</v>
      </c>
      <c r="J214" s="46"/>
      <c r="K214" s="45" t="s">
        <v>1</v>
      </c>
      <c r="L214" s="33"/>
      <c r="M214" s="45" t="s">
        <v>1</v>
      </c>
      <c r="N214" s="33"/>
      <c r="O214" s="44" t="s">
        <v>1</v>
      </c>
      <c r="P214" s="44"/>
      <c r="Q214" s="44" t="s">
        <v>1</v>
      </c>
      <c r="R214" s="44"/>
      <c r="S214" s="44" t="s">
        <v>1</v>
      </c>
      <c r="T214" s="44"/>
      <c r="U214" s="44" t="s">
        <v>2</v>
      </c>
      <c r="V214" s="44">
        <v>45617</v>
      </c>
      <c r="W214" s="44" t="s">
        <v>2</v>
      </c>
      <c r="X214" s="44">
        <v>45617</v>
      </c>
      <c r="Y214" s="44" t="s">
        <v>2</v>
      </c>
      <c r="Z214" s="44">
        <v>45617</v>
      </c>
      <c r="AA214" s="44" t="s">
        <v>2</v>
      </c>
      <c r="AB214" s="44">
        <v>45589</v>
      </c>
      <c r="AC214" s="84">
        <v>45635</v>
      </c>
      <c r="AD214" s="50">
        <v>45736</v>
      </c>
      <c r="AE214" s="41" t="s">
        <v>2</v>
      </c>
      <c r="AF214" s="41" t="s">
        <v>2</v>
      </c>
      <c r="AG214" s="76" t="s">
        <v>4</v>
      </c>
      <c r="AH214" s="36" t="s">
        <v>0</v>
      </c>
      <c r="AI214" s="49">
        <v>0</v>
      </c>
      <c r="AJ214" s="36" t="s">
        <v>6</v>
      </c>
      <c r="AK214" s="10" t="s">
        <v>675</v>
      </c>
      <c r="AL214" s="36" t="s">
        <v>89</v>
      </c>
      <c r="AM214" s="36" t="s">
        <v>674</v>
      </c>
      <c r="AN214" s="35" t="s">
        <v>1</v>
      </c>
      <c r="AO214" s="35" t="s">
        <v>1</v>
      </c>
      <c r="AP214" s="35" t="s">
        <v>2</v>
      </c>
      <c r="AQ214" s="35" t="s">
        <v>1</v>
      </c>
      <c r="AR214" s="34" t="s">
        <v>1</v>
      </c>
      <c r="AS214" s="33"/>
      <c r="AT214" s="30" t="s">
        <v>0</v>
      </c>
      <c r="AU214" s="31"/>
      <c r="AV214" s="32" t="s">
        <v>0</v>
      </c>
      <c r="AW214" s="31"/>
      <c r="AX214" s="32" t="s">
        <v>0</v>
      </c>
      <c r="AY214" s="31"/>
      <c r="AZ214" s="32" t="s">
        <v>0</v>
      </c>
      <c r="BA214" s="31"/>
      <c r="BB214" s="39"/>
      <c r="BC214" s="25" t="s">
        <v>162</v>
      </c>
      <c r="BD214" s="24"/>
      <c r="BE214" s="24"/>
      <c r="BF214" s="79"/>
      <c r="BG214" s="79"/>
      <c r="BH214" s="80"/>
      <c r="BI214" s="79"/>
      <c r="BJ214" s="54"/>
      <c r="BK214" s="78"/>
      <c r="BL214" s="69"/>
      <c r="BM214" s="78"/>
      <c r="BN214" s="78"/>
      <c r="BO214" s="78"/>
      <c r="BP214" s="78"/>
      <c r="BQ214" s="21">
        <f>YEAR([1]!BANCO10[[#This Row],[DATA INÍCIO]])</f>
        <v>2024</v>
      </c>
      <c r="BR214" s="21">
        <f>MONTH([1]!BANCO10[[#This Row],[DATA INÍCIO]])</f>
        <v>12</v>
      </c>
      <c r="BS214" s="21" t="e">
        <f>CONCATENATE(#REF!,#REF!)</f>
        <v>#REF!</v>
      </c>
      <c r="BT214" s="21"/>
      <c r="BU214" s="21"/>
      <c r="BV214" s="21" t="str">
        <f>IF([1]!BANCO10[[#This Row],[SOLUÇÃO]]=BV$1,[1]!BANCO10[[#This Row],[STATUS DA ETAPA]],"")</f>
        <v/>
      </c>
      <c r="BW214" s="21" t="str">
        <f>IF([1]!BANCO10[[#This Row],[SOLUÇÃO]]=BW$1,[1]!BANCO10[[#This Row],[STATUS DA ETAPA]],"")</f>
        <v/>
      </c>
      <c r="BX214" s="21" t="str">
        <f>IF([1]!BANCO10[[#This Row],[SOLUÇÃO]]=BX$1,[1]!BANCO10[[#This Row],[STATUS DA ETAPA]],"")</f>
        <v>CONCLUÍDO</v>
      </c>
      <c r="BY214" s="21" t="str">
        <f>IF([1]!BANCO10[[#This Row],[SOLUÇÃO]]=BY$1,[1]!BANCO10[[#This Row],[STATUS DA ETAPA]],"")</f>
        <v/>
      </c>
      <c r="BZ214" s="21" t="str">
        <f>IF([1]!BANCO10[[#This Row],[SOLUÇÃO]]=BZ$1,[1]!BANCO10[[#This Row],[STATUS DA ETAPA]],"")</f>
        <v/>
      </c>
      <c r="CA214" s="21" t="str">
        <f>IF([1]!BANCO10[[#This Row],[SOLUÇÃO]]=CA$1,[1]!BANCO10[[#This Row],[STATUS DA ETAPA]],"")</f>
        <v/>
      </c>
      <c r="CB214" s="21" t="str">
        <f>IF([1]!BANCO10[[#This Row],[SOLUÇÃO]]=CB$1,[1]!BANCO10[[#This Row],[STATUS DA ETAPA]],"")</f>
        <v/>
      </c>
      <c r="CC214" s="21" t="str">
        <f>IF([1]!BANCO10[[#This Row],[SOLUÇÃO]]=CC$1,[1]!BANCO10[[#This Row],[STATUS DA ETAPA]],"")</f>
        <v/>
      </c>
      <c r="CD214" s="21" t="str">
        <f>IF([1]!BANCO10[[#This Row],[SOLUÇÃO]]=CD$1,[1]!BANCO10[[#This Row],[STATUS DA ETAPA]],"")</f>
        <v/>
      </c>
      <c r="CE214" s="21" t="str">
        <f>IF([1]!BANCO10[[#This Row],[SOLUÇÃO]]=CE$1,[1]!BANCO10[[#This Row],[STATUS DA ETAPA]],"")</f>
        <v/>
      </c>
      <c r="CF214" s="21" t="str">
        <f>IF([1]!BANCO10[[#This Row],[SOLUÇÃO]]=CF$1,[1]!BANCO10[[#This Row],[STATUS DA ETAPA]],"")</f>
        <v/>
      </c>
      <c r="CG214" s="21" t="str">
        <f>IF([1]!BANCO10[[#This Row],[SOLUÇÃO]]=CG$1,[1]!BANCO10[[#This Row],[STATUS DA ETAPA]],"")</f>
        <v/>
      </c>
      <c r="CH214" s="21" t="str">
        <f>IF([1]!BANCO10[[#This Row],[SOLUÇÃO]]=CH$1,[1]!BANCO10[[#This Row],[STATUS DA ETAPA]],"")</f>
        <v/>
      </c>
      <c r="CI214" s="21" t="str">
        <f>IF([1]!BANCO10[[#This Row],[SOLUÇÃO]]=CI$1,[1]!BANCO10[[#This Row],[STATUS DA ETAPA]],"")</f>
        <v/>
      </c>
      <c r="CJ214" s="21" t="str">
        <f>IF([1]!BANCO10[[#This Row],[SOLUÇÃO]]=CJ$1,[1]!BANCO10[[#This Row],[STATUS DA ETAPA]],"")</f>
        <v/>
      </c>
      <c r="CK214" s="21" t="str">
        <f>IF([1]!BANCO10[[#This Row],[SOLUÇÃO]]=CK$1,[1]!BANCO10[[#This Row],[STATUS DA ETAPA]],"")</f>
        <v/>
      </c>
      <c r="CL214" s="22" t="str">
        <f>IF([1]!BANCO10[[#This Row],[SOLUÇÃO]]=CL$1,[1]!BANCO10[[#This Row],[STATUS DA ETAPA]],"")</f>
        <v/>
      </c>
      <c r="CM214" s="64" t="str">
        <f>IF([1]!BANCO10[[#This Row],[SOLUÇÃO]]=CM$1,[1]!BANCO10[[#This Row],[STATUS DA ETAPA]],"")</f>
        <v/>
      </c>
      <c r="CN214" s="64" t="str">
        <f>IF([1]!BANCO10[[#This Row],[SOLUÇÃO]]=CN$1,[1]!BANCO10[[#This Row],[STATUS DA ETAPA]],"")</f>
        <v/>
      </c>
      <c r="CO214" s="64" t="str">
        <f>IF([1]!BANCO10[[#This Row],[SOLUÇÃO]]=CO$1,[1]!BANCO10[[#This Row],[STATUS DA ETAPA]],"")</f>
        <v/>
      </c>
      <c r="CP214" s="64" t="str">
        <f>IF([1]!BANCO10[[#This Row],[SOLUÇÃO]]=CP$1,[1]!BANCO10[[#This Row],[STATUS DA ETAPA]],"")</f>
        <v/>
      </c>
      <c r="CQ214" s="64" t="str">
        <f>IF([1]!BANCO10[[#This Row],[SOLUÇÃO]]=CQ$1,[1]!BANCO10[[#This Row],[STATUS DA ETAPA]],"")</f>
        <v/>
      </c>
      <c r="CR214" s="64" t="str">
        <f>IF([1]!BANCO10[[#This Row],[SOLUÇÃO]]=CR$1,[1]!BANCO10[[#This Row],[STATUS DA ETAPA]],"")</f>
        <v/>
      </c>
      <c r="CS214" s="64" t="str">
        <f>IF([1]!BANCO10[[#This Row],[SOLUÇÃO]]=CS$1,[1]!BANCO10[[#This Row],[STATUS DA ETAPA]],"")</f>
        <v/>
      </c>
      <c r="CT214" s="64" t="str">
        <f>IF([1]!BANCO10[[#This Row],[SOLUÇÃO]]=CT$1,[1]!BANCO10[[#This Row],[STATUS DA ETAPA]],"")</f>
        <v/>
      </c>
      <c r="CU214" s="64" t="str">
        <f>IF([1]!BANCO10[[#This Row],[SOLUÇÃO]]=CU$1,[1]!BANCO10[[#This Row],[STATUS DA ETAPA]],"")</f>
        <v/>
      </c>
      <c r="CV214" s="64" t="str">
        <f>IF([1]!BANCO10[[#This Row],[SOLUÇÃO]]=CV$1,[1]!BANCO10[[#This Row],[STATUS DA ETAPA]],"")</f>
        <v/>
      </c>
    </row>
    <row r="215" spans="1:100">
      <c r="A215" s="44" t="s">
        <v>1</v>
      </c>
      <c r="B215" s="44"/>
      <c r="C215" s="44" t="s">
        <v>1</v>
      </c>
      <c r="D215" s="44"/>
      <c r="E215" s="44" t="s">
        <v>1</v>
      </c>
      <c r="F215" s="44"/>
      <c r="G215" s="44" t="s">
        <v>1</v>
      </c>
      <c r="H215" s="44"/>
      <c r="I215" s="45" t="s">
        <v>1</v>
      </c>
      <c r="J215" s="46"/>
      <c r="K215" s="45" t="s">
        <v>1</v>
      </c>
      <c r="L215" s="33"/>
      <c r="M215" s="45" t="s">
        <v>1</v>
      </c>
      <c r="N215" s="33"/>
      <c r="O215" s="44" t="s">
        <v>2</v>
      </c>
      <c r="P215" s="44">
        <v>45134</v>
      </c>
      <c r="Q215" s="44" t="s">
        <v>0</v>
      </c>
      <c r="R215" s="44"/>
      <c r="S215" s="44" t="s">
        <v>1</v>
      </c>
      <c r="T215" s="44"/>
      <c r="U215" s="44" t="s">
        <v>1</v>
      </c>
      <c r="V215" s="44"/>
      <c r="W215" s="44" t="s">
        <v>1</v>
      </c>
      <c r="X215" s="44"/>
      <c r="Y215" s="44" t="s">
        <v>1</v>
      </c>
      <c r="Z215" s="44"/>
      <c r="AA215" s="44" t="s">
        <v>1</v>
      </c>
      <c r="AB215" s="44"/>
      <c r="AC215" s="51">
        <v>45132</v>
      </c>
      <c r="AD215" s="51">
        <v>45132</v>
      </c>
      <c r="AE215" s="40" t="s">
        <v>1</v>
      </c>
      <c r="AF215" s="40" t="s">
        <v>1</v>
      </c>
      <c r="AG215" s="76" t="s">
        <v>5</v>
      </c>
      <c r="AH215" s="36" t="s">
        <v>1</v>
      </c>
      <c r="AI215" s="49">
        <v>0</v>
      </c>
      <c r="AJ215" s="36" t="s">
        <v>1</v>
      </c>
      <c r="AK215" s="10" t="s">
        <v>1</v>
      </c>
      <c r="AL215" s="36" t="s">
        <v>1</v>
      </c>
      <c r="AM215" s="36" t="s">
        <v>1</v>
      </c>
      <c r="AN215" s="35" t="s">
        <v>1</v>
      </c>
      <c r="AO215" s="35" t="s">
        <v>1</v>
      </c>
      <c r="AP215" s="35" t="s">
        <v>1</v>
      </c>
      <c r="AQ215" s="35" t="s">
        <v>1</v>
      </c>
      <c r="AR215" s="82" t="s">
        <v>1</v>
      </c>
      <c r="AS215" s="33"/>
      <c r="AT215" s="32" t="s">
        <v>1</v>
      </c>
      <c r="AU215" s="31"/>
      <c r="AV215" s="32" t="s">
        <v>1</v>
      </c>
      <c r="AW215" s="31"/>
      <c r="AX215" s="30" t="s">
        <v>1</v>
      </c>
      <c r="AY215" s="55"/>
      <c r="AZ215" s="30" t="s">
        <v>1</v>
      </c>
      <c r="BA215" s="55"/>
      <c r="BB215" s="74" t="s">
        <v>672</v>
      </c>
      <c r="BC215" s="25"/>
      <c r="BD215" s="24" t="s">
        <v>671</v>
      </c>
      <c r="BE215" s="24" t="s">
        <v>19</v>
      </c>
      <c r="BF215" s="24" t="s">
        <v>51</v>
      </c>
      <c r="BG215" s="24" t="s">
        <v>11</v>
      </c>
      <c r="BH215" s="130" t="s">
        <v>18</v>
      </c>
      <c r="BI215" s="24" t="s">
        <v>51</v>
      </c>
      <c r="BJ215" s="24" t="s">
        <v>11</v>
      </c>
      <c r="BK215" s="24" t="s">
        <v>11</v>
      </c>
      <c r="BL215" s="24" t="s">
        <v>11</v>
      </c>
      <c r="BM215" s="24" t="s">
        <v>11</v>
      </c>
      <c r="BN215" s="24" t="s">
        <v>11</v>
      </c>
      <c r="BO215" s="24" t="s">
        <v>11</v>
      </c>
      <c r="BP215" s="24" t="s">
        <v>11</v>
      </c>
      <c r="BQ215" s="22">
        <f>YEAR([1]!BANCO10[[#This Row],[DATA INÍCIO]])</f>
        <v>2023</v>
      </c>
      <c r="BR215" s="22">
        <f>MONTH([1]!BANCO10[[#This Row],[DATA INÍCIO]])</f>
        <v>7</v>
      </c>
      <c r="BS215" s="129" t="e">
        <f>CONCATENATE(#REF!,#REF!)</f>
        <v>#REF!</v>
      </c>
      <c r="BT215" s="22"/>
      <c r="BU215" s="21" t="s">
        <v>673</v>
      </c>
      <c r="BV215" s="21" t="str">
        <f>IF([1]!BANCO10[[#This Row],[SOLUÇÃO]]=BV$1,[1]!BANCO10[[#This Row],[STATUS DA ETAPA]],"")</f>
        <v>CONCLUÍDO</v>
      </c>
      <c r="BW215" s="21" t="str">
        <f>IF([1]!BANCO10[[#This Row],[SOLUÇÃO]]=BW$1,[1]!BANCO10[[#This Row],[STATUS DA ETAPA]],"")</f>
        <v/>
      </c>
      <c r="BX215" s="21" t="str">
        <f>IF([1]!BANCO10[[#This Row],[SOLUÇÃO]]=BX$1,[1]!BANCO10[[#This Row],[STATUS DA ETAPA]],"")</f>
        <v/>
      </c>
      <c r="BY215" s="21" t="str">
        <f>IF([1]!BANCO10[[#This Row],[SOLUÇÃO]]=BY$1,[1]!BANCO10[[#This Row],[STATUS DA ETAPA]],"")</f>
        <v/>
      </c>
      <c r="BZ215" s="21" t="str">
        <f>IF([1]!BANCO10[[#This Row],[SOLUÇÃO]]=BZ$1,[1]!BANCO10[[#This Row],[STATUS DA ETAPA]],"")</f>
        <v/>
      </c>
      <c r="CA215" s="21" t="str">
        <f>IF([1]!BANCO10[[#This Row],[SOLUÇÃO]]=CA$1,[1]!BANCO10[[#This Row],[STATUS DA ETAPA]],"")</f>
        <v/>
      </c>
      <c r="CB215" s="21" t="str">
        <f>IF([1]!BANCO10[[#This Row],[SOLUÇÃO]]=CB$1,[1]!BANCO10[[#This Row],[STATUS DA ETAPA]],"")</f>
        <v/>
      </c>
      <c r="CC215" s="21" t="str">
        <f>IF([1]!BANCO10[[#This Row],[SOLUÇÃO]]=CC$1,[1]!BANCO10[[#This Row],[STATUS DA ETAPA]],"")</f>
        <v/>
      </c>
      <c r="CD215" s="21" t="str">
        <f>IF([1]!BANCO10[[#This Row],[SOLUÇÃO]]=CD$1,[1]!BANCO10[[#This Row],[STATUS DA ETAPA]],"")</f>
        <v/>
      </c>
      <c r="CE215" s="21" t="str">
        <f>IF([1]!BANCO10[[#This Row],[SOLUÇÃO]]=CE$1,[1]!BANCO10[[#This Row],[STATUS DA ETAPA]],"")</f>
        <v/>
      </c>
      <c r="CF215" s="21" t="str">
        <f>IF([1]!BANCO10[[#This Row],[SOLUÇÃO]]=CF$1,[1]!BANCO10[[#This Row],[STATUS DA ETAPA]],"")</f>
        <v/>
      </c>
      <c r="CG215" s="21" t="str">
        <f>IF([1]!BANCO10[[#This Row],[SOLUÇÃO]]=CG$1,[1]!BANCO10[[#This Row],[STATUS DA ETAPA]],"")</f>
        <v/>
      </c>
      <c r="CH215" s="21" t="str">
        <f>IF([1]!BANCO10[[#This Row],[SOLUÇÃO]]=CH$1,[1]!BANCO10[[#This Row],[STATUS DA ETAPA]],"")</f>
        <v/>
      </c>
      <c r="CI215" s="21" t="str">
        <f>IF([1]!BANCO10[[#This Row],[SOLUÇÃO]]=CI$1,[1]!BANCO10[[#This Row],[STATUS DA ETAPA]],"")</f>
        <v/>
      </c>
      <c r="CJ215" s="21" t="str">
        <f>IF([1]!BANCO10[[#This Row],[SOLUÇÃO]]=CJ$1,[1]!BANCO10[[#This Row],[STATUS DA ETAPA]],"")</f>
        <v/>
      </c>
      <c r="CK215" s="21" t="str">
        <f>IF([1]!BANCO10[[#This Row],[SOLUÇÃO]]=CK$1,[1]!BANCO10[[#This Row],[STATUS DA ETAPA]],"")</f>
        <v/>
      </c>
      <c r="CL215" s="21" t="str">
        <f>IF([1]!BANCO10[[#This Row],[SOLUÇÃO]]=CL$1,[1]!BANCO10[[#This Row],[STATUS DA ETAPA]],"")</f>
        <v/>
      </c>
      <c r="CM215" s="21" t="str">
        <f>IF([1]!BANCO10[[#This Row],[SOLUÇÃO]]=CM$1,[1]!BANCO10[[#This Row],[STATUS DA ETAPA]],"")</f>
        <v/>
      </c>
      <c r="CN215" s="21" t="str">
        <f>IF([1]!BANCO10[[#This Row],[SOLUÇÃO]]=CN$1,[1]!BANCO10[[#This Row],[STATUS DA ETAPA]],"")</f>
        <v/>
      </c>
      <c r="CO215" s="21" t="str">
        <f>IF([1]!BANCO10[[#This Row],[SOLUÇÃO]]=CO$1,[1]!BANCO10[[#This Row],[STATUS DA ETAPA]],"")</f>
        <v/>
      </c>
      <c r="CP215" s="21" t="str">
        <f>IF([1]!BANCO10[[#This Row],[SOLUÇÃO]]=CP$1,[1]!BANCO10[[#This Row],[STATUS DA ETAPA]],"")</f>
        <v/>
      </c>
      <c r="CQ215" s="21" t="str">
        <f>IF([1]!BANCO10[[#This Row],[SOLUÇÃO]]=CQ$1,[1]!BANCO10[[#This Row],[STATUS DA ETAPA]],"")</f>
        <v/>
      </c>
      <c r="CR215" s="21" t="str">
        <f>IF([1]!BANCO10[[#This Row],[SOLUÇÃO]]=CR$1,[1]!BANCO10[[#This Row],[STATUS DA ETAPA]],"")</f>
        <v/>
      </c>
      <c r="CS215" s="21" t="str">
        <f>IF([1]!BANCO10[[#This Row],[SOLUÇÃO]]=CS$1,[1]!BANCO10[[#This Row],[STATUS DA ETAPA]],"")</f>
        <v/>
      </c>
      <c r="CT215" s="21" t="str">
        <f>IF([1]!BANCO10[[#This Row],[SOLUÇÃO]]=CT$1,[1]!BANCO10[[#This Row],[STATUS DA ETAPA]],"")</f>
        <v/>
      </c>
      <c r="CU215" s="21" t="str">
        <f>IF([1]!BANCO10[[#This Row],[SOLUÇÃO]]=CU$1,[1]!BANCO10[[#This Row],[STATUS DA ETAPA]],"")</f>
        <v/>
      </c>
      <c r="CV215" s="21" t="str">
        <f>IF([1]!BANCO10[[#This Row],[SOLUÇÃO]]=CV$1,[1]!BANCO10[[#This Row],[STATUS DA ETAPA]],"")</f>
        <v/>
      </c>
    </row>
    <row r="216" spans="1:100">
      <c r="A216" s="44" t="s">
        <v>1</v>
      </c>
      <c r="B216" s="44"/>
      <c r="C216" s="44" t="s">
        <v>1</v>
      </c>
      <c r="D216" s="44"/>
      <c r="E216" s="44" t="s">
        <v>1</v>
      </c>
      <c r="F216" s="44"/>
      <c r="G216" s="44" t="s">
        <v>1</v>
      </c>
      <c r="H216" s="44"/>
      <c r="I216" s="45" t="s">
        <v>1</v>
      </c>
      <c r="J216" s="46"/>
      <c r="K216" s="45" t="s">
        <v>1</v>
      </c>
      <c r="L216" s="33"/>
      <c r="M216" s="45" t="s">
        <v>1</v>
      </c>
      <c r="N216" s="33"/>
      <c r="O216" s="44" t="s">
        <v>2</v>
      </c>
      <c r="P216" s="44">
        <v>45134</v>
      </c>
      <c r="Q216" s="44" t="s">
        <v>2</v>
      </c>
      <c r="R216" s="44">
        <v>45159</v>
      </c>
      <c r="S216" s="44" t="s">
        <v>2</v>
      </c>
      <c r="T216" s="44">
        <v>45184</v>
      </c>
      <c r="U216" s="44" t="s">
        <v>2</v>
      </c>
      <c r="V216" s="44"/>
      <c r="W216" s="44"/>
      <c r="X216" s="44"/>
      <c r="Y216" s="44"/>
      <c r="Z216" s="44"/>
      <c r="AA216" s="44" t="s">
        <v>1</v>
      </c>
      <c r="AB216" s="44"/>
      <c r="AC216" s="51">
        <v>45963</v>
      </c>
      <c r="AD216" s="50">
        <v>45963</v>
      </c>
      <c r="AE216" s="41" t="s">
        <v>1</v>
      </c>
      <c r="AF216" s="41" t="s">
        <v>1</v>
      </c>
      <c r="AG216" s="76" t="s">
        <v>5</v>
      </c>
      <c r="AH216" s="36" t="s">
        <v>0</v>
      </c>
      <c r="AI216" s="49">
        <v>0</v>
      </c>
      <c r="AJ216" s="36"/>
      <c r="AK216" s="10" t="s">
        <v>30</v>
      </c>
      <c r="AL216" s="36" t="s">
        <v>30</v>
      </c>
      <c r="AM216" s="36" t="s">
        <v>30</v>
      </c>
      <c r="AN216" s="35" t="s">
        <v>1</v>
      </c>
      <c r="AO216" s="35" t="s">
        <v>1</v>
      </c>
      <c r="AP216" s="35"/>
      <c r="AQ216" s="35" t="s">
        <v>1</v>
      </c>
      <c r="AR216" s="34" t="s">
        <v>1</v>
      </c>
      <c r="AS216" s="33"/>
      <c r="AT216" s="32"/>
      <c r="AU216" s="31"/>
      <c r="AV216" s="32"/>
      <c r="AW216" s="31"/>
      <c r="AX216" s="30" t="s">
        <v>0</v>
      </c>
      <c r="AY216" s="29"/>
      <c r="AZ216" s="28" t="s">
        <v>0</v>
      </c>
      <c r="BA216" s="27"/>
      <c r="BB216" s="74" t="s">
        <v>672</v>
      </c>
      <c r="BC216" s="25"/>
      <c r="BD216" s="24" t="s">
        <v>671</v>
      </c>
      <c r="BE216" s="24" t="s">
        <v>19</v>
      </c>
      <c r="BF216" s="24" t="s">
        <v>51</v>
      </c>
      <c r="BG216" s="24" t="s">
        <v>11</v>
      </c>
      <c r="BH216" s="130" t="s">
        <v>18</v>
      </c>
      <c r="BI216" s="24" t="s">
        <v>51</v>
      </c>
      <c r="BJ216" s="24" t="s">
        <v>11</v>
      </c>
      <c r="BK216" s="24" t="s">
        <v>11</v>
      </c>
      <c r="BL216" s="24">
        <v>45402</v>
      </c>
      <c r="BM216" s="24" t="s">
        <v>18</v>
      </c>
      <c r="BN216" s="24" t="s">
        <v>11</v>
      </c>
      <c r="BO216" s="24"/>
      <c r="BP216" s="24" t="s">
        <v>670</v>
      </c>
      <c r="BQ216" s="22">
        <f>YEAR([1]!BANCO10[[#This Row],[DATA INÍCIO]])</f>
        <v>2025</v>
      </c>
      <c r="BR216" s="22">
        <f>MONTH([1]!BANCO10[[#This Row],[DATA INÍCIO]])</f>
        <v>11</v>
      </c>
      <c r="BS216" s="129" t="e">
        <f>CONCATENATE(#REF!,#REF!)</f>
        <v>#REF!</v>
      </c>
      <c r="BT216" s="22"/>
      <c r="BU216" s="21" t="s">
        <v>30</v>
      </c>
      <c r="BV216" s="21" t="str">
        <f>IF([1]!BANCO10[[#This Row],[SOLUÇÃO]]=BV$1,[1]!BANCO10[[#This Row],[STATUS DA ETAPA]],"")</f>
        <v/>
      </c>
      <c r="BW216" s="21" t="str">
        <f>IF([1]!BANCO10[[#This Row],[SOLUÇÃO]]=BW$1,[1]!BANCO10[[#This Row],[STATUS DA ETAPA]],"")</f>
        <v/>
      </c>
      <c r="BX216" s="21" t="str">
        <f>IF([1]!BANCO10[[#This Row],[SOLUÇÃO]]=BX$1,[1]!BANCO10[[#This Row],[STATUS DA ETAPA]],"")</f>
        <v/>
      </c>
      <c r="BY216" s="21" t="str">
        <f>IF([1]!BANCO10[[#This Row],[SOLUÇÃO]]=BY$1,[1]!BANCO10[[#This Row],[STATUS DA ETAPA]],"")</f>
        <v/>
      </c>
      <c r="BZ216" s="21" t="str">
        <f>IF([1]!BANCO10[[#This Row],[SOLUÇÃO]]=BZ$1,[1]!BANCO10[[#This Row],[STATUS DA ETAPA]],"")</f>
        <v/>
      </c>
      <c r="CA216" s="21" t="str">
        <f>IF([1]!BANCO10[[#This Row],[SOLUÇÃO]]=CA$1,[1]!BANCO10[[#This Row],[STATUS DA ETAPA]],"")</f>
        <v>PROSPECÇÃO</v>
      </c>
      <c r="CB216" s="21" t="str">
        <f>IF([1]!BANCO10[[#This Row],[SOLUÇÃO]]=CB$1,[1]!BANCO10[[#This Row],[STATUS DA ETAPA]],"")</f>
        <v/>
      </c>
      <c r="CC216" s="21" t="str">
        <f>IF([1]!BANCO10[[#This Row],[SOLUÇÃO]]=CC$1,[1]!BANCO10[[#This Row],[STATUS DA ETAPA]],"")</f>
        <v/>
      </c>
      <c r="CD216" s="21" t="str">
        <f>IF([1]!BANCO10[[#This Row],[SOLUÇÃO]]=CD$1,[1]!BANCO10[[#This Row],[STATUS DA ETAPA]],"")</f>
        <v/>
      </c>
      <c r="CE216" s="21" t="str">
        <f>IF([1]!BANCO10[[#This Row],[SOLUÇÃO]]=CE$1,[1]!BANCO10[[#This Row],[STATUS DA ETAPA]],"")</f>
        <v/>
      </c>
      <c r="CF216" s="21" t="str">
        <f>IF([1]!BANCO10[[#This Row],[SOLUÇÃO]]=CF$1,[1]!BANCO10[[#This Row],[STATUS DA ETAPA]],"")</f>
        <v/>
      </c>
      <c r="CG216" s="21" t="str">
        <f>IF([1]!BANCO10[[#This Row],[SOLUÇÃO]]=CG$1,[1]!BANCO10[[#This Row],[STATUS DA ETAPA]],"")</f>
        <v/>
      </c>
      <c r="CH216" s="21" t="str">
        <f>IF([1]!BANCO10[[#This Row],[SOLUÇÃO]]=CH$1,[1]!BANCO10[[#This Row],[STATUS DA ETAPA]],"")</f>
        <v/>
      </c>
      <c r="CI216" s="21" t="str">
        <f>IF([1]!BANCO10[[#This Row],[SOLUÇÃO]]=CI$1,[1]!BANCO10[[#This Row],[STATUS DA ETAPA]],"")</f>
        <v/>
      </c>
      <c r="CJ216" s="21" t="str">
        <f>IF([1]!BANCO10[[#This Row],[SOLUÇÃO]]=CJ$1,[1]!BANCO10[[#This Row],[STATUS DA ETAPA]],"")</f>
        <v/>
      </c>
      <c r="CK216" s="21" t="str">
        <f>IF([1]!BANCO10[[#This Row],[SOLUÇÃO]]=CK$1,[1]!BANCO10[[#This Row],[STATUS DA ETAPA]],"")</f>
        <v/>
      </c>
      <c r="CL216" s="21" t="str">
        <f>IF([1]!BANCO10[[#This Row],[SOLUÇÃO]]=CL$1,[1]!BANCO10[[#This Row],[STATUS DA ETAPA]],"")</f>
        <v/>
      </c>
      <c r="CM216" s="21" t="str">
        <f>IF([1]!BANCO10[[#This Row],[SOLUÇÃO]]=CM$1,[1]!BANCO10[[#This Row],[STATUS DA ETAPA]],"")</f>
        <v/>
      </c>
      <c r="CN216" s="21" t="str">
        <f>IF([1]!BANCO10[[#This Row],[SOLUÇÃO]]=CN$1,[1]!BANCO10[[#This Row],[STATUS DA ETAPA]],"")</f>
        <v/>
      </c>
      <c r="CO216" s="21" t="str">
        <f>IF([1]!BANCO10[[#This Row],[SOLUÇÃO]]=CO$1,[1]!BANCO10[[#This Row],[STATUS DA ETAPA]],"")</f>
        <v/>
      </c>
      <c r="CP216" s="21" t="str">
        <f>IF([1]!BANCO10[[#This Row],[SOLUÇÃO]]=CP$1,[1]!BANCO10[[#This Row],[STATUS DA ETAPA]],"")</f>
        <v/>
      </c>
      <c r="CQ216" s="21" t="str">
        <f>IF([1]!BANCO10[[#This Row],[SOLUÇÃO]]=CQ$1,[1]!BANCO10[[#This Row],[STATUS DA ETAPA]],"")</f>
        <v/>
      </c>
      <c r="CR216" s="21" t="str">
        <f>IF([1]!BANCO10[[#This Row],[SOLUÇÃO]]=CR$1,[1]!BANCO10[[#This Row],[STATUS DA ETAPA]],"")</f>
        <v/>
      </c>
      <c r="CS216" s="21" t="str">
        <f>IF([1]!BANCO10[[#This Row],[SOLUÇÃO]]=CS$1,[1]!BANCO10[[#This Row],[STATUS DA ETAPA]],"")</f>
        <v/>
      </c>
      <c r="CT216" s="21" t="str">
        <f>IF([1]!BANCO10[[#This Row],[SOLUÇÃO]]=CT$1,[1]!BANCO10[[#This Row],[STATUS DA ETAPA]],"")</f>
        <v/>
      </c>
      <c r="CU216" s="21" t="str">
        <f>IF([1]!BANCO10[[#This Row],[SOLUÇÃO]]=CU$1,[1]!BANCO10[[#This Row],[STATUS DA ETAPA]],"")</f>
        <v/>
      </c>
      <c r="CV216" s="21" t="str">
        <f>IF([1]!BANCO10[[#This Row],[SOLUÇÃO]]=CV$1,[1]!BANCO10[[#This Row],[STATUS DA ETAPA]],"")</f>
        <v/>
      </c>
    </row>
    <row r="217" spans="1:100">
      <c r="A217" s="44" t="s">
        <v>1</v>
      </c>
      <c r="B217" s="44"/>
      <c r="C217" s="44" t="s">
        <v>1</v>
      </c>
      <c r="D217" s="44"/>
      <c r="E217" s="44" t="s">
        <v>1</v>
      </c>
      <c r="F217" s="44"/>
      <c r="G217" s="44" t="s">
        <v>1</v>
      </c>
      <c r="H217" s="44"/>
      <c r="I217" s="45" t="s">
        <v>1</v>
      </c>
      <c r="J217" s="46"/>
      <c r="K217" s="45" t="s">
        <v>1</v>
      </c>
      <c r="L217" s="33"/>
      <c r="M217" s="45" t="s">
        <v>1</v>
      </c>
      <c r="N217" s="33"/>
      <c r="O217" s="44" t="s">
        <v>1</v>
      </c>
      <c r="P217" s="44"/>
      <c r="Q217" s="44" t="s">
        <v>1</v>
      </c>
      <c r="R217" s="44"/>
      <c r="S217" s="44" t="s">
        <v>1</v>
      </c>
      <c r="T217" s="44"/>
      <c r="U217" s="44" t="s">
        <v>1</v>
      </c>
      <c r="V217" s="44"/>
      <c r="W217" s="44" t="s">
        <v>1</v>
      </c>
      <c r="X217" s="44"/>
      <c r="Y217" s="44" t="s">
        <v>1</v>
      </c>
      <c r="Z217" s="44"/>
      <c r="AA217" s="44" t="s">
        <v>1</v>
      </c>
      <c r="AB217" s="44"/>
      <c r="AC217" s="51">
        <v>45963</v>
      </c>
      <c r="AD217" s="50">
        <v>45963</v>
      </c>
      <c r="AE217" s="40" t="s">
        <v>1</v>
      </c>
      <c r="AF217" s="40" t="s">
        <v>1</v>
      </c>
      <c r="AG217" s="40" t="s">
        <v>1</v>
      </c>
      <c r="AH217" s="36" t="s">
        <v>1</v>
      </c>
      <c r="AI217" s="49">
        <v>0</v>
      </c>
      <c r="AJ217" s="36" t="s">
        <v>1</v>
      </c>
      <c r="AK217" s="10" t="s">
        <v>1</v>
      </c>
      <c r="AL217" s="36" t="s">
        <v>1</v>
      </c>
      <c r="AM217" s="36" t="s">
        <v>1</v>
      </c>
      <c r="AN217" s="35" t="s">
        <v>1</v>
      </c>
      <c r="AO217" s="35" t="s">
        <v>1</v>
      </c>
      <c r="AP217" s="35" t="s">
        <v>1</v>
      </c>
      <c r="AQ217" s="35" t="s">
        <v>1</v>
      </c>
      <c r="AR217" s="34" t="s">
        <v>1</v>
      </c>
      <c r="AS217" s="63"/>
      <c r="AT217" s="32" t="s">
        <v>1</v>
      </c>
      <c r="AU217" s="31"/>
      <c r="AV217" s="32" t="s">
        <v>1</v>
      </c>
      <c r="AW217" s="31"/>
      <c r="AX217" s="32" t="s">
        <v>1</v>
      </c>
      <c r="AY217" s="31"/>
      <c r="AZ217" s="32" t="s">
        <v>1</v>
      </c>
      <c r="BA217" s="31"/>
      <c r="BB217" s="74" t="s">
        <v>668</v>
      </c>
      <c r="BC217" s="25"/>
      <c r="BD217" s="24" t="s">
        <v>11</v>
      </c>
      <c r="BE217" s="24" t="s">
        <v>11</v>
      </c>
      <c r="BF217" s="24" t="s">
        <v>11</v>
      </c>
      <c r="BG217" s="24" t="s">
        <v>11</v>
      </c>
      <c r="BH217" s="130" t="s">
        <v>11</v>
      </c>
      <c r="BI217" s="24"/>
      <c r="BJ217" s="24" t="s">
        <v>11</v>
      </c>
      <c r="BK217" s="24" t="s">
        <v>11</v>
      </c>
      <c r="BL217" s="24">
        <v>45513</v>
      </c>
      <c r="BM217" s="24" t="s">
        <v>11</v>
      </c>
      <c r="BN217" s="24" t="s">
        <v>11</v>
      </c>
      <c r="BO217" s="24"/>
      <c r="BP217" s="24" t="s">
        <v>669</v>
      </c>
      <c r="BQ217" s="22">
        <f>YEAR([1]!BANCO10[[#This Row],[DATA INÍCIO]])</f>
        <v>2025</v>
      </c>
      <c r="BR217" s="22">
        <f>MONTH([1]!BANCO10[[#This Row],[DATA INÍCIO]])</f>
        <v>11</v>
      </c>
      <c r="BS217" s="129" t="e">
        <f>CONCATENATE(#REF!,#REF!)</f>
        <v>#REF!</v>
      </c>
      <c r="BT217" s="22"/>
      <c r="BU217" s="21" t="s">
        <v>1</v>
      </c>
      <c r="BV217" s="21" t="str">
        <f>IF([1]!BANCO10[[#This Row],[SOLUÇÃO]]=BV$1,[1]!BANCO10[[#This Row],[STATUS DA ETAPA]],"")</f>
        <v/>
      </c>
      <c r="BW217" s="21" t="str">
        <f>IF([1]!BANCO10[[#This Row],[SOLUÇÃO]]=BW$1,[1]!BANCO10[[#This Row],[STATUS DA ETAPA]],"")</f>
        <v/>
      </c>
      <c r="BX217" s="21" t="str">
        <f>IF([1]!BANCO10[[#This Row],[SOLUÇÃO]]=BX$1,[1]!BANCO10[[#This Row],[STATUS DA ETAPA]],"")</f>
        <v/>
      </c>
      <c r="BY217" s="21" t="str">
        <f>IF([1]!BANCO10[[#This Row],[SOLUÇÃO]]=BY$1,[1]!BANCO10[[#This Row],[STATUS DA ETAPA]],"")</f>
        <v/>
      </c>
      <c r="BZ217" s="21" t="str">
        <f>IF([1]!BANCO10[[#This Row],[SOLUÇÃO]]=BZ$1,[1]!BANCO10[[#This Row],[STATUS DA ETAPA]],"")</f>
        <v/>
      </c>
      <c r="CA217" s="21" t="str">
        <f>IF([1]!BANCO10[[#This Row],[SOLUÇÃO]]=CA$1,[1]!BANCO10[[#This Row],[STATUS DA ETAPA]],"")</f>
        <v>CANCELADO</v>
      </c>
      <c r="CB217" s="21" t="str">
        <f>IF([1]!BANCO10[[#This Row],[SOLUÇÃO]]=CB$1,[1]!BANCO10[[#This Row],[STATUS DA ETAPA]],"")</f>
        <v/>
      </c>
      <c r="CC217" s="21" t="str">
        <f>IF([1]!BANCO10[[#This Row],[SOLUÇÃO]]=CC$1,[1]!BANCO10[[#This Row],[STATUS DA ETAPA]],"")</f>
        <v/>
      </c>
      <c r="CD217" s="21" t="str">
        <f>IF([1]!BANCO10[[#This Row],[SOLUÇÃO]]=CD$1,[1]!BANCO10[[#This Row],[STATUS DA ETAPA]],"")</f>
        <v/>
      </c>
      <c r="CE217" s="21" t="str">
        <f>IF([1]!BANCO10[[#This Row],[SOLUÇÃO]]=CE$1,[1]!BANCO10[[#This Row],[STATUS DA ETAPA]],"")</f>
        <v/>
      </c>
      <c r="CF217" s="21" t="str">
        <f>IF([1]!BANCO10[[#This Row],[SOLUÇÃO]]=CF$1,[1]!BANCO10[[#This Row],[STATUS DA ETAPA]],"")</f>
        <v/>
      </c>
      <c r="CG217" s="21" t="str">
        <f>IF([1]!BANCO10[[#This Row],[SOLUÇÃO]]=CG$1,[1]!BANCO10[[#This Row],[STATUS DA ETAPA]],"")</f>
        <v/>
      </c>
      <c r="CH217" s="21" t="str">
        <f>IF([1]!BANCO10[[#This Row],[SOLUÇÃO]]=CH$1,[1]!BANCO10[[#This Row],[STATUS DA ETAPA]],"")</f>
        <v/>
      </c>
      <c r="CI217" s="21" t="str">
        <f>IF([1]!BANCO10[[#This Row],[SOLUÇÃO]]=CI$1,[1]!BANCO10[[#This Row],[STATUS DA ETAPA]],"")</f>
        <v/>
      </c>
      <c r="CJ217" s="21" t="str">
        <f>IF([1]!BANCO10[[#This Row],[SOLUÇÃO]]=CJ$1,[1]!BANCO10[[#This Row],[STATUS DA ETAPA]],"")</f>
        <v/>
      </c>
      <c r="CK217" s="21" t="str">
        <f>IF([1]!BANCO10[[#This Row],[SOLUÇÃO]]=CK$1,[1]!BANCO10[[#This Row],[STATUS DA ETAPA]],"")</f>
        <v/>
      </c>
      <c r="CL217" s="21" t="str">
        <f>IF([1]!BANCO10[[#This Row],[SOLUÇÃO]]=CL$1,[1]!BANCO10[[#This Row],[STATUS DA ETAPA]],"")</f>
        <v/>
      </c>
      <c r="CM217" s="21" t="str">
        <f>IF([1]!BANCO10[[#This Row],[SOLUÇÃO]]=CM$1,[1]!BANCO10[[#This Row],[STATUS DA ETAPA]],"")</f>
        <v/>
      </c>
      <c r="CN217" s="21" t="str">
        <f>IF([1]!BANCO10[[#This Row],[SOLUÇÃO]]=CN$1,[1]!BANCO10[[#This Row],[STATUS DA ETAPA]],"")</f>
        <v/>
      </c>
      <c r="CO217" s="21" t="str">
        <f>IF([1]!BANCO10[[#This Row],[SOLUÇÃO]]=CO$1,[1]!BANCO10[[#This Row],[STATUS DA ETAPA]],"")</f>
        <v/>
      </c>
      <c r="CP217" s="21" t="str">
        <f>IF([1]!BANCO10[[#This Row],[SOLUÇÃO]]=CP$1,[1]!BANCO10[[#This Row],[STATUS DA ETAPA]],"")</f>
        <v/>
      </c>
      <c r="CQ217" s="21" t="str">
        <f>IF([1]!BANCO10[[#This Row],[SOLUÇÃO]]=CQ$1,[1]!BANCO10[[#This Row],[STATUS DA ETAPA]],"")</f>
        <v/>
      </c>
      <c r="CR217" s="21" t="str">
        <f>IF([1]!BANCO10[[#This Row],[SOLUÇÃO]]=CR$1,[1]!BANCO10[[#This Row],[STATUS DA ETAPA]],"")</f>
        <v/>
      </c>
      <c r="CS217" s="21" t="str">
        <f>IF([1]!BANCO10[[#This Row],[SOLUÇÃO]]=CS$1,[1]!BANCO10[[#This Row],[STATUS DA ETAPA]],"")</f>
        <v/>
      </c>
      <c r="CT217" s="21" t="str">
        <f>IF([1]!BANCO10[[#This Row],[SOLUÇÃO]]=CT$1,[1]!BANCO10[[#This Row],[STATUS DA ETAPA]],"")</f>
        <v/>
      </c>
      <c r="CU217" s="21" t="str">
        <f>IF([1]!BANCO10[[#This Row],[SOLUÇÃO]]=CU$1,[1]!BANCO10[[#This Row],[STATUS DA ETAPA]],"")</f>
        <v/>
      </c>
      <c r="CV217" s="21" t="str">
        <f>IF([1]!BANCO10[[#This Row],[SOLUÇÃO]]=CV$1,[1]!BANCO10[[#This Row],[STATUS DA ETAPA]],"")</f>
        <v/>
      </c>
    </row>
    <row r="218" spans="1:100">
      <c r="A218" s="44" t="s">
        <v>1</v>
      </c>
      <c r="B218" s="44"/>
      <c r="C218" s="44" t="s">
        <v>1</v>
      </c>
      <c r="D218" s="44"/>
      <c r="E218" s="44" t="s">
        <v>1</v>
      </c>
      <c r="F218" s="44"/>
      <c r="G218" s="44" t="s">
        <v>1</v>
      </c>
      <c r="H218" s="44"/>
      <c r="I218" s="45" t="s">
        <v>1</v>
      </c>
      <c r="J218" s="46"/>
      <c r="K218" s="45" t="s">
        <v>1</v>
      </c>
      <c r="L218" s="33"/>
      <c r="M218" s="45" t="s">
        <v>1</v>
      </c>
      <c r="N218" s="33"/>
      <c r="O218" s="44" t="s">
        <v>2</v>
      </c>
      <c r="P218" s="44">
        <v>44973</v>
      </c>
      <c r="Q218" s="44" t="s">
        <v>0</v>
      </c>
      <c r="R218" s="44"/>
      <c r="S218" s="44" t="s">
        <v>1</v>
      </c>
      <c r="T218" s="44"/>
      <c r="U218" s="44" t="s">
        <v>1</v>
      </c>
      <c r="V218" s="44"/>
      <c r="W218" s="44" t="s">
        <v>1</v>
      </c>
      <c r="X218" s="44"/>
      <c r="Y218" s="44" t="s">
        <v>1</v>
      </c>
      <c r="Z218" s="44"/>
      <c r="AA218" s="44" t="s">
        <v>1</v>
      </c>
      <c r="AB218" s="44"/>
      <c r="AC218" s="51">
        <v>44972</v>
      </c>
      <c r="AD218" s="50">
        <v>44972</v>
      </c>
      <c r="AE218" s="40" t="s">
        <v>1</v>
      </c>
      <c r="AF218" s="40" t="s">
        <v>1</v>
      </c>
      <c r="AG218" s="76" t="s">
        <v>5</v>
      </c>
      <c r="AH218" s="36" t="s">
        <v>1</v>
      </c>
      <c r="AI218" s="49">
        <v>0</v>
      </c>
      <c r="AJ218" s="36" t="s">
        <v>1</v>
      </c>
      <c r="AK218" s="10" t="s">
        <v>1</v>
      </c>
      <c r="AL218" s="36" t="s">
        <v>1</v>
      </c>
      <c r="AM218" s="36" t="s">
        <v>1</v>
      </c>
      <c r="AN218" s="35" t="s">
        <v>1</v>
      </c>
      <c r="AO218" s="35" t="s">
        <v>1</v>
      </c>
      <c r="AP218" s="35" t="s">
        <v>1</v>
      </c>
      <c r="AQ218" s="35" t="s">
        <v>1</v>
      </c>
      <c r="AR218" s="82" t="s">
        <v>1</v>
      </c>
      <c r="AS218" s="33"/>
      <c r="AT218" s="32" t="s">
        <v>1</v>
      </c>
      <c r="AU218" s="31"/>
      <c r="AV218" s="32" t="s">
        <v>1</v>
      </c>
      <c r="AW218" s="31"/>
      <c r="AX218" s="30" t="s">
        <v>1</v>
      </c>
      <c r="AY218" s="55"/>
      <c r="AZ218" s="30" t="s">
        <v>1</v>
      </c>
      <c r="BA218" s="55"/>
      <c r="BB218" s="74" t="s">
        <v>668</v>
      </c>
      <c r="BC218" s="25"/>
      <c r="BD218" s="24" t="s">
        <v>11</v>
      </c>
      <c r="BE218" s="24" t="s">
        <v>11</v>
      </c>
      <c r="BF218" s="24" t="s">
        <v>11</v>
      </c>
      <c r="BG218" s="24" t="s">
        <v>11</v>
      </c>
      <c r="BH218" s="130" t="s">
        <v>11</v>
      </c>
      <c r="BI218" s="24"/>
      <c r="BJ218" s="24" t="s">
        <v>11</v>
      </c>
      <c r="BK218" s="24" t="s">
        <v>11</v>
      </c>
      <c r="BL218" s="24" t="s">
        <v>11</v>
      </c>
      <c r="BM218" s="24" t="s">
        <v>11</v>
      </c>
      <c r="BN218" s="24" t="s">
        <v>11</v>
      </c>
      <c r="BO218" s="24" t="s">
        <v>11</v>
      </c>
      <c r="BP218" s="24" t="s">
        <v>11</v>
      </c>
      <c r="BQ218" s="22">
        <f>YEAR([1]!BANCO10[[#This Row],[DATA INÍCIO]])</f>
        <v>2023</v>
      </c>
      <c r="BR218" s="22">
        <f>MONTH([1]!BANCO10[[#This Row],[DATA INÍCIO]])</f>
        <v>2</v>
      </c>
      <c r="BS218" s="129" t="e">
        <f>CONCATENATE(#REF!,#REF!)</f>
        <v>#REF!</v>
      </c>
      <c r="BT218" s="22"/>
      <c r="BU218" s="21" t="s">
        <v>667</v>
      </c>
      <c r="BV218" s="21" t="str">
        <f>IF([1]!BANCO10[[#This Row],[SOLUÇÃO]]=BV$1,[1]!BANCO10[[#This Row],[STATUS DA ETAPA]],"")</f>
        <v>CONCLUÍDO</v>
      </c>
      <c r="BW218" s="21" t="str">
        <f>IF([1]!BANCO10[[#This Row],[SOLUÇÃO]]=BW$1,[1]!BANCO10[[#This Row],[STATUS DA ETAPA]],"")</f>
        <v/>
      </c>
      <c r="BX218" s="21" t="str">
        <f>IF([1]!BANCO10[[#This Row],[SOLUÇÃO]]=BX$1,[1]!BANCO10[[#This Row],[STATUS DA ETAPA]],"")</f>
        <v/>
      </c>
      <c r="BY218" s="21" t="str">
        <f>IF([1]!BANCO10[[#This Row],[SOLUÇÃO]]=BY$1,[1]!BANCO10[[#This Row],[STATUS DA ETAPA]],"")</f>
        <v/>
      </c>
      <c r="BZ218" s="21" t="str">
        <f>IF([1]!BANCO10[[#This Row],[SOLUÇÃO]]=BZ$1,[1]!BANCO10[[#This Row],[STATUS DA ETAPA]],"")</f>
        <v/>
      </c>
      <c r="CA218" s="21" t="str">
        <f>IF([1]!BANCO10[[#This Row],[SOLUÇÃO]]=CA$1,[1]!BANCO10[[#This Row],[STATUS DA ETAPA]],"")</f>
        <v/>
      </c>
      <c r="CB218" s="21" t="str">
        <f>IF([1]!BANCO10[[#This Row],[SOLUÇÃO]]=CB$1,[1]!BANCO10[[#This Row],[STATUS DA ETAPA]],"")</f>
        <v/>
      </c>
      <c r="CC218" s="21" t="str">
        <f>IF([1]!BANCO10[[#This Row],[SOLUÇÃO]]=CC$1,[1]!BANCO10[[#This Row],[STATUS DA ETAPA]],"")</f>
        <v/>
      </c>
      <c r="CD218" s="21" t="str">
        <f>IF([1]!BANCO10[[#This Row],[SOLUÇÃO]]=CD$1,[1]!BANCO10[[#This Row],[STATUS DA ETAPA]],"")</f>
        <v/>
      </c>
      <c r="CE218" s="21" t="str">
        <f>IF([1]!BANCO10[[#This Row],[SOLUÇÃO]]=CE$1,[1]!BANCO10[[#This Row],[STATUS DA ETAPA]],"")</f>
        <v/>
      </c>
      <c r="CF218" s="21" t="str">
        <f>IF([1]!BANCO10[[#This Row],[SOLUÇÃO]]=CF$1,[1]!BANCO10[[#This Row],[STATUS DA ETAPA]],"")</f>
        <v/>
      </c>
      <c r="CG218" s="21" t="str">
        <f>IF([1]!BANCO10[[#This Row],[SOLUÇÃO]]=CG$1,[1]!BANCO10[[#This Row],[STATUS DA ETAPA]],"")</f>
        <v/>
      </c>
      <c r="CH218" s="21" t="str">
        <f>IF([1]!BANCO10[[#This Row],[SOLUÇÃO]]=CH$1,[1]!BANCO10[[#This Row],[STATUS DA ETAPA]],"")</f>
        <v/>
      </c>
      <c r="CI218" s="21" t="str">
        <f>IF([1]!BANCO10[[#This Row],[SOLUÇÃO]]=CI$1,[1]!BANCO10[[#This Row],[STATUS DA ETAPA]],"")</f>
        <v/>
      </c>
      <c r="CJ218" s="21" t="str">
        <f>IF([1]!BANCO10[[#This Row],[SOLUÇÃO]]=CJ$1,[1]!BANCO10[[#This Row],[STATUS DA ETAPA]],"")</f>
        <v/>
      </c>
      <c r="CK218" s="21" t="str">
        <f>IF([1]!BANCO10[[#This Row],[SOLUÇÃO]]=CK$1,[1]!BANCO10[[#This Row],[STATUS DA ETAPA]],"")</f>
        <v/>
      </c>
      <c r="CL218" s="21" t="str">
        <f>IF([1]!BANCO10[[#This Row],[SOLUÇÃO]]=CL$1,[1]!BANCO10[[#This Row],[STATUS DA ETAPA]],"")</f>
        <v/>
      </c>
      <c r="CM218" s="21" t="str">
        <f>IF([1]!BANCO10[[#This Row],[SOLUÇÃO]]=CM$1,[1]!BANCO10[[#This Row],[STATUS DA ETAPA]],"")</f>
        <v/>
      </c>
      <c r="CN218" s="21" t="str">
        <f>IF([1]!BANCO10[[#This Row],[SOLUÇÃO]]=CN$1,[1]!BANCO10[[#This Row],[STATUS DA ETAPA]],"")</f>
        <v/>
      </c>
      <c r="CO218" s="21" t="str">
        <f>IF([1]!BANCO10[[#This Row],[SOLUÇÃO]]=CO$1,[1]!BANCO10[[#This Row],[STATUS DA ETAPA]],"")</f>
        <v/>
      </c>
      <c r="CP218" s="21" t="str">
        <f>IF([1]!BANCO10[[#This Row],[SOLUÇÃO]]=CP$1,[1]!BANCO10[[#This Row],[STATUS DA ETAPA]],"")</f>
        <v/>
      </c>
      <c r="CQ218" s="21" t="str">
        <f>IF([1]!BANCO10[[#This Row],[SOLUÇÃO]]=CQ$1,[1]!BANCO10[[#This Row],[STATUS DA ETAPA]],"")</f>
        <v/>
      </c>
      <c r="CR218" s="21" t="str">
        <f>IF([1]!BANCO10[[#This Row],[SOLUÇÃO]]=CR$1,[1]!BANCO10[[#This Row],[STATUS DA ETAPA]],"")</f>
        <v/>
      </c>
      <c r="CS218" s="21" t="str">
        <f>IF([1]!BANCO10[[#This Row],[SOLUÇÃO]]=CS$1,[1]!BANCO10[[#This Row],[STATUS DA ETAPA]],"")</f>
        <v/>
      </c>
      <c r="CT218" s="21" t="str">
        <f>IF([1]!BANCO10[[#This Row],[SOLUÇÃO]]=CT$1,[1]!BANCO10[[#This Row],[STATUS DA ETAPA]],"")</f>
        <v/>
      </c>
      <c r="CU218" s="21" t="str">
        <f>IF([1]!BANCO10[[#This Row],[SOLUÇÃO]]=CU$1,[1]!BANCO10[[#This Row],[STATUS DA ETAPA]],"")</f>
        <v/>
      </c>
      <c r="CV218" s="21" t="str">
        <f>IF([1]!BANCO10[[#This Row],[SOLUÇÃO]]=CV$1,[1]!BANCO10[[#This Row],[STATUS DA ETAPA]],"")</f>
        <v/>
      </c>
    </row>
    <row r="219" spans="1:100">
      <c r="A219" s="44" t="s">
        <v>1</v>
      </c>
      <c r="B219" s="44"/>
      <c r="C219" s="44" t="s">
        <v>1</v>
      </c>
      <c r="D219" s="44"/>
      <c r="E219" s="44" t="s">
        <v>1</v>
      </c>
      <c r="F219" s="44"/>
      <c r="G219" s="44" t="s">
        <v>1</v>
      </c>
      <c r="H219" s="44"/>
      <c r="I219" s="45" t="s">
        <v>1</v>
      </c>
      <c r="J219" s="46"/>
      <c r="K219" s="45" t="s">
        <v>1</v>
      </c>
      <c r="L219" s="33"/>
      <c r="M219" s="45" t="s">
        <v>1</v>
      </c>
      <c r="N219" s="33"/>
      <c r="O219" s="44" t="s">
        <v>1</v>
      </c>
      <c r="P219" s="44"/>
      <c r="Q219" s="44" t="s">
        <v>1</v>
      </c>
      <c r="R219" s="44">
        <v>45695</v>
      </c>
      <c r="S219" s="44" t="s">
        <v>1</v>
      </c>
      <c r="T219" s="44"/>
      <c r="U219" s="44" t="s">
        <v>2</v>
      </c>
      <c r="V219" s="44">
        <v>45673</v>
      </c>
      <c r="W219" s="44" t="s">
        <v>1</v>
      </c>
      <c r="X219" s="44"/>
      <c r="Y219" s="44" t="s">
        <v>1</v>
      </c>
      <c r="Z219" s="44"/>
      <c r="AA219" s="44" t="s">
        <v>1</v>
      </c>
      <c r="AB219" s="44"/>
      <c r="AC219" s="51">
        <v>46016</v>
      </c>
      <c r="AD219" s="50">
        <v>46016</v>
      </c>
      <c r="AE219" s="68"/>
      <c r="AF219" s="68"/>
      <c r="AG219" s="76" t="s">
        <v>4</v>
      </c>
      <c r="AH219" s="36" t="s">
        <v>0</v>
      </c>
      <c r="AI219" s="49">
        <v>0</v>
      </c>
      <c r="AJ219" s="36"/>
      <c r="AK219" s="10" t="s">
        <v>30</v>
      </c>
      <c r="AL219" s="36" t="s">
        <v>30</v>
      </c>
      <c r="AM219" s="36" t="s">
        <v>30</v>
      </c>
      <c r="AN219" s="35" t="s">
        <v>1</v>
      </c>
      <c r="AO219" s="35" t="s">
        <v>1</v>
      </c>
      <c r="AP219" s="35"/>
      <c r="AQ219" s="35" t="s">
        <v>1</v>
      </c>
      <c r="AR219" s="34" t="s">
        <v>1</v>
      </c>
      <c r="AS219" s="33"/>
      <c r="AT219" s="32"/>
      <c r="AU219" s="31"/>
      <c r="AV219" s="32"/>
      <c r="AW219" s="31"/>
      <c r="AX219" s="30" t="s">
        <v>0</v>
      </c>
      <c r="AY219" s="29"/>
      <c r="AZ219" s="28" t="s">
        <v>0</v>
      </c>
      <c r="BA219" s="27"/>
      <c r="BB219" s="26"/>
      <c r="BC219" s="25"/>
      <c r="BD219" s="24"/>
      <c r="BE219" s="24"/>
      <c r="BF219" s="24"/>
      <c r="BG219" s="24"/>
      <c r="BH219" s="24"/>
      <c r="BI219" s="24"/>
      <c r="BJ219" s="24"/>
      <c r="BK219" s="24"/>
      <c r="BL219" s="24"/>
      <c r="BM219" s="24"/>
      <c r="BN219" s="24"/>
      <c r="BO219" s="24"/>
      <c r="BP219" s="24"/>
      <c r="BQ219" s="22">
        <f>YEAR([1]!BANCO10[[#This Row],[DATA INÍCIO]])</f>
        <v>2025</v>
      </c>
      <c r="BR219" s="22">
        <f>MONTH([1]!BANCO10[[#This Row],[DATA INÍCIO]])</f>
        <v>12</v>
      </c>
      <c r="BS219" s="23" t="e">
        <f>CONCATENATE(#REF!,#REF!)</f>
        <v>#REF!</v>
      </c>
      <c r="BT219" s="22"/>
      <c r="BU219" s="22"/>
      <c r="BV219" s="21" t="str">
        <f>IF([1]!BANCO10[[#This Row],[SOLUÇÃO]]=BV$1,[1]!BANCO10[[#This Row],[STATUS DA ETAPA]],"")</f>
        <v/>
      </c>
      <c r="BW219" s="21" t="str">
        <f>IF([1]!BANCO10[[#This Row],[SOLUÇÃO]]=BW$1,[1]!BANCO10[[#This Row],[STATUS DA ETAPA]],"")</f>
        <v/>
      </c>
      <c r="BX219" s="21" t="str">
        <f>IF([1]!BANCO10[[#This Row],[SOLUÇÃO]]=BX$1,[1]!BANCO10[[#This Row],[STATUS DA ETAPA]],"")</f>
        <v>PROSPECÇÃO</v>
      </c>
      <c r="BY219" s="21" t="str">
        <f>IF([1]!BANCO10[[#This Row],[SOLUÇÃO]]=BY$1,[1]!BANCO10[[#This Row],[STATUS DA ETAPA]],"")</f>
        <v/>
      </c>
      <c r="BZ219" s="21" t="str">
        <f>IF([1]!BANCO10[[#This Row],[SOLUÇÃO]]=BZ$1,[1]!BANCO10[[#This Row],[STATUS DA ETAPA]],"")</f>
        <v/>
      </c>
      <c r="CA219" s="21" t="str">
        <f>IF([1]!BANCO10[[#This Row],[SOLUÇÃO]]=CA$1,[1]!BANCO10[[#This Row],[STATUS DA ETAPA]],"")</f>
        <v/>
      </c>
      <c r="CB219" s="21" t="str">
        <f>IF([1]!BANCO10[[#This Row],[SOLUÇÃO]]=CB$1,[1]!BANCO10[[#This Row],[STATUS DA ETAPA]],"")</f>
        <v/>
      </c>
      <c r="CC219" s="21" t="str">
        <f>IF([1]!BANCO10[[#This Row],[SOLUÇÃO]]=CC$1,[1]!BANCO10[[#This Row],[STATUS DA ETAPA]],"")</f>
        <v/>
      </c>
      <c r="CD219" s="21" t="str">
        <f>IF([1]!BANCO10[[#This Row],[SOLUÇÃO]]=CD$1,[1]!BANCO10[[#This Row],[STATUS DA ETAPA]],"")</f>
        <v/>
      </c>
      <c r="CE219" s="21" t="str">
        <f>IF([1]!BANCO10[[#This Row],[SOLUÇÃO]]=CE$1,[1]!BANCO10[[#This Row],[STATUS DA ETAPA]],"")</f>
        <v/>
      </c>
      <c r="CF219" s="21" t="str">
        <f>IF([1]!BANCO10[[#This Row],[SOLUÇÃO]]=CF$1,[1]!BANCO10[[#This Row],[STATUS DA ETAPA]],"")</f>
        <v/>
      </c>
      <c r="CG219" s="21" t="str">
        <f>IF([1]!BANCO10[[#This Row],[SOLUÇÃO]]=CG$1,[1]!BANCO10[[#This Row],[STATUS DA ETAPA]],"")</f>
        <v/>
      </c>
      <c r="CH219" s="21" t="str">
        <f>IF([1]!BANCO10[[#This Row],[SOLUÇÃO]]=CH$1,[1]!BANCO10[[#This Row],[STATUS DA ETAPA]],"")</f>
        <v/>
      </c>
      <c r="CI219" s="21" t="str">
        <f>IF([1]!BANCO10[[#This Row],[SOLUÇÃO]]=CI$1,[1]!BANCO10[[#This Row],[STATUS DA ETAPA]],"")</f>
        <v/>
      </c>
      <c r="CJ219" s="21" t="str">
        <f>IF([1]!BANCO10[[#This Row],[SOLUÇÃO]]=CJ$1,[1]!BANCO10[[#This Row],[STATUS DA ETAPA]],"")</f>
        <v/>
      </c>
      <c r="CK219" s="21" t="str">
        <f>IF([1]!BANCO10[[#This Row],[SOLUÇÃO]]=CK$1,[1]!BANCO10[[#This Row],[STATUS DA ETAPA]],"")</f>
        <v/>
      </c>
      <c r="CL219" s="21" t="str">
        <f>IF([1]!BANCO10[[#This Row],[SOLUÇÃO]]=CL$1,[1]!BANCO10[[#This Row],[STATUS DA ETAPA]],"")</f>
        <v/>
      </c>
      <c r="CM219" s="21" t="str">
        <f>IF([1]!BANCO10[[#This Row],[SOLUÇÃO]]=CM$1,[1]!BANCO10[[#This Row],[STATUS DA ETAPA]],"")</f>
        <v/>
      </c>
      <c r="CN219" s="21" t="str">
        <f>IF([1]!BANCO10[[#This Row],[SOLUÇÃO]]=CN$1,[1]!BANCO10[[#This Row],[STATUS DA ETAPA]],"")</f>
        <v/>
      </c>
      <c r="CO219" s="21" t="str">
        <f>IF([1]!BANCO10[[#This Row],[SOLUÇÃO]]=CO$1,[1]!BANCO10[[#This Row],[STATUS DA ETAPA]],"")</f>
        <v/>
      </c>
      <c r="CP219" s="21" t="str">
        <f>IF([1]!BANCO10[[#This Row],[SOLUÇÃO]]=CP$1,[1]!BANCO10[[#This Row],[STATUS DA ETAPA]],"")</f>
        <v/>
      </c>
      <c r="CQ219" s="21" t="str">
        <f>IF([1]!BANCO10[[#This Row],[SOLUÇÃO]]=CQ$1,[1]!BANCO10[[#This Row],[STATUS DA ETAPA]],"")</f>
        <v/>
      </c>
      <c r="CR219" s="21" t="str">
        <f>IF([1]!BANCO10[[#This Row],[SOLUÇÃO]]=CR$1,[1]!BANCO10[[#This Row],[STATUS DA ETAPA]],"")</f>
        <v/>
      </c>
      <c r="CS219" s="21" t="str">
        <f>IF([1]!BANCO10[[#This Row],[SOLUÇÃO]]=CS$1,[1]!BANCO10[[#This Row],[STATUS DA ETAPA]],"")</f>
        <v/>
      </c>
      <c r="CT219" s="21" t="str">
        <f>IF([1]!BANCO10[[#This Row],[SOLUÇÃO]]=CT$1,[1]!BANCO10[[#This Row],[STATUS DA ETAPA]],"")</f>
        <v/>
      </c>
      <c r="CU219" s="21" t="str">
        <f>IF([1]!BANCO10[[#This Row],[SOLUÇÃO]]=CU$1,[1]!BANCO10[[#This Row],[STATUS DA ETAPA]],"")</f>
        <v/>
      </c>
      <c r="CV219" s="21" t="str">
        <f>IF([1]!BANCO10[[#This Row],[SOLUÇÃO]]=CV$1,[1]!BANCO10[[#This Row],[STATUS DA ETAPA]],"")</f>
        <v/>
      </c>
    </row>
    <row r="220" spans="1:100">
      <c r="A220" s="44" t="s">
        <v>1</v>
      </c>
      <c r="B220" s="44"/>
      <c r="C220" s="44" t="s">
        <v>1</v>
      </c>
      <c r="D220" s="44"/>
      <c r="E220" s="44" t="s">
        <v>1</v>
      </c>
      <c r="F220" s="44"/>
      <c r="G220" s="44" t="s">
        <v>1</v>
      </c>
      <c r="H220" s="44"/>
      <c r="I220" s="45" t="s">
        <v>1</v>
      </c>
      <c r="J220" s="46"/>
      <c r="K220" s="45" t="s">
        <v>1</v>
      </c>
      <c r="L220" s="33"/>
      <c r="M220" s="45" t="s">
        <v>1</v>
      </c>
      <c r="N220" s="33"/>
      <c r="O220" s="44" t="s">
        <v>1</v>
      </c>
      <c r="P220" s="44"/>
      <c r="Q220" s="44" t="s">
        <v>1</v>
      </c>
      <c r="R220" s="44"/>
      <c r="S220" s="44" t="s">
        <v>1</v>
      </c>
      <c r="T220" s="44"/>
      <c r="U220" s="44" t="s">
        <v>1</v>
      </c>
      <c r="V220" s="44"/>
      <c r="W220" s="44" t="s">
        <v>1</v>
      </c>
      <c r="X220" s="44"/>
      <c r="Y220" s="44" t="s">
        <v>1</v>
      </c>
      <c r="Z220" s="44"/>
      <c r="AA220" s="44" t="s">
        <v>1</v>
      </c>
      <c r="AB220" s="44"/>
      <c r="AC220" s="51">
        <v>45274</v>
      </c>
      <c r="AD220" s="50">
        <v>45274</v>
      </c>
      <c r="AE220" s="40" t="s">
        <v>1</v>
      </c>
      <c r="AF220" s="40" t="s">
        <v>1</v>
      </c>
      <c r="AG220" s="76" t="s">
        <v>5</v>
      </c>
      <c r="AH220" s="36" t="s">
        <v>1</v>
      </c>
      <c r="AI220" s="49">
        <v>0</v>
      </c>
      <c r="AJ220" s="36" t="s">
        <v>1</v>
      </c>
      <c r="AK220" s="10" t="s">
        <v>1</v>
      </c>
      <c r="AL220" s="36" t="s">
        <v>1</v>
      </c>
      <c r="AM220" s="36" t="s">
        <v>1</v>
      </c>
      <c r="AN220" s="35" t="s">
        <v>1</v>
      </c>
      <c r="AO220" s="35" t="s">
        <v>1</v>
      </c>
      <c r="AP220" s="35" t="s">
        <v>1</v>
      </c>
      <c r="AQ220" s="35" t="s">
        <v>1</v>
      </c>
      <c r="AR220" s="82" t="s">
        <v>1</v>
      </c>
      <c r="AS220" s="33"/>
      <c r="AT220" s="32" t="s">
        <v>1</v>
      </c>
      <c r="AU220" s="31"/>
      <c r="AV220" s="32" t="s">
        <v>1</v>
      </c>
      <c r="AW220" s="31"/>
      <c r="AX220" s="30" t="s">
        <v>1</v>
      </c>
      <c r="AY220" s="55"/>
      <c r="AZ220" s="30" t="s">
        <v>1</v>
      </c>
      <c r="BA220" s="55"/>
      <c r="BB220" s="74" t="s">
        <v>15</v>
      </c>
      <c r="BC220" s="25" t="s">
        <v>14</v>
      </c>
      <c r="BD220" s="24"/>
      <c r="BE220" s="24"/>
      <c r="BF220" s="24"/>
      <c r="BG220" s="24"/>
      <c r="BH220" s="130"/>
      <c r="BI220" s="24"/>
      <c r="BJ220" s="24" t="s">
        <v>11</v>
      </c>
      <c r="BK220" s="24" t="s">
        <v>11</v>
      </c>
      <c r="BL220" s="24" t="s">
        <v>11</v>
      </c>
      <c r="BM220" s="24" t="s">
        <v>11</v>
      </c>
      <c r="BN220" s="24" t="s">
        <v>11</v>
      </c>
      <c r="BO220" s="24" t="s">
        <v>11</v>
      </c>
      <c r="BP220" s="24" t="s">
        <v>11</v>
      </c>
      <c r="BQ220" s="22">
        <f>YEAR([1]!BANCO10[[#This Row],[DATA INÍCIO]])</f>
        <v>2023</v>
      </c>
      <c r="BR220" s="22">
        <f>MONTH([1]!BANCO10[[#This Row],[DATA INÍCIO]])</f>
        <v>12</v>
      </c>
      <c r="BS220" s="129" t="e">
        <f>CONCATENATE(#REF!,#REF!)</f>
        <v>#REF!</v>
      </c>
      <c r="BT220" s="22"/>
      <c r="BU220" s="21" t="s">
        <v>666</v>
      </c>
      <c r="BV220" s="21" t="str">
        <f>IF([1]!BANCO10[[#This Row],[SOLUÇÃO]]=BV$1,[1]!BANCO10[[#This Row],[STATUS DA ETAPA]],"")</f>
        <v>CONCLUÍDO</v>
      </c>
      <c r="BW220" s="21" t="str">
        <f>IF([1]!BANCO10[[#This Row],[SOLUÇÃO]]=BW$1,[1]!BANCO10[[#This Row],[STATUS DA ETAPA]],"")</f>
        <v/>
      </c>
      <c r="BX220" s="21" t="str">
        <f>IF([1]!BANCO10[[#This Row],[SOLUÇÃO]]=BX$1,[1]!BANCO10[[#This Row],[STATUS DA ETAPA]],"")</f>
        <v/>
      </c>
      <c r="BY220" s="21" t="str">
        <f>IF([1]!BANCO10[[#This Row],[SOLUÇÃO]]=BY$1,[1]!BANCO10[[#This Row],[STATUS DA ETAPA]],"")</f>
        <v/>
      </c>
      <c r="BZ220" s="21" t="str">
        <f>IF([1]!BANCO10[[#This Row],[SOLUÇÃO]]=BZ$1,[1]!BANCO10[[#This Row],[STATUS DA ETAPA]],"")</f>
        <v/>
      </c>
      <c r="CA220" s="21" t="str">
        <f>IF([1]!BANCO10[[#This Row],[SOLUÇÃO]]=CA$1,[1]!BANCO10[[#This Row],[STATUS DA ETAPA]],"")</f>
        <v/>
      </c>
      <c r="CB220" s="21" t="str">
        <f>IF([1]!BANCO10[[#This Row],[SOLUÇÃO]]=CB$1,[1]!BANCO10[[#This Row],[STATUS DA ETAPA]],"")</f>
        <v/>
      </c>
      <c r="CC220" s="21" t="str">
        <f>IF([1]!BANCO10[[#This Row],[SOLUÇÃO]]=CC$1,[1]!BANCO10[[#This Row],[STATUS DA ETAPA]],"")</f>
        <v/>
      </c>
      <c r="CD220" s="21" t="str">
        <f>IF([1]!BANCO10[[#This Row],[SOLUÇÃO]]=CD$1,[1]!BANCO10[[#This Row],[STATUS DA ETAPA]],"")</f>
        <v/>
      </c>
      <c r="CE220" s="21" t="str">
        <f>IF([1]!BANCO10[[#This Row],[SOLUÇÃO]]=CE$1,[1]!BANCO10[[#This Row],[STATUS DA ETAPA]],"")</f>
        <v/>
      </c>
      <c r="CF220" s="21" t="str">
        <f>IF([1]!BANCO10[[#This Row],[SOLUÇÃO]]=CF$1,[1]!BANCO10[[#This Row],[STATUS DA ETAPA]],"")</f>
        <v/>
      </c>
      <c r="CG220" s="21" t="str">
        <f>IF([1]!BANCO10[[#This Row],[SOLUÇÃO]]=CG$1,[1]!BANCO10[[#This Row],[STATUS DA ETAPA]],"")</f>
        <v/>
      </c>
      <c r="CH220" s="21" t="str">
        <f>IF([1]!BANCO10[[#This Row],[SOLUÇÃO]]=CH$1,[1]!BANCO10[[#This Row],[STATUS DA ETAPA]],"")</f>
        <v/>
      </c>
      <c r="CI220" s="21" t="str">
        <f>IF([1]!BANCO10[[#This Row],[SOLUÇÃO]]=CI$1,[1]!BANCO10[[#This Row],[STATUS DA ETAPA]],"")</f>
        <v/>
      </c>
      <c r="CJ220" s="21" t="str">
        <f>IF([1]!BANCO10[[#This Row],[SOLUÇÃO]]=CJ$1,[1]!BANCO10[[#This Row],[STATUS DA ETAPA]],"")</f>
        <v/>
      </c>
      <c r="CK220" s="21" t="str">
        <f>IF([1]!BANCO10[[#This Row],[SOLUÇÃO]]=CK$1,[1]!BANCO10[[#This Row],[STATUS DA ETAPA]],"")</f>
        <v/>
      </c>
      <c r="CL220" s="21" t="str">
        <f>IF([1]!BANCO10[[#This Row],[SOLUÇÃO]]=CL$1,[1]!BANCO10[[#This Row],[STATUS DA ETAPA]],"")</f>
        <v/>
      </c>
      <c r="CM220" s="21" t="str">
        <f>IF([1]!BANCO10[[#This Row],[SOLUÇÃO]]=CM$1,[1]!BANCO10[[#This Row],[STATUS DA ETAPA]],"")</f>
        <v/>
      </c>
      <c r="CN220" s="21" t="str">
        <f>IF([1]!BANCO10[[#This Row],[SOLUÇÃO]]=CN$1,[1]!BANCO10[[#This Row],[STATUS DA ETAPA]],"")</f>
        <v/>
      </c>
      <c r="CO220" s="21" t="str">
        <f>IF([1]!BANCO10[[#This Row],[SOLUÇÃO]]=CO$1,[1]!BANCO10[[#This Row],[STATUS DA ETAPA]],"")</f>
        <v/>
      </c>
      <c r="CP220" s="21" t="str">
        <f>IF([1]!BANCO10[[#This Row],[SOLUÇÃO]]=CP$1,[1]!BANCO10[[#This Row],[STATUS DA ETAPA]],"")</f>
        <v/>
      </c>
      <c r="CQ220" s="21" t="str">
        <f>IF([1]!BANCO10[[#This Row],[SOLUÇÃO]]=CQ$1,[1]!BANCO10[[#This Row],[STATUS DA ETAPA]],"")</f>
        <v/>
      </c>
      <c r="CR220" s="21" t="str">
        <f>IF([1]!BANCO10[[#This Row],[SOLUÇÃO]]=CR$1,[1]!BANCO10[[#This Row],[STATUS DA ETAPA]],"")</f>
        <v/>
      </c>
      <c r="CS220" s="21" t="str">
        <f>IF([1]!BANCO10[[#This Row],[SOLUÇÃO]]=CS$1,[1]!BANCO10[[#This Row],[STATUS DA ETAPA]],"")</f>
        <v/>
      </c>
      <c r="CT220" s="21" t="str">
        <f>IF([1]!BANCO10[[#This Row],[SOLUÇÃO]]=CT$1,[1]!BANCO10[[#This Row],[STATUS DA ETAPA]],"")</f>
        <v/>
      </c>
      <c r="CU220" s="21" t="str">
        <f>IF([1]!BANCO10[[#This Row],[SOLUÇÃO]]=CU$1,[1]!BANCO10[[#This Row],[STATUS DA ETAPA]],"")</f>
        <v/>
      </c>
      <c r="CV220" s="21" t="str">
        <f>IF([1]!BANCO10[[#This Row],[SOLUÇÃO]]=CV$1,[1]!BANCO10[[#This Row],[STATUS DA ETAPA]],"")</f>
        <v/>
      </c>
    </row>
    <row r="221" spans="1:100">
      <c r="A221" s="44" t="s">
        <v>1</v>
      </c>
      <c r="B221" s="44"/>
      <c r="C221" s="44" t="s">
        <v>1</v>
      </c>
      <c r="D221" s="44"/>
      <c r="E221" s="44" t="s">
        <v>1</v>
      </c>
      <c r="F221" s="44"/>
      <c r="G221" s="44" t="s">
        <v>1</v>
      </c>
      <c r="H221" s="44"/>
      <c r="I221" s="45" t="s">
        <v>1</v>
      </c>
      <c r="J221" s="46"/>
      <c r="K221" s="45" t="s">
        <v>1</v>
      </c>
      <c r="L221" s="33"/>
      <c r="M221" s="45" t="s">
        <v>1</v>
      </c>
      <c r="N221" s="33"/>
      <c r="O221" s="44" t="s">
        <v>2</v>
      </c>
      <c r="P221" s="44">
        <v>45236</v>
      </c>
      <c r="Q221" s="44" t="s">
        <v>0</v>
      </c>
      <c r="R221" s="44"/>
      <c r="S221" s="44" t="s">
        <v>1</v>
      </c>
      <c r="T221" s="44"/>
      <c r="U221" s="44" t="s">
        <v>1</v>
      </c>
      <c r="V221" s="44"/>
      <c r="W221" s="44" t="s">
        <v>1</v>
      </c>
      <c r="X221" s="44"/>
      <c r="Y221" s="44" t="s">
        <v>1</v>
      </c>
      <c r="Z221" s="44"/>
      <c r="AA221" s="44" t="s">
        <v>1</v>
      </c>
      <c r="AB221" s="44"/>
      <c r="AC221" s="51">
        <v>45231</v>
      </c>
      <c r="AD221" s="50">
        <v>45231</v>
      </c>
      <c r="AE221" s="40" t="s">
        <v>1</v>
      </c>
      <c r="AF221" s="40" t="s">
        <v>1</v>
      </c>
      <c r="AG221" s="76" t="s">
        <v>5</v>
      </c>
      <c r="AH221" s="36" t="s">
        <v>1</v>
      </c>
      <c r="AI221" s="49">
        <v>0</v>
      </c>
      <c r="AJ221" s="36" t="s">
        <v>1</v>
      </c>
      <c r="AK221" s="10" t="s">
        <v>1</v>
      </c>
      <c r="AL221" s="36" t="s">
        <v>1</v>
      </c>
      <c r="AM221" s="36" t="s">
        <v>1</v>
      </c>
      <c r="AN221" s="35" t="s">
        <v>1</v>
      </c>
      <c r="AO221" s="35" t="s">
        <v>1</v>
      </c>
      <c r="AP221" s="35" t="s">
        <v>1</v>
      </c>
      <c r="AQ221" s="35" t="s">
        <v>1</v>
      </c>
      <c r="AR221" s="82" t="s">
        <v>1</v>
      </c>
      <c r="AS221" s="33"/>
      <c r="AT221" s="32" t="s">
        <v>1</v>
      </c>
      <c r="AU221" s="31"/>
      <c r="AV221" s="32" t="s">
        <v>1</v>
      </c>
      <c r="AW221" s="31"/>
      <c r="AX221" s="30" t="s">
        <v>1</v>
      </c>
      <c r="AY221" s="55"/>
      <c r="AZ221" s="30" t="s">
        <v>1</v>
      </c>
      <c r="BA221" s="55"/>
      <c r="BB221" s="74"/>
      <c r="BC221" s="25"/>
      <c r="BD221" s="24" t="s">
        <v>72</v>
      </c>
      <c r="BE221" s="24" t="s">
        <v>11</v>
      </c>
      <c r="BF221" s="24" t="s">
        <v>51</v>
      </c>
      <c r="BG221" s="24" t="s">
        <v>11</v>
      </c>
      <c r="BH221" s="130" t="s">
        <v>18</v>
      </c>
      <c r="BI221" s="24" t="s">
        <v>51</v>
      </c>
      <c r="BJ221" s="24" t="s">
        <v>11</v>
      </c>
      <c r="BK221" s="24" t="s">
        <v>11</v>
      </c>
      <c r="BL221" s="24" t="s">
        <v>11</v>
      </c>
      <c r="BM221" s="24" t="s">
        <v>11</v>
      </c>
      <c r="BN221" s="24" t="s">
        <v>11</v>
      </c>
      <c r="BO221" s="24" t="s">
        <v>11</v>
      </c>
      <c r="BP221" s="24" t="s">
        <v>11</v>
      </c>
      <c r="BQ221" s="22">
        <f>YEAR([1]!BANCO10[[#This Row],[DATA INÍCIO]])</f>
        <v>2023</v>
      </c>
      <c r="BR221" s="22">
        <f>MONTH([1]!BANCO10[[#This Row],[DATA INÍCIO]])</f>
        <v>11</v>
      </c>
      <c r="BS221" s="129" t="e">
        <f>CONCATENATE(#REF!,#REF!)</f>
        <v>#REF!</v>
      </c>
      <c r="BT221" s="22"/>
      <c r="BU221" s="21" t="s">
        <v>665</v>
      </c>
      <c r="BV221" s="21" t="str">
        <f>IF([1]!BANCO10[[#This Row],[SOLUÇÃO]]=BV$1,[1]!BANCO10[[#This Row],[STATUS DA ETAPA]],"")</f>
        <v>CONCLUÍDO</v>
      </c>
      <c r="BW221" s="21" t="str">
        <f>IF([1]!BANCO10[[#This Row],[SOLUÇÃO]]=BW$1,[1]!BANCO10[[#This Row],[STATUS DA ETAPA]],"")</f>
        <v/>
      </c>
      <c r="BX221" s="21" t="str">
        <f>IF([1]!BANCO10[[#This Row],[SOLUÇÃO]]=BX$1,[1]!BANCO10[[#This Row],[STATUS DA ETAPA]],"")</f>
        <v/>
      </c>
      <c r="BY221" s="21" t="str">
        <f>IF([1]!BANCO10[[#This Row],[SOLUÇÃO]]=BY$1,[1]!BANCO10[[#This Row],[STATUS DA ETAPA]],"")</f>
        <v/>
      </c>
      <c r="BZ221" s="21" t="str">
        <f>IF([1]!BANCO10[[#This Row],[SOLUÇÃO]]=BZ$1,[1]!BANCO10[[#This Row],[STATUS DA ETAPA]],"")</f>
        <v/>
      </c>
      <c r="CA221" s="21" t="str">
        <f>IF([1]!BANCO10[[#This Row],[SOLUÇÃO]]=CA$1,[1]!BANCO10[[#This Row],[STATUS DA ETAPA]],"")</f>
        <v/>
      </c>
      <c r="CB221" s="21" t="str">
        <f>IF([1]!BANCO10[[#This Row],[SOLUÇÃO]]=CB$1,[1]!BANCO10[[#This Row],[STATUS DA ETAPA]],"")</f>
        <v/>
      </c>
      <c r="CC221" s="21" t="str">
        <f>IF([1]!BANCO10[[#This Row],[SOLUÇÃO]]=CC$1,[1]!BANCO10[[#This Row],[STATUS DA ETAPA]],"")</f>
        <v/>
      </c>
      <c r="CD221" s="21" t="str">
        <f>IF([1]!BANCO10[[#This Row],[SOLUÇÃO]]=CD$1,[1]!BANCO10[[#This Row],[STATUS DA ETAPA]],"")</f>
        <v/>
      </c>
      <c r="CE221" s="21" t="str">
        <f>IF([1]!BANCO10[[#This Row],[SOLUÇÃO]]=CE$1,[1]!BANCO10[[#This Row],[STATUS DA ETAPA]],"")</f>
        <v/>
      </c>
      <c r="CF221" s="21" t="str">
        <f>IF([1]!BANCO10[[#This Row],[SOLUÇÃO]]=CF$1,[1]!BANCO10[[#This Row],[STATUS DA ETAPA]],"")</f>
        <v/>
      </c>
      <c r="CG221" s="21" t="str">
        <f>IF([1]!BANCO10[[#This Row],[SOLUÇÃO]]=CG$1,[1]!BANCO10[[#This Row],[STATUS DA ETAPA]],"")</f>
        <v/>
      </c>
      <c r="CH221" s="21" t="str">
        <f>IF([1]!BANCO10[[#This Row],[SOLUÇÃO]]=CH$1,[1]!BANCO10[[#This Row],[STATUS DA ETAPA]],"")</f>
        <v/>
      </c>
      <c r="CI221" s="21" t="str">
        <f>IF([1]!BANCO10[[#This Row],[SOLUÇÃO]]=CI$1,[1]!BANCO10[[#This Row],[STATUS DA ETAPA]],"")</f>
        <v/>
      </c>
      <c r="CJ221" s="21" t="str">
        <f>IF([1]!BANCO10[[#This Row],[SOLUÇÃO]]=CJ$1,[1]!BANCO10[[#This Row],[STATUS DA ETAPA]],"")</f>
        <v/>
      </c>
      <c r="CK221" s="21" t="str">
        <f>IF([1]!BANCO10[[#This Row],[SOLUÇÃO]]=CK$1,[1]!BANCO10[[#This Row],[STATUS DA ETAPA]],"")</f>
        <v/>
      </c>
      <c r="CL221" s="21" t="str">
        <f>IF([1]!BANCO10[[#This Row],[SOLUÇÃO]]=CL$1,[1]!BANCO10[[#This Row],[STATUS DA ETAPA]],"")</f>
        <v/>
      </c>
      <c r="CM221" s="21" t="str">
        <f>IF([1]!BANCO10[[#This Row],[SOLUÇÃO]]=CM$1,[1]!BANCO10[[#This Row],[STATUS DA ETAPA]],"")</f>
        <v/>
      </c>
      <c r="CN221" s="21" t="str">
        <f>IF([1]!BANCO10[[#This Row],[SOLUÇÃO]]=CN$1,[1]!BANCO10[[#This Row],[STATUS DA ETAPA]],"")</f>
        <v/>
      </c>
      <c r="CO221" s="21" t="str">
        <f>IF([1]!BANCO10[[#This Row],[SOLUÇÃO]]=CO$1,[1]!BANCO10[[#This Row],[STATUS DA ETAPA]],"")</f>
        <v/>
      </c>
      <c r="CP221" s="21" t="str">
        <f>IF([1]!BANCO10[[#This Row],[SOLUÇÃO]]=CP$1,[1]!BANCO10[[#This Row],[STATUS DA ETAPA]],"")</f>
        <v/>
      </c>
      <c r="CQ221" s="21" t="str">
        <f>IF([1]!BANCO10[[#This Row],[SOLUÇÃO]]=CQ$1,[1]!BANCO10[[#This Row],[STATUS DA ETAPA]],"")</f>
        <v/>
      </c>
      <c r="CR221" s="21" t="str">
        <f>IF([1]!BANCO10[[#This Row],[SOLUÇÃO]]=CR$1,[1]!BANCO10[[#This Row],[STATUS DA ETAPA]],"")</f>
        <v/>
      </c>
      <c r="CS221" s="21" t="str">
        <f>IF([1]!BANCO10[[#This Row],[SOLUÇÃO]]=CS$1,[1]!BANCO10[[#This Row],[STATUS DA ETAPA]],"")</f>
        <v/>
      </c>
      <c r="CT221" s="21" t="str">
        <f>IF([1]!BANCO10[[#This Row],[SOLUÇÃO]]=CT$1,[1]!BANCO10[[#This Row],[STATUS DA ETAPA]],"")</f>
        <v/>
      </c>
      <c r="CU221" s="21" t="str">
        <f>IF([1]!BANCO10[[#This Row],[SOLUÇÃO]]=CU$1,[1]!BANCO10[[#This Row],[STATUS DA ETAPA]],"")</f>
        <v/>
      </c>
      <c r="CV221" s="21" t="str">
        <f>IF([1]!BANCO10[[#This Row],[SOLUÇÃO]]=CV$1,[1]!BANCO10[[#This Row],[STATUS DA ETAPA]],"")</f>
        <v/>
      </c>
    </row>
    <row r="222" spans="1:100">
      <c r="A222" s="44" t="s">
        <v>1</v>
      </c>
      <c r="B222" s="44"/>
      <c r="C222" s="44" t="s">
        <v>1</v>
      </c>
      <c r="D222" s="44"/>
      <c r="E222" s="44" t="s">
        <v>1</v>
      </c>
      <c r="F222" s="44"/>
      <c r="G222" s="44" t="s">
        <v>1</v>
      </c>
      <c r="H222" s="44"/>
      <c r="I222" s="45" t="s">
        <v>1</v>
      </c>
      <c r="J222" s="46"/>
      <c r="K222" s="45" t="s">
        <v>1</v>
      </c>
      <c r="L222" s="33"/>
      <c r="M222" s="45" t="s">
        <v>1</v>
      </c>
      <c r="N222" s="33"/>
      <c r="O222" s="44" t="s">
        <v>2</v>
      </c>
      <c r="P222" s="44">
        <v>45602</v>
      </c>
      <c r="Q222" s="44"/>
      <c r="R222" s="44">
        <v>45371</v>
      </c>
      <c r="S222" s="44" t="s">
        <v>2</v>
      </c>
      <c r="T222" s="44">
        <v>45371</v>
      </c>
      <c r="U222" s="44" t="s">
        <v>2</v>
      </c>
      <c r="V222" s="44">
        <v>45372</v>
      </c>
      <c r="W222" s="44" t="s">
        <v>2</v>
      </c>
      <c r="X222" s="44"/>
      <c r="Y222" s="44" t="s">
        <v>2</v>
      </c>
      <c r="Z222" s="44"/>
      <c r="AA222" s="44" t="s">
        <v>2</v>
      </c>
      <c r="AB222" s="44"/>
      <c r="AC222" s="51">
        <v>45463</v>
      </c>
      <c r="AD222" s="50">
        <v>45541</v>
      </c>
      <c r="AE222" s="76" t="s">
        <v>2</v>
      </c>
      <c r="AF222" s="40" t="s">
        <v>2</v>
      </c>
      <c r="AG222" s="76" t="s">
        <v>5</v>
      </c>
      <c r="AH222" s="36" t="s">
        <v>0</v>
      </c>
      <c r="AI222" s="49">
        <v>0</v>
      </c>
      <c r="AJ222" s="36" t="s">
        <v>6</v>
      </c>
      <c r="AK222" s="10" t="s">
        <v>664</v>
      </c>
      <c r="AL222" s="36">
        <v>4742</v>
      </c>
      <c r="AM222" s="36"/>
      <c r="AN222" s="35" t="s">
        <v>1</v>
      </c>
      <c r="AO222" s="35" t="s">
        <v>1</v>
      </c>
      <c r="AP222" s="35" t="s">
        <v>2</v>
      </c>
      <c r="AQ222" s="35" t="s">
        <v>1</v>
      </c>
      <c r="AR222" s="34" t="s">
        <v>1</v>
      </c>
      <c r="AS222" s="33"/>
      <c r="AT222" s="32" t="s">
        <v>1</v>
      </c>
      <c r="AU222" s="31"/>
      <c r="AV222" s="32" t="s">
        <v>1</v>
      </c>
      <c r="AW222" s="31"/>
      <c r="AX222" s="30" t="s">
        <v>2</v>
      </c>
      <c r="AY222" s="55">
        <v>45541</v>
      </c>
      <c r="AZ222" s="28" t="s">
        <v>2</v>
      </c>
      <c r="BA222" s="55">
        <v>45541</v>
      </c>
      <c r="BB222" s="74" t="s">
        <v>663</v>
      </c>
      <c r="BC222" s="25"/>
      <c r="BD222" s="24" t="s">
        <v>72</v>
      </c>
      <c r="BE222" s="24" t="s">
        <v>11</v>
      </c>
      <c r="BF222" s="24" t="s">
        <v>51</v>
      </c>
      <c r="BG222" s="24" t="s">
        <v>11</v>
      </c>
      <c r="BH222" s="130" t="s">
        <v>18</v>
      </c>
      <c r="BI222" s="24" t="s">
        <v>51</v>
      </c>
      <c r="BJ222" s="24" t="s">
        <v>11</v>
      </c>
      <c r="BK222" s="24" t="s">
        <v>11</v>
      </c>
      <c r="BL222" s="24">
        <v>45389</v>
      </c>
      <c r="BM222" s="24"/>
      <c r="BN222" s="24" t="s">
        <v>11</v>
      </c>
      <c r="BO222" s="24"/>
      <c r="BP222" s="24" t="s">
        <v>86</v>
      </c>
      <c r="BQ222" s="22">
        <f>YEAR([1]!BANCO10[[#This Row],[DATA INÍCIO]])</f>
        <v>2024</v>
      </c>
      <c r="BR222" s="22">
        <f>MONTH([1]!BANCO10[[#This Row],[DATA INÍCIO]])</f>
        <v>6</v>
      </c>
      <c r="BS222" s="129" t="e">
        <f>CONCATENATE(#REF!,#REF!)</f>
        <v>#REF!</v>
      </c>
      <c r="BT222" s="22"/>
      <c r="BU222" s="21" t="s">
        <v>662</v>
      </c>
      <c r="BV222" s="21" t="str">
        <f>IF([1]!BANCO10[[#This Row],[SOLUÇÃO]]=BV$1,[1]!BANCO10[[#This Row],[STATUS DA ETAPA]],"")</f>
        <v/>
      </c>
      <c r="BW222" s="21" t="str">
        <f>IF([1]!BANCO10[[#This Row],[SOLUÇÃO]]=BW$1,[1]!BANCO10[[#This Row],[STATUS DA ETAPA]],"")</f>
        <v/>
      </c>
      <c r="BX222" s="21" t="str">
        <f>IF([1]!BANCO10[[#This Row],[SOLUÇÃO]]=BX$1,[1]!BANCO10[[#This Row],[STATUS DA ETAPA]],"")</f>
        <v/>
      </c>
      <c r="BY222" s="21" t="str">
        <f>IF([1]!BANCO10[[#This Row],[SOLUÇÃO]]=BY$1,[1]!BANCO10[[#This Row],[STATUS DA ETAPA]],"")</f>
        <v/>
      </c>
      <c r="BZ222" s="21" t="str">
        <f>IF([1]!BANCO10[[#This Row],[SOLUÇÃO]]=BZ$1,[1]!BANCO10[[#This Row],[STATUS DA ETAPA]],"")</f>
        <v/>
      </c>
      <c r="CA222" s="21" t="str">
        <f>IF([1]!BANCO10[[#This Row],[SOLUÇÃO]]=CA$1,[1]!BANCO10[[#This Row],[STATUS DA ETAPA]],"")</f>
        <v/>
      </c>
      <c r="CB222" s="21" t="str">
        <f>IF([1]!BANCO10[[#This Row],[SOLUÇÃO]]=CB$1,[1]!BANCO10[[#This Row],[STATUS DA ETAPA]],"")</f>
        <v/>
      </c>
      <c r="CC222" s="21" t="str">
        <f>IF([1]!BANCO10[[#This Row],[SOLUÇÃO]]=CC$1,[1]!BANCO10[[#This Row],[STATUS DA ETAPA]],"")</f>
        <v/>
      </c>
      <c r="CD222" s="21" t="str">
        <f>IF([1]!BANCO10[[#This Row],[SOLUÇÃO]]=CD$1,[1]!BANCO10[[#This Row],[STATUS DA ETAPA]],"")</f>
        <v/>
      </c>
      <c r="CE222" s="21" t="str">
        <f>IF([1]!BANCO10[[#This Row],[SOLUÇÃO]]=CE$1,[1]!BANCO10[[#This Row],[STATUS DA ETAPA]],"")</f>
        <v/>
      </c>
      <c r="CF222" s="21" t="str">
        <f>IF([1]!BANCO10[[#This Row],[SOLUÇÃO]]=CF$1,[1]!BANCO10[[#This Row],[STATUS DA ETAPA]],"")</f>
        <v/>
      </c>
      <c r="CG222" s="21" t="str">
        <f>IF([1]!BANCO10[[#This Row],[SOLUÇÃO]]=CG$1,[1]!BANCO10[[#This Row],[STATUS DA ETAPA]],"")</f>
        <v/>
      </c>
      <c r="CH222" s="21" t="str">
        <f>IF([1]!BANCO10[[#This Row],[SOLUÇÃO]]=CH$1,[1]!BANCO10[[#This Row],[STATUS DA ETAPA]],"")</f>
        <v/>
      </c>
      <c r="CI222" s="21" t="str">
        <f>IF([1]!BANCO10[[#This Row],[SOLUÇÃO]]=CI$1,[1]!BANCO10[[#This Row],[STATUS DA ETAPA]],"")</f>
        <v/>
      </c>
      <c r="CJ222" s="21" t="str">
        <f>IF([1]!BANCO10[[#This Row],[SOLUÇÃO]]=CJ$1,[1]!BANCO10[[#This Row],[STATUS DA ETAPA]],"")</f>
        <v/>
      </c>
      <c r="CK222" s="21" t="str">
        <f>IF([1]!BANCO10[[#This Row],[SOLUÇÃO]]=CK$1,[1]!BANCO10[[#This Row],[STATUS DA ETAPA]],"")</f>
        <v/>
      </c>
      <c r="CL222" s="21" t="str">
        <f>IF([1]!BANCO10[[#This Row],[SOLUÇÃO]]=CL$1,[1]!BANCO10[[#This Row],[STATUS DA ETAPA]],"")</f>
        <v>CONCLUÍDO</v>
      </c>
      <c r="CM222" s="21" t="str">
        <f>IF([1]!BANCO10[[#This Row],[SOLUÇÃO]]=CM$1,[1]!BANCO10[[#This Row],[STATUS DA ETAPA]],"")</f>
        <v/>
      </c>
      <c r="CN222" s="21" t="str">
        <f>IF([1]!BANCO10[[#This Row],[SOLUÇÃO]]=CN$1,[1]!BANCO10[[#This Row],[STATUS DA ETAPA]],"")</f>
        <v/>
      </c>
      <c r="CO222" s="21" t="str">
        <f>IF([1]!BANCO10[[#This Row],[SOLUÇÃO]]=CO$1,[1]!BANCO10[[#This Row],[STATUS DA ETAPA]],"")</f>
        <v/>
      </c>
      <c r="CP222" s="21" t="str">
        <f>IF([1]!BANCO10[[#This Row],[SOLUÇÃO]]=CP$1,[1]!BANCO10[[#This Row],[STATUS DA ETAPA]],"")</f>
        <v/>
      </c>
      <c r="CQ222" s="21" t="str">
        <f>IF([1]!BANCO10[[#This Row],[SOLUÇÃO]]=CQ$1,[1]!BANCO10[[#This Row],[STATUS DA ETAPA]],"")</f>
        <v/>
      </c>
      <c r="CR222" s="21" t="str">
        <f>IF([1]!BANCO10[[#This Row],[SOLUÇÃO]]=CR$1,[1]!BANCO10[[#This Row],[STATUS DA ETAPA]],"")</f>
        <v/>
      </c>
      <c r="CS222" s="21" t="str">
        <f>IF([1]!BANCO10[[#This Row],[SOLUÇÃO]]=CS$1,[1]!BANCO10[[#This Row],[STATUS DA ETAPA]],"")</f>
        <v/>
      </c>
      <c r="CT222" s="21" t="str">
        <f>IF([1]!BANCO10[[#This Row],[SOLUÇÃO]]=CT$1,[1]!BANCO10[[#This Row],[STATUS DA ETAPA]],"")</f>
        <v/>
      </c>
      <c r="CU222" s="21" t="str">
        <f>IF([1]!BANCO10[[#This Row],[SOLUÇÃO]]=CU$1,[1]!BANCO10[[#This Row],[STATUS DA ETAPA]],"")</f>
        <v/>
      </c>
      <c r="CV222" s="21" t="str">
        <f>IF([1]!BANCO10[[#This Row],[SOLUÇÃO]]=CV$1,[1]!BANCO10[[#This Row],[STATUS DA ETAPA]],"")</f>
        <v/>
      </c>
    </row>
    <row r="223" spans="1:100">
      <c r="A223" s="44" t="s">
        <v>1</v>
      </c>
      <c r="B223" s="44"/>
      <c r="C223" s="44" t="s">
        <v>1</v>
      </c>
      <c r="D223" s="44"/>
      <c r="E223" s="44" t="s">
        <v>1</v>
      </c>
      <c r="F223" s="44"/>
      <c r="G223" s="44" t="s">
        <v>1</v>
      </c>
      <c r="H223" s="44"/>
      <c r="I223" s="45" t="s">
        <v>1</v>
      </c>
      <c r="J223" s="46"/>
      <c r="K223" s="45" t="s">
        <v>1</v>
      </c>
      <c r="L223" s="33"/>
      <c r="M223" s="45" t="s">
        <v>1</v>
      </c>
      <c r="N223" s="33"/>
      <c r="O223" s="44" t="s">
        <v>1</v>
      </c>
      <c r="P223" s="44"/>
      <c r="Q223" s="44" t="s">
        <v>1</v>
      </c>
      <c r="R223" s="44"/>
      <c r="S223" s="44" t="s">
        <v>1</v>
      </c>
      <c r="T223" s="44"/>
      <c r="U223" s="44" t="s">
        <v>1</v>
      </c>
      <c r="V223" s="44"/>
      <c r="W223" s="44" t="s">
        <v>1</v>
      </c>
      <c r="X223" s="44"/>
      <c r="Y223" s="44" t="s">
        <v>1</v>
      </c>
      <c r="Z223" s="44"/>
      <c r="AA223" s="44" t="s">
        <v>1</v>
      </c>
      <c r="AB223" s="44"/>
      <c r="AC223" s="51">
        <v>45963</v>
      </c>
      <c r="AD223" s="50">
        <v>45963</v>
      </c>
      <c r="AE223" s="40" t="s">
        <v>1</v>
      </c>
      <c r="AF223" s="40" t="s">
        <v>1</v>
      </c>
      <c r="AG223" s="40" t="s">
        <v>1</v>
      </c>
      <c r="AH223" s="36" t="s">
        <v>1</v>
      </c>
      <c r="AI223" s="49">
        <v>0</v>
      </c>
      <c r="AJ223" s="36" t="s">
        <v>1</v>
      </c>
      <c r="AK223" s="10" t="s">
        <v>1</v>
      </c>
      <c r="AL223" s="36" t="s">
        <v>1</v>
      </c>
      <c r="AM223" s="36" t="s">
        <v>1</v>
      </c>
      <c r="AN223" s="35" t="s">
        <v>1</v>
      </c>
      <c r="AO223" s="35" t="s">
        <v>1</v>
      </c>
      <c r="AP223" s="35" t="s">
        <v>1</v>
      </c>
      <c r="AQ223" s="35" t="s">
        <v>1</v>
      </c>
      <c r="AR223" s="34" t="s">
        <v>1</v>
      </c>
      <c r="AS223" s="63"/>
      <c r="AT223" s="32" t="s">
        <v>1</v>
      </c>
      <c r="AU223" s="31"/>
      <c r="AV223" s="32" t="s">
        <v>1</v>
      </c>
      <c r="AW223" s="31"/>
      <c r="AX223" s="32" t="s">
        <v>1</v>
      </c>
      <c r="AY223" s="31"/>
      <c r="AZ223" s="32" t="s">
        <v>1</v>
      </c>
      <c r="BA223" s="31"/>
      <c r="BB223" s="74" t="s">
        <v>661</v>
      </c>
      <c r="BC223" s="25"/>
      <c r="BD223" s="24" t="s">
        <v>11</v>
      </c>
      <c r="BE223" s="24" t="s">
        <v>11</v>
      </c>
      <c r="BF223" s="24" t="s">
        <v>11</v>
      </c>
      <c r="BG223" s="24" t="s">
        <v>11</v>
      </c>
      <c r="BH223" s="130" t="s">
        <v>11</v>
      </c>
      <c r="BI223" s="24"/>
      <c r="BJ223" s="24" t="s">
        <v>11</v>
      </c>
      <c r="BK223" s="24" t="s">
        <v>11</v>
      </c>
      <c r="BL223" s="24" t="s">
        <v>11</v>
      </c>
      <c r="BM223" s="24" t="s">
        <v>11</v>
      </c>
      <c r="BN223" s="24" t="s">
        <v>11</v>
      </c>
      <c r="BO223" s="24" t="s">
        <v>11</v>
      </c>
      <c r="BP223" s="24" t="s">
        <v>11</v>
      </c>
      <c r="BQ223" s="22">
        <f>YEAR([1]!BANCO10[[#This Row],[DATA INÍCIO]])</f>
        <v>2025</v>
      </c>
      <c r="BR223" s="22">
        <f>MONTH([1]!BANCO10[[#This Row],[DATA INÍCIO]])</f>
        <v>11</v>
      </c>
      <c r="BS223" s="129" t="e">
        <f>CONCATENATE(#REF!,#REF!)</f>
        <v>#REF!</v>
      </c>
      <c r="BT223" s="22"/>
      <c r="BU223" s="21" t="s">
        <v>660</v>
      </c>
      <c r="BV223" s="21" t="str">
        <f>IF([1]!BANCO10[[#This Row],[SOLUÇÃO]]=BV$1,[1]!BANCO10[[#This Row],[STATUS DA ETAPA]],"")</f>
        <v/>
      </c>
      <c r="BW223" s="21" t="str">
        <f>IF([1]!BANCO10[[#This Row],[SOLUÇÃO]]=BW$1,[1]!BANCO10[[#This Row],[STATUS DA ETAPA]],"")</f>
        <v/>
      </c>
      <c r="BX223" s="21" t="str">
        <f>IF([1]!BANCO10[[#This Row],[SOLUÇÃO]]=BX$1,[1]!BANCO10[[#This Row],[STATUS DA ETAPA]],"")</f>
        <v/>
      </c>
      <c r="BY223" s="21" t="str">
        <f>IF([1]!BANCO10[[#This Row],[SOLUÇÃO]]=BY$1,[1]!BANCO10[[#This Row],[STATUS DA ETAPA]],"")</f>
        <v/>
      </c>
      <c r="BZ223" s="21" t="str">
        <f>IF([1]!BANCO10[[#This Row],[SOLUÇÃO]]=BZ$1,[1]!BANCO10[[#This Row],[STATUS DA ETAPA]],"")</f>
        <v/>
      </c>
      <c r="CA223" s="21" t="str">
        <f>IF([1]!BANCO10[[#This Row],[SOLUÇÃO]]=CA$1,[1]!BANCO10[[#This Row],[STATUS DA ETAPA]],"")</f>
        <v>CANCELADO</v>
      </c>
      <c r="CB223" s="21" t="str">
        <f>IF([1]!BANCO10[[#This Row],[SOLUÇÃO]]=CB$1,[1]!BANCO10[[#This Row],[STATUS DA ETAPA]],"")</f>
        <v/>
      </c>
      <c r="CC223" s="21" t="str">
        <f>IF([1]!BANCO10[[#This Row],[SOLUÇÃO]]=CC$1,[1]!BANCO10[[#This Row],[STATUS DA ETAPA]],"")</f>
        <v/>
      </c>
      <c r="CD223" s="21" t="str">
        <f>IF([1]!BANCO10[[#This Row],[SOLUÇÃO]]=CD$1,[1]!BANCO10[[#This Row],[STATUS DA ETAPA]],"")</f>
        <v/>
      </c>
      <c r="CE223" s="21" t="str">
        <f>IF([1]!BANCO10[[#This Row],[SOLUÇÃO]]=CE$1,[1]!BANCO10[[#This Row],[STATUS DA ETAPA]],"")</f>
        <v/>
      </c>
      <c r="CF223" s="21" t="str">
        <f>IF([1]!BANCO10[[#This Row],[SOLUÇÃO]]=CF$1,[1]!BANCO10[[#This Row],[STATUS DA ETAPA]],"")</f>
        <v/>
      </c>
      <c r="CG223" s="21" t="str">
        <f>IF([1]!BANCO10[[#This Row],[SOLUÇÃO]]=CG$1,[1]!BANCO10[[#This Row],[STATUS DA ETAPA]],"")</f>
        <v/>
      </c>
      <c r="CH223" s="21" t="str">
        <f>IF([1]!BANCO10[[#This Row],[SOLUÇÃO]]=CH$1,[1]!BANCO10[[#This Row],[STATUS DA ETAPA]],"")</f>
        <v/>
      </c>
      <c r="CI223" s="21" t="str">
        <f>IF([1]!BANCO10[[#This Row],[SOLUÇÃO]]=CI$1,[1]!BANCO10[[#This Row],[STATUS DA ETAPA]],"")</f>
        <v/>
      </c>
      <c r="CJ223" s="21" t="str">
        <f>IF([1]!BANCO10[[#This Row],[SOLUÇÃO]]=CJ$1,[1]!BANCO10[[#This Row],[STATUS DA ETAPA]],"")</f>
        <v/>
      </c>
      <c r="CK223" s="21" t="str">
        <f>IF([1]!BANCO10[[#This Row],[SOLUÇÃO]]=CK$1,[1]!BANCO10[[#This Row],[STATUS DA ETAPA]],"")</f>
        <v/>
      </c>
      <c r="CL223" s="21" t="str">
        <f>IF([1]!BANCO10[[#This Row],[SOLUÇÃO]]=CL$1,[1]!BANCO10[[#This Row],[STATUS DA ETAPA]],"")</f>
        <v/>
      </c>
      <c r="CM223" s="21" t="str">
        <f>IF([1]!BANCO10[[#This Row],[SOLUÇÃO]]=CM$1,[1]!BANCO10[[#This Row],[STATUS DA ETAPA]],"")</f>
        <v/>
      </c>
      <c r="CN223" s="21" t="str">
        <f>IF([1]!BANCO10[[#This Row],[SOLUÇÃO]]=CN$1,[1]!BANCO10[[#This Row],[STATUS DA ETAPA]],"")</f>
        <v/>
      </c>
      <c r="CO223" s="21" t="str">
        <f>IF([1]!BANCO10[[#This Row],[SOLUÇÃO]]=CO$1,[1]!BANCO10[[#This Row],[STATUS DA ETAPA]],"")</f>
        <v/>
      </c>
      <c r="CP223" s="21" t="str">
        <f>IF([1]!BANCO10[[#This Row],[SOLUÇÃO]]=CP$1,[1]!BANCO10[[#This Row],[STATUS DA ETAPA]],"")</f>
        <v/>
      </c>
      <c r="CQ223" s="21" t="str">
        <f>IF([1]!BANCO10[[#This Row],[SOLUÇÃO]]=CQ$1,[1]!BANCO10[[#This Row],[STATUS DA ETAPA]],"")</f>
        <v/>
      </c>
      <c r="CR223" s="21" t="str">
        <f>IF([1]!BANCO10[[#This Row],[SOLUÇÃO]]=CR$1,[1]!BANCO10[[#This Row],[STATUS DA ETAPA]],"")</f>
        <v/>
      </c>
      <c r="CS223" s="21" t="str">
        <f>IF([1]!BANCO10[[#This Row],[SOLUÇÃO]]=CS$1,[1]!BANCO10[[#This Row],[STATUS DA ETAPA]],"")</f>
        <v/>
      </c>
      <c r="CT223" s="21" t="str">
        <f>IF([1]!BANCO10[[#This Row],[SOLUÇÃO]]=CT$1,[1]!BANCO10[[#This Row],[STATUS DA ETAPA]],"")</f>
        <v/>
      </c>
      <c r="CU223" s="21" t="str">
        <f>IF([1]!BANCO10[[#This Row],[SOLUÇÃO]]=CU$1,[1]!BANCO10[[#This Row],[STATUS DA ETAPA]],"")</f>
        <v/>
      </c>
      <c r="CV223" s="21" t="str">
        <f>IF([1]!BANCO10[[#This Row],[SOLUÇÃO]]=CV$1,[1]!BANCO10[[#This Row],[STATUS DA ETAPA]],"")</f>
        <v/>
      </c>
    </row>
    <row r="224" spans="1:100">
      <c r="A224" s="44" t="s">
        <v>1</v>
      </c>
      <c r="B224" s="44"/>
      <c r="C224" s="44" t="s">
        <v>1</v>
      </c>
      <c r="D224" s="44"/>
      <c r="E224" s="44" t="s">
        <v>1</v>
      </c>
      <c r="F224" s="44"/>
      <c r="G224" s="44" t="s">
        <v>1</v>
      </c>
      <c r="H224" s="44"/>
      <c r="I224" s="45" t="s">
        <v>1</v>
      </c>
      <c r="J224" s="46"/>
      <c r="K224" s="45" t="s">
        <v>1</v>
      </c>
      <c r="L224" s="33"/>
      <c r="M224" s="45" t="s">
        <v>1</v>
      </c>
      <c r="N224" s="33"/>
      <c r="O224" s="44" t="s">
        <v>1</v>
      </c>
      <c r="P224" s="44"/>
      <c r="Q224" s="44" t="s">
        <v>1</v>
      </c>
      <c r="R224" s="44"/>
      <c r="S224" s="44" t="s">
        <v>1</v>
      </c>
      <c r="T224" s="44"/>
      <c r="U224" s="44" t="s">
        <v>1</v>
      </c>
      <c r="V224" s="44"/>
      <c r="W224" s="44" t="s">
        <v>1</v>
      </c>
      <c r="X224" s="44"/>
      <c r="Y224" s="44" t="s">
        <v>1</v>
      </c>
      <c r="Z224" s="44"/>
      <c r="AA224" s="44" t="s">
        <v>1</v>
      </c>
      <c r="AB224" s="44"/>
      <c r="AC224" s="51">
        <v>45637</v>
      </c>
      <c r="AD224" s="50">
        <v>45740</v>
      </c>
      <c r="AE224" s="41" t="s">
        <v>2</v>
      </c>
      <c r="AF224" s="41" t="s">
        <v>2</v>
      </c>
      <c r="AG224" s="76" t="s">
        <v>5</v>
      </c>
      <c r="AH224" s="36" t="s">
        <v>0</v>
      </c>
      <c r="AI224" s="49">
        <v>0</v>
      </c>
      <c r="AJ224" s="36" t="s">
        <v>6</v>
      </c>
      <c r="AK224" s="10" t="s">
        <v>659</v>
      </c>
      <c r="AL224" s="36">
        <v>4728</v>
      </c>
      <c r="AM224" s="36">
        <v>117203</v>
      </c>
      <c r="AN224" s="35" t="s">
        <v>1</v>
      </c>
      <c r="AO224" s="35" t="s">
        <v>1</v>
      </c>
      <c r="AP224" s="35" t="s">
        <v>2</v>
      </c>
      <c r="AQ224" s="35" t="s">
        <v>1</v>
      </c>
      <c r="AR224" s="34" t="s">
        <v>1</v>
      </c>
      <c r="AS224" s="33"/>
      <c r="AT224" s="32" t="s">
        <v>2</v>
      </c>
      <c r="AU224" s="31">
        <v>45748</v>
      </c>
      <c r="AV224" s="32" t="s">
        <v>2</v>
      </c>
      <c r="AW224" s="31">
        <v>45748</v>
      </c>
      <c r="AX224" s="32" t="s">
        <v>2</v>
      </c>
      <c r="AY224" s="31">
        <v>45756</v>
      </c>
      <c r="AZ224" s="32" t="s">
        <v>0</v>
      </c>
      <c r="BA224" s="31"/>
      <c r="BB224" s="74"/>
      <c r="BC224" s="25" t="s">
        <v>31</v>
      </c>
      <c r="BD224" s="25"/>
      <c r="BE224" s="25"/>
      <c r="BF224" s="25"/>
      <c r="BG224" s="25"/>
      <c r="BH224" s="25"/>
      <c r="BI224" s="25"/>
      <c r="BJ224" s="25"/>
      <c r="BK224" s="25"/>
      <c r="BL224" s="25"/>
      <c r="BM224" s="25"/>
      <c r="BN224" s="25"/>
      <c r="BO224" s="25"/>
      <c r="BP224" s="25"/>
      <c r="BQ224" s="22">
        <f>YEAR([1]!BANCO10[[#This Row],[DATA INÍCIO]])</f>
        <v>2024</v>
      </c>
      <c r="BR224" s="22">
        <f>MONTH([1]!BANCO10[[#This Row],[DATA INÍCIO]])</f>
        <v>12</v>
      </c>
      <c r="BS224" s="23" t="e">
        <f>CONCATENATE(#REF!,#REF!)</f>
        <v>#REF!</v>
      </c>
      <c r="BT224" s="22"/>
      <c r="BU224" s="22"/>
      <c r="BV224" s="21" t="str">
        <f>IF([1]!BANCO10[[#This Row],[SOLUÇÃO]]=BV$1,[1]!BANCO10[[#This Row],[STATUS DA ETAPA]],"")</f>
        <v/>
      </c>
      <c r="BW224" s="21" t="str">
        <f>IF([1]!BANCO10[[#This Row],[SOLUÇÃO]]=BW$1,[1]!BANCO10[[#This Row],[STATUS DA ETAPA]],"")</f>
        <v/>
      </c>
      <c r="BX224" s="21" t="str">
        <f>IF([1]!BANCO10[[#This Row],[SOLUÇÃO]]=BX$1,[1]!BANCO10[[#This Row],[STATUS DA ETAPA]],"")</f>
        <v/>
      </c>
      <c r="BY224" s="21" t="str">
        <f>IF([1]!BANCO10[[#This Row],[SOLUÇÃO]]=BY$1,[1]!BANCO10[[#This Row],[STATUS DA ETAPA]],"")</f>
        <v/>
      </c>
      <c r="BZ224" s="21" t="str">
        <f>IF([1]!BANCO10[[#This Row],[SOLUÇÃO]]=BZ$1,[1]!BANCO10[[#This Row],[STATUS DA ETAPA]],"")</f>
        <v/>
      </c>
      <c r="CA224" s="21" t="str">
        <f>IF([1]!BANCO10[[#This Row],[SOLUÇÃO]]=CA$1,[1]!BANCO10[[#This Row],[STATUS DA ETAPA]],"")</f>
        <v>CONCLUÍDO</v>
      </c>
      <c r="CB224" s="21" t="str">
        <f>IF([1]!BANCO10[[#This Row],[SOLUÇÃO]]=CB$1,[1]!BANCO10[[#This Row],[STATUS DA ETAPA]],"")</f>
        <v/>
      </c>
      <c r="CC224" s="21" t="str">
        <f>IF([1]!BANCO10[[#This Row],[SOLUÇÃO]]=CC$1,[1]!BANCO10[[#This Row],[STATUS DA ETAPA]],"")</f>
        <v/>
      </c>
      <c r="CD224" s="21" t="str">
        <f>IF([1]!BANCO10[[#This Row],[SOLUÇÃO]]=CD$1,[1]!BANCO10[[#This Row],[STATUS DA ETAPA]],"")</f>
        <v/>
      </c>
      <c r="CE224" s="21" t="str">
        <f>IF([1]!BANCO10[[#This Row],[SOLUÇÃO]]=CE$1,[1]!BANCO10[[#This Row],[STATUS DA ETAPA]],"")</f>
        <v/>
      </c>
      <c r="CF224" s="21" t="str">
        <f>IF([1]!BANCO10[[#This Row],[SOLUÇÃO]]=CF$1,[1]!BANCO10[[#This Row],[STATUS DA ETAPA]],"")</f>
        <v/>
      </c>
      <c r="CG224" s="21" t="str">
        <f>IF([1]!BANCO10[[#This Row],[SOLUÇÃO]]=CG$1,[1]!BANCO10[[#This Row],[STATUS DA ETAPA]],"")</f>
        <v/>
      </c>
      <c r="CH224" s="21" t="str">
        <f>IF([1]!BANCO10[[#This Row],[SOLUÇÃO]]=CH$1,[1]!BANCO10[[#This Row],[STATUS DA ETAPA]],"")</f>
        <v/>
      </c>
      <c r="CI224" s="21" t="str">
        <f>IF([1]!BANCO10[[#This Row],[SOLUÇÃO]]=CI$1,[1]!BANCO10[[#This Row],[STATUS DA ETAPA]],"")</f>
        <v/>
      </c>
      <c r="CJ224" s="21" t="str">
        <f>IF([1]!BANCO10[[#This Row],[SOLUÇÃO]]=CJ$1,[1]!BANCO10[[#This Row],[STATUS DA ETAPA]],"")</f>
        <v/>
      </c>
      <c r="CK224" s="21" t="str">
        <f>IF([1]!BANCO10[[#This Row],[SOLUÇÃO]]=CK$1,[1]!BANCO10[[#This Row],[STATUS DA ETAPA]],"")</f>
        <v/>
      </c>
      <c r="CL224" s="21" t="str">
        <f>IF([1]!BANCO10[[#This Row],[SOLUÇÃO]]=CL$1,[1]!BANCO10[[#This Row],[STATUS DA ETAPA]],"")</f>
        <v/>
      </c>
      <c r="CM224" s="21" t="str">
        <f>IF([1]!BANCO10[[#This Row],[SOLUÇÃO]]=CM$1,[1]!BANCO10[[#This Row],[STATUS DA ETAPA]],"")</f>
        <v/>
      </c>
      <c r="CN224" s="21" t="str">
        <f>IF([1]!BANCO10[[#This Row],[SOLUÇÃO]]=CN$1,[1]!BANCO10[[#This Row],[STATUS DA ETAPA]],"")</f>
        <v/>
      </c>
      <c r="CO224" s="21" t="str">
        <f>IF([1]!BANCO10[[#This Row],[SOLUÇÃO]]=CO$1,[1]!BANCO10[[#This Row],[STATUS DA ETAPA]],"")</f>
        <v/>
      </c>
      <c r="CP224" s="21" t="str">
        <f>IF([1]!BANCO10[[#This Row],[SOLUÇÃO]]=CP$1,[1]!BANCO10[[#This Row],[STATUS DA ETAPA]],"")</f>
        <v/>
      </c>
      <c r="CQ224" s="21" t="str">
        <f>IF([1]!BANCO10[[#This Row],[SOLUÇÃO]]=CQ$1,[1]!BANCO10[[#This Row],[STATUS DA ETAPA]],"")</f>
        <v/>
      </c>
      <c r="CR224" s="21" t="str">
        <f>IF([1]!BANCO10[[#This Row],[SOLUÇÃO]]=CR$1,[1]!BANCO10[[#This Row],[STATUS DA ETAPA]],"")</f>
        <v/>
      </c>
      <c r="CS224" s="21" t="str">
        <f>IF([1]!BANCO10[[#This Row],[SOLUÇÃO]]=CS$1,[1]!BANCO10[[#This Row],[STATUS DA ETAPA]],"")</f>
        <v/>
      </c>
      <c r="CT224" s="21" t="str">
        <f>IF([1]!BANCO10[[#This Row],[SOLUÇÃO]]=CT$1,[1]!BANCO10[[#This Row],[STATUS DA ETAPA]],"")</f>
        <v/>
      </c>
      <c r="CU224" s="21" t="str">
        <f>IF([1]!BANCO10[[#This Row],[SOLUÇÃO]]=CU$1,[1]!BANCO10[[#This Row],[STATUS DA ETAPA]],"")</f>
        <v/>
      </c>
      <c r="CV224" s="21" t="str">
        <f>IF([1]!BANCO10[[#This Row],[SOLUÇÃO]]=CV$1,[1]!BANCO10[[#This Row],[STATUS DA ETAPA]],"")</f>
        <v/>
      </c>
    </row>
    <row r="225" spans="1:100">
      <c r="A225" s="44" t="s">
        <v>2</v>
      </c>
      <c r="B225" s="44">
        <v>45896</v>
      </c>
      <c r="C225" s="44" t="s">
        <v>2</v>
      </c>
      <c r="D225" s="44">
        <v>45905</v>
      </c>
      <c r="E225" s="44" t="s">
        <v>2</v>
      </c>
      <c r="F225" s="44">
        <v>45917</v>
      </c>
      <c r="G225" s="44" t="s">
        <v>2</v>
      </c>
      <c r="H225" s="44">
        <v>45917</v>
      </c>
      <c r="I225" s="45" t="s">
        <v>2</v>
      </c>
      <c r="J225" s="46">
        <v>45905</v>
      </c>
      <c r="K225" s="45" t="s">
        <v>0</v>
      </c>
      <c r="L225" s="33"/>
      <c r="M225" s="45" t="s">
        <v>0</v>
      </c>
      <c r="N225" s="33"/>
      <c r="O225" s="44" t="s">
        <v>0</v>
      </c>
      <c r="P225" s="44"/>
      <c r="Q225" s="44" t="s">
        <v>2</v>
      </c>
      <c r="R225" s="44">
        <v>45917</v>
      </c>
      <c r="S225" s="44"/>
      <c r="T225" s="44"/>
      <c r="U225" s="44" t="s">
        <v>0</v>
      </c>
      <c r="V225" s="44"/>
      <c r="W225" s="44" t="s">
        <v>0</v>
      </c>
      <c r="X225" s="44"/>
      <c r="Y225" s="44" t="s">
        <v>0</v>
      </c>
      <c r="Z225" s="44"/>
      <c r="AA225" s="44" t="s">
        <v>0</v>
      </c>
      <c r="AB225" s="44"/>
      <c r="AC225" s="51">
        <v>46022</v>
      </c>
      <c r="AD225" s="50">
        <v>46022</v>
      </c>
      <c r="AE225" s="41" t="s">
        <v>0</v>
      </c>
      <c r="AF225" s="41" t="s">
        <v>0</v>
      </c>
      <c r="AG225" s="40" t="s">
        <v>5</v>
      </c>
      <c r="AH225" s="36" t="s">
        <v>0</v>
      </c>
      <c r="AI225" s="49">
        <v>14440</v>
      </c>
      <c r="AJ225" s="36" t="s">
        <v>3</v>
      </c>
      <c r="AK225" s="10">
        <v>711182</v>
      </c>
      <c r="AL225" s="36" t="s">
        <v>1</v>
      </c>
      <c r="AM225" s="36" t="s">
        <v>1</v>
      </c>
      <c r="AN225" s="35" t="s">
        <v>0</v>
      </c>
      <c r="AO225" s="35" t="s">
        <v>0</v>
      </c>
      <c r="AP225" s="35" t="s">
        <v>0</v>
      </c>
      <c r="AQ225" s="35" t="s">
        <v>0</v>
      </c>
      <c r="AR225" s="34" t="s">
        <v>0</v>
      </c>
      <c r="AS225" s="33"/>
      <c r="AT225" s="32" t="s">
        <v>1</v>
      </c>
      <c r="AU225" s="31"/>
      <c r="AV225" s="32" t="s">
        <v>1</v>
      </c>
      <c r="AW225" s="31"/>
      <c r="AX225" s="30" t="s">
        <v>0</v>
      </c>
      <c r="AY225" s="29"/>
      <c r="AZ225" s="28" t="s">
        <v>0</v>
      </c>
      <c r="BA225" s="27"/>
      <c r="BB225" s="26"/>
      <c r="BC225" s="25"/>
      <c r="BD225" s="24"/>
      <c r="BE225" s="24"/>
      <c r="BF225" s="24"/>
      <c r="BG225" s="24"/>
      <c r="BH225" s="24"/>
      <c r="BI225" s="24"/>
      <c r="BJ225" s="24"/>
      <c r="BK225" s="24"/>
      <c r="BL225" s="24"/>
      <c r="BM225" s="24"/>
      <c r="BN225" s="24"/>
      <c r="BO225" s="24"/>
      <c r="BP225" s="24"/>
      <c r="BQ225" s="22">
        <f>YEAR([1]!BANCO10[[#This Row],[DATA INÍCIO]])</f>
        <v>2025</v>
      </c>
      <c r="BR225" s="22">
        <f>MONTH([1]!BANCO10[[#This Row],[DATA INÍCIO]])</f>
        <v>12</v>
      </c>
      <c r="BS225" s="23" t="e">
        <f>CONCATENATE(#REF!,#REF!)</f>
        <v>#REF!</v>
      </c>
      <c r="BT225" s="22"/>
      <c r="BU225" s="22"/>
      <c r="BV225" s="21" t="str">
        <f>IF([1]!BANCO10[[#This Row],[SOLUÇÃO]]=BV$1,[1]!BANCO10[[#This Row],[STATUS DA ETAPA]],"")</f>
        <v/>
      </c>
      <c r="BW225" s="21" t="str">
        <f>IF([1]!BANCO10[[#This Row],[SOLUÇÃO]]=BW$1,[1]!BANCO10[[#This Row],[STATUS DA ETAPA]],"")</f>
        <v/>
      </c>
      <c r="BX225" s="21" t="str">
        <f>IF([1]!BANCO10[[#This Row],[SOLUÇÃO]]=BX$1,[1]!BANCO10[[#This Row],[STATUS DA ETAPA]],"")</f>
        <v/>
      </c>
      <c r="BY225" s="21" t="str">
        <f>IF([1]!BANCO10[[#This Row],[SOLUÇÃO]]=BY$1,[1]!BANCO10[[#This Row],[STATUS DA ETAPA]],"")</f>
        <v/>
      </c>
      <c r="BZ225" s="21" t="str">
        <f>IF([1]!BANCO10[[#This Row],[SOLUÇÃO]]=BZ$1,[1]!BANCO10[[#This Row],[STATUS DA ETAPA]],"")</f>
        <v/>
      </c>
      <c r="CA225" s="21" t="str">
        <f>IF([1]!BANCO10[[#This Row],[SOLUÇÃO]]=CA$1,[1]!BANCO10[[#This Row],[STATUS DA ETAPA]],"")</f>
        <v/>
      </c>
      <c r="CB225" s="21" t="str">
        <f>IF([1]!BANCO10[[#This Row],[SOLUÇÃO]]=CB$1,[1]!BANCO10[[#This Row],[STATUS DA ETAPA]],"")</f>
        <v>AGUARDANDO SALDO</v>
      </c>
      <c r="CC225" s="21" t="str">
        <f>IF([1]!BANCO10[[#This Row],[SOLUÇÃO]]=CC$1,[1]!BANCO10[[#This Row],[STATUS DA ETAPA]],"")</f>
        <v/>
      </c>
      <c r="CD225" s="21" t="str">
        <f>IF([1]!BANCO10[[#This Row],[SOLUÇÃO]]=CD$1,[1]!BANCO10[[#This Row],[STATUS DA ETAPA]],"")</f>
        <v/>
      </c>
      <c r="CE225" s="21" t="str">
        <f>IF([1]!BANCO10[[#This Row],[SOLUÇÃO]]=CE$1,[1]!BANCO10[[#This Row],[STATUS DA ETAPA]],"")</f>
        <v/>
      </c>
      <c r="CF225" s="21" t="str">
        <f>IF([1]!BANCO10[[#This Row],[SOLUÇÃO]]=CF$1,[1]!BANCO10[[#This Row],[STATUS DA ETAPA]],"")</f>
        <v/>
      </c>
      <c r="CG225" s="21" t="str">
        <f>IF([1]!BANCO10[[#This Row],[SOLUÇÃO]]=CG$1,[1]!BANCO10[[#This Row],[STATUS DA ETAPA]],"")</f>
        <v/>
      </c>
      <c r="CH225" s="21" t="str">
        <f>IF([1]!BANCO10[[#This Row],[SOLUÇÃO]]=CH$1,[1]!BANCO10[[#This Row],[STATUS DA ETAPA]],"")</f>
        <v/>
      </c>
      <c r="CI225" s="21" t="str">
        <f>IF([1]!BANCO10[[#This Row],[SOLUÇÃO]]=CI$1,[1]!BANCO10[[#This Row],[STATUS DA ETAPA]],"")</f>
        <v/>
      </c>
      <c r="CJ225" s="21" t="str">
        <f>IF([1]!BANCO10[[#This Row],[SOLUÇÃO]]=CJ$1,[1]!BANCO10[[#This Row],[STATUS DA ETAPA]],"")</f>
        <v/>
      </c>
      <c r="CK225" s="21" t="str">
        <f>IF([1]!BANCO10[[#This Row],[SOLUÇÃO]]=CK$1,[1]!BANCO10[[#This Row],[STATUS DA ETAPA]],"")</f>
        <v/>
      </c>
      <c r="CL225" s="21" t="str">
        <f>IF([1]!BANCO10[[#This Row],[SOLUÇÃO]]=CL$1,[1]!BANCO10[[#This Row],[STATUS DA ETAPA]],"")</f>
        <v/>
      </c>
      <c r="CM225" s="21" t="str">
        <f>IF([1]!BANCO10[[#This Row],[SOLUÇÃO]]=CM$1,[1]!BANCO10[[#This Row],[STATUS DA ETAPA]],"")</f>
        <v/>
      </c>
      <c r="CN225" s="21" t="str">
        <f>IF([1]!BANCO10[[#This Row],[SOLUÇÃO]]=CN$1,[1]!BANCO10[[#This Row],[STATUS DA ETAPA]],"")</f>
        <v/>
      </c>
      <c r="CO225" s="21" t="str">
        <f>IF([1]!BANCO10[[#This Row],[SOLUÇÃO]]=CO$1,[1]!BANCO10[[#This Row],[STATUS DA ETAPA]],"")</f>
        <v/>
      </c>
      <c r="CP225" s="21" t="str">
        <f>IF([1]!BANCO10[[#This Row],[SOLUÇÃO]]=CP$1,[1]!BANCO10[[#This Row],[STATUS DA ETAPA]],"")</f>
        <v/>
      </c>
      <c r="CQ225" s="21" t="str">
        <f>IF([1]!BANCO10[[#This Row],[SOLUÇÃO]]=CQ$1,[1]!BANCO10[[#This Row],[STATUS DA ETAPA]],"")</f>
        <v/>
      </c>
      <c r="CR225" s="21" t="str">
        <f>IF([1]!BANCO10[[#This Row],[SOLUÇÃO]]=CR$1,[1]!BANCO10[[#This Row],[STATUS DA ETAPA]],"")</f>
        <v/>
      </c>
      <c r="CS225" s="21" t="str">
        <f>IF([1]!BANCO10[[#This Row],[SOLUÇÃO]]=CS$1,[1]!BANCO10[[#This Row],[STATUS DA ETAPA]],"")</f>
        <v/>
      </c>
      <c r="CT225" s="21" t="str">
        <f>IF([1]!BANCO10[[#This Row],[SOLUÇÃO]]=CT$1,[1]!BANCO10[[#This Row],[STATUS DA ETAPA]],"")</f>
        <v/>
      </c>
      <c r="CU225" s="21" t="str">
        <f>IF([1]!BANCO10[[#This Row],[SOLUÇÃO]]=CU$1,[1]!BANCO10[[#This Row],[STATUS DA ETAPA]],"")</f>
        <v/>
      </c>
      <c r="CV225" s="21" t="str">
        <f>IF([1]!BANCO10[[#This Row],[SOLUÇÃO]]=CV$1,[1]!BANCO10[[#This Row],[STATUS DA ETAPA]],"")</f>
        <v/>
      </c>
    </row>
    <row r="226" spans="1:100">
      <c r="A226" s="44" t="s">
        <v>1</v>
      </c>
      <c r="B226" s="44"/>
      <c r="C226" s="44" t="s">
        <v>1</v>
      </c>
      <c r="D226" s="44"/>
      <c r="E226" s="44" t="s">
        <v>1</v>
      </c>
      <c r="F226" s="44"/>
      <c r="G226" s="44" t="s">
        <v>1</v>
      </c>
      <c r="H226" s="44"/>
      <c r="I226" s="45" t="s">
        <v>1</v>
      </c>
      <c r="J226" s="46"/>
      <c r="K226" s="45" t="s">
        <v>1</v>
      </c>
      <c r="L226" s="33"/>
      <c r="M226" s="45" t="s">
        <v>1</v>
      </c>
      <c r="N226" s="33"/>
      <c r="O226" s="44" t="s">
        <v>2</v>
      </c>
      <c r="P226" s="44">
        <v>44740</v>
      </c>
      <c r="Q226" s="44" t="s">
        <v>0</v>
      </c>
      <c r="R226" s="44"/>
      <c r="S226" s="44" t="s">
        <v>1</v>
      </c>
      <c r="T226" s="44"/>
      <c r="U226" s="44" t="s">
        <v>1</v>
      </c>
      <c r="V226" s="44"/>
      <c r="W226" s="44" t="s">
        <v>1</v>
      </c>
      <c r="X226" s="44"/>
      <c r="Y226" s="44" t="s">
        <v>1</v>
      </c>
      <c r="Z226" s="44"/>
      <c r="AA226" s="44" t="s">
        <v>1</v>
      </c>
      <c r="AB226" s="44"/>
      <c r="AC226" s="51">
        <v>44740</v>
      </c>
      <c r="AD226" s="50">
        <v>44740</v>
      </c>
      <c r="AE226" s="40" t="s">
        <v>1</v>
      </c>
      <c r="AF226" s="40" t="s">
        <v>1</v>
      </c>
      <c r="AG226" s="76" t="s">
        <v>5</v>
      </c>
      <c r="AH226" s="36" t="s">
        <v>1</v>
      </c>
      <c r="AI226" s="49">
        <v>0</v>
      </c>
      <c r="AJ226" s="36" t="s">
        <v>1</v>
      </c>
      <c r="AK226" s="10" t="s">
        <v>1</v>
      </c>
      <c r="AL226" s="36" t="s">
        <v>1</v>
      </c>
      <c r="AM226" s="36" t="s">
        <v>1</v>
      </c>
      <c r="AN226" s="35" t="s">
        <v>1</v>
      </c>
      <c r="AO226" s="35" t="s">
        <v>1</v>
      </c>
      <c r="AP226" s="35" t="s">
        <v>1</v>
      </c>
      <c r="AQ226" s="35" t="s">
        <v>1</v>
      </c>
      <c r="AR226" s="82" t="s">
        <v>1</v>
      </c>
      <c r="AS226" s="33"/>
      <c r="AT226" s="32" t="s">
        <v>1</v>
      </c>
      <c r="AU226" s="31"/>
      <c r="AV226" s="32" t="s">
        <v>1</v>
      </c>
      <c r="AW226" s="31"/>
      <c r="AX226" s="30" t="s">
        <v>1</v>
      </c>
      <c r="AY226" s="55"/>
      <c r="AZ226" s="30" t="s">
        <v>1</v>
      </c>
      <c r="BA226" s="55"/>
      <c r="BB226" s="74" t="s">
        <v>657</v>
      </c>
      <c r="BC226" s="25"/>
      <c r="BD226" s="24" t="s">
        <v>11</v>
      </c>
      <c r="BE226" s="24" t="s">
        <v>11</v>
      </c>
      <c r="BF226" s="24" t="s">
        <v>11</v>
      </c>
      <c r="BG226" s="24" t="s">
        <v>11</v>
      </c>
      <c r="BH226" s="130" t="s">
        <v>11</v>
      </c>
      <c r="BI226" s="24"/>
      <c r="BJ226" s="24" t="s">
        <v>11</v>
      </c>
      <c r="BK226" s="24" t="s">
        <v>11</v>
      </c>
      <c r="BL226" s="24" t="s">
        <v>11</v>
      </c>
      <c r="BM226" s="24" t="s">
        <v>11</v>
      </c>
      <c r="BN226" s="24" t="s">
        <v>11</v>
      </c>
      <c r="BO226" s="24" t="s">
        <v>11</v>
      </c>
      <c r="BP226" s="24" t="s">
        <v>11</v>
      </c>
      <c r="BQ226" s="22">
        <f>YEAR([1]!BANCO10[[#This Row],[DATA INÍCIO]])</f>
        <v>2022</v>
      </c>
      <c r="BR226" s="22">
        <f>MONTH([1]!BANCO10[[#This Row],[DATA INÍCIO]])</f>
        <v>6</v>
      </c>
      <c r="BS226" s="129" t="e">
        <f>CONCATENATE(#REF!,#REF!)</f>
        <v>#REF!</v>
      </c>
      <c r="BT226" s="22"/>
      <c r="BU226" s="21" t="s">
        <v>658</v>
      </c>
      <c r="BV226" s="21" t="str">
        <f>IF([1]!BANCO10[[#This Row],[SOLUÇÃO]]=BV$1,[1]!BANCO10[[#This Row],[STATUS DA ETAPA]],"")</f>
        <v>CONCLUÍDO</v>
      </c>
      <c r="BW226" s="21" t="str">
        <f>IF([1]!BANCO10[[#This Row],[SOLUÇÃO]]=BW$1,[1]!BANCO10[[#This Row],[STATUS DA ETAPA]],"")</f>
        <v/>
      </c>
      <c r="BX226" s="21" t="str">
        <f>IF([1]!BANCO10[[#This Row],[SOLUÇÃO]]=BX$1,[1]!BANCO10[[#This Row],[STATUS DA ETAPA]],"")</f>
        <v/>
      </c>
      <c r="BY226" s="21" t="str">
        <f>IF([1]!BANCO10[[#This Row],[SOLUÇÃO]]=BY$1,[1]!BANCO10[[#This Row],[STATUS DA ETAPA]],"")</f>
        <v/>
      </c>
      <c r="BZ226" s="21" t="str">
        <f>IF([1]!BANCO10[[#This Row],[SOLUÇÃO]]=BZ$1,[1]!BANCO10[[#This Row],[STATUS DA ETAPA]],"")</f>
        <v/>
      </c>
      <c r="CA226" s="21" t="str">
        <f>IF([1]!BANCO10[[#This Row],[SOLUÇÃO]]=CA$1,[1]!BANCO10[[#This Row],[STATUS DA ETAPA]],"")</f>
        <v/>
      </c>
      <c r="CB226" s="21" t="str">
        <f>IF([1]!BANCO10[[#This Row],[SOLUÇÃO]]=CB$1,[1]!BANCO10[[#This Row],[STATUS DA ETAPA]],"")</f>
        <v/>
      </c>
      <c r="CC226" s="21" t="str">
        <f>IF([1]!BANCO10[[#This Row],[SOLUÇÃO]]=CC$1,[1]!BANCO10[[#This Row],[STATUS DA ETAPA]],"")</f>
        <v/>
      </c>
      <c r="CD226" s="21" t="str">
        <f>IF([1]!BANCO10[[#This Row],[SOLUÇÃO]]=CD$1,[1]!BANCO10[[#This Row],[STATUS DA ETAPA]],"")</f>
        <v/>
      </c>
      <c r="CE226" s="21" t="str">
        <f>IF([1]!BANCO10[[#This Row],[SOLUÇÃO]]=CE$1,[1]!BANCO10[[#This Row],[STATUS DA ETAPA]],"")</f>
        <v/>
      </c>
      <c r="CF226" s="21" t="str">
        <f>IF([1]!BANCO10[[#This Row],[SOLUÇÃO]]=CF$1,[1]!BANCO10[[#This Row],[STATUS DA ETAPA]],"")</f>
        <v/>
      </c>
      <c r="CG226" s="21" t="str">
        <f>IF([1]!BANCO10[[#This Row],[SOLUÇÃO]]=CG$1,[1]!BANCO10[[#This Row],[STATUS DA ETAPA]],"")</f>
        <v/>
      </c>
      <c r="CH226" s="21" t="str">
        <f>IF([1]!BANCO10[[#This Row],[SOLUÇÃO]]=CH$1,[1]!BANCO10[[#This Row],[STATUS DA ETAPA]],"")</f>
        <v/>
      </c>
      <c r="CI226" s="21" t="str">
        <f>IF([1]!BANCO10[[#This Row],[SOLUÇÃO]]=CI$1,[1]!BANCO10[[#This Row],[STATUS DA ETAPA]],"")</f>
        <v/>
      </c>
      <c r="CJ226" s="21" t="str">
        <f>IF([1]!BANCO10[[#This Row],[SOLUÇÃO]]=CJ$1,[1]!BANCO10[[#This Row],[STATUS DA ETAPA]],"")</f>
        <v/>
      </c>
      <c r="CK226" s="21" t="str">
        <f>IF([1]!BANCO10[[#This Row],[SOLUÇÃO]]=CK$1,[1]!BANCO10[[#This Row],[STATUS DA ETAPA]],"")</f>
        <v/>
      </c>
      <c r="CL226" s="21" t="str">
        <f>IF([1]!BANCO10[[#This Row],[SOLUÇÃO]]=CL$1,[1]!BANCO10[[#This Row],[STATUS DA ETAPA]],"")</f>
        <v/>
      </c>
      <c r="CM226" s="21" t="str">
        <f>IF([1]!BANCO10[[#This Row],[SOLUÇÃO]]=CM$1,[1]!BANCO10[[#This Row],[STATUS DA ETAPA]],"")</f>
        <v/>
      </c>
      <c r="CN226" s="21" t="str">
        <f>IF([1]!BANCO10[[#This Row],[SOLUÇÃO]]=CN$1,[1]!BANCO10[[#This Row],[STATUS DA ETAPA]],"")</f>
        <v/>
      </c>
      <c r="CO226" s="21" t="str">
        <f>IF([1]!BANCO10[[#This Row],[SOLUÇÃO]]=CO$1,[1]!BANCO10[[#This Row],[STATUS DA ETAPA]],"")</f>
        <v/>
      </c>
      <c r="CP226" s="21" t="str">
        <f>IF([1]!BANCO10[[#This Row],[SOLUÇÃO]]=CP$1,[1]!BANCO10[[#This Row],[STATUS DA ETAPA]],"")</f>
        <v/>
      </c>
      <c r="CQ226" s="21" t="str">
        <f>IF([1]!BANCO10[[#This Row],[SOLUÇÃO]]=CQ$1,[1]!BANCO10[[#This Row],[STATUS DA ETAPA]],"")</f>
        <v/>
      </c>
      <c r="CR226" s="21" t="str">
        <f>IF([1]!BANCO10[[#This Row],[SOLUÇÃO]]=CR$1,[1]!BANCO10[[#This Row],[STATUS DA ETAPA]],"")</f>
        <v/>
      </c>
      <c r="CS226" s="21" t="str">
        <f>IF([1]!BANCO10[[#This Row],[SOLUÇÃO]]=CS$1,[1]!BANCO10[[#This Row],[STATUS DA ETAPA]],"")</f>
        <v/>
      </c>
      <c r="CT226" s="21" t="str">
        <f>IF([1]!BANCO10[[#This Row],[SOLUÇÃO]]=CT$1,[1]!BANCO10[[#This Row],[STATUS DA ETAPA]],"")</f>
        <v/>
      </c>
      <c r="CU226" s="21" t="str">
        <f>IF([1]!BANCO10[[#This Row],[SOLUÇÃO]]=CU$1,[1]!BANCO10[[#This Row],[STATUS DA ETAPA]],"")</f>
        <v/>
      </c>
      <c r="CV226" s="21" t="str">
        <f>IF([1]!BANCO10[[#This Row],[SOLUÇÃO]]=CV$1,[1]!BANCO10[[#This Row],[STATUS DA ETAPA]],"")</f>
        <v/>
      </c>
    </row>
    <row r="227" spans="1:100">
      <c r="A227" s="44" t="s">
        <v>1</v>
      </c>
      <c r="B227" s="44"/>
      <c r="C227" s="44" t="s">
        <v>1</v>
      </c>
      <c r="D227" s="44"/>
      <c r="E227" s="44" t="s">
        <v>1</v>
      </c>
      <c r="F227" s="44"/>
      <c r="G227" s="44" t="s">
        <v>1</v>
      </c>
      <c r="H227" s="44"/>
      <c r="I227" s="45" t="s">
        <v>1</v>
      </c>
      <c r="J227" s="46"/>
      <c r="K227" s="45" t="s">
        <v>1</v>
      </c>
      <c r="L227" s="33"/>
      <c r="M227" s="45" t="s">
        <v>1</v>
      </c>
      <c r="N227" s="33"/>
      <c r="O227" s="44" t="s">
        <v>2</v>
      </c>
      <c r="P227" s="44">
        <v>44740</v>
      </c>
      <c r="Q227" s="44" t="s">
        <v>2</v>
      </c>
      <c r="R227" s="44">
        <v>45260</v>
      </c>
      <c r="S227" s="44" t="s">
        <v>2</v>
      </c>
      <c r="T227" s="44"/>
      <c r="U227" s="44" t="s">
        <v>2</v>
      </c>
      <c r="V227" s="44"/>
      <c r="W227" s="44"/>
      <c r="X227" s="44"/>
      <c r="Y227" s="44"/>
      <c r="Z227" s="44"/>
      <c r="AA227" s="44" t="s">
        <v>1</v>
      </c>
      <c r="AB227" s="44"/>
      <c r="AC227" s="51">
        <v>45963</v>
      </c>
      <c r="AD227" s="50">
        <v>45963</v>
      </c>
      <c r="AE227" s="41" t="s">
        <v>1</v>
      </c>
      <c r="AF227" s="41" t="s">
        <v>1</v>
      </c>
      <c r="AG227" s="76" t="s">
        <v>5</v>
      </c>
      <c r="AH227" s="36" t="s">
        <v>0</v>
      </c>
      <c r="AI227" s="49">
        <v>0</v>
      </c>
      <c r="AJ227" s="36"/>
      <c r="AK227" s="10" t="s">
        <v>30</v>
      </c>
      <c r="AL227" s="36" t="s">
        <v>30</v>
      </c>
      <c r="AM227" s="36" t="s">
        <v>30</v>
      </c>
      <c r="AN227" s="35" t="s">
        <v>1</v>
      </c>
      <c r="AO227" s="35" t="s">
        <v>1</v>
      </c>
      <c r="AP227" s="35"/>
      <c r="AQ227" s="35" t="s">
        <v>1</v>
      </c>
      <c r="AR227" s="34" t="s">
        <v>1</v>
      </c>
      <c r="AS227" s="33"/>
      <c r="AT227" s="32"/>
      <c r="AU227" s="31"/>
      <c r="AV227" s="32"/>
      <c r="AW227" s="31"/>
      <c r="AX227" s="30" t="s">
        <v>0</v>
      </c>
      <c r="AY227" s="29"/>
      <c r="AZ227" s="28" t="s">
        <v>0</v>
      </c>
      <c r="BA227" s="27"/>
      <c r="BB227" s="74" t="s">
        <v>657</v>
      </c>
      <c r="BC227" s="25"/>
      <c r="BD227" s="24" t="s">
        <v>11</v>
      </c>
      <c r="BE227" s="24" t="s">
        <v>11</v>
      </c>
      <c r="BF227" s="24" t="s">
        <v>11</v>
      </c>
      <c r="BG227" s="24" t="s">
        <v>11</v>
      </c>
      <c r="BH227" s="130" t="s">
        <v>11</v>
      </c>
      <c r="BI227" s="24"/>
      <c r="BJ227" s="24" t="s">
        <v>11</v>
      </c>
      <c r="BK227" s="24" t="s">
        <v>11</v>
      </c>
      <c r="BL227" s="24">
        <v>45391</v>
      </c>
      <c r="BM227" s="24" t="s">
        <v>11</v>
      </c>
      <c r="BN227" s="24" t="s">
        <v>11</v>
      </c>
      <c r="BO227" s="24"/>
      <c r="BP227" s="24" t="s">
        <v>188</v>
      </c>
      <c r="BQ227" s="22">
        <f>YEAR([1]!BANCO10[[#This Row],[DATA INÍCIO]])</f>
        <v>2025</v>
      </c>
      <c r="BR227" s="22">
        <f>MONTH([1]!BANCO10[[#This Row],[DATA INÍCIO]])</f>
        <v>11</v>
      </c>
      <c r="BS227" s="129" t="e">
        <f>CONCATENATE(#REF!,#REF!)</f>
        <v>#REF!</v>
      </c>
      <c r="BT227" s="22"/>
      <c r="BU227" s="21" t="s">
        <v>30</v>
      </c>
      <c r="BV227" s="21" t="str">
        <f>IF([1]!BANCO10[[#This Row],[SOLUÇÃO]]=BV$1,[1]!BANCO10[[#This Row],[STATUS DA ETAPA]],"")</f>
        <v/>
      </c>
      <c r="BW227" s="21" t="str">
        <f>IF([1]!BANCO10[[#This Row],[SOLUÇÃO]]=BW$1,[1]!BANCO10[[#This Row],[STATUS DA ETAPA]],"")</f>
        <v/>
      </c>
      <c r="BX227" s="21" t="str">
        <f>IF([1]!BANCO10[[#This Row],[SOLUÇÃO]]=BX$1,[1]!BANCO10[[#This Row],[STATUS DA ETAPA]],"")</f>
        <v/>
      </c>
      <c r="BY227" s="21" t="str">
        <f>IF([1]!BANCO10[[#This Row],[SOLUÇÃO]]=BY$1,[1]!BANCO10[[#This Row],[STATUS DA ETAPA]],"")</f>
        <v/>
      </c>
      <c r="BZ227" s="21" t="str">
        <f>IF([1]!BANCO10[[#This Row],[SOLUÇÃO]]=BZ$1,[1]!BANCO10[[#This Row],[STATUS DA ETAPA]],"")</f>
        <v/>
      </c>
      <c r="CA227" s="21" t="str">
        <f>IF([1]!BANCO10[[#This Row],[SOLUÇÃO]]=CA$1,[1]!BANCO10[[#This Row],[STATUS DA ETAPA]],"")</f>
        <v>PROSPECÇÃO</v>
      </c>
      <c r="CB227" s="21" t="str">
        <f>IF([1]!BANCO10[[#This Row],[SOLUÇÃO]]=CB$1,[1]!BANCO10[[#This Row],[STATUS DA ETAPA]],"")</f>
        <v/>
      </c>
      <c r="CC227" s="21" t="str">
        <f>IF([1]!BANCO10[[#This Row],[SOLUÇÃO]]=CC$1,[1]!BANCO10[[#This Row],[STATUS DA ETAPA]],"")</f>
        <v/>
      </c>
      <c r="CD227" s="21" t="str">
        <f>IF([1]!BANCO10[[#This Row],[SOLUÇÃO]]=CD$1,[1]!BANCO10[[#This Row],[STATUS DA ETAPA]],"")</f>
        <v/>
      </c>
      <c r="CE227" s="21" t="str">
        <f>IF([1]!BANCO10[[#This Row],[SOLUÇÃO]]=CE$1,[1]!BANCO10[[#This Row],[STATUS DA ETAPA]],"")</f>
        <v/>
      </c>
      <c r="CF227" s="21" t="str">
        <f>IF([1]!BANCO10[[#This Row],[SOLUÇÃO]]=CF$1,[1]!BANCO10[[#This Row],[STATUS DA ETAPA]],"")</f>
        <v/>
      </c>
      <c r="CG227" s="21" t="str">
        <f>IF([1]!BANCO10[[#This Row],[SOLUÇÃO]]=CG$1,[1]!BANCO10[[#This Row],[STATUS DA ETAPA]],"")</f>
        <v/>
      </c>
      <c r="CH227" s="21" t="str">
        <f>IF([1]!BANCO10[[#This Row],[SOLUÇÃO]]=CH$1,[1]!BANCO10[[#This Row],[STATUS DA ETAPA]],"")</f>
        <v/>
      </c>
      <c r="CI227" s="21" t="str">
        <f>IF([1]!BANCO10[[#This Row],[SOLUÇÃO]]=CI$1,[1]!BANCO10[[#This Row],[STATUS DA ETAPA]],"")</f>
        <v/>
      </c>
      <c r="CJ227" s="21" t="str">
        <f>IF([1]!BANCO10[[#This Row],[SOLUÇÃO]]=CJ$1,[1]!BANCO10[[#This Row],[STATUS DA ETAPA]],"")</f>
        <v/>
      </c>
      <c r="CK227" s="21" t="str">
        <f>IF([1]!BANCO10[[#This Row],[SOLUÇÃO]]=CK$1,[1]!BANCO10[[#This Row],[STATUS DA ETAPA]],"")</f>
        <v/>
      </c>
      <c r="CL227" s="21" t="str">
        <f>IF([1]!BANCO10[[#This Row],[SOLUÇÃO]]=CL$1,[1]!BANCO10[[#This Row],[STATUS DA ETAPA]],"")</f>
        <v/>
      </c>
      <c r="CM227" s="21" t="str">
        <f>IF([1]!BANCO10[[#This Row],[SOLUÇÃO]]=CM$1,[1]!BANCO10[[#This Row],[STATUS DA ETAPA]],"")</f>
        <v/>
      </c>
      <c r="CN227" s="21" t="str">
        <f>IF([1]!BANCO10[[#This Row],[SOLUÇÃO]]=CN$1,[1]!BANCO10[[#This Row],[STATUS DA ETAPA]],"")</f>
        <v/>
      </c>
      <c r="CO227" s="21" t="str">
        <f>IF([1]!BANCO10[[#This Row],[SOLUÇÃO]]=CO$1,[1]!BANCO10[[#This Row],[STATUS DA ETAPA]],"")</f>
        <v/>
      </c>
      <c r="CP227" s="21" t="str">
        <f>IF([1]!BANCO10[[#This Row],[SOLUÇÃO]]=CP$1,[1]!BANCO10[[#This Row],[STATUS DA ETAPA]],"")</f>
        <v/>
      </c>
      <c r="CQ227" s="21" t="str">
        <f>IF([1]!BANCO10[[#This Row],[SOLUÇÃO]]=CQ$1,[1]!BANCO10[[#This Row],[STATUS DA ETAPA]],"")</f>
        <v/>
      </c>
      <c r="CR227" s="21" t="str">
        <f>IF([1]!BANCO10[[#This Row],[SOLUÇÃO]]=CR$1,[1]!BANCO10[[#This Row],[STATUS DA ETAPA]],"")</f>
        <v/>
      </c>
      <c r="CS227" s="21" t="str">
        <f>IF([1]!BANCO10[[#This Row],[SOLUÇÃO]]=CS$1,[1]!BANCO10[[#This Row],[STATUS DA ETAPA]],"")</f>
        <v/>
      </c>
      <c r="CT227" s="21" t="str">
        <f>IF([1]!BANCO10[[#This Row],[SOLUÇÃO]]=CT$1,[1]!BANCO10[[#This Row],[STATUS DA ETAPA]],"")</f>
        <v/>
      </c>
      <c r="CU227" s="21" t="str">
        <f>IF([1]!BANCO10[[#This Row],[SOLUÇÃO]]=CU$1,[1]!BANCO10[[#This Row],[STATUS DA ETAPA]],"")</f>
        <v/>
      </c>
      <c r="CV227" s="21" t="str">
        <f>IF([1]!BANCO10[[#This Row],[SOLUÇÃO]]=CV$1,[1]!BANCO10[[#This Row],[STATUS DA ETAPA]],"")</f>
        <v/>
      </c>
    </row>
    <row r="228" spans="1:100">
      <c r="A228" s="44" t="s">
        <v>1</v>
      </c>
      <c r="B228" s="44"/>
      <c r="C228" s="44" t="s">
        <v>1</v>
      </c>
      <c r="D228" s="44"/>
      <c r="E228" s="44" t="s">
        <v>1</v>
      </c>
      <c r="F228" s="44"/>
      <c r="G228" s="44" t="s">
        <v>1</v>
      </c>
      <c r="H228" s="44"/>
      <c r="I228" s="45" t="s">
        <v>1</v>
      </c>
      <c r="J228" s="46"/>
      <c r="K228" s="45" t="s">
        <v>1</v>
      </c>
      <c r="L228" s="33"/>
      <c r="M228" s="45" t="s">
        <v>1</v>
      </c>
      <c r="N228" s="33"/>
      <c r="O228" s="44"/>
      <c r="P228" s="44"/>
      <c r="Q228" s="44" t="s">
        <v>1</v>
      </c>
      <c r="R228" s="44"/>
      <c r="S228" s="44" t="s">
        <v>1</v>
      </c>
      <c r="T228" s="44"/>
      <c r="U228" s="44" t="s">
        <v>0</v>
      </c>
      <c r="V228" s="44"/>
      <c r="W228" s="44"/>
      <c r="X228" s="44"/>
      <c r="Y228" s="44"/>
      <c r="Z228" s="44"/>
      <c r="AA228" s="44"/>
      <c r="AB228" s="44"/>
      <c r="AC228" s="51">
        <v>45963</v>
      </c>
      <c r="AD228" s="50">
        <v>45963</v>
      </c>
      <c r="AE228" s="41" t="s">
        <v>1</v>
      </c>
      <c r="AF228" s="41" t="s">
        <v>1</v>
      </c>
      <c r="AG228" s="40" t="s">
        <v>5</v>
      </c>
      <c r="AH228" s="36" t="s">
        <v>1</v>
      </c>
      <c r="AI228" s="49">
        <v>0</v>
      </c>
      <c r="AJ228" s="36" t="s">
        <v>1</v>
      </c>
      <c r="AK228" s="10" t="s">
        <v>1</v>
      </c>
      <c r="AL228" s="36" t="s">
        <v>1</v>
      </c>
      <c r="AM228" s="36" t="s">
        <v>1</v>
      </c>
      <c r="AN228" s="35" t="s">
        <v>1</v>
      </c>
      <c r="AO228" s="35" t="s">
        <v>1</v>
      </c>
      <c r="AP228" s="35" t="s">
        <v>1</v>
      </c>
      <c r="AQ228" s="35" t="s">
        <v>1</v>
      </c>
      <c r="AR228" s="34" t="s">
        <v>1</v>
      </c>
      <c r="AS228" s="63"/>
      <c r="AT228" s="32" t="s">
        <v>1</v>
      </c>
      <c r="AU228" s="31"/>
      <c r="AV228" s="32" t="s">
        <v>1</v>
      </c>
      <c r="AW228" s="31"/>
      <c r="AX228" s="32" t="s">
        <v>1</v>
      </c>
      <c r="AY228" s="31"/>
      <c r="AZ228" s="32" t="s">
        <v>1</v>
      </c>
      <c r="BA228" s="31"/>
      <c r="BB228" s="26"/>
      <c r="BC228" s="25"/>
      <c r="BD228" s="24"/>
      <c r="BE228" s="24"/>
      <c r="BF228" s="24"/>
      <c r="BG228" s="24"/>
      <c r="BH228" s="24"/>
      <c r="BI228" s="24"/>
      <c r="BJ228" s="24"/>
      <c r="BK228" s="24"/>
      <c r="BL228" s="24"/>
      <c r="BM228" s="24"/>
      <c r="BN228" s="24"/>
      <c r="BO228" s="24"/>
      <c r="BP228" s="24"/>
      <c r="BQ228" s="22">
        <f>YEAR([1]!BANCO10[[#This Row],[DATA INÍCIO]])</f>
        <v>2025</v>
      </c>
      <c r="BR228" s="22">
        <f>MONTH([1]!BANCO10[[#This Row],[DATA INÍCIO]])</f>
        <v>11</v>
      </c>
      <c r="BS228" s="23" t="e">
        <f>CONCATENATE(#REF!,#REF!)</f>
        <v>#REF!</v>
      </c>
      <c r="BT228" s="22"/>
      <c r="BU228" s="22"/>
      <c r="BV228" s="21" t="str">
        <f>IF([1]!BANCO10[[#This Row],[SOLUÇÃO]]=BV$1,[1]!BANCO10[[#This Row],[STATUS DA ETAPA]],"")</f>
        <v/>
      </c>
      <c r="BW228" s="21" t="str">
        <f>IF([1]!BANCO10[[#This Row],[SOLUÇÃO]]=BW$1,[1]!BANCO10[[#This Row],[STATUS DA ETAPA]],"")</f>
        <v/>
      </c>
      <c r="BX228" s="21" t="str">
        <f>IF([1]!BANCO10[[#This Row],[SOLUÇÃO]]=BX$1,[1]!BANCO10[[#This Row],[STATUS DA ETAPA]],"")</f>
        <v/>
      </c>
      <c r="BY228" s="21" t="str">
        <f>IF([1]!BANCO10[[#This Row],[SOLUÇÃO]]=BY$1,[1]!BANCO10[[#This Row],[STATUS DA ETAPA]],"")</f>
        <v/>
      </c>
      <c r="BZ228" s="21" t="str">
        <f>IF([1]!BANCO10[[#This Row],[SOLUÇÃO]]=BZ$1,[1]!BANCO10[[#This Row],[STATUS DA ETAPA]],"")</f>
        <v/>
      </c>
      <c r="CA228" s="21" t="str">
        <f>IF([1]!BANCO10[[#This Row],[SOLUÇÃO]]=CA$1,[1]!BANCO10[[#This Row],[STATUS DA ETAPA]],"")</f>
        <v/>
      </c>
      <c r="CB228" s="21" t="str">
        <f>IF([1]!BANCO10[[#This Row],[SOLUÇÃO]]=CB$1,[1]!BANCO10[[#This Row],[STATUS DA ETAPA]],"")</f>
        <v>CANCELADO</v>
      </c>
      <c r="CC228" s="21" t="str">
        <f>IF([1]!BANCO10[[#This Row],[SOLUÇÃO]]=CC$1,[1]!BANCO10[[#This Row],[STATUS DA ETAPA]],"")</f>
        <v/>
      </c>
      <c r="CD228" s="21" t="str">
        <f>IF([1]!BANCO10[[#This Row],[SOLUÇÃO]]=CD$1,[1]!BANCO10[[#This Row],[STATUS DA ETAPA]],"")</f>
        <v/>
      </c>
      <c r="CE228" s="21" t="str">
        <f>IF([1]!BANCO10[[#This Row],[SOLUÇÃO]]=CE$1,[1]!BANCO10[[#This Row],[STATUS DA ETAPA]],"")</f>
        <v/>
      </c>
      <c r="CF228" s="21" t="str">
        <f>IF([1]!BANCO10[[#This Row],[SOLUÇÃO]]=CF$1,[1]!BANCO10[[#This Row],[STATUS DA ETAPA]],"")</f>
        <v/>
      </c>
      <c r="CG228" s="21" t="str">
        <f>IF([1]!BANCO10[[#This Row],[SOLUÇÃO]]=CG$1,[1]!BANCO10[[#This Row],[STATUS DA ETAPA]],"")</f>
        <v/>
      </c>
      <c r="CH228" s="21" t="str">
        <f>IF([1]!BANCO10[[#This Row],[SOLUÇÃO]]=CH$1,[1]!BANCO10[[#This Row],[STATUS DA ETAPA]],"")</f>
        <v/>
      </c>
      <c r="CI228" s="21" t="str">
        <f>IF([1]!BANCO10[[#This Row],[SOLUÇÃO]]=CI$1,[1]!BANCO10[[#This Row],[STATUS DA ETAPA]],"")</f>
        <v/>
      </c>
      <c r="CJ228" s="21" t="str">
        <f>IF([1]!BANCO10[[#This Row],[SOLUÇÃO]]=CJ$1,[1]!BANCO10[[#This Row],[STATUS DA ETAPA]],"")</f>
        <v/>
      </c>
      <c r="CK228" s="21" t="str">
        <f>IF([1]!BANCO10[[#This Row],[SOLUÇÃO]]=CK$1,[1]!BANCO10[[#This Row],[STATUS DA ETAPA]],"")</f>
        <v/>
      </c>
      <c r="CL228" s="21" t="str">
        <f>IF([1]!BANCO10[[#This Row],[SOLUÇÃO]]=CL$1,[1]!BANCO10[[#This Row],[STATUS DA ETAPA]],"")</f>
        <v/>
      </c>
      <c r="CM228" s="21" t="str">
        <f>IF([1]!BANCO10[[#This Row],[SOLUÇÃO]]=CM$1,[1]!BANCO10[[#This Row],[STATUS DA ETAPA]],"")</f>
        <v/>
      </c>
      <c r="CN228" s="21" t="str">
        <f>IF([1]!BANCO10[[#This Row],[SOLUÇÃO]]=CN$1,[1]!BANCO10[[#This Row],[STATUS DA ETAPA]],"")</f>
        <v/>
      </c>
      <c r="CO228" s="21" t="str">
        <f>IF([1]!BANCO10[[#This Row],[SOLUÇÃO]]=CO$1,[1]!BANCO10[[#This Row],[STATUS DA ETAPA]],"")</f>
        <v/>
      </c>
      <c r="CP228" s="21" t="str">
        <f>IF([1]!BANCO10[[#This Row],[SOLUÇÃO]]=CP$1,[1]!BANCO10[[#This Row],[STATUS DA ETAPA]],"")</f>
        <v/>
      </c>
      <c r="CQ228" s="21" t="str">
        <f>IF([1]!BANCO10[[#This Row],[SOLUÇÃO]]=CQ$1,[1]!BANCO10[[#This Row],[STATUS DA ETAPA]],"")</f>
        <v/>
      </c>
      <c r="CR228" s="21" t="str">
        <f>IF([1]!BANCO10[[#This Row],[SOLUÇÃO]]=CR$1,[1]!BANCO10[[#This Row],[STATUS DA ETAPA]],"")</f>
        <v/>
      </c>
      <c r="CS228" s="21" t="str">
        <f>IF([1]!BANCO10[[#This Row],[SOLUÇÃO]]=CS$1,[1]!BANCO10[[#This Row],[STATUS DA ETAPA]],"")</f>
        <v/>
      </c>
      <c r="CT228" s="21" t="str">
        <f>IF([1]!BANCO10[[#This Row],[SOLUÇÃO]]=CT$1,[1]!BANCO10[[#This Row],[STATUS DA ETAPA]],"")</f>
        <v/>
      </c>
      <c r="CU228" s="21" t="str">
        <f>IF([1]!BANCO10[[#This Row],[SOLUÇÃO]]=CU$1,[1]!BANCO10[[#This Row],[STATUS DA ETAPA]],"")</f>
        <v/>
      </c>
      <c r="CV228" s="21" t="str">
        <f>IF([1]!BANCO10[[#This Row],[SOLUÇÃO]]=CV$1,[1]!BANCO10[[#This Row],[STATUS DA ETAPA]],"")</f>
        <v/>
      </c>
    </row>
    <row r="229" spans="1:100">
      <c r="A229" s="44" t="s">
        <v>1</v>
      </c>
      <c r="B229" s="44"/>
      <c r="C229" s="44" t="s">
        <v>1</v>
      </c>
      <c r="D229" s="44"/>
      <c r="E229" s="44" t="s">
        <v>1</v>
      </c>
      <c r="F229" s="44"/>
      <c r="G229" s="44" t="s">
        <v>1</v>
      </c>
      <c r="H229" s="44"/>
      <c r="I229" s="45" t="s">
        <v>1</v>
      </c>
      <c r="J229" s="46"/>
      <c r="K229" s="45" t="s">
        <v>1</v>
      </c>
      <c r="L229" s="33"/>
      <c r="M229" s="45" t="s">
        <v>1</v>
      </c>
      <c r="N229" s="33"/>
      <c r="O229" s="44" t="s">
        <v>2</v>
      </c>
      <c r="P229" s="44">
        <v>44973</v>
      </c>
      <c r="Q229" s="44" t="s">
        <v>0</v>
      </c>
      <c r="R229" s="44"/>
      <c r="S229" s="44" t="s">
        <v>1</v>
      </c>
      <c r="T229" s="44"/>
      <c r="U229" s="44" t="s">
        <v>1</v>
      </c>
      <c r="V229" s="44"/>
      <c r="W229" s="44" t="s">
        <v>1</v>
      </c>
      <c r="X229" s="44"/>
      <c r="Y229" s="44" t="s">
        <v>1</v>
      </c>
      <c r="Z229" s="44"/>
      <c r="AA229" s="44" t="s">
        <v>1</v>
      </c>
      <c r="AB229" s="44"/>
      <c r="AC229" s="84">
        <v>44971</v>
      </c>
      <c r="AD229" s="83">
        <v>44971</v>
      </c>
      <c r="AE229" s="40" t="s">
        <v>1</v>
      </c>
      <c r="AF229" s="40" t="s">
        <v>1</v>
      </c>
      <c r="AG229" s="76" t="s">
        <v>5</v>
      </c>
      <c r="AH229" s="36" t="s">
        <v>1</v>
      </c>
      <c r="AI229" s="49">
        <v>0</v>
      </c>
      <c r="AJ229" s="36" t="s">
        <v>1</v>
      </c>
      <c r="AK229" s="10" t="s">
        <v>1</v>
      </c>
      <c r="AL229" s="36" t="s">
        <v>1</v>
      </c>
      <c r="AM229" s="36" t="s">
        <v>1</v>
      </c>
      <c r="AN229" s="35" t="s">
        <v>1</v>
      </c>
      <c r="AO229" s="35" t="s">
        <v>1</v>
      </c>
      <c r="AP229" s="35" t="s">
        <v>1</v>
      </c>
      <c r="AQ229" s="35" t="s">
        <v>1</v>
      </c>
      <c r="AR229" s="82" t="s">
        <v>1</v>
      </c>
      <c r="AS229" s="33"/>
      <c r="AT229" s="32" t="s">
        <v>1</v>
      </c>
      <c r="AU229" s="31"/>
      <c r="AV229" s="32" t="s">
        <v>1</v>
      </c>
      <c r="AW229" s="31"/>
      <c r="AX229" s="30" t="s">
        <v>1</v>
      </c>
      <c r="AY229" s="55"/>
      <c r="AZ229" s="30" t="s">
        <v>1</v>
      </c>
      <c r="BA229" s="55"/>
      <c r="BB229" s="74"/>
      <c r="BC229" s="25"/>
      <c r="BD229" s="24" t="s">
        <v>11</v>
      </c>
      <c r="BE229" s="24" t="s">
        <v>11</v>
      </c>
      <c r="BF229" s="24" t="s">
        <v>21</v>
      </c>
      <c r="BG229" s="24" t="s">
        <v>11</v>
      </c>
      <c r="BH229" s="130" t="s">
        <v>18</v>
      </c>
      <c r="BI229" s="24" t="s">
        <v>21</v>
      </c>
      <c r="BJ229" s="24" t="s">
        <v>11</v>
      </c>
      <c r="BK229" s="24" t="s">
        <v>11</v>
      </c>
      <c r="BL229" s="24" t="s">
        <v>11</v>
      </c>
      <c r="BM229" s="24" t="s">
        <v>11</v>
      </c>
      <c r="BN229" s="24" t="s">
        <v>11</v>
      </c>
      <c r="BO229" s="24" t="s">
        <v>11</v>
      </c>
      <c r="BP229" s="24" t="s">
        <v>11</v>
      </c>
      <c r="BQ229" s="22">
        <f>YEAR([1]!BANCO10[[#This Row],[DATA INÍCIO]])</f>
        <v>2023</v>
      </c>
      <c r="BR229" s="22">
        <f>MONTH([1]!BANCO10[[#This Row],[DATA INÍCIO]])</f>
        <v>2</v>
      </c>
      <c r="BS229" s="129" t="e">
        <f>CONCATENATE(#REF!,#REF!)</f>
        <v>#REF!</v>
      </c>
      <c r="BT229" s="22"/>
      <c r="BU229" s="21" t="s">
        <v>656</v>
      </c>
      <c r="BV229" s="21" t="str">
        <f>IF([1]!BANCO10[[#This Row],[SOLUÇÃO]]=BV$1,[1]!BANCO10[[#This Row],[STATUS DA ETAPA]],"")</f>
        <v>CONCLUÍDO</v>
      </c>
      <c r="BW229" s="21" t="str">
        <f>IF([1]!BANCO10[[#This Row],[SOLUÇÃO]]=BW$1,[1]!BANCO10[[#This Row],[STATUS DA ETAPA]],"")</f>
        <v/>
      </c>
      <c r="BX229" s="21" t="str">
        <f>IF([1]!BANCO10[[#This Row],[SOLUÇÃO]]=BX$1,[1]!BANCO10[[#This Row],[STATUS DA ETAPA]],"")</f>
        <v/>
      </c>
      <c r="BY229" s="21" t="str">
        <f>IF([1]!BANCO10[[#This Row],[SOLUÇÃO]]=BY$1,[1]!BANCO10[[#This Row],[STATUS DA ETAPA]],"")</f>
        <v/>
      </c>
      <c r="BZ229" s="21" t="str">
        <f>IF([1]!BANCO10[[#This Row],[SOLUÇÃO]]=BZ$1,[1]!BANCO10[[#This Row],[STATUS DA ETAPA]],"")</f>
        <v/>
      </c>
      <c r="CA229" s="21" t="str">
        <f>IF([1]!BANCO10[[#This Row],[SOLUÇÃO]]=CA$1,[1]!BANCO10[[#This Row],[STATUS DA ETAPA]],"")</f>
        <v/>
      </c>
      <c r="CB229" s="21" t="str">
        <f>IF([1]!BANCO10[[#This Row],[SOLUÇÃO]]=CB$1,[1]!BANCO10[[#This Row],[STATUS DA ETAPA]],"")</f>
        <v/>
      </c>
      <c r="CC229" s="21" t="str">
        <f>IF([1]!BANCO10[[#This Row],[SOLUÇÃO]]=CC$1,[1]!BANCO10[[#This Row],[STATUS DA ETAPA]],"")</f>
        <v/>
      </c>
      <c r="CD229" s="21" t="str">
        <f>IF([1]!BANCO10[[#This Row],[SOLUÇÃO]]=CD$1,[1]!BANCO10[[#This Row],[STATUS DA ETAPA]],"")</f>
        <v/>
      </c>
      <c r="CE229" s="21" t="str">
        <f>IF([1]!BANCO10[[#This Row],[SOLUÇÃO]]=CE$1,[1]!BANCO10[[#This Row],[STATUS DA ETAPA]],"")</f>
        <v/>
      </c>
      <c r="CF229" s="21" t="str">
        <f>IF([1]!BANCO10[[#This Row],[SOLUÇÃO]]=CF$1,[1]!BANCO10[[#This Row],[STATUS DA ETAPA]],"")</f>
        <v/>
      </c>
      <c r="CG229" s="21" t="str">
        <f>IF([1]!BANCO10[[#This Row],[SOLUÇÃO]]=CG$1,[1]!BANCO10[[#This Row],[STATUS DA ETAPA]],"")</f>
        <v/>
      </c>
      <c r="CH229" s="21" t="str">
        <f>IF([1]!BANCO10[[#This Row],[SOLUÇÃO]]=CH$1,[1]!BANCO10[[#This Row],[STATUS DA ETAPA]],"")</f>
        <v/>
      </c>
      <c r="CI229" s="21" t="str">
        <f>IF([1]!BANCO10[[#This Row],[SOLUÇÃO]]=CI$1,[1]!BANCO10[[#This Row],[STATUS DA ETAPA]],"")</f>
        <v/>
      </c>
      <c r="CJ229" s="21" t="str">
        <f>IF([1]!BANCO10[[#This Row],[SOLUÇÃO]]=CJ$1,[1]!BANCO10[[#This Row],[STATUS DA ETAPA]],"")</f>
        <v/>
      </c>
      <c r="CK229" s="21" t="str">
        <f>IF([1]!BANCO10[[#This Row],[SOLUÇÃO]]=CK$1,[1]!BANCO10[[#This Row],[STATUS DA ETAPA]],"")</f>
        <v/>
      </c>
      <c r="CL229" s="21" t="str">
        <f>IF([1]!BANCO10[[#This Row],[SOLUÇÃO]]=CL$1,[1]!BANCO10[[#This Row],[STATUS DA ETAPA]],"")</f>
        <v/>
      </c>
      <c r="CM229" s="21" t="str">
        <f>IF([1]!BANCO10[[#This Row],[SOLUÇÃO]]=CM$1,[1]!BANCO10[[#This Row],[STATUS DA ETAPA]],"")</f>
        <v/>
      </c>
      <c r="CN229" s="21" t="str">
        <f>IF([1]!BANCO10[[#This Row],[SOLUÇÃO]]=CN$1,[1]!BANCO10[[#This Row],[STATUS DA ETAPA]],"")</f>
        <v/>
      </c>
      <c r="CO229" s="21" t="str">
        <f>IF([1]!BANCO10[[#This Row],[SOLUÇÃO]]=CO$1,[1]!BANCO10[[#This Row],[STATUS DA ETAPA]],"")</f>
        <v/>
      </c>
      <c r="CP229" s="21" t="str">
        <f>IF([1]!BANCO10[[#This Row],[SOLUÇÃO]]=CP$1,[1]!BANCO10[[#This Row],[STATUS DA ETAPA]],"")</f>
        <v/>
      </c>
      <c r="CQ229" s="21" t="str">
        <f>IF([1]!BANCO10[[#This Row],[SOLUÇÃO]]=CQ$1,[1]!BANCO10[[#This Row],[STATUS DA ETAPA]],"")</f>
        <v/>
      </c>
      <c r="CR229" s="21" t="str">
        <f>IF([1]!BANCO10[[#This Row],[SOLUÇÃO]]=CR$1,[1]!BANCO10[[#This Row],[STATUS DA ETAPA]],"")</f>
        <v/>
      </c>
      <c r="CS229" s="21" t="str">
        <f>IF([1]!BANCO10[[#This Row],[SOLUÇÃO]]=CS$1,[1]!BANCO10[[#This Row],[STATUS DA ETAPA]],"")</f>
        <v/>
      </c>
      <c r="CT229" s="21" t="str">
        <f>IF([1]!BANCO10[[#This Row],[SOLUÇÃO]]=CT$1,[1]!BANCO10[[#This Row],[STATUS DA ETAPA]],"")</f>
        <v/>
      </c>
      <c r="CU229" s="21" t="str">
        <f>IF([1]!BANCO10[[#This Row],[SOLUÇÃO]]=CU$1,[1]!BANCO10[[#This Row],[STATUS DA ETAPA]],"")</f>
        <v/>
      </c>
      <c r="CV229" s="21" t="str">
        <f>IF([1]!BANCO10[[#This Row],[SOLUÇÃO]]=CV$1,[1]!BANCO10[[#This Row],[STATUS DA ETAPA]],"")</f>
        <v/>
      </c>
    </row>
    <row r="230" spans="1:100">
      <c r="A230" s="44" t="s">
        <v>1</v>
      </c>
      <c r="B230" s="44"/>
      <c r="C230" s="44" t="s">
        <v>1</v>
      </c>
      <c r="D230" s="44"/>
      <c r="E230" s="44" t="s">
        <v>1</v>
      </c>
      <c r="F230" s="44"/>
      <c r="G230" s="44" t="s">
        <v>1</v>
      </c>
      <c r="H230" s="44"/>
      <c r="I230" s="45" t="s">
        <v>1</v>
      </c>
      <c r="J230" s="46"/>
      <c r="K230" s="45" t="s">
        <v>1</v>
      </c>
      <c r="L230" s="33"/>
      <c r="M230" s="45" t="s">
        <v>1</v>
      </c>
      <c r="N230" s="33"/>
      <c r="O230" s="44" t="s">
        <v>2</v>
      </c>
      <c r="P230" s="44">
        <v>44973</v>
      </c>
      <c r="Q230" s="44" t="s">
        <v>2</v>
      </c>
      <c r="R230" s="44">
        <v>44973</v>
      </c>
      <c r="S230" s="44" t="s">
        <v>1</v>
      </c>
      <c r="T230" s="44"/>
      <c r="U230" s="44" t="s">
        <v>2</v>
      </c>
      <c r="V230" s="44">
        <v>45002</v>
      </c>
      <c r="W230" s="44" t="s">
        <v>2</v>
      </c>
      <c r="X230" s="44"/>
      <c r="Y230" s="44" t="s">
        <v>2</v>
      </c>
      <c r="Z230" s="44">
        <v>45002</v>
      </c>
      <c r="AA230" s="44" t="s">
        <v>2</v>
      </c>
      <c r="AB230" s="44"/>
      <c r="AC230" s="84">
        <v>45043</v>
      </c>
      <c r="AD230" s="83">
        <v>45119</v>
      </c>
      <c r="AE230" s="40" t="s">
        <v>2</v>
      </c>
      <c r="AF230" s="40" t="s">
        <v>2</v>
      </c>
      <c r="AG230" s="76" t="s">
        <v>5</v>
      </c>
      <c r="AH230" s="36" t="s">
        <v>1</v>
      </c>
      <c r="AI230" s="49">
        <v>0</v>
      </c>
      <c r="AJ230" s="36" t="s">
        <v>6</v>
      </c>
      <c r="AK230" s="10"/>
      <c r="AL230" s="36" t="s">
        <v>22</v>
      </c>
      <c r="AM230" s="36" t="s">
        <v>1</v>
      </c>
      <c r="AN230" s="35" t="s">
        <v>1</v>
      </c>
      <c r="AO230" s="35" t="s">
        <v>1</v>
      </c>
      <c r="AP230" s="35" t="s">
        <v>2</v>
      </c>
      <c r="AQ230" s="35" t="s">
        <v>1</v>
      </c>
      <c r="AR230" s="33" t="s">
        <v>1</v>
      </c>
      <c r="AS230" s="33"/>
      <c r="AT230" s="32" t="s">
        <v>1</v>
      </c>
      <c r="AU230" s="31"/>
      <c r="AV230" s="32" t="s">
        <v>1</v>
      </c>
      <c r="AW230" s="31"/>
      <c r="AX230" s="30" t="s">
        <v>2</v>
      </c>
      <c r="AY230" s="55">
        <v>45126</v>
      </c>
      <c r="AZ230" s="30" t="s">
        <v>2</v>
      </c>
      <c r="BA230" s="91"/>
      <c r="BB230" s="74"/>
      <c r="BC230" s="25"/>
      <c r="BD230" s="24" t="s">
        <v>11</v>
      </c>
      <c r="BE230" s="24" t="s">
        <v>11</v>
      </c>
      <c r="BF230" s="24" t="s">
        <v>21</v>
      </c>
      <c r="BG230" s="24" t="s">
        <v>11</v>
      </c>
      <c r="BH230" s="130" t="s">
        <v>18</v>
      </c>
      <c r="BI230" s="24" t="s">
        <v>21</v>
      </c>
      <c r="BJ230" s="24" t="s">
        <v>11</v>
      </c>
      <c r="BK230" s="24" t="s">
        <v>11</v>
      </c>
      <c r="BL230" s="24" t="s">
        <v>11</v>
      </c>
      <c r="BM230" s="24" t="s">
        <v>11</v>
      </c>
      <c r="BN230" s="24" t="s">
        <v>11</v>
      </c>
      <c r="BO230" s="24" t="s">
        <v>11</v>
      </c>
      <c r="BP230" s="24" t="s">
        <v>11</v>
      </c>
      <c r="BQ230" s="22">
        <f>YEAR([1]!BANCO10[[#This Row],[DATA INÍCIO]])</f>
        <v>2023</v>
      </c>
      <c r="BR230" s="22">
        <f>MONTH([1]!BANCO10[[#This Row],[DATA INÍCIO]])</f>
        <v>4</v>
      </c>
      <c r="BS230" s="129" t="e">
        <f>CONCATENATE(#REF!,#REF!)</f>
        <v>#REF!</v>
      </c>
      <c r="BT230" s="22"/>
      <c r="BU230" s="21" t="s">
        <v>655</v>
      </c>
      <c r="BV230" s="21" t="str">
        <f>IF([1]!BANCO10[[#This Row],[SOLUÇÃO]]=BV$1,[1]!BANCO10[[#This Row],[STATUS DA ETAPA]],"")</f>
        <v/>
      </c>
      <c r="BW230" s="21" t="str">
        <f>IF([1]!BANCO10[[#This Row],[SOLUÇÃO]]=BW$1,[1]!BANCO10[[#This Row],[STATUS DA ETAPA]],"")</f>
        <v/>
      </c>
      <c r="BX230" s="21" t="str">
        <f>IF([1]!BANCO10[[#This Row],[SOLUÇÃO]]=BX$1,[1]!BANCO10[[#This Row],[STATUS DA ETAPA]],"")</f>
        <v/>
      </c>
      <c r="BY230" s="21" t="str">
        <f>IF([1]!BANCO10[[#This Row],[SOLUÇÃO]]=BY$1,[1]!BANCO10[[#This Row],[STATUS DA ETAPA]],"")</f>
        <v/>
      </c>
      <c r="BZ230" s="21" t="str">
        <f>IF([1]!BANCO10[[#This Row],[SOLUÇÃO]]=BZ$1,[1]!BANCO10[[#This Row],[STATUS DA ETAPA]],"")</f>
        <v/>
      </c>
      <c r="CA230" s="21" t="str">
        <f>IF([1]!BANCO10[[#This Row],[SOLUÇÃO]]=CA$1,[1]!BANCO10[[#This Row],[STATUS DA ETAPA]],"")</f>
        <v>CONCLUÍDO</v>
      </c>
      <c r="CB230" s="21" t="str">
        <f>IF([1]!BANCO10[[#This Row],[SOLUÇÃO]]=CB$1,[1]!BANCO10[[#This Row],[STATUS DA ETAPA]],"")</f>
        <v/>
      </c>
      <c r="CC230" s="21" t="str">
        <f>IF([1]!BANCO10[[#This Row],[SOLUÇÃO]]=CC$1,[1]!BANCO10[[#This Row],[STATUS DA ETAPA]],"")</f>
        <v/>
      </c>
      <c r="CD230" s="21" t="str">
        <f>IF([1]!BANCO10[[#This Row],[SOLUÇÃO]]=CD$1,[1]!BANCO10[[#This Row],[STATUS DA ETAPA]],"")</f>
        <v/>
      </c>
      <c r="CE230" s="21" t="str">
        <f>IF([1]!BANCO10[[#This Row],[SOLUÇÃO]]=CE$1,[1]!BANCO10[[#This Row],[STATUS DA ETAPA]],"")</f>
        <v/>
      </c>
      <c r="CF230" s="21" t="str">
        <f>IF([1]!BANCO10[[#This Row],[SOLUÇÃO]]=CF$1,[1]!BANCO10[[#This Row],[STATUS DA ETAPA]],"")</f>
        <v/>
      </c>
      <c r="CG230" s="21" t="str">
        <f>IF([1]!BANCO10[[#This Row],[SOLUÇÃO]]=CG$1,[1]!BANCO10[[#This Row],[STATUS DA ETAPA]],"")</f>
        <v/>
      </c>
      <c r="CH230" s="21" t="str">
        <f>IF([1]!BANCO10[[#This Row],[SOLUÇÃO]]=CH$1,[1]!BANCO10[[#This Row],[STATUS DA ETAPA]],"")</f>
        <v/>
      </c>
      <c r="CI230" s="21" t="str">
        <f>IF([1]!BANCO10[[#This Row],[SOLUÇÃO]]=CI$1,[1]!BANCO10[[#This Row],[STATUS DA ETAPA]],"")</f>
        <v/>
      </c>
      <c r="CJ230" s="21" t="str">
        <f>IF([1]!BANCO10[[#This Row],[SOLUÇÃO]]=CJ$1,[1]!BANCO10[[#This Row],[STATUS DA ETAPA]],"")</f>
        <v/>
      </c>
      <c r="CK230" s="21" t="str">
        <f>IF([1]!BANCO10[[#This Row],[SOLUÇÃO]]=CK$1,[1]!BANCO10[[#This Row],[STATUS DA ETAPA]],"")</f>
        <v/>
      </c>
      <c r="CL230" s="21" t="str">
        <f>IF([1]!BANCO10[[#This Row],[SOLUÇÃO]]=CL$1,[1]!BANCO10[[#This Row],[STATUS DA ETAPA]],"")</f>
        <v/>
      </c>
      <c r="CM230" s="21" t="str">
        <f>IF([1]!BANCO10[[#This Row],[SOLUÇÃO]]=CM$1,[1]!BANCO10[[#This Row],[STATUS DA ETAPA]],"")</f>
        <v/>
      </c>
      <c r="CN230" s="21" t="str">
        <f>IF([1]!BANCO10[[#This Row],[SOLUÇÃO]]=CN$1,[1]!BANCO10[[#This Row],[STATUS DA ETAPA]],"")</f>
        <v/>
      </c>
      <c r="CO230" s="21" t="str">
        <f>IF([1]!BANCO10[[#This Row],[SOLUÇÃO]]=CO$1,[1]!BANCO10[[#This Row],[STATUS DA ETAPA]],"")</f>
        <v/>
      </c>
      <c r="CP230" s="21" t="str">
        <f>IF([1]!BANCO10[[#This Row],[SOLUÇÃO]]=CP$1,[1]!BANCO10[[#This Row],[STATUS DA ETAPA]],"")</f>
        <v/>
      </c>
      <c r="CQ230" s="21" t="str">
        <f>IF([1]!BANCO10[[#This Row],[SOLUÇÃO]]=CQ$1,[1]!BANCO10[[#This Row],[STATUS DA ETAPA]],"")</f>
        <v/>
      </c>
      <c r="CR230" s="21" t="str">
        <f>IF([1]!BANCO10[[#This Row],[SOLUÇÃO]]=CR$1,[1]!BANCO10[[#This Row],[STATUS DA ETAPA]],"")</f>
        <v/>
      </c>
      <c r="CS230" s="21" t="str">
        <f>IF([1]!BANCO10[[#This Row],[SOLUÇÃO]]=CS$1,[1]!BANCO10[[#This Row],[STATUS DA ETAPA]],"")</f>
        <v/>
      </c>
      <c r="CT230" s="21" t="str">
        <f>IF([1]!BANCO10[[#This Row],[SOLUÇÃO]]=CT$1,[1]!BANCO10[[#This Row],[STATUS DA ETAPA]],"")</f>
        <v/>
      </c>
      <c r="CU230" s="21" t="str">
        <f>IF([1]!BANCO10[[#This Row],[SOLUÇÃO]]=CU$1,[1]!BANCO10[[#This Row],[STATUS DA ETAPA]],"")</f>
        <v/>
      </c>
      <c r="CV230" s="21" t="str">
        <f>IF([1]!BANCO10[[#This Row],[SOLUÇÃO]]=CV$1,[1]!BANCO10[[#This Row],[STATUS DA ETAPA]],"")</f>
        <v/>
      </c>
    </row>
    <row r="231" spans="1:100">
      <c r="A231" s="44" t="s">
        <v>1</v>
      </c>
      <c r="B231" s="44"/>
      <c r="C231" s="44" t="s">
        <v>1</v>
      </c>
      <c r="D231" s="44"/>
      <c r="E231" s="44" t="s">
        <v>1</v>
      </c>
      <c r="F231" s="44"/>
      <c r="G231" s="44" t="s">
        <v>1</v>
      </c>
      <c r="H231" s="44"/>
      <c r="I231" s="45" t="s">
        <v>1</v>
      </c>
      <c r="J231" s="46"/>
      <c r="K231" s="45" t="s">
        <v>1</v>
      </c>
      <c r="L231" s="33"/>
      <c r="M231" s="45" t="s">
        <v>1</v>
      </c>
      <c r="N231" s="33"/>
      <c r="O231" s="44" t="s">
        <v>2</v>
      </c>
      <c r="P231" s="44">
        <v>44973</v>
      </c>
      <c r="Q231" s="44" t="s">
        <v>2</v>
      </c>
      <c r="R231" s="44">
        <v>45365</v>
      </c>
      <c r="S231" s="44" t="s">
        <v>2</v>
      </c>
      <c r="T231" s="44">
        <v>45379</v>
      </c>
      <c r="U231" s="44" t="s">
        <v>2</v>
      </c>
      <c r="V231" s="44">
        <v>45379</v>
      </c>
      <c r="W231" s="44" t="s">
        <v>2</v>
      </c>
      <c r="X231" s="44"/>
      <c r="Y231" s="44" t="s">
        <v>2</v>
      </c>
      <c r="Z231" s="44">
        <v>45379</v>
      </c>
      <c r="AA231" s="44" t="s">
        <v>2</v>
      </c>
      <c r="AB231" s="44"/>
      <c r="AC231" s="84">
        <v>45455</v>
      </c>
      <c r="AD231" s="83">
        <v>45576</v>
      </c>
      <c r="AE231" s="40" t="s">
        <v>2</v>
      </c>
      <c r="AF231" s="41" t="s">
        <v>2</v>
      </c>
      <c r="AG231" s="76" t="s">
        <v>5</v>
      </c>
      <c r="AH231" s="36" t="s">
        <v>0</v>
      </c>
      <c r="AI231" s="49">
        <v>0</v>
      </c>
      <c r="AJ231" s="36" t="s">
        <v>6</v>
      </c>
      <c r="AK231" s="10" t="s">
        <v>654</v>
      </c>
      <c r="AL231" s="36">
        <v>4742</v>
      </c>
      <c r="AM231" s="36"/>
      <c r="AN231" s="35" t="s">
        <v>1</v>
      </c>
      <c r="AO231" s="35" t="s">
        <v>1</v>
      </c>
      <c r="AP231" s="35" t="s">
        <v>2</v>
      </c>
      <c r="AQ231" s="35" t="s">
        <v>1</v>
      </c>
      <c r="AR231" s="33" t="s">
        <v>1</v>
      </c>
      <c r="AS231" s="33"/>
      <c r="AT231" s="32" t="s">
        <v>1</v>
      </c>
      <c r="AU231" s="31"/>
      <c r="AV231" s="32" t="s">
        <v>1</v>
      </c>
      <c r="AW231" s="31"/>
      <c r="AX231" s="30" t="s">
        <v>2</v>
      </c>
      <c r="AY231" s="55">
        <v>45576</v>
      </c>
      <c r="AZ231" s="30" t="s">
        <v>2</v>
      </c>
      <c r="BA231" s="91">
        <v>45565</v>
      </c>
      <c r="BB231" s="74"/>
      <c r="BC231" s="25"/>
      <c r="BD231" s="24" t="s">
        <v>11</v>
      </c>
      <c r="BE231" s="24" t="s">
        <v>11</v>
      </c>
      <c r="BF231" s="24" t="s">
        <v>21</v>
      </c>
      <c r="BG231" s="24" t="s">
        <v>11</v>
      </c>
      <c r="BH231" s="130" t="s">
        <v>18</v>
      </c>
      <c r="BI231" s="24" t="s">
        <v>21</v>
      </c>
      <c r="BJ231" s="24" t="s">
        <v>11</v>
      </c>
      <c r="BK231" s="24" t="s">
        <v>11</v>
      </c>
      <c r="BL231" s="24">
        <v>45391</v>
      </c>
      <c r="BM231" s="24" t="s">
        <v>18</v>
      </c>
      <c r="BN231" s="24" t="s">
        <v>11</v>
      </c>
      <c r="BO231" s="24"/>
      <c r="BP231" s="24" t="s">
        <v>653</v>
      </c>
      <c r="BQ231" s="22">
        <f>YEAR([1]!BANCO10[[#This Row],[DATA INÍCIO]])</f>
        <v>2024</v>
      </c>
      <c r="BR231" s="22">
        <f>MONTH([1]!BANCO10[[#This Row],[DATA INÍCIO]])</f>
        <v>6</v>
      </c>
      <c r="BS231" s="129" t="e">
        <f>CONCATENATE(#REF!,#REF!)</f>
        <v>#REF!</v>
      </c>
      <c r="BT231" s="22"/>
      <c r="BU231" s="21" t="s">
        <v>652</v>
      </c>
      <c r="BV231" s="21" t="str">
        <f>IF([1]!BANCO10[[#This Row],[SOLUÇÃO]]=BV$1,[1]!BANCO10[[#This Row],[STATUS DA ETAPA]],"")</f>
        <v/>
      </c>
      <c r="BW231" s="21" t="str">
        <f>IF([1]!BANCO10[[#This Row],[SOLUÇÃO]]=BW$1,[1]!BANCO10[[#This Row],[STATUS DA ETAPA]],"")</f>
        <v/>
      </c>
      <c r="BX231" s="21" t="str">
        <f>IF([1]!BANCO10[[#This Row],[SOLUÇÃO]]=BX$1,[1]!BANCO10[[#This Row],[STATUS DA ETAPA]],"")</f>
        <v/>
      </c>
      <c r="BY231" s="21" t="str">
        <f>IF([1]!BANCO10[[#This Row],[SOLUÇÃO]]=BY$1,[1]!BANCO10[[#This Row],[STATUS DA ETAPA]],"")</f>
        <v/>
      </c>
      <c r="BZ231" s="21" t="str">
        <f>IF([1]!BANCO10[[#This Row],[SOLUÇÃO]]=BZ$1,[1]!BANCO10[[#This Row],[STATUS DA ETAPA]],"")</f>
        <v/>
      </c>
      <c r="CA231" s="21" t="str">
        <f>IF([1]!BANCO10[[#This Row],[SOLUÇÃO]]=CA$1,[1]!BANCO10[[#This Row],[STATUS DA ETAPA]],"")</f>
        <v/>
      </c>
      <c r="CB231" s="21" t="str">
        <f>IF([1]!BANCO10[[#This Row],[SOLUÇÃO]]=CB$1,[1]!BANCO10[[#This Row],[STATUS DA ETAPA]],"")</f>
        <v/>
      </c>
      <c r="CC231" s="21" t="str">
        <f>IF([1]!BANCO10[[#This Row],[SOLUÇÃO]]=CC$1,[1]!BANCO10[[#This Row],[STATUS DA ETAPA]],"")</f>
        <v/>
      </c>
      <c r="CD231" s="21" t="str">
        <f>IF([1]!BANCO10[[#This Row],[SOLUÇÃO]]=CD$1,[1]!BANCO10[[#This Row],[STATUS DA ETAPA]],"")</f>
        <v/>
      </c>
      <c r="CE231" s="21" t="str">
        <f>IF([1]!BANCO10[[#This Row],[SOLUÇÃO]]=CE$1,[1]!BANCO10[[#This Row],[STATUS DA ETAPA]],"")</f>
        <v/>
      </c>
      <c r="CF231" s="21" t="str">
        <f>IF([1]!BANCO10[[#This Row],[SOLUÇÃO]]=CF$1,[1]!BANCO10[[#This Row],[STATUS DA ETAPA]],"")</f>
        <v/>
      </c>
      <c r="CG231" s="21" t="str">
        <f>IF([1]!BANCO10[[#This Row],[SOLUÇÃO]]=CG$1,[1]!BANCO10[[#This Row],[STATUS DA ETAPA]],"")</f>
        <v/>
      </c>
      <c r="CH231" s="21" t="str">
        <f>IF([1]!BANCO10[[#This Row],[SOLUÇÃO]]=CH$1,[1]!BANCO10[[#This Row],[STATUS DA ETAPA]],"")</f>
        <v/>
      </c>
      <c r="CI231" s="21" t="str">
        <f>IF([1]!BANCO10[[#This Row],[SOLUÇÃO]]=CI$1,[1]!BANCO10[[#This Row],[STATUS DA ETAPA]],"")</f>
        <v/>
      </c>
      <c r="CJ231" s="21" t="str">
        <f>IF([1]!BANCO10[[#This Row],[SOLUÇÃO]]=CJ$1,[1]!BANCO10[[#This Row],[STATUS DA ETAPA]],"")</f>
        <v/>
      </c>
      <c r="CK231" s="21" t="str">
        <f>IF([1]!BANCO10[[#This Row],[SOLUÇÃO]]=CK$1,[1]!BANCO10[[#This Row],[STATUS DA ETAPA]],"")</f>
        <v/>
      </c>
      <c r="CL231" s="21" t="str">
        <f>IF([1]!BANCO10[[#This Row],[SOLUÇÃO]]=CL$1,[1]!BANCO10[[#This Row],[STATUS DA ETAPA]],"")</f>
        <v>CONCLUÍDO</v>
      </c>
      <c r="CM231" s="21" t="str">
        <f>IF([1]!BANCO10[[#This Row],[SOLUÇÃO]]=CM$1,[1]!BANCO10[[#This Row],[STATUS DA ETAPA]],"")</f>
        <v/>
      </c>
      <c r="CN231" s="21" t="str">
        <f>IF([1]!BANCO10[[#This Row],[SOLUÇÃO]]=CN$1,[1]!BANCO10[[#This Row],[STATUS DA ETAPA]],"")</f>
        <v/>
      </c>
      <c r="CO231" s="21" t="str">
        <f>IF([1]!BANCO10[[#This Row],[SOLUÇÃO]]=CO$1,[1]!BANCO10[[#This Row],[STATUS DA ETAPA]],"")</f>
        <v/>
      </c>
      <c r="CP231" s="21" t="str">
        <f>IF([1]!BANCO10[[#This Row],[SOLUÇÃO]]=CP$1,[1]!BANCO10[[#This Row],[STATUS DA ETAPA]],"")</f>
        <v/>
      </c>
      <c r="CQ231" s="21" t="str">
        <f>IF([1]!BANCO10[[#This Row],[SOLUÇÃO]]=CQ$1,[1]!BANCO10[[#This Row],[STATUS DA ETAPA]],"")</f>
        <v/>
      </c>
      <c r="CR231" s="21" t="str">
        <f>IF([1]!BANCO10[[#This Row],[SOLUÇÃO]]=CR$1,[1]!BANCO10[[#This Row],[STATUS DA ETAPA]],"")</f>
        <v/>
      </c>
      <c r="CS231" s="21" t="str">
        <f>IF([1]!BANCO10[[#This Row],[SOLUÇÃO]]=CS$1,[1]!BANCO10[[#This Row],[STATUS DA ETAPA]],"")</f>
        <v/>
      </c>
      <c r="CT231" s="21" t="str">
        <f>IF([1]!BANCO10[[#This Row],[SOLUÇÃO]]=CT$1,[1]!BANCO10[[#This Row],[STATUS DA ETAPA]],"")</f>
        <v/>
      </c>
      <c r="CU231" s="21" t="str">
        <f>IF([1]!BANCO10[[#This Row],[SOLUÇÃO]]=CU$1,[1]!BANCO10[[#This Row],[STATUS DA ETAPA]],"")</f>
        <v/>
      </c>
      <c r="CV231" s="21" t="str">
        <f>IF([1]!BANCO10[[#This Row],[SOLUÇÃO]]=CV$1,[1]!BANCO10[[#This Row],[STATUS DA ETAPA]],"")</f>
        <v/>
      </c>
    </row>
    <row r="232" spans="1:100">
      <c r="A232" s="44" t="s">
        <v>1</v>
      </c>
      <c r="B232" s="44"/>
      <c r="C232" s="44" t="s">
        <v>1</v>
      </c>
      <c r="D232" s="44"/>
      <c r="E232" s="44" t="s">
        <v>1</v>
      </c>
      <c r="F232" s="44"/>
      <c r="G232" s="44" t="s">
        <v>1</v>
      </c>
      <c r="H232" s="44"/>
      <c r="I232" s="45" t="s">
        <v>1</v>
      </c>
      <c r="J232" s="46"/>
      <c r="K232" s="45" t="s">
        <v>1</v>
      </c>
      <c r="L232" s="33"/>
      <c r="M232" s="45" t="s">
        <v>1</v>
      </c>
      <c r="N232" s="33"/>
      <c r="O232" s="44" t="s">
        <v>1</v>
      </c>
      <c r="P232" s="44"/>
      <c r="Q232" s="44" t="s">
        <v>0</v>
      </c>
      <c r="R232" s="44"/>
      <c r="S232" s="44" t="s">
        <v>1</v>
      </c>
      <c r="T232" s="44"/>
      <c r="U232" s="44" t="s">
        <v>1</v>
      </c>
      <c r="V232" s="44"/>
      <c r="W232" s="44" t="s">
        <v>1</v>
      </c>
      <c r="X232" s="44"/>
      <c r="Y232" s="44" t="s">
        <v>1</v>
      </c>
      <c r="Z232" s="44"/>
      <c r="AA232" s="44" t="s">
        <v>1</v>
      </c>
      <c r="AB232" s="44"/>
      <c r="AC232" s="51">
        <v>45963</v>
      </c>
      <c r="AD232" s="50">
        <v>45963</v>
      </c>
      <c r="AE232" s="40" t="s">
        <v>1</v>
      </c>
      <c r="AF232" s="40" t="s">
        <v>1</v>
      </c>
      <c r="AG232" s="40" t="s">
        <v>1</v>
      </c>
      <c r="AH232" s="36" t="s">
        <v>1</v>
      </c>
      <c r="AI232" s="49">
        <v>0</v>
      </c>
      <c r="AJ232" s="36" t="s">
        <v>1</v>
      </c>
      <c r="AK232" s="10" t="s">
        <v>1</v>
      </c>
      <c r="AL232" s="36" t="s">
        <v>1</v>
      </c>
      <c r="AM232" s="36" t="s">
        <v>1</v>
      </c>
      <c r="AN232" s="35" t="s">
        <v>1</v>
      </c>
      <c r="AO232" s="35" t="s">
        <v>1</v>
      </c>
      <c r="AP232" s="35" t="s">
        <v>1</v>
      </c>
      <c r="AQ232" s="35" t="s">
        <v>1</v>
      </c>
      <c r="AR232" s="82" t="s">
        <v>1</v>
      </c>
      <c r="AS232" s="63"/>
      <c r="AT232" s="32" t="s">
        <v>1</v>
      </c>
      <c r="AU232" s="31"/>
      <c r="AV232" s="32" t="s">
        <v>1</v>
      </c>
      <c r="AW232" s="31"/>
      <c r="AX232" s="32" t="s">
        <v>1</v>
      </c>
      <c r="AY232" s="31"/>
      <c r="AZ232" s="32" t="s">
        <v>1</v>
      </c>
      <c r="BA232" s="31"/>
      <c r="BB232" s="74" t="s">
        <v>651</v>
      </c>
      <c r="BC232" s="25"/>
      <c r="BD232" s="24" t="s">
        <v>19</v>
      </c>
      <c r="BE232" s="24" t="s">
        <v>19</v>
      </c>
      <c r="BF232" s="24" t="s">
        <v>19</v>
      </c>
      <c r="BG232" s="24" t="s">
        <v>19</v>
      </c>
      <c r="BH232" s="130" t="s">
        <v>19</v>
      </c>
      <c r="BI232" s="24"/>
      <c r="BJ232" s="24" t="s">
        <v>11</v>
      </c>
      <c r="BK232" s="24" t="s">
        <v>11</v>
      </c>
      <c r="BL232" s="24" t="s">
        <v>11</v>
      </c>
      <c r="BM232" s="24" t="s">
        <v>11</v>
      </c>
      <c r="BN232" s="24" t="s">
        <v>11</v>
      </c>
      <c r="BO232" s="24" t="s">
        <v>11</v>
      </c>
      <c r="BP232" s="24" t="s">
        <v>11</v>
      </c>
      <c r="BQ232" s="22">
        <f>YEAR([1]!BANCO10[[#This Row],[DATA INÍCIO]])</f>
        <v>2025</v>
      </c>
      <c r="BR232" s="22">
        <f>MONTH([1]!BANCO10[[#This Row],[DATA INÍCIO]])</f>
        <v>11</v>
      </c>
      <c r="BS232" s="129" t="e">
        <f>CONCATENATE(#REF!,#REF!)</f>
        <v>#REF!</v>
      </c>
      <c r="BT232" s="22"/>
      <c r="BU232" s="21" t="s">
        <v>1</v>
      </c>
      <c r="BV232" s="21" t="str">
        <f>IF([1]!BANCO10[[#This Row],[SOLUÇÃO]]=BV$1,[1]!BANCO10[[#This Row],[STATUS DA ETAPA]],"")</f>
        <v>CANCELADO</v>
      </c>
      <c r="BW232" s="21" t="str">
        <f>IF([1]!BANCO10[[#This Row],[SOLUÇÃO]]=BW$1,[1]!BANCO10[[#This Row],[STATUS DA ETAPA]],"")</f>
        <v/>
      </c>
      <c r="BX232" s="21" t="str">
        <f>IF([1]!BANCO10[[#This Row],[SOLUÇÃO]]=BX$1,[1]!BANCO10[[#This Row],[STATUS DA ETAPA]],"")</f>
        <v/>
      </c>
      <c r="BY232" s="21" t="str">
        <f>IF([1]!BANCO10[[#This Row],[SOLUÇÃO]]=BY$1,[1]!BANCO10[[#This Row],[STATUS DA ETAPA]],"")</f>
        <v/>
      </c>
      <c r="BZ232" s="21" t="str">
        <f>IF([1]!BANCO10[[#This Row],[SOLUÇÃO]]=BZ$1,[1]!BANCO10[[#This Row],[STATUS DA ETAPA]],"")</f>
        <v/>
      </c>
      <c r="CA232" s="21" t="str">
        <f>IF([1]!BANCO10[[#This Row],[SOLUÇÃO]]=CA$1,[1]!BANCO10[[#This Row],[STATUS DA ETAPA]],"")</f>
        <v/>
      </c>
      <c r="CB232" s="21" t="str">
        <f>IF([1]!BANCO10[[#This Row],[SOLUÇÃO]]=CB$1,[1]!BANCO10[[#This Row],[STATUS DA ETAPA]],"")</f>
        <v/>
      </c>
      <c r="CC232" s="21" t="str">
        <f>IF([1]!BANCO10[[#This Row],[SOLUÇÃO]]=CC$1,[1]!BANCO10[[#This Row],[STATUS DA ETAPA]],"")</f>
        <v/>
      </c>
      <c r="CD232" s="21" t="str">
        <f>IF([1]!BANCO10[[#This Row],[SOLUÇÃO]]=CD$1,[1]!BANCO10[[#This Row],[STATUS DA ETAPA]],"")</f>
        <v/>
      </c>
      <c r="CE232" s="21" t="str">
        <f>IF([1]!BANCO10[[#This Row],[SOLUÇÃO]]=CE$1,[1]!BANCO10[[#This Row],[STATUS DA ETAPA]],"")</f>
        <v/>
      </c>
      <c r="CF232" s="21" t="str">
        <f>IF([1]!BANCO10[[#This Row],[SOLUÇÃO]]=CF$1,[1]!BANCO10[[#This Row],[STATUS DA ETAPA]],"")</f>
        <v/>
      </c>
      <c r="CG232" s="21" t="str">
        <f>IF([1]!BANCO10[[#This Row],[SOLUÇÃO]]=CG$1,[1]!BANCO10[[#This Row],[STATUS DA ETAPA]],"")</f>
        <v/>
      </c>
      <c r="CH232" s="21" t="str">
        <f>IF([1]!BANCO10[[#This Row],[SOLUÇÃO]]=CH$1,[1]!BANCO10[[#This Row],[STATUS DA ETAPA]],"")</f>
        <v/>
      </c>
      <c r="CI232" s="21" t="str">
        <f>IF([1]!BANCO10[[#This Row],[SOLUÇÃO]]=CI$1,[1]!BANCO10[[#This Row],[STATUS DA ETAPA]],"")</f>
        <v/>
      </c>
      <c r="CJ232" s="21" t="str">
        <f>IF([1]!BANCO10[[#This Row],[SOLUÇÃO]]=CJ$1,[1]!BANCO10[[#This Row],[STATUS DA ETAPA]],"")</f>
        <v/>
      </c>
      <c r="CK232" s="21" t="str">
        <f>IF([1]!BANCO10[[#This Row],[SOLUÇÃO]]=CK$1,[1]!BANCO10[[#This Row],[STATUS DA ETAPA]],"")</f>
        <v/>
      </c>
      <c r="CL232" s="21" t="str">
        <f>IF([1]!BANCO10[[#This Row],[SOLUÇÃO]]=CL$1,[1]!BANCO10[[#This Row],[STATUS DA ETAPA]],"")</f>
        <v/>
      </c>
      <c r="CM232" s="21" t="str">
        <f>IF([1]!BANCO10[[#This Row],[SOLUÇÃO]]=CM$1,[1]!BANCO10[[#This Row],[STATUS DA ETAPA]],"")</f>
        <v/>
      </c>
      <c r="CN232" s="21" t="str">
        <f>IF([1]!BANCO10[[#This Row],[SOLUÇÃO]]=CN$1,[1]!BANCO10[[#This Row],[STATUS DA ETAPA]],"")</f>
        <v/>
      </c>
      <c r="CO232" s="21" t="str">
        <f>IF([1]!BANCO10[[#This Row],[SOLUÇÃO]]=CO$1,[1]!BANCO10[[#This Row],[STATUS DA ETAPA]],"")</f>
        <v/>
      </c>
      <c r="CP232" s="21" t="str">
        <f>IF([1]!BANCO10[[#This Row],[SOLUÇÃO]]=CP$1,[1]!BANCO10[[#This Row],[STATUS DA ETAPA]],"")</f>
        <v/>
      </c>
      <c r="CQ232" s="21" t="str">
        <f>IF([1]!BANCO10[[#This Row],[SOLUÇÃO]]=CQ$1,[1]!BANCO10[[#This Row],[STATUS DA ETAPA]],"")</f>
        <v/>
      </c>
      <c r="CR232" s="21" t="str">
        <f>IF([1]!BANCO10[[#This Row],[SOLUÇÃO]]=CR$1,[1]!BANCO10[[#This Row],[STATUS DA ETAPA]],"")</f>
        <v/>
      </c>
      <c r="CS232" s="21" t="str">
        <f>IF([1]!BANCO10[[#This Row],[SOLUÇÃO]]=CS$1,[1]!BANCO10[[#This Row],[STATUS DA ETAPA]],"")</f>
        <v/>
      </c>
      <c r="CT232" s="21" t="str">
        <f>IF([1]!BANCO10[[#This Row],[SOLUÇÃO]]=CT$1,[1]!BANCO10[[#This Row],[STATUS DA ETAPA]],"")</f>
        <v/>
      </c>
      <c r="CU232" s="21" t="str">
        <f>IF([1]!BANCO10[[#This Row],[SOLUÇÃO]]=CU$1,[1]!BANCO10[[#This Row],[STATUS DA ETAPA]],"")</f>
        <v/>
      </c>
      <c r="CV232" s="21" t="str">
        <f>IF([1]!BANCO10[[#This Row],[SOLUÇÃO]]=CV$1,[1]!BANCO10[[#This Row],[STATUS DA ETAPA]],"")</f>
        <v/>
      </c>
    </row>
    <row r="233" spans="1:100">
      <c r="A233" s="44" t="s">
        <v>1</v>
      </c>
      <c r="B233" s="44"/>
      <c r="C233" s="44" t="s">
        <v>1</v>
      </c>
      <c r="D233" s="44"/>
      <c r="E233" s="44" t="s">
        <v>1</v>
      </c>
      <c r="F233" s="44"/>
      <c r="G233" s="44" t="s">
        <v>1</v>
      </c>
      <c r="H233" s="44"/>
      <c r="I233" s="45" t="s">
        <v>1</v>
      </c>
      <c r="J233" s="46"/>
      <c r="K233" s="45" t="s">
        <v>1</v>
      </c>
      <c r="L233" s="33"/>
      <c r="M233" s="45" t="s">
        <v>1</v>
      </c>
      <c r="N233" s="33"/>
      <c r="O233" s="44" t="s">
        <v>1</v>
      </c>
      <c r="P233" s="44"/>
      <c r="Q233" s="44" t="s">
        <v>1</v>
      </c>
      <c r="R233" s="44"/>
      <c r="S233" s="44" t="s">
        <v>1</v>
      </c>
      <c r="T233" s="44"/>
      <c r="U233" s="44" t="s">
        <v>1</v>
      </c>
      <c r="V233" s="44"/>
      <c r="W233" s="44" t="s">
        <v>1</v>
      </c>
      <c r="X233" s="44"/>
      <c r="Y233" s="44" t="s">
        <v>1</v>
      </c>
      <c r="Z233" s="44"/>
      <c r="AA233" s="44" t="s">
        <v>1</v>
      </c>
      <c r="AB233" s="44"/>
      <c r="AC233" s="51">
        <v>45963</v>
      </c>
      <c r="AD233" s="50">
        <v>45963</v>
      </c>
      <c r="AE233" s="40" t="s">
        <v>1</v>
      </c>
      <c r="AF233" s="40" t="s">
        <v>1</v>
      </c>
      <c r="AG233" s="40" t="s">
        <v>1</v>
      </c>
      <c r="AH233" s="36" t="s">
        <v>1</v>
      </c>
      <c r="AI233" s="49">
        <v>0</v>
      </c>
      <c r="AJ233" s="36" t="s">
        <v>1</v>
      </c>
      <c r="AK233" s="10" t="s">
        <v>1</v>
      </c>
      <c r="AL233" s="36" t="s">
        <v>1</v>
      </c>
      <c r="AM233" s="36" t="s">
        <v>1</v>
      </c>
      <c r="AN233" s="35" t="s">
        <v>1</v>
      </c>
      <c r="AO233" s="35" t="s">
        <v>1</v>
      </c>
      <c r="AP233" s="35" t="s">
        <v>1</v>
      </c>
      <c r="AQ233" s="35" t="s">
        <v>1</v>
      </c>
      <c r="AR233" s="34" t="s">
        <v>1</v>
      </c>
      <c r="AS233" s="63"/>
      <c r="AT233" s="32" t="s">
        <v>1</v>
      </c>
      <c r="AU233" s="31"/>
      <c r="AV233" s="32" t="s">
        <v>1</v>
      </c>
      <c r="AW233" s="31"/>
      <c r="AX233" s="32" t="s">
        <v>1</v>
      </c>
      <c r="AY233" s="31"/>
      <c r="AZ233" s="32" t="s">
        <v>1</v>
      </c>
      <c r="BA233" s="31"/>
      <c r="BB233" s="74" t="s">
        <v>651</v>
      </c>
      <c r="BC233" s="25"/>
      <c r="BD233" s="24" t="s">
        <v>19</v>
      </c>
      <c r="BE233" s="24" t="s">
        <v>19</v>
      </c>
      <c r="BF233" s="24" t="s">
        <v>19</v>
      </c>
      <c r="BG233" s="24" t="s">
        <v>19</v>
      </c>
      <c r="BH233" s="130" t="s">
        <v>19</v>
      </c>
      <c r="BI233" s="24"/>
      <c r="BJ233" s="24" t="s">
        <v>11</v>
      </c>
      <c r="BK233" s="24" t="s">
        <v>11</v>
      </c>
      <c r="BL233" s="24">
        <v>45397</v>
      </c>
      <c r="BM233" s="24"/>
      <c r="BN233" s="24" t="s">
        <v>11</v>
      </c>
      <c r="BO233" s="24"/>
      <c r="BP233" s="24" t="s">
        <v>178</v>
      </c>
      <c r="BQ233" s="22">
        <f>YEAR([1]!BANCO10[[#This Row],[DATA INÍCIO]])</f>
        <v>2025</v>
      </c>
      <c r="BR233" s="22">
        <f>MONTH([1]!BANCO10[[#This Row],[DATA INÍCIO]])</f>
        <v>11</v>
      </c>
      <c r="BS233" s="129" t="e">
        <f>CONCATENATE(#REF!,#REF!)</f>
        <v>#REF!</v>
      </c>
      <c r="BT233" s="22"/>
      <c r="BU233" s="21" t="s">
        <v>1</v>
      </c>
      <c r="BV233" s="21" t="str">
        <f>IF([1]!BANCO10[[#This Row],[SOLUÇÃO]]=BV$1,[1]!BANCO10[[#This Row],[STATUS DA ETAPA]],"")</f>
        <v/>
      </c>
      <c r="BW233" s="21" t="str">
        <f>IF([1]!BANCO10[[#This Row],[SOLUÇÃO]]=BW$1,[1]!BANCO10[[#This Row],[STATUS DA ETAPA]],"")</f>
        <v/>
      </c>
      <c r="BX233" s="21" t="str">
        <f>IF([1]!BANCO10[[#This Row],[SOLUÇÃO]]=BX$1,[1]!BANCO10[[#This Row],[STATUS DA ETAPA]],"")</f>
        <v/>
      </c>
      <c r="BY233" s="21" t="str">
        <f>IF([1]!BANCO10[[#This Row],[SOLUÇÃO]]=BY$1,[1]!BANCO10[[#This Row],[STATUS DA ETAPA]],"")</f>
        <v/>
      </c>
      <c r="BZ233" s="21" t="str">
        <f>IF([1]!BANCO10[[#This Row],[SOLUÇÃO]]=BZ$1,[1]!BANCO10[[#This Row],[STATUS DA ETAPA]],"")</f>
        <v/>
      </c>
      <c r="CA233" s="21" t="str">
        <f>IF([1]!BANCO10[[#This Row],[SOLUÇÃO]]=CA$1,[1]!BANCO10[[#This Row],[STATUS DA ETAPA]],"")</f>
        <v>CANCELADO</v>
      </c>
      <c r="CB233" s="21" t="str">
        <f>IF([1]!BANCO10[[#This Row],[SOLUÇÃO]]=CB$1,[1]!BANCO10[[#This Row],[STATUS DA ETAPA]],"")</f>
        <v/>
      </c>
      <c r="CC233" s="21" t="str">
        <f>IF([1]!BANCO10[[#This Row],[SOLUÇÃO]]=CC$1,[1]!BANCO10[[#This Row],[STATUS DA ETAPA]],"")</f>
        <v/>
      </c>
      <c r="CD233" s="21" t="str">
        <f>IF([1]!BANCO10[[#This Row],[SOLUÇÃO]]=CD$1,[1]!BANCO10[[#This Row],[STATUS DA ETAPA]],"")</f>
        <v/>
      </c>
      <c r="CE233" s="21" t="str">
        <f>IF([1]!BANCO10[[#This Row],[SOLUÇÃO]]=CE$1,[1]!BANCO10[[#This Row],[STATUS DA ETAPA]],"")</f>
        <v/>
      </c>
      <c r="CF233" s="21" t="str">
        <f>IF([1]!BANCO10[[#This Row],[SOLUÇÃO]]=CF$1,[1]!BANCO10[[#This Row],[STATUS DA ETAPA]],"")</f>
        <v/>
      </c>
      <c r="CG233" s="21" t="str">
        <f>IF([1]!BANCO10[[#This Row],[SOLUÇÃO]]=CG$1,[1]!BANCO10[[#This Row],[STATUS DA ETAPA]],"")</f>
        <v/>
      </c>
      <c r="CH233" s="21" t="str">
        <f>IF([1]!BANCO10[[#This Row],[SOLUÇÃO]]=CH$1,[1]!BANCO10[[#This Row],[STATUS DA ETAPA]],"")</f>
        <v/>
      </c>
      <c r="CI233" s="21" t="str">
        <f>IF([1]!BANCO10[[#This Row],[SOLUÇÃO]]=CI$1,[1]!BANCO10[[#This Row],[STATUS DA ETAPA]],"")</f>
        <v/>
      </c>
      <c r="CJ233" s="21" t="str">
        <f>IF([1]!BANCO10[[#This Row],[SOLUÇÃO]]=CJ$1,[1]!BANCO10[[#This Row],[STATUS DA ETAPA]],"")</f>
        <v/>
      </c>
      <c r="CK233" s="21" t="str">
        <f>IF([1]!BANCO10[[#This Row],[SOLUÇÃO]]=CK$1,[1]!BANCO10[[#This Row],[STATUS DA ETAPA]],"")</f>
        <v/>
      </c>
      <c r="CL233" s="21" t="str">
        <f>IF([1]!BANCO10[[#This Row],[SOLUÇÃO]]=CL$1,[1]!BANCO10[[#This Row],[STATUS DA ETAPA]],"")</f>
        <v/>
      </c>
      <c r="CM233" s="21" t="str">
        <f>IF([1]!BANCO10[[#This Row],[SOLUÇÃO]]=CM$1,[1]!BANCO10[[#This Row],[STATUS DA ETAPA]],"")</f>
        <v/>
      </c>
      <c r="CN233" s="21" t="str">
        <f>IF([1]!BANCO10[[#This Row],[SOLUÇÃO]]=CN$1,[1]!BANCO10[[#This Row],[STATUS DA ETAPA]],"")</f>
        <v/>
      </c>
      <c r="CO233" s="21" t="str">
        <f>IF([1]!BANCO10[[#This Row],[SOLUÇÃO]]=CO$1,[1]!BANCO10[[#This Row],[STATUS DA ETAPA]],"")</f>
        <v/>
      </c>
      <c r="CP233" s="21" t="str">
        <f>IF([1]!BANCO10[[#This Row],[SOLUÇÃO]]=CP$1,[1]!BANCO10[[#This Row],[STATUS DA ETAPA]],"")</f>
        <v/>
      </c>
      <c r="CQ233" s="21" t="str">
        <f>IF([1]!BANCO10[[#This Row],[SOLUÇÃO]]=CQ$1,[1]!BANCO10[[#This Row],[STATUS DA ETAPA]],"")</f>
        <v/>
      </c>
      <c r="CR233" s="21" t="str">
        <f>IF([1]!BANCO10[[#This Row],[SOLUÇÃO]]=CR$1,[1]!BANCO10[[#This Row],[STATUS DA ETAPA]],"")</f>
        <v/>
      </c>
      <c r="CS233" s="21" t="str">
        <f>IF([1]!BANCO10[[#This Row],[SOLUÇÃO]]=CS$1,[1]!BANCO10[[#This Row],[STATUS DA ETAPA]],"")</f>
        <v/>
      </c>
      <c r="CT233" s="21" t="str">
        <f>IF([1]!BANCO10[[#This Row],[SOLUÇÃO]]=CT$1,[1]!BANCO10[[#This Row],[STATUS DA ETAPA]],"")</f>
        <v/>
      </c>
      <c r="CU233" s="21" t="str">
        <f>IF([1]!BANCO10[[#This Row],[SOLUÇÃO]]=CU$1,[1]!BANCO10[[#This Row],[STATUS DA ETAPA]],"")</f>
        <v/>
      </c>
      <c r="CV233" s="21" t="str">
        <f>IF([1]!BANCO10[[#This Row],[SOLUÇÃO]]=CV$1,[1]!BANCO10[[#This Row],[STATUS DA ETAPA]],"")</f>
        <v/>
      </c>
    </row>
    <row r="234" spans="1:100">
      <c r="A234" s="44" t="s">
        <v>1</v>
      </c>
      <c r="B234" s="44"/>
      <c r="C234" s="44" t="s">
        <v>1</v>
      </c>
      <c r="D234" s="44"/>
      <c r="E234" s="44" t="s">
        <v>1</v>
      </c>
      <c r="F234" s="44"/>
      <c r="G234" s="44" t="s">
        <v>1</v>
      </c>
      <c r="H234" s="44"/>
      <c r="I234" s="45" t="s">
        <v>1</v>
      </c>
      <c r="J234" s="46"/>
      <c r="K234" s="45" t="s">
        <v>1</v>
      </c>
      <c r="L234" s="33"/>
      <c r="M234" s="45" t="s">
        <v>1</v>
      </c>
      <c r="N234" s="33"/>
      <c r="O234" s="44" t="s">
        <v>2</v>
      </c>
      <c r="P234" s="44">
        <v>45160</v>
      </c>
      <c r="Q234" s="44" t="s">
        <v>0</v>
      </c>
      <c r="R234" s="44"/>
      <c r="S234" s="44" t="s">
        <v>1</v>
      </c>
      <c r="T234" s="44"/>
      <c r="U234" s="44" t="s">
        <v>1</v>
      </c>
      <c r="V234" s="44"/>
      <c r="W234" s="44" t="s">
        <v>1</v>
      </c>
      <c r="X234" s="44"/>
      <c r="Y234" s="44" t="s">
        <v>1</v>
      </c>
      <c r="Z234" s="44"/>
      <c r="AA234" s="44" t="s">
        <v>1</v>
      </c>
      <c r="AB234" s="44"/>
      <c r="AC234" s="84">
        <v>45159</v>
      </c>
      <c r="AD234" s="83">
        <v>45159</v>
      </c>
      <c r="AE234" s="40" t="s">
        <v>1</v>
      </c>
      <c r="AF234" s="40" t="s">
        <v>1</v>
      </c>
      <c r="AG234" s="76" t="s">
        <v>5</v>
      </c>
      <c r="AH234" s="36" t="s">
        <v>1</v>
      </c>
      <c r="AI234" s="49">
        <v>0</v>
      </c>
      <c r="AJ234" s="36" t="s">
        <v>1</v>
      </c>
      <c r="AK234" s="10" t="s">
        <v>1</v>
      </c>
      <c r="AL234" s="36" t="s">
        <v>1</v>
      </c>
      <c r="AM234" s="36" t="s">
        <v>1</v>
      </c>
      <c r="AN234" s="35" t="s">
        <v>1</v>
      </c>
      <c r="AO234" s="35" t="s">
        <v>1</v>
      </c>
      <c r="AP234" s="35" t="s">
        <v>1</v>
      </c>
      <c r="AQ234" s="35" t="s">
        <v>1</v>
      </c>
      <c r="AR234" s="48" t="s">
        <v>1</v>
      </c>
      <c r="AS234" s="33"/>
      <c r="AT234" s="32" t="s">
        <v>1</v>
      </c>
      <c r="AU234" s="31"/>
      <c r="AV234" s="32" t="s">
        <v>1</v>
      </c>
      <c r="AW234" s="31"/>
      <c r="AX234" s="30" t="s">
        <v>1</v>
      </c>
      <c r="AY234" s="55"/>
      <c r="AZ234" s="30" t="s">
        <v>1</v>
      </c>
      <c r="BA234" s="91"/>
      <c r="BB234" s="74"/>
      <c r="BC234" s="25"/>
      <c r="BD234" s="24" t="s">
        <v>11</v>
      </c>
      <c r="BE234" s="24" t="s">
        <v>11</v>
      </c>
      <c r="BF234" s="24" t="s">
        <v>21</v>
      </c>
      <c r="BG234" s="24" t="s">
        <v>136</v>
      </c>
      <c r="BH234" s="130" t="s">
        <v>63</v>
      </c>
      <c r="BI234" s="24"/>
      <c r="BJ234" s="24" t="s">
        <v>11</v>
      </c>
      <c r="BK234" s="24" t="s">
        <v>11</v>
      </c>
      <c r="BL234" s="24" t="s">
        <v>11</v>
      </c>
      <c r="BM234" s="24" t="s">
        <v>11</v>
      </c>
      <c r="BN234" s="24" t="s">
        <v>11</v>
      </c>
      <c r="BO234" s="24" t="s">
        <v>11</v>
      </c>
      <c r="BP234" s="24" t="s">
        <v>11</v>
      </c>
      <c r="BQ234" s="22">
        <f>YEAR([1]!BANCO10[[#This Row],[DATA INÍCIO]])</f>
        <v>2023</v>
      </c>
      <c r="BR234" s="22">
        <f>MONTH([1]!BANCO10[[#This Row],[DATA INÍCIO]])</f>
        <v>8</v>
      </c>
      <c r="BS234" s="129" t="e">
        <f>CONCATENATE(#REF!,#REF!)</f>
        <v>#REF!</v>
      </c>
      <c r="BT234" s="22"/>
      <c r="BU234" s="21" t="s">
        <v>650</v>
      </c>
      <c r="BV234" s="21" t="str">
        <f>IF([1]!BANCO10[[#This Row],[SOLUÇÃO]]=BV$1,[1]!BANCO10[[#This Row],[STATUS DA ETAPA]],"")</f>
        <v>CONCLUÍDO</v>
      </c>
      <c r="BW234" s="21" t="str">
        <f>IF([1]!BANCO10[[#This Row],[SOLUÇÃO]]=BW$1,[1]!BANCO10[[#This Row],[STATUS DA ETAPA]],"")</f>
        <v/>
      </c>
      <c r="BX234" s="21" t="str">
        <f>IF([1]!BANCO10[[#This Row],[SOLUÇÃO]]=BX$1,[1]!BANCO10[[#This Row],[STATUS DA ETAPA]],"")</f>
        <v/>
      </c>
      <c r="BY234" s="21" t="str">
        <f>IF([1]!BANCO10[[#This Row],[SOLUÇÃO]]=BY$1,[1]!BANCO10[[#This Row],[STATUS DA ETAPA]],"")</f>
        <v/>
      </c>
      <c r="BZ234" s="21" t="str">
        <f>IF([1]!BANCO10[[#This Row],[SOLUÇÃO]]=BZ$1,[1]!BANCO10[[#This Row],[STATUS DA ETAPA]],"")</f>
        <v/>
      </c>
      <c r="CA234" s="21" t="str">
        <f>IF([1]!BANCO10[[#This Row],[SOLUÇÃO]]=CA$1,[1]!BANCO10[[#This Row],[STATUS DA ETAPA]],"")</f>
        <v/>
      </c>
      <c r="CB234" s="21" t="str">
        <f>IF([1]!BANCO10[[#This Row],[SOLUÇÃO]]=CB$1,[1]!BANCO10[[#This Row],[STATUS DA ETAPA]],"")</f>
        <v/>
      </c>
      <c r="CC234" s="21" t="str">
        <f>IF([1]!BANCO10[[#This Row],[SOLUÇÃO]]=CC$1,[1]!BANCO10[[#This Row],[STATUS DA ETAPA]],"")</f>
        <v/>
      </c>
      <c r="CD234" s="21" t="str">
        <f>IF([1]!BANCO10[[#This Row],[SOLUÇÃO]]=CD$1,[1]!BANCO10[[#This Row],[STATUS DA ETAPA]],"")</f>
        <v/>
      </c>
      <c r="CE234" s="21" t="str">
        <f>IF([1]!BANCO10[[#This Row],[SOLUÇÃO]]=CE$1,[1]!BANCO10[[#This Row],[STATUS DA ETAPA]],"")</f>
        <v/>
      </c>
      <c r="CF234" s="21" t="str">
        <f>IF([1]!BANCO10[[#This Row],[SOLUÇÃO]]=CF$1,[1]!BANCO10[[#This Row],[STATUS DA ETAPA]],"")</f>
        <v/>
      </c>
      <c r="CG234" s="21" t="str">
        <f>IF([1]!BANCO10[[#This Row],[SOLUÇÃO]]=CG$1,[1]!BANCO10[[#This Row],[STATUS DA ETAPA]],"")</f>
        <v/>
      </c>
      <c r="CH234" s="21" t="str">
        <f>IF([1]!BANCO10[[#This Row],[SOLUÇÃO]]=CH$1,[1]!BANCO10[[#This Row],[STATUS DA ETAPA]],"")</f>
        <v/>
      </c>
      <c r="CI234" s="21" t="str">
        <f>IF([1]!BANCO10[[#This Row],[SOLUÇÃO]]=CI$1,[1]!BANCO10[[#This Row],[STATUS DA ETAPA]],"")</f>
        <v/>
      </c>
      <c r="CJ234" s="21" t="str">
        <f>IF([1]!BANCO10[[#This Row],[SOLUÇÃO]]=CJ$1,[1]!BANCO10[[#This Row],[STATUS DA ETAPA]],"")</f>
        <v/>
      </c>
      <c r="CK234" s="21" t="str">
        <f>IF([1]!BANCO10[[#This Row],[SOLUÇÃO]]=CK$1,[1]!BANCO10[[#This Row],[STATUS DA ETAPA]],"")</f>
        <v/>
      </c>
      <c r="CL234" s="21" t="str">
        <f>IF([1]!BANCO10[[#This Row],[SOLUÇÃO]]=CL$1,[1]!BANCO10[[#This Row],[STATUS DA ETAPA]],"")</f>
        <v/>
      </c>
      <c r="CM234" s="21" t="str">
        <f>IF([1]!BANCO10[[#This Row],[SOLUÇÃO]]=CM$1,[1]!BANCO10[[#This Row],[STATUS DA ETAPA]],"")</f>
        <v/>
      </c>
      <c r="CN234" s="21" t="str">
        <f>IF([1]!BANCO10[[#This Row],[SOLUÇÃO]]=CN$1,[1]!BANCO10[[#This Row],[STATUS DA ETAPA]],"")</f>
        <v/>
      </c>
      <c r="CO234" s="21" t="str">
        <f>IF([1]!BANCO10[[#This Row],[SOLUÇÃO]]=CO$1,[1]!BANCO10[[#This Row],[STATUS DA ETAPA]],"")</f>
        <v/>
      </c>
      <c r="CP234" s="21" t="str">
        <f>IF([1]!BANCO10[[#This Row],[SOLUÇÃO]]=CP$1,[1]!BANCO10[[#This Row],[STATUS DA ETAPA]],"")</f>
        <v/>
      </c>
      <c r="CQ234" s="21" t="str">
        <f>IF([1]!BANCO10[[#This Row],[SOLUÇÃO]]=CQ$1,[1]!BANCO10[[#This Row],[STATUS DA ETAPA]],"")</f>
        <v/>
      </c>
      <c r="CR234" s="21" t="str">
        <f>IF([1]!BANCO10[[#This Row],[SOLUÇÃO]]=CR$1,[1]!BANCO10[[#This Row],[STATUS DA ETAPA]],"")</f>
        <v/>
      </c>
      <c r="CS234" s="21" t="str">
        <f>IF([1]!BANCO10[[#This Row],[SOLUÇÃO]]=CS$1,[1]!BANCO10[[#This Row],[STATUS DA ETAPA]],"")</f>
        <v/>
      </c>
      <c r="CT234" s="21" t="str">
        <f>IF([1]!BANCO10[[#This Row],[SOLUÇÃO]]=CT$1,[1]!BANCO10[[#This Row],[STATUS DA ETAPA]],"")</f>
        <v/>
      </c>
      <c r="CU234" s="21" t="str">
        <f>IF([1]!BANCO10[[#This Row],[SOLUÇÃO]]=CU$1,[1]!BANCO10[[#This Row],[STATUS DA ETAPA]],"")</f>
        <v/>
      </c>
      <c r="CV234" s="21" t="str">
        <f>IF([1]!BANCO10[[#This Row],[SOLUÇÃO]]=CV$1,[1]!BANCO10[[#This Row],[STATUS DA ETAPA]],"")</f>
        <v/>
      </c>
    </row>
    <row r="235" spans="1:100">
      <c r="A235" s="44" t="s">
        <v>1</v>
      </c>
      <c r="B235" s="44"/>
      <c r="C235" s="44" t="s">
        <v>1</v>
      </c>
      <c r="D235" s="44"/>
      <c r="E235" s="44" t="s">
        <v>1</v>
      </c>
      <c r="F235" s="44"/>
      <c r="G235" s="44" t="s">
        <v>1</v>
      </c>
      <c r="H235" s="44"/>
      <c r="I235" s="45" t="s">
        <v>1</v>
      </c>
      <c r="J235" s="46"/>
      <c r="K235" s="45" t="s">
        <v>1</v>
      </c>
      <c r="L235" s="33"/>
      <c r="M235" s="45" t="s">
        <v>1</v>
      </c>
      <c r="N235" s="33"/>
      <c r="O235" s="44" t="s">
        <v>2</v>
      </c>
      <c r="P235" s="44">
        <v>45160</v>
      </c>
      <c r="Q235" s="44" t="s">
        <v>2</v>
      </c>
      <c r="R235" s="44">
        <v>45161</v>
      </c>
      <c r="S235" s="44" t="s">
        <v>2</v>
      </c>
      <c r="T235" s="44">
        <v>45008</v>
      </c>
      <c r="U235" s="44" t="s">
        <v>2</v>
      </c>
      <c r="V235" s="44">
        <v>45162</v>
      </c>
      <c r="W235" s="44" t="s">
        <v>2</v>
      </c>
      <c r="X235" s="44"/>
      <c r="Y235" s="44" t="s">
        <v>2</v>
      </c>
      <c r="Z235" s="44">
        <v>45163</v>
      </c>
      <c r="AA235" s="44" t="s">
        <v>2</v>
      </c>
      <c r="AB235" s="44"/>
      <c r="AC235" s="51">
        <v>45189</v>
      </c>
      <c r="AD235" s="50">
        <v>45264</v>
      </c>
      <c r="AE235" s="40" t="s">
        <v>2</v>
      </c>
      <c r="AF235" s="40" t="s">
        <v>2</v>
      </c>
      <c r="AG235" s="76" t="s">
        <v>5</v>
      </c>
      <c r="AH235" s="36" t="s">
        <v>0</v>
      </c>
      <c r="AI235" s="49">
        <v>0</v>
      </c>
      <c r="AJ235" s="36" t="s">
        <v>6</v>
      </c>
      <c r="AK235" s="10"/>
      <c r="AL235" s="36">
        <v>4728</v>
      </c>
      <c r="AM235" s="36"/>
      <c r="AN235" s="35" t="s">
        <v>1</v>
      </c>
      <c r="AO235" s="35" t="s">
        <v>1</v>
      </c>
      <c r="AP235" s="35" t="s">
        <v>2</v>
      </c>
      <c r="AQ235" s="35" t="s">
        <v>1</v>
      </c>
      <c r="AR235" s="34" t="s">
        <v>1</v>
      </c>
      <c r="AS235" s="33"/>
      <c r="AT235" s="32" t="s">
        <v>1</v>
      </c>
      <c r="AU235" s="31"/>
      <c r="AV235" s="32" t="s">
        <v>1</v>
      </c>
      <c r="AW235" s="31"/>
      <c r="AX235" s="30" t="s">
        <v>2</v>
      </c>
      <c r="AY235" s="55">
        <v>45644</v>
      </c>
      <c r="AZ235" s="30" t="s">
        <v>2</v>
      </c>
      <c r="BA235" s="55">
        <v>45264</v>
      </c>
      <c r="BB235" s="74" t="s">
        <v>649</v>
      </c>
      <c r="BC235" s="25"/>
      <c r="BD235" s="24" t="s">
        <v>11</v>
      </c>
      <c r="BE235" s="24" t="s">
        <v>11</v>
      </c>
      <c r="BF235" s="24" t="s">
        <v>21</v>
      </c>
      <c r="BG235" s="24" t="s">
        <v>136</v>
      </c>
      <c r="BH235" s="130" t="s">
        <v>63</v>
      </c>
      <c r="BI235" s="24"/>
      <c r="BJ235" s="24" t="s">
        <v>11</v>
      </c>
      <c r="BK235" s="24" t="s">
        <v>11</v>
      </c>
      <c r="BL235" s="24" t="s">
        <v>11</v>
      </c>
      <c r="BM235" s="24" t="s">
        <v>11</v>
      </c>
      <c r="BN235" s="24" t="s">
        <v>11</v>
      </c>
      <c r="BO235" s="24" t="s">
        <v>11</v>
      </c>
      <c r="BP235" s="24" t="s">
        <v>11</v>
      </c>
      <c r="BQ235" s="22">
        <f>YEAR([1]!BANCO10[[#This Row],[DATA INÍCIO]])</f>
        <v>2023</v>
      </c>
      <c r="BR235" s="22">
        <f>MONTH([1]!BANCO10[[#This Row],[DATA INÍCIO]])</f>
        <v>9</v>
      </c>
      <c r="BS235" s="129" t="e">
        <f>CONCATENATE(#REF!,#REF!)</f>
        <v>#REF!</v>
      </c>
      <c r="BT235" s="22"/>
      <c r="BU235" s="21" t="s">
        <v>648</v>
      </c>
      <c r="BV235" s="21" t="str">
        <f>IF([1]!BANCO10[[#This Row],[SOLUÇÃO]]=BV$1,[1]!BANCO10[[#This Row],[STATUS DA ETAPA]],"")</f>
        <v/>
      </c>
      <c r="BW235" s="21" t="str">
        <f>IF([1]!BANCO10[[#This Row],[SOLUÇÃO]]=BW$1,[1]!BANCO10[[#This Row],[STATUS DA ETAPA]],"")</f>
        <v/>
      </c>
      <c r="BX235" s="21" t="str">
        <f>IF([1]!BANCO10[[#This Row],[SOLUÇÃO]]=BX$1,[1]!BANCO10[[#This Row],[STATUS DA ETAPA]],"")</f>
        <v/>
      </c>
      <c r="BY235" s="21" t="str">
        <f>IF([1]!BANCO10[[#This Row],[SOLUÇÃO]]=BY$1,[1]!BANCO10[[#This Row],[STATUS DA ETAPA]],"")</f>
        <v/>
      </c>
      <c r="BZ235" s="21" t="str">
        <f>IF([1]!BANCO10[[#This Row],[SOLUÇÃO]]=BZ$1,[1]!BANCO10[[#This Row],[STATUS DA ETAPA]],"")</f>
        <v/>
      </c>
      <c r="CA235" s="21" t="str">
        <f>IF([1]!BANCO10[[#This Row],[SOLUÇÃO]]=CA$1,[1]!BANCO10[[#This Row],[STATUS DA ETAPA]],"")</f>
        <v>CONCLUÍDO</v>
      </c>
      <c r="CB235" s="21" t="str">
        <f>IF([1]!BANCO10[[#This Row],[SOLUÇÃO]]=CB$1,[1]!BANCO10[[#This Row],[STATUS DA ETAPA]],"")</f>
        <v/>
      </c>
      <c r="CC235" s="21" t="str">
        <f>IF([1]!BANCO10[[#This Row],[SOLUÇÃO]]=CC$1,[1]!BANCO10[[#This Row],[STATUS DA ETAPA]],"")</f>
        <v/>
      </c>
      <c r="CD235" s="21" t="str">
        <f>IF([1]!BANCO10[[#This Row],[SOLUÇÃO]]=CD$1,[1]!BANCO10[[#This Row],[STATUS DA ETAPA]],"")</f>
        <v/>
      </c>
      <c r="CE235" s="21" t="str">
        <f>IF([1]!BANCO10[[#This Row],[SOLUÇÃO]]=CE$1,[1]!BANCO10[[#This Row],[STATUS DA ETAPA]],"")</f>
        <v/>
      </c>
      <c r="CF235" s="21" t="str">
        <f>IF([1]!BANCO10[[#This Row],[SOLUÇÃO]]=CF$1,[1]!BANCO10[[#This Row],[STATUS DA ETAPA]],"")</f>
        <v/>
      </c>
      <c r="CG235" s="21" t="str">
        <f>IF([1]!BANCO10[[#This Row],[SOLUÇÃO]]=CG$1,[1]!BANCO10[[#This Row],[STATUS DA ETAPA]],"")</f>
        <v/>
      </c>
      <c r="CH235" s="21" t="str">
        <f>IF([1]!BANCO10[[#This Row],[SOLUÇÃO]]=CH$1,[1]!BANCO10[[#This Row],[STATUS DA ETAPA]],"")</f>
        <v/>
      </c>
      <c r="CI235" s="21" t="str">
        <f>IF([1]!BANCO10[[#This Row],[SOLUÇÃO]]=CI$1,[1]!BANCO10[[#This Row],[STATUS DA ETAPA]],"")</f>
        <v/>
      </c>
      <c r="CJ235" s="21" t="str">
        <f>IF([1]!BANCO10[[#This Row],[SOLUÇÃO]]=CJ$1,[1]!BANCO10[[#This Row],[STATUS DA ETAPA]],"")</f>
        <v/>
      </c>
      <c r="CK235" s="21" t="str">
        <f>IF([1]!BANCO10[[#This Row],[SOLUÇÃO]]=CK$1,[1]!BANCO10[[#This Row],[STATUS DA ETAPA]],"")</f>
        <v/>
      </c>
      <c r="CL235" s="21" t="str">
        <f>IF([1]!BANCO10[[#This Row],[SOLUÇÃO]]=CL$1,[1]!BANCO10[[#This Row],[STATUS DA ETAPA]],"")</f>
        <v/>
      </c>
      <c r="CM235" s="21" t="str">
        <f>IF([1]!BANCO10[[#This Row],[SOLUÇÃO]]=CM$1,[1]!BANCO10[[#This Row],[STATUS DA ETAPA]],"")</f>
        <v/>
      </c>
      <c r="CN235" s="21" t="str">
        <f>IF([1]!BANCO10[[#This Row],[SOLUÇÃO]]=CN$1,[1]!BANCO10[[#This Row],[STATUS DA ETAPA]],"")</f>
        <v/>
      </c>
      <c r="CO235" s="21" t="str">
        <f>IF([1]!BANCO10[[#This Row],[SOLUÇÃO]]=CO$1,[1]!BANCO10[[#This Row],[STATUS DA ETAPA]],"")</f>
        <v/>
      </c>
      <c r="CP235" s="21" t="str">
        <f>IF([1]!BANCO10[[#This Row],[SOLUÇÃO]]=CP$1,[1]!BANCO10[[#This Row],[STATUS DA ETAPA]],"")</f>
        <v/>
      </c>
      <c r="CQ235" s="21" t="str">
        <f>IF([1]!BANCO10[[#This Row],[SOLUÇÃO]]=CQ$1,[1]!BANCO10[[#This Row],[STATUS DA ETAPA]],"")</f>
        <v/>
      </c>
      <c r="CR235" s="21" t="str">
        <f>IF([1]!BANCO10[[#This Row],[SOLUÇÃO]]=CR$1,[1]!BANCO10[[#This Row],[STATUS DA ETAPA]],"")</f>
        <v/>
      </c>
      <c r="CS235" s="21" t="str">
        <f>IF([1]!BANCO10[[#This Row],[SOLUÇÃO]]=CS$1,[1]!BANCO10[[#This Row],[STATUS DA ETAPA]],"")</f>
        <v/>
      </c>
      <c r="CT235" s="21" t="str">
        <f>IF([1]!BANCO10[[#This Row],[SOLUÇÃO]]=CT$1,[1]!BANCO10[[#This Row],[STATUS DA ETAPA]],"")</f>
        <v/>
      </c>
      <c r="CU235" s="21" t="str">
        <f>IF([1]!BANCO10[[#This Row],[SOLUÇÃO]]=CU$1,[1]!BANCO10[[#This Row],[STATUS DA ETAPA]],"")</f>
        <v/>
      </c>
      <c r="CV235" s="21" t="str">
        <f>IF([1]!BANCO10[[#This Row],[SOLUÇÃO]]=CV$1,[1]!BANCO10[[#This Row],[STATUS DA ETAPA]],"")</f>
        <v/>
      </c>
    </row>
    <row r="236" spans="1:100">
      <c r="A236" s="44" t="s">
        <v>1</v>
      </c>
      <c r="B236" s="44"/>
      <c r="C236" s="44" t="s">
        <v>1</v>
      </c>
      <c r="D236" s="44"/>
      <c r="E236" s="44" t="s">
        <v>1</v>
      </c>
      <c r="F236" s="44"/>
      <c r="G236" s="44" t="s">
        <v>1</v>
      </c>
      <c r="H236" s="44"/>
      <c r="I236" s="45" t="s">
        <v>1</v>
      </c>
      <c r="J236" s="46"/>
      <c r="K236" s="45" t="s">
        <v>1</v>
      </c>
      <c r="L236" s="33"/>
      <c r="M236" s="45" t="s">
        <v>1</v>
      </c>
      <c r="N236" s="33"/>
      <c r="O236" s="44" t="s">
        <v>2</v>
      </c>
      <c r="P236" s="44">
        <v>45160</v>
      </c>
      <c r="Q236" s="44" t="s">
        <v>2</v>
      </c>
      <c r="R236" s="44">
        <v>45366</v>
      </c>
      <c r="S236" s="44" t="s">
        <v>2</v>
      </c>
      <c r="T236" s="44">
        <v>45379</v>
      </c>
      <c r="U236" s="44" t="s">
        <v>2</v>
      </c>
      <c r="V236" s="44">
        <v>45379</v>
      </c>
      <c r="W236" s="44" t="s">
        <v>2</v>
      </c>
      <c r="X236" s="44"/>
      <c r="Y236" s="44" t="s">
        <v>2</v>
      </c>
      <c r="Z236" s="44">
        <v>45366</v>
      </c>
      <c r="AA236" s="44" t="s">
        <v>2</v>
      </c>
      <c r="AB236" s="44"/>
      <c r="AC236" s="51">
        <v>45412</v>
      </c>
      <c r="AD236" s="50">
        <v>45503</v>
      </c>
      <c r="AE236" s="40" t="s">
        <v>2</v>
      </c>
      <c r="AF236" s="41" t="s">
        <v>2</v>
      </c>
      <c r="AG236" s="76" t="s">
        <v>5</v>
      </c>
      <c r="AH236" s="36" t="s">
        <v>0</v>
      </c>
      <c r="AI236" s="49">
        <v>0</v>
      </c>
      <c r="AJ236" s="36" t="s">
        <v>6</v>
      </c>
      <c r="AK236" s="10"/>
      <c r="AL236" s="36">
        <v>4740</v>
      </c>
      <c r="AM236" s="36"/>
      <c r="AN236" s="35" t="s">
        <v>1</v>
      </c>
      <c r="AO236" s="35" t="s">
        <v>1</v>
      </c>
      <c r="AP236" s="35" t="s">
        <v>2</v>
      </c>
      <c r="AQ236" s="35" t="s">
        <v>1</v>
      </c>
      <c r="AR236" s="34" t="s">
        <v>1</v>
      </c>
      <c r="AS236" s="33"/>
      <c r="AT236" s="32" t="s">
        <v>1</v>
      </c>
      <c r="AU236" s="31"/>
      <c r="AV236" s="32" t="s">
        <v>1</v>
      </c>
      <c r="AW236" s="31"/>
      <c r="AX236" s="30" t="s">
        <v>2</v>
      </c>
      <c r="AY236" s="55">
        <v>45503</v>
      </c>
      <c r="AZ236" s="30" t="s">
        <v>0</v>
      </c>
      <c r="BA236" s="55"/>
      <c r="BB236" s="74"/>
      <c r="BC236" s="25"/>
      <c r="BD236" s="24"/>
      <c r="BE236" s="24"/>
      <c r="BF236" s="24"/>
      <c r="BG236" s="24"/>
      <c r="BH236" s="130"/>
      <c r="BI236" s="24"/>
      <c r="BJ236" s="24"/>
      <c r="BK236" s="24"/>
      <c r="BL236" s="24">
        <v>45389</v>
      </c>
      <c r="BM236" s="24" t="s">
        <v>18</v>
      </c>
      <c r="BN236" s="24" t="s">
        <v>11</v>
      </c>
      <c r="BO236" s="24"/>
      <c r="BP236" s="24" t="s">
        <v>151</v>
      </c>
      <c r="BQ236" s="22">
        <f>YEAR([1]!BANCO10[[#This Row],[DATA INÍCIO]])</f>
        <v>2024</v>
      </c>
      <c r="BR236" s="22">
        <f>MONTH([1]!BANCO10[[#This Row],[DATA INÍCIO]])</f>
        <v>4</v>
      </c>
      <c r="BS236" s="129" t="e">
        <f>CONCATENATE(#REF!,#REF!)</f>
        <v>#REF!</v>
      </c>
      <c r="BT236" s="22"/>
      <c r="BU236" s="21" t="s">
        <v>647</v>
      </c>
      <c r="BV236" s="21" t="str">
        <f>IF([1]!BANCO10[[#This Row],[SOLUÇÃO]]=BV$1,[1]!BANCO10[[#This Row],[STATUS DA ETAPA]],"")</f>
        <v/>
      </c>
      <c r="BW236" s="21" t="str">
        <f>IF([1]!BANCO10[[#This Row],[SOLUÇÃO]]=BW$1,[1]!BANCO10[[#This Row],[STATUS DA ETAPA]],"")</f>
        <v/>
      </c>
      <c r="BX236" s="21" t="str">
        <f>IF([1]!BANCO10[[#This Row],[SOLUÇÃO]]=BX$1,[1]!BANCO10[[#This Row],[STATUS DA ETAPA]],"")</f>
        <v/>
      </c>
      <c r="BY236" s="21" t="str">
        <f>IF([1]!BANCO10[[#This Row],[SOLUÇÃO]]=BY$1,[1]!BANCO10[[#This Row],[STATUS DA ETAPA]],"")</f>
        <v/>
      </c>
      <c r="BZ236" s="21" t="str">
        <f>IF([1]!BANCO10[[#This Row],[SOLUÇÃO]]=BZ$1,[1]!BANCO10[[#This Row],[STATUS DA ETAPA]],"")</f>
        <v/>
      </c>
      <c r="CA236" s="21" t="str">
        <f>IF([1]!BANCO10[[#This Row],[SOLUÇÃO]]=CA$1,[1]!BANCO10[[#This Row],[STATUS DA ETAPA]],"")</f>
        <v/>
      </c>
      <c r="CB236" s="21" t="str">
        <f>IF([1]!BANCO10[[#This Row],[SOLUÇÃO]]=CB$1,[1]!BANCO10[[#This Row],[STATUS DA ETAPA]],"")</f>
        <v/>
      </c>
      <c r="CC236" s="21" t="str">
        <f>IF([1]!BANCO10[[#This Row],[SOLUÇÃO]]=CC$1,[1]!BANCO10[[#This Row],[STATUS DA ETAPA]],"")</f>
        <v/>
      </c>
      <c r="CD236" s="21" t="str">
        <f>IF([1]!BANCO10[[#This Row],[SOLUÇÃO]]=CD$1,[1]!BANCO10[[#This Row],[STATUS DA ETAPA]],"")</f>
        <v/>
      </c>
      <c r="CE236" s="21" t="str">
        <f>IF([1]!BANCO10[[#This Row],[SOLUÇÃO]]=CE$1,[1]!BANCO10[[#This Row],[STATUS DA ETAPA]],"")</f>
        <v/>
      </c>
      <c r="CF236" s="21" t="str">
        <f>IF([1]!BANCO10[[#This Row],[SOLUÇÃO]]=CF$1,[1]!BANCO10[[#This Row],[STATUS DA ETAPA]],"")</f>
        <v/>
      </c>
      <c r="CG236" s="21" t="str">
        <f>IF([1]!BANCO10[[#This Row],[SOLUÇÃO]]=CG$1,[1]!BANCO10[[#This Row],[STATUS DA ETAPA]],"")</f>
        <v/>
      </c>
      <c r="CH236" s="21" t="str">
        <f>IF([1]!BANCO10[[#This Row],[SOLUÇÃO]]=CH$1,[1]!BANCO10[[#This Row],[STATUS DA ETAPA]],"")</f>
        <v/>
      </c>
      <c r="CI236" s="21" t="str">
        <f>IF([1]!BANCO10[[#This Row],[SOLUÇÃO]]=CI$1,[1]!BANCO10[[#This Row],[STATUS DA ETAPA]],"")</f>
        <v/>
      </c>
      <c r="CJ236" s="21" t="str">
        <f>IF([1]!BANCO10[[#This Row],[SOLUÇÃO]]=CJ$1,[1]!BANCO10[[#This Row],[STATUS DA ETAPA]],"")</f>
        <v/>
      </c>
      <c r="CK236" s="21" t="str">
        <f>IF([1]!BANCO10[[#This Row],[SOLUÇÃO]]=CK$1,[1]!BANCO10[[#This Row],[STATUS DA ETAPA]],"")</f>
        <v/>
      </c>
      <c r="CL236" s="21" t="str">
        <f>IF([1]!BANCO10[[#This Row],[SOLUÇÃO]]=CL$1,[1]!BANCO10[[#This Row],[STATUS DA ETAPA]],"")</f>
        <v>CONCLUÍDO</v>
      </c>
      <c r="CM236" s="21" t="str">
        <f>IF([1]!BANCO10[[#This Row],[SOLUÇÃO]]=CM$1,[1]!BANCO10[[#This Row],[STATUS DA ETAPA]],"")</f>
        <v/>
      </c>
      <c r="CN236" s="21" t="str">
        <f>IF([1]!BANCO10[[#This Row],[SOLUÇÃO]]=CN$1,[1]!BANCO10[[#This Row],[STATUS DA ETAPA]],"")</f>
        <v/>
      </c>
      <c r="CO236" s="21" t="str">
        <f>IF([1]!BANCO10[[#This Row],[SOLUÇÃO]]=CO$1,[1]!BANCO10[[#This Row],[STATUS DA ETAPA]],"")</f>
        <v/>
      </c>
      <c r="CP236" s="21" t="str">
        <f>IF([1]!BANCO10[[#This Row],[SOLUÇÃO]]=CP$1,[1]!BANCO10[[#This Row],[STATUS DA ETAPA]],"")</f>
        <v/>
      </c>
      <c r="CQ236" s="21" t="str">
        <f>IF([1]!BANCO10[[#This Row],[SOLUÇÃO]]=CQ$1,[1]!BANCO10[[#This Row],[STATUS DA ETAPA]],"")</f>
        <v/>
      </c>
      <c r="CR236" s="21" t="str">
        <f>IF([1]!BANCO10[[#This Row],[SOLUÇÃO]]=CR$1,[1]!BANCO10[[#This Row],[STATUS DA ETAPA]],"")</f>
        <v/>
      </c>
      <c r="CS236" s="21" t="str">
        <f>IF([1]!BANCO10[[#This Row],[SOLUÇÃO]]=CS$1,[1]!BANCO10[[#This Row],[STATUS DA ETAPA]],"")</f>
        <v/>
      </c>
      <c r="CT236" s="21" t="str">
        <f>IF([1]!BANCO10[[#This Row],[SOLUÇÃO]]=CT$1,[1]!BANCO10[[#This Row],[STATUS DA ETAPA]],"")</f>
        <v/>
      </c>
      <c r="CU236" s="21" t="str">
        <f>IF([1]!BANCO10[[#This Row],[SOLUÇÃO]]=CU$1,[1]!BANCO10[[#This Row],[STATUS DA ETAPA]],"")</f>
        <v/>
      </c>
      <c r="CV236" s="21" t="str">
        <f>IF([1]!BANCO10[[#This Row],[SOLUÇÃO]]=CV$1,[1]!BANCO10[[#This Row],[STATUS DA ETAPA]],"")</f>
        <v/>
      </c>
    </row>
    <row r="237" spans="1:100">
      <c r="A237" s="44" t="s">
        <v>1</v>
      </c>
      <c r="B237" s="44"/>
      <c r="C237" s="44" t="s">
        <v>1</v>
      </c>
      <c r="D237" s="44"/>
      <c r="E237" s="44" t="s">
        <v>1</v>
      </c>
      <c r="F237" s="44"/>
      <c r="G237" s="44" t="s">
        <v>1</v>
      </c>
      <c r="H237" s="44"/>
      <c r="I237" s="45" t="s">
        <v>1</v>
      </c>
      <c r="J237" s="46"/>
      <c r="K237" s="45" t="s">
        <v>1</v>
      </c>
      <c r="L237" s="33"/>
      <c r="M237" s="45" t="s">
        <v>1</v>
      </c>
      <c r="N237" s="33"/>
      <c r="O237" s="44" t="s">
        <v>1</v>
      </c>
      <c r="P237" s="44"/>
      <c r="Q237" s="44" t="s">
        <v>1</v>
      </c>
      <c r="R237" s="44"/>
      <c r="S237" s="44" t="s">
        <v>1</v>
      </c>
      <c r="T237" s="44"/>
      <c r="U237" s="44" t="s">
        <v>1</v>
      </c>
      <c r="V237" s="44"/>
      <c r="W237" s="44" t="s">
        <v>1</v>
      </c>
      <c r="X237" s="44"/>
      <c r="Y237" s="44" t="s">
        <v>1</v>
      </c>
      <c r="Z237" s="44"/>
      <c r="AA237" s="44" t="s">
        <v>1</v>
      </c>
      <c r="AB237" s="44"/>
      <c r="AC237" s="51">
        <v>45273</v>
      </c>
      <c r="AD237" s="51">
        <v>45273</v>
      </c>
      <c r="AE237" s="40" t="s">
        <v>1</v>
      </c>
      <c r="AF237" s="40" t="s">
        <v>1</v>
      </c>
      <c r="AG237" s="76" t="s">
        <v>5</v>
      </c>
      <c r="AH237" s="36" t="s">
        <v>1</v>
      </c>
      <c r="AI237" s="49">
        <v>0</v>
      </c>
      <c r="AJ237" s="36" t="s">
        <v>1</v>
      </c>
      <c r="AK237" s="10" t="s">
        <v>1</v>
      </c>
      <c r="AL237" s="36" t="s">
        <v>1</v>
      </c>
      <c r="AM237" s="36" t="s">
        <v>1</v>
      </c>
      <c r="AN237" s="35" t="s">
        <v>1</v>
      </c>
      <c r="AO237" s="35" t="s">
        <v>1</v>
      </c>
      <c r="AP237" s="35" t="s">
        <v>1</v>
      </c>
      <c r="AQ237" s="35" t="s">
        <v>1</v>
      </c>
      <c r="AR237" s="82" t="s">
        <v>1</v>
      </c>
      <c r="AS237" s="33"/>
      <c r="AT237" s="32" t="s">
        <v>1</v>
      </c>
      <c r="AU237" s="31"/>
      <c r="AV237" s="32" t="s">
        <v>1</v>
      </c>
      <c r="AW237" s="31"/>
      <c r="AX237" s="30" t="s">
        <v>1</v>
      </c>
      <c r="AY237" s="55"/>
      <c r="AZ237" s="30" t="s">
        <v>1</v>
      </c>
      <c r="BA237" s="55"/>
      <c r="BB237" s="74" t="s">
        <v>15</v>
      </c>
      <c r="BC237" s="25" t="s">
        <v>14</v>
      </c>
      <c r="BD237" s="24"/>
      <c r="BE237" s="24"/>
      <c r="BF237" s="24"/>
      <c r="BG237" s="24"/>
      <c r="BH237" s="130"/>
      <c r="BI237" s="24"/>
      <c r="BJ237" s="24" t="s">
        <v>11</v>
      </c>
      <c r="BK237" s="24" t="s">
        <v>11</v>
      </c>
      <c r="BL237" s="24" t="s">
        <v>11</v>
      </c>
      <c r="BM237" s="24" t="s">
        <v>11</v>
      </c>
      <c r="BN237" s="24" t="s">
        <v>11</v>
      </c>
      <c r="BO237" s="24" t="s">
        <v>11</v>
      </c>
      <c r="BP237" s="24" t="s">
        <v>11</v>
      </c>
      <c r="BQ237" s="22">
        <f>YEAR([1]!BANCO10[[#This Row],[DATA INÍCIO]])</f>
        <v>2023</v>
      </c>
      <c r="BR237" s="22">
        <f>MONTH([1]!BANCO10[[#This Row],[DATA INÍCIO]])</f>
        <v>12</v>
      </c>
      <c r="BS237" s="129" t="e">
        <f>CONCATENATE(#REF!,#REF!)</f>
        <v>#REF!</v>
      </c>
      <c r="BT237" s="22"/>
      <c r="BU237" s="21" t="s">
        <v>646</v>
      </c>
      <c r="BV237" s="21" t="str">
        <f>IF([1]!BANCO10[[#This Row],[SOLUÇÃO]]=BV$1,[1]!BANCO10[[#This Row],[STATUS DA ETAPA]],"")</f>
        <v>CONCLUÍDO</v>
      </c>
      <c r="BW237" s="21" t="str">
        <f>IF([1]!BANCO10[[#This Row],[SOLUÇÃO]]=BW$1,[1]!BANCO10[[#This Row],[STATUS DA ETAPA]],"")</f>
        <v/>
      </c>
      <c r="BX237" s="21" t="str">
        <f>IF([1]!BANCO10[[#This Row],[SOLUÇÃO]]=BX$1,[1]!BANCO10[[#This Row],[STATUS DA ETAPA]],"")</f>
        <v/>
      </c>
      <c r="BY237" s="21" t="str">
        <f>IF([1]!BANCO10[[#This Row],[SOLUÇÃO]]=BY$1,[1]!BANCO10[[#This Row],[STATUS DA ETAPA]],"")</f>
        <v/>
      </c>
      <c r="BZ237" s="21" t="str">
        <f>IF([1]!BANCO10[[#This Row],[SOLUÇÃO]]=BZ$1,[1]!BANCO10[[#This Row],[STATUS DA ETAPA]],"")</f>
        <v/>
      </c>
      <c r="CA237" s="21" t="str">
        <f>IF([1]!BANCO10[[#This Row],[SOLUÇÃO]]=CA$1,[1]!BANCO10[[#This Row],[STATUS DA ETAPA]],"")</f>
        <v/>
      </c>
      <c r="CB237" s="21" t="str">
        <f>IF([1]!BANCO10[[#This Row],[SOLUÇÃO]]=CB$1,[1]!BANCO10[[#This Row],[STATUS DA ETAPA]],"")</f>
        <v/>
      </c>
      <c r="CC237" s="21" t="str">
        <f>IF([1]!BANCO10[[#This Row],[SOLUÇÃO]]=CC$1,[1]!BANCO10[[#This Row],[STATUS DA ETAPA]],"")</f>
        <v/>
      </c>
      <c r="CD237" s="21" t="str">
        <f>IF([1]!BANCO10[[#This Row],[SOLUÇÃO]]=CD$1,[1]!BANCO10[[#This Row],[STATUS DA ETAPA]],"")</f>
        <v/>
      </c>
      <c r="CE237" s="21" t="str">
        <f>IF([1]!BANCO10[[#This Row],[SOLUÇÃO]]=CE$1,[1]!BANCO10[[#This Row],[STATUS DA ETAPA]],"")</f>
        <v/>
      </c>
      <c r="CF237" s="21" t="str">
        <f>IF([1]!BANCO10[[#This Row],[SOLUÇÃO]]=CF$1,[1]!BANCO10[[#This Row],[STATUS DA ETAPA]],"")</f>
        <v/>
      </c>
      <c r="CG237" s="21" t="str">
        <f>IF([1]!BANCO10[[#This Row],[SOLUÇÃO]]=CG$1,[1]!BANCO10[[#This Row],[STATUS DA ETAPA]],"")</f>
        <v/>
      </c>
      <c r="CH237" s="21" t="str">
        <f>IF([1]!BANCO10[[#This Row],[SOLUÇÃO]]=CH$1,[1]!BANCO10[[#This Row],[STATUS DA ETAPA]],"")</f>
        <v/>
      </c>
      <c r="CI237" s="21" t="str">
        <f>IF([1]!BANCO10[[#This Row],[SOLUÇÃO]]=CI$1,[1]!BANCO10[[#This Row],[STATUS DA ETAPA]],"")</f>
        <v/>
      </c>
      <c r="CJ237" s="21" t="str">
        <f>IF([1]!BANCO10[[#This Row],[SOLUÇÃO]]=CJ$1,[1]!BANCO10[[#This Row],[STATUS DA ETAPA]],"")</f>
        <v/>
      </c>
      <c r="CK237" s="21" t="str">
        <f>IF([1]!BANCO10[[#This Row],[SOLUÇÃO]]=CK$1,[1]!BANCO10[[#This Row],[STATUS DA ETAPA]],"")</f>
        <v/>
      </c>
      <c r="CL237" s="21" t="str">
        <f>IF([1]!BANCO10[[#This Row],[SOLUÇÃO]]=CL$1,[1]!BANCO10[[#This Row],[STATUS DA ETAPA]],"")</f>
        <v/>
      </c>
      <c r="CM237" s="21" t="str">
        <f>IF([1]!BANCO10[[#This Row],[SOLUÇÃO]]=CM$1,[1]!BANCO10[[#This Row],[STATUS DA ETAPA]],"")</f>
        <v/>
      </c>
      <c r="CN237" s="21" t="str">
        <f>IF([1]!BANCO10[[#This Row],[SOLUÇÃO]]=CN$1,[1]!BANCO10[[#This Row],[STATUS DA ETAPA]],"")</f>
        <v/>
      </c>
      <c r="CO237" s="21" t="str">
        <f>IF([1]!BANCO10[[#This Row],[SOLUÇÃO]]=CO$1,[1]!BANCO10[[#This Row],[STATUS DA ETAPA]],"")</f>
        <v/>
      </c>
      <c r="CP237" s="21" t="str">
        <f>IF([1]!BANCO10[[#This Row],[SOLUÇÃO]]=CP$1,[1]!BANCO10[[#This Row],[STATUS DA ETAPA]],"")</f>
        <v/>
      </c>
      <c r="CQ237" s="21" t="str">
        <f>IF([1]!BANCO10[[#This Row],[SOLUÇÃO]]=CQ$1,[1]!BANCO10[[#This Row],[STATUS DA ETAPA]],"")</f>
        <v/>
      </c>
      <c r="CR237" s="21" t="str">
        <f>IF([1]!BANCO10[[#This Row],[SOLUÇÃO]]=CR$1,[1]!BANCO10[[#This Row],[STATUS DA ETAPA]],"")</f>
        <v/>
      </c>
      <c r="CS237" s="21" t="str">
        <f>IF([1]!BANCO10[[#This Row],[SOLUÇÃO]]=CS$1,[1]!BANCO10[[#This Row],[STATUS DA ETAPA]],"")</f>
        <v/>
      </c>
      <c r="CT237" s="21" t="str">
        <f>IF([1]!BANCO10[[#This Row],[SOLUÇÃO]]=CT$1,[1]!BANCO10[[#This Row],[STATUS DA ETAPA]],"")</f>
        <v/>
      </c>
      <c r="CU237" s="21" t="str">
        <f>IF([1]!BANCO10[[#This Row],[SOLUÇÃO]]=CU$1,[1]!BANCO10[[#This Row],[STATUS DA ETAPA]],"")</f>
        <v/>
      </c>
      <c r="CV237" s="21" t="str">
        <f>IF([1]!BANCO10[[#This Row],[SOLUÇÃO]]=CV$1,[1]!BANCO10[[#This Row],[STATUS DA ETAPA]],"")</f>
        <v/>
      </c>
    </row>
    <row r="238" spans="1:100">
      <c r="A238" s="44" t="s">
        <v>1</v>
      </c>
      <c r="B238" s="44"/>
      <c r="C238" s="44" t="s">
        <v>1</v>
      </c>
      <c r="D238" s="44"/>
      <c r="E238" s="44" t="s">
        <v>1</v>
      </c>
      <c r="F238" s="44"/>
      <c r="G238" s="44" t="s">
        <v>1</v>
      </c>
      <c r="H238" s="44"/>
      <c r="I238" s="45" t="s">
        <v>1</v>
      </c>
      <c r="J238" s="46"/>
      <c r="K238" s="45" t="s">
        <v>1</v>
      </c>
      <c r="L238" s="33"/>
      <c r="M238" s="45" t="s">
        <v>1</v>
      </c>
      <c r="N238" s="33"/>
      <c r="O238" s="44" t="s">
        <v>2</v>
      </c>
      <c r="P238" s="44">
        <v>44712</v>
      </c>
      <c r="Q238" s="44" t="s">
        <v>0</v>
      </c>
      <c r="R238" s="44"/>
      <c r="S238" s="44" t="s">
        <v>1</v>
      </c>
      <c r="T238" s="44"/>
      <c r="U238" s="44" t="s">
        <v>1</v>
      </c>
      <c r="V238" s="44"/>
      <c r="W238" s="44" t="s">
        <v>1</v>
      </c>
      <c r="X238" s="44"/>
      <c r="Y238" s="44" t="s">
        <v>1</v>
      </c>
      <c r="Z238" s="44"/>
      <c r="AA238" s="44" t="s">
        <v>1</v>
      </c>
      <c r="AB238" s="44"/>
      <c r="AC238" s="51">
        <v>44926</v>
      </c>
      <c r="AD238" s="50">
        <v>44926</v>
      </c>
      <c r="AE238" s="40" t="s">
        <v>1</v>
      </c>
      <c r="AF238" s="40" t="s">
        <v>1</v>
      </c>
      <c r="AG238" s="76" t="s">
        <v>5</v>
      </c>
      <c r="AH238" s="36" t="s">
        <v>1</v>
      </c>
      <c r="AI238" s="49">
        <v>0</v>
      </c>
      <c r="AJ238" s="36" t="s">
        <v>1</v>
      </c>
      <c r="AK238" s="10" t="s">
        <v>1</v>
      </c>
      <c r="AL238" s="36" t="s">
        <v>1</v>
      </c>
      <c r="AM238" s="36" t="s">
        <v>1</v>
      </c>
      <c r="AN238" s="35" t="s">
        <v>1</v>
      </c>
      <c r="AO238" s="35" t="s">
        <v>1</v>
      </c>
      <c r="AP238" s="35" t="s">
        <v>1</v>
      </c>
      <c r="AQ238" s="35" t="s">
        <v>1</v>
      </c>
      <c r="AR238" s="82" t="s">
        <v>1</v>
      </c>
      <c r="AS238" s="33"/>
      <c r="AT238" s="32" t="s">
        <v>1</v>
      </c>
      <c r="AU238" s="31"/>
      <c r="AV238" s="32" t="s">
        <v>1</v>
      </c>
      <c r="AW238" s="31"/>
      <c r="AX238" s="30" t="s">
        <v>1</v>
      </c>
      <c r="AY238" s="55"/>
      <c r="AZ238" s="30" t="s">
        <v>1</v>
      </c>
      <c r="BA238" s="55"/>
      <c r="BB238" s="74" t="s">
        <v>644</v>
      </c>
      <c r="BC238" s="25"/>
      <c r="BD238" s="24" t="s">
        <v>19</v>
      </c>
      <c r="BE238" s="24" t="s">
        <v>19</v>
      </c>
      <c r="BF238" s="24" t="s">
        <v>51</v>
      </c>
      <c r="BG238" s="24" t="s">
        <v>11</v>
      </c>
      <c r="BH238" s="130" t="s">
        <v>19</v>
      </c>
      <c r="BI238" s="24"/>
      <c r="BJ238" s="24" t="s">
        <v>11</v>
      </c>
      <c r="BK238" s="24" t="s">
        <v>11</v>
      </c>
      <c r="BL238" s="24" t="s">
        <v>11</v>
      </c>
      <c r="BM238" s="24" t="s">
        <v>11</v>
      </c>
      <c r="BN238" s="24" t="s">
        <v>11</v>
      </c>
      <c r="BO238" s="24" t="s">
        <v>11</v>
      </c>
      <c r="BP238" s="24" t="s">
        <v>11</v>
      </c>
      <c r="BQ238" s="22">
        <f>YEAR([1]!BANCO10[[#This Row],[DATA INÍCIO]])</f>
        <v>2022</v>
      </c>
      <c r="BR238" s="22">
        <f>MONTH([1]!BANCO10[[#This Row],[DATA INÍCIO]])</f>
        <v>12</v>
      </c>
      <c r="BS238" s="129" t="e">
        <f>CONCATENATE(#REF!,#REF!)</f>
        <v>#REF!</v>
      </c>
      <c r="BT238" s="22"/>
      <c r="BU238" s="21" t="s">
        <v>645</v>
      </c>
      <c r="BV238" s="21" t="str">
        <f>IF([1]!BANCO10[[#This Row],[SOLUÇÃO]]=BV$1,[1]!BANCO10[[#This Row],[STATUS DA ETAPA]],"")</f>
        <v>CONCLUÍDO</v>
      </c>
      <c r="BW238" s="21" t="str">
        <f>IF([1]!BANCO10[[#This Row],[SOLUÇÃO]]=BW$1,[1]!BANCO10[[#This Row],[STATUS DA ETAPA]],"")</f>
        <v/>
      </c>
      <c r="BX238" s="21" t="str">
        <f>IF([1]!BANCO10[[#This Row],[SOLUÇÃO]]=BX$1,[1]!BANCO10[[#This Row],[STATUS DA ETAPA]],"")</f>
        <v/>
      </c>
      <c r="BY238" s="21" t="str">
        <f>IF([1]!BANCO10[[#This Row],[SOLUÇÃO]]=BY$1,[1]!BANCO10[[#This Row],[STATUS DA ETAPA]],"")</f>
        <v/>
      </c>
      <c r="BZ238" s="21" t="str">
        <f>IF([1]!BANCO10[[#This Row],[SOLUÇÃO]]=BZ$1,[1]!BANCO10[[#This Row],[STATUS DA ETAPA]],"")</f>
        <v/>
      </c>
      <c r="CA238" s="21" t="str">
        <f>IF([1]!BANCO10[[#This Row],[SOLUÇÃO]]=CA$1,[1]!BANCO10[[#This Row],[STATUS DA ETAPA]],"")</f>
        <v/>
      </c>
      <c r="CB238" s="21" t="str">
        <f>IF([1]!BANCO10[[#This Row],[SOLUÇÃO]]=CB$1,[1]!BANCO10[[#This Row],[STATUS DA ETAPA]],"")</f>
        <v/>
      </c>
      <c r="CC238" s="21" t="str">
        <f>IF([1]!BANCO10[[#This Row],[SOLUÇÃO]]=CC$1,[1]!BANCO10[[#This Row],[STATUS DA ETAPA]],"")</f>
        <v/>
      </c>
      <c r="CD238" s="21" t="str">
        <f>IF([1]!BANCO10[[#This Row],[SOLUÇÃO]]=CD$1,[1]!BANCO10[[#This Row],[STATUS DA ETAPA]],"")</f>
        <v/>
      </c>
      <c r="CE238" s="21" t="str">
        <f>IF([1]!BANCO10[[#This Row],[SOLUÇÃO]]=CE$1,[1]!BANCO10[[#This Row],[STATUS DA ETAPA]],"")</f>
        <v/>
      </c>
      <c r="CF238" s="21" t="str">
        <f>IF([1]!BANCO10[[#This Row],[SOLUÇÃO]]=CF$1,[1]!BANCO10[[#This Row],[STATUS DA ETAPA]],"")</f>
        <v/>
      </c>
      <c r="CG238" s="21" t="str">
        <f>IF([1]!BANCO10[[#This Row],[SOLUÇÃO]]=CG$1,[1]!BANCO10[[#This Row],[STATUS DA ETAPA]],"")</f>
        <v/>
      </c>
      <c r="CH238" s="21" t="str">
        <f>IF([1]!BANCO10[[#This Row],[SOLUÇÃO]]=CH$1,[1]!BANCO10[[#This Row],[STATUS DA ETAPA]],"")</f>
        <v/>
      </c>
      <c r="CI238" s="21" t="str">
        <f>IF([1]!BANCO10[[#This Row],[SOLUÇÃO]]=CI$1,[1]!BANCO10[[#This Row],[STATUS DA ETAPA]],"")</f>
        <v/>
      </c>
      <c r="CJ238" s="21" t="str">
        <f>IF([1]!BANCO10[[#This Row],[SOLUÇÃO]]=CJ$1,[1]!BANCO10[[#This Row],[STATUS DA ETAPA]],"")</f>
        <v/>
      </c>
      <c r="CK238" s="21" t="str">
        <f>IF([1]!BANCO10[[#This Row],[SOLUÇÃO]]=CK$1,[1]!BANCO10[[#This Row],[STATUS DA ETAPA]],"")</f>
        <v/>
      </c>
      <c r="CL238" s="21" t="str">
        <f>IF([1]!BANCO10[[#This Row],[SOLUÇÃO]]=CL$1,[1]!BANCO10[[#This Row],[STATUS DA ETAPA]],"")</f>
        <v/>
      </c>
      <c r="CM238" s="21" t="str">
        <f>IF([1]!BANCO10[[#This Row],[SOLUÇÃO]]=CM$1,[1]!BANCO10[[#This Row],[STATUS DA ETAPA]],"")</f>
        <v/>
      </c>
      <c r="CN238" s="21" t="str">
        <f>IF([1]!BANCO10[[#This Row],[SOLUÇÃO]]=CN$1,[1]!BANCO10[[#This Row],[STATUS DA ETAPA]],"")</f>
        <v/>
      </c>
      <c r="CO238" s="21" t="str">
        <f>IF([1]!BANCO10[[#This Row],[SOLUÇÃO]]=CO$1,[1]!BANCO10[[#This Row],[STATUS DA ETAPA]],"")</f>
        <v/>
      </c>
      <c r="CP238" s="21" t="str">
        <f>IF([1]!BANCO10[[#This Row],[SOLUÇÃO]]=CP$1,[1]!BANCO10[[#This Row],[STATUS DA ETAPA]],"")</f>
        <v/>
      </c>
      <c r="CQ238" s="21" t="str">
        <f>IF([1]!BANCO10[[#This Row],[SOLUÇÃO]]=CQ$1,[1]!BANCO10[[#This Row],[STATUS DA ETAPA]],"")</f>
        <v/>
      </c>
      <c r="CR238" s="21" t="str">
        <f>IF([1]!BANCO10[[#This Row],[SOLUÇÃO]]=CR$1,[1]!BANCO10[[#This Row],[STATUS DA ETAPA]],"")</f>
        <v/>
      </c>
      <c r="CS238" s="21" t="str">
        <f>IF([1]!BANCO10[[#This Row],[SOLUÇÃO]]=CS$1,[1]!BANCO10[[#This Row],[STATUS DA ETAPA]],"")</f>
        <v/>
      </c>
      <c r="CT238" s="21" t="str">
        <f>IF([1]!BANCO10[[#This Row],[SOLUÇÃO]]=CT$1,[1]!BANCO10[[#This Row],[STATUS DA ETAPA]],"")</f>
        <v/>
      </c>
      <c r="CU238" s="21" t="str">
        <f>IF([1]!BANCO10[[#This Row],[SOLUÇÃO]]=CU$1,[1]!BANCO10[[#This Row],[STATUS DA ETAPA]],"")</f>
        <v/>
      </c>
      <c r="CV238" s="21" t="str">
        <f>IF([1]!BANCO10[[#This Row],[SOLUÇÃO]]=CV$1,[1]!BANCO10[[#This Row],[STATUS DA ETAPA]],"")</f>
        <v/>
      </c>
    </row>
    <row r="239" spans="1:100">
      <c r="A239" s="44" t="s">
        <v>1</v>
      </c>
      <c r="B239" s="44"/>
      <c r="C239" s="44" t="s">
        <v>1</v>
      </c>
      <c r="D239" s="44"/>
      <c r="E239" s="44" t="s">
        <v>1</v>
      </c>
      <c r="F239" s="44"/>
      <c r="G239" s="44" t="s">
        <v>1</v>
      </c>
      <c r="H239" s="44"/>
      <c r="I239" s="45" t="s">
        <v>1</v>
      </c>
      <c r="J239" s="46"/>
      <c r="K239" s="45" t="s">
        <v>1</v>
      </c>
      <c r="L239" s="33"/>
      <c r="M239" s="45" t="s">
        <v>1</v>
      </c>
      <c r="N239" s="33"/>
      <c r="O239" s="44" t="s">
        <v>2</v>
      </c>
      <c r="P239" s="44">
        <v>44712</v>
      </c>
      <c r="Q239" s="44" t="s">
        <v>2</v>
      </c>
      <c r="R239" s="44">
        <v>45159</v>
      </c>
      <c r="S239" s="44" t="s">
        <v>2</v>
      </c>
      <c r="T239" s="44"/>
      <c r="U239" s="44" t="s">
        <v>2</v>
      </c>
      <c r="V239" s="44"/>
      <c r="W239" s="44"/>
      <c r="X239" s="44"/>
      <c r="Y239" s="44"/>
      <c r="Z239" s="44"/>
      <c r="AA239" s="44" t="s">
        <v>1</v>
      </c>
      <c r="AB239" s="44"/>
      <c r="AC239" s="51">
        <v>45963</v>
      </c>
      <c r="AD239" s="50">
        <v>45963</v>
      </c>
      <c r="AE239" s="41" t="s">
        <v>1</v>
      </c>
      <c r="AF239" s="41" t="s">
        <v>1</v>
      </c>
      <c r="AG239" s="76" t="s">
        <v>5</v>
      </c>
      <c r="AH239" s="36" t="s">
        <v>0</v>
      </c>
      <c r="AI239" s="49">
        <v>0</v>
      </c>
      <c r="AJ239" s="36"/>
      <c r="AK239" s="10" t="s">
        <v>30</v>
      </c>
      <c r="AL239" s="36" t="s">
        <v>30</v>
      </c>
      <c r="AM239" s="36" t="s">
        <v>30</v>
      </c>
      <c r="AN239" s="35" t="s">
        <v>1</v>
      </c>
      <c r="AO239" s="35" t="s">
        <v>1</v>
      </c>
      <c r="AP239" s="35"/>
      <c r="AQ239" s="35" t="s">
        <v>1</v>
      </c>
      <c r="AR239" s="34" t="s">
        <v>1</v>
      </c>
      <c r="AS239" s="33"/>
      <c r="AT239" s="32"/>
      <c r="AU239" s="31"/>
      <c r="AV239" s="32"/>
      <c r="AW239" s="31"/>
      <c r="AX239" s="30" t="s">
        <v>0</v>
      </c>
      <c r="AY239" s="29"/>
      <c r="AZ239" s="28" t="s">
        <v>0</v>
      </c>
      <c r="BA239" s="27"/>
      <c r="BB239" s="74" t="s">
        <v>644</v>
      </c>
      <c r="BC239" s="25"/>
      <c r="BD239" s="24" t="s">
        <v>19</v>
      </c>
      <c r="BE239" s="24" t="s">
        <v>19</v>
      </c>
      <c r="BF239" s="24" t="s">
        <v>51</v>
      </c>
      <c r="BG239" s="24" t="s">
        <v>11</v>
      </c>
      <c r="BH239" s="130" t="s">
        <v>19</v>
      </c>
      <c r="BI239" s="24"/>
      <c r="BJ239" s="24" t="s">
        <v>11</v>
      </c>
      <c r="BK239" s="24" t="s">
        <v>11</v>
      </c>
      <c r="BL239" s="24">
        <v>45402</v>
      </c>
      <c r="BM239" s="24"/>
      <c r="BN239" s="24" t="s">
        <v>11</v>
      </c>
      <c r="BO239" s="24"/>
      <c r="BP239" s="24" t="s">
        <v>178</v>
      </c>
      <c r="BQ239" s="22">
        <f>YEAR([1]!BANCO10[[#This Row],[DATA INÍCIO]])</f>
        <v>2025</v>
      </c>
      <c r="BR239" s="22">
        <f>MONTH([1]!BANCO10[[#This Row],[DATA INÍCIO]])</f>
        <v>11</v>
      </c>
      <c r="BS239" s="129" t="e">
        <f>CONCATENATE(#REF!,#REF!)</f>
        <v>#REF!</v>
      </c>
      <c r="BT239" s="22"/>
      <c r="BU239" s="21" t="s">
        <v>30</v>
      </c>
      <c r="BV239" s="21" t="str">
        <f>IF([1]!BANCO10[[#This Row],[SOLUÇÃO]]=BV$1,[1]!BANCO10[[#This Row],[STATUS DA ETAPA]],"")</f>
        <v/>
      </c>
      <c r="BW239" s="21" t="str">
        <f>IF([1]!BANCO10[[#This Row],[SOLUÇÃO]]=BW$1,[1]!BANCO10[[#This Row],[STATUS DA ETAPA]],"")</f>
        <v/>
      </c>
      <c r="BX239" s="21" t="str">
        <f>IF([1]!BANCO10[[#This Row],[SOLUÇÃO]]=BX$1,[1]!BANCO10[[#This Row],[STATUS DA ETAPA]],"")</f>
        <v/>
      </c>
      <c r="BY239" s="21" t="str">
        <f>IF([1]!BANCO10[[#This Row],[SOLUÇÃO]]=BY$1,[1]!BANCO10[[#This Row],[STATUS DA ETAPA]],"")</f>
        <v/>
      </c>
      <c r="BZ239" s="21" t="str">
        <f>IF([1]!BANCO10[[#This Row],[SOLUÇÃO]]=BZ$1,[1]!BANCO10[[#This Row],[STATUS DA ETAPA]],"")</f>
        <v/>
      </c>
      <c r="CA239" s="21" t="str">
        <f>IF([1]!BANCO10[[#This Row],[SOLUÇÃO]]=CA$1,[1]!BANCO10[[#This Row],[STATUS DA ETAPA]],"")</f>
        <v>PROSPECÇÃO</v>
      </c>
      <c r="CB239" s="21" t="str">
        <f>IF([1]!BANCO10[[#This Row],[SOLUÇÃO]]=CB$1,[1]!BANCO10[[#This Row],[STATUS DA ETAPA]],"")</f>
        <v/>
      </c>
      <c r="CC239" s="21" t="str">
        <f>IF([1]!BANCO10[[#This Row],[SOLUÇÃO]]=CC$1,[1]!BANCO10[[#This Row],[STATUS DA ETAPA]],"")</f>
        <v/>
      </c>
      <c r="CD239" s="21" t="str">
        <f>IF([1]!BANCO10[[#This Row],[SOLUÇÃO]]=CD$1,[1]!BANCO10[[#This Row],[STATUS DA ETAPA]],"")</f>
        <v/>
      </c>
      <c r="CE239" s="21" t="str">
        <f>IF([1]!BANCO10[[#This Row],[SOLUÇÃO]]=CE$1,[1]!BANCO10[[#This Row],[STATUS DA ETAPA]],"")</f>
        <v/>
      </c>
      <c r="CF239" s="21" t="str">
        <f>IF([1]!BANCO10[[#This Row],[SOLUÇÃO]]=CF$1,[1]!BANCO10[[#This Row],[STATUS DA ETAPA]],"")</f>
        <v/>
      </c>
      <c r="CG239" s="21" t="str">
        <f>IF([1]!BANCO10[[#This Row],[SOLUÇÃO]]=CG$1,[1]!BANCO10[[#This Row],[STATUS DA ETAPA]],"")</f>
        <v/>
      </c>
      <c r="CH239" s="21" t="str">
        <f>IF([1]!BANCO10[[#This Row],[SOLUÇÃO]]=CH$1,[1]!BANCO10[[#This Row],[STATUS DA ETAPA]],"")</f>
        <v/>
      </c>
      <c r="CI239" s="21" t="str">
        <f>IF([1]!BANCO10[[#This Row],[SOLUÇÃO]]=CI$1,[1]!BANCO10[[#This Row],[STATUS DA ETAPA]],"")</f>
        <v/>
      </c>
      <c r="CJ239" s="21" t="str">
        <f>IF([1]!BANCO10[[#This Row],[SOLUÇÃO]]=CJ$1,[1]!BANCO10[[#This Row],[STATUS DA ETAPA]],"")</f>
        <v/>
      </c>
      <c r="CK239" s="21" t="str">
        <f>IF([1]!BANCO10[[#This Row],[SOLUÇÃO]]=CK$1,[1]!BANCO10[[#This Row],[STATUS DA ETAPA]],"")</f>
        <v/>
      </c>
      <c r="CL239" s="21" t="str">
        <f>IF([1]!BANCO10[[#This Row],[SOLUÇÃO]]=CL$1,[1]!BANCO10[[#This Row],[STATUS DA ETAPA]],"")</f>
        <v/>
      </c>
      <c r="CM239" s="21" t="str">
        <f>IF([1]!BANCO10[[#This Row],[SOLUÇÃO]]=CM$1,[1]!BANCO10[[#This Row],[STATUS DA ETAPA]],"")</f>
        <v/>
      </c>
      <c r="CN239" s="21" t="str">
        <f>IF([1]!BANCO10[[#This Row],[SOLUÇÃO]]=CN$1,[1]!BANCO10[[#This Row],[STATUS DA ETAPA]],"")</f>
        <v/>
      </c>
      <c r="CO239" s="21" t="str">
        <f>IF([1]!BANCO10[[#This Row],[SOLUÇÃO]]=CO$1,[1]!BANCO10[[#This Row],[STATUS DA ETAPA]],"")</f>
        <v/>
      </c>
      <c r="CP239" s="21" t="str">
        <f>IF([1]!BANCO10[[#This Row],[SOLUÇÃO]]=CP$1,[1]!BANCO10[[#This Row],[STATUS DA ETAPA]],"")</f>
        <v/>
      </c>
      <c r="CQ239" s="21" t="str">
        <f>IF([1]!BANCO10[[#This Row],[SOLUÇÃO]]=CQ$1,[1]!BANCO10[[#This Row],[STATUS DA ETAPA]],"")</f>
        <v/>
      </c>
      <c r="CR239" s="21" t="str">
        <f>IF([1]!BANCO10[[#This Row],[SOLUÇÃO]]=CR$1,[1]!BANCO10[[#This Row],[STATUS DA ETAPA]],"")</f>
        <v/>
      </c>
      <c r="CS239" s="21" t="str">
        <f>IF([1]!BANCO10[[#This Row],[SOLUÇÃO]]=CS$1,[1]!BANCO10[[#This Row],[STATUS DA ETAPA]],"")</f>
        <v/>
      </c>
      <c r="CT239" s="21" t="str">
        <f>IF([1]!BANCO10[[#This Row],[SOLUÇÃO]]=CT$1,[1]!BANCO10[[#This Row],[STATUS DA ETAPA]],"")</f>
        <v/>
      </c>
      <c r="CU239" s="21" t="str">
        <f>IF([1]!BANCO10[[#This Row],[SOLUÇÃO]]=CU$1,[1]!BANCO10[[#This Row],[STATUS DA ETAPA]],"")</f>
        <v/>
      </c>
      <c r="CV239" s="21" t="str">
        <f>IF([1]!BANCO10[[#This Row],[SOLUÇÃO]]=CV$1,[1]!BANCO10[[#This Row],[STATUS DA ETAPA]],"")</f>
        <v/>
      </c>
    </row>
    <row r="240" spans="1:100">
      <c r="A240" s="44" t="s">
        <v>1</v>
      </c>
      <c r="B240" s="44"/>
      <c r="C240" s="44" t="s">
        <v>1</v>
      </c>
      <c r="D240" s="44"/>
      <c r="E240" s="44" t="s">
        <v>1</v>
      </c>
      <c r="F240" s="44"/>
      <c r="G240" s="44" t="s">
        <v>1</v>
      </c>
      <c r="H240" s="44"/>
      <c r="I240" s="45" t="s">
        <v>1</v>
      </c>
      <c r="J240" s="46"/>
      <c r="K240" s="45" t="s">
        <v>1</v>
      </c>
      <c r="L240" s="33"/>
      <c r="M240" s="45" t="s">
        <v>1</v>
      </c>
      <c r="N240" s="33"/>
      <c r="O240" s="44" t="s">
        <v>2</v>
      </c>
      <c r="P240" s="44">
        <v>44713</v>
      </c>
      <c r="Q240" s="44" t="s">
        <v>2</v>
      </c>
      <c r="R240" s="44">
        <v>44714</v>
      </c>
      <c r="S240" s="44" t="s">
        <v>2</v>
      </c>
      <c r="T240" s="44">
        <v>44714</v>
      </c>
      <c r="U240" s="44" t="s">
        <v>2</v>
      </c>
      <c r="V240" s="44">
        <v>44714</v>
      </c>
      <c r="W240" s="44" t="s">
        <v>1</v>
      </c>
      <c r="X240" s="44"/>
      <c r="Y240" s="44" t="s">
        <v>2</v>
      </c>
      <c r="Z240" s="44">
        <v>44714</v>
      </c>
      <c r="AA240" s="44" t="s">
        <v>1</v>
      </c>
      <c r="AB240" s="44"/>
      <c r="AC240" s="51">
        <v>44831</v>
      </c>
      <c r="AD240" s="50">
        <v>44922</v>
      </c>
      <c r="AE240" s="40" t="s">
        <v>2</v>
      </c>
      <c r="AF240" s="40" t="s">
        <v>2</v>
      </c>
      <c r="AG240" s="76" t="s">
        <v>5</v>
      </c>
      <c r="AH240" s="36"/>
      <c r="AI240" s="49">
        <v>0</v>
      </c>
      <c r="AJ240" s="36" t="s">
        <v>1</v>
      </c>
      <c r="AK240" s="10" t="s">
        <v>1</v>
      </c>
      <c r="AL240" s="36" t="s">
        <v>1</v>
      </c>
      <c r="AM240" s="36" t="s">
        <v>1</v>
      </c>
      <c r="AN240" s="35" t="s">
        <v>1</v>
      </c>
      <c r="AO240" s="35" t="s">
        <v>1</v>
      </c>
      <c r="AP240" s="35" t="s">
        <v>2</v>
      </c>
      <c r="AQ240" s="35" t="s">
        <v>1</v>
      </c>
      <c r="AR240" s="34" t="s">
        <v>1</v>
      </c>
      <c r="AS240" s="33"/>
      <c r="AT240" s="32" t="s">
        <v>1</v>
      </c>
      <c r="AU240" s="31"/>
      <c r="AV240" s="32" t="s">
        <v>1</v>
      </c>
      <c r="AW240" s="31"/>
      <c r="AX240" s="30" t="s">
        <v>2</v>
      </c>
      <c r="AY240" s="55">
        <v>44922</v>
      </c>
      <c r="AZ240" s="30" t="s">
        <v>2</v>
      </c>
      <c r="BA240" s="55"/>
      <c r="BB240" s="74"/>
      <c r="BC240" s="25"/>
      <c r="BD240" s="24" t="s">
        <v>11</v>
      </c>
      <c r="BE240" s="24" t="s">
        <v>11</v>
      </c>
      <c r="BF240" s="24" t="s">
        <v>80</v>
      </c>
      <c r="BG240" s="24" t="s">
        <v>11</v>
      </c>
      <c r="BH240" s="130" t="s">
        <v>19</v>
      </c>
      <c r="BI240" s="24"/>
      <c r="BJ240" s="24" t="s">
        <v>11</v>
      </c>
      <c r="BK240" s="24" t="s">
        <v>11</v>
      </c>
      <c r="BL240" s="24" t="s">
        <v>11</v>
      </c>
      <c r="BM240" s="24" t="s">
        <v>11</v>
      </c>
      <c r="BN240" s="24" t="s">
        <v>11</v>
      </c>
      <c r="BO240" s="24" t="s">
        <v>11</v>
      </c>
      <c r="BP240" s="24" t="s">
        <v>11</v>
      </c>
      <c r="BQ240" s="22">
        <f>YEAR([1]!BANCO10[[#This Row],[DATA INÍCIO]])</f>
        <v>2022</v>
      </c>
      <c r="BR240" s="22">
        <f>MONTH([1]!BANCO10[[#This Row],[DATA INÍCIO]])</f>
        <v>9</v>
      </c>
      <c r="BS240" s="129" t="e">
        <f>CONCATENATE(#REF!,#REF!)</f>
        <v>#REF!</v>
      </c>
      <c r="BT240" s="22"/>
      <c r="BU240" s="21" t="s">
        <v>643</v>
      </c>
      <c r="BV240" s="21" t="str">
        <f>IF([1]!BANCO10[[#This Row],[SOLUÇÃO]]=BV$1,[1]!BANCO10[[#This Row],[STATUS DA ETAPA]],"")</f>
        <v/>
      </c>
      <c r="BW240" s="21" t="str">
        <f>IF([1]!BANCO10[[#This Row],[SOLUÇÃO]]=BW$1,[1]!BANCO10[[#This Row],[STATUS DA ETAPA]],"")</f>
        <v/>
      </c>
      <c r="BX240" s="21" t="str">
        <f>IF([1]!BANCO10[[#This Row],[SOLUÇÃO]]=BX$1,[1]!BANCO10[[#This Row],[STATUS DA ETAPA]],"")</f>
        <v/>
      </c>
      <c r="BY240" s="21" t="str">
        <f>IF([1]!BANCO10[[#This Row],[SOLUÇÃO]]=BY$1,[1]!BANCO10[[#This Row],[STATUS DA ETAPA]],"")</f>
        <v/>
      </c>
      <c r="BZ240" s="21" t="str">
        <f>IF([1]!BANCO10[[#This Row],[SOLUÇÃO]]=BZ$1,[1]!BANCO10[[#This Row],[STATUS DA ETAPA]],"")</f>
        <v/>
      </c>
      <c r="CA240" s="21" t="str">
        <f>IF([1]!BANCO10[[#This Row],[SOLUÇÃO]]=CA$1,[1]!BANCO10[[#This Row],[STATUS DA ETAPA]],"")</f>
        <v>CONCLUÍDO</v>
      </c>
      <c r="CB240" s="21" t="str">
        <f>IF([1]!BANCO10[[#This Row],[SOLUÇÃO]]=CB$1,[1]!BANCO10[[#This Row],[STATUS DA ETAPA]],"")</f>
        <v/>
      </c>
      <c r="CC240" s="21" t="str">
        <f>IF([1]!BANCO10[[#This Row],[SOLUÇÃO]]=CC$1,[1]!BANCO10[[#This Row],[STATUS DA ETAPA]],"")</f>
        <v/>
      </c>
      <c r="CD240" s="21" t="str">
        <f>IF([1]!BANCO10[[#This Row],[SOLUÇÃO]]=CD$1,[1]!BANCO10[[#This Row],[STATUS DA ETAPA]],"")</f>
        <v/>
      </c>
      <c r="CE240" s="21" t="str">
        <f>IF([1]!BANCO10[[#This Row],[SOLUÇÃO]]=CE$1,[1]!BANCO10[[#This Row],[STATUS DA ETAPA]],"")</f>
        <v/>
      </c>
      <c r="CF240" s="21" t="str">
        <f>IF([1]!BANCO10[[#This Row],[SOLUÇÃO]]=CF$1,[1]!BANCO10[[#This Row],[STATUS DA ETAPA]],"")</f>
        <v/>
      </c>
      <c r="CG240" s="21" t="str">
        <f>IF([1]!BANCO10[[#This Row],[SOLUÇÃO]]=CG$1,[1]!BANCO10[[#This Row],[STATUS DA ETAPA]],"")</f>
        <v/>
      </c>
      <c r="CH240" s="21" t="str">
        <f>IF([1]!BANCO10[[#This Row],[SOLUÇÃO]]=CH$1,[1]!BANCO10[[#This Row],[STATUS DA ETAPA]],"")</f>
        <v/>
      </c>
      <c r="CI240" s="21" t="str">
        <f>IF([1]!BANCO10[[#This Row],[SOLUÇÃO]]=CI$1,[1]!BANCO10[[#This Row],[STATUS DA ETAPA]],"")</f>
        <v/>
      </c>
      <c r="CJ240" s="21" t="str">
        <f>IF([1]!BANCO10[[#This Row],[SOLUÇÃO]]=CJ$1,[1]!BANCO10[[#This Row],[STATUS DA ETAPA]],"")</f>
        <v/>
      </c>
      <c r="CK240" s="21" t="str">
        <f>IF([1]!BANCO10[[#This Row],[SOLUÇÃO]]=CK$1,[1]!BANCO10[[#This Row],[STATUS DA ETAPA]],"")</f>
        <v/>
      </c>
      <c r="CL240" s="21" t="str">
        <f>IF([1]!BANCO10[[#This Row],[SOLUÇÃO]]=CL$1,[1]!BANCO10[[#This Row],[STATUS DA ETAPA]],"")</f>
        <v/>
      </c>
      <c r="CM240" s="21" t="str">
        <f>IF([1]!BANCO10[[#This Row],[SOLUÇÃO]]=CM$1,[1]!BANCO10[[#This Row],[STATUS DA ETAPA]],"")</f>
        <v/>
      </c>
      <c r="CN240" s="21" t="str">
        <f>IF([1]!BANCO10[[#This Row],[SOLUÇÃO]]=CN$1,[1]!BANCO10[[#This Row],[STATUS DA ETAPA]],"")</f>
        <v/>
      </c>
      <c r="CO240" s="21" t="str">
        <f>IF([1]!BANCO10[[#This Row],[SOLUÇÃO]]=CO$1,[1]!BANCO10[[#This Row],[STATUS DA ETAPA]],"")</f>
        <v/>
      </c>
      <c r="CP240" s="21" t="str">
        <f>IF([1]!BANCO10[[#This Row],[SOLUÇÃO]]=CP$1,[1]!BANCO10[[#This Row],[STATUS DA ETAPA]],"")</f>
        <v/>
      </c>
      <c r="CQ240" s="21" t="str">
        <f>IF([1]!BANCO10[[#This Row],[SOLUÇÃO]]=CQ$1,[1]!BANCO10[[#This Row],[STATUS DA ETAPA]],"")</f>
        <v/>
      </c>
      <c r="CR240" s="21" t="str">
        <f>IF([1]!BANCO10[[#This Row],[SOLUÇÃO]]=CR$1,[1]!BANCO10[[#This Row],[STATUS DA ETAPA]],"")</f>
        <v/>
      </c>
      <c r="CS240" s="21" t="str">
        <f>IF([1]!BANCO10[[#This Row],[SOLUÇÃO]]=CS$1,[1]!BANCO10[[#This Row],[STATUS DA ETAPA]],"")</f>
        <v/>
      </c>
      <c r="CT240" s="21" t="str">
        <f>IF([1]!BANCO10[[#This Row],[SOLUÇÃO]]=CT$1,[1]!BANCO10[[#This Row],[STATUS DA ETAPA]],"")</f>
        <v/>
      </c>
      <c r="CU240" s="21" t="str">
        <f>IF([1]!BANCO10[[#This Row],[SOLUÇÃO]]=CU$1,[1]!BANCO10[[#This Row],[STATUS DA ETAPA]],"")</f>
        <v/>
      </c>
      <c r="CV240" s="21" t="str">
        <f>IF([1]!BANCO10[[#This Row],[SOLUÇÃO]]=CV$1,[1]!BANCO10[[#This Row],[STATUS DA ETAPA]],"")</f>
        <v/>
      </c>
    </row>
    <row r="241" spans="1:100">
      <c r="A241" s="44" t="s">
        <v>1</v>
      </c>
      <c r="B241" s="44"/>
      <c r="C241" s="44" t="s">
        <v>1</v>
      </c>
      <c r="D241" s="44"/>
      <c r="E241" s="44" t="s">
        <v>1</v>
      </c>
      <c r="F241" s="44"/>
      <c r="G241" s="44" t="s">
        <v>1</v>
      </c>
      <c r="H241" s="44"/>
      <c r="I241" s="45" t="s">
        <v>1</v>
      </c>
      <c r="J241" s="46"/>
      <c r="K241" s="45" t="s">
        <v>1</v>
      </c>
      <c r="L241" s="33"/>
      <c r="M241" s="45" t="s">
        <v>1</v>
      </c>
      <c r="N241" s="33"/>
      <c r="O241" s="44" t="s">
        <v>2</v>
      </c>
      <c r="P241" s="44">
        <v>44713</v>
      </c>
      <c r="Q241" s="44" t="s">
        <v>0</v>
      </c>
      <c r="R241" s="44"/>
      <c r="S241" s="44" t="s">
        <v>1</v>
      </c>
      <c r="T241" s="44"/>
      <c r="U241" s="44" t="s">
        <v>1</v>
      </c>
      <c r="V241" s="44"/>
      <c r="W241" s="44" t="s">
        <v>1</v>
      </c>
      <c r="X241" s="44"/>
      <c r="Y241" s="44" t="s">
        <v>1</v>
      </c>
      <c r="Z241" s="44"/>
      <c r="AA241" s="44" t="s">
        <v>1</v>
      </c>
      <c r="AB241" s="44"/>
      <c r="AC241" s="51">
        <v>44926</v>
      </c>
      <c r="AD241" s="50">
        <v>44926</v>
      </c>
      <c r="AE241" s="40" t="s">
        <v>1</v>
      </c>
      <c r="AF241" s="40" t="s">
        <v>1</v>
      </c>
      <c r="AG241" s="76" t="s">
        <v>5</v>
      </c>
      <c r="AH241" s="36" t="s">
        <v>1</v>
      </c>
      <c r="AI241" s="49">
        <v>0</v>
      </c>
      <c r="AJ241" s="36" t="s">
        <v>1</v>
      </c>
      <c r="AK241" s="10" t="s">
        <v>1</v>
      </c>
      <c r="AL241" s="36" t="s">
        <v>1</v>
      </c>
      <c r="AM241" s="36" t="s">
        <v>1</v>
      </c>
      <c r="AN241" s="35" t="s">
        <v>1</v>
      </c>
      <c r="AO241" s="35" t="s">
        <v>1</v>
      </c>
      <c r="AP241" s="35" t="s">
        <v>1</v>
      </c>
      <c r="AQ241" s="35" t="s">
        <v>1</v>
      </c>
      <c r="AR241" s="82" t="s">
        <v>1</v>
      </c>
      <c r="AS241" s="33"/>
      <c r="AT241" s="32" t="s">
        <v>1</v>
      </c>
      <c r="AU241" s="31"/>
      <c r="AV241" s="32" t="s">
        <v>1</v>
      </c>
      <c r="AW241" s="31"/>
      <c r="AX241" s="30" t="s">
        <v>1</v>
      </c>
      <c r="AY241" s="55"/>
      <c r="AZ241" s="30" t="s">
        <v>1</v>
      </c>
      <c r="BA241" s="55"/>
      <c r="BB241" s="74" t="s">
        <v>19</v>
      </c>
      <c r="BC241" s="25"/>
      <c r="BD241" s="24" t="s">
        <v>11</v>
      </c>
      <c r="BE241" s="24" t="s">
        <v>11</v>
      </c>
      <c r="BF241" s="24" t="s">
        <v>80</v>
      </c>
      <c r="BG241" s="24" t="s">
        <v>11</v>
      </c>
      <c r="BH241" s="130" t="s">
        <v>19</v>
      </c>
      <c r="BI241" s="24"/>
      <c r="BJ241" s="24" t="s">
        <v>11</v>
      </c>
      <c r="BK241" s="24" t="s">
        <v>11</v>
      </c>
      <c r="BL241" s="24" t="s">
        <v>11</v>
      </c>
      <c r="BM241" s="24" t="s">
        <v>11</v>
      </c>
      <c r="BN241" s="24" t="s">
        <v>11</v>
      </c>
      <c r="BO241" s="24" t="s">
        <v>11</v>
      </c>
      <c r="BP241" s="24" t="s">
        <v>11</v>
      </c>
      <c r="BQ241" s="22">
        <f>YEAR([1]!BANCO10[[#This Row],[DATA INÍCIO]])</f>
        <v>2022</v>
      </c>
      <c r="BR241" s="22">
        <f>MONTH([1]!BANCO10[[#This Row],[DATA INÍCIO]])</f>
        <v>12</v>
      </c>
      <c r="BS241" s="129" t="e">
        <f>CONCATENATE(#REF!,#REF!)</f>
        <v>#REF!</v>
      </c>
      <c r="BT241" s="22"/>
      <c r="BU241" s="21" t="s">
        <v>642</v>
      </c>
      <c r="BV241" s="21" t="str">
        <f>IF([1]!BANCO10[[#This Row],[SOLUÇÃO]]=BV$1,[1]!BANCO10[[#This Row],[STATUS DA ETAPA]],"")</f>
        <v>CONCLUÍDO</v>
      </c>
      <c r="BW241" s="21" t="str">
        <f>IF([1]!BANCO10[[#This Row],[SOLUÇÃO]]=BW$1,[1]!BANCO10[[#This Row],[STATUS DA ETAPA]],"")</f>
        <v/>
      </c>
      <c r="BX241" s="21" t="str">
        <f>IF([1]!BANCO10[[#This Row],[SOLUÇÃO]]=BX$1,[1]!BANCO10[[#This Row],[STATUS DA ETAPA]],"")</f>
        <v/>
      </c>
      <c r="BY241" s="21" t="str">
        <f>IF([1]!BANCO10[[#This Row],[SOLUÇÃO]]=BY$1,[1]!BANCO10[[#This Row],[STATUS DA ETAPA]],"")</f>
        <v/>
      </c>
      <c r="BZ241" s="21" t="str">
        <f>IF([1]!BANCO10[[#This Row],[SOLUÇÃO]]=BZ$1,[1]!BANCO10[[#This Row],[STATUS DA ETAPA]],"")</f>
        <v/>
      </c>
      <c r="CA241" s="21" t="str">
        <f>IF([1]!BANCO10[[#This Row],[SOLUÇÃO]]=CA$1,[1]!BANCO10[[#This Row],[STATUS DA ETAPA]],"")</f>
        <v/>
      </c>
      <c r="CB241" s="21" t="str">
        <f>IF([1]!BANCO10[[#This Row],[SOLUÇÃO]]=CB$1,[1]!BANCO10[[#This Row],[STATUS DA ETAPA]],"")</f>
        <v/>
      </c>
      <c r="CC241" s="21" t="str">
        <f>IF([1]!BANCO10[[#This Row],[SOLUÇÃO]]=CC$1,[1]!BANCO10[[#This Row],[STATUS DA ETAPA]],"")</f>
        <v/>
      </c>
      <c r="CD241" s="21" t="str">
        <f>IF([1]!BANCO10[[#This Row],[SOLUÇÃO]]=CD$1,[1]!BANCO10[[#This Row],[STATUS DA ETAPA]],"")</f>
        <v/>
      </c>
      <c r="CE241" s="21" t="str">
        <f>IF([1]!BANCO10[[#This Row],[SOLUÇÃO]]=CE$1,[1]!BANCO10[[#This Row],[STATUS DA ETAPA]],"")</f>
        <v/>
      </c>
      <c r="CF241" s="21" t="str">
        <f>IF([1]!BANCO10[[#This Row],[SOLUÇÃO]]=CF$1,[1]!BANCO10[[#This Row],[STATUS DA ETAPA]],"")</f>
        <v/>
      </c>
      <c r="CG241" s="21" t="str">
        <f>IF([1]!BANCO10[[#This Row],[SOLUÇÃO]]=CG$1,[1]!BANCO10[[#This Row],[STATUS DA ETAPA]],"")</f>
        <v/>
      </c>
      <c r="CH241" s="21" t="str">
        <f>IF([1]!BANCO10[[#This Row],[SOLUÇÃO]]=CH$1,[1]!BANCO10[[#This Row],[STATUS DA ETAPA]],"")</f>
        <v/>
      </c>
      <c r="CI241" s="21" t="str">
        <f>IF([1]!BANCO10[[#This Row],[SOLUÇÃO]]=CI$1,[1]!BANCO10[[#This Row],[STATUS DA ETAPA]],"")</f>
        <v/>
      </c>
      <c r="CJ241" s="21" t="str">
        <f>IF([1]!BANCO10[[#This Row],[SOLUÇÃO]]=CJ$1,[1]!BANCO10[[#This Row],[STATUS DA ETAPA]],"")</f>
        <v/>
      </c>
      <c r="CK241" s="21" t="str">
        <f>IF([1]!BANCO10[[#This Row],[SOLUÇÃO]]=CK$1,[1]!BANCO10[[#This Row],[STATUS DA ETAPA]],"")</f>
        <v/>
      </c>
      <c r="CL241" s="21" t="str">
        <f>IF([1]!BANCO10[[#This Row],[SOLUÇÃO]]=CL$1,[1]!BANCO10[[#This Row],[STATUS DA ETAPA]],"")</f>
        <v/>
      </c>
      <c r="CM241" s="21" t="str">
        <f>IF([1]!BANCO10[[#This Row],[SOLUÇÃO]]=CM$1,[1]!BANCO10[[#This Row],[STATUS DA ETAPA]],"")</f>
        <v/>
      </c>
      <c r="CN241" s="21" t="str">
        <f>IF([1]!BANCO10[[#This Row],[SOLUÇÃO]]=CN$1,[1]!BANCO10[[#This Row],[STATUS DA ETAPA]],"")</f>
        <v/>
      </c>
      <c r="CO241" s="21" t="str">
        <f>IF([1]!BANCO10[[#This Row],[SOLUÇÃO]]=CO$1,[1]!BANCO10[[#This Row],[STATUS DA ETAPA]],"")</f>
        <v/>
      </c>
      <c r="CP241" s="21" t="str">
        <f>IF([1]!BANCO10[[#This Row],[SOLUÇÃO]]=CP$1,[1]!BANCO10[[#This Row],[STATUS DA ETAPA]],"")</f>
        <v/>
      </c>
      <c r="CQ241" s="21" t="str">
        <f>IF([1]!BANCO10[[#This Row],[SOLUÇÃO]]=CQ$1,[1]!BANCO10[[#This Row],[STATUS DA ETAPA]],"")</f>
        <v/>
      </c>
      <c r="CR241" s="21" t="str">
        <f>IF([1]!BANCO10[[#This Row],[SOLUÇÃO]]=CR$1,[1]!BANCO10[[#This Row],[STATUS DA ETAPA]],"")</f>
        <v/>
      </c>
      <c r="CS241" s="21" t="str">
        <f>IF([1]!BANCO10[[#This Row],[SOLUÇÃO]]=CS$1,[1]!BANCO10[[#This Row],[STATUS DA ETAPA]],"")</f>
        <v/>
      </c>
      <c r="CT241" s="21" t="str">
        <f>IF([1]!BANCO10[[#This Row],[SOLUÇÃO]]=CT$1,[1]!BANCO10[[#This Row],[STATUS DA ETAPA]],"")</f>
        <v/>
      </c>
      <c r="CU241" s="21" t="str">
        <f>IF([1]!BANCO10[[#This Row],[SOLUÇÃO]]=CU$1,[1]!BANCO10[[#This Row],[STATUS DA ETAPA]],"")</f>
        <v/>
      </c>
      <c r="CV241" s="21" t="str">
        <f>IF([1]!BANCO10[[#This Row],[SOLUÇÃO]]=CV$1,[1]!BANCO10[[#This Row],[STATUS DA ETAPA]],"")</f>
        <v/>
      </c>
    </row>
    <row r="242" spans="1:100">
      <c r="A242" s="44" t="s">
        <v>1</v>
      </c>
      <c r="B242" s="44"/>
      <c r="C242" s="44" t="s">
        <v>1</v>
      </c>
      <c r="D242" s="44"/>
      <c r="E242" s="44" t="s">
        <v>1</v>
      </c>
      <c r="F242" s="44"/>
      <c r="G242" s="44" t="s">
        <v>1</v>
      </c>
      <c r="H242" s="44"/>
      <c r="I242" s="45" t="s">
        <v>1</v>
      </c>
      <c r="J242" s="46"/>
      <c r="K242" s="45" t="s">
        <v>1</v>
      </c>
      <c r="L242" s="33"/>
      <c r="M242" s="45" t="s">
        <v>1</v>
      </c>
      <c r="N242" s="33"/>
      <c r="O242" s="44" t="s">
        <v>2</v>
      </c>
      <c r="P242" s="44">
        <v>44713</v>
      </c>
      <c r="Q242" s="44" t="s">
        <v>2</v>
      </c>
      <c r="R242" s="44">
        <v>44714</v>
      </c>
      <c r="S242" s="44" t="s">
        <v>2</v>
      </c>
      <c r="T242" s="44">
        <v>44714</v>
      </c>
      <c r="U242" s="44" t="s">
        <v>2</v>
      </c>
      <c r="V242" s="44">
        <v>44714</v>
      </c>
      <c r="W242" s="44" t="s">
        <v>2</v>
      </c>
      <c r="X242" s="44"/>
      <c r="Y242" s="44" t="s">
        <v>2</v>
      </c>
      <c r="Z242" s="44">
        <v>44714</v>
      </c>
      <c r="AA242" s="44" t="s">
        <v>2</v>
      </c>
      <c r="AB242" s="44"/>
      <c r="AC242" s="51">
        <v>44946</v>
      </c>
      <c r="AD242" s="50">
        <v>45070</v>
      </c>
      <c r="AE242" s="40" t="s">
        <v>2</v>
      </c>
      <c r="AF242" s="40" t="s">
        <v>2</v>
      </c>
      <c r="AG242" s="76" t="s">
        <v>5</v>
      </c>
      <c r="AH242" s="36" t="s">
        <v>0</v>
      </c>
      <c r="AI242" s="49">
        <v>0</v>
      </c>
      <c r="AJ242" s="36"/>
      <c r="AK242" s="10"/>
      <c r="AL242" s="36">
        <v>4746</v>
      </c>
      <c r="AM242" s="36" t="s">
        <v>1</v>
      </c>
      <c r="AN242" s="35" t="s">
        <v>1</v>
      </c>
      <c r="AO242" s="35" t="s">
        <v>1</v>
      </c>
      <c r="AP242" s="35" t="s">
        <v>2</v>
      </c>
      <c r="AQ242" s="35" t="s">
        <v>1</v>
      </c>
      <c r="AR242" s="34" t="s">
        <v>1</v>
      </c>
      <c r="AS242" s="33"/>
      <c r="AT242" s="32" t="s">
        <v>1</v>
      </c>
      <c r="AU242" s="31"/>
      <c r="AV242" s="32" t="s">
        <v>1</v>
      </c>
      <c r="AW242" s="31"/>
      <c r="AX242" s="30" t="s">
        <v>2</v>
      </c>
      <c r="AY242" s="55">
        <v>45077</v>
      </c>
      <c r="AZ242" s="30" t="s">
        <v>2</v>
      </c>
      <c r="BA242" s="55"/>
      <c r="BB242" s="74"/>
      <c r="BC242" s="25"/>
      <c r="BD242" s="24" t="s">
        <v>11</v>
      </c>
      <c r="BE242" s="24" t="s">
        <v>11</v>
      </c>
      <c r="BF242" s="24" t="s">
        <v>80</v>
      </c>
      <c r="BG242" s="24" t="s">
        <v>11</v>
      </c>
      <c r="BH242" s="130" t="s">
        <v>19</v>
      </c>
      <c r="BI242" s="24"/>
      <c r="BJ242" s="24" t="s">
        <v>11</v>
      </c>
      <c r="BK242" s="24" t="s">
        <v>11</v>
      </c>
      <c r="BL242" s="24" t="s">
        <v>11</v>
      </c>
      <c r="BM242" s="24" t="s">
        <v>11</v>
      </c>
      <c r="BN242" s="24" t="s">
        <v>11</v>
      </c>
      <c r="BO242" s="24" t="s">
        <v>11</v>
      </c>
      <c r="BP242" s="24" t="s">
        <v>11</v>
      </c>
      <c r="BQ242" s="22">
        <f>YEAR([1]!BANCO10[[#This Row],[DATA INÍCIO]])</f>
        <v>2023</v>
      </c>
      <c r="BR242" s="22">
        <f>MONTH([1]!BANCO10[[#This Row],[DATA INÍCIO]])</f>
        <v>1</v>
      </c>
      <c r="BS242" s="129" t="e">
        <f>CONCATENATE(#REF!,#REF!)</f>
        <v>#REF!</v>
      </c>
      <c r="BT242" s="22"/>
      <c r="BU242" s="21" t="s">
        <v>641</v>
      </c>
      <c r="BV242" s="21" t="str">
        <f>IF([1]!BANCO10[[#This Row],[SOLUÇÃO]]=BV$1,[1]!BANCO10[[#This Row],[STATUS DA ETAPA]],"")</f>
        <v/>
      </c>
      <c r="BW242" s="21" t="str">
        <f>IF([1]!BANCO10[[#This Row],[SOLUÇÃO]]=BW$1,[1]!BANCO10[[#This Row],[STATUS DA ETAPA]],"")</f>
        <v/>
      </c>
      <c r="BX242" s="21" t="str">
        <f>IF([1]!BANCO10[[#This Row],[SOLUÇÃO]]=BX$1,[1]!BANCO10[[#This Row],[STATUS DA ETAPA]],"")</f>
        <v/>
      </c>
      <c r="BY242" s="21" t="str">
        <f>IF([1]!BANCO10[[#This Row],[SOLUÇÃO]]=BY$1,[1]!BANCO10[[#This Row],[STATUS DA ETAPA]],"")</f>
        <v/>
      </c>
      <c r="BZ242" s="21" t="str">
        <f>IF([1]!BANCO10[[#This Row],[SOLUÇÃO]]=BZ$1,[1]!BANCO10[[#This Row],[STATUS DA ETAPA]],"")</f>
        <v/>
      </c>
      <c r="CA242" s="21" t="str">
        <f>IF([1]!BANCO10[[#This Row],[SOLUÇÃO]]=CA$1,[1]!BANCO10[[#This Row],[STATUS DA ETAPA]],"")</f>
        <v/>
      </c>
      <c r="CB242" s="21" t="str">
        <f>IF([1]!BANCO10[[#This Row],[SOLUÇÃO]]=CB$1,[1]!BANCO10[[#This Row],[STATUS DA ETAPA]],"")</f>
        <v/>
      </c>
      <c r="CC242" s="21" t="str">
        <f>IF([1]!BANCO10[[#This Row],[SOLUÇÃO]]=CC$1,[1]!BANCO10[[#This Row],[STATUS DA ETAPA]],"")</f>
        <v>CONCLUÍDO</v>
      </c>
      <c r="CD242" s="21" t="str">
        <f>IF([1]!BANCO10[[#This Row],[SOLUÇÃO]]=CD$1,[1]!BANCO10[[#This Row],[STATUS DA ETAPA]],"")</f>
        <v/>
      </c>
      <c r="CE242" s="21" t="str">
        <f>IF([1]!BANCO10[[#This Row],[SOLUÇÃO]]=CE$1,[1]!BANCO10[[#This Row],[STATUS DA ETAPA]],"")</f>
        <v/>
      </c>
      <c r="CF242" s="21" t="str">
        <f>IF([1]!BANCO10[[#This Row],[SOLUÇÃO]]=CF$1,[1]!BANCO10[[#This Row],[STATUS DA ETAPA]],"")</f>
        <v/>
      </c>
      <c r="CG242" s="21" t="str">
        <f>IF([1]!BANCO10[[#This Row],[SOLUÇÃO]]=CG$1,[1]!BANCO10[[#This Row],[STATUS DA ETAPA]],"")</f>
        <v/>
      </c>
      <c r="CH242" s="21" t="str">
        <f>IF([1]!BANCO10[[#This Row],[SOLUÇÃO]]=CH$1,[1]!BANCO10[[#This Row],[STATUS DA ETAPA]],"")</f>
        <v/>
      </c>
      <c r="CI242" s="21" t="str">
        <f>IF([1]!BANCO10[[#This Row],[SOLUÇÃO]]=CI$1,[1]!BANCO10[[#This Row],[STATUS DA ETAPA]],"")</f>
        <v/>
      </c>
      <c r="CJ242" s="21" t="str">
        <f>IF([1]!BANCO10[[#This Row],[SOLUÇÃO]]=CJ$1,[1]!BANCO10[[#This Row],[STATUS DA ETAPA]],"")</f>
        <v/>
      </c>
      <c r="CK242" s="21" t="str">
        <f>IF([1]!BANCO10[[#This Row],[SOLUÇÃO]]=CK$1,[1]!BANCO10[[#This Row],[STATUS DA ETAPA]],"")</f>
        <v/>
      </c>
      <c r="CL242" s="21" t="str">
        <f>IF([1]!BANCO10[[#This Row],[SOLUÇÃO]]=CL$1,[1]!BANCO10[[#This Row],[STATUS DA ETAPA]],"")</f>
        <v/>
      </c>
      <c r="CM242" s="21" t="str">
        <f>IF([1]!BANCO10[[#This Row],[SOLUÇÃO]]=CM$1,[1]!BANCO10[[#This Row],[STATUS DA ETAPA]],"")</f>
        <v/>
      </c>
      <c r="CN242" s="21" t="str">
        <f>IF([1]!BANCO10[[#This Row],[SOLUÇÃO]]=CN$1,[1]!BANCO10[[#This Row],[STATUS DA ETAPA]],"")</f>
        <v/>
      </c>
      <c r="CO242" s="21" t="str">
        <f>IF([1]!BANCO10[[#This Row],[SOLUÇÃO]]=CO$1,[1]!BANCO10[[#This Row],[STATUS DA ETAPA]],"")</f>
        <v/>
      </c>
      <c r="CP242" s="21" t="str">
        <f>IF([1]!BANCO10[[#This Row],[SOLUÇÃO]]=CP$1,[1]!BANCO10[[#This Row],[STATUS DA ETAPA]],"")</f>
        <v/>
      </c>
      <c r="CQ242" s="21" t="str">
        <f>IF([1]!BANCO10[[#This Row],[SOLUÇÃO]]=CQ$1,[1]!BANCO10[[#This Row],[STATUS DA ETAPA]],"")</f>
        <v/>
      </c>
      <c r="CR242" s="21" t="str">
        <f>IF([1]!BANCO10[[#This Row],[SOLUÇÃO]]=CR$1,[1]!BANCO10[[#This Row],[STATUS DA ETAPA]],"")</f>
        <v/>
      </c>
      <c r="CS242" s="21" t="str">
        <f>IF([1]!BANCO10[[#This Row],[SOLUÇÃO]]=CS$1,[1]!BANCO10[[#This Row],[STATUS DA ETAPA]],"")</f>
        <v/>
      </c>
      <c r="CT242" s="21" t="str">
        <f>IF([1]!BANCO10[[#This Row],[SOLUÇÃO]]=CT$1,[1]!BANCO10[[#This Row],[STATUS DA ETAPA]],"")</f>
        <v/>
      </c>
      <c r="CU242" s="21" t="str">
        <f>IF([1]!BANCO10[[#This Row],[SOLUÇÃO]]=CU$1,[1]!BANCO10[[#This Row],[STATUS DA ETAPA]],"")</f>
        <v/>
      </c>
      <c r="CV242" s="21" t="str">
        <f>IF([1]!BANCO10[[#This Row],[SOLUÇÃO]]=CV$1,[1]!BANCO10[[#This Row],[STATUS DA ETAPA]],"")</f>
        <v/>
      </c>
    </row>
    <row r="243" spans="1:100">
      <c r="A243" s="44" t="s">
        <v>1</v>
      </c>
      <c r="B243" s="44"/>
      <c r="C243" s="44" t="s">
        <v>1</v>
      </c>
      <c r="D243" s="44"/>
      <c r="E243" s="44" t="s">
        <v>1</v>
      </c>
      <c r="F243" s="44"/>
      <c r="G243" s="44" t="s">
        <v>1</v>
      </c>
      <c r="H243" s="44"/>
      <c r="I243" s="45" t="s">
        <v>1</v>
      </c>
      <c r="J243" s="46"/>
      <c r="K243" s="45" t="s">
        <v>1</v>
      </c>
      <c r="L243" s="33"/>
      <c r="M243" s="45" t="s">
        <v>1</v>
      </c>
      <c r="N243" s="33"/>
      <c r="O243" s="44" t="s">
        <v>2</v>
      </c>
      <c r="P243" s="44">
        <v>44713</v>
      </c>
      <c r="Q243" s="44" t="s">
        <v>2</v>
      </c>
      <c r="R243" s="44">
        <v>44714</v>
      </c>
      <c r="S243" s="44" t="s">
        <v>2</v>
      </c>
      <c r="T243" s="44">
        <v>44714</v>
      </c>
      <c r="U243" s="44" t="s">
        <v>2</v>
      </c>
      <c r="V243" s="44">
        <v>44714</v>
      </c>
      <c r="W243" s="44" t="s">
        <v>2</v>
      </c>
      <c r="X243" s="44"/>
      <c r="Y243" s="44" t="s">
        <v>2</v>
      </c>
      <c r="Z243" s="44">
        <v>44714</v>
      </c>
      <c r="AA243" s="44" t="s">
        <v>2</v>
      </c>
      <c r="AB243" s="44"/>
      <c r="AC243" s="51">
        <v>45147</v>
      </c>
      <c r="AD243" s="50">
        <v>45266</v>
      </c>
      <c r="AE243" s="40" t="s">
        <v>2</v>
      </c>
      <c r="AF243" s="40" t="s">
        <v>2</v>
      </c>
      <c r="AG243" s="76" t="s">
        <v>5</v>
      </c>
      <c r="AH243" s="36" t="s">
        <v>0</v>
      </c>
      <c r="AI243" s="49">
        <v>0</v>
      </c>
      <c r="AJ243" s="36" t="s">
        <v>6</v>
      </c>
      <c r="AK243" s="10">
        <v>0</v>
      </c>
      <c r="AL243" s="36">
        <v>0</v>
      </c>
      <c r="AM243" s="36">
        <v>0</v>
      </c>
      <c r="AN243" s="35" t="s">
        <v>1</v>
      </c>
      <c r="AO243" s="35" t="s">
        <v>1</v>
      </c>
      <c r="AP243" s="35" t="s">
        <v>2</v>
      </c>
      <c r="AQ243" s="35" t="s">
        <v>1</v>
      </c>
      <c r="AR243" s="34" t="s">
        <v>1</v>
      </c>
      <c r="AS243" s="33"/>
      <c r="AT243" s="32" t="s">
        <v>1</v>
      </c>
      <c r="AU243" s="31"/>
      <c r="AV243" s="32" t="s">
        <v>1</v>
      </c>
      <c r="AW243" s="31"/>
      <c r="AX243" s="30" t="s">
        <v>2</v>
      </c>
      <c r="AY243" s="55">
        <v>45279</v>
      </c>
      <c r="AZ243" s="30" t="s">
        <v>1</v>
      </c>
      <c r="BA243" s="55"/>
      <c r="BB243" s="74"/>
      <c r="BC243" s="25"/>
      <c r="BD243" s="24" t="s">
        <v>11</v>
      </c>
      <c r="BE243" s="24" t="s">
        <v>11</v>
      </c>
      <c r="BF243" s="24" t="s">
        <v>80</v>
      </c>
      <c r="BG243" s="24" t="s">
        <v>11</v>
      </c>
      <c r="BH243" s="130" t="s">
        <v>19</v>
      </c>
      <c r="BI243" s="24"/>
      <c r="BJ243" s="24" t="s">
        <v>11</v>
      </c>
      <c r="BK243" s="24" t="s">
        <v>11</v>
      </c>
      <c r="BL243" s="24">
        <v>45391</v>
      </c>
      <c r="BM243" s="24" t="s">
        <v>18</v>
      </c>
      <c r="BN243" s="24" t="s">
        <v>20</v>
      </c>
      <c r="BO243" s="24"/>
      <c r="BP243" s="24" t="s">
        <v>599</v>
      </c>
      <c r="BQ243" s="22">
        <f>YEAR([1]!BANCO10[[#This Row],[DATA INÍCIO]])</f>
        <v>2023</v>
      </c>
      <c r="BR243" s="22">
        <f>MONTH([1]!BANCO10[[#This Row],[DATA INÍCIO]])</f>
        <v>8</v>
      </c>
      <c r="BS243" s="129" t="e">
        <f>CONCATENATE(#REF!,#REF!)</f>
        <v>#REF!</v>
      </c>
      <c r="BT243" s="22"/>
      <c r="BU243" s="21" t="s">
        <v>640</v>
      </c>
      <c r="BV243" s="21" t="str">
        <f>IF([1]!BANCO10[[#This Row],[SOLUÇÃO]]=BV$1,[1]!BANCO10[[#This Row],[STATUS DA ETAPA]],"")</f>
        <v/>
      </c>
      <c r="BW243" s="21" t="str">
        <f>IF([1]!BANCO10[[#This Row],[SOLUÇÃO]]=BW$1,[1]!BANCO10[[#This Row],[STATUS DA ETAPA]],"")</f>
        <v/>
      </c>
      <c r="BX243" s="21" t="str">
        <f>IF([1]!BANCO10[[#This Row],[SOLUÇÃO]]=BX$1,[1]!BANCO10[[#This Row],[STATUS DA ETAPA]],"")</f>
        <v/>
      </c>
      <c r="BY243" s="21" t="str">
        <f>IF([1]!BANCO10[[#This Row],[SOLUÇÃO]]=BY$1,[1]!BANCO10[[#This Row],[STATUS DA ETAPA]],"")</f>
        <v/>
      </c>
      <c r="BZ243" s="21" t="str">
        <f>IF([1]!BANCO10[[#This Row],[SOLUÇÃO]]=BZ$1,[1]!BANCO10[[#This Row],[STATUS DA ETAPA]],"")</f>
        <v/>
      </c>
      <c r="CA243" s="21" t="str">
        <f>IF([1]!BANCO10[[#This Row],[SOLUÇÃO]]=CA$1,[1]!BANCO10[[#This Row],[STATUS DA ETAPA]],"")</f>
        <v/>
      </c>
      <c r="CB243" s="21" t="str">
        <f>IF([1]!BANCO10[[#This Row],[SOLUÇÃO]]=CB$1,[1]!BANCO10[[#This Row],[STATUS DA ETAPA]],"")</f>
        <v/>
      </c>
      <c r="CC243" s="21" t="str">
        <f>IF([1]!BANCO10[[#This Row],[SOLUÇÃO]]=CC$1,[1]!BANCO10[[#This Row],[STATUS DA ETAPA]],"")</f>
        <v/>
      </c>
      <c r="CD243" s="21" t="str">
        <f>IF([1]!BANCO10[[#This Row],[SOLUÇÃO]]=CD$1,[1]!BANCO10[[#This Row],[STATUS DA ETAPA]],"")</f>
        <v/>
      </c>
      <c r="CE243" s="21" t="str">
        <f>IF([1]!BANCO10[[#This Row],[SOLUÇÃO]]=CE$1,[1]!BANCO10[[#This Row],[STATUS DA ETAPA]],"")</f>
        <v/>
      </c>
      <c r="CF243" s="21" t="str">
        <f>IF([1]!BANCO10[[#This Row],[SOLUÇÃO]]=CF$1,[1]!BANCO10[[#This Row],[STATUS DA ETAPA]],"")</f>
        <v/>
      </c>
      <c r="CG243" s="21" t="str">
        <f>IF([1]!BANCO10[[#This Row],[SOLUÇÃO]]=CG$1,[1]!BANCO10[[#This Row],[STATUS DA ETAPA]],"")</f>
        <v/>
      </c>
      <c r="CH243" s="21" t="str">
        <f>IF([1]!BANCO10[[#This Row],[SOLUÇÃO]]=CH$1,[1]!BANCO10[[#This Row],[STATUS DA ETAPA]],"")</f>
        <v/>
      </c>
      <c r="CI243" s="21" t="str">
        <f>IF([1]!BANCO10[[#This Row],[SOLUÇÃO]]=CI$1,[1]!BANCO10[[#This Row],[STATUS DA ETAPA]],"")</f>
        <v/>
      </c>
      <c r="CJ243" s="21" t="str">
        <f>IF([1]!BANCO10[[#This Row],[SOLUÇÃO]]=CJ$1,[1]!BANCO10[[#This Row],[STATUS DA ETAPA]],"")</f>
        <v/>
      </c>
      <c r="CK243" s="21" t="str">
        <f>IF([1]!BANCO10[[#This Row],[SOLUÇÃO]]=CK$1,[1]!BANCO10[[#This Row],[STATUS DA ETAPA]],"")</f>
        <v/>
      </c>
      <c r="CL243" s="21" t="str">
        <f>IF([1]!BANCO10[[#This Row],[SOLUÇÃO]]=CL$1,[1]!BANCO10[[#This Row],[STATUS DA ETAPA]],"")</f>
        <v/>
      </c>
      <c r="CM243" s="21" t="str">
        <f>IF([1]!BANCO10[[#This Row],[SOLUÇÃO]]=CM$1,[1]!BANCO10[[#This Row],[STATUS DA ETAPA]],"")</f>
        <v/>
      </c>
      <c r="CN243" s="21" t="str">
        <f>IF([1]!BANCO10[[#This Row],[SOLUÇÃO]]=CN$1,[1]!BANCO10[[#This Row],[STATUS DA ETAPA]],"")</f>
        <v/>
      </c>
      <c r="CO243" s="21" t="str">
        <f>IF([1]!BANCO10[[#This Row],[SOLUÇÃO]]=CO$1,[1]!BANCO10[[#This Row],[STATUS DA ETAPA]],"")</f>
        <v>CONCLUÍDO</v>
      </c>
      <c r="CP243" s="21" t="str">
        <f>IF([1]!BANCO10[[#This Row],[SOLUÇÃO]]=CP$1,[1]!BANCO10[[#This Row],[STATUS DA ETAPA]],"")</f>
        <v/>
      </c>
      <c r="CQ243" s="21" t="str">
        <f>IF([1]!BANCO10[[#This Row],[SOLUÇÃO]]=CQ$1,[1]!BANCO10[[#This Row],[STATUS DA ETAPA]],"")</f>
        <v/>
      </c>
      <c r="CR243" s="21" t="str">
        <f>IF([1]!BANCO10[[#This Row],[SOLUÇÃO]]=CR$1,[1]!BANCO10[[#This Row],[STATUS DA ETAPA]],"")</f>
        <v/>
      </c>
      <c r="CS243" s="21" t="str">
        <f>IF([1]!BANCO10[[#This Row],[SOLUÇÃO]]=CS$1,[1]!BANCO10[[#This Row],[STATUS DA ETAPA]],"")</f>
        <v/>
      </c>
      <c r="CT243" s="21" t="str">
        <f>IF([1]!BANCO10[[#This Row],[SOLUÇÃO]]=CT$1,[1]!BANCO10[[#This Row],[STATUS DA ETAPA]],"")</f>
        <v/>
      </c>
      <c r="CU243" s="21" t="str">
        <f>IF([1]!BANCO10[[#This Row],[SOLUÇÃO]]=CU$1,[1]!BANCO10[[#This Row],[STATUS DA ETAPA]],"")</f>
        <v/>
      </c>
      <c r="CV243" s="21" t="str">
        <f>IF([1]!BANCO10[[#This Row],[SOLUÇÃO]]=CV$1,[1]!BANCO10[[#This Row],[STATUS DA ETAPA]],"")</f>
        <v/>
      </c>
    </row>
    <row r="244" spans="1:100">
      <c r="A244" s="44" t="s">
        <v>1</v>
      </c>
      <c r="B244" s="44"/>
      <c r="C244" s="44" t="s">
        <v>1</v>
      </c>
      <c r="D244" s="44"/>
      <c r="E244" s="44" t="s">
        <v>1</v>
      </c>
      <c r="F244" s="44"/>
      <c r="G244" s="44" t="s">
        <v>1</v>
      </c>
      <c r="H244" s="44"/>
      <c r="I244" s="45" t="s">
        <v>1</v>
      </c>
      <c r="J244" s="46"/>
      <c r="K244" s="45" t="s">
        <v>1</v>
      </c>
      <c r="L244" s="33"/>
      <c r="M244" s="45" t="s">
        <v>1</v>
      </c>
      <c r="N244" s="33"/>
      <c r="O244" s="44" t="s">
        <v>1</v>
      </c>
      <c r="P244" s="44"/>
      <c r="Q244" s="44" t="s">
        <v>1</v>
      </c>
      <c r="R244" s="44"/>
      <c r="S244" s="44" t="s">
        <v>1</v>
      </c>
      <c r="T244" s="44"/>
      <c r="U244" s="44" t="s">
        <v>1</v>
      </c>
      <c r="V244" s="44"/>
      <c r="W244" s="44" t="s">
        <v>1</v>
      </c>
      <c r="X244" s="44"/>
      <c r="Y244" s="44" t="s">
        <v>1</v>
      </c>
      <c r="Z244" s="44"/>
      <c r="AA244" s="44" t="s">
        <v>1</v>
      </c>
      <c r="AB244" s="44"/>
      <c r="AC244" s="51">
        <v>45371</v>
      </c>
      <c r="AD244" s="50">
        <v>45371</v>
      </c>
      <c r="AE244" s="40" t="s">
        <v>1</v>
      </c>
      <c r="AF244" s="40" t="s">
        <v>1</v>
      </c>
      <c r="AG244" s="76" t="s">
        <v>5</v>
      </c>
      <c r="AH244" s="36" t="s">
        <v>1</v>
      </c>
      <c r="AI244" s="49">
        <v>0</v>
      </c>
      <c r="AJ244" s="36" t="s">
        <v>1</v>
      </c>
      <c r="AK244" s="10" t="s">
        <v>1</v>
      </c>
      <c r="AL244" s="36" t="s">
        <v>1</v>
      </c>
      <c r="AM244" s="36" t="s">
        <v>1</v>
      </c>
      <c r="AN244" s="35" t="s">
        <v>1</v>
      </c>
      <c r="AO244" s="35" t="s">
        <v>1</v>
      </c>
      <c r="AP244" s="35" t="s">
        <v>1</v>
      </c>
      <c r="AQ244" s="35" t="s">
        <v>1</v>
      </c>
      <c r="AR244" s="82" t="s">
        <v>1</v>
      </c>
      <c r="AS244" s="33"/>
      <c r="AT244" s="32" t="s">
        <v>1</v>
      </c>
      <c r="AU244" s="31"/>
      <c r="AV244" s="32" t="s">
        <v>1</v>
      </c>
      <c r="AW244" s="31"/>
      <c r="AX244" s="30" t="s">
        <v>1</v>
      </c>
      <c r="AY244" s="55"/>
      <c r="AZ244" s="30" t="s">
        <v>1</v>
      </c>
      <c r="BA244" s="55"/>
      <c r="BB244" s="74"/>
      <c r="BC244" s="25"/>
      <c r="BD244" s="24"/>
      <c r="BE244" s="24"/>
      <c r="BF244" s="24"/>
      <c r="BG244" s="24"/>
      <c r="BH244" s="130"/>
      <c r="BI244" s="24"/>
      <c r="BJ244" s="24" t="s">
        <v>11</v>
      </c>
      <c r="BK244" s="24" t="s">
        <v>11</v>
      </c>
      <c r="BL244" s="24" t="s">
        <v>11</v>
      </c>
      <c r="BM244" s="24" t="s">
        <v>11</v>
      </c>
      <c r="BN244" s="24" t="s">
        <v>11</v>
      </c>
      <c r="BO244" s="24" t="s">
        <v>11</v>
      </c>
      <c r="BP244" s="24" t="s">
        <v>11</v>
      </c>
      <c r="BQ244" s="22">
        <f>YEAR([1]!BANCO10[[#This Row],[DATA INÍCIO]])</f>
        <v>2024</v>
      </c>
      <c r="BR244" s="22">
        <f>MONTH([1]!BANCO10[[#This Row],[DATA INÍCIO]])</f>
        <v>3</v>
      </c>
      <c r="BS244" s="129" t="e">
        <f>CONCATENATE(#REF!,#REF!)</f>
        <v>#REF!</v>
      </c>
      <c r="BT244" s="22"/>
      <c r="BU244" s="21" t="s">
        <v>277</v>
      </c>
      <c r="BV244" s="21" t="str">
        <f>IF([1]!BANCO10[[#This Row],[SOLUÇÃO]]=BV$1,[1]!BANCO10[[#This Row],[STATUS DA ETAPA]],"")</f>
        <v>CONCLUÍDO</v>
      </c>
      <c r="BW244" s="21" t="str">
        <f>IF([1]!BANCO10[[#This Row],[SOLUÇÃO]]=BW$1,[1]!BANCO10[[#This Row],[STATUS DA ETAPA]],"")</f>
        <v/>
      </c>
      <c r="BX244" s="21" t="str">
        <f>IF([1]!BANCO10[[#This Row],[SOLUÇÃO]]=BX$1,[1]!BANCO10[[#This Row],[STATUS DA ETAPA]],"")</f>
        <v/>
      </c>
      <c r="BY244" s="21" t="str">
        <f>IF([1]!BANCO10[[#This Row],[SOLUÇÃO]]=BY$1,[1]!BANCO10[[#This Row],[STATUS DA ETAPA]],"")</f>
        <v/>
      </c>
      <c r="BZ244" s="21" t="str">
        <f>IF([1]!BANCO10[[#This Row],[SOLUÇÃO]]=BZ$1,[1]!BANCO10[[#This Row],[STATUS DA ETAPA]],"")</f>
        <v/>
      </c>
      <c r="CA244" s="21" t="str">
        <f>IF([1]!BANCO10[[#This Row],[SOLUÇÃO]]=CA$1,[1]!BANCO10[[#This Row],[STATUS DA ETAPA]],"")</f>
        <v/>
      </c>
      <c r="CB244" s="21" t="str">
        <f>IF([1]!BANCO10[[#This Row],[SOLUÇÃO]]=CB$1,[1]!BANCO10[[#This Row],[STATUS DA ETAPA]],"")</f>
        <v/>
      </c>
      <c r="CC244" s="21" t="str">
        <f>IF([1]!BANCO10[[#This Row],[SOLUÇÃO]]=CC$1,[1]!BANCO10[[#This Row],[STATUS DA ETAPA]],"")</f>
        <v/>
      </c>
      <c r="CD244" s="21" t="str">
        <f>IF([1]!BANCO10[[#This Row],[SOLUÇÃO]]=CD$1,[1]!BANCO10[[#This Row],[STATUS DA ETAPA]],"")</f>
        <v/>
      </c>
      <c r="CE244" s="21" t="str">
        <f>IF([1]!BANCO10[[#This Row],[SOLUÇÃO]]=CE$1,[1]!BANCO10[[#This Row],[STATUS DA ETAPA]],"")</f>
        <v/>
      </c>
      <c r="CF244" s="21" t="str">
        <f>IF([1]!BANCO10[[#This Row],[SOLUÇÃO]]=CF$1,[1]!BANCO10[[#This Row],[STATUS DA ETAPA]],"")</f>
        <v/>
      </c>
      <c r="CG244" s="21" t="str">
        <f>IF([1]!BANCO10[[#This Row],[SOLUÇÃO]]=CG$1,[1]!BANCO10[[#This Row],[STATUS DA ETAPA]],"")</f>
        <v/>
      </c>
      <c r="CH244" s="21" t="str">
        <f>IF([1]!BANCO10[[#This Row],[SOLUÇÃO]]=CH$1,[1]!BANCO10[[#This Row],[STATUS DA ETAPA]],"")</f>
        <v/>
      </c>
      <c r="CI244" s="21" t="str">
        <f>IF([1]!BANCO10[[#This Row],[SOLUÇÃO]]=CI$1,[1]!BANCO10[[#This Row],[STATUS DA ETAPA]],"")</f>
        <v/>
      </c>
      <c r="CJ244" s="21" t="str">
        <f>IF([1]!BANCO10[[#This Row],[SOLUÇÃO]]=CJ$1,[1]!BANCO10[[#This Row],[STATUS DA ETAPA]],"")</f>
        <v/>
      </c>
      <c r="CK244" s="21" t="str">
        <f>IF([1]!BANCO10[[#This Row],[SOLUÇÃO]]=CK$1,[1]!BANCO10[[#This Row],[STATUS DA ETAPA]],"")</f>
        <v/>
      </c>
      <c r="CL244" s="21" t="str">
        <f>IF([1]!BANCO10[[#This Row],[SOLUÇÃO]]=CL$1,[1]!BANCO10[[#This Row],[STATUS DA ETAPA]],"")</f>
        <v/>
      </c>
      <c r="CM244" s="21" t="str">
        <f>IF([1]!BANCO10[[#This Row],[SOLUÇÃO]]=CM$1,[1]!BANCO10[[#This Row],[STATUS DA ETAPA]],"")</f>
        <v/>
      </c>
      <c r="CN244" s="21" t="str">
        <f>IF([1]!BANCO10[[#This Row],[SOLUÇÃO]]=CN$1,[1]!BANCO10[[#This Row],[STATUS DA ETAPA]],"")</f>
        <v/>
      </c>
      <c r="CO244" s="21" t="str">
        <f>IF([1]!BANCO10[[#This Row],[SOLUÇÃO]]=CO$1,[1]!BANCO10[[#This Row],[STATUS DA ETAPA]],"")</f>
        <v/>
      </c>
      <c r="CP244" s="21" t="str">
        <f>IF([1]!BANCO10[[#This Row],[SOLUÇÃO]]=CP$1,[1]!BANCO10[[#This Row],[STATUS DA ETAPA]],"")</f>
        <v/>
      </c>
      <c r="CQ244" s="21" t="str">
        <f>IF([1]!BANCO10[[#This Row],[SOLUÇÃO]]=CQ$1,[1]!BANCO10[[#This Row],[STATUS DA ETAPA]],"")</f>
        <v/>
      </c>
      <c r="CR244" s="21" t="str">
        <f>IF([1]!BANCO10[[#This Row],[SOLUÇÃO]]=CR$1,[1]!BANCO10[[#This Row],[STATUS DA ETAPA]],"")</f>
        <v/>
      </c>
      <c r="CS244" s="21" t="str">
        <f>IF([1]!BANCO10[[#This Row],[SOLUÇÃO]]=CS$1,[1]!BANCO10[[#This Row],[STATUS DA ETAPA]],"")</f>
        <v/>
      </c>
      <c r="CT244" s="21" t="str">
        <f>IF([1]!BANCO10[[#This Row],[SOLUÇÃO]]=CT$1,[1]!BANCO10[[#This Row],[STATUS DA ETAPA]],"")</f>
        <v/>
      </c>
      <c r="CU244" s="21" t="str">
        <f>IF([1]!BANCO10[[#This Row],[SOLUÇÃO]]=CU$1,[1]!BANCO10[[#This Row],[STATUS DA ETAPA]],"")</f>
        <v/>
      </c>
      <c r="CV244" s="21" t="str">
        <f>IF([1]!BANCO10[[#This Row],[SOLUÇÃO]]=CV$1,[1]!BANCO10[[#This Row],[STATUS DA ETAPA]],"")</f>
        <v/>
      </c>
    </row>
    <row r="245" spans="1:100">
      <c r="A245" s="44" t="s">
        <v>1</v>
      </c>
      <c r="B245" s="44"/>
      <c r="C245" s="44" t="s">
        <v>1</v>
      </c>
      <c r="D245" s="44"/>
      <c r="E245" s="44" t="s">
        <v>1</v>
      </c>
      <c r="F245" s="44"/>
      <c r="G245" s="44" t="s">
        <v>1</v>
      </c>
      <c r="H245" s="44"/>
      <c r="I245" s="45" t="s">
        <v>1</v>
      </c>
      <c r="J245" s="46"/>
      <c r="K245" s="45" t="s">
        <v>1</v>
      </c>
      <c r="L245" s="33"/>
      <c r="M245" s="45" t="s">
        <v>1</v>
      </c>
      <c r="N245" s="33"/>
      <c r="O245" s="44" t="s">
        <v>2</v>
      </c>
      <c r="P245" s="44">
        <v>45183</v>
      </c>
      <c r="Q245" s="44" t="s">
        <v>0</v>
      </c>
      <c r="R245" s="44"/>
      <c r="S245" s="44" t="s">
        <v>1</v>
      </c>
      <c r="T245" s="44"/>
      <c r="U245" s="44" t="s">
        <v>1</v>
      </c>
      <c r="V245" s="44"/>
      <c r="W245" s="44" t="s">
        <v>1</v>
      </c>
      <c r="X245" s="44"/>
      <c r="Y245" s="44" t="s">
        <v>1</v>
      </c>
      <c r="Z245" s="44"/>
      <c r="AA245" s="44" t="s">
        <v>1</v>
      </c>
      <c r="AB245" s="44"/>
      <c r="AC245" s="51">
        <v>45183</v>
      </c>
      <c r="AD245" s="50">
        <v>45183</v>
      </c>
      <c r="AE245" s="40" t="s">
        <v>1</v>
      </c>
      <c r="AF245" s="40" t="s">
        <v>1</v>
      </c>
      <c r="AG245" s="76" t="s">
        <v>5</v>
      </c>
      <c r="AH245" s="36" t="s">
        <v>1</v>
      </c>
      <c r="AI245" s="49">
        <v>0</v>
      </c>
      <c r="AJ245" s="36" t="s">
        <v>1</v>
      </c>
      <c r="AK245" s="10" t="s">
        <v>1</v>
      </c>
      <c r="AL245" s="36" t="s">
        <v>1</v>
      </c>
      <c r="AM245" s="36" t="s">
        <v>1</v>
      </c>
      <c r="AN245" s="35" t="s">
        <v>1</v>
      </c>
      <c r="AO245" s="35" t="s">
        <v>1</v>
      </c>
      <c r="AP245" s="35" t="s">
        <v>1</v>
      </c>
      <c r="AQ245" s="35" t="s">
        <v>1</v>
      </c>
      <c r="AR245" s="82" t="s">
        <v>1</v>
      </c>
      <c r="AS245" s="33"/>
      <c r="AT245" s="32" t="s">
        <v>1</v>
      </c>
      <c r="AU245" s="31"/>
      <c r="AV245" s="32" t="s">
        <v>1</v>
      </c>
      <c r="AW245" s="31"/>
      <c r="AX245" s="30" t="s">
        <v>1</v>
      </c>
      <c r="AY245" s="55"/>
      <c r="AZ245" s="30" t="s">
        <v>1</v>
      </c>
      <c r="BA245" s="55"/>
      <c r="BB245" s="74"/>
      <c r="BC245" s="25"/>
      <c r="BD245" s="24" t="s">
        <v>72</v>
      </c>
      <c r="BE245" s="24" t="s">
        <v>19</v>
      </c>
      <c r="BF245" s="24" t="s">
        <v>51</v>
      </c>
      <c r="BG245" s="24" t="s">
        <v>11</v>
      </c>
      <c r="BH245" s="130" t="s">
        <v>18</v>
      </c>
      <c r="BI245" s="24" t="s">
        <v>51</v>
      </c>
      <c r="BJ245" s="24" t="s">
        <v>11</v>
      </c>
      <c r="BK245" s="24" t="s">
        <v>11</v>
      </c>
      <c r="BL245" s="24" t="s">
        <v>11</v>
      </c>
      <c r="BM245" s="24" t="s">
        <v>11</v>
      </c>
      <c r="BN245" s="24" t="s">
        <v>11</v>
      </c>
      <c r="BO245" s="24" t="s">
        <v>11</v>
      </c>
      <c r="BP245" s="24" t="s">
        <v>11</v>
      </c>
      <c r="BQ245" s="22">
        <f>YEAR([1]!BANCO10[[#This Row],[DATA INÍCIO]])</f>
        <v>2023</v>
      </c>
      <c r="BR245" s="22">
        <f>MONTH([1]!BANCO10[[#This Row],[DATA INÍCIO]])</f>
        <v>9</v>
      </c>
      <c r="BS245" s="129" t="e">
        <f>CONCATENATE(#REF!,#REF!)</f>
        <v>#REF!</v>
      </c>
      <c r="BT245" s="22"/>
      <c r="BU245" s="21" t="s">
        <v>639</v>
      </c>
      <c r="BV245" s="21" t="str">
        <f>IF([1]!BANCO10[[#This Row],[SOLUÇÃO]]=BV$1,[1]!BANCO10[[#This Row],[STATUS DA ETAPA]],"")</f>
        <v>CONCLUÍDO</v>
      </c>
      <c r="BW245" s="21" t="str">
        <f>IF([1]!BANCO10[[#This Row],[SOLUÇÃO]]=BW$1,[1]!BANCO10[[#This Row],[STATUS DA ETAPA]],"")</f>
        <v/>
      </c>
      <c r="BX245" s="21" t="str">
        <f>IF([1]!BANCO10[[#This Row],[SOLUÇÃO]]=BX$1,[1]!BANCO10[[#This Row],[STATUS DA ETAPA]],"")</f>
        <v/>
      </c>
      <c r="BY245" s="21" t="str">
        <f>IF([1]!BANCO10[[#This Row],[SOLUÇÃO]]=BY$1,[1]!BANCO10[[#This Row],[STATUS DA ETAPA]],"")</f>
        <v/>
      </c>
      <c r="BZ245" s="21" t="str">
        <f>IF([1]!BANCO10[[#This Row],[SOLUÇÃO]]=BZ$1,[1]!BANCO10[[#This Row],[STATUS DA ETAPA]],"")</f>
        <v/>
      </c>
      <c r="CA245" s="21" t="str">
        <f>IF([1]!BANCO10[[#This Row],[SOLUÇÃO]]=CA$1,[1]!BANCO10[[#This Row],[STATUS DA ETAPA]],"")</f>
        <v/>
      </c>
      <c r="CB245" s="21" t="str">
        <f>IF([1]!BANCO10[[#This Row],[SOLUÇÃO]]=CB$1,[1]!BANCO10[[#This Row],[STATUS DA ETAPA]],"")</f>
        <v/>
      </c>
      <c r="CC245" s="21" t="str">
        <f>IF([1]!BANCO10[[#This Row],[SOLUÇÃO]]=CC$1,[1]!BANCO10[[#This Row],[STATUS DA ETAPA]],"")</f>
        <v/>
      </c>
      <c r="CD245" s="21" t="str">
        <f>IF([1]!BANCO10[[#This Row],[SOLUÇÃO]]=CD$1,[1]!BANCO10[[#This Row],[STATUS DA ETAPA]],"")</f>
        <v/>
      </c>
      <c r="CE245" s="21" t="str">
        <f>IF([1]!BANCO10[[#This Row],[SOLUÇÃO]]=CE$1,[1]!BANCO10[[#This Row],[STATUS DA ETAPA]],"")</f>
        <v/>
      </c>
      <c r="CF245" s="21" t="str">
        <f>IF([1]!BANCO10[[#This Row],[SOLUÇÃO]]=CF$1,[1]!BANCO10[[#This Row],[STATUS DA ETAPA]],"")</f>
        <v/>
      </c>
      <c r="CG245" s="21" t="str">
        <f>IF([1]!BANCO10[[#This Row],[SOLUÇÃO]]=CG$1,[1]!BANCO10[[#This Row],[STATUS DA ETAPA]],"")</f>
        <v/>
      </c>
      <c r="CH245" s="21" t="str">
        <f>IF([1]!BANCO10[[#This Row],[SOLUÇÃO]]=CH$1,[1]!BANCO10[[#This Row],[STATUS DA ETAPA]],"")</f>
        <v/>
      </c>
      <c r="CI245" s="21" t="str">
        <f>IF([1]!BANCO10[[#This Row],[SOLUÇÃO]]=CI$1,[1]!BANCO10[[#This Row],[STATUS DA ETAPA]],"")</f>
        <v/>
      </c>
      <c r="CJ245" s="21" t="str">
        <f>IF([1]!BANCO10[[#This Row],[SOLUÇÃO]]=CJ$1,[1]!BANCO10[[#This Row],[STATUS DA ETAPA]],"")</f>
        <v/>
      </c>
      <c r="CK245" s="21" t="str">
        <f>IF([1]!BANCO10[[#This Row],[SOLUÇÃO]]=CK$1,[1]!BANCO10[[#This Row],[STATUS DA ETAPA]],"")</f>
        <v/>
      </c>
      <c r="CL245" s="21" t="str">
        <f>IF([1]!BANCO10[[#This Row],[SOLUÇÃO]]=CL$1,[1]!BANCO10[[#This Row],[STATUS DA ETAPA]],"")</f>
        <v/>
      </c>
      <c r="CM245" s="21" t="str">
        <f>IF([1]!BANCO10[[#This Row],[SOLUÇÃO]]=CM$1,[1]!BANCO10[[#This Row],[STATUS DA ETAPA]],"")</f>
        <v/>
      </c>
      <c r="CN245" s="21" t="str">
        <f>IF([1]!BANCO10[[#This Row],[SOLUÇÃO]]=CN$1,[1]!BANCO10[[#This Row],[STATUS DA ETAPA]],"")</f>
        <v/>
      </c>
      <c r="CO245" s="21" t="str">
        <f>IF([1]!BANCO10[[#This Row],[SOLUÇÃO]]=CO$1,[1]!BANCO10[[#This Row],[STATUS DA ETAPA]],"")</f>
        <v/>
      </c>
      <c r="CP245" s="21" t="str">
        <f>IF([1]!BANCO10[[#This Row],[SOLUÇÃO]]=CP$1,[1]!BANCO10[[#This Row],[STATUS DA ETAPA]],"")</f>
        <v/>
      </c>
      <c r="CQ245" s="21" t="str">
        <f>IF([1]!BANCO10[[#This Row],[SOLUÇÃO]]=CQ$1,[1]!BANCO10[[#This Row],[STATUS DA ETAPA]],"")</f>
        <v/>
      </c>
      <c r="CR245" s="21" t="str">
        <f>IF([1]!BANCO10[[#This Row],[SOLUÇÃO]]=CR$1,[1]!BANCO10[[#This Row],[STATUS DA ETAPA]],"")</f>
        <v/>
      </c>
      <c r="CS245" s="21" t="str">
        <f>IF([1]!BANCO10[[#This Row],[SOLUÇÃO]]=CS$1,[1]!BANCO10[[#This Row],[STATUS DA ETAPA]],"")</f>
        <v/>
      </c>
      <c r="CT245" s="21" t="str">
        <f>IF([1]!BANCO10[[#This Row],[SOLUÇÃO]]=CT$1,[1]!BANCO10[[#This Row],[STATUS DA ETAPA]],"")</f>
        <v/>
      </c>
      <c r="CU245" s="21" t="str">
        <f>IF([1]!BANCO10[[#This Row],[SOLUÇÃO]]=CU$1,[1]!BANCO10[[#This Row],[STATUS DA ETAPA]],"")</f>
        <v/>
      </c>
      <c r="CV245" s="21" t="str">
        <f>IF([1]!BANCO10[[#This Row],[SOLUÇÃO]]=CV$1,[1]!BANCO10[[#This Row],[STATUS DA ETAPA]],"")</f>
        <v/>
      </c>
    </row>
    <row r="246" spans="1:100">
      <c r="A246" s="44" t="s">
        <v>1</v>
      </c>
      <c r="B246" s="44"/>
      <c r="C246" s="44" t="s">
        <v>1</v>
      </c>
      <c r="D246" s="44"/>
      <c r="E246" s="44" t="s">
        <v>1</v>
      </c>
      <c r="F246" s="44"/>
      <c r="G246" s="44" t="s">
        <v>1</v>
      </c>
      <c r="H246" s="44"/>
      <c r="I246" s="45" t="s">
        <v>1</v>
      </c>
      <c r="J246" s="46"/>
      <c r="K246" s="45" t="s">
        <v>1</v>
      </c>
      <c r="L246" s="33"/>
      <c r="M246" s="45" t="s">
        <v>1</v>
      </c>
      <c r="N246" s="33"/>
      <c r="O246" s="44" t="s">
        <v>2</v>
      </c>
      <c r="P246" s="44">
        <v>45183</v>
      </c>
      <c r="Q246" s="44" t="s">
        <v>2</v>
      </c>
      <c r="R246" s="44">
        <v>45183</v>
      </c>
      <c r="S246" s="44" t="s">
        <v>2</v>
      </c>
      <c r="T246" s="44">
        <v>45183</v>
      </c>
      <c r="U246" s="44" t="s">
        <v>1</v>
      </c>
      <c r="V246" s="44"/>
      <c r="W246" s="44" t="s">
        <v>1</v>
      </c>
      <c r="X246" s="44"/>
      <c r="Y246" s="44" t="s">
        <v>1</v>
      </c>
      <c r="Z246" s="44"/>
      <c r="AA246" s="44" t="s">
        <v>1</v>
      </c>
      <c r="AB246" s="44"/>
      <c r="AC246" s="51">
        <v>45320</v>
      </c>
      <c r="AD246" s="50">
        <v>45401</v>
      </c>
      <c r="AE246" s="40" t="s">
        <v>2</v>
      </c>
      <c r="AF246" s="40" t="s">
        <v>2</v>
      </c>
      <c r="AG246" s="76" t="s">
        <v>5</v>
      </c>
      <c r="AH246" s="36" t="s">
        <v>2</v>
      </c>
      <c r="AI246" s="49">
        <v>0</v>
      </c>
      <c r="AJ246" s="36" t="s">
        <v>1</v>
      </c>
      <c r="AK246" s="10" t="s">
        <v>1</v>
      </c>
      <c r="AL246" s="36" t="s">
        <v>1</v>
      </c>
      <c r="AM246" s="36" t="s">
        <v>1</v>
      </c>
      <c r="AN246" s="35" t="s">
        <v>1</v>
      </c>
      <c r="AO246" s="35" t="s">
        <v>1</v>
      </c>
      <c r="AP246" s="35" t="s">
        <v>2</v>
      </c>
      <c r="AQ246" s="35" t="s">
        <v>1</v>
      </c>
      <c r="AR246" s="34" t="s">
        <v>1</v>
      </c>
      <c r="AS246" s="33"/>
      <c r="AT246" s="32" t="s">
        <v>1</v>
      </c>
      <c r="AU246" s="31"/>
      <c r="AV246" s="32" t="s">
        <v>1</v>
      </c>
      <c r="AW246" s="31"/>
      <c r="AX246" s="30" t="s">
        <v>2</v>
      </c>
      <c r="AY246" s="55">
        <v>45401</v>
      </c>
      <c r="AZ246" s="30" t="s">
        <v>2</v>
      </c>
      <c r="BA246" s="55">
        <v>45395</v>
      </c>
      <c r="BB246" s="74" t="s">
        <v>636</v>
      </c>
      <c r="BC246" s="25"/>
      <c r="BD246" s="24" t="s">
        <v>72</v>
      </c>
      <c r="BE246" s="24" t="s">
        <v>19</v>
      </c>
      <c r="BF246" s="24" t="s">
        <v>51</v>
      </c>
      <c r="BG246" s="24" t="s">
        <v>11</v>
      </c>
      <c r="BH246" s="130" t="s">
        <v>18</v>
      </c>
      <c r="BI246" s="24" t="s">
        <v>51</v>
      </c>
      <c r="BJ246" s="24" t="s">
        <v>11</v>
      </c>
      <c r="BK246" s="24" t="s">
        <v>11</v>
      </c>
      <c r="BL246" s="24" t="s">
        <v>11</v>
      </c>
      <c r="BM246" s="24" t="s">
        <v>11</v>
      </c>
      <c r="BN246" s="24" t="s">
        <v>11</v>
      </c>
      <c r="BO246" s="24" t="s">
        <v>11</v>
      </c>
      <c r="BP246" s="24" t="s">
        <v>11</v>
      </c>
      <c r="BQ246" s="22">
        <f>YEAR([1]!BANCO10[[#This Row],[DATA INÍCIO]])</f>
        <v>2024</v>
      </c>
      <c r="BR246" s="22">
        <f>MONTH([1]!BANCO10[[#This Row],[DATA INÍCIO]])</f>
        <v>1</v>
      </c>
      <c r="BS246" s="129" t="e">
        <f>CONCATENATE(#REF!,#REF!)</f>
        <v>#REF!</v>
      </c>
      <c r="BT246" s="22"/>
      <c r="BU246" s="21" t="s">
        <v>638</v>
      </c>
      <c r="BV246" s="21" t="str">
        <f>IF([1]!BANCO10[[#This Row],[SOLUÇÃO]]=BV$1,[1]!BANCO10[[#This Row],[STATUS DA ETAPA]],"")</f>
        <v/>
      </c>
      <c r="BW246" s="21" t="str">
        <f>IF([1]!BANCO10[[#This Row],[SOLUÇÃO]]=BW$1,[1]!BANCO10[[#This Row],[STATUS DA ETAPA]],"")</f>
        <v/>
      </c>
      <c r="BX246" s="21" t="str">
        <f>IF([1]!BANCO10[[#This Row],[SOLUÇÃO]]=BX$1,[1]!BANCO10[[#This Row],[STATUS DA ETAPA]],"")</f>
        <v/>
      </c>
      <c r="BY246" s="21" t="str">
        <f>IF([1]!BANCO10[[#This Row],[SOLUÇÃO]]=BY$1,[1]!BANCO10[[#This Row],[STATUS DA ETAPA]],"")</f>
        <v/>
      </c>
      <c r="BZ246" s="21" t="str">
        <f>IF([1]!BANCO10[[#This Row],[SOLUÇÃO]]=BZ$1,[1]!BANCO10[[#This Row],[STATUS DA ETAPA]],"")</f>
        <v/>
      </c>
      <c r="CA246" s="21" t="str">
        <f>IF([1]!BANCO10[[#This Row],[SOLUÇÃO]]=CA$1,[1]!BANCO10[[#This Row],[STATUS DA ETAPA]],"")</f>
        <v>CONCLUÍDO</v>
      </c>
      <c r="CB246" s="21" t="str">
        <f>IF([1]!BANCO10[[#This Row],[SOLUÇÃO]]=CB$1,[1]!BANCO10[[#This Row],[STATUS DA ETAPA]],"")</f>
        <v/>
      </c>
      <c r="CC246" s="21" t="str">
        <f>IF([1]!BANCO10[[#This Row],[SOLUÇÃO]]=CC$1,[1]!BANCO10[[#This Row],[STATUS DA ETAPA]],"")</f>
        <v/>
      </c>
      <c r="CD246" s="21" t="str">
        <f>IF([1]!BANCO10[[#This Row],[SOLUÇÃO]]=CD$1,[1]!BANCO10[[#This Row],[STATUS DA ETAPA]],"")</f>
        <v/>
      </c>
      <c r="CE246" s="21" t="str">
        <f>IF([1]!BANCO10[[#This Row],[SOLUÇÃO]]=CE$1,[1]!BANCO10[[#This Row],[STATUS DA ETAPA]],"")</f>
        <v/>
      </c>
      <c r="CF246" s="21" t="str">
        <f>IF([1]!BANCO10[[#This Row],[SOLUÇÃO]]=CF$1,[1]!BANCO10[[#This Row],[STATUS DA ETAPA]],"")</f>
        <v/>
      </c>
      <c r="CG246" s="21" t="str">
        <f>IF([1]!BANCO10[[#This Row],[SOLUÇÃO]]=CG$1,[1]!BANCO10[[#This Row],[STATUS DA ETAPA]],"")</f>
        <v/>
      </c>
      <c r="CH246" s="21" t="str">
        <f>IF([1]!BANCO10[[#This Row],[SOLUÇÃO]]=CH$1,[1]!BANCO10[[#This Row],[STATUS DA ETAPA]],"")</f>
        <v/>
      </c>
      <c r="CI246" s="21" t="str">
        <f>IF([1]!BANCO10[[#This Row],[SOLUÇÃO]]=CI$1,[1]!BANCO10[[#This Row],[STATUS DA ETAPA]],"")</f>
        <v/>
      </c>
      <c r="CJ246" s="21" t="str">
        <f>IF([1]!BANCO10[[#This Row],[SOLUÇÃO]]=CJ$1,[1]!BANCO10[[#This Row],[STATUS DA ETAPA]],"")</f>
        <v/>
      </c>
      <c r="CK246" s="21" t="str">
        <f>IF([1]!BANCO10[[#This Row],[SOLUÇÃO]]=CK$1,[1]!BANCO10[[#This Row],[STATUS DA ETAPA]],"")</f>
        <v/>
      </c>
      <c r="CL246" s="21" t="str">
        <f>IF([1]!BANCO10[[#This Row],[SOLUÇÃO]]=CL$1,[1]!BANCO10[[#This Row],[STATUS DA ETAPA]],"")</f>
        <v/>
      </c>
      <c r="CM246" s="21" t="str">
        <f>IF([1]!BANCO10[[#This Row],[SOLUÇÃO]]=CM$1,[1]!BANCO10[[#This Row],[STATUS DA ETAPA]],"")</f>
        <v/>
      </c>
      <c r="CN246" s="21" t="str">
        <f>IF([1]!BANCO10[[#This Row],[SOLUÇÃO]]=CN$1,[1]!BANCO10[[#This Row],[STATUS DA ETAPA]],"")</f>
        <v/>
      </c>
      <c r="CO246" s="21" t="str">
        <f>IF([1]!BANCO10[[#This Row],[SOLUÇÃO]]=CO$1,[1]!BANCO10[[#This Row],[STATUS DA ETAPA]],"")</f>
        <v/>
      </c>
      <c r="CP246" s="21" t="str">
        <f>IF([1]!BANCO10[[#This Row],[SOLUÇÃO]]=CP$1,[1]!BANCO10[[#This Row],[STATUS DA ETAPA]],"")</f>
        <v/>
      </c>
      <c r="CQ246" s="21" t="str">
        <f>IF([1]!BANCO10[[#This Row],[SOLUÇÃO]]=CQ$1,[1]!BANCO10[[#This Row],[STATUS DA ETAPA]],"")</f>
        <v/>
      </c>
      <c r="CR246" s="21" t="str">
        <f>IF([1]!BANCO10[[#This Row],[SOLUÇÃO]]=CR$1,[1]!BANCO10[[#This Row],[STATUS DA ETAPA]],"")</f>
        <v/>
      </c>
      <c r="CS246" s="21" t="str">
        <f>IF([1]!BANCO10[[#This Row],[SOLUÇÃO]]=CS$1,[1]!BANCO10[[#This Row],[STATUS DA ETAPA]],"")</f>
        <v/>
      </c>
      <c r="CT246" s="21" t="str">
        <f>IF([1]!BANCO10[[#This Row],[SOLUÇÃO]]=CT$1,[1]!BANCO10[[#This Row],[STATUS DA ETAPA]],"")</f>
        <v/>
      </c>
      <c r="CU246" s="21" t="str">
        <f>IF([1]!BANCO10[[#This Row],[SOLUÇÃO]]=CU$1,[1]!BANCO10[[#This Row],[STATUS DA ETAPA]],"")</f>
        <v/>
      </c>
      <c r="CV246" s="21" t="str">
        <f>IF([1]!BANCO10[[#This Row],[SOLUÇÃO]]=CV$1,[1]!BANCO10[[#This Row],[STATUS DA ETAPA]],"")</f>
        <v/>
      </c>
    </row>
    <row r="247" spans="1:100">
      <c r="A247" s="44" t="s">
        <v>1</v>
      </c>
      <c r="B247" s="44"/>
      <c r="C247" s="44" t="s">
        <v>1</v>
      </c>
      <c r="D247" s="44"/>
      <c r="E247" s="44" t="s">
        <v>1</v>
      </c>
      <c r="F247" s="44"/>
      <c r="G247" s="44" t="s">
        <v>1</v>
      </c>
      <c r="H247" s="44"/>
      <c r="I247" s="45" t="s">
        <v>1</v>
      </c>
      <c r="J247" s="46"/>
      <c r="K247" s="45" t="s">
        <v>1</v>
      </c>
      <c r="L247" s="33"/>
      <c r="M247" s="45" t="s">
        <v>1</v>
      </c>
      <c r="N247" s="33"/>
      <c r="O247" s="44" t="s">
        <v>2</v>
      </c>
      <c r="P247" s="44">
        <v>45183</v>
      </c>
      <c r="Q247" s="44" t="s">
        <v>2</v>
      </c>
      <c r="R247" s="44">
        <v>45183</v>
      </c>
      <c r="S247" s="44" t="s">
        <v>2</v>
      </c>
      <c r="T247" s="44">
        <v>45183</v>
      </c>
      <c r="U247" s="44" t="s">
        <v>2</v>
      </c>
      <c r="V247" s="44">
        <v>45379</v>
      </c>
      <c r="W247" s="44" t="s">
        <v>2</v>
      </c>
      <c r="X247" s="44"/>
      <c r="Y247" s="44" t="s">
        <v>2</v>
      </c>
      <c r="Z247" s="44"/>
      <c r="AA247" s="44" t="s">
        <v>2</v>
      </c>
      <c r="AB247" s="44"/>
      <c r="AC247" s="51">
        <v>45425</v>
      </c>
      <c r="AD247" s="50">
        <v>45509</v>
      </c>
      <c r="AE247" s="40" t="s">
        <v>2</v>
      </c>
      <c r="AF247" s="40" t="s">
        <v>2</v>
      </c>
      <c r="AG247" s="76" t="s">
        <v>5</v>
      </c>
      <c r="AH247" s="36" t="s">
        <v>0</v>
      </c>
      <c r="AI247" s="49">
        <v>0</v>
      </c>
      <c r="AJ247" s="36" t="s">
        <v>6</v>
      </c>
      <c r="AK247" s="10">
        <v>0</v>
      </c>
      <c r="AL247" s="36">
        <v>4744</v>
      </c>
      <c r="AM247" s="36">
        <v>0</v>
      </c>
      <c r="AN247" s="35" t="s">
        <v>1</v>
      </c>
      <c r="AO247" s="35" t="s">
        <v>1</v>
      </c>
      <c r="AP247" s="35" t="s">
        <v>2</v>
      </c>
      <c r="AQ247" s="35" t="s">
        <v>1</v>
      </c>
      <c r="AR247" s="34" t="s">
        <v>1</v>
      </c>
      <c r="AS247" s="33"/>
      <c r="AT247" s="32" t="s">
        <v>1</v>
      </c>
      <c r="AU247" s="31"/>
      <c r="AV247" s="32" t="s">
        <v>1</v>
      </c>
      <c r="AW247" s="31"/>
      <c r="AX247" s="30" t="s">
        <v>2</v>
      </c>
      <c r="AY247" s="55">
        <v>45509</v>
      </c>
      <c r="AZ247" s="28" t="s">
        <v>2</v>
      </c>
      <c r="BA247" s="55">
        <v>45495</v>
      </c>
      <c r="BB247" s="74"/>
      <c r="BC247" s="25"/>
      <c r="BD247" s="24"/>
      <c r="BE247" s="24"/>
      <c r="BF247" s="24"/>
      <c r="BG247" s="24"/>
      <c r="BH247" s="130"/>
      <c r="BI247" s="24"/>
      <c r="BJ247" s="24"/>
      <c r="BK247" s="24"/>
      <c r="BL247" s="24">
        <v>45391</v>
      </c>
      <c r="BM247" s="24" t="s">
        <v>18</v>
      </c>
      <c r="BN247" s="24" t="s">
        <v>11</v>
      </c>
      <c r="BO247" s="24"/>
      <c r="BP247" s="24" t="s">
        <v>214</v>
      </c>
      <c r="BQ247" s="22">
        <f>YEAR([1]!BANCO10[[#This Row],[DATA INÍCIO]])</f>
        <v>2024</v>
      </c>
      <c r="BR247" s="22">
        <f>MONTH([1]!BANCO10[[#This Row],[DATA INÍCIO]])</f>
        <v>5</v>
      </c>
      <c r="BS247" s="129" t="e">
        <f>CONCATENATE(#REF!,#REF!)</f>
        <v>#REF!</v>
      </c>
      <c r="BT247" s="22"/>
      <c r="BU247" s="21" t="s">
        <v>637</v>
      </c>
      <c r="BV247" s="21" t="str">
        <f>IF([1]!BANCO10[[#This Row],[SOLUÇÃO]]=BV$1,[1]!BANCO10[[#This Row],[STATUS DA ETAPA]],"")</f>
        <v/>
      </c>
      <c r="BW247" s="21" t="str">
        <f>IF([1]!BANCO10[[#This Row],[SOLUÇÃO]]=BW$1,[1]!BANCO10[[#This Row],[STATUS DA ETAPA]],"")</f>
        <v/>
      </c>
      <c r="BX247" s="21" t="str">
        <f>IF([1]!BANCO10[[#This Row],[SOLUÇÃO]]=BX$1,[1]!BANCO10[[#This Row],[STATUS DA ETAPA]],"")</f>
        <v/>
      </c>
      <c r="BY247" s="21" t="str">
        <f>IF([1]!BANCO10[[#This Row],[SOLUÇÃO]]=BY$1,[1]!BANCO10[[#This Row],[STATUS DA ETAPA]],"")</f>
        <v/>
      </c>
      <c r="BZ247" s="21" t="str">
        <f>IF([1]!BANCO10[[#This Row],[SOLUÇÃO]]=BZ$1,[1]!BANCO10[[#This Row],[STATUS DA ETAPA]],"")</f>
        <v/>
      </c>
      <c r="CA247" s="21" t="str">
        <f>IF([1]!BANCO10[[#This Row],[SOLUÇÃO]]=CA$1,[1]!BANCO10[[#This Row],[STATUS DA ETAPA]],"")</f>
        <v/>
      </c>
      <c r="CB247" s="21" t="str">
        <f>IF([1]!BANCO10[[#This Row],[SOLUÇÃO]]=CB$1,[1]!BANCO10[[#This Row],[STATUS DA ETAPA]],"")</f>
        <v/>
      </c>
      <c r="CC247" s="21" t="str">
        <f>IF([1]!BANCO10[[#This Row],[SOLUÇÃO]]=CC$1,[1]!BANCO10[[#This Row],[STATUS DA ETAPA]],"")</f>
        <v>CONCLUÍDO</v>
      </c>
      <c r="CD247" s="21" t="str">
        <f>IF([1]!BANCO10[[#This Row],[SOLUÇÃO]]=CD$1,[1]!BANCO10[[#This Row],[STATUS DA ETAPA]],"")</f>
        <v/>
      </c>
      <c r="CE247" s="21" t="str">
        <f>IF([1]!BANCO10[[#This Row],[SOLUÇÃO]]=CE$1,[1]!BANCO10[[#This Row],[STATUS DA ETAPA]],"")</f>
        <v/>
      </c>
      <c r="CF247" s="21" t="str">
        <f>IF([1]!BANCO10[[#This Row],[SOLUÇÃO]]=CF$1,[1]!BANCO10[[#This Row],[STATUS DA ETAPA]],"")</f>
        <v/>
      </c>
      <c r="CG247" s="21" t="str">
        <f>IF([1]!BANCO10[[#This Row],[SOLUÇÃO]]=CG$1,[1]!BANCO10[[#This Row],[STATUS DA ETAPA]],"")</f>
        <v/>
      </c>
      <c r="CH247" s="21" t="str">
        <f>IF([1]!BANCO10[[#This Row],[SOLUÇÃO]]=CH$1,[1]!BANCO10[[#This Row],[STATUS DA ETAPA]],"")</f>
        <v/>
      </c>
      <c r="CI247" s="21" t="str">
        <f>IF([1]!BANCO10[[#This Row],[SOLUÇÃO]]=CI$1,[1]!BANCO10[[#This Row],[STATUS DA ETAPA]],"")</f>
        <v/>
      </c>
      <c r="CJ247" s="21" t="str">
        <f>IF([1]!BANCO10[[#This Row],[SOLUÇÃO]]=CJ$1,[1]!BANCO10[[#This Row],[STATUS DA ETAPA]],"")</f>
        <v/>
      </c>
      <c r="CK247" s="21" t="str">
        <f>IF([1]!BANCO10[[#This Row],[SOLUÇÃO]]=CK$1,[1]!BANCO10[[#This Row],[STATUS DA ETAPA]],"")</f>
        <v/>
      </c>
      <c r="CL247" s="21" t="str">
        <f>IF([1]!BANCO10[[#This Row],[SOLUÇÃO]]=CL$1,[1]!BANCO10[[#This Row],[STATUS DA ETAPA]],"")</f>
        <v/>
      </c>
      <c r="CM247" s="21" t="str">
        <f>IF([1]!BANCO10[[#This Row],[SOLUÇÃO]]=CM$1,[1]!BANCO10[[#This Row],[STATUS DA ETAPA]],"")</f>
        <v/>
      </c>
      <c r="CN247" s="21" t="str">
        <f>IF([1]!BANCO10[[#This Row],[SOLUÇÃO]]=CN$1,[1]!BANCO10[[#This Row],[STATUS DA ETAPA]],"")</f>
        <v/>
      </c>
      <c r="CO247" s="21" t="str">
        <f>IF([1]!BANCO10[[#This Row],[SOLUÇÃO]]=CO$1,[1]!BANCO10[[#This Row],[STATUS DA ETAPA]],"")</f>
        <v/>
      </c>
      <c r="CP247" s="21" t="str">
        <f>IF([1]!BANCO10[[#This Row],[SOLUÇÃO]]=CP$1,[1]!BANCO10[[#This Row],[STATUS DA ETAPA]],"")</f>
        <v/>
      </c>
      <c r="CQ247" s="21" t="str">
        <f>IF([1]!BANCO10[[#This Row],[SOLUÇÃO]]=CQ$1,[1]!BANCO10[[#This Row],[STATUS DA ETAPA]],"")</f>
        <v/>
      </c>
      <c r="CR247" s="21" t="str">
        <f>IF([1]!BANCO10[[#This Row],[SOLUÇÃO]]=CR$1,[1]!BANCO10[[#This Row],[STATUS DA ETAPA]],"")</f>
        <v/>
      </c>
      <c r="CS247" s="21" t="str">
        <f>IF([1]!BANCO10[[#This Row],[SOLUÇÃO]]=CS$1,[1]!BANCO10[[#This Row],[STATUS DA ETAPA]],"")</f>
        <v/>
      </c>
      <c r="CT247" s="21" t="str">
        <f>IF([1]!BANCO10[[#This Row],[SOLUÇÃO]]=CT$1,[1]!BANCO10[[#This Row],[STATUS DA ETAPA]],"")</f>
        <v/>
      </c>
      <c r="CU247" s="21" t="str">
        <f>IF([1]!BANCO10[[#This Row],[SOLUÇÃO]]=CU$1,[1]!BANCO10[[#This Row],[STATUS DA ETAPA]],"")</f>
        <v/>
      </c>
      <c r="CV247" s="21" t="str">
        <f>IF([1]!BANCO10[[#This Row],[SOLUÇÃO]]=CV$1,[1]!BANCO10[[#This Row],[STATUS DA ETAPA]],"")</f>
        <v/>
      </c>
    </row>
    <row r="248" spans="1:100">
      <c r="A248" s="44" t="s">
        <v>1</v>
      </c>
      <c r="B248" s="44"/>
      <c r="C248" s="44" t="s">
        <v>1</v>
      </c>
      <c r="D248" s="44"/>
      <c r="E248" s="44" t="s">
        <v>1</v>
      </c>
      <c r="F248" s="44"/>
      <c r="G248" s="44" t="s">
        <v>1</v>
      </c>
      <c r="H248" s="44"/>
      <c r="I248" s="45" t="s">
        <v>1</v>
      </c>
      <c r="J248" s="46"/>
      <c r="K248" s="45" t="s">
        <v>1</v>
      </c>
      <c r="L248" s="33"/>
      <c r="M248" s="45" t="s">
        <v>1</v>
      </c>
      <c r="N248" s="33"/>
      <c r="O248" s="44" t="s">
        <v>2</v>
      </c>
      <c r="P248" s="44">
        <v>45310</v>
      </c>
      <c r="Q248" s="44" t="s">
        <v>2</v>
      </c>
      <c r="R248" s="44">
        <v>45183</v>
      </c>
      <c r="S248" s="44" t="s">
        <v>1</v>
      </c>
      <c r="T248" s="44"/>
      <c r="U248" s="44" t="s">
        <v>1</v>
      </c>
      <c r="V248" s="44"/>
      <c r="W248" s="44" t="s">
        <v>1</v>
      </c>
      <c r="X248" s="44"/>
      <c r="Y248" s="44" t="s">
        <v>1</v>
      </c>
      <c r="Z248" s="44"/>
      <c r="AA248" s="44" t="s">
        <v>1</v>
      </c>
      <c r="AB248" s="44"/>
      <c r="AC248" s="51">
        <v>45513</v>
      </c>
      <c r="AD248" s="50">
        <v>45555</v>
      </c>
      <c r="AE248" s="40" t="s">
        <v>2</v>
      </c>
      <c r="AF248" s="40" t="s">
        <v>2</v>
      </c>
      <c r="AG248" s="40" t="s">
        <v>4</v>
      </c>
      <c r="AH248" s="36" t="s">
        <v>2</v>
      </c>
      <c r="AI248" s="49">
        <v>0</v>
      </c>
      <c r="AJ248" s="36" t="s">
        <v>1</v>
      </c>
      <c r="AK248" s="10" t="s">
        <v>1</v>
      </c>
      <c r="AL248" s="36" t="s">
        <v>1</v>
      </c>
      <c r="AM248" s="36" t="s">
        <v>1</v>
      </c>
      <c r="AN248" s="35" t="s">
        <v>1</v>
      </c>
      <c r="AO248" s="35" t="s">
        <v>1</v>
      </c>
      <c r="AP248" s="35" t="s">
        <v>2</v>
      </c>
      <c r="AQ248" s="35" t="s">
        <v>1</v>
      </c>
      <c r="AR248" s="34" t="s">
        <v>1</v>
      </c>
      <c r="AS248" s="33"/>
      <c r="AT248" s="32" t="s">
        <v>1</v>
      </c>
      <c r="AU248" s="31"/>
      <c r="AV248" s="32" t="s">
        <v>1</v>
      </c>
      <c r="AW248" s="31"/>
      <c r="AX248" s="30" t="s">
        <v>2</v>
      </c>
      <c r="AY248" s="55">
        <v>45555</v>
      </c>
      <c r="AZ248" s="30" t="s">
        <v>2</v>
      </c>
      <c r="BA248" s="55">
        <v>45622</v>
      </c>
      <c r="BB248" s="39" t="s">
        <v>636</v>
      </c>
      <c r="BC248" s="25"/>
      <c r="BD248" s="24"/>
      <c r="BE248" s="24"/>
      <c r="BF248" s="79"/>
      <c r="BG248" s="79"/>
      <c r="BH248" s="80"/>
      <c r="BI248" s="79"/>
      <c r="BJ248" s="54"/>
      <c r="BK248" s="78"/>
      <c r="BL248" s="69"/>
      <c r="BM248" s="78"/>
      <c r="BN248" s="78"/>
      <c r="BO248" s="78"/>
      <c r="BP248" s="78"/>
      <c r="BQ248" s="21">
        <f>YEAR([1]!BANCO10[[#This Row],[DATA INÍCIO]])</f>
        <v>2024</v>
      </c>
      <c r="BR248" s="21">
        <f>MONTH([1]!BANCO10[[#This Row],[DATA INÍCIO]])</f>
        <v>8</v>
      </c>
      <c r="BS248" s="21" t="e">
        <f>CONCATENATE(#REF!,#REF!)</f>
        <v>#REF!</v>
      </c>
      <c r="BT248" s="21"/>
      <c r="BU248" s="21"/>
      <c r="BV248" s="21" t="str">
        <f>IF([1]!BANCO10[[#This Row],[SOLUÇÃO]]=BV$1,[1]!BANCO10[[#This Row],[STATUS DA ETAPA]],"")</f>
        <v/>
      </c>
      <c r="BW248" s="21" t="str">
        <f>IF([1]!BANCO10[[#This Row],[SOLUÇÃO]]=BW$1,[1]!BANCO10[[#This Row],[STATUS DA ETAPA]],"")</f>
        <v/>
      </c>
      <c r="BX248" s="21" t="str">
        <f>IF([1]!BANCO10[[#This Row],[SOLUÇÃO]]=BX$1,[1]!BANCO10[[#This Row],[STATUS DA ETAPA]],"")</f>
        <v/>
      </c>
      <c r="BY248" s="21" t="str">
        <f>IF([1]!BANCO10[[#This Row],[SOLUÇÃO]]=BY$1,[1]!BANCO10[[#This Row],[STATUS DA ETAPA]],"")</f>
        <v/>
      </c>
      <c r="BZ248" s="21" t="str">
        <f>IF([1]!BANCO10[[#This Row],[SOLUÇÃO]]=BZ$1,[1]!BANCO10[[#This Row],[STATUS DA ETAPA]],"")</f>
        <v/>
      </c>
      <c r="CA248" s="21" t="str">
        <f>IF([1]!BANCO10[[#This Row],[SOLUÇÃO]]=CA$1,[1]!BANCO10[[#This Row],[STATUS DA ETAPA]],"")</f>
        <v/>
      </c>
      <c r="CB248" s="21" t="str">
        <f>IF([1]!BANCO10[[#This Row],[SOLUÇÃO]]=CB$1,[1]!BANCO10[[#This Row],[STATUS DA ETAPA]],"")</f>
        <v/>
      </c>
      <c r="CC248" s="21" t="str">
        <f>IF([1]!BANCO10[[#This Row],[SOLUÇÃO]]=CC$1,[1]!BANCO10[[#This Row],[STATUS DA ETAPA]],"")</f>
        <v/>
      </c>
      <c r="CD248" s="21" t="str">
        <f>IF([1]!BANCO10[[#This Row],[SOLUÇÃO]]=CD$1,[1]!BANCO10[[#This Row],[STATUS DA ETAPA]],"")</f>
        <v/>
      </c>
      <c r="CE248" s="21" t="str">
        <f>IF([1]!BANCO10[[#This Row],[SOLUÇÃO]]=CE$1,[1]!BANCO10[[#This Row],[STATUS DA ETAPA]],"")</f>
        <v/>
      </c>
      <c r="CF248" s="21" t="str">
        <f>IF([1]!BANCO10[[#This Row],[SOLUÇÃO]]=CF$1,[1]!BANCO10[[#This Row],[STATUS DA ETAPA]],"")</f>
        <v/>
      </c>
      <c r="CG248" s="21" t="str">
        <f>IF([1]!BANCO10[[#This Row],[SOLUÇÃO]]=CG$1,[1]!BANCO10[[#This Row],[STATUS DA ETAPA]],"")</f>
        <v/>
      </c>
      <c r="CH248" s="21" t="str">
        <f>IF([1]!BANCO10[[#This Row],[SOLUÇÃO]]=CH$1,[1]!BANCO10[[#This Row],[STATUS DA ETAPA]],"")</f>
        <v/>
      </c>
      <c r="CI248" s="21" t="str">
        <f>IF([1]!BANCO10[[#This Row],[SOLUÇÃO]]=CI$1,[1]!BANCO10[[#This Row],[STATUS DA ETAPA]],"")</f>
        <v/>
      </c>
      <c r="CJ248" s="21" t="str">
        <f>IF([1]!BANCO10[[#This Row],[SOLUÇÃO]]=CJ$1,[1]!BANCO10[[#This Row],[STATUS DA ETAPA]],"")</f>
        <v/>
      </c>
      <c r="CK248" s="21" t="str">
        <f>IF([1]!BANCO10[[#This Row],[SOLUÇÃO]]=CK$1,[1]!BANCO10[[#This Row],[STATUS DA ETAPA]],"")</f>
        <v/>
      </c>
      <c r="CL248" s="22" t="str">
        <f>IF([1]!BANCO10[[#This Row],[SOLUÇÃO]]=CL$1,[1]!BANCO10[[#This Row],[STATUS DA ETAPA]],"")</f>
        <v/>
      </c>
      <c r="CM248" s="64" t="str">
        <f>IF([1]!BANCO10[[#This Row],[SOLUÇÃO]]=CM$1,[1]!BANCO10[[#This Row],[STATUS DA ETAPA]],"")</f>
        <v/>
      </c>
      <c r="CN248" s="64" t="str">
        <f>IF([1]!BANCO10[[#This Row],[SOLUÇÃO]]=CN$1,[1]!BANCO10[[#This Row],[STATUS DA ETAPA]],"")</f>
        <v/>
      </c>
      <c r="CO248" s="64" t="str">
        <f>IF([1]!BANCO10[[#This Row],[SOLUÇÃO]]=CO$1,[1]!BANCO10[[#This Row],[STATUS DA ETAPA]],"")</f>
        <v/>
      </c>
      <c r="CP248" s="64" t="str">
        <f>IF([1]!BANCO10[[#This Row],[SOLUÇÃO]]=CP$1,[1]!BANCO10[[#This Row],[STATUS DA ETAPA]],"")</f>
        <v/>
      </c>
      <c r="CQ248" s="64" t="str">
        <f>IF([1]!BANCO10[[#This Row],[SOLUÇÃO]]=CQ$1,[1]!BANCO10[[#This Row],[STATUS DA ETAPA]],"")</f>
        <v/>
      </c>
      <c r="CR248" s="64" t="str">
        <f>IF([1]!BANCO10[[#This Row],[SOLUÇÃO]]=CR$1,[1]!BANCO10[[#This Row],[STATUS DA ETAPA]],"")</f>
        <v/>
      </c>
      <c r="CS248" s="64" t="str">
        <f>IF([1]!BANCO10[[#This Row],[SOLUÇÃO]]=CS$1,[1]!BANCO10[[#This Row],[STATUS DA ETAPA]],"")</f>
        <v/>
      </c>
      <c r="CT248" s="64" t="str">
        <f>IF([1]!BANCO10[[#This Row],[SOLUÇÃO]]=CT$1,[1]!BANCO10[[#This Row],[STATUS DA ETAPA]],"")</f>
        <v/>
      </c>
      <c r="CU248" s="64" t="str">
        <f>IF([1]!BANCO10[[#This Row],[SOLUÇÃO]]=CU$1,[1]!BANCO10[[#This Row],[STATUS DA ETAPA]],"")</f>
        <v/>
      </c>
      <c r="CV248" s="64" t="str">
        <f>IF([1]!BANCO10[[#This Row],[SOLUÇÃO]]=CV$1,[1]!BANCO10[[#This Row],[STATUS DA ETAPA]],"")</f>
        <v/>
      </c>
    </row>
    <row r="249" spans="1:100">
      <c r="A249" s="44" t="s">
        <v>1</v>
      </c>
      <c r="B249" s="44"/>
      <c r="C249" s="44" t="s">
        <v>1</v>
      </c>
      <c r="D249" s="44"/>
      <c r="E249" s="44" t="s">
        <v>1</v>
      </c>
      <c r="F249" s="44"/>
      <c r="G249" s="44" t="s">
        <v>1</v>
      </c>
      <c r="H249" s="44"/>
      <c r="I249" s="45" t="s">
        <v>1</v>
      </c>
      <c r="J249" s="46"/>
      <c r="K249" s="45" t="s">
        <v>1</v>
      </c>
      <c r="L249" s="33"/>
      <c r="M249" s="45" t="s">
        <v>1</v>
      </c>
      <c r="N249" s="33"/>
      <c r="O249" s="44" t="s">
        <v>1</v>
      </c>
      <c r="P249" s="44"/>
      <c r="Q249" s="44" t="s">
        <v>1</v>
      </c>
      <c r="R249" s="44"/>
      <c r="S249" s="44" t="s">
        <v>1</v>
      </c>
      <c r="T249" s="44"/>
      <c r="U249" s="44" t="s">
        <v>1</v>
      </c>
      <c r="V249" s="44"/>
      <c r="W249" s="44" t="s">
        <v>1</v>
      </c>
      <c r="X249" s="44"/>
      <c r="Y249" s="44" t="s">
        <v>1</v>
      </c>
      <c r="Z249" s="44"/>
      <c r="AA249" s="44" t="s">
        <v>1</v>
      </c>
      <c r="AB249" s="44"/>
      <c r="AC249" s="51">
        <v>45273</v>
      </c>
      <c r="AD249" s="50">
        <v>45273</v>
      </c>
      <c r="AE249" s="40" t="s">
        <v>1</v>
      </c>
      <c r="AF249" s="40" t="s">
        <v>1</v>
      </c>
      <c r="AG249" s="76" t="s">
        <v>5</v>
      </c>
      <c r="AH249" s="36" t="s">
        <v>1</v>
      </c>
      <c r="AI249" s="49">
        <v>0</v>
      </c>
      <c r="AJ249" s="36" t="s">
        <v>1</v>
      </c>
      <c r="AK249" s="10" t="s">
        <v>1</v>
      </c>
      <c r="AL249" s="36" t="s">
        <v>1</v>
      </c>
      <c r="AM249" s="36" t="s">
        <v>1</v>
      </c>
      <c r="AN249" s="35" t="s">
        <v>1</v>
      </c>
      <c r="AO249" s="35" t="s">
        <v>1</v>
      </c>
      <c r="AP249" s="35" t="s">
        <v>1</v>
      </c>
      <c r="AQ249" s="35" t="s">
        <v>1</v>
      </c>
      <c r="AR249" s="82" t="s">
        <v>1</v>
      </c>
      <c r="AS249" s="33"/>
      <c r="AT249" s="32" t="s">
        <v>1</v>
      </c>
      <c r="AU249" s="31"/>
      <c r="AV249" s="32" t="s">
        <v>1</v>
      </c>
      <c r="AW249" s="31"/>
      <c r="AX249" s="30" t="s">
        <v>1</v>
      </c>
      <c r="AY249" s="55"/>
      <c r="AZ249" s="30" t="s">
        <v>1</v>
      </c>
      <c r="BA249" s="55"/>
      <c r="BB249" s="74" t="s">
        <v>15</v>
      </c>
      <c r="BC249" s="25" t="s">
        <v>14</v>
      </c>
      <c r="BD249" s="24"/>
      <c r="BE249" s="24"/>
      <c r="BF249" s="24"/>
      <c r="BG249" s="24"/>
      <c r="BH249" s="130"/>
      <c r="BI249" s="24"/>
      <c r="BJ249" s="24" t="s">
        <v>11</v>
      </c>
      <c r="BK249" s="24" t="s">
        <v>11</v>
      </c>
      <c r="BL249" s="24" t="s">
        <v>11</v>
      </c>
      <c r="BM249" s="24" t="s">
        <v>11</v>
      </c>
      <c r="BN249" s="24" t="s">
        <v>11</v>
      </c>
      <c r="BO249" s="24" t="s">
        <v>11</v>
      </c>
      <c r="BP249" s="24" t="s">
        <v>11</v>
      </c>
      <c r="BQ249" s="22">
        <f>YEAR([1]!BANCO10[[#This Row],[DATA INÍCIO]])</f>
        <v>2023</v>
      </c>
      <c r="BR249" s="22">
        <f>MONTH([1]!BANCO10[[#This Row],[DATA INÍCIO]])</f>
        <v>12</v>
      </c>
      <c r="BS249" s="129" t="e">
        <f>CONCATENATE(#REF!,#REF!)</f>
        <v>#REF!</v>
      </c>
      <c r="BT249" s="22"/>
      <c r="BU249" s="21" t="s">
        <v>635</v>
      </c>
      <c r="BV249" s="21" t="str">
        <f>IF([1]!BANCO10[[#This Row],[SOLUÇÃO]]=BV$1,[1]!BANCO10[[#This Row],[STATUS DA ETAPA]],"")</f>
        <v>CONCLUÍDO</v>
      </c>
      <c r="BW249" s="21" t="str">
        <f>IF([1]!BANCO10[[#This Row],[SOLUÇÃO]]=BW$1,[1]!BANCO10[[#This Row],[STATUS DA ETAPA]],"")</f>
        <v/>
      </c>
      <c r="BX249" s="21" t="str">
        <f>IF([1]!BANCO10[[#This Row],[SOLUÇÃO]]=BX$1,[1]!BANCO10[[#This Row],[STATUS DA ETAPA]],"")</f>
        <v/>
      </c>
      <c r="BY249" s="21" t="str">
        <f>IF([1]!BANCO10[[#This Row],[SOLUÇÃO]]=BY$1,[1]!BANCO10[[#This Row],[STATUS DA ETAPA]],"")</f>
        <v/>
      </c>
      <c r="BZ249" s="21" t="str">
        <f>IF([1]!BANCO10[[#This Row],[SOLUÇÃO]]=BZ$1,[1]!BANCO10[[#This Row],[STATUS DA ETAPA]],"")</f>
        <v/>
      </c>
      <c r="CA249" s="21" t="str">
        <f>IF([1]!BANCO10[[#This Row],[SOLUÇÃO]]=CA$1,[1]!BANCO10[[#This Row],[STATUS DA ETAPA]],"")</f>
        <v/>
      </c>
      <c r="CB249" s="21" t="str">
        <f>IF([1]!BANCO10[[#This Row],[SOLUÇÃO]]=CB$1,[1]!BANCO10[[#This Row],[STATUS DA ETAPA]],"")</f>
        <v/>
      </c>
      <c r="CC249" s="21" t="str">
        <f>IF([1]!BANCO10[[#This Row],[SOLUÇÃO]]=CC$1,[1]!BANCO10[[#This Row],[STATUS DA ETAPA]],"")</f>
        <v/>
      </c>
      <c r="CD249" s="21" t="str">
        <f>IF([1]!BANCO10[[#This Row],[SOLUÇÃO]]=CD$1,[1]!BANCO10[[#This Row],[STATUS DA ETAPA]],"")</f>
        <v/>
      </c>
      <c r="CE249" s="21" t="str">
        <f>IF([1]!BANCO10[[#This Row],[SOLUÇÃO]]=CE$1,[1]!BANCO10[[#This Row],[STATUS DA ETAPA]],"")</f>
        <v/>
      </c>
      <c r="CF249" s="21" t="str">
        <f>IF([1]!BANCO10[[#This Row],[SOLUÇÃO]]=CF$1,[1]!BANCO10[[#This Row],[STATUS DA ETAPA]],"")</f>
        <v/>
      </c>
      <c r="CG249" s="21" t="str">
        <f>IF([1]!BANCO10[[#This Row],[SOLUÇÃO]]=CG$1,[1]!BANCO10[[#This Row],[STATUS DA ETAPA]],"")</f>
        <v/>
      </c>
      <c r="CH249" s="21" t="str">
        <f>IF([1]!BANCO10[[#This Row],[SOLUÇÃO]]=CH$1,[1]!BANCO10[[#This Row],[STATUS DA ETAPA]],"")</f>
        <v/>
      </c>
      <c r="CI249" s="21" t="str">
        <f>IF([1]!BANCO10[[#This Row],[SOLUÇÃO]]=CI$1,[1]!BANCO10[[#This Row],[STATUS DA ETAPA]],"")</f>
        <v/>
      </c>
      <c r="CJ249" s="21" t="str">
        <f>IF([1]!BANCO10[[#This Row],[SOLUÇÃO]]=CJ$1,[1]!BANCO10[[#This Row],[STATUS DA ETAPA]],"")</f>
        <v/>
      </c>
      <c r="CK249" s="21" t="str">
        <f>IF([1]!BANCO10[[#This Row],[SOLUÇÃO]]=CK$1,[1]!BANCO10[[#This Row],[STATUS DA ETAPA]],"")</f>
        <v/>
      </c>
      <c r="CL249" s="21" t="str">
        <f>IF([1]!BANCO10[[#This Row],[SOLUÇÃO]]=CL$1,[1]!BANCO10[[#This Row],[STATUS DA ETAPA]],"")</f>
        <v/>
      </c>
      <c r="CM249" s="21" t="str">
        <f>IF([1]!BANCO10[[#This Row],[SOLUÇÃO]]=CM$1,[1]!BANCO10[[#This Row],[STATUS DA ETAPA]],"")</f>
        <v/>
      </c>
      <c r="CN249" s="21" t="str">
        <f>IF([1]!BANCO10[[#This Row],[SOLUÇÃO]]=CN$1,[1]!BANCO10[[#This Row],[STATUS DA ETAPA]],"")</f>
        <v/>
      </c>
      <c r="CO249" s="21" t="str">
        <f>IF([1]!BANCO10[[#This Row],[SOLUÇÃO]]=CO$1,[1]!BANCO10[[#This Row],[STATUS DA ETAPA]],"")</f>
        <v/>
      </c>
      <c r="CP249" s="21" t="str">
        <f>IF([1]!BANCO10[[#This Row],[SOLUÇÃO]]=CP$1,[1]!BANCO10[[#This Row],[STATUS DA ETAPA]],"")</f>
        <v/>
      </c>
      <c r="CQ249" s="21" t="str">
        <f>IF([1]!BANCO10[[#This Row],[SOLUÇÃO]]=CQ$1,[1]!BANCO10[[#This Row],[STATUS DA ETAPA]],"")</f>
        <v/>
      </c>
      <c r="CR249" s="21" t="str">
        <f>IF([1]!BANCO10[[#This Row],[SOLUÇÃO]]=CR$1,[1]!BANCO10[[#This Row],[STATUS DA ETAPA]],"")</f>
        <v/>
      </c>
      <c r="CS249" s="21" t="str">
        <f>IF([1]!BANCO10[[#This Row],[SOLUÇÃO]]=CS$1,[1]!BANCO10[[#This Row],[STATUS DA ETAPA]],"")</f>
        <v/>
      </c>
      <c r="CT249" s="21" t="str">
        <f>IF([1]!BANCO10[[#This Row],[SOLUÇÃO]]=CT$1,[1]!BANCO10[[#This Row],[STATUS DA ETAPA]],"")</f>
        <v/>
      </c>
      <c r="CU249" s="21" t="str">
        <f>IF([1]!BANCO10[[#This Row],[SOLUÇÃO]]=CU$1,[1]!BANCO10[[#This Row],[STATUS DA ETAPA]],"")</f>
        <v/>
      </c>
      <c r="CV249" s="21" t="str">
        <f>IF([1]!BANCO10[[#This Row],[SOLUÇÃO]]=CV$1,[1]!BANCO10[[#This Row],[STATUS DA ETAPA]],"")</f>
        <v/>
      </c>
    </row>
    <row r="250" spans="1:100">
      <c r="A250" s="44" t="s">
        <v>1</v>
      </c>
      <c r="B250" s="44"/>
      <c r="C250" s="44" t="s">
        <v>1</v>
      </c>
      <c r="D250" s="44"/>
      <c r="E250" s="44" t="s">
        <v>1</v>
      </c>
      <c r="F250" s="44"/>
      <c r="G250" s="44" t="s">
        <v>1</v>
      </c>
      <c r="H250" s="44"/>
      <c r="I250" s="45" t="s">
        <v>1</v>
      </c>
      <c r="J250" s="46"/>
      <c r="K250" s="45" t="s">
        <v>1</v>
      </c>
      <c r="L250" s="33"/>
      <c r="M250" s="45" t="s">
        <v>1</v>
      </c>
      <c r="N250" s="33"/>
      <c r="O250" s="44" t="s">
        <v>2</v>
      </c>
      <c r="P250" s="44">
        <v>45134</v>
      </c>
      <c r="Q250" s="44" t="s">
        <v>0</v>
      </c>
      <c r="R250" s="44"/>
      <c r="S250" s="44" t="s">
        <v>1</v>
      </c>
      <c r="T250" s="44"/>
      <c r="U250" s="44" t="s">
        <v>1</v>
      </c>
      <c r="V250" s="44"/>
      <c r="W250" s="44" t="s">
        <v>1</v>
      </c>
      <c r="X250" s="44"/>
      <c r="Y250" s="44" t="s">
        <v>1</v>
      </c>
      <c r="Z250" s="44"/>
      <c r="AA250" s="44" t="s">
        <v>1</v>
      </c>
      <c r="AB250" s="44"/>
      <c r="AC250" s="51">
        <v>45132</v>
      </c>
      <c r="AD250" s="50">
        <v>45132</v>
      </c>
      <c r="AE250" s="40" t="s">
        <v>2</v>
      </c>
      <c r="AF250" s="40" t="s">
        <v>1</v>
      </c>
      <c r="AG250" s="76" t="s">
        <v>5</v>
      </c>
      <c r="AH250" s="36" t="s">
        <v>1</v>
      </c>
      <c r="AI250" s="49">
        <v>0</v>
      </c>
      <c r="AJ250" s="36" t="s">
        <v>1</v>
      </c>
      <c r="AK250" s="10" t="s">
        <v>1</v>
      </c>
      <c r="AL250" s="36" t="s">
        <v>1</v>
      </c>
      <c r="AM250" s="36" t="s">
        <v>1</v>
      </c>
      <c r="AN250" s="35" t="s">
        <v>1</v>
      </c>
      <c r="AO250" s="35" t="s">
        <v>1</v>
      </c>
      <c r="AP250" s="35" t="s">
        <v>1</v>
      </c>
      <c r="AQ250" s="35" t="s">
        <v>1</v>
      </c>
      <c r="AR250" s="82" t="s">
        <v>1</v>
      </c>
      <c r="AS250" s="33"/>
      <c r="AT250" s="32" t="s">
        <v>1</v>
      </c>
      <c r="AU250" s="31"/>
      <c r="AV250" s="32" t="s">
        <v>1</v>
      </c>
      <c r="AW250" s="31"/>
      <c r="AX250" s="30" t="s">
        <v>1</v>
      </c>
      <c r="AY250" s="55"/>
      <c r="AZ250" s="30" t="s">
        <v>1</v>
      </c>
      <c r="BA250" s="55"/>
      <c r="BB250" s="74" t="s">
        <v>633</v>
      </c>
      <c r="BC250" s="25"/>
      <c r="BD250" s="24" t="s">
        <v>72</v>
      </c>
      <c r="BE250" s="24" t="s">
        <v>19</v>
      </c>
      <c r="BF250" s="24" t="s">
        <v>51</v>
      </c>
      <c r="BG250" s="24" t="s">
        <v>11</v>
      </c>
      <c r="BH250" s="130" t="s">
        <v>18</v>
      </c>
      <c r="BI250" s="24" t="s">
        <v>51</v>
      </c>
      <c r="BJ250" s="24" t="s">
        <v>11</v>
      </c>
      <c r="BK250" s="24" t="s">
        <v>11</v>
      </c>
      <c r="BL250" s="24" t="s">
        <v>11</v>
      </c>
      <c r="BM250" s="24" t="s">
        <v>11</v>
      </c>
      <c r="BN250" s="24" t="s">
        <v>11</v>
      </c>
      <c r="BO250" s="24" t="s">
        <v>11</v>
      </c>
      <c r="BP250" s="24" t="s">
        <v>11</v>
      </c>
      <c r="BQ250" s="22">
        <f>YEAR([1]!BANCO10[[#This Row],[DATA INÍCIO]])</f>
        <v>2023</v>
      </c>
      <c r="BR250" s="22">
        <f>MONTH([1]!BANCO10[[#This Row],[DATA INÍCIO]])</f>
        <v>7</v>
      </c>
      <c r="BS250" s="129" t="e">
        <f>CONCATENATE(#REF!,#REF!)</f>
        <v>#REF!</v>
      </c>
      <c r="BT250" s="22"/>
      <c r="BU250" s="21" t="s">
        <v>634</v>
      </c>
      <c r="BV250" s="21" t="str">
        <f>IF([1]!BANCO10[[#This Row],[SOLUÇÃO]]=BV$1,[1]!BANCO10[[#This Row],[STATUS DA ETAPA]],"")</f>
        <v>CONCLUÍDO</v>
      </c>
      <c r="BW250" s="21" t="str">
        <f>IF([1]!BANCO10[[#This Row],[SOLUÇÃO]]=BW$1,[1]!BANCO10[[#This Row],[STATUS DA ETAPA]],"")</f>
        <v/>
      </c>
      <c r="BX250" s="21" t="str">
        <f>IF([1]!BANCO10[[#This Row],[SOLUÇÃO]]=BX$1,[1]!BANCO10[[#This Row],[STATUS DA ETAPA]],"")</f>
        <v/>
      </c>
      <c r="BY250" s="21" t="str">
        <f>IF([1]!BANCO10[[#This Row],[SOLUÇÃO]]=BY$1,[1]!BANCO10[[#This Row],[STATUS DA ETAPA]],"")</f>
        <v/>
      </c>
      <c r="BZ250" s="21" t="str">
        <f>IF([1]!BANCO10[[#This Row],[SOLUÇÃO]]=BZ$1,[1]!BANCO10[[#This Row],[STATUS DA ETAPA]],"")</f>
        <v/>
      </c>
      <c r="CA250" s="21" t="str">
        <f>IF([1]!BANCO10[[#This Row],[SOLUÇÃO]]=CA$1,[1]!BANCO10[[#This Row],[STATUS DA ETAPA]],"")</f>
        <v/>
      </c>
      <c r="CB250" s="21" t="str">
        <f>IF([1]!BANCO10[[#This Row],[SOLUÇÃO]]=CB$1,[1]!BANCO10[[#This Row],[STATUS DA ETAPA]],"")</f>
        <v/>
      </c>
      <c r="CC250" s="21" t="str">
        <f>IF([1]!BANCO10[[#This Row],[SOLUÇÃO]]=CC$1,[1]!BANCO10[[#This Row],[STATUS DA ETAPA]],"")</f>
        <v/>
      </c>
      <c r="CD250" s="21" t="str">
        <f>IF([1]!BANCO10[[#This Row],[SOLUÇÃO]]=CD$1,[1]!BANCO10[[#This Row],[STATUS DA ETAPA]],"")</f>
        <v/>
      </c>
      <c r="CE250" s="21" t="str">
        <f>IF([1]!BANCO10[[#This Row],[SOLUÇÃO]]=CE$1,[1]!BANCO10[[#This Row],[STATUS DA ETAPA]],"")</f>
        <v/>
      </c>
      <c r="CF250" s="21" t="str">
        <f>IF([1]!BANCO10[[#This Row],[SOLUÇÃO]]=CF$1,[1]!BANCO10[[#This Row],[STATUS DA ETAPA]],"")</f>
        <v/>
      </c>
      <c r="CG250" s="21" t="str">
        <f>IF([1]!BANCO10[[#This Row],[SOLUÇÃO]]=CG$1,[1]!BANCO10[[#This Row],[STATUS DA ETAPA]],"")</f>
        <v/>
      </c>
      <c r="CH250" s="21" t="str">
        <f>IF([1]!BANCO10[[#This Row],[SOLUÇÃO]]=CH$1,[1]!BANCO10[[#This Row],[STATUS DA ETAPA]],"")</f>
        <v/>
      </c>
      <c r="CI250" s="21" t="str">
        <f>IF([1]!BANCO10[[#This Row],[SOLUÇÃO]]=CI$1,[1]!BANCO10[[#This Row],[STATUS DA ETAPA]],"")</f>
        <v/>
      </c>
      <c r="CJ250" s="21" t="str">
        <f>IF([1]!BANCO10[[#This Row],[SOLUÇÃO]]=CJ$1,[1]!BANCO10[[#This Row],[STATUS DA ETAPA]],"")</f>
        <v/>
      </c>
      <c r="CK250" s="21" t="str">
        <f>IF([1]!BANCO10[[#This Row],[SOLUÇÃO]]=CK$1,[1]!BANCO10[[#This Row],[STATUS DA ETAPA]],"")</f>
        <v/>
      </c>
      <c r="CL250" s="21" t="str">
        <f>IF([1]!BANCO10[[#This Row],[SOLUÇÃO]]=CL$1,[1]!BANCO10[[#This Row],[STATUS DA ETAPA]],"")</f>
        <v/>
      </c>
      <c r="CM250" s="21" t="str">
        <f>IF([1]!BANCO10[[#This Row],[SOLUÇÃO]]=CM$1,[1]!BANCO10[[#This Row],[STATUS DA ETAPA]],"")</f>
        <v/>
      </c>
      <c r="CN250" s="21" t="str">
        <f>IF([1]!BANCO10[[#This Row],[SOLUÇÃO]]=CN$1,[1]!BANCO10[[#This Row],[STATUS DA ETAPA]],"")</f>
        <v/>
      </c>
      <c r="CO250" s="21" t="str">
        <f>IF([1]!BANCO10[[#This Row],[SOLUÇÃO]]=CO$1,[1]!BANCO10[[#This Row],[STATUS DA ETAPA]],"")</f>
        <v/>
      </c>
      <c r="CP250" s="21" t="str">
        <f>IF([1]!BANCO10[[#This Row],[SOLUÇÃO]]=CP$1,[1]!BANCO10[[#This Row],[STATUS DA ETAPA]],"")</f>
        <v/>
      </c>
      <c r="CQ250" s="21" t="str">
        <f>IF([1]!BANCO10[[#This Row],[SOLUÇÃO]]=CQ$1,[1]!BANCO10[[#This Row],[STATUS DA ETAPA]],"")</f>
        <v/>
      </c>
      <c r="CR250" s="21" t="str">
        <f>IF([1]!BANCO10[[#This Row],[SOLUÇÃO]]=CR$1,[1]!BANCO10[[#This Row],[STATUS DA ETAPA]],"")</f>
        <v/>
      </c>
      <c r="CS250" s="21" t="str">
        <f>IF([1]!BANCO10[[#This Row],[SOLUÇÃO]]=CS$1,[1]!BANCO10[[#This Row],[STATUS DA ETAPA]],"")</f>
        <v/>
      </c>
      <c r="CT250" s="21" t="str">
        <f>IF([1]!BANCO10[[#This Row],[SOLUÇÃO]]=CT$1,[1]!BANCO10[[#This Row],[STATUS DA ETAPA]],"")</f>
        <v/>
      </c>
      <c r="CU250" s="21" t="str">
        <f>IF([1]!BANCO10[[#This Row],[SOLUÇÃO]]=CU$1,[1]!BANCO10[[#This Row],[STATUS DA ETAPA]],"")</f>
        <v/>
      </c>
      <c r="CV250" s="21" t="str">
        <f>IF([1]!BANCO10[[#This Row],[SOLUÇÃO]]=CV$1,[1]!BANCO10[[#This Row],[STATUS DA ETAPA]],"")</f>
        <v/>
      </c>
    </row>
    <row r="251" spans="1:100">
      <c r="A251" s="44" t="s">
        <v>1</v>
      </c>
      <c r="B251" s="44"/>
      <c r="C251" s="44" t="s">
        <v>1</v>
      </c>
      <c r="D251" s="44"/>
      <c r="E251" s="44" t="s">
        <v>1</v>
      </c>
      <c r="F251" s="44"/>
      <c r="G251" s="44" t="s">
        <v>1</v>
      </c>
      <c r="H251" s="44"/>
      <c r="I251" s="45" t="s">
        <v>1</v>
      </c>
      <c r="J251" s="46"/>
      <c r="K251" s="45" t="s">
        <v>1</v>
      </c>
      <c r="L251" s="33"/>
      <c r="M251" s="45" t="s">
        <v>1</v>
      </c>
      <c r="N251" s="33"/>
      <c r="O251" s="44" t="s">
        <v>2</v>
      </c>
      <c r="P251" s="44">
        <v>45134</v>
      </c>
      <c r="Q251" s="44" t="s">
        <v>2</v>
      </c>
      <c r="R251" s="44">
        <v>45159</v>
      </c>
      <c r="S251" s="44" t="s">
        <v>2</v>
      </c>
      <c r="T251" s="44">
        <v>45140</v>
      </c>
      <c r="U251" s="44" t="s">
        <v>1</v>
      </c>
      <c r="V251" s="44"/>
      <c r="W251" s="44" t="s">
        <v>1</v>
      </c>
      <c r="X251" s="44"/>
      <c r="Y251" s="44" t="s">
        <v>1</v>
      </c>
      <c r="Z251" s="44"/>
      <c r="AA251" s="44" t="s">
        <v>1</v>
      </c>
      <c r="AB251" s="44"/>
      <c r="AC251" s="51">
        <v>45320</v>
      </c>
      <c r="AD251" s="50">
        <v>45457</v>
      </c>
      <c r="AE251" s="40" t="s">
        <v>2</v>
      </c>
      <c r="AF251" s="40" t="s">
        <v>2</v>
      </c>
      <c r="AG251" s="76" t="s">
        <v>5</v>
      </c>
      <c r="AH251" s="36" t="s">
        <v>0</v>
      </c>
      <c r="AI251" s="49">
        <v>0</v>
      </c>
      <c r="AJ251" s="36" t="s">
        <v>6</v>
      </c>
      <c r="AK251" s="10">
        <v>0</v>
      </c>
      <c r="AL251" s="36">
        <v>0</v>
      </c>
      <c r="AM251" s="36">
        <v>0</v>
      </c>
      <c r="AN251" s="35" t="s">
        <v>1</v>
      </c>
      <c r="AO251" s="35" t="s">
        <v>1</v>
      </c>
      <c r="AP251" s="35" t="s">
        <v>2</v>
      </c>
      <c r="AQ251" s="35" t="s">
        <v>1</v>
      </c>
      <c r="AR251" s="34" t="s">
        <v>1</v>
      </c>
      <c r="AS251" s="33"/>
      <c r="AT251" s="32" t="s">
        <v>1</v>
      </c>
      <c r="AU251" s="31"/>
      <c r="AV251" s="32" t="s">
        <v>1</v>
      </c>
      <c r="AW251" s="31"/>
      <c r="AX251" s="30" t="s">
        <v>2</v>
      </c>
      <c r="AY251" s="55">
        <v>45457</v>
      </c>
      <c r="AZ251" s="30" t="s">
        <v>2</v>
      </c>
      <c r="BA251" s="55">
        <v>45457</v>
      </c>
      <c r="BB251" s="74" t="s">
        <v>633</v>
      </c>
      <c r="BC251" s="25"/>
      <c r="BD251" s="24" t="s">
        <v>72</v>
      </c>
      <c r="BE251" s="24" t="s">
        <v>19</v>
      </c>
      <c r="BF251" s="24" t="s">
        <v>51</v>
      </c>
      <c r="BG251" s="24" t="s">
        <v>11</v>
      </c>
      <c r="BH251" s="130" t="s">
        <v>18</v>
      </c>
      <c r="BI251" s="24" t="s">
        <v>51</v>
      </c>
      <c r="BJ251" s="24" t="s">
        <v>11</v>
      </c>
      <c r="BK251" s="24" t="s">
        <v>11</v>
      </c>
      <c r="BL251" s="24" t="s">
        <v>11</v>
      </c>
      <c r="BM251" s="24" t="s">
        <v>11</v>
      </c>
      <c r="BN251" s="24" t="s">
        <v>11</v>
      </c>
      <c r="BO251" s="24" t="s">
        <v>11</v>
      </c>
      <c r="BP251" s="24" t="s">
        <v>11</v>
      </c>
      <c r="BQ251" s="22">
        <f>YEAR([1]!BANCO10[[#This Row],[DATA INÍCIO]])</f>
        <v>2024</v>
      </c>
      <c r="BR251" s="22">
        <f>MONTH([1]!BANCO10[[#This Row],[DATA INÍCIO]])</f>
        <v>1</v>
      </c>
      <c r="BS251" s="129" t="e">
        <f>CONCATENATE(#REF!,#REF!)</f>
        <v>#REF!</v>
      </c>
      <c r="BT251" s="22"/>
      <c r="BU251" s="21" t="s">
        <v>632</v>
      </c>
      <c r="BV251" s="21" t="str">
        <f>IF([1]!BANCO10[[#This Row],[SOLUÇÃO]]=BV$1,[1]!BANCO10[[#This Row],[STATUS DA ETAPA]],"")</f>
        <v/>
      </c>
      <c r="BW251" s="21" t="str">
        <f>IF([1]!BANCO10[[#This Row],[SOLUÇÃO]]=BW$1,[1]!BANCO10[[#This Row],[STATUS DA ETAPA]],"")</f>
        <v/>
      </c>
      <c r="BX251" s="21" t="str">
        <f>IF([1]!BANCO10[[#This Row],[SOLUÇÃO]]=BX$1,[1]!BANCO10[[#This Row],[STATUS DA ETAPA]],"")</f>
        <v/>
      </c>
      <c r="BY251" s="21" t="str">
        <f>IF([1]!BANCO10[[#This Row],[SOLUÇÃO]]=BY$1,[1]!BANCO10[[#This Row],[STATUS DA ETAPA]],"")</f>
        <v/>
      </c>
      <c r="BZ251" s="21" t="str">
        <f>IF([1]!BANCO10[[#This Row],[SOLUÇÃO]]=BZ$1,[1]!BANCO10[[#This Row],[STATUS DA ETAPA]],"")</f>
        <v/>
      </c>
      <c r="CA251" s="21" t="str">
        <f>IF([1]!BANCO10[[#This Row],[SOLUÇÃO]]=CA$1,[1]!BANCO10[[#This Row],[STATUS DA ETAPA]],"")</f>
        <v>CONCLUÍDO</v>
      </c>
      <c r="CB251" s="21" t="str">
        <f>IF([1]!BANCO10[[#This Row],[SOLUÇÃO]]=CB$1,[1]!BANCO10[[#This Row],[STATUS DA ETAPA]],"")</f>
        <v/>
      </c>
      <c r="CC251" s="21" t="str">
        <f>IF([1]!BANCO10[[#This Row],[SOLUÇÃO]]=CC$1,[1]!BANCO10[[#This Row],[STATUS DA ETAPA]],"")</f>
        <v/>
      </c>
      <c r="CD251" s="21" t="str">
        <f>IF([1]!BANCO10[[#This Row],[SOLUÇÃO]]=CD$1,[1]!BANCO10[[#This Row],[STATUS DA ETAPA]],"")</f>
        <v/>
      </c>
      <c r="CE251" s="21" t="str">
        <f>IF([1]!BANCO10[[#This Row],[SOLUÇÃO]]=CE$1,[1]!BANCO10[[#This Row],[STATUS DA ETAPA]],"")</f>
        <v/>
      </c>
      <c r="CF251" s="21" t="str">
        <f>IF([1]!BANCO10[[#This Row],[SOLUÇÃO]]=CF$1,[1]!BANCO10[[#This Row],[STATUS DA ETAPA]],"")</f>
        <v/>
      </c>
      <c r="CG251" s="21" t="str">
        <f>IF([1]!BANCO10[[#This Row],[SOLUÇÃO]]=CG$1,[1]!BANCO10[[#This Row],[STATUS DA ETAPA]],"")</f>
        <v/>
      </c>
      <c r="CH251" s="21" t="str">
        <f>IF([1]!BANCO10[[#This Row],[SOLUÇÃO]]=CH$1,[1]!BANCO10[[#This Row],[STATUS DA ETAPA]],"")</f>
        <v/>
      </c>
      <c r="CI251" s="21" t="str">
        <f>IF([1]!BANCO10[[#This Row],[SOLUÇÃO]]=CI$1,[1]!BANCO10[[#This Row],[STATUS DA ETAPA]],"")</f>
        <v/>
      </c>
      <c r="CJ251" s="21" t="str">
        <f>IF([1]!BANCO10[[#This Row],[SOLUÇÃO]]=CJ$1,[1]!BANCO10[[#This Row],[STATUS DA ETAPA]],"")</f>
        <v/>
      </c>
      <c r="CK251" s="21" t="str">
        <f>IF([1]!BANCO10[[#This Row],[SOLUÇÃO]]=CK$1,[1]!BANCO10[[#This Row],[STATUS DA ETAPA]],"")</f>
        <v/>
      </c>
      <c r="CL251" s="21" t="str">
        <f>IF([1]!BANCO10[[#This Row],[SOLUÇÃO]]=CL$1,[1]!BANCO10[[#This Row],[STATUS DA ETAPA]],"")</f>
        <v/>
      </c>
      <c r="CM251" s="21" t="str">
        <f>IF([1]!BANCO10[[#This Row],[SOLUÇÃO]]=CM$1,[1]!BANCO10[[#This Row],[STATUS DA ETAPA]],"")</f>
        <v/>
      </c>
      <c r="CN251" s="21" t="str">
        <f>IF([1]!BANCO10[[#This Row],[SOLUÇÃO]]=CN$1,[1]!BANCO10[[#This Row],[STATUS DA ETAPA]],"")</f>
        <v/>
      </c>
      <c r="CO251" s="21" t="str">
        <f>IF([1]!BANCO10[[#This Row],[SOLUÇÃO]]=CO$1,[1]!BANCO10[[#This Row],[STATUS DA ETAPA]],"")</f>
        <v/>
      </c>
      <c r="CP251" s="21" t="str">
        <f>IF([1]!BANCO10[[#This Row],[SOLUÇÃO]]=CP$1,[1]!BANCO10[[#This Row],[STATUS DA ETAPA]],"")</f>
        <v/>
      </c>
      <c r="CQ251" s="21" t="str">
        <f>IF([1]!BANCO10[[#This Row],[SOLUÇÃO]]=CQ$1,[1]!BANCO10[[#This Row],[STATUS DA ETAPA]],"")</f>
        <v/>
      </c>
      <c r="CR251" s="21" t="str">
        <f>IF([1]!BANCO10[[#This Row],[SOLUÇÃO]]=CR$1,[1]!BANCO10[[#This Row],[STATUS DA ETAPA]],"")</f>
        <v/>
      </c>
      <c r="CS251" s="21" t="str">
        <f>IF([1]!BANCO10[[#This Row],[SOLUÇÃO]]=CS$1,[1]!BANCO10[[#This Row],[STATUS DA ETAPA]],"")</f>
        <v/>
      </c>
      <c r="CT251" s="21" t="str">
        <f>IF([1]!BANCO10[[#This Row],[SOLUÇÃO]]=CT$1,[1]!BANCO10[[#This Row],[STATUS DA ETAPA]],"")</f>
        <v/>
      </c>
      <c r="CU251" s="21" t="str">
        <f>IF([1]!BANCO10[[#This Row],[SOLUÇÃO]]=CU$1,[1]!BANCO10[[#This Row],[STATUS DA ETAPA]],"")</f>
        <v/>
      </c>
      <c r="CV251" s="21" t="str">
        <f>IF([1]!BANCO10[[#This Row],[SOLUÇÃO]]=CV$1,[1]!BANCO10[[#This Row],[STATUS DA ETAPA]],"")</f>
        <v/>
      </c>
    </row>
    <row r="252" spans="1:100">
      <c r="A252" s="44" t="s">
        <v>1</v>
      </c>
      <c r="B252" s="44"/>
      <c r="C252" s="44" t="s">
        <v>1</v>
      </c>
      <c r="D252" s="44"/>
      <c r="E252" s="44" t="s">
        <v>1</v>
      </c>
      <c r="F252" s="44"/>
      <c r="G252" s="44" t="s">
        <v>1</v>
      </c>
      <c r="H252" s="44"/>
      <c r="I252" s="45" t="s">
        <v>1</v>
      </c>
      <c r="J252" s="46"/>
      <c r="K252" s="45" t="s">
        <v>1</v>
      </c>
      <c r="L252" s="33"/>
      <c r="M252" s="45" t="s">
        <v>1</v>
      </c>
      <c r="N252" s="33"/>
      <c r="O252" s="44" t="s">
        <v>2</v>
      </c>
      <c r="P252" s="44">
        <v>45310</v>
      </c>
      <c r="Q252" s="44" t="s">
        <v>2</v>
      </c>
      <c r="R252" s="44">
        <v>45365</v>
      </c>
      <c r="S252" s="44" t="s">
        <v>2</v>
      </c>
      <c r="T252" s="44">
        <v>45365</v>
      </c>
      <c r="U252" s="44" t="s">
        <v>2</v>
      </c>
      <c r="V252" s="44">
        <v>45365</v>
      </c>
      <c r="W252" s="44"/>
      <c r="X252" s="44"/>
      <c r="Y252" s="44" t="s">
        <v>2</v>
      </c>
      <c r="Z252" s="44">
        <v>45365</v>
      </c>
      <c r="AA252" s="44" t="s">
        <v>1</v>
      </c>
      <c r="AB252" s="44"/>
      <c r="AC252" s="51">
        <v>45538</v>
      </c>
      <c r="AD252" s="50">
        <v>45607</v>
      </c>
      <c r="AE252" s="40" t="s">
        <v>2</v>
      </c>
      <c r="AF252" s="40" t="s">
        <v>2</v>
      </c>
      <c r="AG252" s="76" t="s">
        <v>5</v>
      </c>
      <c r="AH252" s="36" t="s">
        <v>2</v>
      </c>
      <c r="AI252" s="49">
        <v>0</v>
      </c>
      <c r="AJ252" s="36" t="s">
        <v>1</v>
      </c>
      <c r="AK252" s="10" t="s">
        <v>1</v>
      </c>
      <c r="AL252" s="36" t="s">
        <v>1</v>
      </c>
      <c r="AM252" s="36" t="s">
        <v>1</v>
      </c>
      <c r="AN252" s="35" t="s">
        <v>1</v>
      </c>
      <c r="AO252" s="35" t="s">
        <v>1</v>
      </c>
      <c r="AP252" s="35" t="s">
        <v>2</v>
      </c>
      <c r="AQ252" s="35" t="s">
        <v>1</v>
      </c>
      <c r="AR252" s="34" t="s">
        <v>1</v>
      </c>
      <c r="AS252" s="33"/>
      <c r="AT252" s="32" t="s">
        <v>1</v>
      </c>
      <c r="AU252" s="31"/>
      <c r="AV252" s="32" t="s">
        <v>1</v>
      </c>
      <c r="AW252" s="31"/>
      <c r="AX252" s="30" t="s">
        <v>2</v>
      </c>
      <c r="AY252" s="55">
        <v>45607</v>
      </c>
      <c r="AZ252" s="30" t="s">
        <v>2</v>
      </c>
      <c r="BA252" s="55">
        <v>45622</v>
      </c>
      <c r="BB252" s="74" t="s">
        <v>631</v>
      </c>
      <c r="BC252" s="25"/>
      <c r="BD252" s="24"/>
      <c r="BE252" s="24"/>
      <c r="BF252" s="24"/>
      <c r="BG252" s="24"/>
      <c r="BH252" s="130"/>
      <c r="BI252" s="24"/>
      <c r="BJ252" s="24"/>
      <c r="BK252" s="24"/>
      <c r="BL252" s="24">
        <v>45392</v>
      </c>
      <c r="BM252" s="24"/>
      <c r="BN252" s="24" t="s">
        <v>11</v>
      </c>
      <c r="BO252" s="24"/>
      <c r="BP252" s="24" t="s">
        <v>630</v>
      </c>
      <c r="BQ252" s="22">
        <f>YEAR([1]!BANCO10[[#This Row],[DATA INÍCIO]])</f>
        <v>2024</v>
      </c>
      <c r="BR252" s="22">
        <f>MONTH([1]!BANCO10[[#This Row],[DATA INÍCIO]])</f>
        <v>9</v>
      </c>
      <c r="BS252" s="129" t="e">
        <f>CONCATENATE(#REF!,#REF!)</f>
        <v>#REF!</v>
      </c>
      <c r="BT252" s="22"/>
      <c r="BU252" s="21" t="s">
        <v>30</v>
      </c>
      <c r="BV252" s="21" t="str">
        <f>IF([1]!BANCO10[[#This Row],[SOLUÇÃO]]=BV$1,[1]!BANCO10[[#This Row],[STATUS DA ETAPA]],"")</f>
        <v/>
      </c>
      <c r="BW252" s="21" t="str">
        <f>IF([1]!BANCO10[[#This Row],[SOLUÇÃO]]=BW$1,[1]!BANCO10[[#This Row],[STATUS DA ETAPA]],"")</f>
        <v/>
      </c>
      <c r="BX252" s="21" t="str">
        <f>IF([1]!BANCO10[[#This Row],[SOLUÇÃO]]=BX$1,[1]!BANCO10[[#This Row],[STATUS DA ETAPA]],"")</f>
        <v/>
      </c>
      <c r="BY252" s="21" t="str">
        <f>IF([1]!BANCO10[[#This Row],[SOLUÇÃO]]=BY$1,[1]!BANCO10[[#This Row],[STATUS DA ETAPA]],"")</f>
        <v/>
      </c>
      <c r="BZ252" s="21" t="str">
        <f>IF([1]!BANCO10[[#This Row],[SOLUÇÃO]]=BZ$1,[1]!BANCO10[[#This Row],[STATUS DA ETAPA]],"")</f>
        <v/>
      </c>
      <c r="CA252" s="21" t="str">
        <f>IF([1]!BANCO10[[#This Row],[SOLUÇÃO]]=CA$1,[1]!BANCO10[[#This Row],[STATUS DA ETAPA]],"")</f>
        <v/>
      </c>
      <c r="CB252" s="21" t="str">
        <f>IF([1]!BANCO10[[#This Row],[SOLUÇÃO]]=CB$1,[1]!BANCO10[[#This Row],[STATUS DA ETAPA]],"")</f>
        <v/>
      </c>
      <c r="CC252" s="21" t="str">
        <f>IF([1]!BANCO10[[#This Row],[SOLUÇÃO]]=CC$1,[1]!BANCO10[[#This Row],[STATUS DA ETAPA]],"")</f>
        <v/>
      </c>
      <c r="CD252" s="21" t="str">
        <f>IF([1]!BANCO10[[#This Row],[SOLUÇÃO]]=CD$1,[1]!BANCO10[[#This Row],[STATUS DA ETAPA]],"")</f>
        <v/>
      </c>
      <c r="CE252" s="21" t="str">
        <f>IF([1]!BANCO10[[#This Row],[SOLUÇÃO]]=CE$1,[1]!BANCO10[[#This Row],[STATUS DA ETAPA]],"")</f>
        <v/>
      </c>
      <c r="CF252" s="21" t="str">
        <f>IF([1]!BANCO10[[#This Row],[SOLUÇÃO]]=CF$1,[1]!BANCO10[[#This Row],[STATUS DA ETAPA]],"")</f>
        <v/>
      </c>
      <c r="CG252" s="21" t="str">
        <f>IF([1]!BANCO10[[#This Row],[SOLUÇÃO]]=CG$1,[1]!BANCO10[[#This Row],[STATUS DA ETAPA]],"")</f>
        <v/>
      </c>
      <c r="CH252" s="21" t="str">
        <f>IF([1]!BANCO10[[#This Row],[SOLUÇÃO]]=CH$1,[1]!BANCO10[[#This Row],[STATUS DA ETAPA]],"")</f>
        <v/>
      </c>
      <c r="CI252" s="21" t="str">
        <f>IF([1]!BANCO10[[#This Row],[SOLUÇÃO]]=CI$1,[1]!BANCO10[[#This Row],[STATUS DA ETAPA]],"")</f>
        <v/>
      </c>
      <c r="CJ252" s="21" t="str">
        <f>IF([1]!BANCO10[[#This Row],[SOLUÇÃO]]=CJ$1,[1]!BANCO10[[#This Row],[STATUS DA ETAPA]],"")</f>
        <v/>
      </c>
      <c r="CK252" s="21" t="str">
        <f>IF([1]!BANCO10[[#This Row],[SOLUÇÃO]]=CK$1,[1]!BANCO10[[#This Row],[STATUS DA ETAPA]],"")</f>
        <v/>
      </c>
      <c r="CL252" s="21" t="str">
        <f>IF([1]!BANCO10[[#This Row],[SOLUÇÃO]]=CL$1,[1]!BANCO10[[#This Row],[STATUS DA ETAPA]],"")</f>
        <v/>
      </c>
      <c r="CM252" s="21" t="str">
        <f>IF([1]!BANCO10[[#This Row],[SOLUÇÃO]]=CM$1,[1]!BANCO10[[#This Row],[STATUS DA ETAPA]],"")</f>
        <v/>
      </c>
      <c r="CN252" s="21" t="str">
        <f>IF([1]!BANCO10[[#This Row],[SOLUÇÃO]]=CN$1,[1]!BANCO10[[#This Row],[STATUS DA ETAPA]],"")</f>
        <v/>
      </c>
      <c r="CO252" s="21" t="str">
        <f>IF([1]!BANCO10[[#This Row],[SOLUÇÃO]]=CO$1,[1]!BANCO10[[#This Row],[STATUS DA ETAPA]],"")</f>
        <v>CONCLUÍDO</v>
      </c>
      <c r="CP252" s="21" t="str">
        <f>IF([1]!BANCO10[[#This Row],[SOLUÇÃO]]=CP$1,[1]!BANCO10[[#This Row],[STATUS DA ETAPA]],"")</f>
        <v/>
      </c>
      <c r="CQ252" s="21" t="str">
        <f>IF([1]!BANCO10[[#This Row],[SOLUÇÃO]]=CQ$1,[1]!BANCO10[[#This Row],[STATUS DA ETAPA]],"")</f>
        <v/>
      </c>
      <c r="CR252" s="21" t="str">
        <f>IF([1]!BANCO10[[#This Row],[SOLUÇÃO]]=CR$1,[1]!BANCO10[[#This Row],[STATUS DA ETAPA]],"")</f>
        <v/>
      </c>
      <c r="CS252" s="21" t="str">
        <f>IF([1]!BANCO10[[#This Row],[SOLUÇÃO]]=CS$1,[1]!BANCO10[[#This Row],[STATUS DA ETAPA]],"")</f>
        <v/>
      </c>
      <c r="CT252" s="21" t="str">
        <f>IF([1]!BANCO10[[#This Row],[SOLUÇÃO]]=CT$1,[1]!BANCO10[[#This Row],[STATUS DA ETAPA]],"")</f>
        <v/>
      </c>
      <c r="CU252" s="21" t="str">
        <f>IF([1]!BANCO10[[#This Row],[SOLUÇÃO]]=CU$1,[1]!BANCO10[[#This Row],[STATUS DA ETAPA]],"")</f>
        <v/>
      </c>
      <c r="CV252" s="21" t="str">
        <f>IF([1]!BANCO10[[#This Row],[SOLUÇÃO]]=CV$1,[1]!BANCO10[[#This Row],[STATUS DA ETAPA]],"")</f>
        <v/>
      </c>
    </row>
    <row r="253" spans="1:100">
      <c r="A253" s="44" t="s">
        <v>1</v>
      </c>
      <c r="B253" s="44"/>
      <c r="C253" s="44" t="s">
        <v>1</v>
      </c>
      <c r="D253" s="44"/>
      <c r="E253" s="44" t="s">
        <v>1</v>
      </c>
      <c r="F253" s="44"/>
      <c r="G253" s="44" t="s">
        <v>1</v>
      </c>
      <c r="H253" s="44"/>
      <c r="I253" s="45" t="s">
        <v>1</v>
      </c>
      <c r="J253" s="46"/>
      <c r="K253" s="45" t="s">
        <v>1</v>
      </c>
      <c r="L253" s="33"/>
      <c r="M253" s="45" t="s">
        <v>1</v>
      </c>
      <c r="N253" s="33"/>
      <c r="O253" s="44" t="s">
        <v>1</v>
      </c>
      <c r="P253" s="44"/>
      <c r="Q253" s="44" t="s">
        <v>1</v>
      </c>
      <c r="R253" s="44"/>
      <c r="S253" s="44" t="s">
        <v>1</v>
      </c>
      <c r="T253" s="44"/>
      <c r="U253" s="44" t="s">
        <v>2</v>
      </c>
      <c r="V253" s="44">
        <v>45825</v>
      </c>
      <c r="W253" s="44" t="s">
        <v>2</v>
      </c>
      <c r="X253" s="44"/>
      <c r="Y253" s="44" t="s">
        <v>2</v>
      </c>
      <c r="Z253" s="44"/>
      <c r="AA253" s="44" t="s">
        <v>2</v>
      </c>
      <c r="AB253" s="44"/>
      <c r="AC253" s="51">
        <v>45860</v>
      </c>
      <c r="AD253" s="50">
        <v>45909</v>
      </c>
      <c r="AE253" s="68" t="s">
        <v>2</v>
      </c>
      <c r="AF253" s="68" t="s">
        <v>2</v>
      </c>
      <c r="AG253" s="76" t="s">
        <v>4</v>
      </c>
      <c r="AH253" s="36" t="s">
        <v>0</v>
      </c>
      <c r="AI253" s="49">
        <v>0</v>
      </c>
      <c r="AJ253" s="36" t="s">
        <v>6</v>
      </c>
      <c r="AK253" s="10" t="s">
        <v>629</v>
      </c>
      <c r="AL253" s="36">
        <v>0</v>
      </c>
      <c r="AM253" s="36">
        <v>119583</v>
      </c>
      <c r="AN253" s="35" t="s">
        <v>1</v>
      </c>
      <c r="AO253" s="35" t="s">
        <v>1</v>
      </c>
      <c r="AP253" s="35" t="s">
        <v>2</v>
      </c>
      <c r="AQ253" s="35" t="s">
        <v>1</v>
      </c>
      <c r="AR253" s="34" t="s">
        <v>1</v>
      </c>
      <c r="AS253" s="33"/>
      <c r="AT253" s="32" t="s">
        <v>2</v>
      </c>
      <c r="AU253" s="31">
        <v>45910</v>
      </c>
      <c r="AV253" s="32" t="s">
        <v>2</v>
      </c>
      <c r="AW253" s="31">
        <v>45911</v>
      </c>
      <c r="AX253" s="30" t="s">
        <v>2</v>
      </c>
      <c r="AY253" s="29">
        <v>45916</v>
      </c>
      <c r="AZ253" s="28" t="s">
        <v>0</v>
      </c>
      <c r="BA253" s="27"/>
      <c r="BB253" s="39">
        <v>45838</v>
      </c>
      <c r="BC253" s="25" t="s">
        <v>273</v>
      </c>
      <c r="BD253" s="24"/>
      <c r="BE253" s="24"/>
      <c r="BF253" s="24"/>
      <c r="BG253" s="24"/>
      <c r="BH253" s="24"/>
      <c r="BI253" s="24"/>
      <c r="BJ253" s="24"/>
      <c r="BK253" s="24"/>
      <c r="BL253" s="24"/>
      <c r="BM253" s="24"/>
      <c r="BN253" s="24"/>
      <c r="BO253" s="24"/>
      <c r="BP253" s="24"/>
      <c r="BQ253" s="22">
        <f>YEAR([1]!BANCO10[[#This Row],[DATA INÍCIO]])</f>
        <v>2025</v>
      </c>
      <c r="BR253" s="22">
        <f>MONTH([1]!BANCO10[[#This Row],[DATA INÍCIO]])</f>
        <v>7</v>
      </c>
      <c r="BS253" s="23" t="e">
        <f>CONCATENATE(#REF!,#REF!)</f>
        <v>#REF!</v>
      </c>
      <c r="BT253" s="22"/>
      <c r="BU253" s="22"/>
      <c r="BV253" s="21" t="str">
        <f>IF([1]!BANCO10[[#This Row],[SOLUÇÃO]]=BV$1,[1]!BANCO10[[#This Row],[STATUS DA ETAPA]],"")</f>
        <v/>
      </c>
      <c r="BW253" s="21" t="str">
        <f>IF([1]!BANCO10[[#This Row],[SOLUÇÃO]]=BW$1,[1]!BANCO10[[#This Row],[STATUS DA ETAPA]],"")</f>
        <v/>
      </c>
      <c r="BX253" s="21" t="str">
        <f>IF([1]!BANCO10[[#This Row],[SOLUÇÃO]]=BX$1,[1]!BANCO10[[#This Row],[STATUS DA ETAPA]],"")</f>
        <v>CONCLUÍDO</v>
      </c>
      <c r="BY253" s="21" t="str">
        <f>IF([1]!BANCO10[[#This Row],[SOLUÇÃO]]=BY$1,[1]!BANCO10[[#This Row],[STATUS DA ETAPA]],"")</f>
        <v/>
      </c>
      <c r="BZ253" s="21" t="str">
        <f>IF([1]!BANCO10[[#This Row],[SOLUÇÃO]]=BZ$1,[1]!BANCO10[[#This Row],[STATUS DA ETAPA]],"")</f>
        <v/>
      </c>
      <c r="CA253" s="21" t="str">
        <f>IF([1]!BANCO10[[#This Row],[SOLUÇÃO]]=CA$1,[1]!BANCO10[[#This Row],[STATUS DA ETAPA]],"")</f>
        <v/>
      </c>
      <c r="CB253" s="21" t="str">
        <f>IF([1]!BANCO10[[#This Row],[SOLUÇÃO]]=CB$1,[1]!BANCO10[[#This Row],[STATUS DA ETAPA]],"")</f>
        <v/>
      </c>
      <c r="CC253" s="21" t="str">
        <f>IF([1]!BANCO10[[#This Row],[SOLUÇÃO]]=CC$1,[1]!BANCO10[[#This Row],[STATUS DA ETAPA]],"")</f>
        <v/>
      </c>
      <c r="CD253" s="21" t="str">
        <f>IF([1]!BANCO10[[#This Row],[SOLUÇÃO]]=CD$1,[1]!BANCO10[[#This Row],[STATUS DA ETAPA]],"")</f>
        <v/>
      </c>
      <c r="CE253" s="21" t="str">
        <f>IF([1]!BANCO10[[#This Row],[SOLUÇÃO]]=CE$1,[1]!BANCO10[[#This Row],[STATUS DA ETAPA]],"")</f>
        <v/>
      </c>
      <c r="CF253" s="21" t="str">
        <f>IF([1]!BANCO10[[#This Row],[SOLUÇÃO]]=CF$1,[1]!BANCO10[[#This Row],[STATUS DA ETAPA]],"")</f>
        <v/>
      </c>
      <c r="CG253" s="21" t="str">
        <f>IF([1]!BANCO10[[#This Row],[SOLUÇÃO]]=CG$1,[1]!BANCO10[[#This Row],[STATUS DA ETAPA]],"")</f>
        <v/>
      </c>
      <c r="CH253" s="21" t="str">
        <f>IF([1]!BANCO10[[#This Row],[SOLUÇÃO]]=CH$1,[1]!BANCO10[[#This Row],[STATUS DA ETAPA]],"")</f>
        <v/>
      </c>
      <c r="CI253" s="21" t="str">
        <f>IF([1]!BANCO10[[#This Row],[SOLUÇÃO]]=CI$1,[1]!BANCO10[[#This Row],[STATUS DA ETAPA]],"")</f>
        <v/>
      </c>
      <c r="CJ253" s="21" t="str">
        <f>IF([1]!BANCO10[[#This Row],[SOLUÇÃO]]=CJ$1,[1]!BANCO10[[#This Row],[STATUS DA ETAPA]],"")</f>
        <v/>
      </c>
      <c r="CK253" s="21" t="str">
        <f>IF([1]!BANCO10[[#This Row],[SOLUÇÃO]]=CK$1,[1]!BANCO10[[#This Row],[STATUS DA ETAPA]],"")</f>
        <v/>
      </c>
      <c r="CL253" s="21" t="str">
        <f>IF([1]!BANCO10[[#This Row],[SOLUÇÃO]]=CL$1,[1]!BANCO10[[#This Row],[STATUS DA ETAPA]],"")</f>
        <v/>
      </c>
      <c r="CM253" s="21" t="str">
        <f>IF([1]!BANCO10[[#This Row],[SOLUÇÃO]]=CM$1,[1]!BANCO10[[#This Row],[STATUS DA ETAPA]],"")</f>
        <v/>
      </c>
      <c r="CN253" s="21" t="str">
        <f>IF([1]!BANCO10[[#This Row],[SOLUÇÃO]]=CN$1,[1]!BANCO10[[#This Row],[STATUS DA ETAPA]],"")</f>
        <v/>
      </c>
      <c r="CO253" s="21" t="str">
        <f>IF([1]!BANCO10[[#This Row],[SOLUÇÃO]]=CO$1,[1]!BANCO10[[#This Row],[STATUS DA ETAPA]],"")</f>
        <v/>
      </c>
      <c r="CP253" s="21" t="str">
        <f>IF([1]!BANCO10[[#This Row],[SOLUÇÃO]]=CP$1,[1]!BANCO10[[#This Row],[STATUS DA ETAPA]],"")</f>
        <v/>
      </c>
      <c r="CQ253" s="21" t="str">
        <f>IF([1]!BANCO10[[#This Row],[SOLUÇÃO]]=CQ$1,[1]!BANCO10[[#This Row],[STATUS DA ETAPA]],"")</f>
        <v/>
      </c>
      <c r="CR253" s="21" t="str">
        <f>IF([1]!BANCO10[[#This Row],[SOLUÇÃO]]=CR$1,[1]!BANCO10[[#This Row],[STATUS DA ETAPA]],"")</f>
        <v/>
      </c>
      <c r="CS253" s="21" t="str">
        <f>IF([1]!BANCO10[[#This Row],[SOLUÇÃO]]=CS$1,[1]!BANCO10[[#This Row],[STATUS DA ETAPA]],"")</f>
        <v/>
      </c>
      <c r="CT253" s="21" t="str">
        <f>IF([1]!BANCO10[[#This Row],[SOLUÇÃO]]=CT$1,[1]!BANCO10[[#This Row],[STATUS DA ETAPA]],"")</f>
        <v/>
      </c>
      <c r="CU253" s="21" t="str">
        <f>IF([1]!BANCO10[[#This Row],[SOLUÇÃO]]=CU$1,[1]!BANCO10[[#This Row],[STATUS DA ETAPA]],"")</f>
        <v/>
      </c>
      <c r="CV253" s="21" t="str">
        <f>IF([1]!BANCO10[[#This Row],[SOLUÇÃO]]=CV$1,[1]!BANCO10[[#This Row],[STATUS DA ETAPA]],"")</f>
        <v/>
      </c>
    </row>
    <row r="254" spans="1:100">
      <c r="A254" s="44" t="s">
        <v>2</v>
      </c>
      <c r="B254" s="44">
        <v>45713</v>
      </c>
      <c r="C254" s="44" t="s">
        <v>2</v>
      </c>
      <c r="D254" s="44">
        <v>45713</v>
      </c>
      <c r="E254" s="44" t="s">
        <v>2</v>
      </c>
      <c r="F254" s="44">
        <v>45713</v>
      </c>
      <c r="G254" s="44" t="s">
        <v>2</v>
      </c>
      <c r="H254" s="44">
        <v>45713</v>
      </c>
      <c r="I254" s="45" t="s">
        <v>2</v>
      </c>
      <c r="J254" s="46">
        <v>45715</v>
      </c>
      <c r="K254" s="45" t="s">
        <v>2</v>
      </c>
      <c r="L254" s="33">
        <v>45712</v>
      </c>
      <c r="M254" s="45" t="s">
        <v>2</v>
      </c>
      <c r="N254" s="33">
        <v>45713</v>
      </c>
      <c r="O254" s="44" t="s">
        <v>1</v>
      </c>
      <c r="P254" s="44"/>
      <c r="Q254" s="44" t="s">
        <v>1</v>
      </c>
      <c r="R254" s="44"/>
      <c r="S254" s="44" t="s">
        <v>2</v>
      </c>
      <c r="T254" s="44">
        <v>45708</v>
      </c>
      <c r="U254" s="44" t="s">
        <v>1</v>
      </c>
      <c r="V254" s="44"/>
      <c r="W254" s="44" t="s">
        <v>1</v>
      </c>
      <c r="X254" s="44"/>
      <c r="Y254" s="44" t="s">
        <v>1</v>
      </c>
      <c r="Z254" s="44"/>
      <c r="AA254" s="44" t="s">
        <v>1</v>
      </c>
      <c r="AB254" s="44"/>
      <c r="AC254" s="51">
        <v>46022</v>
      </c>
      <c r="AD254" s="50">
        <v>46022</v>
      </c>
      <c r="AE254" s="41" t="s">
        <v>0</v>
      </c>
      <c r="AF254" s="41" t="s">
        <v>0</v>
      </c>
      <c r="AG254" s="40" t="s">
        <v>5</v>
      </c>
      <c r="AH254" s="36" t="s">
        <v>0</v>
      </c>
      <c r="AI254" s="49">
        <v>20140</v>
      </c>
      <c r="AJ254" s="36" t="s">
        <v>3</v>
      </c>
      <c r="AK254" s="21">
        <v>675774</v>
      </c>
      <c r="AL254" s="36" t="s">
        <v>1</v>
      </c>
      <c r="AM254" s="36" t="s">
        <v>1</v>
      </c>
      <c r="AN254" s="35" t="s">
        <v>0</v>
      </c>
      <c r="AO254" s="35" t="s">
        <v>0</v>
      </c>
      <c r="AP254" s="35" t="s">
        <v>0</v>
      </c>
      <c r="AQ254" s="35" t="s">
        <v>0</v>
      </c>
      <c r="AR254" s="34" t="s">
        <v>0</v>
      </c>
      <c r="AS254" s="33"/>
      <c r="AT254" s="32" t="s">
        <v>0</v>
      </c>
      <c r="AU254" s="31"/>
      <c r="AV254" s="32" t="s">
        <v>0</v>
      </c>
      <c r="AW254" s="31"/>
      <c r="AX254" s="32" t="s">
        <v>0</v>
      </c>
      <c r="AY254" s="31"/>
      <c r="AZ254" s="32" t="s">
        <v>0</v>
      </c>
      <c r="BA254" s="31"/>
      <c r="BB254" s="26" t="s">
        <v>7</v>
      </c>
      <c r="BC254" s="156" t="s">
        <v>628</v>
      </c>
      <c r="BD254" s="24"/>
      <c r="BE254" s="24"/>
      <c r="BF254" s="24"/>
      <c r="BG254" s="24"/>
      <c r="BH254" s="24"/>
      <c r="BI254" s="24"/>
      <c r="BJ254" s="24"/>
      <c r="BK254" s="24"/>
      <c r="BL254" s="24"/>
      <c r="BM254" s="24"/>
      <c r="BN254" s="24"/>
      <c r="BO254" s="24"/>
      <c r="BP254" s="24"/>
      <c r="BQ254" s="22">
        <f>YEAR([1]!BANCO10[[#This Row],[DATA INÍCIO]])</f>
        <v>2025</v>
      </c>
      <c r="BR254" s="22">
        <f>MONTH([1]!BANCO10[[#This Row],[DATA INÍCIO]])</f>
        <v>12</v>
      </c>
      <c r="BS254" s="23" t="e">
        <f>CONCATENATE(#REF!,#REF!)</f>
        <v>#REF!</v>
      </c>
      <c r="BT254" s="22"/>
      <c r="BU254" s="22"/>
      <c r="BV254" s="21" t="str">
        <f>IF([1]!BANCO10[[#This Row],[SOLUÇÃO]]=BV$1,[1]!BANCO10[[#This Row],[STATUS DA ETAPA]],"")</f>
        <v/>
      </c>
      <c r="BW254" s="21" t="str">
        <f>IF([1]!BANCO10[[#This Row],[SOLUÇÃO]]=BW$1,[1]!BANCO10[[#This Row],[STATUS DA ETAPA]],"")</f>
        <v/>
      </c>
      <c r="BX254" s="21" t="str">
        <f>IF([1]!BANCO10[[#This Row],[SOLUÇÃO]]=BX$1,[1]!BANCO10[[#This Row],[STATUS DA ETAPA]],"")</f>
        <v/>
      </c>
      <c r="BY254" s="21" t="str">
        <f>IF([1]!BANCO10[[#This Row],[SOLUÇÃO]]=BY$1,[1]!BANCO10[[#This Row],[STATUS DA ETAPA]],"")</f>
        <v/>
      </c>
      <c r="BZ254" s="21" t="str">
        <f>IF([1]!BANCO10[[#This Row],[SOLUÇÃO]]=BZ$1,[1]!BANCO10[[#This Row],[STATUS DA ETAPA]],"")</f>
        <v/>
      </c>
      <c r="CA254" s="21" t="str">
        <f>IF([1]!BANCO10[[#This Row],[SOLUÇÃO]]=CA$1,[1]!BANCO10[[#This Row],[STATUS DA ETAPA]],"")</f>
        <v/>
      </c>
      <c r="CB254" s="21" t="str">
        <f>IF([1]!BANCO10[[#This Row],[SOLUÇÃO]]=CB$1,[1]!BANCO10[[#This Row],[STATUS DA ETAPA]],"")</f>
        <v>AGUARDANDO SALDO</v>
      </c>
      <c r="CC254" s="21" t="str">
        <f>IF([1]!BANCO10[[#This Row],[SOLUÇÃO]]=CC$1,[1]!BANCO10[[#This Row],[STATUS DA ETAPA]],"")</f>
        <v/>
      </c>
      <c r="CD254" s="21" t="str">
        <f>IF([1]!BANCO10[[#This Row],[SOLUÇÃO]]=CD$1,[1]!BANCO10[[#This Row],[STATUS DA ETAPA]],"")</f>
        <v/>
      </c>
      <c r="CE254" s="21" t="str">
        <f>IF([1]!BANCO10[[#This Row],[SOLUÇÃO]]=CE$1,[1]!BANCO10[[#This Row],[STATUS DA ETAPA]],"")</f>
        <v/>
      </c>
      <c r="CF254" s="21" t="str">
        <f>IF([1]!BANCO10[[#This Row],[SOLUÇÃO]]=CF$1,[1]!BANCO10[[#This Row],[STATUS DA ETAPA]],"")</f>
        <v/>
      </c>
      <c r="CG254" s="21" t="str">
        <f>IF([1]!BANCO10[[#This Row],[SOLUÇÃO]]=CG$1,[1]!BANCO10[[#This Row],[STATUS DA ETAPA]],"")</f>
        <v/>
      </c>
      <c r="CH254" s="21" t="str">
        <f>IF([1]!BANCO10[[#This Row],[SOLUÇÃO]]=CH$1,[1]!BANCO10[[#This Row],[STATUS DA ETAPA]],"")</f>
        <v/>
      </c>
      <c r="CI254" s="21" t="str">
        <f>IF([1]!BANCO10[[#This Row],[SOLUÇÃO]]=CI$1,[1]!BANCO10[[#This Row],[STATUS DA ETAPA]],"")</f>
        <v/>
      </c>
      <c r="CJ254" s="21" t="str">
        <f>IF([1]!BANCO10[[#This Row],[SOLUÇÃO]]=CJ$1,[1]!BANCO10[[#This Row],[STATUS DA ETAPA]],"")</f>
        <v/>
      </c>
      <c r="CK254" s="21" t="str">
        <f>IF([1]!BANCO10[[#This Row],[SOLUÇÃO]]=CK$1,[1]!BANCO10[[#This Row],[STATUS DA ETAPA]],"")</f>
        <v/>
      </c>
      <c r="CL254" s="21" t="str">
        <f>IF([1]!BANCO10[[#This Row],[SOLUÇÃO]]=CL$1,[1]!BANCO10[[#This Row],[STATUS DA ETAPA]],"")</f>
        <v/>
      </c>
      <c r="CM254" s="21" t="str">
        <f>IF([1]!BANCO10[[#This Row],[SOLUÇÃO]]=CM$1,[1]!BANCO10[[#This Row],[STATUS DA ETAPA]],"")</f>
        <v/>
      </c>
      <c r="CN254" s="21" t="str">
        <f>IF([1]!BANCO10[[#This Row],[SOLUÇÃO]]=CN$1,[1]!BANCO10[[#This Row],[STATUS DA ETAPA]],"")</f>
        <v/>
      </c>
      <c r="CO254" s="21" t="str">
        <f>IF([1]!BANCO10[[#This Row],[SOLUÇÃO]]=CO$1,[1]!BANCO10[[#This Row],[STATUS DA ETAPA]],"")</f>
        <v/>
      </c>
      <c r="CP254" s="21" t="str">
        <f>IF([1]!BANCO10[[#This Row],[SOLUÇÃO]]=CP$1,[1]!BANCO10[[#This Row],[STATUS DA ETAPA]],"")</f>
        <v/>
      </c>
      <c r="CQ254" s="21" t="str">
        <f>IF([1]!BANCO10[[#This Row],[SOLUÇÃO]]=CQ$1,[1]!BANCO10[[#This Row],[STATUS DA ETAPA]],"")</f>
        <v/>
      </c>
      <c r="CR254" s="21" t="str">
        <f>IF([1]!BANCO10[[#This Row],[SOLUÇÃO]]=CR$1,[1]!BANCO10[[#This Row],[STATUS DA ETAPA]],"")</f>
        <v/>
      </c>
      <c r="CS254" s="21" t="str">
        <f>IF([1]!BANCO10[[#This Row],[SOLUÇÃO]]=CS$1,[1]!BANCO10[[#This Row],[STATUS DA ETAPA]],"")</f>
        <v/>
      </c>
      <c r="CT254" s="21" t="str">
        <f>IF([1]!BANCO10[[#This Row],[SOLUÇÃO]]=CT$1,[1]!BANCO10[[#This Row],[STATUS DA ETAPA]],"")</f>
        <v/>
      </c>
      <c r="CU254" s="21" t="str">
        <f>IF([1]!BANCO10[[#This Row],[SOLUÇÃO]]=CU$1,[1]!BANCO10[[#This Row],[STATUS DA ETAPA]],"")</f>
        <v/>
      </c>
      <c r="CV254" s="21" t="str">
        <f>IF([1]!BANCO10[[#This Row],[SOLUÇÃO]]=CV$1,[1]!BANCO10[[#This Row],[STATUS DA ETAPA]],"")</f>
        <v/>
      </c>
    </row>
    <row r="255" spans="1:100">
      <c r="A255" s="44" t="s">
        <v>1</v>
      </c>
      <c r="B255" s="44"/>
      <c r="C255" s="44" t="s">
        <v>1</v>
      </c>
      <c r="D255" s="44"/>
      <c r="E255" s="44" t="s">
        <v>1</v>
      </c>
      <c r="F255" s="44"/>
      <c r="G255" s="44" t="s">
        <v>1</v>
      </c>
      <c r="H255" s="44"/>
      <c r="I255" s="45" t="s">
        <v>1</v>
      </c>
      <c r="J255" s="46"/>
      <c r="K255" s="45" t="s">
        <v>1</v>
      </c>
      <c r="L255" s="33"/>
      <c r="M255" s="45" t="s">
        <v>1</v>
      </c>
      <c r="N255" s="33"/>
      <c r="O255" s="44" t="s">
        <v>1</v>
      </c>
      <c r="P255" s="44"/>
      <c r="Q255" s="44" t="s">
        <v>1</v>
      </c>
      <c r="R255" s="44"/>
      <c r="S255" s="44"/>
      <c r="T255" s="44"/>
      <c r="U255" s="44"/>
      <c r="V255" s="44"/>
      <c r="W255" s="44"/>
      <c r="X255" s="44"/>
      <c r="Y255" s="44"/>
      <c r="Z255" s="44"/>
      <c r="AA255" s="44"/>
      <c r="AB255" s="44"/>
      <c r="AC255" s="51">
        <v>45877</v>
      </c>
      <c r="AD255" s="50">
        <v>45926</v>
      </c>
      <c r="AE255" s="68" t="s">
        <v>2</v>
      </c>
      <c r="AF255" s="68" t="s">
        <v>2</v>
      </c>
      <c r="AG255" s="76" t="s">
        <v>5</v>
      </c>
      <c r="AH255" s="36" t="s">
        <v>0</v>
      </c>
      <c r="AI255" s="49">
        <v>0</v>
      </c>
      <c r="AJ255" s="36" t="s">
        <v>6</v>
      </c>
      <c r="AK255" s="10" t="s">
        <v>627</v>
      </c>
      <c r="AL255" s="36">
        <v>4742</v>
      </c>
      <c r="AM255" s="36">
        <v>119858</v>
      </c>
      <c r="AN255" s="35" t="s">
        <v>1</v>
      </c>
      <c r="AO255" s="35" t="s">
        <v>1</v>
      </c>
      <c r="AP255" s="35" t="s">
        <v>1</v>
      </c>
      <c r="AQ255" s="35" t="s">
        <v>1</v>
      </c>
      <c r="AR255" s="34" t="s">
        <v>1</v>
      </c>
      <c r="AS255" s="33"/>
      <c r="AT255" s="30" t="s">
        <v>0</v>
      </c>
      <c r="AU255" s="31"/>
      <c r="AV255" s="32" t="s">
        <v>0</v>
      </c>
      <c r="AW255" s="31"/>
      <c r="AX255" s="30" t="s">
        <v>0</v>
      </c>
      <c r="AY255" s="29"/>
      <c r="AZ255" s="28" t="s">
        <v>0</v>
      </c>
      <c r="BA255" s="27"/>
      <c r="BB255" s="39"/>
      <c r="BC255" s="25" t="s">
        <v>314</v>
      </c>
      <c r="BD255" s="24"/>
      <c r="BE255" s="24"/>
      <c r="BF255" s="24"/>
      <c r="BG255" s="24"/>
      <c r="BH255" s="24"/>
      <c r="BI255" s="24"/>
      <c r="BJ255" s="24"/>
      <c r="BK255" s="24"/>
      <c r="BL255" s="24"/>
      <c r="BM255" s="24"/>
      <c r="BN255" s="24"/>
      <c r="BO255" s="24"/>
      <c r="BP255" s="24"/>
      <c r="BQ255" s="22">
        <f>YEAR([1]!BANCO10[[#This Row],[DATA INÍCIO]])</f>
        <v>2025</v>
      </c>
      <c r="BR255" s="22">
        <f>MONTH([1]!BANCO10[[#This Row],[DATA INÍCIO]])</f>
        <v>8</v>
      </c>
      <c r="BS255" s="23" t="e">
        <f>CONCATENATE(#REF!,#REF!)</f>
        <v>#REF!</v>
      </c>
      <c r="BT255" s="22"/>
      <c r="BU255" s="22"/>
      <c r="BV255" s="21" t="str">
        <f>IF([1]!BANCO10[[#This Row],[SOLUÇÃO]]=BV$1,[1]!BANCO10[[#This Row],[STATUS DA ETAPA]],"")</f>
        <v/>
      </c>
      <c r="BW255" s="21" t="str">
        <f>IF([1]!BANCO10[[#This Row],[SOLUÇÃO]]=BW$1,[1]!BANCO10[[#This Row],[STATUS DA ETAPA]],"")</f>
        <v/>
      </c>
      <c r="BX255" s="21" t="str">
        <f>IF([1]!BANCO10[[#This Row],[SOLUÇÃO]]=BX$1,[1]!BANCO10[[#This Row],[STATUS DA ETAPA]],"")</f>
        <v/>
      </c>
      <c r="BY255" s="21" t="str">
        <f>IF([1]!BANCO10[[#This Row],[SOLUÇÃO]]=BY$1,[1]!BANCO10[[#This Row],[STATUS DA ETAPA]],"")</f>
        <v/>
      </c>
      <c r="BZ255" s="21" t="str">
        <f>IF([1]!BANCO10[[#This Row],[SOLUÇÃO]]=BZ$1,[1]!BANCO10[[#This Row],[STATUS DA ETAPA]],"")</f>
        <v/>
      </c>
      <c r="CA255" s="21" t="str">
        <f>IF([1]!BANCO10[[#This Row],[SOLUÇÃO]]=CA$1,[1]!BANCO10[[#This Row],[STATUS DA ETAPA]],"")</f>
        <v/>
      </c>
      <c r="CB255" s="21" t="str">
        <f>IF([1]!BANCO10[[#This Row],[SOLUÇÃO]]=CB$1,[1]!BANCO10[[#This Row],[STATUS DA ETAPA]],"")</f>
        <v/>
      </c>
      <c r="CC255" s="21" t="str">
        <f>IF([1]!BANCO10[[#This Row],[SOLUÇÃO]]=CC$1,[1]!BANCO10[[#This Row],[STATUS DA ETAPA]],"")</f>
        <v/>
      </c>
      <c r="CD255" s="21" t="str">
        <f>IF([1]!BANCO10[[#This Row],[SOLUÇÃO]]=CD$1,[1]!BANCO10[[#This Row],[STATUS DA ETAPA]],"")</f>
        <v/>
      </c>
      <c r="CE255" s="21" t="str">
        <f>IF([1]!BANCO10[[#This Row],[SOLUÇÃO]]=CE$1,[1]!BANCO10[[#This Row],[STATUS DA ETAPA]],"")</f>
        <v/>
      </c>
      <c r="CF255" s="21" t="str">
        <f>IF([1]!BANCO10[[#This Row],[SOLUÇÃO]]=CF$1,[1]!BANCO10[[#This Row],[STATUS DA ETAPA]],"")</f>
        <v/>
      </c>
      <c r="CG255" s="21" t="str">
        <f>IF([1]!BANCO10[[#This Row],[SOLUÇÃO]]=CG$1,[1]!BANCO10[[#This Row],[STATUS DA ETAPA]],"")</f>
        <v/>
      </c>
      <c r="CH255" s="21" t="str">
        <f>IF([1]!BANCO10[[#This Row],[SOLUÇÃO]]=CH$1,[1]!BANCO10[[#This Row],[STATUS DA ETAPA]],"")</f>
        <v/>
      </c>
      <c r="CI255" s="21" t="str">
        <f>IF([1]!BANCO10[[#This Row],[SOLUÇÃO]]=CI$1,[1]!BANCO10[[#This Row],[STATUS DA ETAPA]],"")</f>
        <v/>
      </c>
      <c r="CJ255" s="21" t="str">
        <f>IF([1]!BANCO10[[#This Row],[SOLUÇÃO]]=CJ$1,[1]!BANCO10[[#This Row],[STATUS DA ETAPA]],"")</f>
        <v/>
      </c>
      <c r="CK255" s="21" t="str">
        <f>IF([1]!BANCO10[[#This Row],[SOLUÇÃO]]=CK$1,[1]!BANCO10[[#This Row],[STATUS DA ETAPA]],"")</f>
        <v/>
      </c>
      <c r="CL255" s="21" t="str">
        <f>IF([1]!BANCO10[[#This Row],[SOLUÇÃO]]=CL$1,[1]!BANCO10[[#This Row],[STATUS DA ETAPA]],"")</f>
        <v>CONCLUÍDO</v>
      </c>
      <c r="CM255" s="21" t="str">
        <f>IF([1]!BANCO10[[#This Row],[SOLUÇÃO]]=CM$1,[1]!BANCO10[[#This Row],[STATUS DA ETAPA]],"")</f>
        <v/>
      </c>
      <c r="CN255" s="21" t="str">
        <f>IF([1]!BANCO10[[#This Row],[SOLUÇÃO]]=CN$1,[1]!BANCO10[[#This Row],[STATUS DA ETAPA]],"")</f>
        <v/>
      </c>
      <c r="CO255" s="21" t="str">
        <f>IF([1]!BANCO10[[#This Row],[SOLUÇÃO]]=CO$1,[1]!BANCO10[[#This Row],[STATUS DA ETAPA]],"")</f>
        <v/>
      </c>
      <c r="CP255" s="21" t="str">
        <f>IF([1]!BANCO10[[#This Row],[SOLUÇÃO]]=CP$1,[1]!BANCO10[[#This Row],[STATUS DA ETAPA]],"")</f>
        <v/>
      </c>
      <c r="CQ255" s="21" t="str">
        <f>IF([1]!BANCO10[[#This Row],[SOLUÇÃO]]=CQ$1,[1]!BANCO10[[#This Row],[STATUS DA ETAPA]],"")</f>
        <v/>
      </c>
      <c r="CR255" s="21" t="str">
        <f>IF([1]!BANCO10[[#This Row],[SOLUÇÃO]]=CR$1,[1]!BANCO10[[#This Row],[STATUS DA ETAPA]],"")</f>
        <v/>
      </c>
      <c r="CS255" s="21" t="str">
        <f>IF([1]!BANCO10[[#This Row],[SOLUÇÃO]]=CS$1,[1]!BANCO10[[#This Row],[STATUS DA ETAPA]],"")</f>
        <v/>
      </c>
      <c r="CT255" s="21" t="str">
        <f>IF([1]!BANCO10[[#This Row],[SOLUÇÃO]]=CT$1,[1]!BANCO10[[#This Row],[STATUS DA ETAPA]],"")</f>
        <v/>
      </c>
      <c r="CU255" s="21" t="str">
        <f>IF([1]!BANCO10[[#This Row],[SOLUÇÃO]]=CU$1,[1]!BANCO10[[#This Row],[STATUS DA ETAPA]],"")</f>
        <v/>
      </c>
      <c r="CV255" s="21" t="str">
        <f>IF([1]!BANCO10[[#This Row],[SOLUÇÃO]]=CV$1,[1]!BANCO10[[#This Row],[STATUS DA ETAPA]],"")</f>
        <v/>
      </c>
    </row>
    <row r="256" spans="1:100">
      <c r="A256" s="44" t="s">
        <v>1</v>
      </c>
      <c r="B256" s="44"/>
      <c r="C256" s="44" t="s">
        <v>1</v>
      </c>
      <c r="D256" s="44"/>
      <c r="E256" s="44" t="s">
        <v>1</v>
      </c>
      <c r="F256" s="44"/>
      <c r="G256" s="44" t="s">
        <v>1</v>
      </c>
      <c r="H256" s="44"/>
      <c r="I256" s="45" t="s">
        <v>1</v>
      </c>
      <c r="J256" s="46"/>
      <c r="K256" s="45" t="s">
        <v>0</v>
      </c>
      <c r="L256" s="33"/>
      <c r="M256" s="45" t="s">
        <v>0</v>
      </c>
      <c r="N256" s="33"/>
      <c r="O256" s="44"/>
      <c r="P256" s="44"/>
      <c r="Q256" s="44" t="s">
        <v>2</v>
      </c>
      <c r="R256" s="44">
        <v>45694</v>
      </c>
      <c r="S256" s="44" t="s">
        <v>1</v>
      </c>
      <c r="T256" s="44"/>
      <c r="U256" s="44" t="s">
        <v>1</v>
      </c>
      <c r="V256" s="44"/>
      <c r="W256" s="44"/>
      <c r="X256" s="44"/>
      <c r="Y256" s="44"/>
      <c r="Z256" s="44"/>
      <c r="AA256" s="44"/>
      <c r="AB256" s="44"/>
      <c r="AC256" s="51">
        <v>45963</v>
      </c>
      <c r="AD256" s="50">
        <v>45963</v>
      </c>
      <c r="AE256" s="41" t="s">
        <v>1</v>
      </c>
      <c r="AF256" s="41" t="s">
        <v>1</v>
      </c>
      <c r="AG256" s="40" t="s">
        <v>5</v>
      </c>
      <c r="AH256" s="36" t="s">
        <v>1</v>
      </c>
      <c r="AI256" s="49">
        <v>0</v>
      </c>
      <c r="AJ256" s="36" t="s">
        <v>1</v>
      </c>
      <c r="AK256" s="9" t="s">
        <v>1</v>
      </c>
      <c r="AL256" s="36" t="s">
        <v>1</v>
      </c>
      <c r="AM256" s="36" t="s">
        <v>1</v>
      </c>
      <c r="AN256" s="35" t="s">
        <v>1</v>
      </c>
      <c r="AO256" s="35" t="s">
        <v>1</v>
      </c>
      <c r="AP256" s="35" t="s">
        <v>1</v>
      </c>
      <c r="AQ256" s="35" t="s">
        <v>1</v>
      </c>
      <c r="AR256" s="34" t="s">
        <v>1</v>
      </c>
      <c r="AS256" s="63"/>
      <c r="AT256" s="32" t="s">
        <v>1</v>
      </c>
      <c r="AU256" s="31"/>
      <c r="AV256" s="32" t="s">
        <v>1</v>
      </c>
      <c r="AW256" s="31"/>
      <c r="AX256" s="32" t="s">
        <v>1</v>
      </c>
      <c r="AY256" s="31"/>
      <c r="AZ256" s="32" t="s">
        <v>1</v>
      </c>
      <c r="BA256" s="31"/>
      <c r="BB256" s="26"/>
      <c r="BC256" s="25"/>
      <c r="BD256" s="24"/>
      <c r="BE256" s="24"/>
      <c r="BF256" s="24"/>
      <c r="BG256" s="24"/>
      <c r="BH256" s="24"/>
      <c r="BI256" s="24"/>
      <c r="BJ256" s="24"/>
      <c r="BK256" s="24"/>
      <c r="BL256" s="24"/>
      <c r="BM256" s="24"/>
      <c r="BN256" s="24"/>
      <c r="BO256" s="24"/>
      <c r="BP256" s="24"/>
      <c r="BQ256" s="22">
        <f>YEAR([1]!BANCO10[[#This Row],[DATA INÍCIO]])</f>
        <v>2025</v>
      </c>
      <c r="BR256" s="22">
        <f>MONTH([1]!BANCO10[[#This Row],[DATA INÍCIO]])</f>
        <v>11</v>
      </c>
      <c r="BS256" s="23" t="e">
        <f>CONCATENATE(#REF!,#REF!)</f>
        <v>#REF!</v>
      </c>
      <c r="BT256" s="22"/>
      <c r="BU256" s="22"/>
      <c r="BV256" s="21" t="str">
        <f>IF([1]!BANCO10[[#This Row],[SOLUÇÃO]]=BV$1,[1]!BANCO10[[#This Row],[STATUS DA ETAPA]],"")</f>
        <v/>
      </c>
      <c r="BW256" s="21" t="str">
        <f>IF([1]!BANCO10[[#This Row],[SOLUÇÃO]]=BW$1,[1]!BANCO10[[#This Row],[STATUS DA ETAPA]],"")</f>
        <v/>
      </c>
      <c r="BX256" s="21" t="str">
        <f>IF([1]!BANCO10[[#This Row],[SOLUÇÃO]]=BX$1,[1]!BANCO10[[#This Row],[STATUS DA ETAPA]],"")</f>
        <v/>
      </c>
      <c r="BY256" s="21" t="str">
        <f>IF([1]!BANCO10[[#This Row],[SOLUÇÃO]]=BY$1,[1]!BANCO10[[#This Row],[STATUS DA ETAPA]],"")</f>
        <v/>
      </c>
      <c r="BZ256" s="21" t="str">
        <f>IF([1]!BANCO10[[#This Row],[SOLUÇÃO]]=BZ$1,[1]!BANCO10[[#This Row],[STATUS DA ETAPA]],"")</f>
        <v/>
      </c>
      <c r="CA256" s="21" t="str">
        <f>IF([1]!BANCO10[[#This Row],[SOLUÇÃO]]=CA$1,[1]!BANCO10[[#This Row],[STATUS DA ETAPA]],"")</f>
        <v/>
      </c>
      <c r="CB256" s="21" t="str">
        <f>IF([1]!BANCO10[[#This Row],[SOLUÇÃO]]=CB$1,[1]!BANCO10[[#This Row],[STATUS DA ETAPA]],"")</f>
        <v>CANCELADO</v>
      </c>
      <c r="CC256" s="21" t="str">
        <f>IF([1]!BANCO10[[#This Row],[SOLUÇÃO]]=CC$1,[1]!BANCO10[[#This Row],[STATUS DA ETAPA]],"")</f>
        <v/>
      </c>
      <c r="CD256" s="21" t="str">
        <f>IF([1]!BANCO10[[#This Row],[SOLUÇÃO]]=CD$1,[1]!BANCO10[[#This Row],[STATUS DA ETAPA]],"")</f>
        <v/>
      </c>
      <c r="CE256" s="21" t="str">
        <f>IF([1]!BANCO10[[#This Row],[SOLUÇÃO]]=CE$1,[1]!BANCO10[[#This Row],[STATUS DA ETAPA]],"")</f>
        <v/>
      </c>
      <c r="CF256" s="21" t="str">
        <f>IF([1]!BANCO10[[#This Row],[SOLUÇÃO]]=CF$1,[1]!BANCO10[[#This Row],[STATUS DA ETAPA]],"")</f>
        <v/>
      </c>
      <c r="CG256" s="21" t="str">
        <f>IF([1]!BANCO10[[#This Row],[SOLUÇÃO]]=CG$1,[1]!BANCO10[[#This Row],[STATUS DA ETAPA]],"")</f>
        <v/>
      </c>
      <c r="CH256" s="21" t="str">
        <f>IF([1]!BANCO10[[#This Row],[SOLUÇÃO]]=CH$1,[1]!BANCO10[[#This Row],[STATUS DA ETAPA]],"")</f>
        <v/>
      </c>
      <c r="CI256" s="21" t="str">
        <f>IF([1]!BANCO10[[#This Row],[SOLUÇÃO]]=CI$1,[1]!BANCO10[[#This Row],[STATUS DA ETAPA]],"")</f>
        <v/>
      </c>
      <c r="CJ256" s="21" t="str">
        <f>IF([1]!BANCO10[[#This Row],[SOLUÇÃO]]=CJ$1,[1]!BANCO10[[#This Row],[STATUS DA ETAPA]],"")</f>
        <v/>
      </c>
      <c r="CK256" s="21" t="str">
        <f>IF([1]!BANCO10[[#This Row],[SOLUÇÃO]]=CK$1,[1]!BANCO10[[#This Row],[STATUS DA ETAPA]],"")</f>
        <v/>
      </c>
      <c r="CL256" s="21" t="str">
        <f>IF([1]!BANCO10[[#This Row],[SOLUÇÃO]]=CL$1,[1]!BANCO10[[#This Row],[STATUS DA ETAPA]],"")</f>
        <v/>
      </c>
      <c r="CM256" s="21" t="str">
        <f>IF([1]!BANCO10[[#This Row],[SOLUÇÃO]]=CM$1,[1]!BANCO10[[#This Row],[STATUS DA ETAPA]],"")</f>
        <v/>
      </c>
      <c r="CN256" s="21" t="str">
        <f>IF([1]!BANCO10[[#This Row],[SOLUÇÃO]]=CN$1,[1]!BANCO10[[#This Row],[STATUS DA ETAPA]],"")</f>
        <v/>
      </c>
      <c r="CO256" s="21" t="str">
        <f>IF([1]!BANCO10[[#This Row],[SOLUÇÃO]]=CO$1,[1]!BANCO10[[#This Row],[STATUS DA ETAPA]],"")</f>
        <v/>
      </c>
      <c r="CP256" s="21" t="str">
        <f>IF([1]!BANCO10[[#This Row],[SOLUÇÃO]]=CP$1,[1]!BANCO10[[#This Row],[STATUS DA ETAPA]],"")</f>
        <v/>
      </c>
      <c r="CQ256" s="21" t="str">
        <f>IF([1]!BANCO10[[#This Row],[SOLUÇÃO]]=CQ$1,[1]!BANCO10[[#This Row],[STATUS DA ETAPA]],"")</f>
        <v/>
      </c>
      <c r="CR256" s="21" t="str">
        <f>IF([1]!BANCO10[[#This Row],[SOLUÇÃO]]=CR$1,[1]!BANCO10[[#This Row],[STATUS DA ETAPA]],"")</f>
        <v/>
      </c>
      <c r="CS256" s="21" t="str">
        <f>IF([1]!BANCO10[[#This Row],[SOLUÇÃO]]=CS$1,[1]!BANCO10[[#This Row],[STATUS DA ETAPA]],"")</f>
        <v/>
      </c>
      <c r="CT256" s="21" t="str">
        <f>IF([1]!BANCO10[[#This Row],[SOLUÇÃO]]=CT$1,[1]!BANCO10[[#This Row],[STATUS DA ETAPA]],"")</f>
        <v/>
      </c>
      <c r="CU256" s="21" t="str">
        <f>IF([1]!BANCO10[[#This Row],[SOLUÇÃO]]=CU$1,[1]!BANCO10[[#This Row],[STATUS DA ETAPA]],"")</f>
        <v/>
      </c>
      <c r="CV256" s="21" t="str">
        <f>IF([1]!BANCO10[[#This Row],[SOLUÇÃO]]=CV$1,[1]!BANCO10[[#This Row],[STATUS DA ETAPA]],"")</f>
        <v/>
      </c>
    </row>
    <row r="257" spans="1:100">
      <c r="A257" s="44" t="s">
        <v>1</v>
      </c>
      <c r="B257" s="44"/>
      <c r="C257" s="44" t="s">
        <v>1</v>
      </c>
      <c r="D257" s="44"/>
      <c r="E257" s="44" t="s">
        <v>1</v>
      </c>
      <c r="F257" s="44"/>
      <c r="G257" s="44" t="s">
        <v>1</v>
      </c>
      <c r="H257" s="44"/>
      <c r="I257" s="45" t="s">
        <v>1</v>
      </c>
      <c r="J257" s="46"/>
      <c r="K257" s="45" t="s">
        <v>1</v>
      </c>
      <c r="L257" s="33"/>
      <c r="M257" s="45" t="s">
        <v>1</v>
      </c>
      <c r="N257" s="33"/>
      <c r="O257" s="44" t="s">
        <v>2</v>
      </c>
      <c r="P257" s="44">
        <v>44927</v>
      </c>
      <c r="Q257" s="44"/>
      <c r="R257" s="44"/>
      <c r="S257" s="44"/>
      <c r="T257" s="44"/>
      <c r="U257" s="44" t="s">
        <v>1</v>
      </c>
      <c r="V257" s="44"/>
      <c r="W257" s="44" t="s">
        <v>1</v>
      </c>
      <c r="X257" s="44"/>
      <c r="Y257" s="44" t="s">
        <v>1</v>
      </c>
      <c r="Z257" s="44"/>
      <c r="AA257" s="44" t="s">
        <v>1</v>
      </c>
      <c r="AB257" s="44"/>
      <c r="AC257" s="51">
        <v>45260</v>
      </c>
      <c r="AD257" s="50">
        <v>45362</v>
      </c>
      <c r="AE257" s="40" t="s">
        <v>2</v>
      </c>
      <c r="AF257" s="40" t="s">
        <v>2</v>
      </c>
      <c r="AG257" s="76" t="s">
        <v>5</v>
      </c>
      <c r="AH257" s="36" t="s">
        <v>2</v>
      </c>
      <c r="AI257" s="49">
        <v>0</v>
      </c>
      <c r="AJ257" s="36" t="s">
        <v>1</v>
      </c>
      <c r="AK257" s="10" t="s">
        <v>1</v>
      </c>
      <c r="AL257" s="36" t="s">
        <v>1</v>
      </c>
      <c r="AM257" s="36" t="s">
        <v>1</v>
      </c>
      <c r="AN257" s="35" t="s">
        <v>1</v>
      </c>
      <c r="AO257" s="35" t="s">
        <v>1</v>
      </c>
      <c r="AP257" s="35" t="s">
        <v>2</v>
      </c>
      <c r="AQ257" s="35" t="s">
        <v>1</v>
      </c>
      <c r="AR257" s="34" t="s">
        <v>1</v>
      </c>
      <c r="AS257" s="33"/>
      <c r="AT257" s="32" t="s">
        <v>1</v>
      </c>
      <c r="AU257" s="31"/>
      <c r="AV257" s="32" t="s">
        <v>1</v>
      </c>
      <c r="AW257" s="31"/>
      <c r="AX257" s="30" t="s">
        <v>2</v>
      </c>
      <c r="AY257" s="55">
        <v>45362</v>
      </c>
      <c r="AZ257" s="30" t="s">
        <v>2</v>
      </c>
      <c r="BA257" s="55">
        <v>45362</v>
      </c>
      <c r="BB257" s="74" t="s">
        <v>34</v>
      </c>
      <c r="BC257" s="25"/>
      <c r="BD257" s="24" t="s">
        <v>11</v>
      </c>
      <c r="BE257" s="24" t="s">
        <v>11</v>
      </c>
      <c r="BF257" s="24" t="s">
        <v>11</v>
      </c>
      <c r="BG257" s="24" t="s">
        <v>11</v>
      </c>
      <c r="BH257" s="130" t="s">
        <v>11</v>
      </c>
      <c r="BI257" s="24"/>
      <c r="BJ257" s="24" t="s">
        <v>11</v>
      </c>
      <c r="BK257" s="24" t="s">
        <v>11</v>
      </c>
      <c r="BL257" s="24">
        <v>45391</v>
      </c>
      <c r="BM257" s="24" t="s">
        <v>11</v>
      </c>
      <c r="BN257" s="24" t="s">
        <v>11</v>
      </c>
      <c r="BO257" s="24"/>
      <c r="BP257" s="24" t="s">
        <v>188</v>
      </c>
      <c r="BQ257" s="22">
        <f>YEAR([1]!BANCO10[[#This Row],[DATA INÍCIO]])</f>
        <v>2023</v>
      </c>
      <c r="BR257" s="22">
        <f>MONTH([1]!BANCO10[[#This Row],[DATA INÍCIO]])</f>
        <v>11</v>
      </c>
      <c r="BS257" s="129" t="e">
        <f>CONCATENATE(#REF!,#REF!)</f>
        <v>#REF!</v>
      </c>
      <c r="BT257" s="22"/>
      <c r="BU257" s="21" t="s">
        <v>626</v>
      </c>
      <c r="BV257" s="21" t="str">
        <f>IF([1]!BANCO10[[#This Row],[SOLUÇÃO]]=BV$1,[1]!BANCO10[[#This Row],[STATUS DA ETAPA]],"")</f>
        <v/>
      </c>
      <c r="BW257" s="21" t="str">
        <f>IF([1]!BANCO10[[#This Row],[SOLUÇÃO]]=BW$1,[1]!BANCO10[[#This Row],[STATUS DA ETAPA]],"")</f>
        <v/>
      </c>
      <c r="BX257" s="21" t="str">
        <f>IF([1]!BANCO10[[#This Row],[SOLUÇÃO]]=BX$1,[1]!BANCO10[[#This Row],[STATUS DA ETAPA]],"")</f>
        <v/>
      </c>
      <c r="BY257" s="21" t="str">
        <f>IF([1]!BANCO10[[#This Row],[SOLUÇÃO]]=BY$1,[1]!BANCO10[[#This Row],[STATUS DA ETAPA]],"")</f>
        <v/>
      </c>
      <c r="BZ257" s="21" t="str">
        <f>IF([1]!BANCO10[[#This Row],[SOLUÇÃO]]=BZ$1,[1]!BANCO10[[#This Row],[STATUS DA ETAPA]],"")</f>
        <v/>
      </c>
      <c r="CA257" s="21" t="str">
        <f>IF([1]!BANCO10[[#This Row],[SOLUÇÃO]]=CA$1,[1]!BANCO10[[#This Row],[STATUS DA ETAPA]],"")</f>
        <v>CONCLUÍDO</v>
      </c>
      <c r="CB257" s="21" t="str">
        <f>IF([1]!BANCO10[[#This Row],[SOLUÇÃO]]=CB$1,[1]!BANCO10[[#This Row],[STATUS DA ETAPA]],"")</f>
        <v/>
      </c>
      <c r="CC257" s="21" t="str">
        <f>IF([1]!BANCO10[[#This Row],[SOLUÇÃO]]=CC$1,[1]!BANCO10[[#This Row],[STATUS DA ETAPA]],"")</f>
        <v/>
      </c>
      <c r="CD257" s="21" t="str">
        <f>IF([1]!BANCO10[[#This Row],[SOLUÇÃO]]=CD$1,[1]!BANCO10[[#This Row],[STATUS DA ETAPA]],"")</f>
        <v/>
      </c>
      <c r="CE257" s="21" t="str">
        <f>IF([1]!BANCO10[[#This Row],[SOLUÇÃO]]=CE$1,[1]!BANCO10[[#This Row],[STATUS DA ETAPA]],"")</f>
        <v/>
      </c>
      <c r="CF257" s="21" t="str">
        <f>IF([1]!BANCO10[[#This Row],[SOLUÇÃO]]=CF$1,[1]!BANCO10[[#This Row],[STATUS DA ETAPA]],"")</f>
        <v/>
      </c>
      <c r="CG257" s="21" t="str">
        <f>IF([1]!BANCO10[[#This Row],[SOLUÇÃO]]=CG$1,[1]!BANCO10[[#This Row],[STATUS DA ETAPA]],"")</f>
        <v/>
      </c>
      <c r="CH257" s="21" t="str">
        <f>IF([1]!BANCO10[[#This Row],[SOLUÇÃO]]=CH$1,[1]!BANCO10[[#This Row],[STATUS DA ETAPA]],"")</f>
        <v/>
      </c>
      <c r="CI257" s="21" t="str">
        <f>IF([1]!BANCO10[[#This Row],[SOLUÇÃO]]=CI$1,[1]!BANCO10[[#This Row],[STATUS DA ETAPA]],"")</f>
        <v/>
      </c>
      <c r="CJ257" s="21" t="str">
        <f>IF([1]!BANCO10[[#This Row],[SOLUÇÃO]]=CJ$1,[1]!BANCO10[[#This Row],[STATUS DA ETAPA]],"")</f>
        <v/>
      </c>
      <c r="CK257" s="21" t="str">
        <f>IF([1]!BANCO10[[#This Row],[SOLUÇÃO]]=CK$1,[1]!BANCO10[[#This Row],[STATUS DA ETAPA]],"")</f>
        <v/>
      </c>
      <c r="CL257" s="21" t="str">
        <f>IF([1]!BANCO10[[#This Row],[SOLUÇÃO]]=CL$1,[1]!BANCO10[[#This Row],[STATUS DA ETAPA]],"")</f>
        <v/>
      </c>
      <c r="CM257" s="21" t="str">
        <f>IF([1]!BANCO10[[#This Row],[SOLUÇÃO]]=CM$1,[1]!BANCO10[[#This Row],[STATUS DA ETAPA]],"")</f>
        <v/>
      </c>
      <c r="CN257" s="21" t="str">
        <f>IF([1]!BANCO10[[#This Row],[SOLUÇÃO]]=CN$1,[1]!BANCO10[[#This Row],[STATUS DA ETAPA]],"")</f>
        <v/>
      </c>
      <c r="CO257" s="21" t="str">
        <f>IF([1]!BANCO10[[#This Row],[SOLUÇÃO]]=CO$1,[1]!BANCO10[[#This Row],[STATUS DA ETAPA]],"")</f>
        <v/>
      </c>
      <c r="CP257" s="21" t="str">
        <f>IF([1]!BANCO10[[#This Row],[SOLUÇÃO]]=CP$1,[1]!BANCO10[[#This Row],[STATUS DA ETAPA]],"")</f>
        <v/>
      </c>
      <c r="CQ257" s="21" t="str">
        <f>IF([1]!BANCO10[[#This Row],[SOLUÇÃO]]=CQ$1,[1]!BANCO10[[#This Row],[STATUS DA ETAPA]],"")</f>
        <v/>
      </c>
      <c r="CR257" s="21" t="str">
        <f>IF([1]!BANCO10[[#This Row],[SOLUÇÃO]]=CR$1,[1]!BANCO10[[#This Row],[STATUS DA ETAPA]],"")</f>
        <v/>
      </c>
      <c r="CS257" s="21" t="str">
        <f>IF([1]!BANCO10[[#This Row],[SOLUÇÃO]]=CS$1,[1]!BANCO10[[#This Row],[STATUS DA ETAPA]],"")</f>
        <v/>
      </c>
      <c r="CT257" s="21" t="str">
        <f>IF([1]!BANCO10[[#This Row],[SOLUÇÃO]]=CT$1,[1]!BANCO10[[#This Row],[STATUS DA ETAPA]],"")</f>
        <v/>
      </c>
      <c r="CU257" s="21" t="str">
        <f>IF([1]!BANCO10[[#This Row],[SOLUÇÃO]]=CU$1,[1]!BANCO10[[#This Row],[STATUS DA ETAPA]],"")</f>
        <v/>
      </c>
      <c r="CV257" s="21" t="str">
        <f>IF([1]!BANCO10[[#This Row],[SOLUÇÃO]]=CV$1,[1]!BANCO10[[#This Row],[STATUS DA ETAPA]],"")</f>
        <v/>
      </c>
    </row>
    <row r="258" spans="1:100">
      <c r="A258" s="44" t="s">
        <v>2</v>
      </c>
      <c r="B258" s="44">
        <v>45757</v>
      </c>
      <c r="C258" s="44" t="s">
        <v>2</v>
      </c>
      <c r="D258" s="44">
        <v>45757</v>
      </c>
      <c r="E258" s="44" t="s">
        <v>2</v>
      </c>
      <c r="F258" s="44">
        <v>45757</v>
      </c>
      <c r="G258" s="44" t="s">
        <v>2</v>
      </c>
      <c r="H258" s="44">
        <v>45757</v>
      </c>
      <c r="I258" s="45" t="s">
        <v>2</v>
      </c>
      <c r="J258" s="46">
        <v>45736</v>
      </c>
      <c r="K258" s="45" t="s">
        <v>0</v>
      </c>
      <c r="L258" s="33"/>
      <c r="M258" s="45" t="s">
        <v>0</v>
      </c>
      <c r="N258" s="33"/>
      <c r="O258" s="44" t="s">
        <v>1</v>
      </c>
      <c r="P258" s="44"/>
      <c r="Q258" s="44" t="s">
        <v>1</v>
      </c>
      <c r="R258" s="44"/>
      <c r="S258" s="44" t="s">
        <v>2</v>
      </c>
      <c r="T258" s="44">
        <v>45708</v>
      </c>
      <c r="U258" s="44" t="s">
        <v>1</v>
      </c>
      <c r="V258" s="44"/>
      <c r="W258" s="44" t="s">
        <v>1</v>
      </c>
      <c r="X258" s="44"/>
      <c r="Y258" s="44" t="s">
        <v>1</v>
      </c>
      <c r="Z258" s="44"/>
      <c r="AA258" s="44" t="s">
        <v>1</v>
      </c>
      <c r="AB258" s="44"/>
      <c r="AC258" s="51">
        <v>46022</v>
      </c>
      <c r="AD258" s="50">
        <v>46022</v>
      </c>
      <c r="AE258" s="41" t="s">
        <v>0</v>
      </c>
      <c r="AF258" s="41" t="s">
        <v>0</v>
      </c>
      <c r="AG258" s="40" t="s">
        <v>5</v>
      </c>
      <c r="AH258" s="36" t="s">
        <v>0</v>
      </c>
      <c r="AI258" s="49">
        <v>20140</v>
      </c>
      <c r="AJ258" s="36" t="s">
        <v>3</v>
      </c>
      <c r="AK258" s="21">
        <v>678860</v>
      </c>
      <c r="AL258" s="36" t="s">
        <v>1</v>
      </c>
      <c r="AM258" s="36" t="s">
        <v>1</v>
      </c>
      <c r="AN258" s="52" t="s">
        <v>0</v>
      </c>
      <c r="AO258" s="52" t="s">
        <v>0</v>
      </c>
      <c r="AP258" s="52" t="s">
        <v>0</v>
      </c>
      <c r="AQ258" s="52" t="s">
        <v>0</v>
      </c>
      <c r="AR258" s="34" t="s">
        <v>0</v>
      </c>
      <c r="AS258" s="33"/>
      <c r="AT258" s="32" t="s">
        <v>0</v>
      </c>
      <c r="AU258" s="31"/>
      <c r="AV258" s="32" t="s">
        <v>0</v>
      </c>
      <c r="AW258" s="31"/>
      <c r="AX258" s="32" t="s">
        <v>0</v>
      </c>
      <c r="AY258" s="31"/>
      <c r="AZ258" s="32" t="s">
        <v>0</v>
      </c>
      <c r="BA258" s="31"/>
      <c r="BB258" s="26" t="s">
        <v>7</v>
      </c>
      <c r="BC258" s="25"/>
      <c r="BD258" s="24"/>
      <c r="BE258" s="24"/>
      <c r="BF258" s="24"/>
      <c r="BG258" s="24"/>
      <c r="BH258" s="24"/>
      <c r="BI258" s="24"/>
      <c r="BJ258" s="24"/>
      <c r="BK258" s="24"/>
      <c r="BL258" s="24"/>
      <c r="BM258" s="24"/>
      <c r="BN258" s="24"/>
      <c r="BO258" s="24"/>
      <c r="BP258" s="24"/>
      <c r="BQ258" s="22">
        <f>YEAR([1]!BANCO10[[#This Row],[DATA INÍCIO]])</f>
        <v>2025</v>
      </c>
      <c r="BR258" s="22">
        <f>MONTH([1]!BANCO10[[#This Row],[DATA INÍCIO]])</f>
        <v>12</v>
      </c>
      <c r="BS258" s="23" t="e">
        <f>CONCATENATE(#REF!,#REF!)</f>
        <v>#REF!</v>
      </c>
      <c r="BT258" s="22"/>
      <c r="BU258" s="22"/>
      <c r="BV258" s="21" t="str">
        <f>IF([1]!BANCO10[[#This Row],[SOLUÇÃO]]=BV$1,[1]!BANCO10[[#This Row],[STATUS DA ETAPA]],"")</f>
        <v/>
      </c>
      <c r="BW258" s="21" t="str">
        <f>IF([1]!BANCO10[[#This Row],[SOLUÇÃO]]=BW$1,[1]!BANCO10[[#This Row],[STATUS DA ETAPA]],"")</f>
        <v/>
      </c>
      <c r="BX258" s="21" t="str">
        <f>IF([1]!BANCO10[[#This Row],[SOLUÇÃO]]=BX$1,[1]!BANCO10[[#This Row],[STATUS DA ETAPA]],"")</f>
        <v/>
      </c>
      <c r="BY258" s="21" t="str">
        <f>IF([1]!BANCO10[[#This Row],[SOLUÇÃO]]=BY$1,[1]!BANCO10[[#This Row],[STATUS DA ETAPA]],"")</f>
        <v/>
      </c>
      <c r="BZ258" s="21" t="str">
        <f>IF([1]!BANCO10[[#This Row],[SOLUÇÃO]]=BZ$1,[1]!BANCO10[[#This Row],[STATUS DA ETAPA]],"")</f>
        <v/>
      </c>
      <c r="CA258" s="21" t="str">
        <f>IF([1]!BANCO10[[#This Row],[SOLUÇÃO]]=CA$1,[1]!BANCO10[[#This Row],[STATUS DA ETAPA]],"")</f>
        <v/>
      </c>
      <c r="CB258" s="21" t="str">
        <f>IF([1]!BANCO10[[#This Row],[SOLUÇÃO]]=CB$1,[1]!BANCO10[[#This Row],[STATUS DA ETAPA]],"")</f>
        <v>AGUARDANDO SALDO</v>
      </c>
      <c r="CC258" s="21" t="str">
        <f>IF([1]!BANCO10[[#This Row],[SOLUÇÃO]]=CC$1,[1]!BANCO10[[#This Row],[STATUS DA ETAPA]],"")</f>
        <v/>
      </c>
      <c r="CD258" s="21" t="str">
        <f>IF([1]!BANCO10[[#This Row],[SOLUÇÃO]]=CD$1,[1]!BANCO10[[#This Row],[STATUS DA ETAPA]],"")</f>
        <v/>
      </c>
      <c r="CE258" s="21" t="str">
        <f>IF([1]!BANCO10[[#This Row],[SOLUÇÃO]]=CE$1,[1]!BANCO10[[#This Row],[STATUS DA ETAPA]],"")</f>
        <v/>
      </c>
      <c r="CF258" s="21" t="str">
        <f>IF([1]!BANCO10[[#This Row],[SOLUÇÃO]]=CF$1,[1]!BANCO10[[#This Row],[STATUS DA ETAPA]],"")</f>
        <v/>
      </c>
      <c r="CG258" s="21" t="str">
        <f>IF([1]!BANCO10[[#This Row],[SOLUÇÃO]]=CG$1,[1]!BANCO10[[#This Row],[STATUS DA ETAPA]],"")</f>
        <v/>
      </c>
      <c r="CH258" s="21" t="str">
        <f>IF([1]!BANCO10[[#This Row],[SOLUÇÃO]]=CH$1,[1]!BANCO10[[#This Row],[STATUS DA ETAPA]],"")</f>
        <v/>
      </c>
      <c r="CI258" s="21" t="str">
        <f>IF([1]!BANCO10[[#This Row],[SOLUÇÃO]]=CI$1,[1]!BANCO10[[#This Row],[STATUS DA ETAPA]],"")</f>
        <v/>
      </c>
      <c r="CJ258" s="21" t="str">
        <f>IF([1]!BANCO10[[#This Row],[SOLUÇÃO]]=CJ$1,[1]!BANCO10[[#This Row],[STATUS DA ETAPA]],"")</f>
        <v/>
      </c>
      <c r="CK258" s="21" t="str">
        <f>IF([1]!BANCO10[[#This Row],[SOLUÇÃO]]=CK$1,[1]!BANCO10[[#This Row],[STATUS DA ETAPA]],"")</f>
        <v/>
      </c>
      <c r="CL258" s="21" t="str">
        <f>IF([1]!BANCO10[[#This Row],[SOLUÇÃO]]=CL$1,[1]!BANCO10[[#This Row],[STATUS DA ETAPA]],"")</f>
        <v/>
      </c>
      <c r="CM258" s="21" t="str">
        <f>IF([1]!BANCO10[[#This Row],[SOLUÇÃO]]=CM$1,[1]!BANCO10[[#This Row],[STATUS DA ETAPA]],"")</f>
        <v/>
      </c>
      <c r="CN258" s="21" t="str">
        <f>IF([1]!BANCO10[[#This Row],[SOLUÇÃO]]=CN$1,[1]!BANCO10[[#This Row],[STATUS DA ETAPA]],"")</f>
        <v/>
      </c>
      <c r="CO258" s="21" t="str">
        <f>IF([1]!BANCO10[[#This Row],[SOLUÇÃO]]=CO$1,[1]!BANCO10[[#This Row],[STATUS DA ETAPA]],"")</f>
        <v/>
      </c>
      <c r="CP258" s="21" t="str">
        <f>IF([1]!BANCO10[[#This Row],[SOLUÇÃO]]=CP$1,[1]!BANCO10[[#This Row],[STATUS DA ETAPA]],"")</f>
        <v/>
      </c>
      <c r="CQ258" s="21" t="str">
        <f>IF([1]!BANCO10[[#This Row],[SOLUÇÃO]]=CQ$1,[1]!BANCO10[[#This Row],[STATUS DA ETAPA]],"")</f>
        <v/>
      </c>
      <c r="CR258" s="21" t="str">
        <f>IF([1]!BANCO10[[#This Row],[SOLUÇÃO]]=CR$1,[1]!BANCO10[[#This Row],[STATUS DA ETAPA]],"")</f>
        <v/>
      </c>
      <c r="CS258" s="21" t="str">
        <f>IF([1]!BANCO10[[#This Row],[SOLUÇÃO]]=CS$1,[1]!BANCO10[[#This Row],[STATUS DA ETAPA]],"")</f>
        <v/>
      </c>
      <c r="CT258" s="21" t="str">
        <f>IF([1]!BANCO10[[#This Row],[SOLUÇÃO]]=CT$1,[1]!BANCO10[[#This Row],[STATUS DA ETAPA]],"")</f>
        <v/>
      </c>
      <c r="CU258" s="21" t="str">
        <f>IF([1]!BANCO10[[#This Row],[SOLUÇÃO]]=CU$1,[1]!BANCO10[[#This Row],[STATUS DA ETAPA]],"")</f>
        <v/>
      </c>
      <c r="CV258" s="21" t="str">
        <f>IF([1]!BANCO10[[#This Row],[SOLUÇÃO]]=CV$1,[1]!BANCO10[[#This Row],[STATUS DA ETAPA]],"")</f>
        <v/>
      </c>
    </row>
    <row r="259" spans="1:100">
      <c r="A259" s="44" t="s">
        <v>1</v>
      </c>
      <c r="B259" s="44"/>
      <c r="C259" s="44" t="s">
        <v>1</v>
      </c>
      <c r="D259" s="44"/>
      <c r="E259" s="44" t="s">
        <v>1</v>
      </c>
      <c r="F259" s="44"/>
      <c r="G259" s="44" t="s">
        <v>1</v>
      </c>
      <c r="H259" s="44"/>
      <c r="I259" s="45" t="s">
        <v>1</v>
      </c>
      <c r="J259" s="46"/>
      <c r="K259" s="45" t="s">
        <v>1</v>
      </c>
      <c r="L259" s="33"/>
      <c r="M259" s="45" t="s">
        <v>1</v>
      </c>
      <c r="N259" s="33"/>
      <c r="O259" s="44" t="s">
        <v>1</v>
      </c>
      <c r="P259" s="44"/>
      <c r="Q259" s="44" t="s">
        <v>1</v>
      </c>
      <c r="R259" s="44"/>
      <c r="S259" s="44" t="s">
        <v>1</v>
      </c>
      <c r="T259" s="44"/>
      <c r="U259" s="44" t="s">
        <v>1</v>
      </c>
      <c r="V259" s="44"/>
      <c r="W259" s="44" t="s">
        <v>1</v>
      </c>
      <c r="X259" s="44"/>
      <c r="Y259" s="44" t="s">
        <v>1</v>
      </c>
      <c r="Z259" s="44"/>
      <c r="AA259" s="44" t="s">
        <v>1</v>
      </c>
      <c r="AB259" s="44"/>
      <c r="AC259" s="51">
        <v>44831</v>
      </c>
      <c r="AD259" s="50">
        <v>44922</v>
      </c>
      <c r="AE259" s="40" t="s">
        <v>2</v>
      </c>
      <c r="AF259" s="40" t="s">
        <v>2</v>
      </c>
      <c r="AG259" s="76" t="s">
        <v>5</v>
      </c>
      <c r="AH259" s="36" t="s">
        <v>0</v>
      </c>
      <c r="AI259" s="49">
        <v>0</v>
      </c>
      <c r="AJ259" s="36"/>
      <c r="AK259" s="10"/>
      <c r="AL259" s="36" t="s">
        <v>1</v>
      </c>
      <c r="AM259" s="36" t="s">
        <v>1</v>
      </c>
      <c r="AN259" s="35" t="s">
        <v>1</v>
      </c>
      <c r="AO259" s="35" t="s">
        <v>1</v>
      </c>
      <c r="AP259" s="35" t="s">
        <v>2</v>
      </c>
      <c r="AQ259" s="35" t="s">
        <v>1</v>
      </c>
      <c r="AR259" s="34" t="s">
        <v>1</v>
      </c>
      <c r="AS259" s="33"/>
      <c r="AT259" s="32" t="s">
        <v>0</v>
      </c>
      <c r="AU259" s="31"/>
      <c r="AV259" s="32" t="s">
        <v>0</v>
      </c>
      <c r="AW259" s="31"/>
      <c r="AX259" s="30" t="s">
        <v>1</v>
      </c>
      <c r="AY259" s="55"/>
      <c r="AZ259" s="30" t="s">
        <v>1</v>
      </c>
      <c r="BA259" s="55"/>
      <c r="BB259" s="74"/>
      <c r="BC259" s="25" t="s">
        <v>338</v>
      </c>
      <c r="BD259" s="24" t="s">
        <v>11</v>
      </c>
      <c r="BE259" s="24" t="s">
        <v>11</v>
      </c>
      <c r="BF259" s="24" t="s">
        <v>21</v>
      </c>
      <c r="BG259" s="24" t="s">
        <v>11</v>
      </c>
      <c r="BH259" s="130" t="s">
        <v>19</v>
      </c>
      <c r="BI259" s="24"/>
      <c r="BJ259" s="24" t="s">
        <v>11</v>
      </c>
      <c r="BK259" s="24" t="s">
        <v>11</v>
      </c>
      <c r="BL259" s="24" t="s">
        <v>11</v>
      </c>
      <c r="BM259" s="24" t="s">
        <v>11</v>
      </c>
      <c r="BN259" s="24" t="s">
        <v>11</v>
      </c>
      <c r="BO259" s="24" t="s">
        <v>11</v>
      </c>
      <c r="BP259" s="24" t="s">
        <v>11</v>
      </c>
      <c r="BQ259" s="22">
        <f>YEAR([1]!BANCO10[[#This Row],[DATA INÍCIO]])</f>
        <v>2022</v>
      </c>
      <c r="BR259" s="22">
        <f>MONTH([1]!BANCO10[[#This Row],[DATA INÍCIO]])</f>
        <v>9</v>
      </c>
      <c r="BS259" s="129" t="e">
        <f>CONCATENATE(#REF!,#REF!)</f>
        <v>#REF!</v>
      </c>
      <c r="BT259" s="22"/>
      <c r="BU259" s="21" t="s">
        <v>625</v>
      </c>
      <c r="BV259" s="21" t="str">
        <f>IF([1]!BANCO10[[#This Row],[SOLUÇÃO]]=BV$1,[1]!BANCO10[[#This Row],[STATUS DA ETAPA]],"")</f>
        <v/>
      </c>
      <c r="BW259" s="21" t="str">
        <f>IF([1]!BANCO10[[#This Row],[SOLUÇÃO]]=BW$1,[1]!BANCO10[[#This Row],[STATUS DA ETAPA]],"")</f>
        <v/>
      </c>
      <c r="BX259" s="21" t="str">
        <f>IF([1]!BANCO10[[#This Row],[SOLUÇÃO]]=BX$1,[1]!BANCO10[[#This Row],[STATUS DA ETAPA]],"")</f>
        <v/>
      </c>
      <c r="BY259" s="21" t="str">
        <f>IF([1]!BANCO10[[#This Row],[SOLUÇÃO]]=BY$1,[1]!BANCO10[[#This Row],[STATUS DA ETAPA]],"")</f>
        <v/>
      </c>
      <c r="BZ259" s="21" t="str">
        <f>IF([1]!BANCO10[[#This Row],[SOLUÇÃO]]=BZ$1,[1]!BANCO10[[#This Row],[STATUS DA ETAPA]],"")</f>
        <v/>
      </c>
      <c r="CA259" s="21" t="str">
        <f>IF([1]!BANCO10[[#This Row],[SOLUÇÃO]]=CA$1,[1]!BANCO10[[#This Row],[STATUS DA ETAPA]],"")</f>
        <v>CONCLUÍDO</v>
      </c>
      <c r="CB259" s="21" t="str">
        <f>IF([1]!BANCO10[[#This Row],[SOLUÇÃO]]=CB$1,[1]!BANCO10[[#This Row],[STATUS DA ETAPA]],"")</f>
        <v/>
      </c>
      <c r="CC259" s="21" t="str">
        <f>IF([1]!BANCO10[[#This Row],[SOLUÇÃO]]=CC$1,[1]!BANCO10[[#This Row],[STATUS DA ETAPA]],"")</f>
        <v/>
      </c>
      <c r="CD259" s="21" t="str">
        <f>IF([1]!BANCO10[[#This Row],[SOLUÇÃO]]=CD$1,[1]!BANCO10[[#This Row],[STATUS DA ETAPA]],"")</f>
        <v/>
      </c>
      <c r="CE259" s="21" t="str">
        <f>IF([1]!BANCO10[[#This Row],[SOLUÇÃO]]=CE$1,[1]!BANCO10[[#This Row],[STATUS DA ETAPA]],"")</f>
        <v/>
      </c>
      <c r="CF259" s="21" t="str">
        <f>IF([1]!BANCO10[[#This Row],[SOLUÇÃO]]=CF$1,[1]!BANCO10[[#This Row],[STATUS DA ETAPA]],"")</f>
        <v/>
      </c>
      <c r="CG259" s="21" t="str">
        <f>IF([1]!BANCO10[[#This Row],[SOLUÇÃO]]=CG$1,[1]!BANCO10[[#This Row],[STATUS DA ETAPA]],"")</f>
        <v/>
      </c>
      <c r="CH259" s="21" t="str">
        <f>IF([1]!BANCO10[[#This Row],[SOLUÇÃO]]=CH$1,[1]!BANCO10[[#This Row],[STATUS DA ETAPA]],"")</f>
        <v/>
      </c>
      <c r="CI259" s="21" t="str">
        <f>IF([1]!BANCO10[[#This Row],[SOLUÇÃO]]=CI$1,[1]!BANCO10[[#This Row],[STATUS DA ETAPA]],"")</f>
        <v/>
      </c>
      <c r="CJ259" s="21" t="str">
        <f>IF([1]!BANCO10[[#This Row],[SOLUÇÃO]]=CJ$1,[1]!BANCO10[[#This Row],[STATUS DA ETAPA]],"")</f>
        <v/>
      </c>
      <c r="CK259" s="21" t="str">
        <f>IF([1]!BANCO10[[#This Row],[SOLUÇÃO]]=CK$1,[1]!BANCO10[[#This Row],[STATUS DA ETAPA]],"")</f>
        <v/>
      </c>
      <c r="CL259" s="21" t="str">
        <f>IF([1]!BANCO10[[#This Row],[SOLUÇÃO]]=CL$1,[1]!BANCO10[[#This Row],[STATUS DA ETAPA]],"")</f>
        <v/>
      </c>
      <c r="CM259" s="21" t="str">
        <f>IF([1]!BANCO10[[#This Row],[SOLUÇÃO]]=CM$1,[1]!BANCO10[[#This Row],[STATUS DA ETAPA]],"")</f>
        <v/>
      </c>
      <c r="CN259" s="21" t="str">
        <f>IF([1]!BANCO10[[#This Row],[SOLUÇÃO]]=CN$1,[1]!BANCO10[[#This Row],[STATUS DA ETAPA]],"")</f>
        <v/>
      </c>
      <c r="CO259" s="21" t="str">
        <f>IF([1]!BANCO10[[#This Row],[SOLUÇÃO]]=CO$1,[1]!BANCO10[[#This Row],[STATUS DA ETAPA]],"")</f>
        <v/>
      </c>
      <c r="CP259" s="21" t="str">
        <f>IF([1]!BANCO10[[#This Row],[SOLUÇÃO]]=CP$1,[1]!BANCO10[[#This Row],[STATUS DA ETAPA]],"")</f>
        <v/>
      </c>
      <c r="CQ259" s="21" t="str">
        <f>IF([1]!BANCO10[[#This Row],[SOLUÇÃO]]=CQ$1,[1]!BANCO10[[#This Row],[STATUS DA ETAPA]],"")</f>
        <v/>
      </c>
      <c r="CR259" s="21" t="str">
        <f>IF([1]!BANCO10[[#This Row],[SOLUÇÃO]]=CR$1,[1]!BANCO10[[#This Row],[STATUS DA ETAPA]],"")</f>
        <v/>
      </c>
      <c r="CS259" s="21" t="str">
        <f>IF([1]!BANCO10[[#This Row],[SOLUÇÃO]]=CS$1,[1]!BANCO10[[#This Row],[STATUS DA ETAPA]],"")</f>
        <v/>
      </c>
      <c r="CT259" s="21" t="str">
        <f>IF([1]!BANCO10[[#This Row],[SOLUÇÃO]]=CT$1,[1]!BANCO10[[#This Row],[STATUS DA ETAPA]],"")</f>
        <v/>
      </c>
      <c r="CU259" s="21" t="str">
        <f>IF([1]!BANCO10[[#This Row],[SOLUÇÃO]]=CU$1,[1]!BANCO10[[#This Row],[STATUS DA ETAPA]],"")</f>
        <v/>
      </c>
      <c r="CV259" s="21" t="str">
        <f>IF([1]!BANCO10[[#This Row],[SOLUÇÃO]]=CV$1,[1]!BANCO10[[#This Row],[STATUS DA ETAPA]],"")</f>
        <v/>
      </c>
    </row>
    <row r="260" spans="1:100">
      <c r="A260" s="44" t="s">
        <v>1</v>
      </c>
      <c r="B260" s="44"/>
      <c r="C260" s="44" t="s">
        <v>1</v>
      </c>
      <c r="D260" s="44"/>
      <c r="E260" s="44" t="s">
        <v>1</v>
      </c>
      <c r="F260" s="44"/>
      <c r="G260" s="44" t="s">
        <v>1</v>
      </c>
      <c r="H260" s="44"/>
      <c r="I260" s="45" t="s">
        <v>1</v>
      </c>
      <c r="J260" s="46"/>
      <c r="K260" s="45" t="s">
        <v>1</v>
      </c>
      <c r="L260" s="33"/>
      <c r="M260" s="45" t="s">
        <v>1</v>
      </c>
      <c r="N260" s="33"/>
      <c r="O260" s="44" t="s">
        <v>2</v>
      </c>
      <c r="P260" s="44">
        <v>44926</v>
      </c>
      <c r="Q260" s="44" t="s">
        <v>0</v>
      </c>
      <c r="R260" s="44"/>
      <c r="S260" s="44" t="s">
        <v>1</v>
      </c>
      <c r="T260" s="44"/>
      <c r="U260" s="44" t="s">
        <v>1</v>
      </c>
      <c r="V260" s="44"/>
      <c r="W260" s="44" t="s">
        <v>1</v>
      </c>
      <c r="X260" s="44"/>
      <c r="Y260" s="44" t="s">
        <v>1</v>
      </c>
      <c r="Z260" s="44"/>
      <c r="AA260" s="44" t="s">
        <v>1</v>
      </c>
      <c r="AB260" s="44"/>
      <c r="AC260" s="51">
        <v>44926</v>
      </c>
      <c r="AD260" s="51">
        <v>44926</v>
      </c>
      <c r="AE260" s="40" t="s">
        <v>1</v>
      </c>
      <c r="AF260" s="40" t="s">
        <v>1</v>
      </c>
      <c r="AG260" s="76" t="s">
        <v>5</v>
      </c>
      <c r="AH260" s="36" t="s">
        <v>1</v>
      </c>
      <c r="AI260" s="49">
        <v>0</v>
      </c>
      <c r="AJ260" s="36" t="s">
        <v>1</v>
      </c>
      <c r="AK260" s="10" t="s">
        <v>1</v>
      </c>
      <c r="AL260" s="36" t="s">
        <v>1</v>
      </c>
      <c r="AM260" s="36" t="s">
        <v>1</v>
      </c>
      <c r="AN260" s="35" t="s">
        <v>1</v>
      </c>
      <c r="AO260" s="35" t="s">
        <v>1</v>
      </c>
      <c r="AP260" s="35" t="s">
        <v>1</v>
      </c>
      <c r="AQ260" s="35" t="s">
        <v>1</v>
      </c>
      <c r="AR260" s="48" t="s">
        <v>1</v>
      </c>
      <c r="AS260" s="33"/>
      <c r="AT260" s="32" t="s">
        <v>0</v>
      </c>
      <c r="AU260" s="31"/>
      <c r="AV260" s="32" t="s">
        <v>0</v>
      </c>
      <c r="AW260" s="31"/>
      <c r="AX260" s="30" t="s">
        <v>1</v>
      </c>
      <c r="AY260" s="55"/>
      <c r="AZ260" s="30" t="s">
        <v>1</v>
      </c>
      <c r="BA260" s="55"/>
      <c r="BB260" s="74"/>
      <c r="BC260" s="25"/>
      <c r="BD260" s="24" t="s">
        <v>11</v>
      </c>
      <c r="BE260" s="24" t="s">
        <v>11</v>
      </c>
      <c r="BF260" s="24" t="s">
        <v>21</v>
      </c>
      <c r="BG260" s="24" t="s">
        <v>11</v>
      </c>
      <c r="BH260" s="130" t="s">
        <v>19</v>
      </c>
      <c r="BI260" s="24"/>
      <c r="BJ260" s="24" t="s">
        <v>11</v>
      </c>
      <c r="BK260" s="24" t="s">
        <v>11</v>
      </c>
      <c r="BL260" s="24" t="s">
        <v>11</v>
      </c>
      <c r="BM260" s="24" t="s">
        <v>11</v>
      </c>
      <c r="BN260" s="24" t="s">
        <v>11</v>
      </c>
      <c r="BO260" s="24" t="s">
        <v>11</v>
      </c>
      <c r="BP260" s="24" t="s">
        <v>11</v>
      </c>
      <c r="BQ260" s="22">
        <f>YEAR([1]!BANCO10[[#This Row],[DATA INÍCIO]])</f>
        <v>2022</v>
      </c>
      <c r="BR260" s="22">
        <f>MONTH([1]!BANCO10[[#This Row],[DATA INÍCIO]])</f>
        <v>12</v>
      </c>
      <c r="BS260" s="129" t="e">
        <f>CONCATENATE(#REF!,#REF!)</f>
        <v>#REF!</v>
      </c>
      <c r="BT260" s="22"/>
      <c r="BU260" s="21" t="s">
        <v>192</v>
      </c>
      <c r="BV260" s="21" t="str">
        <f>IF([1]!BANCO10[[#This Row],[SOLUÇÃO]]=BV$1,[1]!BANCO10[[#This Row],[STATUS DA ETAPA]],"")</f>
        <v>CONCLUÍDO</v>
      </c>
      <c r="BW260" s="21" t="str">
        <f>IF([1]!BANCO10[[#This Row],[SOLUÇÃO]]=BW$1,[1]!BANCO10[[#This Row],[STATUS DA ETAPA]],"")</f>
        <v/>
      </c>
      <c r="BX260" s="21" t="str">
        <f>IF([1]!BANCO10[[#This Row],[SOLUÇÃO]]=BX$1,[1]!BANCO10[[#This Row],[STATUS DA ETAPA]],"")</f>
        <v/>
      </c>
      <c r="BY260" s="21" t="str">
        <f>IF([1]!BANCO10[[#This Row],[SOLUÇÃO]]=BY$1,[1]!BANCO10[[#This Row],[STATUS DA ETAPA]],"")</f>
        <v/>
      </c>
      <c r="BZ260" s="21" t="str">
        <f>IF([1]!BANCO10[[#This Row],[SOLUÇÃO]]=BZ$1,[1]!BANCO10[[#This Row],[STATUS DA ETAPA]],"")</f>
        <v/>
      </c>
      <c r="CA260" s="21" t="str">
        <f>IF([1]!BANCO10[[#This Row],[SOLUÇÃO]]=CA$1,[1]!BANCO10[[#This Row],[STATUS DA ETAPA]],"")</f>
        <v/>
      </c>
      <c r="CB260" s="21" t="str">
        <f>IF([1]!BANCO10[[#This Row],[SOLUÇÃO]]=CB$1,[1]!BANCO10[[#This Row],[STATUS DA ETAPA]],"")</f>
        <v/>
      </c>
      <c r="CC260" s="21" t="str">
        <f>IF([1]!BANCO10[[#This Row],[SOLUÇÃO]]=CC$1,[1]!BANCO10[[#This Row],[STATUS DA ETAPA]],"")</f>
        <v/>
      </c>
      <c r="CD260" s="21" t="str">
        <f>IF([1]!BANCO10[[#This Row],[SOLUÇÃO]]=CD$1,[1]!BANCO10[[#This Row],[STATUS DA ETAPA]],"")</f>
        <v/>
      </c>
      <c r="CE260" s="21" t="str">
        <f>IF([1]!BANCO10[[#This Row],[SOLUÇÃO]]=CE$1,[1]!BANCO10[[#This Row],[STATUS DA ETAPA]],"")</f>
        <v/>
      </c>
      <c r="CF260" s="21" t="str">
        <f>IF([1]!BANCO10[[#This Row],[SOLUÇÃO]]=CF$1,[1]!BANCO10[[#This Row],[STATUS DA ETAPA]],"")</f>
        <v/>
      </c>
      <c r="CG260" s="21" t="str">
        <f>IF([1]!BANCO10[[#This Row],[SOLUÇÃO]]=CG$1,[1]!BANCO10[[#This Row],[STATUS DA ETAPA]],"")</f>
        <v/>
      </c>
      <c r="CH260" s="21" t="str">
        <f>IF([1]!BANCO10[[#This Row],[SOLUÇÃO]]=CH$1,[1]!BANCO10[[#This Row],[STATUS DA ETAPA]],"")</f>
        <v/>
      </c>
      <c r="CI260" s="21" t="str">
        <f>IF([1]!BANCO10[[#This Row],[SOLUÇÃO]]=CI$1,[1]!BANCO10[[#This Row],[STATUS DA ETAPA]],"")</f>
        <v/>
      </c>
      <c r="CJ260" s="21" t="str">
        <f>IF([1]!BANCO10[[#This Row],[SOLUÇÃO]]=CJ$1,[1]!BANCO10[[#This Row],[STATUS DA ETAPA]],"")</f>
        <v/>
      </c>
      <c r="CK260" s="21" t="str">
        <f>IF([1]!BANCO10[[#This Row],[SOLUÇÃO]]=CK$1,[1]!BANCO10[[#This Row],[STATUS DA ETAPA]],"")</f>
        <v/>
      </c>
      <c r="CL260" s="21" t="str">
        <f>IF([1]!BANCO10[[#This Row],[SOLUÇÃO]]=CL$1,[1]!BANCO10[[#This Row],[STATUS DA ETAPA]],"")</f>
        <v/>
      </c>
      <c r="CM260" s="21" t="str">
        <f>IF([1]!BANCO10[[#This Row],[SOLUÇÃO]]=CM$1,[1]!BANCO10[[#This Row],[STATUS DA ETAPA]],"")</f>
        <v/>
      </c>
      <c r="CN260" s="21" t="str">
        <f>IF([1]!BANCO10[[#This Row],[SOLUÇÃO]]=CN$1,[1]!BANCO10[[#This Row],[STATUS DA ETAPA]],"")</f>
        <v/>
      </c>
      <c r="CO260" s="21" t="str">
        <f>IF([1]!BANCO10[[#This Row],[SOLUÇÃO]]=CO$1,[1]!BANCO10[[#This Row],[STATUS DA ETAPA]],"")</f>
        <v/>
      </c>
      <c r="CP260" s="21" t="str">
        <f>IF([1]!BANCO10[[#This Row],[SOLUÇÃO]]=CP$1,[1]!BANCO10[[#This Row],[STATUS DA ETAPA]],"")</f>
        <v/>
      </c>
      <c r="CQ260" s="21" t="str">
        <f>IF([1]!BANCO10[[#This Row],[SOLUÇÃO]]=CQ$1,[1]!BANCO10[[#This Row],[STATUS DA ETAPA]],"")</f>
        <v/>
      </c>
      <c r="CR260" s="21" t="str">
        <f>IF([1]!BANCO10[[#This Row],[SOLUÇÃO]]=CR$1,[1]!BANCO10[[#This Row],[STATUS DA ETAPA]],"")</f>
        <v/>
      </c>
      <c r="CS260" s="21" t="str">
        <f>IF([1]!BANCO10[[#This Row],[SOLUÇÃO]]=CS$1,[1]!BANCO10[[#This Row],[STATUS DA ETAPA]],"")</f>
        <v/>
      </c>
      <c r="CT260" s="21" t="str">
        <f>IF([1]!BANCO10[[#This Row],[SOLUÇÃO]]=CT$1,[1]!BANCO10[[#This Row],[STATUS DA ETAPA]],"")</f>
        <v/>
      </c>
      <c r="CU260" s="21" t="str">
        <f>IF([1]!BANCO10[[#This Row],[SOLUÇÃO]]=CU$1,[1]!BANCO10[[#This Row],[STATUS DA ETAPA]],"")</f>
        <v/>
      </c>
      <c r="CV260" s="21" t="str">
        <f>IF([1]!BANCO10[[#This Row],[SOLUÇÃO]]=CV$1,[1]!BANCO10[[#This Row],[STATUS DA ETAPA]],"")</f>
        <v/>
      </c>
    </row>
    <row r="261" spans="1:100">
      <c r="A261" s="44" t="s">
        <v>1</v>
      </c>
      <c r="B261" s="44"/>
      <c r="C261" s="44" t="s">
        <v>1</v>
      </c>
      <c r="D261" s="44"/>
      <c r="E261" s="44" t="s">
        <v>1</v>
      </c>
      <c r="F261" s="44"/>
      <c r="G261" s="44" t="s">
        <v>1</v>
      </c>
      <c r="H261" s="44"/>
      <c r="I261" s="45" t="s">
        <v>1</v>
      </c>
      <c r="J261" s="46"/>
      <c r="K261" s="45" t="s">
        <v>1</v>
      </c>
      <c r="L261" s="33"/>
      <c r="M261" s="45" t="s">
        <v>1</v>
      </c>
      <c r="N261" s="33"/>
      <c r="O261" s="44" t="s">
        <v>2</v>
      </c>
      <c r="P261" s="44">
        <v>44927</v>
      </c>
      <c r="Q261" s="44"/>
      <c r="R261" s="44"/>
      <c r="S261" s="44"/>
      <c r="T261" s="44"/>
      <c r="U261" s="44" t="s">
        <v>2</v>
      </c>
      <c r="V261" s="44">
        <v>44926</v>
      </c>
      <c r="W261" s="44" t="s">
        <v>2</v>
      </c>
      <c r="X261" s="44"/>
      <c r="Y261" s="44" t="s">
        <v>2</v>
      </c>
      <c r="Z261" s="44">
        <v>44926</v>
      </c>
      <c r="AA261" s="44" t="s">
        <v>2</v>
      </c>
      <c r="AB261" s="44"/>
      <c r="AC261" s="51">
        <v>44938</v>
      </c>
      <c r="AD261" s="50">
        <v>45022</v>
      </c>
      <c r="AE261" s="40" t="s">
        <v>2</v>
      </c>
      <c r="AF261" s="40" t="s">
        <v>2</v>
      </c>
      <c r="AG261" s="76" t="s">
        <v>5</v>
      </c>
      <c r="AH261" s="36" t="s">
        <v>0</v>
      </c>
      <c r="AI261" s="49">
        <v>0</v>
      </c>
      <c r="AJ261" s="36"/>
      <c r="AK261" s="10"/>
      <c r="AL261" s="36">
        <v>4731</v>
      </c>
      <c r="AM261" s="36" t="s">
        <v>1</v>
      </c>
      <c r="AN261" s="35" t="s">
        <v>1</v>
      </c>
      <c r="AO261" s="35" t="s">
        <v>1</v>
      </c>
      <c r="AP261" s="35" t="s">
        <v>2</v>
      </c>
      <c r="AQ261" s="35" t="s">
        <v>1</v>
      </c>
      <c r="AR261" s="34" t="s">
        <v>1</v>
      </c>
      <c r="AS261" s="33"/>
      <c r="AT261" s="32" t="s">
        <v>0</v>
      </c>
      <c r="AU261" s="31"/>
      <c r="AV261" s="32" t="s">
        <v>0</v>
      </c>
      <c r="AW261" s="31"/>
      <c r="AX261" s="30" t="s">
        <v>2</v>
      </c>
      <c r="AY261" s="55">
        <v>45041</v>
      </c>
      <c r="AZ261" s="30" t="s">
        <v>2</v>
      </c>
      <c r="BA261" s="55"/>
      <c r="BB261" s="74"/>
      <c r="BC261" s="25" t="s">
        <v>338</v>
      </c>
      <c r="BD261" s="24" t="s">
        <v>11</v>
      </c>
      <c r="BE261" s="24" t="s">
        <v>11</v>
      </c>
      <c r="BF261" s="24" t="s">
        <v>21</v>
      </c>
      <c r="BG261" s="24" t="s">
        <v>11</v>
      </c>
      <c r="BH261" s="130" t="s">
        <v>19</v>
      </c>
      <c r="BI261" s="24"/>
      <c r="BJ261" s="24" t="s">
        <v>11</v>
      </c>
      <c r="BK261" s="24" t="s">
        <v>11</v>
      </c>
      <c r="BL261" s="24" t="s">
        <v>11</v>
      </c>
      <c r="BM261" s="24" t="s">
        <v>11</v>
      </c>
      <c r="BN261" s="24" t="s">
        <v>11</v>
      </c>
      <c r="BO261" s="24" t="s">
        <v>11</v>
      </c>
      <c r="BP261" s="24" t="s">
        <v>11</v>
      </c>
      <c r="BQ261" s="22">
        <f>YEAR([1]!BANCO10[[#This Row],[DATA INÍCIO]])</f>
        <v>2023</v>
      </c>
      <c r="BR261" s="22">
        <f>MONTH([1]!BANCO10[[#This Row],[DATA INÍCIO]])</f>
        <v>1</v>
      </c>
      <c r="BS261" s="129" t="e">
        <f>CONCATENATE(#REF!,#REF!)</f>
        <v>#REF!</v>
      </c>
      <c r="BT261" s="22"/>
      <c r="BU261" s="21" t="s">
        <v>624</v>
      </c>
      <c r="BV261" s="21" t="str">
        <f>IF([1]!BANCO10[[#This Row],[SOLUÇÃO]]=BV$1,[1]!BANCO10[[#This Row],[STATUS DA ETAPA]],"")</f>
        <v/>
      </c>
      <c r="BW261" s="21" t="str">
        <f>IF([1]!BANCO10[[#This Row],[SOLUÇÃO]]=BW$1,[1]!BANCO10[[#This Row],[STATUS DA ETAPA]],"")</f>
        <v/>
      </c>
      <c r="BX261" s="21" t="str">
        <f>IF([1]!BANCO10[[#This Row],[SOLUÇÃO]]=BX$1,[1]!BANCO10[[#This Row],[STATUS DA ETAPA]],"")</f>
        <v/>
      </c>
      <c r="BY261" s="21" t="str">
        <f>IF([1]!BANCO10[[#This Row],[SOLUÇÃO]]=BY$1,[1]!BANCO10[[#This Row],[STATUS DA ETAPA]],"")</f>
        <v/>
      </c>
      <c r="BZ261" s="21" t="str">
        <f>IF([1]!BANCO10[[#This Row],[SOLUÇÃO]]=BZ$1,[1]!BANCO10[[#This Row],[STATUS DA ETAPA]],"")</f>
        <v/>
      </c>
      <c r="CA261" s="21" t="str">
        <f>IF([1]!BANCO10[[#This Row],[SOLUÇÃO]]=CA$1,[1]!BANCO10[[#This Row],[STATUS DA ETAPA]],"")</f>
        <v>CONCLUÍDO</v>
      </c>
      <c r="CB261" s="21" t="str">
        <f>IF([1]!BANCO10[[#This Row],[SOLUÇÃO]]=CB$1,[1]!BANCO10[[#This Row],[STATUS DA ETAPA]],"")</f>
        <v/>
      </c>
      <c r="CC261" s="21" t="str">
        <f>IF([1]!BANCO10[[#This Row],[SOLUÇÃO]]=CC$1,[1]!BANCO10[[#This Row],[STATUS DA ETAPA]],"")</f>
        <v/>
      </c>
      <c r="CD261" s="21" t="str">
        <f>IF([1]!BANCO10[[#This Row],[SOLUÇÃO]]=CD$1,[1]!BANCO10[[#This Row],[STATUS DA ETAPA]],"")</f>
        <v/>
      </c>
      <c r="CE261" s="21" t="str">
        <f>IF([1]!BANCO10[[#This Row],[SOLUÇÃO]]=CE$1,[1]!BANCO10[[#This Row],[STATUS DA ETAPA]],"")</f>
        <v/>
      </c>
      <c r="CF261" s="21" t="str">
        <f>IF([1]!BANCO10[[#This Row],[SOLUÇÃO]]=CF$1,[1]!BANCO10[[#This Row],[STATUS DA ETAPA]],"")</f>
        <v/>
      </c>
      <c r="CG261" s="21" t="str">
        <f>IF([1]!BANCO10[[#This Row],[SOLUÇÃO]]=CG$1,[1]!BANCO10[[#This Row],[STATUS DA ETAPA]],"")</f>
        <v/>
      </c>
      <c r="CH261" s="21" t="str">
        <f>IF([1]!BANCO10[[#This Row],[SOLUÇÃO]]=CH$1,[1]!BANCO10[[#This Row],[STATUS DA ETAPA]],"")</f>
        <v/>
      </c>
      <c r="CI261" s="21" t="str">
        <f>IF([1]!BANCO10[[#This Row],[SOLUÇÃO]]=CI$1,[1]!BANCO10[[#This Row],[STATUS DA ETAPA]],"")</f>
        <v/>
      </c>
      <c r="CJ261" s="21" t="str">
        <f>IF([1]!BANCO10[[#This Row],[SOLUÇÃO]]=CJ$1,[1]!BANCO10[[#This Row],[STATUS DA ETAPA]],"")</f>
        <v/>
      </c>
      <c r="CK261" s="21" t="str">
        <f>IF([1]!BANCO10[[#This Row],[SOLUÇÃO]]=CK$1,[1]!BANCO10[[#This Row],[STATUS DA ETAPA]],"")</f>
        <v/>
      </c>
      <c r="CL261" s="21" t="str">
        <f>IF([1]!BANCO10[[#This Row],[SOLUÇÃO]]=CL$1,[1]!BANCO10[[#This Row],[STATUS DA ETAPA]],"")</f>
        <v/>
      </c>
      <c r="CM261" s="21" t="str">
        <f>IF([1]!BANCO10[[#This Row],[SOLUÇÃO]]=CM$1,[1]!BANCO10[[#This Row],[STATUS DA ETAPA]],"")</f>
        <v/>
      </c>
      <c r="CN261" s="21" t="str">
        <f>IF([1]!BANCO10[[#This Row],[SOLUÇÃO]]=CN$1,[1]!BANCO10[[#This Row],[STATUS DA ETAPA]],"")</f>
        <v/>
      </c>
      <c r="CO261" s="21" t="str">
        <f>IF([1]!BANCO10[[#This Row],[SOLUÇÃO]]=CO$1,[1]!BANCO10[[#This Row],[STATUS DA ETAPA]],"")</f>
        <v/>
      </c>
      <c r="CP261" s="21" t="str">
        <f>IF([1]!BANCO10[[#This Row],[SOLUÇÃO]]=CP$1,[1]!BANCO10[[#This Row],[STATUS DA ETAPA]],"")</f>
        <v/>
      </c>
      <c r="CQ261" s="21" t="str">
        <f>IF([1]!BANCO10[[#This Row],[SOLUÇÃO]]=CQ$1,[1]!BANCO10[[#This Row],[STATUS DA ETAPA]],"")</f>
        <v/>
      </c>
      <c r="CR261" s="21" t="str">
        <f>IF([1]!BANCO10[[#This Row],[SOLUÇÃO]]=CR$1,[1]!BANCO10[[#This Row],[STATUS DA ETAPA]],"")</f>
        <v/>
      </c>
      <c r="CS261" s="21" t="str">
        <f>IF([1]!BANCO10[[#This Row],[SOLUÇÃO]]=CS$1,[1]!BANCO10[[#This Row],[STATUS DA ETAPA]],"")</f>
        <v/>
      </c>
      <c r="CT261" s="21" t="str">
        <f>IF([1]!BANCO10[[#This Row],[SOLUÇÃO]]=CT$1,[1]!BANCO10[[#This Row],[STATUS DA ETAPA]],"")</f>
        <v/>
      </c>
      <c r="CU261" s="21" t="str">
        <f>IF([1]!BANCO10[[#This Row],[SOLUÇÃO]]=CU$1,[1]!BANCO10[[#This Row],[STATUS DA ETAPA]],"")</f>
        <v/>
      </c>
      <c r="CV261" s="21" t="str">
        <f>IF([1]!BANCO10[[#This Row],[SOLUÇÃO]]=CV$1,[1]!BANCO10[[#This Row],[STATUS DA ETAPA]],"")</f>
        <v/>
      </c>
    </row>
    <row r="262" spans="1:100">
      <c r="A262" s="44" t="s">
        <v>1</v>
      </c>
      <c r="B262" s="44"/>
      <c r="C262" s="44" t="s">
        <v>1</v>
      </c>
      <c r="D262" s="44"/>
      <c r="E262" s="44" t="s">
        <v>1</v>
      </c>
      <c r="F262" s="44"/>
      <c r="G262" s="44" t="s">
        <v>1</v>
      </c>
      <c r="H262" s="44"/>
      <c r="I262" s="45" t="s">
        <v>1</v>
      </c>
      <c r="J262" s="46"/>
      <c r="K262" s="45" t="s">
        <v>1</v>
      </c>
      <c r="L262" s="33"/>
      <c r="M262" s="45" t="s">
        <v>1</v>
      </c>
      <c r="N262" s="33"/>
      <c r="O262" s="44" t="s">
        <v>2</v>
      </c>
      <c r="P262" s="44">
        <v>45049</v>
      </c>
      <c r="Q262" s="44" t="s">
        <v>2</v>
      </c>
      <c r="R262" s="44">
        <v>45049</v>
      </c>
      <c r="S262" s="44" t="s">
        <v>2</v>
      </c>
      <c r="T262" s="44">
        <v>45049</v>
      </c>
      <c r="U262" s="44" t="s">
        <v>2</v>
      </c>
      <c r="V262" s="44">
        <v>45049</v>
      </c>
      <c r="W262" s="44" t="s">
        <v>2</v>
      </c>
      <c r="X262" s="44">
        <v>45049</v>
      </c>
      <c r="Y262" s="44" t="s">
        <v>2</v>
      </c>
      <c r="Z262" s="44">
        <v>45049</v>
      </c>
      <c r="AA262" s="44" t="s">
        <v>1</v>
      </c>
      <c r="AB262" s="44"/>
      <c r="AC262" s="51">
        <v>45090</v>
      </c>
      <c r="AD262" s="50">
        <v>45230</v>
      </c>
      <c r="AE262" s="40" t="s">
        <v>2</v>
      </c>
      <c r="AF262" s="40" t="s">
        <v>2</v>
      </c>
      <c r="AG262" s="76" t="s">
        <v>5</v>
      </c>
      <c r="AH262" s="36" t="s">
        <v>0</v>
      </c>
      <c r="AI262" s="49">
        <v>0</v>
      </c>
      <c r="AJ262" s="36"/>
      <c r="AK262" s="10"/>
      <c r="AL262" s="36" t="s">
        <v>1</v>
      </c>
      <c r="AM262" s="36" t="s">
        <v>1</v>
      </c>
      <c r="AN262" s="35" t="s">
        <v>1</v>
      </c>
      <c r="AO262" s="35" t="s">
        <v>1</v>
      </c>
      <c r="AP262" s="35" t="s">
        <v>2</v>
      </c>
      <c r="AQ262" s="35" t="s">
        <v>1</v>
      </c>
      <c r="AR262" s="34" t="s">
        <v>1</v>
      </c>
      <c r="AS262" s="33"/>
      <c r="AT262" s="32" t="s">
        <v>0</v>
      </c>
      <c r="AU262" s="31"/>
      <c r="AV262" s="32" t="s">
        <v>0</v>
      </c>
      <c r="AW262" s="31"/>
      <c r="AX262" s="30" t="s">
        <v>2</v>
      </c>
      <c r="AY262" s="55">
        <v>45230</v>
      </c>
      <c r="AZ262" s="30" t="s">
        <v>1</v>
      </c>
      <c r="BA262" s="55"/>
      <c r="BB262" s="74"/>
      <c r="BC262" s="25"/>
      <c r="BD262" s="24" t="s">
        <v>11</v>
      </c>
      <c r="BE262" s="24" t="s">
        <v>11</v>
      </c>
      <c r="BF262" s="24" t="s">
        <v>21</v>
      </c>
      <c r="BG262" s="24" t="s">
        <v>11</v>
      </c>
      <c r="BH262" s="130" t="s">
        <v>19</v>
      </c>
      <c r="BI262" s="24"/>
      <c r="BJ262" s="24" t="s">
        <v>11</v>
      </c>
      <c r="BK262" s="24" t="s">
        <v>11</v>
      </c>
      <c r="BL262" s="24">
        <v>45391</v>
      </c>
      <c r="BM262" s="24" t="s">
        <v>18</v>
      </c>
      <c r="BN262" s="24" t="s">
        <v>270</v>
      </c>
      <c r="BO262" s="24"/>
      <c r="BP262" s="24" t="s">
        <v>623</v>
      </c>
      <c r="BQ262" s="22">
        <f>YEAR([1]!BANCO10[[#This Row],[DATA INÍCIO]])</f>
        <v>2023</v>
      </c>
      <c r="BR262" s="22">
        <f>MONTH([1]!BANCO10[[#This Row],[DATA INÍCIO]])</f>
        <v>6</v>
      </c>
      <c r="BS262" s="129" t="e">
        <f>CONCATENATE(#REF!,#REF!)</f>
        <v>#REF!</v>
      </c>
      <c r="BT262" s="22"/>
      <c r="BU262" s="21" t="s">
        <v>622</v>
      </c>
      <c r="BV262" s="21" t="str">
        <f>IF([1]!BANCO10[[#This Row],[SOLUÇÃO]]=BV$1,[1]!BANCO10[[#This Row],[STATUS DA ETAPA]],"")</f>
        <v/>
      </c>
      <c r="BW262" s="21" t="str">
        <f>IF([1]!BANCO10[[#This Row],[SOLUÇÃO]]=BW$1,[1]!BANCO10[[#This Row],[STATUS DA ETAPA]],"")</f>
        <v/>
      </c>
      <c r="BX262" s="21" t="str">
        <f>IF([1]!BANCO10[[#This Row],[SOLUÇÃO]]=BX$1,[1]!BANCO10[[#This Row],[STATUS DA ETAPA]],"")</f>
        <v/>
      </c>
      <c r="BY262" s="21" t="str">
        <f>IF([1]!BANCO10[[#This Row],[SOLUÇÃO]]=BY$1,[1]!BANCO10[[#This Row],[STATUS DA ETAPA]],"")</f>
        <v/>
      </c>
      <c r="BZ262" s="21" t="str">
        <f>IF([1]!BANCO10[[#This Row],[SOLUÇÃO]]=BZ$1,[1]!BANCO10[[#This Row],[STATUS DA ETAPA]],"")</f>
        <v/>
      </c>
      <c r="CA262" s="21" t="str">
        <f>IF([1]!BANCO10[[#This Row],[SOLUÇÃO]]=CA$1,[1]!BANCO10[[#This Row],[STATUS DA ETAPA]],"")</f>
        <v/>
      </c>
      <c r="CB262" s="21" t="str">
        <f>IF([1]!BANCO10[[#This Row],[SOLUÇÃO]]=CB$1,[1]!BANCO10[[#This Row],[STATUS DA ETAPA]],"")</f>
        <v/>
      </c>
      <c r="CC262" s="21" t="str">
        <f>IF([1]!BANCO10[[#This Row],[SOLUÇÃO]]=CC$1,[1]!BANCO10[[#This Row],[STATUS DA ETAPA]],"")</f>
        <v/>
      </c>
      <c r="CD262" s="21" t="str">
        <f>IF([1]!BANCO10[[#This Row],[SOLUÇÃO]]=CD$1,[1]!BANCO10[[#This Row],[STATUS DA ETAPA]],"")</f>
        <v/>
      </c>
      <c r="CE262" s="21" t="str">
        <f>IF([1]!BANCO10[[#This Row],[SOLUÇÃO]]=CE$1,[1]!BANCO10[[#This Row],[STATUS DA ETAPA]],"")</f>
        <v/>
      </c>
      <c r="CF262" s="21" t="str">
        <f>IF([1]!BANCO10[[#This Row],[SOLUÇÃO]]=CF$1,[1]!BANCO10[[#This Row],[STATUS DA ETAPA]],"")</f>
        <v/>
      </c>
      <c r="CG262" s="21" t="str">
        <f>IF([1]!BANCO10[[#This Row],[SOLUÇÃO]]=CG$1,[1]!BANCO10[[#This Row],[STATUS DA ETAPA]],"")</f>
        <v/>
      </c>
      <c r="CH262" s="21" t="str">
        <f>IF([1]!BANCO10[[#This Row],[SOLUÇÃO]]=CH$1,[1]!BANCO10[[#This Row],[STATUS DA ETAPA]],"")</f>
        <v/>
      </c>
      <c r="CI262" s="21" t="str">
        <f>IF([1]!BANCO10[[#This Row],[SOLUÇÃO]]=CI$1,[1]!BANCO10[[#This Row],[STATUS DA ETAPA]],"")</f>
        <v/>
      </c>
      <c r="CJ262" s="21" t="str">
        <f>IF([1]!BANCO10[[#This Row],[SOLUÇÃO]]=CJ$1,[1]!BANCO10[[#This Row],[STATUS DA ETAPA]],"")</f>
        <v/>
      </c>
      <c r="CK262" s="21" t="str">
        <f>IF([1]!BANCO10[[#This Row],[SOLUÇÃO]]=CK$1,[1]!BANCO10[[#This Row],[STATUS DA ETAPA]],"")</f>
        <v/>
      </c>
      <c r="CL262" s="21" t="str">
        <f>IF([1]!BANCO10[[#This Row],[SOLUÇÃO]]=CL$1,[1]!BANCO10[[#This Row],[STATUS DA ETAPA]],"")</f>
        <v/>
      </c>
      <c r="CM262" s="21" t="str">
        <f>IF([1]!BANCO10[[#This Row],[SOLUÇÃO]]=CM$1,[1]!BANCO10[[#This Row],[STATUS DA ETAPA]],"")</f>
        <v/>
      </c>
      <c r="CN262" s="21" t="str">
        <f>IF([1]!BANCO10[[#This Row],[SOLUÇÃO]]=CN$1,[1]!BANCO10[[#This Row],[STATUS DA ETAPA]],"")</f>
        <v/>
      </c>
      <c r="CO262" s="21" t="str">
        <f>IF([1]!BANCO10[[#This Row],[SOLUÇÃO]]=CO$1,[1]!BANCO10[[#This Row],[STATUS DA ETAPA]],"")</f>
        <v>CONCLUÍDO</v>
      </c>
      <c r="CP262" s="21" t="str">
        <f>IF([1]!BANCO10[[#This Row],[SOLUÇÃO]]=CP$1,[1]!BANCO10[[#This Row],[STATUS DA ETAPA]],"")</f>
        <v/>
      </c>
      <c r="CQ262" s="21" t="str">
        <f>IF([1]!BANCO10[[#This Row],[SOLUÇÃO]]=CQ$1,[1]!BANCO10[[#This Row],[STATUS DA ETAPA]],"")</f>
        <v/>
      </c>
      <c r="CR262" s="21" t="str">
        <f>IF([1]!BANCO10[[#This Row],[SOLUÇÃO]]=CR$1,[1]!BANCO10[[#This Row],[STATUS DA ETAPA]],"")</f>
        <v/>
      </c>
      <c r="CS262" s="21" t="str">
        <f>IF([1]!BANCO10[[#This Row],[SOLUÇÃO]]=CS$1,[1]!BANCO10[[#This Row],[STATUS DA ETAPA]],"")</f>
        <v/>
      </c>
      <c r="CT262" s="21" t="str">
        <f>IF([1]!BANCO10[[#This Row],[SOLUÇÃO]]=CT$1,[1]!BANCO10[[#This Row],[STATUS DA ETAPA]],"")</f>
        <v/>
      </c>
      <c r="CU262" s="21" t="str">
        <f>IF([1]!BANCO10[[#This Row],[SOLUÇÃO]]=CU$1,[1]!BANCO10[[#This Row],[STATUS DA ETAPA]],"")</f>
        <v/>
      </c>
      <c r="CV262" s="21" t="str">
        <f>IF([1]!BANCO10[[#This Row],[SOLUÇÃO]]=CV$1,[1]!BANCO10[[#This Row],[STATUS DA ETAPA]],"")</f>
        <v/>
      </c>
    </row>
    <row r="263" spans="1:100">
      <c r="A263" s="44" t="s">
        <v>2</v>
      </c>
      <c r="B263" s="44">
        <v>45922</v>
      </c>
      <c r="C263" s="44" t="s">
        <v>2</v>
      </c>
      <c r="D263" s="44">
        <v>45922</v>
      </c>
      <c r="E263" s="44" t="s">
        <v>2</v>
      </c>
      <c r="F263" s="44">
        <v>45923</v>
      </c>
      <c r="G263" s="44" t="s">
        <v>2</v>
      </c>
      <c r="H263" s="44">
        <v>45923</v>
      </c>
      <c r="I263" s="45" t="s">
        <v>1</v>
      </c>
      <c r="J263" s="46"/>
      <c r="K263" s="45" t="s">
        <v>1</v>
      </c>
      <c r="L263" s="33"/>
      <c r="M263" s="45" t="s">
        <v>1</v>
      </c>
      <c r="N263" s="33"/>
      <c r="O263" s="44" t="s">
        <v>1</v>
      </c>
      <c r="P263" s="44"/>
      <c r="Q263" s="44" t="s">
        <v>1</v>
      </c>
      <c r="R263" s="44"/>
      <c r="S263" s="44" t="s">
        <v>1</v>
      </c>
      <c r="T263" s="44"/>
      <c r="U263" s="44" t="s">
        <v>1</v>
      </c>
      <c r="V263" s="44"/>
      <c r="W263" s="44" t="s">
        <v>1</v>
      </c>
      <c r="X263" s="44"/>
      <c r="Y263" s="44" t="s">
        <v>1</v>
      </c>
      <c r="Z263" s="44"/>
      <c r="AA263" s="44" t="s">
        <v>1</v>
      </c>
      <c r="AB263" s="44"/>
      <c r="AC263" s="51">
        <v>45926</v>
      </c>
      <c r="AD263" s="50">
        <v>45936</v>
      </c>
      <c r="AE263" s="41" t="s">
        <v>0</v>
      </c>
      <c r="AF263" s="41" t="s">
        <v>0</v>
      </c>
      <c r="AG263" s="40" t="s">
        <v>5</v>
      </c>
      <c r="AH263" s="36" t="s">
        <v>0</v>
      </c>
      <c r="AI263" s="49">
        <v>8000</v>
      </c>
      <c r="AJ263" s="67" t="s">
        <v>6</v>
      </c>
      <c r="AK263" s="10" t="s">
        <v>1</v>
      </c>
      <c r="AL263" s="36" t="s">
        <v>1</v>
      </c>
      <c r="AM263" s="36" t="s">
        <v>1</v>
      </c>
      <c r="AN263" s="35" t="s">
        <v>1</v>
      </c>
      <c r="AO263" s="35" t="s">
        <v>1</v>
      </c>
      <c r="AP263" s="35" t="s">
        <v>0</v>
      </c>
      <c r="AQ263" s="35" t="s">
        <v>1</v>
      </c>
      <c r="AR263" s="34" t="s">
        <v>1</v>
      </c>
      <c r="AS263" s="33"/>
      <c r="AT263" s="32" t="s">
        <v>0</v>
      </c>
      <c r="AU263" s="31"/>
      <c r="AV263" s="32" t="s">
        <v>0</v>
      </c>
      <c r="AW263" s="31"/>
      <c r="AX263" s="28" t="s">
        <v>0</v>
      </c>
      <c r="AY263" s="55"/>
      <c r="AZ263" s="32" t="s">
        <v>0</v>
      </c>
      <c r="BA263" s="31"/>
      <c r="BB263" s="26"/>
      <c r="BC263" s="25"/>
      <c r="BD263" s="24"/>
      <c r="BE263" s="24"/>
      <c r="BF263" s="24"/>
      <c r="BG263" s="24"/>
      <c r="BH263" s="24"/>
      <c r="BI263" s="24"/>
      <c r="BJ263" s="24"/>
      <c r="BK263" s="24"/>
      <c r="BL263" s="24"/>
      <c r="BM263" s="24"/>
      <c r="BN263" s="24"/>
      <c r="BO263" s="24"/>
      <c r="BP263" s="24"/>
      <c r="BQ263" s="22">
        <f>YEAR([1]!BANCO10[[#This Row],[DATA INÍCIO]])</f>
        <v>2025</v>
      </c>
      <c r="BR263" s="22">
        <f>MONTH([1]!BANCO10[[#This Row],[DATA INÍCIO]])</f>
        <v>9</v>
      </c>
      <c r="BS263" s="23" t="e">
        <f>CONCATENATE(#REF!,#REF!)</f>
        <v>#REF!</v>
      </c>
      <c r="BT263" s="22"/>
      <c r="BU263" s="22"/>
      <c r="BV263" s="21" t="str">
        <f>IF([1]!BANCO10[[#This Row],[SOLUÇÃO]]=BV$1,[1]!BANCO10[[#This Row],[STATUS DA ETAPA]],"")</f>
        <v/>
      </c>
      <c r="BW263" s="21" t="str">
        <f>IF([1]!BANCO10[[#This Row],[SOLUÇÃO]]=BW$1,[1]!BANCO10[[#This Row],[STATUS DA ETAPA]],"")</f>
        <v/>
      </c>
      <c r="BX263" s="21" t="str">
        <f>IF([1]!BANCO10[[#This Row],[SOLUÇÃO]]=BX$1,[1]!BANCO10[[#This Row],[STATUS DA ETAPA]],"")</f>
        <v/>
      </c>
      <c r="BY263" s="21" t="str">
        <f>IF([1]!BANCO10[[#This Row],[SOLUÇÃO]]=BY$1,[1]!BANCO10[[#This Row],[STATUS DA ETAPA]],"")</f>
        <v/>
      </c>
      <c r="BZ263" s="21" t="str">
        <f>IF([1]!BANCO10[[#This Row],[SOLUÇÃO]]=BZ$1,[1]!BANCO10[[#This Row],[STATUS DA ETAPA]],"")</f>
        <v/>
      </c>
      <c r="CA263" s="21" t="str">
        <f>IF([1]!BANCO10[[#This Row],[SOLUÇÃO]]=CA$1,[1]!BANCO10[[#This Row],[STATUS DA ETAPA]],"")</f>
        <v/>
      </c>
      <c r="CB263" s="21" t="str">
        <f>IF([1]!BANCO10[[#This Row],[SOLUÇÃO]]=CB$1,[1]!BANCO10[[#This Row],[STATUS DA ETAPA]],"")</f>
        <v/>
      </c>
      <c r="CC263" s="21" t="str">
        <f>IF([1]!BANCO10[[#This Row],[SOLUÇÃO]]=CC$1,[1]!BANCO10[[#This Row],[STATUS DA ETAPA]],"")</f>
        <v/>
      </c>
      <c r="CD263" s="21" t="str">
        <f>IF([1]!BANCO10[[#This Row],[SOLUÇÃO]]=CD$1,[1]!BANCO10[[#This Row],[STATUS DA ETAPA]],"")</f>
        <v/>
      </c>
      <c r="CE263" s="21" t="str">
        <f>IF([1]!BANCO10[[#This Row],[SOLUÇÃO]]=CE$1,[1]!BANCO10[[#This Row],[STATUS DA ETAPA]],"")</f>
        <v/>
      </c>
      <c r="CF263" s="21" t="str">
        <f>IF([1]!BANCO10[[#This Row],[SOLUÇÃO]]=CF$1,[1]!BANCO10[[#This Row],[STATUS DA ETAPA]],"")</f>
        <v/>
      </c>
      <c r="CG263" s="21" t="str">
        <f>IF([1]!BANCO10[[#This Row],[SOLUÇÃO]]=CG$1,[1]!BANCO10[[#This Row],[STATUS DA ETAPA]],"")</f>
        <v/>
      </c>
      <c r="CH263" s="21" t="str">
        <f>IF([1]!BANCO10[[#This Row],[SOLUÇÃO]]=CH$1,[1]!BANCO10[[#This Row],[STATUS DA ETAPA]],"")</f>
        <v/>
      </c>
      <c r="CI263" s="21" t="str">
        <f>IF([1]!BANCO10[[#This Row],[SOLUÇÃO]]=CI$1,[1]!BANCO10[[#This Row],[STATUS DA ETAPA]],"")</f>
        <v/>
      </c>
      <c r="CJ263" s="21" t="str">
        <f>IF([1]!BANCO10[[#This Row],[SOLUÇÃO]]=CJ$1,[1]!BANCO10[[#This Row],[STATUS DA ETAPA]],"")</f>
        <v/>
      </c>
      <c r="CK263" s="21" t="str">
        <f>IF([1]!BANCO10[[#This Row],[SOLUÇÃO]]=CK$1,[1]!BANCO10[[#This Row],[STATUS DA ETAPA]],"")</f>
        <v/>
      </c>
      <c r="CL263" s="21" t="str">
        <f>IF([1]!BANCO10[[#This Row],[SOLUÇÃO]]=CL$1,[1]!BANCO10[[#This Row],[STATUS DA ETAPA]],"")</f>
        <v>EM ANDAMENTO</v>
      </c>
      <c r="CM263" s="21" t="str">
        <f>IF([1]!BANCO10[[#This Row],[SOLUÇÃO]]=CM$1,[1]!BANCO10[[#This Row],[STATUS DA ETAPA]],"")</f>
        <v/>
      </c>
      <c r="CN263" s="21" t="str">
        <f>IF([1]!BANCO10[[#This Row],[SOLUÇÃO]]=CN$1,[1]!BANCO10[[#This Row],[STATUS DA ETAPA]],"")</f>
        <v/>
      </c>
      <c r="CO263" s="21" t="str">
        <f>IF([1]!BANCO10[[#This Row],[SOLUÇÃO]]=CO$1,[1]!BANCO10[[#This Row],[STATUS DA ETAPA]],"")</f>
        <v/>
      </c>
      <c r="CP263" s="21" t="str">
        <f>IF([1]!BANCO10[[#This Row],[SOLUÇÃO]]=CP$1,[1]!BANCO10[[#This Row],[STATUS DA ETAPA]],"")</f>
        <v/>
      </c>
      <c r="CQ263" s="21" t="str">
        <f>IF([1]!BANCO10[[#This Row],[SOLUÇÃO]]=CQ$1,[1]!BANCO10[[#This Row],[STATUS DA ETAPA]],"")</f>
        <v/>
      </c>
      <c r="CR263" s="21" t="str">
        <f>IF([1]!BANCO10[[#This Row],[SOLUÇÃO]]=CR$1,[1]!BANCO10[[#This Row],[STATUS DA ETAPA]],"")</f>
        <v/>
      </c>
      <c r="CS263" s="21" t="str">
        <f>IF([1]!BANCO10[[#This Row],[SOLUÇÃO]]=CS$1,[1]!BANCO10[[#This Row],[STATUS DA ETAPA]],"")</f>
        <v/>
      </c>
      <c r="CT263" s="21" t="str">
        <f>IF([1]!BANCO10[[#This Row],[SOLUÇÃO]]=CT$1,[1]!BANCO10[[#This Row],[STATUS DA ETAPA]],"")</f>
        <v/>
      </c>
      <c r="CU263" s="21" t="str">
        <f>IF([1]!BANCO10[[#This Row],[SOLUÇÃO]]=CU$1,[1]!BANCO10[[#This Row],[STATUS DA ETAPA]],"")</f>
        <v/>
      </c>
      <c r="CV263" s="21" t="str">
        <f>IF([1]!BANCO10[[#This Row],[SOLUÇÃO]]=CV$1,[1]!BANCO10[[#This Row],[STATUS DA ETAPA]],"")</f>
        <v/>
      </c>
    </row>
    <row r="264" spans="1:100">
      <c r="A264" s="44" t="s">
        <v>2</v>
      </c>
      <c r="B264" s="44">
        <v>45691</v>
      </c>
      <c r="C264" s="44" t="s">
        <v>2</v>
      </c>
      <c r="D264" s="44">
        <v>45691</v>
      </c>
      <c r="E264" s="44" t="s">
        <v>2</v>
      </c>
      <c r="F264" s="44">
        <v>45694</v>
      </c>
      <c r="G264" s="44" t="s">
        <v>2</v>
      </c>
      <c r="H264" s="44">
        <v>45694</v>
      </c>
      <c r="I264" s="45" t="s">
        <v>2</v>
      </c>
      <c r="J264" s="46">
        <v>45694</v>
      </c>
      <c r="K264" s="45" t="s">
        <v>2</v>
      </c>
      <c r="L264" s="33">
        <v>45694</v>
      </c>
      <c r="M264" s="45" t="s">
        <v>2</v>
      </c>
      <c r="N264" s="33">
        <v>45694</v>
      </c>
      <c r="O264" s="44" t="s">
        <v>1</v>
      </c>
      <c r="P264" s="44"/>
      <c r="Q264" s="44" t="s">
        <v>2</v>
      </c>
      <c r="R264" s="44"/>
      <c r="S264" s="44" t="s">
        <v>2</v>
      </c>
      <c r="T264" s="44">
        <v>45708</v>
      </c>
      <c r="U264" s="44" t="s">
        <v>1</v>
      </c>
      <c r="V264" s="44"/>
      <c r="W264" s="44" t="s">
        <v>1</v>
      </c>
      <c r="X264" s="44"/>
      <c r="Y264" s="44" t="s">
        <v>1</v>
      </c>
      <c r="Z264" s="44"/>
      <c r="AA264" s="44" t="s">
        <v>1</v>
      </c>
      <c r="AB264" s="44"/>
      <c r="AC264" s="51">
        <v>45792</v>
      </c>
      <c r="AD264" s="50">
        <v>45869</v>
      </c>
      <c r="AE264" s="41" t="s">
        <v>2</v>
      </c>
      <c r="AF264" s="41" t="s">
        <v>0</v>
      </c>
      <c r="AG264" s="40" t="s">
        <v>5</v>
      </c>
      <c r="AH264" s="36" t="s">
        <v>0</v>
      </c>
      <c r="AI264" s="49">
        <v>20140</v>
      </c>
      <c r="AJ264" s="36" t="s">
        <v>6</v>
      </c>
      <c r="AK264" s="10">
        <v>603998</v>
      </c>
      <c r="AL264" s="36" t="s">
        <v>1</v>
      </c>
      <c r="AM264" s="36" t="s">
        <v>1</v>
      </c>
      <c r="AN264" s="35" t="s">
        <v>0</v>
      </c>
      <c r="AO264" s="35" t="s">
        <v>0</v>
      </c>
      <c r="AP264" s="35" t="s">
        <v>0</v>
      </c>
      <c r="AQ264" s="35" t="s">
        <v>2</v>
      </c>
      <c r="AR264" s="34" t="s">
        <v>0</v>
      </c>
      <c r="AS264" s="33"/>
      <c r="AT264" s="32" t="s">
        <v>1</v>
      </c>
      <c r="AU264" s="31"/>
      <c r="AV264" s="32" t="s">
        <v>1</v>
      </c>
      <c r="AW264" s="31"/>
      <c r="AX264" s="32" t="s">
        <v>0</v>
      </c>
      <c r="AY264" s="31"/>
      <c r="AZ264" s="32" t="s">
        <v>0</v>
      </c>
      <c r="BA264" s="31"/>
      <c r="BB264" s="109" t="s">
        <v>68</v>
      </c>
      <c r="BC264" s="22" t="s">
        <v>335</v>
      </c>
      <c r="BD264" s="24"/>
      <c r="BE264" s="24"/>
      <c r="BF264" s="24"/>
      <c r="BG264" s="24"/>
      <c r="BH264" s="24"/>
      <c r="BI264" s="24"/>
      <c r="BJ264" s="24"/>
      <c r="BK264" s="24"/>
      <c r="BL264" s="24"/>
      <c r="BM264" s="24"/>
      <c r="BN264" s="24"/>
      <c r="BO264" s="24"/>
      <c r="BP264" s="24"/>
      <c r="BQ264" s="22">
        <f>YEAR([1]!BANCO10[[#This Row],[DATA INÍCIO]])</f>
        <v>2025</v>
      </c>
      <c r="BR264" s="22">
        <f>MONTH([1]!BANCO10[[#This Row],[DATA INÍCIO]])</f>
        <v>5</v>
      </c>
      <c r="BS264" s="23" t="e">
        <f>CONCATENATE(#REF!,#REF!)</f>
        <v>#REF!</v>
      </c>
      <c r="BT264" s="22"/>
      <c r="BU264" s="22"/>
      <c r="BV264" s="21" t="str">
        <f>IF([1]!BANCO10[[#This Row],[SOLUÇÃO]]=BV$1,[1]!BANCO10[[#This Row],[STATUS DA ETAPA]],"")</f>
        <v/>
      </c>
      <c r="BW264" s="21" t="str">
        <f>IF([1]!BANCO10[[#This Row],[SOLUÇÃO]]=BW$1,[1]!BANCO10[[#This Row],[STATUS DA ETAPA]],"")</f>
        <v/>
      </c>
      <c r="BX264" s="21" t="str">
        <f>IF([1]!BANCO10[[#This Row],[SOLUÇÃO]]=BX$1,[1]!BANCO10[[#This Row],[STATUS DA ETAPA]],"")</f>
        <v/>
      </c>
      <c r="BY264" s="21" t="str">
        <f>IF([1]!BANCO10[[#This Row],[SOLUÇÃO]]=BY$1,[1]!BANCO10[[#This Row],[STATUS DA ETAPA]],"")</f>
        <v/>
      </c>
      <c r="BZ264" s="21" t="str">
        <f>IF([1]!BANCO10[[#This Row],[SOLUÇÃO]]=BZ$1,[1]!BANCO10[[#This Row],[STATUS DA ETAPA]],"")</f>
        <v/>
      </c>
      <c r="CA264" s="21" t="str">
        <f>IF([1]!BANCO10[[#This Row],[SOLUÇÃO]]=CA$1,[1]!BANCO10[[#This Row],[STATUS DA ETAPA]],"")</f>
        <v/>
      </c>
      <c r="CB264" s="21" t="str">
        <f>IF([1]!BANCO10[[#This Row],[SOLUÇÃO]]=CB$1,[1]!BANCO10[[#This Row],[STATUS DA ETAPA]],"")</f>
        <v>EM ANDAMENTO</v>
      </c>
      <c r="CC264" s="21" t="str">
        <f>IF([1]!BANCO10[[#This Row],[SOLUÇÃO]]=CC$1,[1]!BANCO10[[#This Row],[STATUS DA ETAPA]],"")</f>
        <v/>
      </c>
      <c r="CD264" s="21" t="str">
        <f>IF([1]!BANCO10[[#This Row],[SOLUÇÃO]]=CD$1,[1]!BANCO10[[#This Row],[STATUS DA ETAPA]],"")</f>
        <v/>
      </c>
      <c r="CE264" s="21" t="str">
        <f>IF([1]!BANCO10[[#This Row],[SOLUÇÃO]]=CE$1,[1]!BANCO10[[#This Row],[STATUS DA ETAPA]],"")</f>
        <v/>
      </c>
      <c r="CF264" s="21" t="str">
        <f>IF([1]!BANCO10[[#This Row],[SOLUÇÃO]]=CF$1,[1]!BANCO10[[#This Row],[STATUS DA ETAPA]],"")</f>
        <v/>
      </c>
      <c r="CG264" s="21" t="str">
        <f>IF([1]!BANCO10[[#This Row],[SOLUÇÃO]]=CG$1,[1]!BANCO10[[#This Row],[STATUS DA ETAPA]],"")</f>
        <v/>
      </c>
      <c r="CH264" s="21" t="str">
        <f>IF([1]!BANCO10[[#This Row],[SOLUÇÃO]]=CH$1,[1]!BANCO10[[#This Row],[STATUS DA ETAPA]],"")</f>
        <v/>
      </c>
      <c r="CI264" s="21" t="str">
        <f>IF([1]!BANCO10[[#This Row],[SOLUÇÃO]]=CI$1,[1]!BANCO10[[#This Row],[STATUS DA ETAPA]],"")</f>
        <v/>
      </c>
      <c r="CJ264" s="21" t="str">
        <f>IF([1]!BANCO10[[#This Row],[SOLUÇÃO]]=CJ$1,[1]!BANCO10[[#This Row],[STATUS DA ETAPA]],"")</f>
        <v/>
      </c>
      <c r="CK264" s="21" t="str">
        <f>IF([1]!BANCO10[[#This Row],[SOLUÇÃO]]=CK$1,[1]!BANCO10[[#This Row],[STATUS DA ETAPA]],"")</f>
        <v/>
      </c>
      <c r="CL264" s="21" t="str">
        <f>IF([1]!BANCO10[[#This Row],[SOLUÇÃO]]=CL$1,[1]!BANCO10[[#This Row],[STATUS DA ETAPA]],"")</f>
        <v/>
      </c>
      <c r="CM264" s="21" t="str">
        <f>IF([1]!BANCO10[[#This Row],[SOLUÇÃO]]=CM$1,[1]!BANCO10[[#This Row],[STATUS DA ETAPA]],"")</f>
        <v/>
      </c>
      <c r="CN264" s="21" t="str">
        <f>IF([1]!BANCO10[[#This Row],[SOLUÇÃO]]=CN$1,[1]!BANCO10[[#This Row],[STATUS DA ETAPA]],"")</f>
        <v/>
      </c>
      <c r="CO264" s="21" t="str">
        <f>IF([1]!BANCO10[[#This Row],[SOLUÇÃO]]=CO$1,[1]!BANCO10[[#This Row],[STATUS DA ETAPA]],"")</f>
        <v/>
      </c>
      <c r="CP264" s="21" t="str">
        <f>IF([1]!BANCO10[[#This Row],[SOLUÇÃO]]=CP$1,[1]!BANCO10[[#This Row],[STATUS DA ETAPA]],"")</f>
        <v/>
      </c>
      <c r="CQ264" s="21" t="str">
        <f>IF([1]!BANCO10[[#This Row],[SOLUÇÃO]]=CQ$1,[1]!BANCO10[[#This Row],[STATUS DA ETAPA]],"")</f>
        <v/>
      </c>
      <c r="CR264" s="21" t="str">
        <f>IF([1]!BANCO10[[#This Row],[SOLUÇÃO]]=CR$1,[1]!BANCO10[[#This Row],[STATUS DA ETAPA]],"")</f>
        <v/>
      </c>
      <c r="CS264" s="21" t="str">
        <f>IF([1]!BANCO10[[#This Row],[SOLUÇÃO]]=CS$1,[1]!BANCO10[[#This Row],[STATUS DA ETAPA]],"")</f>
        <v/>
      </c>
      <c r="CT264" s="21" t="str">
        <f>IF([1]!BANCO10[[#This Row],[SOLUÇÃO]]=CT$1,[1]!BANCO10[[#This Row],[STATUS DA ETAPA]],"")</f>
        <v/>
      </c>
      <c r="CU264" s="21" t="str">
        <f>IF([1]!BANCO10[[#This Row],[SOLUÇÃO]]=CU$1,[1]!BANCO10[[#This Row],[STATUS DA ETAPA]],"")</f>
        <v/>
      </c>
      <c r="CV264" s="21" t="str">
        <f>IF([1]!BANCO10[[#This Row],[SOLUÇÃO]]=CV$1,[1]!BANCO10[[#This Row],[STATUS DA ETAPA]],"")</f>
        <v/>
      </c>
    </row>
    <row r="265" spans="1:100">
      <c r="A265" s="44" t="s">
        <v>1</v>
      </c>
      <c r="B265" s="44"/>
      <c r="C265" s="44" t="s">
        <v>1</v>
      </c>
      <c r="D265" s="44"/>
      <c r="E265" s="44" t="s">
        <v>1</v>
      </c>
      <c r="F265" s="44"/>
      <c r="G265" s="44" t="s">
        <v>1</v>
      </c>
      <c r="H265" s="44"/>
      <c r="I265" s="45" t="s">
        <v>1</v>
      </c>
      <c r="J265" s="46"/>
      <c r="K265" s="45" t="s">
        <v>1</v>
      </c>
      <c r="L265" s="33"/>
      <c r="M265" s="45" t="s">
        <v>1</v>
      </c>
      <c r="N265" s="33"/>
      <c r="O265" s="44" t="s">
        <v>1</v>
      </c>
      <c r="P265" s="44"/>
      <c r="Q265" s="44" t="s">
        <v>1</v>
      </c>
      <c r="R265" s="44" t="s">
        <v>1</v>
      </c>
      <c r="S265" s="44" t="s">
        <v>1</v>
      </c>
      <c r="T265" s="44"/>
      <c r="U265" s="44" t="s">
        <v>1</v>
      </c>
      <c r="V265" s="44"/>
      <c r="W265" s="44" t="s">
        <v>1</v>
      </c>
      <c r="X265" s="44"/>
      <c r="Y265" s="44" t="s">
        <v>1</v>
      </c>
      <c r="Z265" s="44"/>
      <c r="AA265" s="44" t="s">
        <v>1</v>
      </c>
      <c r="AB265" s="44"/>
      <c r="AC265" s="51">
        <v>45713</v>
      </c>
      <c r="AD265" s="50">
        <v>45713</v>
      </c>
      <c r="AE265" s="41" t="s">
        <v>1</v>
      </c>
      <c r="AF265" s="41" t="s">
        <v>1</v>
      </c>
      <c r="AG265" s="40" t="s">
        <v>5</v>
      </c>
      <c r="AH265" s="36" t="s">
        <v>2</v>
      </c>
      <c r="AI265" s="49">
        <v>0</v>
      </c>
      <c r="AJ265" s="36" t="s">
        <v>1</v>
      </c>
      <c r="AK265" s="10" t="s">
        <v>1</v>
      </c>
      <c r="AL265" s="36" t="s">
        <v>1</v>
      </c>
      <c r="AM265" s="36" t="s">
        <v>1</v>
      </c>
      <c r="AN265" s="35" t="s">
        <v>1</v>
      </c>
      <c r="AO265" s="35" t="s">
        <v>1</v>
      </c>
      <c r="AP265" s="35" t="s">
        <v>1</v>
      </c>
      <c r="AQ265" s="35" t="s">
        <v>1</v>
      </c>
      <c r="AR265" s="82" t="s">
        <v>1</v>
      </c>
      <c r="AS265" s="33"/>
      <c r="AT265" s="32" t="s">
        <v>1</v>
      </c>
      <c r="AU265" s="31"/>
      <c r="AV265" s="32" t="s">
        <v>1</v>
      </c>
      <c r="AW265" s="31"/>
      <c r="AX265" s="32" t="s">
        <v>1</v>
      </c>
      <c r="AY265" s="31"/>
      <c r="AZ265" s="32" t="s">
        <v>1</v>
      </c>
      <c r="BA265" s="31"/>
      <c r="BB265" s="26"/>
      <c r="BC265" s="25"/>
      <c r="BD265" s="25"/>
      <c r="BE265" s="25"/>
      <c r="BF265" s="25"/>
      <c r="BG265" s="25"/>
      <c r="BH265" s="25"/>
      <c r="BI265" s="25"/>
      <c r="BJ265" s="25"/>
      <c r="BK265" s="25"/>
      <c r="BL265" s="25"/>
      <c r="BM265" s="25"/>
      <c r="BN265" s="25"/>
      <c r="BO265" s="25"/>
      <c r="BP265" s="25"/>
      <c r="BQ265" s="22">
        <f>YEAR([1]!BANCO10[[#This Row],[DATA INÍCIO]])</f>
        <v>2025</v>
      </c>
      <c r="BR265" s="22">
        <f>MONTH([1]!BANCO10[[#This Row],[DATA INÍCIO]])</f>
        <v>2</v>
      </c>
      <c r="BS265" s="23" t="e">
        <f>CONCATENATE(#REF!,#REF!)</f>
        <v>#REF!</v>
      </c>
      <c r="BT265" s="22"/>
      <c r="BU265" s="22"/>
      <c r="BV265" s="21" t="str">
        <f>IF([1]!BANCO10[[#This Row],[SOLUÇÃO]]=BV$1,[1]!BANCO10[[#This Row],[STATUS DA ETAPA]],"")</f>
        <v>CONCLUÍDO</v>
      </c>
      <c r="BW265" s="21" t="str">
        <f>IF([1]!BANCO10[[#This Row],[SOLUÇÃO]]=BW$1,[1]!BANCO10[[#This Row],[STATUS DA ETAPA]],"")</f>
        <v/>
      </c>
      <c r="BX265" s="21" t="str">
        <f>IF([1]!BANCO10[[#This Row],[SOLUÇÃO]]=BX$1,[1]!BANCO10[[#This Row],[STATUS DA ETAPA]],"")</f>
        <v/>
      </c>
      <c r="BY265" s="21" t="str">
        <f>IF([1]!BANCO10[[#This Row],[SOLUÇÃO]]=BY$1,[1]!BANCO10[[#This Row],[STATUS DA ETAPA]],"")</f>
        <v/>
      </c>
      <c r="BZ265" s="21" t="str">
        <f>IF([1]!BANCO10[[#This Row],[SOLUÇÃO]]=BZ$1,[1]!BANCO10[[#This Row],[STATUS DA ETAPA]],"")</f>
        <v/>
      </c>
      <c r="CA265" s="21" t="str">
        <f>IF([1]!BANCO10[[#This Row],[SOLUÇÃO]]=CA$1,[1]!BANCO10[[#This Row],[STATUS DA ETAPA]],"")</f>
        <v/>
      </c>
      <c r="CB265" s="21" t="str">
        <f>IF([1]!BANCO10[[#This Row],[SOLUÇÃO]]=CB$1,[1]!BANCO10[[#This Row],[STATUS DA ETAPA]],"")</f>
        <v/>
      </c>
      <c r="CC265" s="21" t="str">
        <f>IF([1]!BANCO10[[#This Row],[SOLUÇÃO]]=CC$1,[1]!BANCO10[[#This Row],[STATUS DA ETAPA]],"")</f>
        <v/>
      </c>
      <c r="CD265" s="21" t="str">
        <f>IF([1]!BANCO10[[#This Row],[SOLUÇÃO]]=CD$1,[1]!BANCO10[[#This Row],[STATUS DA ETAPA]],"")</f>
        <v/>
      </c>
      <c r="CE265" s="21" t="str">
        <f>IF([1]!BANCO10[[#This Row],[SOLUÇÃO]]=CE$1,[1]!BANCO10[[#This Row],[STATUS DA ETAPA]],"")</f>
        <v/>
      </c>
      <c r="CF265" s="21" t="str">
        <f>IF([1]!BANCO10[[#This Row],[SOLUÇÃO]]=CF$1,[1]!BANCO10[[#This Row],[STATUS DA ETAPA]],"")</f>
        <v/>
      </c>
      <c r="CG265" s="21" t="str">
        <f>IF([1]!BANCO10[[#This Row],[SOLUÇÃO]]=CG$1,[1]!BANCO10[[#This Row],[STATUS DA ETAPA]],"")</f>
        <v/>
      </c>
      <c r="CH265" s="21" t="str">
        <f>IF([1]!BANCO10[[#This Row],[SOLUÇÃO]]=CH$1,[1]!BANCO10[[#This Row],[STATUS DA ETAPA]],"")</f>
        <v/>
      </c>
      <c r="CI265" s="21" t="str">
        <f>IF([1]!BANCO10[[#This Row],[SOLUÇÃO]]=CI$1,[1]!BANCO10[[#This Row],[STATUS DA ETAPA]],"")</f>
        <v/>
      </c>
      <c r="CJ265" s="21" t="str">
        <f>IF([1]!BANCO10[[#This Row],[SOLUÇÃO]]=CJ$1,[1]!BANCO10[[#This Row],[STATUS DA ETAPA]],"")</f>
        <v/>
      </c>
      <c r="CK265" s="21" t="str">
        <f>IF([1]!BANCO10[[#This Row],[SOLUÇÃO]]=CK$1,[1]!BANCO10[[#This Row],[STATUS DA ETAPA]],"")</f>
        <v/>
      </c>
      <c r="CL265" s="21" t="str">
        <f>IF([1]!BANCO10[[#This Row],[SOLUÇÃO]]=CL$1,[1]!BANCO10[[#This Row],[STATUS DA ETAPA]],"")</f>
        <v/>
      </c>
      <c r="CM265" s="21" t="str">
        <f>IF([1]!BANCO10[[#This Row],[SOLUÇÃO]]=CM$1,[1]!BANCO10[[#This Row],[STATUS DA ETAPA]],"")</f>
        <v/>
      </c>
      <c r="CN265" s="21" t="str">
        <f>IF([1]!BANCO10[[#This Row],[SOLUÇÃO]]=CN$1,[1]!BANCO10[[#This Row],[STATUS DA ETAPA]],"")</f>
        <v/>
      </c>
      <c r="CO265" s="21" t="str">
        <f>IF([1]!BANCO10[[#This Row],[SOLUÇÃO]]=CO$1,[1]!BANCO10[[#This Row],[STATUS DA ETAPA]],"")</f>
        <v/>
      </c>
      <c r="CP265" s="21" t="str">
        <f>IF([1]!BANCO10[[#This Row],[SOLUÇÃO]]=CP$1,[1]!BANCO10[[#This Row],[STATUS DA ETAPA]],"")</f>
        <v/>
      </c>
      <c r="CQ265" s="21" t="str">
        <f>IF([1]!BANCO10[[#This Row],[SOLUÇÃO]]=CQ$1,[1]!BANCO10[[#This Row],[STATUS DA ETAPA]],"")</f>
        <v/>
      </c>
      <c r="CR265" s="21" t="str">
        <f>IF([1]!BANCO10[[#This Row],[SOLUÇÃO]]=CR$1,[1]!BANCO10[[#This Row],[STATUS DA ETAPA]],"")</f>
        <v/>
      </c>
      <c r="CS265" s="21" t="str">
        <f>IF([1]!BANCO10[[#This Row],[SOLUÇÃO]]=CS$1,[1]!BANCO10[[#This Row],[STATUS DA ETAPA]],"")</f>
        <v/>
      </c>
      <c r="CT265" s="21" t="str">
        <f>IF([1]!BANCO10[[#This Row],[SOLUÇÃO]]=CT$1,[1]!BANCO10[[#This Row],[STATUS DA ETAPA]],"")</f>
        <v/>
      </c>
      <c r="CU265" s="21" t="str">
        <f>IF([1]!BANCO10[[#This Row],[SOLUÇÃO]]=CU$1,[1]!BANCO10[[#This Row],[STATUS DA ETAPA]],"")</f>
        <v/>
      </c>
      <c r="CV265" s="21" t="str">
        <f>IF([1]!BANCO10[[#This Row],[SOLUÇÃO]]=CV$1,[1]!BANCO10[[#This Row],[STATUS DA ETAPA]],"")</f>
        <v/>
      </c>
    </row>
    <row r="266" spans="1:100">
      <c r="A266" s="44" t="s">
        <v>1</v>
      </c>
      <c r="B266" s="44"/>
      <c r="C266" s="44" t="s">
        <v>1</v>
      </c>
      <c r="D266" s="44"/>
      <c r="E266" s="44" t="s">
        <v>1</v>
      </c>
      <c r="F266" s="44"/>
      <c r="G266" s="44" t="s">
        <v>1</v>
      </c>
      <c r="H266" s="44"/>
      <c r="I266" s="45" t="s">
        <v>1</v>
      </c>
      <c r="J266" s="46"/>
      <c r="K266" s="45" t="s">
        <v>1</v>
      </c>
      <c r="L266" s="33"/>
      <c r="M266" s="45" t="s">
        <v>1</v>
      </c>
      <c r="N266" s="33"/>
      <c r="O266" s="44" t="s">
        <v>1</v>
      </c>
      <c r="P266" s="44"/>
      <c r="Q266" s="44" t="s">
        <v>1</v>
      </c>
      <c r="R266" s="44"/>
      <c r="S266" s="44" t="s">
        <v>1</v>
      </c>
      <c r="T266" s="44"/>
      <c r="U266" s="44" t="s">
        <v>1</v>
      </c>
      <c r="V266" s="44"/>
      <c r="W266" s="44" t="s">
        <v>1</v>
      </c>
      <c r="X266" s="44"/>
      <c r="Y266" s="44" t="s">
        <v>1</v>
      </c>
      <c r="Z266" s="44"/>
      <c r="AA266" s="44" t="s">
        <v>1</v>
      </c>
      <c r="AB266" s="44"/>
      <c r="AC266" s="51">
        <v>45963</v>
      </c>
      <c r="AD266" s="50">
        <v>45963</v>
      </c>
      <c r="AE266" s="40" t="s">
        <v>1</v>
      </c>
      <c r="AF266" s="40" t="s">
        <v>1</v>
      </c>
      <c r="AG266" s="40" t="s">
        <v>1</v>
      </c>
      <c r="AH266" s="36" t="s">
        <v>1</v>
      </c>
      <c r="AI266" s="49">
        <v>0</v>
      </c>
      <c r="AJ266" s="36" t="s">
        <v>1</v>
      </c>
      <c r="AK266" s="10" t="s">
        <v>1</v>
      </c>
      <c r="AL266" s="36" t="s">
        <v>1</v>
      </c>
      <c r="AM266" s="36" t="s">
        <v>1</v>
      </c>
      <c r="AN266" s="35" t="s">
        <v>1</v>
      </c>
      <c r="AO266" s="35" t="s">
        <v>1</v>
      </c>
      <c r="AP266" s="35" t="s">
        <v>1</v>
      </c>
      <c r="AQ266" s="35" t="s">
        <v>1</v>
      </c>
      <c r="AR266" s="34" t="s">
        <v>1</v>
      </c>
      <c r="AS266" s="63"/>
      <c r="AT266" s="32" t="s">
        <v>1</v>
      </c>
      <c r="AU266" s="31"/>
      <c r="AV266" s="32" t="s">
        <v>1</v>
      </c>
      <c r="AW266" s="31"/>
      <c r="AX266" s="32" t="s">
        <v>1</v>
      </c>
      <c r="AY266" s="31"/>
      <c r="AZ266" s="32" t="s">
        <v>1</v>
      </c>
      <c r="BA266" s="31"/>
      <c r="BB266" s="74" t="s">
        <v>621</v>
      </c>
      <c r="BC266" s="25"/>
      <c r="BD266" s="24" t="s">
        <v>19</v>
      </c>
      <c r="BE266" s="24" t="s">
        <v>19</v>
      </c>
      <c r="BF266" s="24" t="s">
        <v>19</v>
      </c>
      <c r="BG266" s="24" t="s">
        <v>11</v>
      </c>
      <c r="BH266" s="130" t="s">
        <v>19</v>
      </c>
      <c r="BI266" s="24"/>
      <c r="BJ266" s="24" t="s">
        <v>11</v>
      </c>
      <c r="BK266" s="24" t="s">
        <v>11</v>
      </c>
      <c r="BL266" s="24">
        <v>45402</v>
      </c>
      <c r="BM266" s="24"/>
      <c r="BN266" s="24" t="s">
        <v>11</v>
      </c>
      <c r="BO266" s="24"/>
      <c r="BP266" s="24" t="s">
        <v>178</v>
      </c>
      <c r="BQ266" s="22">
        <f>YEAR([1]!BANCO10[[#This Row],[DATA INÍCIO]])</f>
        <v>2025</v>
      </c>
      <c r="BR266" s="22">
        <f>MONTH([1]!BANCO10[[#This Row],[DATA INÍCIO]])</f>
        <v>11</v>
      </c>
      <c r="BS266" s="129" t="e">
        <f>CONCATENATE(#REF!,#REF!)</f>
        <v>#REF!</v>
      </c>
      <c r="BT266" s="22"/>
      <c r="BU266" s="21" t="s">
        <v>1</v>
      </c>
      <c r="BV266" s="21" t="str">
        <f>IF([1]!BANCO10[[#This Row],[SOLUÇÃO]]=BV$1,[1]!BANCO10[[#This Row],[STATUS DA ETAPA]],"")</f>
        <v/>
      </c>
      <c r="BW266" s="21" t="str">
        <f>IF([1]!BANCO10[[#This Row],[SOLUÇÃO]]=BW$1,[1]!BANCO10[[#This Row],[STATUS DA ETAPA]],"")</f>
        <v/>
      </c>
      <c r="BX266" s="21" t="str">
        <f>IF([1]!BANCO10[[#This Row],[SOLUÇÃO]]=BX$1,[1]!BANCO10[[#This Row],[STATUS DA ETAPA]],"")</f>
        <v/>
      </c>
      <c r="BY266" s="21" t="str">
        <f>IF([1]!BANCO10[[#This Row],[SOLUÇÃO]]=BY$1,[1]!BANCO10[[#This Row],[STATUS DA ETAPA]],"")</f>
        <v/>
      </c>
      <c r="BZ266" s="21" t="str">
        <f>IF([1]!BANCO10[[#This Row],[SOLUÇÃO]]=BZ$1,[1]!BANCO10[[#This Row],[STATUS DA ETAPA]],"")</f>
        <v/>
      </c>
      <c r="CA266" s="21" t="str">
        <f>IF([1]!BANCO10[[#This Row],[SOLUÇÃO]]=CA$1,[1]!BANCO10[[#This Row],[STATUS DA ETAPA]],"")</f>
        <v>CANCELADO</v>
      </c>
      <c r="CB266" s="21" t="str">
        <f>IF([1]!BANCO10[[#This Row],[SOLUÇÃO]]=CB$1,[1]!BANCO10[[#This Row],[STATUS DA ETAPA]],"")</f>
        <v/>
      </c>
      <c r="CC266" s="21" t="str">
        <f>IF([1]!BANCO10[[#This Row],[SOLUÇÃO]]=CC$1,[1]!BANCO10[[#This Row],[STATUS DA ETAPA]],"")</f>
        <v/>
      </c>
      <c r="CD266" s="21" t="str">
        <f>IF([1]!BANCO10[[#This Row],[SOLUÇÃO]]=CD$1,[1]!BANCO10[[#This Row],[STATUS DA ETAPA]],"")</f>
        <v/>
      </c>
      <c r="CE266" s="21" t="str">
        <f>IF([1]!BANCO10[[#This Row],[SOLUÇÃO]]=CE$1,[1]!BANCO10[[#This Row],[STATUS DA ETAPA]],"")</f>
        <v/>
      </c>
      <c r="CF266" s="21" t="str">
        <f>IF([1]!BANCO10[[#This Row],[SOLUÇÃO]]=CF$1,[1]!BANCO10[[#This Row],[STATUS DA ETAPA]],"")</f>
        <v/>
      </c>
      <c r="CG266" s="21" t="str">
        <f>IF([1]!BANCO10[[#This Row],[SOLUÇÃO]]=CG$1,[1]!BANCO10[[#This Row],[STATUS DA ETAPA]],"")</f>
        <v/>
      </c>
      <c r="CH266" s="21" t="str">
        <f>IF([1]!BANCO10[[#This Row],[SOLUÇÃO]]=CH$1,[1]!BANCO10[[#This Row],[STATUS DA ETAPA]],"")</f>
        <v/>
      </c>
      <c r="CI266" s="21" t="str">
        <f>IF([1]!BANCO10[[#This Row],[SOLUÇÃO]]=CI$1,[1]!BANCO10[[#This Row],[STATUS DA ETAPA]],"")</f>
        <v/>
      </c>
      <c r="CJ266" s="21" t="str">
        <f>IF([1]!BANCO10[[#This Row],[SOLUÇÃO]]=CJ$1,[1]!BANCO10[[#This Row],[STATUS DA ETAPA]],"")</f>
        <v/>
      </c>
      <c r="CK266" s="21" t="str">
        <f>IF([1]!BANCO10[[#This Row],[SOLUÇÃO]]=CK$1,[1]!BANCO10[[#This Row],[STATUS DA ETAPA]],"")</f>
        <v/>
      </c>
      <c r="CL266" s="21" t="str">
        <f>IF([1]!BANCO10[[#This Row],[SOLUÇÃO]]=CL$1,[1]!BANCO10[[#This Row],[STATUS DA ETAPA]],"")</f>
        <v/>
      </c>
      <c r="CM266" s="21" t="str">
        <f>IF([1]!BANCO10[[#This Row],[SOLUÇÃO]]=CM$1,[1]!BANCO10[[#This Row],[STATUS DA ETAPA]],"")</f>
        <v/>
      </c>
      <c r="CN266" s="21" t="str">
        <f>IF([1]!BANCO10[[#This Row],[SOLUÇÃO]]=CN$1,[1]!BANCO10[[#This Row],[STATUS DA ETAPA]],"")</f>
        <v/>
      </c>
      <c r="CO266" s="21" t="str">
        <f>IF([1]!BANCO10[[#This Row],[SOLUÇÃO]]=CO$1,[1]!BANCO10[[#This Row],[STATUS DA ETAPA]],"")</f>
        <v/>
      </c>
      <c r="CP266" s="21" t="str">
        <f>IF([1]!BANCO10[[#This Row],[SOLUÇÃO]]=CP$1,[1]!BANCO10[[#This Row],[STATUS DA ETAPA]],"")</f>
        <v/>
      </c>
      <c r="CQ266" s="21" t="str">
        <f>IF([1]!BANCO10[[#This Row],[SOLUÇÃO]]=CQ$1,[1]!BANCO10[[#This Row],[STATUS DA ETAPA]],"")</f>
        <v/>
      </c>
      <c r="CR266" s="21" t="str">
        <f>IF([1]!BANCO10[[#This Row],[SOLUÇÃO]]=CR$1,[1]!BANCO10[[#This Row],[STATUS DA ETAPA]],"")</f>
        <v/>
      </c>
      <c r="CS266" s="21" t="str">
        <f>IF([1]!BANCO10[[#This Row],[SOLUÇÃO]]=CS$1,[1]!BANCO10[[#This Row],[STATUS DA ETAPA]],"")</f>
        <v/>
      </c>
      <c r="CT266" s="21" t="str">
        <f>IF([1]!BANCO10[[#This Row],[SOLUÇÃO]]=CT$1,[1]!BANCO10[[#This Row],[STATUS DA ETAPA]],"")</f>
        <v/>
      </c>
      <c r="CU266" s="21" t="str">
        <f>IF([1]!BANCO10[[#This Row],[SOLUÇÃO]]=CU$1,[1]!BANCO10[[#This Row],[STATUS DA ETAPA]],"")</f>
        <v/>
      </c>
      <c r="CV266" s="21" t="str">
        <f>IF([1]!BANCO10[[#This Row],[SOLUÇÃO]]=CV$1,[1]!BANCO10[[#This Row],[STATUS DA ETAPA]],"")</f>
        <v/>
      </c>
    </row>
    <row r="267" spans="1:100">
      <c r="A267" s="44" t="s">
        <v>1</v>
      </c>
      <c r="B267" s="44"/>
      <c r="C267" s="44" t="s">
        <v>1</v>
      </c>
      <c r="D267" s="44"/>
      <c r="E267" s="44" t="s">
        <v>1</v>
      </c>
      <c r="F267" s="44"/>
      <c r="G267" s="44" t="s">
        <v>1</v>
      </c>
      <c r="H267" s="44"/>
      <c r="I267" s="45" t="s">
        <v>1</v>
      </c>
      <c r="J267" s="46"/>
      <c r="K267" s="45" t="s">
        <v>1</v>
      </c>
      <c r="L267" s="33"/>
      <c r="M267" s="45" t="s">
        <v>1</v>
      </c>
      <c r="N267" s="33"/>
      <c r="O267" s="44" t="s">
        <v>2</v>
      </c>
      <c r="P267" s="44">
        <v>44974</v>
      </c>
      <c r="Q267" s="44" t="s">
        <v>0</v>
      </c>
      <c r="R267" s="44"/>
      <c r="S267" s="44" t="s">
        <v>1</v>
      </c>
      <c r="T267" s="44"/>
      <c r="U267" s="44" t="s">
        <v>1</v>
      </c>
      <c r="V267" s="44"/>
      <c r="W267" s="44" t="s">
        <v>1</v>
      </c>
      <c r="X267" s="44"/>
      <c r="Y267" s="44" t="s">
        <v>1</v>
      </c>
      <c r="Z267" s="44"/>
      <c r="AA267" s="44" t="s">
        <v>1</v>
      </c>
      <c r="AB267" s="44"/>
      <c r="AC267" s="51">
        <v>44974</v>
      </c>
      <c r="AD267" s="51">
        <v>44974</v>
      </c>
      <c r="AE267" s="40" t="s">
        <v>1</v>
      </c>
      <c r="AF267" s="40" t="s">
        <v>1</v>
      </c>
      <c r="AG267" s="76" t="s">
        <v>5</v>
      </c>
      <c r="AH267" s="36" t="s">
        <v>1</v>
      </c>
      <c r="AI267" s="49">
        <v>0</v>
      </c>
      <c r="AJ267" s="36" t="s">
        <v>1</v>
      </c>
      <c r="AK267" s="10" t="s">
        <v>1</v>
      </c>
      <c r="AL267" s="36" t="s">
        <v>1</v>
      </c>
      <c r="AM267" s="36" t="s">
        <v>1</v>
      </c>
      <c r="AN267" s="35" t="s">
        <v>1</v>
      </c>
      <c r="AO267" s="35" t="s">
        <v>1</v>
      </c>
      <c r="AP267" s="35" t="s">
        <v>1</v>
      </c>
      <c r="AQ267" s="35" t="s">
        <v>1</v>
      </c>
      <c r="AR267" s="48" t="s">
        <v>1</v>
      </c>
      <c r="AS267" s="33"/>
      <c r="AT267" s="32" t="s">
        <v>1</v>
      </c>
      <c r="AU267" s="31"/>
      <c r="AV267" s="32" t="s">
        <v>1</v>
      </c>
      <c r="AW267" s="31"/>
      <c r="AX267" s="30" t="s">
        <v>1</v>
      </c>
      <c r="AY267" s="55"/>
      <c r="AZ267" s="30" t="s">
        <v>1</v>
      </c>
      <c r="BA267" s="55"/>
      <c r="BB267" s="74" t="s">
        <v>621</v>
      </c>
      <c r="BC267" s="25"/>
      <c r="BD267" s="24" t="s">
        <v>19</v>
      </c>
      <c r="BE267" s="24" t="s">
        <v>19</v>
      </c>
      <c r="BF267" s="24" t="s">
        <v>19</v>
      </c>
      <c r="BG267" s="24" t="s">
        <v>11</v>
      </c>
      <c r="BH267" s="130" t="s">
        <v>19</v>
      </c>
      <c r="BI267" s="24"/>
      <c r="BJ267" s="24" t="s">
        <v>11</v>
      </c>
      <c r="BK267" s="24" t="s">
        <v>11</v>
      </c>
      <c r="BL267" s="24" t="s">
        <v>11</v>
      </c>
      <c r="BM267" s="24" t="s">
        <v>11</v>
      </c>
      <c r="BN267" s="24" t="s">
        <v>11</v>
      </c>
      <c r="BO267" s="24" t="s">
        <v>11</v>
      </c>
      <c r="BP267" s="24" t="s">
        <v>11</v>
      </c>
      <c r="BQ267" s="22">
        <f>YEAR([1]!BANCO10[[#This Row],[DATA INÍCIO]])</f>
        <v>2023</v>
      </c>
      <c r="BR267" s="22">
        <f>MONTH([1]!BANCO10[[#This Row],[DATA INÍCIO]])</f>
        <v>2</v>
      </c>
      <c r="BS267" s="129" t="e">
        <f>CONCATENATE(#REF!,#REF!)</f>
        <v>#REF!</v>
      </c>
      <c r="BT267" s="22"/>
      <c r="BU267" s="21" t="s">
        <v>620</v>
      </c>
      <c r="BV267" s="21" t="str">
        <f>IF([1]!BANCO10[[#This Row],[SOLUÇÃO]]=BV$1,[1]!BANCO10[[#This Row],[STATUS DA ETAPA]],"")</f>
        <v>CONCLUÍDO</v>
      </c>
      <c r="BW267" s="21" t="str">
        <f>IF([1]!BANCO10[[#This Row],[SOLUÇÃO]]=BW$1,[1]!BANCO10[[#This Row],[STATUS DA ETAPA]],"")</f>
        <v/>
      </c>
      <c r="BX267" s="21" t="str">
        <f>IF([1]!BANCO10[[#This Row],[SOLUÇÃO]]=BX$1,[1]!BANCO10[[#This Row],[STATUS DA ETAPA]],"")</f>
        <v/>
      </c>
      <c r="BY267" s="21" t="str">
        <f>IF([1]!BANCO10[[#This Row],[SOLUÇÃO]]=BY$1,[1]!BANCO10[[#This Row],[STATUS DA ETAPA]],"")</f>
        <v/>
      </c>
      <c r="BZ267" s="21" t="str">
        <f>IF([1]!BANCO10[[#This Row],[SOLUÇÃO]]=BZ$1,[1]!BANCO10[[#This Row],[STATUS DA ETAPA]],"")</f>
        <v/>
      </c>
      <c r="CA267" s="21" t="str">
        <f>IF([1]!BANCO10[[#This Row],[SOLUÇÃO]]=CA$1,[1]!BANCO10[[#This Row],[STATUS DA ETAPA]],"")</f>
        <v/>
      </c>
      <c r="CB267" s="21" t="str">
        <f>IF([1]!BANCO10[[#This Row],[SOLUÇÃO]]=CB$1,[1]!BANCO10[[#This Row],[STATUS DA ETAPA]],"")</f>
        <v/>
      </c>
      <c r="CC267" s="21" t="str">
        <f>IF([1]!BANCO10[[#This Row],[SOLUÇÃO]]=CC$1,[1]!BANCO10[[#This Row],[STATUS DA ETAPA]],"")</f>
        <v/>
      </c>
      <c r="CD267" s="21" t="str">
        <f>IF([1]!BANCO10[[#This Row],[SOLUÇÃO]]=CD$1,[1]!BANCO10[[#This Row],[STATUS DA ETAPA]],"")</f>
        <v/>
      </c>
      <c r="CE267" s="21" t="str">
        <f>IF([1]!BANCO10[[#This Row],[SOLUÇÃO]]=CE$1,[1]!BANCO10[[#This Row],[STATUS DA ETAPA]],"")</f>
        <v/>
      </c>
      <c r="CF267" s="21" t="str">
        <f>IF([1]!BANCO10[[#This Row],[SOLUÇÃO]]=CF$1,[1]!BANCO10[[#This Row],[STATUS DA ETAPA]],"")</f>
        <v/>
      </c>
      <c r="CG267" s="21" t="str">
        <f>IF([1]!BANCO10[[#This Row],[SOLUÇÃO]]=CG$1,[1]!BANCO10[[#This Row],[STATUS DA ETAPA]],"")</f>
        <v/>
      </c>
      <c r="CH267" s="21" t="str">
        <f>IF([1]!BANCO10[[#This Row],[SOLUÇÃO]]=CH$1,[1]!BANCO10[[#This Row],[STATUS DA ETAPA]],"")</f>
        <v/>
      </c>
      <c r="CI267" s="21" t="str">
        <f>IF([1]!BANCO10[[#This Row],[SOLUÇÃO]]=CI$1,[1]!BANCO10[[#This Row],[STATUS DA ETAPA]],"")</f>
        <v/>
      </c>
      <c r="CJ267" s="21" t="str">
        <f>IF([1]!BANCO10[[#This Row],[SOLUÇÃO]]=CJ$1,[1]!BANCO10[[#This Row],[STATUS DA ETAPA]],"")</f>
        <v/>
      </c>
      <c r="CK267" s="21" t="str">
        <f>IF([1]!BANCO10[[#This Row],[SOLUÇÃO]]=CK$1,[1]!BANCO10[[#This Row],[STATUS DA ETAPA]],"")</f>
        <v/>
      </c>
      <c r="CL267" s="21" t="str">
        <f>IF([1]!BANCO10[[#This Row],[SOLUÇÃO]]=CL$1,[1]!BANCO10[[#This Row],[STATUS DA ETAPA]],"")</f>
        <v/>
      </c>
      <c r="CM267" s="21" t="str">
        <f>IF([1]!BANCO10[[#This Row],[SOLUÇÃO]]=CM$1,[1]!BANCO10[[#This Row],[STATUS DA ETAPA]],"")</f>
        <v/>
      </c>
      <c r="CN267" s="21" t="str">
        <f>IF([1]!BANCO10[[#This Row],[SOLUÇÃO]]=CN$1,[1]!BANCO10[[#This Row],[STATUS DA ETAPA]],"")</f>
        <v/>
      </c>
      <c r="CO267" s="21" t="str">
        <f>IF([1]!BANCO10[[#This Row],[SOLUÇÃO]]=CO$1,[1]!BANCO10[[#This Row],[STATUS DA ETAPA]],"")</f>
        <v/>
      </c>
      <c r="CP267" s="21" t="str">
        <f>IF([1]!BANCO10[[#This Row],[SOLUÇÃO]]=CP$1,[1]!BANCO10[[#This Row],[STATUS DA ETAPA]],"")</f>
        <v/>
      </c>
      <c r="CQ267" s="21" t="str">
        <f>IF([1]!BANCO10[[#This Row],[SOLUÇÃO]]=CQ$1,[1]!BANCO10[[#This Row],[STATUS DA ETAPA]],"")</f>
        <v/>
      </c>
      <c r="CR267" s="21" t="str">
        <f>IF([1]!BANCO10[[#This Row],[SOLUÇÃO]]=CR$1,[1]!BANCO10[[#This Row],[STATUS DA ETAPA]],"")</f>
        <v/>
      </c>
      <c r="CS267" s="21" t="str">
        <f>IF([1]!BANCO10[[#This Row],[SOLUÇÃO]]=CS$1,[1]!BANCO10[[#This Row],[STATUS DA ETAPA]],"")</f>
        <v/>
      </c>
      <c r="CT267" s="21" t="str">
        <f>IF([1]!BANCO10[[#This Row],[SOLUÇÃO]]=CT$1,[1]!BANCO10[[#This Row],[STATUS DA ETAPA]],"")</f>
        <v/>
      </c>
      <c r="CU267" s="21" t="str">
        <f>IF([1]!BANCO10[[#This Row],[SOLUÇÃO]]=CU$1,[1]!BANCO10[[#This Row],[STATUS DA ETAPA]],"")</f>
        <v/>
      </c>
      <c r="CV267" s="21" t="str">
        <f>IF([1]!BANCO10[[#This Row],[SOLUÇÃO]]=CV$1,[1]!BANCO10[[#This Row],[STATUS DA ETAPA]],"")</f>
        <v/>
      </c>
    </row>
    <row r="268" spans="1:100">
      <c r="A268" s="44" t="s">
        <v>1</v>
      </c>
      <c r="B268" s="44"/>
      <c r="C268" s="44" t="s">
        <v>1</v>
      </c>
      <c r="D268" s="44"/>
      <c r="E268" s="44" t="s">
        <v>1</v>
      </c>
      <c r="F268" s="44"/>
      <c r="G268" s="44" t="s">
        <v>1</v>
      </c>
      <c r="H268" s="44"/>
      <c r="I268" s="45" t="s">
        <v>1</v>
      </c>
      <c r="J268" s="46"/>
      <c r="K268" s="45" t="s">
        <v>1</v>
      </c>
      <c r="L268" s="33"/>
      <c r="M268" s="45" t="s">
        <v>1</v>
      </c>
      <c r="N268" s="33"/>
      <c r="O268" s="44" t="s">
        <v>2</v>
      </c>
      <c r="P268" s="44">
        <v>44991</v>
      </c>
      <c r="Q268" s="44" t="s">
        <v>0</v>
      </c>
      <c r="R268" s="44"/>
      <c r="S268" s="44" t="s">
        <v>1</v>
      </c>
      <c r="T268" s="44"/>
      <c r="U268" s="44" t="s">
        <v>1</v>
      </c>
      <c r="V268" s="44"/>
      <c r="W268" s="44" t="s">
        <v>1</v>
      </c>
      <c r="X268" s="44"/>
      <c r="Y268" s="44" t="s">
        <v>1</v>
      </c>
      <c r="Z268" s="44"/>
      <c r="AA268" s="44" t="s">
        <v>1</v>
      </c>
      <c r="AB268" s="44"/>
      <c r="AC268" s="51">
        <v>44991</v>
      </c>
      <c r="AD268" s="50">
        <v>44991</v>
      </c>
      <c r="AE268" s="40" t="s">
        <v>1</v>
      </c>
      <c r="AF268" s="40" t="s">
        <v>1</v>
      </c>
      <c r="AG268" s="76" t="s">
        <v>5</v>
      </c>
      <c r="AH268" s="36" t="s">
        <v>1</v>
      </c>
      <c r="AI268" s="49">
        <v>0</v>
      </c>
      <c r="AJ268" s="36" t="s">
        <v>1</v>
      </c>
      <c r="AK268" s="10" t="s">
        <v>1</v>
      </c>
      <c r="AL268" s="36" t="s">
        <v>1</v>
      </c>
      <c r="AM268" s="36" t="s">
        <v>1</v>
      </c>
      <c r="AN268" s="35" t="s">
        <v>1</v>
      </c>
      <c r="AO268" s="35" t="s">
        <v>1</v>
      </c>
      <c r="AP268" s="35" t="s">
        <v>1</v>
      </c>
      <c r="AQ268" s="35" t="s">
        <v>1</v>
      </c>
      <c r="AR268" s="82" t="s">
        <v>1</v>
      </c>
      <c r="AS268" s="33"/>
      <c r="AT268" s="32" t="s">
        <v>1</v>
      </c>
      <c r="AU268" s="31"/>
      <c r="AV268" s="32" t="s">
        <v>1</v>
      </c>
      <c r="AW268" s="31"/>
      <c r="AX268" s="30" t="s">
        <v>1</v>
      </c>
      <c r="AY268" s="55"/>
      <c r="AZ268" s="30" t="s">
        <v>1</v>
      </c>
      <c r="BA268" s="55"/>
      <c r="BB268" s="74" t="s">
        <v>294</v>
      </c>
      <c r="BC268" s="25"/>
      <c r="BD268" s="24" t="s">
        <v>19</v>
      </c>
      <c r="BE268" s="24" t="s">
        <v>19</v>
      </c>
      <c r="BF268" s="24" t="s">
        <v>19</v>
      </c>
      <c r="BG268" s="24" t="s">
        <v>11</v>
      </c>
      <c r="BH268" s="130" t="s">
        <v>19</v>
      </c>
      <c r="BI268" s="24"/>
      <c r="BJ268" s="24" t="s">
        <v>11</v>
      </c>
      <c r="BK268" s="24" t="s">
        <v>11</v>
      </c>
      <c r="BL268" s="24" t="s">
        <v>11</v>
      </c>
      <c r="BM268" s="24" t="s">
        <v>11</v>
      </c>
      <c r="BN268" s="24" t="s">
        <v>11</v>
      </c>
      <c r="BO268" s="24" t="s">
        <v>11</v>
      </c>
      <c r="BP268" s="24" t="s">
        <v>11</v>
      </c>
      <c r="BQ268" s="22">
        <f>YEAR([1]!BANCO10[[#This Row],[DATA INÍCIO]])</f>
        <v>2023</v>
      </c>
      <c r="BR268" s="22">
        <f>MONTH([1]!BANCO10[[#This Row],[DATA INÍCIO]])</f>
        <v>3</v>
      </c>
      <c r="BS268" s="129" t="e">
        <f>CONCATENATE(#REF!,#REF!)</f>
        <v>#REF!</v>
      </c>
      <c r="BT268" s="22"/>
      <c r="BU268" s="21" t="s">
        <v>619</v>
      </c>
      <c r="BV268" s="21" t="str">
        <f>IF([1]!BANCO10[[#This Row],[SOLUÇÃO]]=BV$1,[1]!BANCO10[[#This Row],[STATUS DA ETAPA]],"")</f>
        <v>CONCLUÍDO</v>
      </c>
      <c r="BW268" s="21" t="str">
        <f>IF([1]!BANCO10[[#This Row],[SOLUÇÃO]]=BW$1,[1]!BANCO10[[#This Row],[STATUS DA ETAPA]],"")</f>
        <v/>
      </c>
      <c r="BX268" s="21" t="str">
        <f>IF([1]!BANCO10[[#This Row],[SOLUÇÃO]]=BX$1,[1]!BANCO10[[#This Row],[STATUS DA ETAPA]],"")</f>
        <v/>
      </c>
      <c r="BY268" s="21" t="str">
        <f>IF([1]!BANCO10[[#This Row],[SOLUÇÃO]]=BY$1,[1]!BANCO10[[#This Row],[STATUS DA ETAPA]],"")</f>
        <v/>
      </c>
      <c r="BZ268" s="21" t="str">
        <f>IF([1]!BANCO10[[#This Row],[SOLUÇÃO]]=BZ$1,[1]!BANCO10[[#This Row],[STATUS DA ETAPA]],"")</f>
        <v/>
      </c>
      <c r="CA268" s="21" t="str">
        <f>IF([1]!BANCO10[[#This Row],[SOLUÇÃO]]=CA$1,[1]!BANCO10[[#This Row],[STATUS DA ETAPA]],"")</f>
        <v/>
      </c>
      <c r="CB268" s="21" t="str">
        <f>IF([1]!BANCO10[[#This Row],[SOLUÇÃO]]=CB$1,[1]!BANCO10[[#This Row],[STATUS DA ETAPA]],"")</f>
        <v/>
      </c>
      <c r="CC268" s="21" t="str">
        <f>IF([1]!BANCO10[[#This Row],[SOLUÇÃO]]=CC$1,[1]!BANCO10[[#This Row],[STATUS DA ETAPA]],"")</f>
        <v/>
      </c>
      <c r="CD268" s="21" t="str">
        <f>IF([1]!BANCO10[[#This Row],[SOLUÇÃO]]=CD$1,[1]!BANCO10[[#This Row],[STATUS DA ETAPA]],"")</f>
        <v/>
      </c>
      <c r="CE268" s="21" t="str">
        <f>IF([1]!BANCO10[[#This Row],[SOLUÇÃO]]=CE$1,[1]!BANCO10[[#This Row],[STATUS DA ETAPA]],"")</f>
        <v/>
      </c>
      <c r="CF268" s="21" t="str">
        <f>IF([1]!BANCO10[[#This Row],[SOLUÇÃO]]=CF$1,[1]!BANCO10[[#This Row],[STATUS DA ETAPA]],"")</f>
        <v/>
      </c>
      <c r="CG268" s="21" t="str">
        <f>IF([1]!BANCO10[[#This Row],[SOLUÇÃO]]=CG$1,[1]!BANCO10[[#This Row],[STATUS DA ETAPA]],"")</f>
        <v/>
      </c>
      <c r="CH268" s="21" t="str">
        <f>IF([1]!BANCO10[[#This Row],[SOLUÇÃO]]=CH$1,[1]!BANCO10[[#This Row],[STATUS DA ETAPA]],"")</f>
        <v/>
      </c>
      <c r="CI268" s="21" t="str">
        <f>IF([1]!BANCO10[[#This Row],[SOLUÇÃO]]=CI$1,[1]!BANCO10[[#This Row],[STATUS DA ETAPA]],"")</f>
        <v/>
      </c>
      <c r="CJ268" s="21" t="str">
        <f>IF([1]!BANCO10[[#This Row],[SOLUÇÃO]]=CJ$1,[1]!BANCO10[[#This Row],[STATUS DA ETAPA]],"")</f>
        <v/>
      </c>
      <c r="CK268" s="21" t="str">
        <f>IF([1]!BANCO10[[#This Row],[SOLUÇÃO]]=CK$1,[1]!BANCO10[[#This Row],[STATUS DA ETAPA]],"")</f>
        <v/>
      </c>
      <c r="CL268" s="21" t="str">
        <f>IF([1]!BANCO10[[#This Row],[SOLUÇÃO]]=CL$1,[1]!BANCO10[[#This Row],[STATUS DA ETAPA]],"")</f>
        <v/>
      </c>
      <c r="CM268" s="21" t="str">
        <f>IF([1]!BANCO10[[#This Row],[SOLUÇÃO]]=CM$1,[1]!BANCO10[[#This Row],[STATUS DA ETAPA]],"")</f>
        <v/>
      </c>
      <c r="CN268" s="21" t="str">
        <f>IF([1]!BANCO10[[#This Row],[SOLUÇÃO]]=CN$1,[1]!BANCO10[[#This Row],[STATUS DA ETAPA]],"")</f>
        <v/>
      </c>
      <c r="CO268" s="21" t="str">
        <f>IF([1]!BANCO10[[#This Row],[SOLUÇÃO]]=CO$1,[1]!BANCO10[[#This Row],[STATUS DA ETAPA]],"")</f>
        <v/>
      </c>
      <c r="CP268" s="21" t="str">
        <f>IF([1]!BANCO10[[#This Row],[SOLUÇÃO]]=CP$1,[1]!BANCO10[[#This Row],[STATUS DA ETAPA]],"")</f>
        <v/>
      </c>
      <c r="CQ268" s="21" t="str">
        <f>IF([1]!BANCO10[[#This Row],[SOLUÇÃO]]=CQ$1,[1]!BANCO10[[#This Row],[STATUS DA ETAPA]],"")</f>
        <v/>
      </c>
      <c r="CR268" s="21" t="str">
        <f>IF([1]!BANCO10[[#This Row],[SOLUÇÃO]]=CR$1,[1]!BANCO10[[#This Row],[STATUS DA ETAPA]],"")</f>
        <v/>
      </c>
      <c r="CS268" s="21" t="str">
        <f>IF([1]!BANCO10[[#This Row],[SOLUÇÃO]]=CS$1,[1]!BANCO10[[#This Row],[STATUS DA ETAPA]],"")</f>
        <v/>
      </c>
      <c r="CT268" s="21" t="str">
        <f>IF([1]!BANCO10[[#This Row],[SOLUÇÃO]]=CT$1,[1]!BANCO10[[#This Row],[STATUS DA ETAPA]],"")</f>
        <v/>
      </c>
      <c r="CU268" s="21" t="str">
        <f>IF([1]!BANCO10[[#This Row],[SOLUÇÃO]]=CU$1,[1]!BANCO10[[#This Row],[STATUS DA ETAPA]],"")</f>
        <v/>
      </c>
      <c r="CV268" s="21" t="str">
        <f>IF([1]!BANCO10[[#This Row],[SOLUÇÃO]]=CV$1,[1]!BANCO10[[#This Row],[STATUS DA ETAPA]],"")</f>
        <v/>
      </c>
    </row>
    <row r="269" spans="1:100">
      <c r="A269" s="44" t="s">
        <v>1</v>
      </c>
      <c r="B269" s="44"/>
      <c r="C269" s="44" t="s">
        <v>1</v>
      </c>
      <c r="D269" s="44"/>
      <c r="E269" s="44" t="s">
        <v>1</v>
      </c>
      <c r="F269" s="44"/>
      <c r="G269" s="44" t="s">
        <v>1</v>
      </c>
      <c r="H269" s="44"/>
      <c r="I269" s="45" t="s">
        <v>1</v>
      </c>
      <c r="J269" s="46"/>
      <c r="K269" s="45" t="s">
        <v>1</v>
      </c>
      <c r="L269" s="33"/>
      <c r="M269" s="45" t="s">
        <v>1</v>
      </c>
      <c r="N269" s="33"/>
      <c r="O269" s="44" t="s">
        <v>2</v>
      </c>
      <c r="P269" s="44">
        <v>44991</v>
      </c>
      <c r="Q269" s="44" t="s">
        <v>2</v>
      </c>
      <c r="R269" s="44">
        <v>45009</v>
      </c>
      <c r="S269" s="44"/>
      <c r="T269" s="44"/>
      <c r="U269" s="44"/>
      <c r="V269" s="44"/>
      <c r="W269" s="44"/>
      <c r="X269" s="44"/>
      <c r="Y269" s="44"/>
      <c r="Z269" s="44"/>
      <c r="AA269" s="44" t="s">
        <v>1</v>
      </c>
      <c r="AB269" s="44"/>
      <c r="AC269" s="51">
        <v>45963</v>
      </c>
      <c r="AD269" s="50">
        <v>45963</v>
      </c>
      <c r="AE269" s="41" t="s">
        <v>1</v>
      </c>
      <c r="AF269" s="41" t="s">
        <v>1</v>
      </c>
      <c r="AG269" s="76" t="s">
        <v>5</v>
      </c>
      <c r="AH269" s="36" t="s">
        <v>0</v>
      </c>
      <c r="AI269" s="49">
        <v>0</v>
      </c>
      <c r="AJ269" s="36"/>
      <c r="AK269" s="10" t="s">
        <v>30</v>
      </c>
      <c r="AL269" s="36" t="s">
        <v>30</v>
      </c>
      <c r="AM269" s="36" t="s">
        <v>30</v>
      </c>
      <c r="AN269" s="35" t="s">
        <v>1</v>
      </c>
      <c r="AO269" s="35" t="s">
        <v>1</v>
      </c>
      <c r="AP269" s="35"/>
      <c r="AQ269" s="35" t="s">
        <v>1</v>
      </c>
      <c r="AR269" s="34" t="s">
        <v>1</v>
      </c>
      <c r="AS269" s="33"/>
      <c r="AT269" s="32"/>
      <c r="AU269" s="31"/>
      <c r="AV269" s="32"/>
      <c r="AW269" s="31"/>
      <c r="AX269" s="30" t="s">
        <v>0</v>
      </c>
      <c r="AY269" s="29"/>
      <c r="AZ269" s="28" t="s">
        <v>0</v>
      </c>
      <c r="BA269" s="27"/>
      <c r="BB269" s="74" t="s">
        <v>294</v>
      </c>
      <c r="BC269" s="25"/>
      <c r="BD269" s="24" t="s">
        <v>19</v>
      </c>
      <c r="BE269" s="24" t="s">
        <v>19</v>
      </c>
      <c r="BF269" s="24" t="s">
        <v>19</v>
      </c>
      <c r="BG269" s="24" t="s">
        <v>11</v>
      </c>
      <c r="BH269" s="130" t="s">
        <v>19</v>
      </c>
      <c r="BI269" s="24"/>
      <c r="BJ269" s="24" t="s">
        <v>11</v>
      </c>
      <c r="BK269" s="24" t="s">
        <v>11</v>
      </c>
      <c r="BL269" s="24">
        <v>45402</v>
      </c>
      <c r="BM269" s="24"/>
      <c r="BN269" s="24" t="s">
        <v>11</v>
      </c>
      <c r="BO269" s="24"/>
      <c r="BP269" s="24" t="s">
        <v>178</v>
      </c>
      <c r="BQ269" s="22">
        <f>YEAR([1]!BANCO10[[#This Row],[DATA INÍCIO]])</f>
        <v>2025</v>
      </c>
      <c r="BR269" s="22">
        <f>MONTH([1]!BANCO10[[#This Row],[DATA INÍCIO]])</f>
        <v>11</v>
      </c>
      <c r="BS269" s="129" t="e">
        <f>CONCATENATE(#REF!,#REF!)</f>
        <v>#REF!</v>
      </c>
      <c r="BT269" s="22"/>
      <c r="BU269" s="21" t="s">
        <v>30</v>
      </c>
      <c r="BV269" s="21" t="str">
        <f>IF([1]!BANCO10[[#This Row],[SOLUÇÃO]]=BV$1,[1]!BANCO10[[#This Row],[STATUS DA ETAPA]],"")</f>
        <v/>
      </c>
      <c r="BW269" s="21" t="str">
        <f>IF([1]!BANCO10[[#This Row],[SOLUÇÃO]]=BW$1,[1]!BANCO10[[#This Row],[STATUS DA ETAPA]],"")</f>
        <v/>
      </c>
      <c r="BX269" s="21" t="str">
        <f>IF([1]!BANCO10[[#This Row],[SOLUÇÃO]]=BX$1,[1]!BANCO10[[#This Row],[STATUS DA ETAPA]],"")</f>
        <v/>
      </c>
      <c r="BY269" s="21" t="str">
        <f>IF([1]!BANCO10[[#This Row],[SOLUÇÃO]]=BY$1,[1]!BANCO10[[#This Row],[STATUS DA ETAPA]],"")</f>
        <v/>
      </c>
      <c r="BZ269" s="21" t="str">
        <f>IF([1]!BANCO10[[#This Row],[SOLUÇÃO]]=BZ$1,[1]!BANCO10[[#This Row],[STATUS DA ETAPA]],"")</f>
        <v/>
      </c>
      <c r="CA269" s="21" t="str">
        <f>IF([1]!BANCO10[[#This Row],[SOLUÇÃO]]=CA$1,[1]!BANCO10[[#This Row],[STATUS DA ETAPA]],"")</f>
        <v>PROSPECÇÃO</v>
      </c>
      <c r="CB269" s="21" t="str">
        <f>IF([1]!BANCO10[[#This Row],[SOLUÇÃO]]=CB$1,[1]!BANCO10[[#This Row],[STATUS DA ETAPA]],"")</f>
        <v/>
      </c>
      <c r="CC269" s="21" t="str">
        <f>IF([1]!BANCO10[[#This Row],[SOLUÇÃO]]=CC$1,[1]!BANCO10[[#This Row],[STATUS DA ETAPA]],"")</f>
        <v/>
      </c>
      <c r="CD269" s="21" t="str">
        <f>IF([1]!BANCO10[[#This Row],[SOLUÇÃO]]=CD$1,[1]!BANCO10[[#This Row],[STATUS DA ETAPA]],"")</f>
        <v/>
      </c>
      <c r="CE269" s="21" t="str">
        <f>IF([1]!BANCO10[[#This Row],[SOLUÇÃO]]=CE$1,[1]!BANCO10[[#This Row],[STATUS DA ETAPA]],"")</f>
        <v/>
      </c>
      <c r="CF269" s="21" t="str">
        <f>IF([1]!BANCO10[[#This Row],[SOLUÇÃO]]=CF$1,[1]!BANCO10[[#This Row],[STATUS DA ETAPA]],"")</f>
        <v/>
      </c>
      <c r="CG269" s="21" t="str">
        <f>IF([1]!BANCO10[[#This Row],[SOLUÇÃO]]=CG$1,[1]!BANCO10[[#This Row],[STATUS DA ETAPA]],"")</f>
        <v/>
      </c>
      <c r="CH269" s="21" t="str">
        <f>IF([1]!BANCO10[[#This Row],[SOLUÇÃO]]=CH$1,[1]!BANCO10[[#This Row],[STATUS DA ETAPA]],"")</f>
        <v/>
      </c>
      <c r="CI269" s="21" t="str">
        <f>IF([1]!BANCO10[[#This Row],[SOLUÇÃO]]=CI$1,[1]!BANCO10[[#This Row],[STATUS DA ETAPA]],"")</f>
        <v/>
      </c>
      <c r="CJ269" s="21" t="str">
        <f>IF([1]!BANCO10[[#This Row],[SOLUÇÃO]]=CJ$1,[1]!BANCO10[[#This Row],[STATUS DA ETAPA]],"")</f>
        <v/>
      </c>
      <c r="CK269" s="21" t="str">
        <f>IF([1]!BANCO10[[#This Row],[SOLUÇÃO]]=CK$1,[1]!BANCO10[[#This Row],[STATUS DA ETAPA]],"")</f>
        <v/>
      </c>
      <c r="CL269" s="21" t="str">
        <f>IF([1]!BANCO10[[#This Row],[SOLUÇÃO]]=CL$1,[1]!BANCO10[[#This Row],[STATUS DA ETAPA]],"")</f>
        <v/>
      </c>
      <c r="CM269" s="21" t="str">
        <f>IF([1]!BANCO10[[#This Row],[SOLUÇÃO]]=CM$1,[1]!BANCO10[[#This Row],[STATUS DA ETAPA]],"")</f>
        <v/>
      </c>
      <c r="CN269" s="21" t="str">
        <f>IF([1]!BANCO10[[#This Row],[SOLUÇÃO]]=CN$1,[1]!BANCO10[[#This Row],[STATUS DA ETAPA]],"")</f>
        <v/>
      </c>
      <c r="CO269" s="21" t="str">
        <f>IF([1]!BANCO10[[#This Row],[SOLUÇÃO]]=CO$1,[1]!BANCO10[[#This Row],[STATUS DA ETAPA]],"")</f>
        <v/>
      </c>
      <c r="CP269" s="21" t="str">
        <f>IF([1]!BANCO10[[#This Row],[SOLUÇÃO]]=CP$1,[1]!BANCO10[[#This Row],[STATUS DA ETAPA]],"")</f>
        <v/>
      </c>
      <c r="CQ269" s="21" t="str">
        <f>IF([1]!BANCO10[[#This Row],[SOLUÇÃO]]=CQ$1,[1]!BANCO10[[#This Row],[STATUS DA ETAPA]],"")</f>
        <v/>
      </c>
      <c r="CR269" s="21" t="str">
        <f>IF([1]!BANCO10[[#This Row],[SOLUÇÃO]]=CR$1,[1]!BANCO10[[#This Row],[STATUS DA ETAPA]],"")</f>
        <v/>
      </c>
      <c r="CS269" s="21" t="str">
        <f>IF([1]!BANCO10[[#This Row],[SOLUÇÃO]]=CS$1,[1]!BANCO10[[#This Row],[STATUS DA ETAPA]],"")</f>
        <v/>
      </c>
      <c r="CT269" s="21" t="str">
        <f>IF([1]!BANCO10[[#This Row],[SOLUÇÃO]]=CT$1,[1]!BANCO10[[#This Row],[STATUS DA ETAPA]],"")</f>
        <v/>
      </c>
      <c r="CU269" s="21" t="str">
        <f>IF([1]!BANCO10[[#This Row],[SOLUÇÃO]]=CU$1,[1]!BANCO10[[#This Row],[STATUS DA ETAPA]],"")</f>
        <v/>
      </c>
      <c r="CV269" s="21" t="str">
        <f>IF([1]!BANCO10[[#This Row],[SOLUÇÃO]]=CV$1,[1]!BANCO10[[#This Row],[STATUS DA ETAPA]],"")</f>
        <v/>
      </c>
    </row>
    <row r="270" spans="1:100">
      <c r="A270" s="44" t="s">
        <v>1</v>
      </c>
      <c r="B270" s="44"/>
      <c r="C270" s="44" t="s">
        <v>1</v>
      </c>
      <c r="D270" s="44"/>
      <c r="E270" s="44" t="s">
        <v>1</v>
      </c>
      <c r="F270" s="44"/>
      <c r="G270" s="44" t="s">
        <v>1</v>
      </c>
      <c r="H270" s="44"/>
      <c r="I270" s="45" t="s">
        <v>1</v>
      </c>
      <c r="J270" s="46"/>
      <c r="K270" s="45" t="s">
        <v>1</v>
      </c>
      <c r="L270" s="33"/>
      <c r="M270" s="45" t="s">
        <v>1</v>
      </c>
      <c r="N270" s="33"/>
      <c r="O270" s="44" t="s">
        <v>2</v>
      </c>
      <c r="P270" s="44">
        <v>45139</v>
      </c>
      <c r="Q270" s="44" t="s">
        <v>0</v>
      </c>
      <c r="R270" s="44"/>
      <c r="S270" s="44" t="s">
        <v>1</v>
      </c>
      <c r="T270" s="44"/>
      <c r="U270" s="44" t="s">
        <v>1</v>
      </c>
      <c r="V270" s="44"/>
      <c r="W270" s="44" t="s">
        <v>1</v>
      </c>
      <c r="X270" s="44"/>
      <c r="Y270" s="44" t="s">
        <v>1</v>
      </c>
      <c r="Z270" s="44"/>
      <c r="AA270" s="44" t="s">
        <v>1</v>
      </c>
      <c r="AB270" s="44"/>
      <c r="AC270" s="51">
        <v>45138</v>
      </c>
      <c r="AD270" s="50">
        <v>45138</v>
      </c>
      <c r="AE270" s="40" t="s">
        <v>1</v>
      </c>
      <c r="AF270" s="40" t="s">
        <v>1</v>
      </c>
      <c r="AG270" s="76" t="s">
        <v>5</v>
      </c>
      <c r="AH270" s="36" t="s">
        <v>1</v>
      </c>
      <c r="AI270" s="49">
        <v>0</v>
      </c>
      <c r="AJ270" s="36" t="s">
        <v>1</v>
      </c>
      <c r="AK270" s="10" t="s">
        <v>1</v>
      </c>
      <c r="AL270" s="36" t="s">
        <v>1</v>
      </c>
      <c r="AM270" s="36" t="s">
        <v>1</v>
      </c>
      <c r="AN270" s="35" t="s">
        <v>1</v>
      </c>
      <c r="AO270" s="35" t="s">
        <v>1</v>
      </c>
      <c r="AP270" s="35" t="s">
        <v>1</v>
      </c>
      <c r="AQ270" s="35" t="s">
        <v>1</v>
      </c>
      <c r="AR270" s="82" t="s">
        <v>1</v>
      </c>
      <c r="AS270" s="33"/>
      <c r="AT270" s="32" t="s">
        <v>1</v>
      </c>
      <c r="AU270" s="31"/>
      <c r="AV270" s="32" t="s">
        <v>1</v>
      </c>
      <c r="AW270" s="31"/>
      <c r="AX270" s="30" t="s">
        <v>1</v>
      </c>
      <c r="AY270" s="55"/>
      <c r="AZ270" s="30" t="s">
        <v>1</v>
      </c>
      <c r="BA270" s="55"/>
      <c r="BB270" s="74"/>
      <c r="BC270" s="25"/>
      <c r="BD270" s="24" t="s">
        <v>19</v>
      </c>
      <c r="BE270" s="24" t="s">
        <v>19</v>
      </c>
      <c r="BF270" s="24" t="s">
        <v>51</v>
      </c>
      <c r="BG270" s="24" t="s">
        <v>11</v>
      </c>
      <c r="BH270" s="130" t="s">
        <v>19</v>
      </c>
      <c r="BI270" s="24"/>
      <c r="BJ270" s="24" t="s">
        <v>11</v>
      </c>
      <c r="BK270" s="24" t="s">
        <v>11</v>
      </c>
      <c r="BL270" s="24" t="s">
        <v>11</v>
      </c>
      <c r="BM270" s="24" t="s">
        <v>11</v>
      </c>
      <c r="BN270" s="24" t="s">
        <v>11</v>
      </c>
      <c r="BO270" s="24" t="s">
        <v>11</v>
      </c>
      <c r="BP270" s="24" t="s">
        <v>11</v>
      </c>
      <c r="BQ270" s="22">
        <f>YEAR([1]!BANCO10[[#This Row],[DATA INÍCIO]])</f>
        <v>2023</v>
      </c>
      <c r="BR270" s="22">
        <f>MONTH([1]!BANCO10[[#This Row],[DATA INÍCIO]])</f>
        <v>7</v>
      </c>
      <c r="BS270" s="129" t="e">
        <f>CONCATENATE(#REF!,#REF!)</f>
        <v>#REF!</v>
      </c>
      <c r="BT270" s="22"/>
      <c r="BU270" s="21" t="s">
        <v>618</v>
      </c>
      <c r="BV270" s="21" t="str">
        <f>IF([1]!BANCO10[[#This Row],[SOLUÇÃO]]=BV$1,[1]!BANCO10[[#This Row],[STATUS DA ETAPA]],"")</f>
        <v>CONCLUÍDO</v>
      </c>
      <c r="BW270" s="21" t="str">
        <f>IF([1]!BANCO10[[#This Row],[SOLUÇÃO]]=BW$1,[1]!BANCO10[[#This Row],[STATUS DA ETAPA]],"")</f>
        <v/>
      </c>
      <c r="BX270" s="21" t="str">
        <f>IF([1]!BANCO10[[#This Row],[SOLUÇÃO]]=BX$1,[1]!BANCO10[[#This Row],[STATUS DA ETAPA]],"")</f>
        <v/>
      </c>
      <c r="BY270" s="21" t="str">
        <f>IF([1]!BANCO10[[#This Row],[SOLUÇÃO]]=BY$1,[1]!BANCO10[[#This Row],[STATUS DA ETAPA]],"")</f>
        <v/>
      </c>
      <c r="BZ270" s="21" t="str">
        <f>IF([1]!BANCO10[[#This Row],[SOLUÇÃO]]=BZ$1,[1]!BANCO10[[#This Row],[STATUS DA ETAPA]],"")</f>
        <v/>
      </c>
      <c r="CA270" s="21" t="str">
        <f>IF([1]!BANCO10[[#This Row],[SOLUÇÃO]]=CA$1,[1]!BANCO10[[#This Row],[STATUS DA ETAPA]],"")</f>
        <v/>
      </c>
      <c r="CB270" s="21" t="str">
        <f>IF([1]!BANCO10[[#This Row],[SOLUÇÃO]]=CB$1,[1]!BANCO10[[#This Row],[STATUS DA ETAPA]],"")</f>
        <v/>
      </c>
      <c r="CC270" s="21" t="str">
        <f>IF([1]!BANCO10[[#This Row],[SOLUÇÃO]]=CC$1,[1]!BANCO10[[#This Row],[STATUS DA ETAPA]],"")</f>
        <v/>
      </c>
      <c r="CD270" s="21" t="str">
        <f>IF([1]!BANCO10[[#This Row],[SOLUÇÃO]]=CD$1,[1]!BANCO10[[#This Row],[STATUS DA ETAPA]],"")</f>
        <v/>
      </c>
      <c r="CE270" s="21" t="str">
        <f>IF([1]!BANCO10[[#This Row],[SOLUÇÃO]]=CE$1,[1]!BANCO10[[#This Row],[STATUS DA ETAPA]],"")</f>
        <v/>
      </c>
      <c r="CF270" s="21" t="str">
        <f>IF([1]!BANCO10[[#This Row],[SOLUÇÃO]]=CF$1,[1]!BANCO10[[#This Row],[STATUS DA ETAPA]],"")</f>
        <v/>
      </c>
      <c r="CG270" s="21" t="str">
        <f>IF([1]!BANCO10[[#This Row],[SOLUÇÃO]]=CG$1,[1]!BANCO10[[#This Row],[STATUS DA ETAPA]],"")</f>
        <v/>
      </c>
      <c r="CH270" s="21" t="str">
        <f>IF([1]!BANCO10[[#This Row],[SOLUÇÃO]]=CH$1,[1]!BANCO10[[#This Row],[STATUS DA ETAPA]],"")</f>
        <v/>
      </c>
      <c r="CI270" s="21" t="str">
        <f>IF([1]!BANCO10[[#This Row],[SOLUÇÃO]]=CI$1,[1]!BANCO10[[#This Row],[STATUS DA ETAPA]],"")</f>
        <v/>
      </c>
      <c r="CJ270" s="21" t="str">
        <f>IF([1]!BANCO10[[#This Row],[SOLUÇÃO]]=CJ$1,[1]!BANCO10[[#This Row],[STATUS DA ETAPA]],"")</f>
        <v/>
      </c>
      <c r="CK270" s="21" t="str">
        <f>IF([1]!BANCO10[[#This Row],[SOLUÇÃO]]=CK$1,[1]!BANCO10[[#This Row],[STATUS DA ETAPA]],"")</f>
        <v/>
      </c>
      <c r="CL270" s="21" t="str">
        <f>IF([1]!BANCO10[[#This Row],[SOLUÇÃO]]=CL$1,[1]!BANCO10[[#This Row],[STATUS DA ETAPA]],"")</f>
        <v/>
      </c>
      <c r="CM270" s="21" t="str">
        <f>IF([1]!BANCO10[[#This Row],[SOLUÇÃO]]=CM$1,[1]!BANCO10[[#This Row],[STATUS DA ETAPA]],"")</f>
        <v/>
      </c>
      <c r="CN270" s="21" t="str">
        <f>IF([1]!BANCO10[[#This Row],[SOLUÇÃO]]=CN$1,[1]!BANCO10[[#This Row],[STATUS DA ETAPA]],"")</f>
        <v/>
      </c>
      <c r="CO270" s="21" t="str">
        <f>IF([1]!BANCO10[[#This Row],[SOLUÇÃO]]=CO$1,[1]!BANCO10[[#This Row],[STATUS DA ETAPA]],"")</f>
        <v/>
      </c>
      <c r="CP270" s="21" t="str">
        <f>IF([1]!BANCO10[[#This Row],[SOLUÇÃO]]=CP$1,[1]!BANCO10[[#This Row],[STATUS DA ETAPA]],"")</f>
        <v/>
      </c>
      <c r="CQ270" s="21" t="str">
        <f>IF([1]!BANCO10[[#This Row],[SOLUÇÃO]]=CQ$1,[1]!BANCO10[[#This Row],[STATUS DA ETAPA]],"")</f>
        <v/>
      </c>
      <c r="CR270" s="21" t="str">
        <f>IF([1]!BANCO10[[#This Row],[SOLUÇÃO]]=CR$1,[1]!BANCO10[[#This Row],[STATUS DA ETAPA]],"")</f>
        <v/>
      </c>
      <c r="CS270" s="21" t="str">
        <f>IF([1]!BANCO10[[#This Row],[SOLUÇÃO]]=CS$1,[1]!BANCO10[[#This Row],[STATUS DA ETAPA]],"")</f>
        <v/>
      </c>
      <c r="CT270" s="21" t="str">
        <f>IF([1]!BANCO10[[#This Row],[SOLUÇÃO]]=CT$1,[1]!BANCO10[[#This Row],[STATUS DA ETAPA]],"")</f>
        <v/>
      </c>
      <c r="CU270" s="21" t="str">
        <f>IF([1]!BANCO10[[#This Row],[SOLUÇÃO]]=CU$1,[1]!BANCO10[[#This Row],[STATUS DA ETAPA]],"")</f>
        <v/>
      </c>
      <c r="CV270" s="21" t="str">
        <f>IF([1]!BANCO10[[#This Row],[SOLUÇÃO]]=CV$1,[1]!BANCO10[[#This Row],[STATUS DA ETAPA]],"")</f>
        <v/>
      </c>
    </row>
    <row r="271" spans="1:100">
      <c r="A271" s="44" t="s">
        <v>1</v>
      </c>
      <c r="B271" s="44"/>
      <c r="C271" s="44" t="s">
        <v>1</v>
      </c>
      <c r="D271" s="44"/>
      <c r="E271" s="44" t="s">
        <v>1</v>
      </c>
      <c r="F271" s="44"/>
      <c r="G271" s="44" t="s">
        <v>1</v>
      </c>
      <c r="H271" s="44"/>
      <c r="I271" s="45" t="s">
        <v>1</v>
      </c>
      <c r="J271" s="46"/>
      <c r="K271" s="45" t="s">
        <v>1</v>
      </c>
      <c r="L271" s="33"/>
      <c r="M271" s="45" t="s">
        <v>1</v>
      </c>
      <c r="N271" s="33"/>
      <c r="O271" s="44" t="s">
        <v>2</v>
      </c>
      <c r="P271" s="44">
        <v>45139</v>
      </c>
      <c r="Q271" s="44" t="s">
        <v>2</v>
      </c>
      <c r="R271" s="44">
        <v>45204</v>
      </c>
      <c r="S271" s="44"/>
      <c r="T271" s="44"/>
      <c r="U271" s="44" t="s">
        <v>1</v>
      </c>
      <c r="V271" s="44"/>
      <c r="W271" s="44" t="s">
        <v>1</v>
      </c>
      <c r="X271" s="44"/>
      <c r="Y271" s="44" t="s">
        <v>1</v>
      </c>
      <c r="Z271" s="44"/>
      <c r="AA271" s="44" t="s">
        <v>1</v>
      </c>
      <c r="AB271" s="44"/>
      <c r="AC271" s="51">
        <v>45320</v>
      </c>
      <c r="AD271" s="50">
        <v>45425</v>
      </c>
      <c r="AE271" s="40" t="s">
        <v>2</v>
      </c>
      <c r="AF271" s="40" t="s">
        <v>2</v>
      </c>
      <c r="AG271" s="76" t="s">
        <v>5</v>
      </c>
      <c r="AH271" s="36" t="s">
        <v>2</v>
      </c>
      <c r="AI271" s="49">
        <v>0</v>
      </c>
      <c r="AJ271" s="36" t="s">
        <v>1</v>
      </c>
      <c r="AK271" s="10" t="s">
        <v>1</v>
      </c>
      <c r="AL271" s="36" t="s">
        <v>1</v>
      </c>
      <c r="AM271" s="36" t="s">
        <v>1</v>
      </c>
      <c r="AN271" s="35" t="s">
        <v>1</v>
      </c>
      <c r="AO271" s="35" t="s">
        <v>1</v>
      </c>
      <c r="AP271" s="35" t="s">
        <v>2</v>
      </c>
      <c r="AQ271" s="35" t="s">
        <v>1</v>
      </c>
      <c r="AR271" s="34" t="s">
        <v>1</v>
      </c>
      <c r="AS271" s="33"/>
      <c r="AT271" s="32" t="s">
        <v>1</v>
      </c>
      <c r="AU271" s="31"/>
      <c r="AV271" s="32" t="s">
        <v>1</v>
      </c>
      <c r="AW271" s="31"/>
      <c r="AX271" s="30" t="s">
        <v>2</v>
      </c>
      <c r="AY271" s="55">
        <v>45425</v>
      </c>
      <c r="AZ271" s="30" t="s">
        <v>0</v>
      </c>
      <c r="BA271" s="55"/>
      <c r="BB271" s="74" t="s">
        <v>26</v>
      </c>
      <c r="BC271" s="25"/>
      <c r="BD271" s="24" t="s">
        <v>19</v>
      </c>
      <c r="BE271" s="24" t="s">
        <v>19</v>
      </c>
      <c r="BF271" s="24" t="s">
        <v>51</v>
      </c>
      <c r="BG271" s="24" t="s">
        <v>11</v>
      </c>
      <c r="BH271" s="130" t="s">
        <v>19</v>
      </c>
      <c r="BI271" s="24"/>
      <c r="BJ271" s="24" t="s">
        <v>11</v>
      </c>
      <c r="BK271" s="24" t="s">
        <v>11</v>
      </c>
      <c r="BL271" s="24">
        <v>45391</v>
      </c>
      <c r="BM271" s="24"/>
      <c r="BN271" s="24" t="s">
        <v>11</v>
      </c>
      <c r="BO271" s="24"/>
      <c r="BP271" s="24" t="s">
        <v>617</v>
      </c>
      <c r="BQ271" s="22">
        <f>YEAR([1]!BANCO10[[#This Row],[DATA INÍCIO]])</f>
        <v>2024</v>
      </c>
      <c r="BR271" s="22">
        <f>MONTH([1]!BANCO10[[#This Row],[DATA INÍCIO]])</f>
        <v>1</v>
      </c>
      <c r="BS271" s="129" t="e">
        <f>CONCATENATE(#REF!,#REF!)</f>
        <v>#REF!</v>
      </c>
      <c r="BT271" s="22"/>
      <c r="BU271" s="21" t="s">
        <v>616</v>
      </c>
      <c r="BV271" s="21" t="str">
        <f>IF([1]!BANCO10[[#This Row],[SOLUÇÃO]]=BV$1,[1]!BANCO10[[#This Row],[STATUS DA ETAPA]],"")</f>
        <v/>
      </c>
      <c r="BW271" s="21" t="str">
        <f>IF([1]!BANCO10[[#This Row],[SOLUÇÃO]]=BW$1,[1]!BANCO10[[#This Row],[STATUS DA ETAPA]],"")</f>
        <v/>
      </c>
      <c r="BX271" s="21" t="str">
        <f>IF([1]!BANCO10[[#This Row],[SOLUÇÃO]]=BX$1,[1]!BANCO10[[#This Row],[STATUS DA ETAPA]],"")</f>
        <v/>
      </c>
      <c r="BY271" s="21" t="str">
        <f>IF([1]!BANCO10[[#This Row],[SOLUÇÃO]]=BY$1,[1]!BANCO10[[#This Row],[STATUS DA ETAPA]],"")</f>
        <v/>
      </c>
      <c r="BZ271" s="21" t="str">
        <f>IF([1]!BANCO10[[#This Row],[SOLUÇÃO]]=BZ$1,[1]!BANCO10[[#This Row],[STATUS DA ETAPA]],"")</f>
        <v/>
      </c>
      <c r="CA271" s="21" t="str">
        <f>IF([1]!BANCO10[[#This Row],[SOLUÇÃO]]=CA$1,[1]!BANCO10[[#This Row],[STATUS DA ETAPA]],"")</f>
        <v>CONCLUÍDO</v>
      </c>
      <c r="CB271" s="21" t="str">
        <f>IF([1]!BANCO10[[#This Row],[SOLUÇÃO]]=CB$1,[1]!BANCO10[[#This Row],[STATUS DA ETAPA]],"")</f>
        <v/>
      </c>
      <c r="CC271" s="21" t="str">
        <f>IF([1]!BANCO10[[#This Row],[SOLUÇÃO]]=CC$1,[1]!BANCO10[[#This Row],[STATUS DA ETAPA]],"")</f>
        <v/>
      </c>
      <c r="CD271" s="21" t="str">
        <f>IF([1]!BANCO10[[#This Row],[SOLUÇÃO]]=CD$1,[1]!BANCO10[[#This Row],[STATUS DA ETAPA]],"")</f>
        <v/>
      </c>
      <c r="CE271" s="21" t="str">
        <f>IF([1]!BANCO10[[#This Row],[SOLUÇÃO]]=CE$1,[1]!BANCO10[[#This Row],[STATUS DA ETAPA]],"")</f>
        <v/>
      </c>
      <c r="CF271" s="21" t="str">
        <f>IF([1]!BANCO10[[#This Row],[SOLUÇÃO]]=CF$1,[1]!BANCO10[[#This Row],[STATUS DA ETAPA]],"")</f>
        <v/>
      </c>
      <c r="CG271" s="21" t="str">
        <f>IF([1]!BANCO10[[#This Row],[SOLUÇÃO]]=CG$1,[1]!BANCO10[[#This Row],[STATUS DA ETAPA]],"")</f>
        <v/>
      </c>
      <c r="CH271" s="21" t="str">
        <f>IF([1]!BANCO10[[#This Row],[SOLUÇÃO]]=CH$1,[1]!BANCO10[[#This Row],[STATUS DA ETAPA]],"")</f>
        <v/>
      </c>
      <c r="CI271" s="21" t="str">
        <f>IF([1]!BANCO10[[#This Row],[SOLUÇÃO]]=CI$1,[1]!BANCO10[[#This Row],[STATUS DA ETAPA]],"")</f>
        <v/>
      </c>
      <c r="CJ271" s="21" t="str">
        <f>IF([1]!BANCO10[[#This Row],[SOLUÇÃO]]=CJ$1,[1]!BANCO10[[#This Row],[STATUS DA ETAPA]],"")</f>
        <v/>
      </c>
      <c r="CK271" s="21" t="str">
        <f>IF([1]!BANCO10[[#This Row],[SOLUÇÃO]]=CK$1,[1]!BANCO10[[#This Row],[STATUS DA ETAPA]],"")</f>
        <v/>
      </c>
      <c r="CL271" s="21" t="str">
        <f>IF([1]!BANCO10[[#This Row],[SOLUÇÃO]]=CL$1,[1]!BANCO10[[#This Row],[STATUS DA ETAPA]],"")</f>
        <v/>
      </c>
      <c r="CM271" s="21" t="str">
        <f>IF([1]!BANCO10[[#This Row],[SOLUÇÃO]]=CM$1,[1]!BANCO10[[#This Row],[STATUS DA ETAPA]],"")</f>
        <v/>
      </c>
      <c r="CN271" s="21" t="str">
        <f>IF([1]!BANCO10[[#This Row],[SOLUÇÃO]]=CN$1,[1]!BANCO10[[#This Row],[STATUS DA ETAPA]],"")</f>
        <v/>
      </c>
      <c r="CO271" s="21" t="str">
        <f>IF([1]!BANCO10[[#This Row],[SOLUÇÃO]]=CO$1,[1]!BANCO10[[#This Row],[STATUS DA ETAPA]],"")</f>
        <v/>
      </c>
      <c r="CP271" s="21" t="str">
        <f>IF([1]!BANCO10[[#This Row],[SOLUÇÃO]]=CP$1,[1]!BANCO10[[#This Row],[STATUS DA ETAPA]],"")</f>
        <v/>
      </c>
      <c r="CQ271" s="21" t="str">
        <f>IF([1]!BANCO10[[#This Row],[SOLUÇÃO]]=CQ$1,[1]!BANCO10[[#This Row],[STATUS DA ETAPA]],"")</f>
        <v/>
      </c>
      <c r="CR271" s="21" t="str">
        <f>IF([1]!BANCO10[[#This Row],[SOLUÇÃO]]=CR$1,[1]!BANCO10[[#This Row],[STATUS DA ETAPA]],"")</f>
        <v/>
      </c>
      <c r="CS271" s="21" t="str">
        <f>IF([1]!BANCO10[[#This Row],[SOLUÇÃO]]=CS$1,[1]!BANCO10[[#This Row],[STATUS DA ETAPA]],"")</f>
        <v/>
      </c>
      <c r="CT271" s="21" t="str">
        <f>IF([1]!BANCO10[[#This Row],[SOLUÇÃO]]=CT$1,[1]!BANCO10[[#This Row],[STATUS DA ETAPA]],"")</f>
        <v/>
      </c>
      <c r="CU271" s="21" t="str">
        <f>IF([1]!BANCO10[[#This Row],[SOLUÇÃO]]=CU$1,[1]!BANCO10[[#This Row],[STATUS DA ETAPA]],"")</f>
        <v/>
      </c>
      <c r="CV271" s="21" t="str">
        <f>IF([1]!BANCO10[[#This Row],[SOLUÇÃO]]=CV$1,[1]!BANCO10[[#This Row],[STATUS DA ETAPA]],"")</f>
        <v/>
      </c>
    </row>
    <row r="272" spans="1:100">
      <c r="A272" s="44" t="s">
        <v>1</v>
      </c>
      <c r="B272" s="44"/>
      <c r="C272" s="44" t="s">
        <v>1</v>
      </c>
      <c r="D272" s="44"/>
      <c r="E272" s="44" t="s">
        <v>1</v>
      </c>
      <c r="F272" s="44"/>
      <c r="G272" s="44" t="s">
        <v>1</v>
      </c>
      <c r="H272" s="44"/>
      <c r="I272" s="45" t="s">
        <v>1</v>
      </c>
      <c r="J272" s="46"/>
      <c r="K272" s="45" t="s">
        <v>1</v>
      </c>
      <c r="L272" s="33"/>
      <c r="M272" s="45" t="s">
        <v>1</v>
      </c>
      <c r="N272" s="33"/>
      <c r="O272" s="44" t="s">
        <v>2</v>
      </c>
      <c r="P272" s="44">
        <v>44706</v>
      </c>
      <c r="Q272" s="44" t="s">
        <v>0</v>
      </c>
      <c r="R272" s="44"/>
      <c r="S272" s="44" t="s">
        <v>1</v>
      </c>
      <c r="T272" s="44"/>
      <c r="U272" s="44" t="s">
        <v>1</v>
      </c>
      <c r="V272" s="44"/>
      <c r="W272" s="44" t="s">
        <v>1</v>
      </c>
      <c r="X272" s="44"/>
      <c r="Y272" s="44" t="s">
        <v>1</v>
      </c>
      <c r="Z272" s="44"/>
      <c r="AA272" s="44" t="s">
        <v>1</v>
      </c>
      <c r="AB272" s="44"/>
      <c r="AC272" s="51">
        <v>44706</v>
      </c>
      <c r="AD272" s="50">
        <v>44706</v>
      </c>
      <c r="AE272" s="40" t="s">
        <v>1</v>
      </c>
      <c r="AF272" s="40" t="s">
        <v>1</v>
      </c>
      <c r="AG272" s="76" t="s">
        <v>5</v>
      </c>
      <c r="AH272" s="36" t="s">
        <v>1</v>
      </c>
      <c r="AI272" s="49">
        <v>0</v>
      </c>
      <c r="AJ272" s="36" t="s">
        <v>1</v>
      </c>
      <c r="AK272" s="10" t="s">
        <v>1</v>
      </c>
      <c r="AL272" s="36" t="s">
        <v>1</v>
      </c>
      <c r="AM272" s="36" t="s">
        <v>1</v>
      </c>
      <c r="AN272" s="35" t="s">
        <v>1</v>
      </c>
      <c r="AO272" s="35" t="s">
        <v>1</v>
      </c>
      <c r="AP272" s="35" t="s">
        <v>1</v>
      </c>
      <c r="AQ272" s="35" t="s">
        <v>1</v>
      </c>
      <c r="AR272" s="82" t="s">
        <v>1</v>
      </c>
      <c r="AS272" s="33"/>
      <c r="AT272" s="32" t="s">
        <v>1</v>
      </c>
      <c r="AU272" s="31"/>
      <c r="AV272" s="32" t="s">
        <v>1</v>
      </c>
      <c r="AW272" s="31"/>
      <c r="AX272" s="30" t="s">
        <v>1</v>
      </c>
      <c r="AY272" s="55"/>
      <c r="AZ272" s="30" t="s">
        <v>1</v>
      </c>
      <c r="BA272" s="55"/>
      <c r="BB272" s="74"/>
      <c r="BC272" s="25"/>
      <c r="BD272" s="24" t="s">
        <v>11</v>
      </c>
      <c r="BE272" s="24" t="s">
        <v>11</v>
      </c>
      <c r="BF272" s="24" t="s">
        <v>11</v>
      </c>
      <c r="BG272" s="24" t="s">
        <v>11</v>
      </c>
      <c r="BH272" s="130" t="s">
        <v>11</v>
      </c>
      <c r="BI272" s="24"/>
      <c r="BJ272" s="24" t="s">
        <v>11</v>
      </c>
      <c r="BK272" s="24" t="s">
        <v>11</v>
      </c>
      <c r="BL272" s="24" t="s">
        <v>11</v>
      </c>
      <c r="BM272" s="24" t="s">
        <v>11</v>
      </c>
      <c r="BN272" s="24" t="s">
        <v>11</v>
      </c>
      <c r="BO272" s="24" t="s">
        <v>11</v>
      </c>
      <c r="BP272" s="24" t="s">
        <v>11</v>
      </c>
      <c r="BQ272" s="22">
        <f>YEAR([1]!BANCO10[[#This Row],[DATA INÍCIO]])</f>
        <v>2022</v>
      </c>
      <c r="BR272" s="22">
        <f>MONTH([1]!BANCO10[[#This Row],[DATA INÍCIO]])</f>
        <v>5</v>
      </c>
      <c r="BS272" s="129" t="e">
        <f>CONCATENATE(#REF!,#REF!)</f>
        <v>#REF!</v>
      </c>
      <c r="BT272" s="22"/>
      <c r="BU272" s="21" t="s">
        <v>615</v>
      </c>
      <c r="BV272" s="21" t="str">
        <f>IF([1]!BANCO10[[#This Row],[SOLUÇÃO]]=BV$1,[1]!BANCO10[[#This Row],[STATUS DA ETAPA]],"")</f>
        <v>CONCLUÍDO</v>
      </c>
      <c r="BW272" s="21" t="str">
        <f>IF([1]!BANCO10[[#This Row],[SOLUÇÃO]]=BW$1,[1]!BANCO10[[#This Row],[STATUS DA ETAPA]],"")</f>
        <v/>
      </c>
      <c r="BX272" s="21" t="str">
        <f>IF([1]!BANCO10[[#This Row],[SOLUÇÃO]]=BX$1,[1]!BANCO10[[#This Row],[STATUS DA ETAPA]],"")</f>
        <v/>
      </c>
      <c r="BY272" s="21" t="str">
        <f>IF([1]!BANCO10[[#This Row],[SOLUÇÃO]]=BY$1,[1]!BANCO10[[#This Row],[STATUS DA ETAPA]],"")</f>
        <v/>
      </c>
      <c r="BZ272" s="21" t="str">
        <f>IF([1]!BANCO10[[#This Row],[SOLUÇÃO]]=BZ$1,[1]!BANCO10[[#This Row],[STATUS DA ETAPA]],"")</f>
        <v/>
      </c>
      <c r="CA272" s="21" t="str">
        <f>IF([1]!BANCO10[[#This Row],[SOLUÇÃO]]=CA$1,[1]!BANCO10[[#This Row],[STATUS DA ETAPA]],"")</f>
        <v/>
      </c>
      <c r="CB272" s="21" t="str">
        <f>IF([1]!BANCO10[[#This Row],[SOLUÇÃO]]=CB$1,[1]!BANCO10[[#This Row],[STATUS DA ETAPA]],"")</f>
        <v/>
      </c>
      <c r="CC272" s="21" t="str">
        <f>IF([1]!BANCO10[[#This Row],[SOLUÇÃO]]=CC$1,[1]!BANCO10[[#This Row],[STATUS DA ETAPA]],"")</f>
        <v/>
      </c>
      <c r="CD272" s="21" t="str">
        <f>IF([1]!BANCO10[[#This Row],[SOLUÇÃO]]=CD$1,[1]!BANCO10[[#This Row],[STATUS DA ETAPA]],"")</f>
        <v/>
      </c>
      <c r="CE272" s="21" t="str">
        <f>IF([1]!BANCO10[[#This Row],[SOLUÇÃO]]=CE$1,[1]!BANCO10[[#This Row],[STATUS DA ETAPA]],"")</f>
        <v/>
      </c>
      <c r="CF272" s="21" t="str">
        <f>IF([1]!BANCO10[[#This Row],[SOLUÇÃO]]=CF$1,[1]!BANCO10[[#This Row],[STATUS DA ETAPA]],"")</f>
        <v/>
      </c>
      <c r="CG272" s="21" t="str">
        <f>IF([1]!BANCO10[[#This Row],[SOLUÇÃO]]=CG$1,[1]!BANCO10[[#This Row],[STATUS DA ETAPA]],"")</f>
        <v/>
      </c>
      <c r="CH272" s="21" t="str">
        <f>IF([1]!BANCO10[[#This Row],[SOLUÇÃO]]=CH$1,[1]!BANCO10[[#This Row],[STATUS DA ETAPA]],"")</f>
        <v/>
      </c>
      <c r="CI272" s="21" t="str">
        <f>IF([1]!BANCO10[[#This Row],[SOLUÇÃO]]=CI$1,[1]!BANCO10[[#This Row],[STATUS DA ETAPA]],"")</f>
        <v/>
      </c>
      <c r="CJ272" s="21" t="str">
        <f>IF([1]!BANCO10[[#This Row],[SOLUÇÃO]]=CJ$1,[1]!BANCO10[[#This Row],[STATUS DA ETAPA]],"")</f>
        <v/>
      </c>
      <c r="CK272" s="21" t="str">
        <f>IF([1]!BANCO10[[#This Row],[SOLUÇÃO]]=CK$1,[1]!BANCO10[[#This Row],[STATUS DA ETAPA]],"")</f>
        <v/>
      </c>
      <c r="CL272" s="21" t="str">
        <f>IF([1]!BANCO10[[#This Row],[SOLUÇÃO]]=CL$1,[1]!BANCO10[[#This Row],[STATUS DA ETAPA]],"")</f>
        <v/>
      </c>
      <c r="CM272" s="21" t="str">
        <f>IF([1]!BANCO10[[#This Row],[SOLUÇÃO]]=CM$1,[1]!BANCO10[[#This Row],[STATUS DA ETAPA]],"")</f>
        <v/>
      </c>
      <c r="CN272" s="21" t="str">
        <f>IF([1]!BANCO10[[#This Row],[SOLUÇÃO]]=CN$1,[1]!BANCO10[[#This Row],[STATUS DA ETAPA]],"")</f>
        <v/>
      </c>
      <c r="CO272" s="21" t="str">
        <f>IF([1]!BANCO10[[#This Row],[SOLUÇÃO]]=CO$1,[1]!BANCO10[[#This Row],[STATUS DA ETAPA]],"")</f>
        <v/>
      </c>
      <c r="CP272" s="21" t="str">
        <f>IF([1]!BANCO10[[#This Row],[SOLUÇÃO]]=CP$1,[1]!BANCO10[[#This Row],[STATUS DA ETAPA]],"")</f>
        <v/>
      </c>
      <c r="CQ272" s="21" t="str">
        <f>IF([1]!BANCO10[[#This Row],[SOLUÇÃO]]=CQ$1,[1]!BANCO10[[#This Row],[STATUS DA ETAPA]],"")</f>
        <v/>
      </c>
      <c r="CR272" s="21" t="str">
        <f>IF([1]!BANCO10[[#This Row],[SOLUÇÃO]]=CR$1,[1]!BANCO10[[#This Row],[STATUS DA ETAPA]],"")</f>
        <v/>
      </c>
      <c r="CS272" s="21" t="str">
        <f>IF([1]!BANCO10[[#This Row],[SOLUÇÃO]]=CS$1,[1]!BANCO10[[#This Row],[STATUS DA ETAPA]],"")</f>
        <v/>
      </c>
      <c r="CT272" s="21" t="str">
        <f>IF([1]!BANCO10[[#This Row],[SOLUÇÃO]]=CT$1,[1]!BANCO10[[#This Row],[STATUS DA ETAPA]],"")</f>
        <v/>
      </c>
      <c r="CU272" s="21" t="str">
        <f>IF([1]!BANCO10[[#This Row],[SOLUÇÃO]]=CU$1,[1]!BANCO10[[#This Row],[STATUS DA ETAPA]],"")</f>
        <v/>
      </c>
      <c r="CV272" s="21" t="str">
        <f>IF([1]!BANCO10[[#This Row],[SOLUÇÃO]]=CV$1,[1]!BANCO10[[#This Row],[STATUS DA ETAPA]],"")</f>
        <v/>
      </c>
    </row>
    <row r="273" spans="1:100">
      <c r="A273" s="44" t="s">
        <v>1</v>
      </c>
      <c r="B273" s="44"/>
      <c r="C273" s="44" t="s">
        <v>1</v>
      </c>
      <c r="D273" s="44"/>
      <c r="E273" s="44" t="s">
        <v>1</v>
      </c>
      <c r="F273" s="44"/>
      <c r="G273" s="44" t="s">
        <v>1</v>
      </c>
      <c r="H273" s="44"/>
      <c r="I273" s="45" t="s">
        <v>1</v>
      </c>
      <c r="J273" s="46"/>
      <c r="K273" s="45" t="s">
        <v>1</v>
      </c>
      <c r="L273" s="33"/>
      <c r="M273" s="45" t="s">
        <v>1</v>
      </c>
      <c r="N273" s="33"/>
      <c r="O273" s="44" t="s">
        <v>2</v>
      </c>
      <c r="P273" s="44">
        <v>44706</v>
      </c>
      <c r="Q273" s="44" t="s">
        <v>2</v>
      </c>
      <c r="R273" s="44">
        <v>44706</v>
      </c>
      <c r="S273" s="44" t="s">
        <v>2</v>
      </c>
      <c r="T273" s="44">
        <v>44706</v>
      </c>
      <c r="U273" s="44" t="s">
        <v>2</v>
      </c>
      <c r="V273" s="44">
        <v>44706</v>
      </c>
      <c r="W273" s="44" t="s">
        <v>2</v>
      </c>
      <c r="X273" s="44"/>
      <c r="Y273" s="44" t="s">
        <v>2</v>
      </c>
      <c r="Z273" s="44">
        <v>44925</v>
      </c>
      <c r="AA273" s="44" t="s">
        <v>2</v>
      </c>
      <c r="AB273" s="44"/>
      <c r="AC273" s="51">
        <v>44938</v>
      </c>
      <c r="AD273" s="51">
        <v>45056</v>
      </c>
      <c r="AE273" s="40" t="s">
        <v>2</v>
      </c>
      <c r="AF273" s="40" t="s">
        <v>2</v>
      </c>
      <c r="AG273" s="76" t="s">
        <v>5</v>
      </c>
      <c r="AH273" s="36" t="s">
        <v>0</v>
      </c>
      <c r="AI273" s="49">
        <v>0</v>
      </c>
      <c r="AJ273" s="36"/>
      <c r="AK273" s="10"/>
      <c r="AL273" s="36">
        <v>4731</v>
      </c>
      <c r="AM273" s="36" t="s">
        <v>1</v>
      </c>
      <c r="AN273" s="35" t="s">
        <v>1</v>
      </c>
      <c r="AO273" s="35" t="s">
        <v>1</v>
      </c>
      <c r="AP273" s="35" t="s">
        <v>2</v>
      </c>
      <c r="AQ273" s="35" t="s">
        <v>1</v>
      </c>
      <c r="AR273" s="34" t="s">
        <v>1</v>
      </c>
      <c r="AS273" s="33"/>
      <c r="AT273" s="32" t="s">
        <v>1</v>
      </c>
      <c r="AU273" s="31"/>
      <c r="AV273" s="32" t="s">
        <v>1</v>
      </c>
      <c r="AW273" s="31"/>
      <c r="AX273" s="30" t="s">
        <v>2</v>
      </c>
      <c r="AY273" s="55">
        <v>45077</v>
      </c>
      <c r="AZ273" s="30" t="s">
        <v>2</v>
      </c>
      <c r="BA273" s="55"/>
      <c r="BB273" s="74"/>
      <c r="BC273" s="25"/>
      <c r="BD273" s="24" t="s">
        <v>11</v>
      </c>
      <c r="BE273" s="24" t="s">
        <v>11</v>
      </c>
      <c r="BF273" s="24" t="s">
        <v>11</v>
      </c>
      <c r="BG273" s="24" t="s">
        <v>11</v>
      </c>
      <c r="BH273" s="130" t="s">
        <v>11</v>
      </c>
      <c r="BI273" s="24"/>
      <c r="BJ273" s="24" t="s">
        <v>11</v>
      </c>
      <c r="BK273" s="24" t="s">
        <v>11</v>
      </c>
      <c r="BL273" s="24" t="s">
        <v>11</v>
      </c>
      <c r="BM273" s="24" t="s">
        <v>11</v>
      </c>
      <c r="BN273" s="24" t="s">
        <v>11</v>
      </c>
      <c r="BO273" s="24" t="s">
        <v>11</v>
      </c>
      <c r="BP273" s="24" t="s">
        <v>423</v>
      </c>
      <c r="BQ273" s="22">
        <f>YEAR([1]!BANCO10[[#This Row],[DATA INÍCIO]])</f>
        <v>2023</v>
      </c>
      <c r="BR273" s="22">
        <f>MONTH([1]!BANCO10[[#This Row],[DATA INÍCIO]])</f>
        <v>1</v>
      </c>
      <c r="BS273" s="129" t="e">
        <f>CONCATENATE(#REF!,#REF!)</f>
        <v>#REF!</v>
      </c>
      <c r="BT273" s="22"/>
      <c r="BU273" s="21" t="s">
        <v>614</v>
      </c>
      <c r="BV273" s="21" t="str">
        <f>IF([1]!BANCO10[[#This Row],[SOLUÇÃO]]=BV$1,[1]!BANCO10[[#This Row],[STATUS DA ETAPA]],"")</f>
        <v/>
      </c>
      <c r="BW273" s="21" t="str">
        <f>IF([1]!BANCO10[[#This Row],[SOLUÇÃO]]=BW$1,[1]!BANCO10[[#This Row],[STATUS DA ETAPA]],"")</f>
        <v/>
      </c>
      <c r="BX273" s="21" t="str">
        <f>IF([1]!BANCO10[[#This Row],[SOLUÇÃO]]=BX$1,[1]!BANCO10[[#This Row],[STATUS DA ETAPA]],"")</f>
        <v/>
      </c>
      <c r="BY273" s="21" t="str">
        <f>IF([1]!BANCO10[[#This Row],[SOLUÇÃO]]=BY$1,[1]!BANCO10[[#This Row],[STATUS DA ETAPA]],"")</f>
        <v/>
      </c>
      <c r="BZ273" s="21" t="str">
        <f>IF([1]!BANCO10[[#This Row],[SOLUÇÃO]]=BZ$1,[1]!BANCO10[[#This Row],[STATUS DA ETAPA]],"")</f>
        <v/>
      </c>
      <c r="CA273" s="21" t="str">
        <f>IF([1]!BANCO10[[#This Row],[SOLUÇÃO]]=CA$1,[1]!BANCO10[[#This Row],[STATUS DA ETAPA]],"")</f>
        <v>CONCLUÍDO</v>
      </c>
      <c r="CB273" s="21" t="str">
        <f>IF([1]!BANCO10[[#This Row],[SOLUÇÃO]]=CB$1,[1]!BANCO10[[#This Row],[STATUS DA ETAPA]],"")</f>
        <v/>
      </c>
      <c r="CC273" s="21" t="str">
        <f>IF([1]!BANCO10[[#This Row],[SOLUÇÃO]]=CC$1,[1]!BANCO10[[#This Row],[STATUS DA ETAPA]],"")</f>
        <v/>
      </c>
      <c r="CD273" s="21" t="str">
        <f>IF([1]!BANCO10[[#This Row],[SOLUÇÃO]]=CD$1,[1]!BANCO10[[#This Row],[STATUS DA ETAPA]],"")</f>
        <v/>
      </c>
      <c r="CE273" s="21" t="str">
        <f>IF([1]!BANCO10[[#This Row],[SOLUÇÃO]]=CE$1,[1]!BANCO10[[#This Row],[STATUS DA ETAPA]],"")</f>
        <v/>
      </c>
      <c r="CF273" s="21" t="str">
        <f>IF([1]!BANCO10[[#This Row],[SOLUÇÃO]]=CF$1,[1]!BANCO10[[#This Row],[STATUS DA ETAPA]],"")</f>
        <v/>
      </c>
      <c r="CG273" s="21" t="str">
        <f>IF([1]!BANCO10[[#This Row],[SOLUÇÃO]]=CG$1,[1]!BANCO10[[#This Row],[STATUS DA ETAPA]],"")</f>
        <v/>
      </c>
      <c r="CH273" s="21" t="str">
        <f>IF([1]!BANCO10[[#This Row],[SOLUÇÃO]]=CH$1,[1]!BANCO10[[#This Row],[STATUS DA ETAPA]],"")</f>
        <v/>
      </c>
      <c r="CI273" s="21" t="str">
        <f>IF([1]!BANCO10[[#This Row],[SOLUÇÃO]]=CI$1,[1]!BANCO10[[#This Row],[STATUS DA ETAPA]],"")</f>
        <v/>
      </c>
      <c r="CJ273" s="21" t="str">
        <f>IF([1]!BANCO10[[#This Row],[SOLUÇÃO]]=CJ$1,[1]!BANCO10[[#This Row],[STATUS DA ETAPA]],"")</f>
        <v/>
      </c>
      <c r="CK273" s="21" t="str">
        <f>IF([1]!BANCO10[[#This Row],[SOLUÇÃO]]=CK$1,[1]!BANCO10[[#This Row],[STATUS DA ETAPA]],"")</f>
        <v/>
      </c>
      <c r="CL273" s="21" t="str">
        <f>IF([1]!BANCO10[[#This Row],[SOLUÇÃO]]=CL$1,[1]!BANCO10[[#This Row],[STATUS DA ETAPA]],"")</f>
        <v/>
      </c>
      <c r="CM273" s="21" t="str">
        <f>IF([1]!BANCO10[[#This Row],[SOLUÇÃO]]=CM$1,[1]!BANCO10[[#This Row],[STATUS DA ETAPA]],"")</f>
        <v/>
      </c>
      <c r="CN273" s="21" t="str">
        <f>IF([1]!BANCO10[[#This Row],[SOLUÇÃO]]=CN$1,[1]!BANCO10[[#This Row],[STATUS DA ETAPA]],"")</f>
        <v/>
      </c>
      <c r="CO273" s="21" t="str">
        <f>IF([1]!BANCO10[[#This Row],[SOLUÇÃO]]=CO$1,[1]!BANCO10[[#This Row],[STATUS DA ETAPA]],"")</f>
        <v/>
      </c>
      <c r="CP273" s="21" t="str">
        <f>IF([1]!BANCO10[[#This Row],[SOLUÇÃO]]=CP$1,[1]!BANCO10[[#This Row],[STATUS DA ETAPA]],"")</f>
        <v/>
      </c>
      <c r="CQ273" s="21" t="str">
        <f>IF([1]!BANCO10[[#This Row],[SOLUÇÃO]]=CQ$1,[1]!BANCO10[[#This Row],[STATUS DA ETAPA]],"")</f>
        <v/>
      </c>
      <c r="CR273" s="21" t="str">
        <f>IF([1]!BANCO10[[#This Row],[SOLUÇÃO]]=CR$1,[1]!BANCO10[[#This Row],[STATUS DA ETAPA]],"")</f>
        <v/>
      </c>
      <c r="CS273" s="21" t="str">
        <f>IF([1]!BANCO10[[#This Row],[SOLUÇÃO]]=CS$1,[1]!BANCO10[[#This Row],[STATUS DA ETAPA]],"")</f>
        <v/>
      </c>
      <c r="CT273" s="21" t="str">
        <f>IF([1]!BANCO10[[#This Row],[SOLUÇÃO]]=CT$1,[1]!BANCO10[[#This Row],[STATUS DA ETAPA]],"")</f>
        <v/>
      </c>
      <c r="CU273" s="21" t="str">
        <f>IF([1]!BANCO10[[#This Row],[SOLUÇÃO]]=CU$1,[1]!BANCO10[[#This Row],[STATUS DA ETAPA]],"")</f>
        <v/>
      </c>
      <c r="CV273" s="21" t="str">
        <f>IF([1]!BANCO10[[#This Row],[SOLUÇÃO]]=CV$1,[1]!BANCO10[[#This Row],[STATUS DA ETAPA]],"")</f>
        <v/>
      </c>
    </row>
    <row r="274" spans="1:100">
      <c r="A274" s="44" t="s">
        <v>1</v>
      </c>
      <c r="B274" s="44"/>
      <c r="C274" s="44" t="s">
        <v>1</v>
      </c>
      <c r="D274" s="44"/>
      <c r="E274" s="44" t="s">
        <v>1</v>
      </c>
      <c r="F274" s="44"/>
      <c r="G274" s="44" t="s">
        <v>1</v>
      </c>
      <c r="H274" s="44"/>
      <c r="I274" s="45" t="s">
        <v>1</v>
      </c>
      <c r="J274" s="46"/>
      <c r="K274" s="45" t="s">
        <v>1</v>
      </c>
      <c r="L274" s="33"/>
      <c r="M274" s="45" t="s">
        <v>1</v>
      </c>
      <c r="N274" s="33"/>
      <c r="O274" s="44" t="s">
        <v>1</v>
      </c>
      <c r="P274" s="44"/>
      <c r="Q274" s="44" t="s">
        <v>0</v>
      </c>
      <c r="R274" s="44"/>
      <c r="S274" s="44" t="s">
        <v>1</v>
      </c>
      <c r="T274" s="44"/>
      <c r="U274" s="44" t="s">
        <v>1</v>
      </c>
      <c r="V274" s="44"/>
      <c r="W274" s="44" t="s">
        <v>1</v>
      </c>
      <c r="X274" s="44"/>
      <c r="Y274" s="44" t="s">
        <v>1</v>
      </c>
      <c r="Z274" s="44"/>
      <c r="AA274" s="44" t="s">
        <v>1</v>
      </c>
      <c r="AB274" s="44"/>
      <c r="AC274" s="51">
        <v>45963</v>
      </c>
      <c r="AD274" s="50">
        <v>45963</v>
      </c>
      <c r="AE274" s="41" t="s">
        <v>1</v>
      </c>
      <c r="AF274" s="41" t="s">
        <v>1</v>
      </c>
      <c r="AG274" s="40" t="s">
        <v>5</v>
      </c>
      <c r="AH274" s="36" t="s">
        <v>1</v>
      </c>
      <c r="AI274" s="49">
        <v>0</v>
      </c>
      <c r="AJ274" s="36" t="s">
        <v>1</v>
      </c>
      <c r="AK274" s="10" t="s">
        <v>1</v>
      </c>
      <c r="AL274" s="36" t="s">
        <v>1</v>
      </c>
      <c r="AM274" s="36" t="s">
        <v>1</v>
      </c>
      <c r="AN274" s="35" t="s">
        <v>1</v>
      </c>
      <c r="AO274" s="35" t="s">
        <v>1</v>
      </c>
      <c r="AP274" s="35" t="s">
        <v>1</v>
      </c>
      <c r="AQ274" s="35" t="s">
        <v>1</v>
      </c>
      <c r="AR274" s="82" t="s">
        <v>1</v>
      </c>
      <c r="AS274" s="33"/>
      <c r="AT274" s="32" t="s">
        <v>1</v>
      </c>
      <c r="AU274" s="31"/>
      <c r="AV274" s="32" t="s">
        <v>1</v>
      </c>
      <c r="AW274" s="31"/>
      <c r="AX274" s="32" t="s">
        <v>0</v>
      </c>
      <c r="AY274" s="31"/>
      <c r="AZ274" s="32" t="s">
        <v>0</v>
      </c>
      <c r="BA274" s="31"/>
      <c r="BB274" s="26"/>
      <c r="BC274" s="25"/>
      <c r="BD274" s="24"/>
      <c r="BE274" s="24"/>
      <c r="BF274" s="24"/>
      <c r="BG274" s="24"/>
      <c r="BH274" s="24"/>
      <c r="BI274" s="24"/>
      <c r="BJ274" s="24"/>
      <c r="BK274" s="24"/>
      <c r="BL274" s="24"/>
      <c r="BM274" s="24"/>
      <c r="BN274" s="24"/>
      <c r="BO274" s="24"/>
      <c r="BP274" s="24"/>
      <c r="BQ274" s="22">
        <f>YEAR([1]!BANCO10[[#This Row],[DATA INÍCIO]])</f>
        <v>2025</v>
      </c>
      <c r="BR274" s="22">
        <f>MONTH([1]!BANCO10[[#This Row],[DATA INÍCIO]])</f>
        <v>11</v>
      </c>
      <c r="BS274" s="23" t="e">
        <f>CONCATENATE(#REF!,#REF!)</f>
        <v>#REF!</v>
      </c>
      <c r="BT274" s="22"/>
      <c r="BU274" s="22"/>
      <c r="BV274" s="21" t="str">
        <f>IF([1]!BANCO10[[#This Row],[SOLUÇÃO]]=BV$1,[1]!BANCO10[[#This Row],[STATUS DA ETAPA]],"")</f>
        <v>CONCLUÍDO</v>
      </c>
      <c r="BW274" s="21" t="str">
        <f>IF([1]!BANCO10[[#This Row],[SOLUÇÃO]]=BW$1,[1]!BANCO10[[#This Row],[STATUS DA ETAPA]],"")</f>
        <v/>
      </c>
      <c r="BX274" s="21" t="str">
        <f>IF([1]!BANCO10[[#This Row],[SOLUÇÃO]]=BX$1,[1]!BANCO10[[#This Row],[STATUS DA ETAPA]],"")</f>
        <v/>
      </c>
      <c r="BY274" s="21" t="str">
        <f>IF([1]!BANCO10[[#This Row],[SOLUÇÃO]]=BY$1,[1]!BANCO10[[#This Row],[STATUS DA ETAPA]],"")</f>
        <v/>
      </c>
      <c r="BZ274" s="21" t="str">
        <f>IF([1]!BANCO10[[#This Row],[SOLUÇÃO]]=BZ$1,[1]!BANCO10[[#This Row],[STATUS DA ETAPA]],"")</f>
        <v/>
      </c>
      <c r="CA274" s="21" t="str">
        <f>IF([1]!BANCO10[[#This Row],[SOLUÇÃO]]=CA$1,[1]!BANCO10[[#This Row],[STATUS DA ETAPA]],"")</f>
        <v/>
      </c>
      <c r="CB274" s="21" t="str">
        <f>IF([1]!BANCO10[[#This Row],[SOLUÇÃO]]=CB$1,[1]!BANCO10[[#This Row],[STATUS DA ETAPA]],"")</f>
        <v/>
      </c>
      <c r="CC274" s="21" t="str">
        <f>IF([1]!BANCO10[[#This Row],[SOLUÇÃO]]=CC$1,[1]!BANCO10[[#This Row],[STATUS DA ETAPA]],"")</f>
        <v/>
      </c>
      <c r="CD274" s="21" t="str">
        <f>IF([1]!BANCO10[[#This Row],[SOLUÇÃO]]=CD$1,[1]!BANCO10[[#This Row],[STATUS DA ETAPA]],"")</f>
        <v/>
      </c>
      <c r="CE274" s="21" t="str">
        <f>IF([1]!BANCO10[[#This Row],[SOLUÇÃO]]=CE$1,[1]!BANCO10[[#This Row],[STATUS DA ETAPA]],"")</f>
        <v/>
      </c>
      <c r="CF274" s="21" t="str">
        <f>IF([1]!BANCO10[[#This Row],[SOLUÇÃO]]=CF$1,[1]!BANCO10[[#This Row],[STATUS DA ETAPA]],"")</f>
        <v/>
      </c>
      <c r="CG274" s="21" t="str">
        <f>IF([1]!BANCO10[[#This Row],[SOLUÇÃO]]=CG$1,[1]!BANCO10[[#This Row],[STATUS DA ETAPA]],"")</f>
        <v/>
      </c>
      <c r="CH274" s="21" t="str">
        <f>IF([1]!BANCO10[[#This Row],[SOLUÇÃO]]=CH$1,[1]!BANCO10[[#This Row],[STATUS DA ETAPA]],"")</f>
        <v/>
      </c>
      <c r="CI274" s="21" t="str">
        <f>IF([1]!BANCO10[[#This Row],[SOLUÇÃO]]=CI$1,[1]!BANCO10[[#This Row],[STATUS DA ETAPA]],"")</f>
        <v/>
      </c>
      <c r="CJ274" s="21" t="str">
        <f>IF([1]!BANCO10[[#This Row],[SOLUÇÃO]]=CJ$1,[1]!BANCO10[[#This Row],[STATUS DA ETAPA]],"")</f>
        <v/>
      </c>
      <c r="CK274" s="21" t="str">
        <f>IF([1]!BANCO10[[#This Row],[SOLUÇÃO]]=CK$1,[1]!BANCO10[[#This Row],[STATUS DA ETAPA]],"")</f>
        <v/>
      </c>
      <c r="CL274" s="21" t="str">
        <f>IF([1]!BANCO10[[#This Row],[SOLUÇÃO]]=CL$1,[1]!BANCO10[[#This Row],[STATUS DA ETAPA]],"")</f>
        <v/>
      </c>
      <c r="CM274" s="21" t="str">
        <f>IF([1]!BANCO10[[#This Row],[SOLUÇÃO]]=CM$1,[1]!BANCO10[[#This Row],[STATUS DA ETAPA]],"")</f>
        <v/>
      </c>
      <c r="CN274" s="21" t="str">
        <f>IF([1]!BANCO10[[#This Row],[SOLUÇÃO]]=CN$1,[1]!BANCO10[[#This Row],[STATUS DA ETAPA]],"")</f>
        <v/>
      </c>
      <c r="CO274" s="21" t="str">
        <f>IF([1]!BANCO10[[#This Row],[SOLUÇÃO]]=CO$1,[1]!BANCO10[[#This Row],[STATUS DA ETAPA]],"")</f>
        <v/>
      </c>
      <c r="CP274" s="21" t="str">
        <f>IF([1]!BANCO10[[#This Row],[SOLUÇÃO]]=CP$1,[1]!BANCO10[[#This Row],[STATUS DA ETAPA]],"")</f>
        <v/>
      </c>
      <c r="CQ274" s="21" t="str">
        <f>IF([1]!BANCO10[[#This Row],[SOLUÇÃO]]=CQ$1,[1]!BANCO10[[#This Row],[STATUS DA ETAPA]],"")</f>
        <v/>
      </c>
      <c r="CR274" s="21" t="str">
        <f>IF([1]!BANCO10[[#This Row],[SOLUÇÃO]]=CR$1,[1]!BANCO10[[#This Row],[STATUS DA ETAPA]],"")</f>
        <v/>
      </c>
      <c r="CS274" s="21" t="str">
        <f>IF([1]!BANCO10[[#This Row],[SOLUÇÃO]]=CS$1,[1]!BANCO10[[#This Row],[STATUS DA ETAPA]],"")</f>
        <v/>
      </c>
      <c r="CT274" s="21" t="str">
        <f>IF([1]!BANCO10[[#This Row],[SOLUÇÃO]]=CT$1,[1]!BANCO10[[#This Row],[STATUS DA ETAPA]],"")</f>
        <v/>
      </c>
      <c r="CU274" s="21" t="str">
        <f>IF([1]!BANCO10[[#This Row],[SOLUÇÃO]]=CU$1,[1]!BANCO10[[#This Row],[STATUS DA ETAPA]],"")</f>
        <v/>
      </c>
      <c r="CV274" s="21" t="str">
        <f>IF([1]!BANCO10[[#This Row],[SOLUÇÃO]]=CV$1,[1]!BANCO10[[#This Row],[STATUS DA ETAPA]],"")</f>
        <v/>
      </c>
    </row>
    <row r="275" spans="1:100">
      <c r="A275" s="44" t="s">
        <v>1</v>
      </c>
      <c r="B275" s="44"/>
      <c r="C275" s="44" t="s">
        <v>1</v>
      </c>
      <c r="D275" s="44"/>
      <c r="E275" s="44" t="s">
        <v>1</v>
      </c>
      <c r="F275" s="44"/>
      <c r="G275" s="44" t="s">
        <v>1</v>
      </c>
      <c r="H275" s="44"/>
      <c r="I275" s="45" t="s">
        <v>1</v>
      </c>
      <c r="J275" s="46"/>
      <c r="K275" s="45" t="s">
        <v>1</v>
      </c>
      <c r="L275" s="33"/>
      <c r="M275" s="45" t="s">
        <v>1</v>
      </c>
      <c r="N275" s="33"/>
      <c r="O275" s="44" t="s">
        <v>1</v>
      </c>
      <c r="P275" s="44"/>
      <c r="Q275" s="44" t="s">
        <v>1</v>
      </c>
      <c r="R275" s="44" t="s">
        <v>1</v>
      </c>
      <c r="S275" s="44" t="s">
        <v>1</v>
      </c>
      <c r="T275" s="44"/>
      <c r="U275" s="44" t="s">
        <v>1</v>
      </c>
      <c r="V275" s="44"/>
      <c r="W275" s="44" t="s">
        <v>1</v>
      </c>
      <c r="X275" s="44"/>
      <c r="Y275" s="44" t="s">
        <v>1</v>
      </c>
      <c r="Z275" s="44"/>
      <c r="AA275" s="44" t="s">
        <v>1</v>
      </c>
      <c r="AB275" s="44"/>
      <c r="AC275" s="51">
        <v>45713</v>
      </c>
      <c r="AD275" s="50">
        <v>45713</v>
      </c>
      <c r="AE275" s="41" t="s">
        <v>1</v>
      </c>
      <c r="AF275" s="41" t="s">
        <v>1</v>
      </c>
      <c r="AG275" s="40" t="s">
        <v>5</v>
      </c>
      <c r="AH275" s="36" t="s">
        <v>2</v>
      </c>
      <c r="AI275" s="49">
        <v>0</v>
      </c>
      <c r="AJ275" s="36" t="s">
        <v>1</v>
      </c>
      <c r="AK275" s="10" t="s">
        <v>1</v>
      </c>
      <c r="AL275" s="36" t="s">
        <v>1</v>
      </c>
      <c r="AM275" s="36" t="s">
        <v>1</v>
      </c>
      <c r="AN275" s="35" t="s">
        <v>1</v>
      </c>
      <c r="AO275" s="35" t="s">
        <v>1</v>
      </c>
      <c r="AP275" s="35" t="s">
        <v>1</v>
      </c>
      <c r="AQ275" s="35" t="s">
        <v>1</v>
      </c>
      <c r="AR275" s="82" t="s">
        <v>1</v>
      </c>
      <c r="AS275" s="33"/>
      <c r="AT275" s="32" t="s">
        <v>1</v>
      </c>
      <c r="AU275" s="31"/>
      <c r="AV275" s="32" t="s">
        <v>1</v>
      </c>
      <c r="AW275" s="31"/>
      <c r="AX275" s="32" t="s">
        <v>1</v>
      </c>
      <c r="AY275" s="31"/>
      <c r="AZ275" s="32" t="s">
        <v>1</v>
      </c>
      <c r="BA275" s="31"/>
      <c r="BB275" s="26"/>
      <c r="BC275" s="25"/>
      <c r="BD275" s="24"/>
      <c r="BE275" s="24"/>
      <c r="BF275" s="24"/>
      <c r="BG275" s="24"/>
      <c r="BH275" s="24"/>
      <c r="BI275" s="24"/>
      <c r="BJ275" s="24"/>
      <c r="BK275" s="24"/>
      <c r="BL275" s="24"/>
      <c r="BM275" s="24"/>
      <c r="BN275" s="24"/>
      <c r="BO275" s="24"/>
      <c r="BP275" s="24"/>
      <c r="BQ275" s="22">
        <f>YEAR([1]!BANCO10[[#This Row],[DATA INÍCIO]])</f>
        <v>2025</v>
      </c>
      <c r="BR275" s="22">
        <f>MONTH([1]!BANCO10[[#This Row],[DATA INÍCIO]])</f>
        <v>2</v>
      </c>
      <c r="BS275" s="23" t="e">
        <f>CONCATENATE(#REF!,#REF!)</f>
        <v>#REF!</v>
      </c>
      <c r="BT275" s="22"/>
      <c r="BU275" s="22"/>
      <c r="BV275" s="21" t="str">
        <f>IF([1]!BANCO10[[#This Row],[SOLUÇÃO]]=BV$1,[1]!BANCO10[[#This Row],[STATUS DA ETAPA]],"")</f>
        <v>CONCLUÍDO</v>
      </c>
      <c r="BW275" s="21" t="str">
        <f>IF([1]!BANCO10[[#This Row],[SOLUÇÃO]]=BW$1,[1]!BANCO10[[#This Row],[STATUS DA ETAPA]],"")</f>
        <v/>
      </c>
      <c r="BX275" s="21" t="str">
        <f>IF([1]!BANCO10[[#This Row],[SOLUÇÃO]]=BX$1,[1]!BANCO10[[#This Row],[STATUS DA ETAPA]],"")</f>
        <v/>
      </c>
      <c r="BY275" s="21" t="str">
        <f>IF([1]!BANCO10[[#This Row],[SOLUÇÃO]]=BY$1,[1]!BANCO10[[#This Row],[STATUS DA ETAPA]],"")</f>
        <v/>
      </c>
      <c r="BZ275" s="21" t="str">
        <f>IF([1]!BANCO10[[#This Row],[SOLUÇÃO]]=BZ$1,[1]!BANCO10[[#This Row],[STATUS DA ETAPA]],"")</f>
        <v/>
      </c>
      <c r="CA275" s="21" t="str">
        <f>IF([1]!BANCO10[[#This Row],[SOLUÇÃO]]=CA$1,[1]!BANCO10[[#This Row],[STATUS DA ETAPA]],"")</f>
        <v/>
      </c>
      <c r="CB275" s="21" t="str">
        <f>IF([1]!BANCO10[[#This Row],[SOLUÇÃO]]=CB$1,[1]!BANCO10[[#This Row],[STATUS DA ETAPA]],"")</f>
        <v/>
      </c>
      <c r="CC275" s="21" t="str">
        <f>IF([1]!BANCO10[[#This Row],[SOLUÇÃO]]=CC$1,[1]!BANCO10[[#This Row],[STATUS DA ETAPA]],"")</f>
        <v/>
      </c>
      <c r="CD275" s="21" t="str">
        <f>IF([1]!BANCO10[[#This Row],[SOLUÇÃO]]=CD$1,[1]!BANCO10[[#This Row],[STATUS DA ETAPA]],"")</f>
        <v/>
      </c>
      <c r="CE275" s="21" t="str">
        <f>IF([1]!BANCO10[[#This Row],[SOLUÇÃO]]=CE$1,[1]!BANCO10[[#This Row],[STATUS DA ETAPA]],"")</f>
        <v/>
      </c>
      <c r="CF275" s="21" t="str">
        <f>IF([1]!BANCO10[[#This Row],[SOLUÇÃO]]=CF$1,[1]!BANCO10[[#This Row],[STATUS DA ETAPA]],"")</f>
        <v/>
      </c>
      <c r="CG275" s="21" t="str">
        <f>IF([1]!BANCO10[[#This Row],[SOLUÇÃO]]=CG$1,[1]!BANCO10[[#This Row],[STATUS DA ETAPA]],"")</f>
        <v/>
      </c>
      <c r="CH275" s="21" t="str">
        <f>IF([1]!BANCO10[[#This Row],[SOLUÇÃO]]=CH$1,[1]!BANCO10[[#This Row],[STATUS DA ETAPA]],"")</f>
        <v/>
      </c>
      <c r="CI275" s="21" t="str">
        <f>IF([1]!BANCO10[[#This Row],[SOLUÇÃO]]=CI$1,[1]!BANCO10[[#This Row],[STATUS DA ETAPA]],"")</f>
        <v/>
      </c>
      <c r="CJ275" s="21" t="str">
        <f>IF([1]!BANCO10[[#This Row],[SOLUÇÃO]]=CJ$1,[1]!BANCO10[[#This Row],[STATUS DA ETAPA]],"")</f>
        <v/>
      </c>
      <c r="CK275" s="21" t="str">
        <f>IF([1]!BANCO10[[#This Row],[SOLUÇÃO]]=CK$1,[1]!BANCO10[[#This Row],[STATUS DA ETAPA]],"")</f>
        <v/>
      </c>
      <c r="CL275" s="21" t="str">
        <f>IF([1]!BANCO10[[#This Row],[SOLUÇÃO]]=CL$1,[1]!BANCO10[[#This Row],[STATUS DA ETAPA]],"")</f>
        <v/>
      </c>
      <c r="CM275" s="21" t="str">
        <f>IF([1]!BANCO10[[#This Row],[SOLUÇÃO]]=CM$1,[1]!BANCO10[[#This Row],[STATUS DA ETAPA]],"")</f>
        <v/>
      </c>
      <c r="CN275" s="21" t="str">
        <f>IF([1]!BANCO10[[#This Row],[SOLUÇÃO]]=CN$1,[1]!BANCO10[[#This Row],[STATUS DA ETAPA]],"")</f>
        <v/>
      </c>
      <c r="CO275" s="21" t="str">
        <f>IF([1]!BANCO10[[#This Row],[SOLUÇÃO]]=CO$1,[1]!BANCO10[[#This Row],[STATUS DA ETAPA]],"")</f>
        <v/>
      </c>
      <c r="CP275" s="21" t="str">
        <f>IF([1]!BANCO10[[#This Row],[SOLUÇÃO]]=CP$1,[1]!BANCO10[[#This Row],[STATUS DA ETAPA]],"")</f>
        <v/>
      </c>
      <c r="CQ275" s="21" t="str">
        <f>IF([1]!BANCO10[[#This Row],[SOLUÇÃO]]=CQ$1,[1]!BANCO10[[#This Row],[STATUS DA ETAPA]],"")</f>
        <v/>
      </c>
      <c r="CR275" s="21" t="str">
        <f>IF([1]!BANCO10[[#This Row],[SOLUÇÃO]]=CR$1,[1]!BANCO10[[#This Row],[STATUS DA ETAPA]],"")</f>
        <v/>
      </c>
      <c r="CS275" s="21" t="str">
        <f>IF([1]!BANCO10[[#This Row],[SOLUÇÃO]]=CS$1,[1]!BANCO10[[#This Row],[STATUS DA ETAPA]],"")</f>
        <v/>
      </c>
      <c r="CT275" s="21" t="str">
        <f>IF([1]!BANCO10[[#This Row],[SOLUÇÃO]]=CT$1,[1]!BANCO10[[#This Row],[STATUS DA ETAPA]],"")</f>
        <v/>
      </c>
      <c r="CU275" s="21" t="str">
        <f>IF([1]!BANCO10[[#This Row],[SOLUÇÃO]]=CU$1,[1]!BANCO10[[#This Row],[STATUS DA ETAPA]],"")</f>
        <v/>
      </c>
      <c r="CV275" s="21" t="str">
        <f>IF([1]!BANCO10[[#This Row],[SOLUÇÃO]]=CV$1,[1]!BANCO10[[#This Row],[STATUS DA ETAPA]],"")</f>
        <v/>
      </c>
    </row>
    <row r="276" spans="1:100">
      <c r="A276" s="44" t="s">
        <v>1</v>
      </c>
      <c r="B276" s="44"/>
      <c r="C276" s="44" t="s">
        <v>1</v>
      </c>
      <c r="D276" s="44"/>
      <c r="E276" s="44" t="s">
        <v>1</v>
      </c>
      <c r="F276" s="44"/>
      <c r="G276" s="44" t="s">
        <v>1</v>
      </c>
      <c r="H276" s="44"/>
      <c r="I276" s="45" t="s">
        <v>1</v>
      </c>
      <c r="J276" s="46"/>
      <c r="K276" s="45" t="s">
        <v>1</v>
      </c>
      <c r="L276" s="33"/>
      <c r="M276" s="45" t="s">
        <v>1</v>
      </c>
      <c r="N276" s="33"/>
      <c r="O276" s="44" t="s">
        <v>2</v>
      </c>
      <c r="P276" s="44">
        <v>44991</v>
      </c>
      <c r="Q276" s="44" t="s">
        <v>0</v>
      </c>
      <c r="R276" s="44"/>
      <c r="S276" s="44" t="s">
        <v>1</v>
      </c>
      <c r="T276" s="44"/>
      <c r="U276" s="44" t="s">
        <v>1</v>
      </c>
      <c r="V276" s="44"/>
      <c r="W276" s="44" t="s">
        <v>1</v>
      </c>
      <c r="X276" s="44"/>
      <c r="Y276" s="44" t="s">
        <v>1</v>
      </c>
      <c r="Z276" s="44"/>
      <c r="AA276" s="44" t="s">
        <v>1</v>
      </c>
      <c r="AB276" s="44"/>
      <c r="AC276" s="51">
        <v>44991</v>
      </c>
      <c r="AD276" s="50">
        <v>44991</v>
      </c>
      <c r="AE276" s="40" t="s">
        <v>1</v>
      </c>
      <c r="AF276" s="40" t="s">
        <v>1</v>
      </c>
      <c r="AG276" s="76" t="s">
        <v>5</v>
      </c>
      <c r="AH276" s="36" t="s">
        <v>1</v>
      </c>
      <c r="AI276" s="49">
        <v>0</v>
      </c>
      <c r="AJ276" s="36" t="s">
        <v>1</v>
      </c>
      <c r="AK276" s="10" t="s">
        <v>1</v>
      </c>
      <c r="AL276" s="36" t="s">
        <v>1</v>
      </c>
      <c r="AM276" s="36" t="s">
        <v>1</v>
      </c>
      <c r="AN276" s="35" t="s">
        <v>1</v>
      </c>
      <c r="AO276" s="35" t="s">
        <v>1</v>
      </c>
      <c r="AP276" s="35" t="s">
        <v>1</v>
      </c>
      <c r="AQ276" s="35" t="s">
        <v>1</v>
      </c>
      <c r="AR276" s="82" t="s">
        <v>1</v>
      </c>
      <c r="AS276" s="33"/>
      <c r="AT276" s="32" t="s">
        <v>1</v>
      </c>
      <c r="AU276" s="31"/>
      <c r="AV276" s="32" t="s">
        <v>1</v>
      </c>
      <c r="AW276" s="31"/>
      <c r="AX276" s="30" t="s">
        <v>1</v>
      </c>
      <c r="AY276" s="55"/>
      <c r="AZ276" s="30" t="s">
        <v>1</v>
      </c>
      <c r="BA276" s="55"/>
      <c r="BB276" s="74" t="s">
        <v>613</v>
      </c>
      <c r="BC276" s="25"/>
      <c r="BD276" s="24" t="s">
        <v>19</v>
      </c>
      <c r="BE276" s="24" t="s">
        <v>19</v>
      </c>
      <c r="BF276" s="24" t="s">
        <v>51</v>
      </c>
      <c r="BG276" s="24" t="s">
        <v>11</v>
      </c>
      <c r="BH276" s="130" t="s">
        <v>19</v>
      </c>
      <c r="BI276" s="24"/>
      <c r="BJ276" s="24" t="s">
        <v>11</v>
      </c>
      <c r="BK276" s="24" t="s">
        <v>11</v>
      </c>
      <c r="BL276" s="24" t="s">
        <v>11</v>
      </c>
      <c r="BM276" s="24" t="s">
        <v>11</v>
      </c>
      <c r="BN276" s="24" t="s">
        <v>11</v>
      </c>
      <c r="BO276" s="24" t="s">
        <v>11</v>
      </c>
      <c r="BP276" s="24" t="s">
        <v>11</v>
      </c>
      <c r="BQ276" s="22">
        <f>YEAR([1]!BANCO10[[#This Row],[DATA INÍCIO]])</f>
        <v>2023</v>
      </c>
      <c r="BR276" s="22">
        <f>MONTH([1]!BANCO10[[#This Row],[DATA INÍCIO]])</f>
        <v>3</v>
      </c>
      <c r="BS276" s="129" t="e">
        <f>CONCATENATE(#REF!,#REF!)</f>
        <v>#REF!</v>
      </c>
      <c r="BT276" s="22"/>
      <c r="BU276" s="21" t="s">
        <v>612</v>
      </c>
      <c r="BV276" s="21" t="str">
        <f>IF([1]!BANCO10[[#This Row],[SOLUÇÃO]]=BV$1,[1]!BANCO10[[#This Row],[STATUS DA ETAPA]],"")</f>
        <v>CONCLUÍDO</v>
      </c>
      <c r="BW276" s="21" t="str">
        <f>IF([1]!BANCO10[[#This Row],[SOLUÇÃO]]=BW$1,[1]!BANCO10[[#This Row],[STATUS DA ETAPA]],"")</f>
        <v/>
      </c>
      <c r="BX276" s="21" t="str">
        <f>IF([1]!BANCO10[[#This Row],[SOLUÇÃO]]=BX$1,[1]!BANCO10[[#This Row],[STATUS DA ETAPA]],"")</f>
        <v/>
      </c>
      <c r="BY276" s="21" t="str">
        <f>IF([1]!BANCO10[[#This Row],[SOLUÇÃO]]=BY$1,[1]!BANCO10[[#This Row],[STATUS DA ETAPA]],"")</f>
        <v/>
      </c>
      <c r="BZ276" s="21" t="str">
        <f>IF([1]!BANCO10[[#This Row],[SOLUÇÃO]]=BZ$1,[1]!BANCO10[[#This Row],[STATUS DA ETAPA]],"")</f>
        <v/>
      </c>
      <c r="CA276" s="21" t="str">
        <f>IF([1]!BANCO10[[#This Row],[SOLUÇÃO]]=CA$1,[1]!BANCO10[[#This Row],[STATUS DA ETAPA]],"")</f>
        <v/>
      </c>
      <c r="CB276" s="21" t="str">
        <f>IF([1]!BANCO10[[#This Row],[SOLUÇÃO]]=CB$1,[1]!BANCO10[[#This Row],[STATUS DA ETAPA]],"")</f>
        <v/>
      </c>
      <c r="CC276" s="21" t="str">
        <f>IF([1]!BANCO10[[#This Row],[SOLUÇÃO]]=CC$1,[1]!BANCO10[[#This Row],[STATUS DA ETAPA]],"")</f>
        <v/>
      </c>
      <c r="CD276" s="21" t="str">
        <f>IF([1]!BANCO10[[#This Row],[SOLUÇÃO]]=CD$1,[1]!BANCO10[[#This Row],[STATUS DA ETAPA]],"")</f>
        <v/>
      </c>
      <c r="CE276" s="21" t="str">
        <f>IF([1]!BANCO10[[#This Row],[SOLUÇÃO]]=CE$1,[1]!BANCO10[[#This Row],[STATUS DA ETAPA]],"")</f>
        <v/>
      </c>
      <c r="CF276" s="21" t="str">
        <f>IF([1]!BANCO10[[#This Row],[SOLUÇÃO]]=CF$1,[1]!BANCO10[[#This Row],[STATUS DA ETAPA]],"")</f>
        <v/>
      </c>
      <c r="CG276" s="21" t="str">
        <f>IF([1]!BANCO10[[#This Row],[SOLUÇÃO]]=CG$1,[1]!BANCO10[[#This Row],[STATUS DA ETAPA]],"")</f>
        <v/>
      </c>
      <c r="CH276" s="21" t="str">
        <f>IF([1]!BANCO10[[#This Row],[SOLUÇÃO]]=CH$1,[1]!BANCO10[[#This Row],[STATUS DA ETAPA]],"")</f>
        <v/>
      </c>
      <c r="CI276" s="21" t="str">
        <f>IF([1]!BANCO10[[#This Row],[SOLUÇÃO]]=CI$1,[1]!BANCO10[[#This Row],[STATUS DA ETAPA]],"")</f>
        <v/>
      </c>
      <c r="CJ276" s="21" t="str">
        <f>IF([1]!BANCO10[[#This Row],[SOLUÇÃO]]=CJ$1,[1]!BANCO10[[#This Row],[STATUS DA ETAPA]],"")</f>
        <v/>
      </c>
      <c r="CK276" s="21" t="str">
        <f>IF([1]!BANCO10[[#This Row],[SOLUÇÃO]]=CK$1,[1]!BANCO10[[#This Row],[STATUS DA ETAPA]],"")</f>
        <v/>
      </c>
      <c r="CL276" s="21" t="str">
        <f>IF([1]!BANCO10[[#This Row],[SOLUÇÃO]]=CL$1,[1]!BANCO10[[#This Row],[STATUS DA ETAPA]],"")</f>
        <v/>
      </c>
      <c r="CM276" s="21" t="str">
        <f>IF([1]!BANCO10[[#This Row],[SOLUÇÃO]]=CM$1,[1]!BANCO10[[#This Row],[STATUS DA ETAPA]],"")</f>
        <v/>
      </c>
      <c r="CN276" s="21" t="str">
        <f>IF([1]!BANCO10[[#This Row],[SOLUÇÃO]]=CN$1,[1]!BANCO10[[#This Row],[STATUS DA ETAPA]],"")</f>
        <v/>
      </c>
      <c r="CO276" s="21" t="str">
        <f>IF([1]!BANCO10[[#This Row],[SOLUÇÃO]]=CO$1,[1]!BANCO10[[#This Row],[STATUS DA ETAPA]],"")</f>
        <v/>
      </c>
      <c r="CP276" s="21" t="str">
        <f>IF([1]!BANCO10[[#This Row],[SOLUÇÃO]]=CP$1,[1]!BANCO10[[#This Row],[STATUS DA ETAPA]],"")</f>
        <v/>
      </c>
      <c r="CQ276" s="21" t="str">
        <f>IF([1]!BANCO10[[#This Row],[SOLUÇÃO]]=CQ$1,[1]!BANCO10[[#This Row],[STATUS DA ETAPA]],"")</f>
        <v/>
      </c>
      <c r="CR276" s="21" t="str">
        <f>IF([1]!BANCO10[[#This Row],[SOLUÇÃO]]=CR$1,[1]!BANCO10[[#This Row],[STATUS DA ETAPA]],"")</f>
        <v/>
      </c>
      <c r="CS276" s="21" t="str">
        <f>IF([1]!BANCO10[[#This Row],[SOLUÇÃO]]=CS$1,[1]!BANCO10[[#This Row],[STATUS DA ETAPA]],"")</f>
        <v/>
      </c>
      <c r="CT276" s="21" t="str">
        <f>IF([1]!BANCO10[[#This Row],[SOLUÇÃO]]=CT$1,[1]!BANCO10[[#This Row],[STATUS DA ETAPA]],"")</f>
        <v/>
      </c>
      <c r="CU276" s="21" t="str">
        <f>IF([1]!BANCO10[[#This Row],[SOLUÇÃO]]=CU$1,[1]!BANCO10[[#This Row],[STATUS DA ETAPA]],"")</f>
        <v/>
      </c>
      <c r="CV276" s="21" t="str">
        <f>IF([1]!BANCO10[[#This Row],[SOLUÇÃO]]=CV$1,[1]!BANCO10[[#This Row],[STATUS DA ETAPA]],"")</f>
        <v/>
      </c>
    </row>
    <row r="277" spans="1:100">
      <c r="A277" s="44" t="s">
        <v>1</v>
      </c>
      <c r="B277" s="44"/>
      <c r="C277" s="44" t="s">
        <v>1</v>
      </c>
      <c r="D277" s="44"/>
      <c r="E277" s="44" t="s">
        <v>1</v>
      </c>
      <c r="F277" s="44"/>
      <c r="G277" s="44" t="s">
        <v>1</v>
      </c>
      <c r="H277" s="44"/>
      <c r="I277" s="45" t="s">
        <v>1</v>
      </c>
      <c r="J277" s="46"/>
      <c r="K277" s="45" t="s">
        <v>1</v>
      </c>
      <c r="L277" s="33"/>
      <c r="M277" s="45" t="s">
        <v>1</v>
      </c>
      <c r="N277" s="33"/>
      <c r="O277" s="44" t="s">
        <v>2</v>
      </c>
      <c r="P277" s="44">
        <v>44991</v>
      </c>
      <c r="Q277" s="44" t="s">
        <v>2</v>
      </c>
      <c r="R277" s="44">
        <v>45244</v>
      </c>
      <c r="S277" s="44" t="s">
        <v>2</v>
      </c>
      <c r="T277" s="44"/>
      <c r="U277" s="44" t="s">
        <v>2</v>
      </c>
      <c r="V277" s="44"/>
      <c r="W277" s="44"/>
      <c r="X277" s="44"/>
      <c r="Y277" s="44"/>
      <c r="Z277" s="44"/>
      <c r="AA277" s="44" t="s">
        <v>1</v>
      </c>
      <c r="AB277" s="44"/>
      <c r="AC277" s="51">
        <v>45963</v>
      </c>
      <c r="AD277" s="50">
        <v>45963</v>
      </c>
      <c r="AE277" s="41" t="s">
        <v>1</v>
      </c>
      <c r="AF277" s="41" t="s">
        <v>1</v>
      </c>
      <c r="AG277" s="76" t="s">
        <v>5</v>
      </c>
      <c r="AH277" s="36" t="s">
        <v>0</v>
      </c>
      <c r="AI277" s="49">
        <v>0</v>
      </c>
      <c r="AJ277" s="36"/>
      <c r="AK277" s="10" t="s">
        <v>30</v>
      </c>
      <c r="AL277" s="36" t="s">
        <v>30</v>
      </c>
      <c r="AM277" s="36" t="s">
        <v>30</v>
      </c>
      <c r="AN277" s="35" t="s">
        <v>1</v>
      </c>
      <c r="AO277" s="35" t="s">
        <v>1</v>
      </c>
      <c r="AP277" s="35"/>
      <c r="AQ277" s="35" t="s">
        <v>1</v>
      </c>
      <c r="AR277" s="34" t="s">
        <v>1</v>
      </c>
      <c r="AS277" s="33"/>
      <c r="AT277" s="32"/>
      <c r="AU277" s="31"/>
      <c r="AV277" s="32"/>
      <c r="AW277" s="31"/>
      <c r="AX277" s="30" t="s">
        <v>0</v>
      </c>
      <c r="AY277" s="29"/>
      <c r="AZ277" s="28" t="s">
        <v>0</v>
      </c>
      <c r="BA277" s="27"/>
      <c r="BB277" s="74" t="s">
        <v>611</v>
      </c>
      <c r="BC277" s="25"/>
      <c r="BD277" s="24" t="s">
        <v>19</v>
      </c>
      <c r="BE277" s="24" t="s">
        <v>19</v>
      </c>
      <c r="BF277" s="24" t="s">
        <v>51</v>
      </c>
      <c r="BG277" s="24" t="s">
        <v>11</v>
      </c>
      <c r="BH277" s="130" t="s">
        <v>19</v>
      </c>
      <c r="BI277" s="24"/>
      <c r="BJ277" s="24" t="s">
        <v>11</v>
      </c>
      <c r="BK277" s="24" t="s">
        <v>11</v>
      </c>
      <c r="BL277" s="24">
        <v>45393</v>
      </c>
      <c r="BM277" s="24"/>
      <c r="BN277" s="24" t="s">
        <v>11</v>
      </c>
      <c r="BO277" s="24"/>
      <c r="BP277" s="24" t="s">
        <v>610</v>
      </c>
      <c r="BQ277" s="22">
        <f>YEAR([1]!BANCO10[[#This Row],[DATA INÍCIO]])</f>
        <v>2025</v>
      </c>
      <c r="BR277" s="22">
        <f>MONTH([1]!BANCO10[[#This Row],[DATA INÍCIO]])</f>
        <v>11</v>
      </c>
      <c r="BS277" s="129" t="e">
        <f>CONCATENATE(#REF!,#REF!)</f>
        <v>#REF!</v>
      </c>
      <c r="BT277" s="22"/>
      <c r="BU277" s="21" t="s">
        <v>30</v>
      </c>
      <c r="BV277" s="21" t="str">
        <f>IF([1]!BANCO10[[#This Row],[SOLUÇÃO]]=BV$1,[1]!BANCO10[[#This Row],[STATUS DA ETAPA]],"")</f>
        <v/>
      </c>
      <c r="BW277" s="21" t="str">
        <f>IF([1]!BANCO10[[#This Row],[SOLUÇÃO]]=BW$1,[1]!BANCO10[[#This Row],[STATUS DA ETAPA]],"")</f>
        <v/>
      </c>
      <c r="BX277" s="21" t="str">
        <f>IF([1]!BANCO10[[#This Row],[SOLUÇÃO]]=BX$1,[1]!BANCO10[[#This Row],[STATUS DA ETAPA]],"")</f>
        <v/>
      </c>
      <c r="BY277" s="21" t="str">
        <f>IF([1]!BANCO10[[#This Row],[SOLUÇÃO]]=BY$1,[1]!BANCO10[[#This Row],[STATUS DA ETAPA]],"")</f>
        <v/>
      </c>
      <c r="BZ277" s="21" t="str">
        <f>IF([1]!BANCO10[[#This Row],[SOLUÇÃO]]=BZ$1,[1]!BANCO10[[#This Row],[STATUS DA ETAPA]],"")</f>
        <v/>
      </c>
      <c r="CA277" s="21" t="str">
        <f>IF([1]!BANCO10[[#This Row],[SOLUÇÃO]]=CA$1,[1]!BANCO10[[#This Row],[STATUS DA ETAPA]],"")</f>
        <v>PROSPECÇÃO</v>
      </c>
      <c r="CB277" s="21" t="str">
        <f>IF([1]!BANCO10[[#This Row],[SOLUÇÃO]]=CB$1,[1]!BANCO10[[#This Row],[STATUS DA ETAPA]],"")</f>
        <v/>
      </c>
      <c r="CC277" s="21" t="str">
        <f>IF([1]!BANCO10[[#This Row],[SOLUÇÃO]]=CC$1,[1]!BANCO10[[#This Row],[STATUS DA ETAPA]],"")</f>
        <v/>
      </c>
      <c r="CD277" s="21" t="str">
        <f>IF([1]!BANCO10[[#This Row],[SOLUÇÃO]]=CD$1,[1]!BANCO10[[#This Row],[STATUS DA ETAPA]],"")</f>
        <v/>
      </c>
      <c r="CE277" s="21" t="str">
        <f>IF([1]!BANCO10[[#This Row],[SOLUÇÃO]]=CE$1,[1]!BANCO10[[#This Row],[STATUS DA ETAPA]],"")</f>
        <v/>
      </c>
      <c r="CF277" s="21" t="str">
        <f>IF([1]!BANCO10[[#This Row],[SOLUÇÃO]]=CF$1,[1]!BANCO10[[#This Row],[STATUS DA ETAPA]],"")</f>
        <v/>
      </c>
      <c r="CG277" s="21" t="str">
        <f>IF([1]!BANCO10[[#This Row],[SOLUÇÃO]]=CG$1,[1]!BANCO10[[#This Row],[STATUS DA ETAPA]],"")</f>
        <v/>
      </c>
      <c r="CH277" s="21" t="str">
        <f>IF([1]!BANCO10[[#This Row],[SOLUÇÃO]]=CH$1,[1]!BANCO10[[#This Row],[STATUS DA ETAPA]],"")</f>
        <v/>
      </c>
      <c r="CI277" s="21" t="str">
        <f>IF([1]!BANCO10[[#This Row],[SOLUÇÃO]]=CI$1,[1]!BANCO10[[#This Row],[STATUS DA ETAPA]],"")</f>
        <v/>
      </c>
      <c r="CJ277" s="21" t="str">
        <f>IF([1]!BANCO10[[#This Row],[SOLUÇÃO]]=CJ$1,[1]!BANCO10[[#This Row],[STATUS DA ETAPA]],"")</f>
        <v/>
      </c>
      <c r="CK277" s="21" t="str">
        <f>IF([1]!BANCO10[[#This Row],[SOLUÇÃO]]=CK$1,[1]!BANCO10[[#This Row],[STATUS DA ETAPA]],"")</f>
        <v/>
      </c>
      <c r="CL277" s="21" t="str">
        <f>IF([1]!BANCO10[[#This Row],[SOLUÇÃO]]=CL$1,[1]!BANCO10[[#This Row],[STATUS DA ETAPA]],"")</f>
        <v/>
      </c>
      <c r="CM277" s="21" t="str">
        <f>IF([1]!BANCO10[[#This Row],[SOLUÇÃO]]=CM$1,[1]!BANCO10[[#This Row],[STATUS DA ETAPA]],"")</f>
        <v/>
      </c>
      <c r="CN277" s="21" t="str">
        <f>IF([1]!BANCO10[[#This Row],[SOLUÇÃO]]=CN$1,[1]!BANCO10[[#This Row],[STATUS DA ETAPA]],"")</f>
        <v/>
      </c>
      <c r="CO277" s="21" t="str">
        <f>IF([1]!BANCO10[[#This Row],[SOLUÇÃO]]=CO$1,[1]!BANCO10[[#This Row],[STATUS DA ETAPA]],"")</f>
        <v/>
      </c>
      <c r="CP277" s="21" t="str">
        <f>IF([1]!BANCO10[[#This Row],[SOLUÇÃO]]=CP$1,[1]!BANCO10[[#This Row],[STATUS DA ETAPA]],"")</f>
        <v/>
      </c>
      <c r="CQ277" s="21" t="str">
        <f>IF([1]!BANCO10[[#This Row],[SOLUÇÃO]]=CQ$1,[1]!BANCO10[[#This Row],[STATUS DA ETAPA]],"")</f>
        <v/>
      </c>
      <c r="CR277" s="21" t="str">
        <f>IF([1]!BANCO10[[#This Row],[SOLUÇÃO]]=CR$1,[1]!BANCO10[[#This Row],[STATUS DA ETAPA]],"")</f>
        <v/>
      </c>
      <c r="CS277" s="21" t="str">
        <f>IF([1]!BANCO10[[#This Row],[SOLUÇÃO]]=CS$1,[1]!BANCO10[[#This Row],[STATUS DA ETAPA]],"")</f>
        <v/>
      </c>
      <c r="CT277" s="21" t="str">
        <f>IF([1]!BANCO10[[#This Row],[SOLUÇÃO]]=CT$1,[1]!BANCO10[[#This Row],[STATUS DA ETAPA]],"")</f>
        <v/>
      </c>
      <c r="CU277" s="21" t="str">
        <f>IF([1]!BANCO10[[#This Row],[SOLUÇÃO]]=CU$1,[1]!BANCO10[[#This Row],[STATUS DA ETAPA]],"")</f>
        <v/>
      </c>
      <c r="CV277" s="21" t="str">
        <f>IF([1]!BANCO10[[#This Row],[SOLUÇÃO]]=CV$1,[1]!BANCO10[[#This Row],[STATUS DA ETAPA]],"")</f>
        <v/>
      </c>
    </row>
    <row r="278" spans="1:100">
      <c r="A278" s="44" t="s">
        <v>1</v>
      </c>
      <c r="B278" s="44"/>
      <c r="C278" s="44" t="s">
        <v>1</v>
      </c>
      <c r="D278" s="44"/>
      <c r="E278" s="44" t="s">
        <v>1</v>
      </c>
      <c r="F278" s="44"/>
      <c r="G278" s="44" t="s">
        <v>1</v>
      </c>
      <c r="H278" s="44"/>
      <c r="I278" s="45" t="s">
        <v>1</v>
      </c>
      <c r="J278" s="46"/>
      <c r="K278" s="45" t="s">
        <v>1</v>
      </c>
      <c r="L278" s="33"/>
      <c r="M278" s="45" t="s">
        <v>1</v>
      </c>
      <c r="N278" s="33"/>
      <c r="O278" s="44" t="s">
        <v>2</v>
      </c>
      <c r="P278" s="44">
        <v>44974</v>
      </c>
      <c r="Q278" s="44" t="s">
        <v>0</v>
      </c>
      <c r="R278" s="44"/>
      <c r="S278" s="44" t="s">
        <v>1</v>
      </c>
      <c r="T278" s="44"/>
      <c r="U278" s="44" t="s">
        <v>1</v>
      </c>
      <c r="V278" s="44"/>
      <c r="W278" s="44" t="s">
        <v>1</v>
      </c>
      <c r="X278" s="44"/>
      <c r="Y278" s="44" t="s">
        <v>1</v>
      </c>
      <c r="Z278" s="44"/>
      <c r="AA278" s="44" t="s">
        <v>1</v>
      </c>
      <c r="AB278" s="44"/>
      <c r="AC278" s="51">
        <v>44973</v>
      </c>
      <c r="AD278" s="50">
        <v>44973</v>
      </c>
      <c r="AE278" s="40" t="s">
        <v>1</v>
      </c>
      <c r="AF278" s="40" t="s">
        <v>1</v>
      </c>
      <c r="AG278" s="76" t="s">
        <v>5</v>
      </c>
      <c r="AH278" s="36" t="s">
        <v>1</v>
      </c>
      <c r="AI278" s="49">
        <v>0</v>
      </c>
      <c r="AJ278" s="36" t="s">
        <v>1</v>
      </c>
      <c r="AK278" s="10" t="s">
        <v>1</v>
      </c>
      <c r="AL278" s="36" t="s">
        <v>1</v>
      </c>
      <c r="AM278" s="36" t="s">
        <v>1</v>
      </c>
      <c r="AN278" s="35" t="s">
        <v>1</v>
      </c>
      <c r="AO278" s="35" t="s">
        <v>1</v>
      </c>
      <c r="AP278" s="35" t="s">
        <v>1</v>
      </c>
      <c r="AQ278" s="35" t="s">
        <v>1</v>
      </c>
      <c r="AR278" s="82" t="s">
        <v>1</v>
      </c>
      <c r="AS278" s="33"/>
      <c r="AT278" s="32" t="s">
        <v>1</v>
      </c>
      <c r="AU278" s="31"/>
      <c r="AV278" s="32" t="s">
        <v>1</v>
      </c>
      <c r="AW278" s="31"/>
      <c r="AX278" s="30" t="s">
        <v>1</v>
      </c>
      <c r="AY278" s="55"/>
      <c r="AZ278" s="30" t="s">
        <v>1</v>
      </c>
      <c r="BA278" s="55"/>
      <c r="BB278" s="74" t="s">
        <v>608</v>
      </c>
      <c r="BC278" s="25"/>
      <c r="BD278" s="24" t="s">
        <v>19</v>
      </c>
      <c r="BE278" s="24" t="s">
        <v>19</v>
      </c>
      <c r="BF278" s="24" t="s">
        <v>51</v>
      </c>
      <c r="BG278" s="24" t="s">
        <v>11</v>
      </c>
      <c r="BH278" s="130" t="s">
        <v>19</v>
      </c>
      <c r="BI278" s="24"/>
      <c r="BJ278" s="24" t="s">
        <v>11</v>
      </c>
      <c r="BK278" s="24" t="s">
        <v>11</v>
      </c>
      <c r="BL278" s="24" t="s">
        <v>11</v>
      </c>
      <c r="BM278" s="24" t="s">
        <v>11</v>
      </c>
      <c r="BN278" s="24" t="s">
        <v>11</v>
      </c>
      <c r="BO278" s="24" t="s">
        <v>11</v>
      </c>
      <c r="BP278" s="24" t="s">
        <v>11</v>
      </c>
      <c r="BQ278" s="22">
        <f>YEAR([1]!BANCO10[[#This Row],[DATA INÍCIO]])</f>
        <v>2023</v>
      </c>
      <c r="BR278" s="22">
        <f>MONTH([1]!BANCO10[[#This Row],[DATA INÍCIO]])</f>
        <v>2</v>
      </c>
      <c r="BS278" s="129" t="e">
        <f>CONCATENATE(#REF!,#REF!)</f>
        <v>#REF!</v>
      </c>
      <c r="BT278" s="22"/>
      <c r="BU278" s="21" t="s">
        <v>609</v>
      </c>
      <c r="BV278" s="21" t="str">
        <f>IF([1]!BANCO10[[#This Row],[SOLUÇÃO]]=BV$1,[1]!BANCO10[[#This Row],[STATUS DA ETAPA]],"")</f>
        <v>CONCLUÍDO</v>
      </c>
      <c r="BW278" s="21" t="str">
        <f>IF([1]!BANCO10[[#This Row],[SOLUÇÃO]]=BW$1,[1]!BANCO10[[#This Row],[STATUS DA ETAPA]],"")</f>
        <v/>
      </c>
      <c r="BX278" s="21" t="str">
        <f>IF([1]!BANCO10[[#This Row],[SOLUÇÃO]]=BX$1,[1]!BANCO10[[#This Row],[STATUS DA ETAPA]],"")</f>
        <v/>
      </c>
      <c r="BY278" s="21" t="str">
        <f>IF([1]!BANCO10[[#This Row],[SOLUÇÃO]]=BY$1,[1]!BANCO10[[#This Row],[STATUS DA ETAPA]],"")</f>
        <v/>
      </c>
      <c r="BZ278" s="21" t="str">
        <f>IF([1]!BANCO10[[#This Row],[SOLUÇÃO]]=BZ$1,[1]!BANCO10[[#This Row],[STATUS DA ETAPA]],"")</f>
        <v/>
      </c>
      <c r="CA278" s="21" t="str">
        <f>IF([1]!BANCO10[[#This Row],[SOLUÇÃO]]=CA$1,[1]!BANCO10[[#This Row],[STATUS DA ETAPA]],"")</f>
        <v/>
      </c>
      <c r="CB278" s="21" t="str">
        <f>IF([1]!BANCO10[[#This Row],[SOLUÇÃO]]=CB$1,[1]!BANCO10[[#This Row],[STATUS DA ETAPA]],"")</f>
        <v/>
      </c>
      <c r="CC278" s="21" t="str">
        <f>IF([1]!BANCO10[[#This Row],[SOLUÇÃO]]=CC$1,[1]!BANCO10[[#This Row],[STATUS DA ETAPA]],"")</f>
        <v/>
      </c>
      <c r="CD278" s="21" t="str">
        <f>IF([1]!BANCO10[[#This Row],[SOLUÇÃO]]=CD$1,[1]!BANCO10[[#This Row],[STATUS DA ETAPA]],"")</f>
        <v/>
      </c>
      <c r="CE278" s="21" t="str">
        <f>IF([1]!BANCO10[[#This Row],[SOLUÇÃO]]=CE$1,[1]!BANCO10[[#This Row],[STATUS DA ETAPA]],"")</f>
        <v/>
      </c>
      <c r="CF278" s="21" t="str">
        <f>IF([1]!BANCO10[[#This Row],[SOLUÇÃO]]=CF$1,[1]!BANCO10[[#This Row],[STATUS DA ETAPA]],"")</f>
        <v/>
      </c>
      <c r="CG278" s="21" t="str">
        <f>IF([1]!BANCO10[[#This Row],[SOLUÇÃO]]=CG$1,[1]!BANCO10[[#This Row],[STATUS DA ETAPA]],"")</f>
        <v/>
      </c>
      <c r="CH278" s="21" t="str">
        <f>IF([1]!BANCO10[[#This Row],[SOLUÇÃO]]=CH$1,[1]!BANCO10[[#This Row],[STATUS DA ETAPA]],"")</f>
        <v/>
      </c>
      <c r="CI278" s="21" t="str">
        <f>IF([1]!BANCO10[[#This Row],[SOLUÇÃO]]=CI$1,[1]!BANCO10[[#This Row],[STATUS DA ETAPA]],"")</f>
        <v/>
      </c>
      <c r="CJ278" s="21" t="str">
        <f>IF([1]!BANCO10[[#This Row],[SOLUÇÃO]]=CJ$1,[1]!BANCO10[[#This Row],[STATUS DA ETAPA]],"")</f>
        <v/>
      </c>
      <c r="CK278" s="21" t="str">
        <f>IF([1]!BANCO10[[#This Row],[SOLUÇÃO]]=CK$1,[1]!BANCO10[[#This Row],[STATUS DA ETAPA]],"")</f>
        <v/>
      </c>
      <c r="CL278" s="21" t="str">
        <f>IF([1]!BANCO10[[#This Row],[SOLUÇÃO]]=CL$1,[1]!BANCO10[[#This Row],[STATUS DA ETAPA]],"")</f>
        <v/>
      </c>
      <c r="CM278" s="21" t="str">
        <f>IF([1]!BANCO10[[#This Row],[SOLUÇÃO]]=CM$1,[1]!BANCO10[[#This Row],[STATUS DA ETAPA]],"")</f>
        <v/>
      </c>
      <c r="CN278" s="21" t="str">
        <f>IF([1]!BANCO10[[#This Row],[SOLUÇÃO]]=CN$1,[1]!BANCO10[[#This Row],[STATUS DA ETAPA]],"")</f>
        <v/>
      </c>
      <c r="CO278" s="21" t="str">
        <f>IF([1]!BANCO10[[#This Row],[SOLUÇÃO]]=CO$1,[1]!BANCO10[[#This Row],[STATUS DA ETAPA]],"")</f>
        <v/>
      </c>
      <c r="CP278" s="21" t="str">
        <f>IF([1]!BANCO10[[#This Row],[SOLUÇÃO]]=CP$1,[1]!BANCO10[[#This Row],[STATUS DA ETAPA]],"")</f>
        <v/>
      </c>
      <c r="CQ278" s="21" t="str">
        <f>IF([1]!BANCO10[[#This Row],[SOLUÇÃO]]=CQ$1,[1]!BANCO10[[#This Row],[STATUS DA ETAPA]],"")</f>
        <v/>
      </c>
      <c r="CR278" s="21" t="str">
        <f>IF([1]!BANCO10[[#This Row],[SOLUÇÃO]]=CR$1,[1]!BANCO10[[#This Row],[STATUS DA ETAPA]],"")</f>
        <v/>
      </c>
      <c r="CS278" s="21" t="str">
        <f>IF([1]!BANCO10[[#This Row],[SOLUÇÃO]]=CS$1,[1]!BANCO10[[#This Row],[STATUS DA ETAPA]],"")</f>
        <v/>
      </c>
      <c r="CT278" s="21" t="str">
        <f>IF([1]!BANCO10[[#This Row],[SOLUÇÃO]]=CT$1,[1]!BANCO10[[#This Row],[STATUS DA ETAPA]],"")</f>
        <v/>
      </c>
      <c r="CU278" s="21" t="str">
        <f>IF([1]!BANCO10[[#This Row],[SOLUÇÃO]]=CU$1,[1]!BANCO10[[#This Row],[STATUS DA ETAPA]],"")</f>
        <v/>
      </c>
      <c r="CV278" s="21" t="str">
        <f>IF([1]!BANCO10[[#This Row],[SOLUÇÃO]]=CV$1,[1]!BANCO10[[#This Row],[STATUS DA ETAPA]],"")</f>
        <v/>
      </c>
    </row>
    <row r="279" spans="1:100">
      <c r="A279" s="44" t="s">
        <v>1</v>
      </c>
      <c r="B279" s="44"/>
      <c r="C279" s="44" t="s">
        <v>1</v>
      </c>
      <c r="D279" s="44"/>
      <c r="E279" s="44" t="s">
        <v>1</v>
      </c>
      <c r="F279" s="44"/>
      <c r="G279" s="44" t="s">
        <v>1</v>
      </c>
      <c r="H279" s="44"/>
      <c r="I279" s="45" t="s">
        <v>1</v>
      </c>
      <c r="J279" s="46"/>
      <c r="K279" s="45" t="s">
        <v>1</v>
      </c>
      <c r="L279" s="33"/>
      <c r="M279" s="45" t="s">
        <v>1</v>
      </c>
      <c r="N279" s="33"/>
      <c r="O279" s="44" t="s">
        <v>2</v>
      </c>
      <c r="P279" s="44">
        <v>44974</v>
      </c>
      <c r="Q279" s="44" t="s">
        <v>2</v>
      </c>
      <c r="R279" s="44">
        <v>45260</v>
      </c>
      <c r="S279" s="44"/>
      <c r="T279" s="44"/>
      <c r="U279" s="44"/>
      <c r="V279" s="44"/>
      <c r="W279" s="44"/>
      <c r="X279" s="44"/>
      <c r="Y279" s="44"/>
      <c r="Z279" s="44"/>
      <c r="AA279" s="44" t="s">
        <v>1</v>
      </c>
      <c r="AB279" s="44"/>
      <c r="AC279" s="51">
        <v>45963</v>
      </c>
      <c r="AD279" s="50">
        <v>45963</v>
      </c>
      <c r="AE279" s="41" t="s">
        <v>1</v>
      </c>
      <c r="AF279" s="41" t="s">
        <v>1</v>
      </c>
      <c r="AG279" s="76" t="s">
        <v>5</v>
      </c>
      <c r="AH279" s="36" t="s">
        <v>0</v>
      </c>
      <c r="AI279" s="49">
        <v>0</v>
      </c>
      <c r="AJ279" s="36"/>
      <c r="AK279" s="10" t="s">
        <v>30</v>
      </c>
      <c r="AL279" s="36" t="s">
        <v>30</v>
      </c>
      <c r="AM279" s="36" t="s">
        <v>30</v>
      </c>
      <c r="AN279" s="35" t="s">
        <v>1</v>
      </c>
      <c r="AO279" s="35" t="s">
        <v>1</v>
      </c>
      <c r="AP279" s="35"/>
      <c r="AQ279" s="35" t="s">
        <v>1</v>
      </c>
      <c r="AR279" s="34" t="s">
        <v>1</v>
      </c>
      <c r="AS279" s="33"/>
      <c r="AT279" s="32"/>
      <c r="AU279" s="31"/>
      <c r="AV279" s="32"/>
      <c r="AW279" s="31"/>
      <c r="AX279" s="30" t="s">
        <v>0</v>
      </c>
      <c r="AY279" s="29"/>
      <c r="AZ279" s="28" t="s">
        <v>0</v>
      </c>
      <c r="BA279" s="27"/>
      <c r="BB279" s="74" t="s">
        <v>608</v>
      </c>
      <c r="BC279" s="25"/>
      <c r="BD279" s="24" t="s">
        <v>19</v>
      </c>
      <c r="BE279" s="24" t="s">
        <v>19</v>
      </c>
      <c r="BF279" s="24" t="s">
        <v>51</v>
      </c>
      <c r="BG279" s="24" t="s">
        <v>11</v>
      </c>
      <c r="BH279" s="130" t="s">
        <v>19</v>
      </c>
      <c r="BI279" s="24"/>
      <c r="BJ279" s="24" t="s">
        <v>11</v>
      </c>
      <c r="BK279" s="24" t="s">
        <v>11</v>
      </c>
      <c r="BL279" s="24" t="s">
        <v>11</v>
      </c>
      <c r="BM279" s="24" t="s">
        <v>11</v>
      </c>
      <c r="BN279" s="24" t="s">
        <v>11</v>
      </c>
      <c r="BO279" s="24" t="s">
        <v>11</v>
      </c>
      <c r="BP279" s="24" t="s">
        <v>11</v>
      </c>
      <c r="BQ279" s="22">
        <f>YEAR([1]!BANCO10[[#This Row],[DATA INÍCIO]])</f>
        <v>2025</v>
      </c>
      <c r="BR279" s="22">
        <f>MONTH([1]!BANCO10[[#This Row],[DATA INÍCIO]])</f>
        <v>11</v>
      </c>
      <c r="BS279" s="129" t="e">
        <f>CONCATENATE(#REF!,#REF!)</f>
        <v>#REF!</v>
      </c>
      <c r="BT279" s="22"/>
      <c r="BU279" s="21" t="s">
        <v>30</v>
      </c>
      <c r="BV279" s="21" t="str">
        <f>IF([1]!BANCO10[[#This Row],[SOLUÇÃO]]=BV$1,[1]!BANCO10[[#This Row],[STATUS DA ETAPA]],"")</f>
        <v/>
      </c>
      <c r="BW279" s="21" t="str">
        <f>IF([1]!BANCO10[[#This Row],[SOLUÇÃO]]=BW$1,[1]!BANCO10[[#This Row],[STATUS DA ETAPA]],"")</f>
        <v/>
      </c>
      <c r="BX279" s="21" t="str">
        <f>IF([1]!BANCO10[[#This Row],[SOLUÇÃO]]=BX$1,[1]!BANCO10[[#This Row],[STATUS DA ETAPA]],"")</f>
        <v/>
      </c>
      <c r="BY279" s="21" t="str">
        <f>IF([1]!BANCO10[[#This Row],[SOLUÇÃO]]=BY$1,[1]!BANCO10[[#This Row],[STATUS DA ETAPA]],"")</f>
        <v/>
      </c>
      <c r="BZ279" s="21" t="str">
        <f>IF([1]!BANCO10[[#This Row],[SOLUÇÃO]]=BZ$1,[1]!BANCO10[[#This Row],[STATUS DA ETAPA]],"")</f>
        <v/>
      </c>
      <c r="CA279" s="21" t="str">
        <f>IF([1]!BANCO10[[#This Row],[SOLUÇÃO]]=CA$1,[1]!BANCO10[[#This Row],[STATUS DA ETAPA]],"")</f>
        <v>PROSPECÇÃO</v>
      </c>
      <c r="CB279" s="21" t="str">
        <f>IF([1]!BANCO10[[#This Row],[SOLUÇÃO]]=CB$1,[1]!BANCO10[[#This Row],[STATUS DA ETAPA]],"")</f>
        <v/>
      </c>
      <c r="CC279" s="21" t="str">
        <f>IF([1]!BANCO10[[#This Row],[SOLUÇÃO]]=CC$1,[1]!BANCO10[[#This Row],[STATUS DA ETAPA]],"")</f>
        <v/>
      </c>
      <c r="CD279" s="21" t="str">
        <f>IF([1]!BANCO10[[#This Row],[SOLUÇÃO]]=CD$1,[1]!BANCO10[[#This Row],[STATUS DA ETAPA]],"")</f>
        <v/>
      </c>
      <c r="CE279" s="21" t="str">
        <f>IF([1]!BANCO10[[#This Row],[SOLUÇÃO]]=CE$1,[1]!BANCO10[[#This Row],[STATUS DA ETAPA]],"")</f>
        <v/>
      </c>
      <c r="CF279" s="21" t="str">
        <f>IF([1]!BANCO10[[#This Row],[SOLUÇÃO]]=CF$1,[1]!BANCO10[[#This Row],[STATUS DA ETAPA]],"")</f>
        <v/>
      </c>
      <c r="CG279" s="21" t="str">
        <f>IF([1]!BANCO10[[#This Row],[SOLUÇÃO]]=CG$1,[1]!BANCO10[[#This Row],[STATUS DA ETAPA]],"")</f>
        <v/>
      </c>
      <c r="CH279" s="21" t="str">
        <f>IF([1]!BANCO10[[#This Row],[SOLUÇÃO]]=CH$1,[1]!BANCO10[[#This Row],[STATUS DA ETAPA]],"")</f>
        <v/>
      </c>
      <c r="CI279" s="21" t="str">
        <f>IF([1]!BANCO10[[#This Row],[SOLUÇÃO]]=CI$1,[1]!BANCO10[[#This Row],[STATUS DA ETAPA]],"")</f>
        <v/>
      </c>
      <c r="CJ279" s="21" t="str">
        <f>IF([1]!BANCO10[[#This Row],[SOLUÇÃO]]=CJ$1,[1]!BANCO10[[#This Row],[STATUS DA ETAPA]],"")</f>
        <v/>
      </c>
      <c r="CK279" s="21" t="str">
        <f>IF([1]!BANCO10[[#This Row],[SOLUÇÃO]]=CK$1,[1]!BANCO10[[#This Row],[STATUS DA ETAPA]],"")</f>
        <v/>
      </c>
      <c r="CL279" s="21" t="str">
        <f>IF([1]!BANCO10[[#This Row],[SOLUÇÃO]]=CL$1,[1]!BANCO10[[#This Row],[STATUS DA ETAPA]],"")</f>
        <v/>
      </c>
      <c r="CM279" s="21" t="str">
        <f>IF([1]!BANCO10[[#This Row],[SOLUÇÃO]]=CM$1,[1]!BANCO10[[#This Row],[STATUS DA ETAPA]],"")</f>
        <v/>
      </c>
      <c r="CN279" s="21" t="str">
        <f>IF([1]!BANCO10[[#This Row],[SOLUÇÃO]]=CN$1,[1]!BANCO10[[#This Row],[STATUS DA ETAPA]],"")</f>
        <v/>
      </c>
      <c r="CO279" s="21" t="str">
        <f>IF([1]!BANCO10[[#This Row],[SOLUÇÃO]]=CO$1,[1]!BANCO10[[#This Row],[STATUS DA ETAPA]],"")</f>
        <v/>
      </c>
      <c r="CP279" s="21" t="str">
        <f>IF([1]!BANCO10[[#This Row],[SOLUÇÃO]]=CP$1,[1]!BANCO10[[#This Row],[STATUS DA ETAPA]],"")</f>
        <v/>
      </c>
      <c r="CQ279" s="21" t="str">
        <f>IF([1]!BANCO10[[#This Row],[SOLUÇÃO]]=CQ$1,[1]!BANCO10[[#This Row],[STATUS DA ETAPA]],"")</f>
        <v/>
      </c>
      <c r="CR279" s="21" t="str">
        <f>IF([1]!BANCO10[[#This Row],[SOLUÇÃO]]=CR$1,[1]!BANCO10[[#This Row],[STATUS DA ETAPA]],"")</f>
        <v/>
      </c>
      <c r="CS279" s="21" t="str">
        <f>IF([1]!BANCO10[[#This Row],[SOLUÇÃO]]=CS$1,[1]!BANCO10[[#This Row],[STATUS DA ETAPA]],"")</f>
        <v/>
      </c>
      <c r="CT279" s="21" t="str">
        <f>IF([1]!BANCO10[[#This Row],[SOLUÇÃO]]=CT$1,[1]!BANCO10[[#This Row],[STATUS DA ETAPA]],"")</f>
        <v/>
      </c>
      <c r="CU279" s="21" t="str">
        <f>IF([1]!BANCO10[[#This Row],[SOLUÇÃO]]=CU$1,[1]!BANCO10[[#This Row],[STATUS DA ETAPA]],"")</f>
        <v/>
      </c>
      <c r="CV279" s="21" t="str">
        <f>IF([1]!BANCO10[[#This Row],[SOLUÇÃO]]=CV$1,[1]!BANCO10[[#This Row],[STATUS DA ETAPA]],"")</f>
        <v/>
      </c>
    </row>
    <row r="280" spans="1:100">
      <c r="A280" s="44" t="s">
        <v>1</v>
      </c>
      <c r="B280" s="44"/>
      <c r="C280" s="44" t="s">
        <v>1</v>
      </c>
      <c r="D280" s="44"/>
      <c r="E280" s="44" t="s">
        <v>1</v>
      </c>
      <c r="F280" s="44"/>
      <c r="G280" s="44" t="s">
        <v>1</v>
      </c>
      <c r="H280" s="44"/>
      <c r="I280" s="45" t="s">
        <v>1</v>
      </c>
      <c r="J280" s="46"/>
      <c r="K280" s="45" t="s">
        <v>1</v>
      </c>
      <c r="L280" s="33"/>
      <c r="M280" s="45" t="s">
        <v>1</v>
      </c>
      <c r="N280" s="33"/>
      <c r="O280" s="44" t="s">
        <v>2</v>
      </c>
      <c r="P280" s="44">
        <v>44823</v>
      </c>
      <c r="Q280" s="44" t="s">
        <v>0</v>
      </c>
      <c r="R280" s="44"/>
      <c r="S280" s="44" t="s">
        <v>1</v>
      </c>
      <c r="T280" s="44"/>
      <c r="U280" s="44" t="s">
        <v>1</v>
      </c>
      <c r="V280" s="44"/>
      <c r="W280" s="44" t="s">
        <v>1</v>
      </c>
      <c r="X280" s="44"/>
      <c r="Y280" s="44" t="s">
        <v>1</v>
      </c>
      <c r="Z280" s="44"/>
      <c r="AA280" s="44" t="s">
        <v>1</v>
      </c>
      <c r="AB280" s="44"/>
      <c r="AC280" s="51">
        <v>44926</v>
      </c>
      <c r="AD280" s="51">
        <v>44926</v>
      </c>
      <c r="AE280" s="40" t="s">
        <v>1</v>
      </c>
      <c r="AF280" s="40" t="s">
        <v>1</v>
      </c>
      <c r="AG280" s="76" t="s">
        <v>5</v>
      </c>
      <c r="AH280" s="36" t="s">
        <v>1</v>
      </c>
      <c r="AI280" s="49">
        <v>0</v>
      </c>
      <c r="AJ280" s="36" t="s">
        <v>1</v>
      </c>
      <c r="AK280" s="10" t="s">
        <v>1</v>
      </c>
      <c r="AL280" s="36" t="s">
        <v>1</v>
      </c>
      <c r="AM280" s="36" t="s">
        <v>1</v>
      </c>
      <c r="AN280" s="35" t="s">
        <v>1</v>
      </c>
      <c r="AO280" s="35" t="s">
        <v>1</v>
      </c>
      <c r="AP280" s="35" t="s">
        <v>1</v>
      </c>
      <c r="AQ280" s="35" t="s">
        <v>1</v>
      </c>
      <c r="AR280" s="82" t="s">
        <v>1</v>
      </c>
      <c r="AS280" s="33"/>
      <c r="AT280" s="30"/>
      <c r="AU280" s="55"/>
      <c r="AV280" s="30"/>
      <c r="AW280" s="55"/>
      <c r="AX280" s="30" t="s">
        <v>1</v>
      </c>
      <c r="AY280" s="55"/>
      <c r="AZ280" s="30" t="s">
        <v>1</v>
      </c>
      <c r="BA280" s="55"/>
      <c r="BB280" s="74" t="s">
        <v>606</v>
      </c>
      <c r="BC280" s="25"/>
      <c r="BD280" s="24" t="s">
        <v>11</v>
      </c>
      <c r="BE280" s="24" t="s">
        <v>11</v>
      </c>
      <c r="BF280" s="24" t="s">
        <v>51</v>
      </c>
      <c r="BG280" s="24" t="s">
        <v>11</v>
      </c>
      <c r="BH280" s="130" t="s">
        <v>19</v>
      </c>
      <c r="BI280" s="24"/>
      <c r="BJ280" s="24" t="s">
        <v>11</v>
      </c>
      <c r="BK280" s="24" t="s">
        <v>11</v>
      </c>
      <c r="BL280" s="24" t="s">
        <v>11</v>
      </c>
      <c r="BM280" s="24" t="s">
        <v>11</v>
      </c>
      <c r="BN280" s="24" t="s">
        <v>11</v>
      </c>
      <c r="BO280" s="24" t="s">
        <v>11</v>
      </c>
      <c r="BP280" s="24" t="s">
        <v>11</v>
      </c>
      <c r="BQ280" s="22">
        <f>YEAR([1]!BANCO10[[#This Row],[DATA INÍCIO]])</f>
        <v>2022</v>
      </c>
      <c r="BR280" s="22">
        <f>MONTH([1]!BANCO10[[#This Row],[DATA INÍCIO]])</f>
        <v>12</v>
      </c>
      <c r="BS280" s="129" t="e">
        <f>CONCATENATE(#REF!,#REF!)</f>
        <v>#REF!</v>
      </c>
      <c r="BT280" s="22"/>
      <c r="BU280" s="21" t="s">
        <v>607</v>
      </c>
      <c r="BV280" s="21" t="str">
        <f>IF([1]!BANCO10[[#This Row],[SOLUÇÃO]]=BV$1,[1]!BANCO10[[#This Row],[STATUS DA ETAPA]],"")</f>
        <v>CONCLUÍDO</v>
      </c>
      <c r="BW280" s="21" t="str">
        <f>IF([1]!BANCO10[[#This Row],[SOLUÇÃO]]=BW$1,[1]!BANCO10[[#This Row],[STATUS DA ETAPA]],"")</f>
        <v/>
      </c>
      <c r="BX280" s="21" t="str">
        <f>IF([1]!BANCO10[[#This Row],[SOLUÇÃO]]=BX$1,[1]!BANCO10[[#This Row],[STATUS DA ETAPA]],"")</f>
        <v/>
      </c>
      <c r="BY280" s="21" t="str">
        <f>IF([1]!BANCO10[[#This Row],[SOLUÇÃO]]=BY$1,[1]!BANCO10[[#This Row],[STATUS DA ETAPA]],"")</f>
        <v/>
      </c>
      <c r="BZ280" s="21" t="str">
        <f>IF([1]!BANCO10[[#This Row],[SOLUÇÃO]]=BZ$1,[1]!BANCO10[[#This Row],[STATUS DA ETAPA]],"")</f>
        <v/>
      </c>
      <c r="CA280" s="21" t="str">
        <f>IF([1]!BANCO10[[#This Row],[SOLUÇÃO]]=CA$1,[1]!BANCO10[[#This Row],[STATUS DA ETAPA]],"")</f>
        <v/>
      </c>
      <c r="CB280" s="21" t="str">
        <f>IF([1]!BANCO10[[#This Row],[SOLUÇÃO]]=CB$1,[1]!BANCO10[[#This Row],[STATUS DA ETAPA]],"")</f>
        <v/>
      </c>
      <c r="CC280" s="21" t="str">
        <f>IF([1]!BANCO10[[#This Row],[SOLUÇÃO]]=CC$1,[1]!BANCO10[[#This Row],[STATUS DA ETAPA]],"")</f>
        <v/>
      </c>
      <c r="CD280" s="21" t="str">
        <f>IF([1]!BANCO10[[#This Row],[SOLUÇÃO]]=CD$1,[1]!BANCO10[[#This Row],[STATUS DA ETAPA]],"")</f>
        <v/>
      </c>
      <c r="CE280" s="21" t="str">
        <f>IF([1]!BANCO10[[#This Row],[SOLUÇÃO]]=CE$1,[1]!BANCO10[[#This Row],[STATUS DA ETAPA]],"")</f>
        <v/>
      </c>
      <c r="CF280" s="21" t="str">
        <f>IF([1]!BANCO10[[#This Row],[SOLUÇÃO]]=CF$1,[1]!BANCO10[[#This Row],[STATUS DA ETAPA]],"")</f>
        <v/>
      </c>
      <c r="CG280" s="21" t="str">
        <f>IF([1]!BANCO10[[#This Row],[SOLUÇÃO]]=CG$1,[1]!BANCO10[[#This Row],[STATUS DA ETAPA]],"")</f>
        <v/>
      </c>
      <c r="CH280" s="21" t="str">
        <f>IF([1]!BANCO10[[#This Row],[SOLUÇÃO]]=CH$1,[1]!BANCO10[[#This Row],[STATUS DA ETAPA]],"")</f>
        <v/>
      </c>
      <c r="CI280" s="21" t="str">
        <f>IF([1]!BANCO10[[#This Row],[SOLUÇÃO]]=CI$1,[1]!BANCO10[[#This Row],[STATUS DA ETAPA]],"")</f>
        <v/>
      </c>
      <c r="CJ280" s="21" t="str">
        <f>IF([1]!BANCO10[[#This Row],[SOLUÇÃO]]=CJ$1,[1]!BANCO10[[#This Row],[STATUS DA ETAPA]],"")</f>
        <v/>
      </c>
      <c r="CK280" s="21" t="str">
        <f>IF([1]!BANCO10[[#This Row],[SOLUÇÃO]]=CK$1,[1]!BANCO10[[#This Row],[STATUS DA ETAPA]],"")</f>
        <v/>
      </c>
      <c r="CL280" s="21" t="str">
        <f>IF([1]!BANCO10[[#This Row],[SOLUÇÃO]]=CL$1,[1]!BANCO10[[#This Row],[STATUS DA ETAPA]],"")</f>
        <v/>
      </c>
      <c r="CM280" s="21" t="str">
        <f>IF([1]!BANCO10[[#This Row],[SOLUÇÃO]]=CM$1,[1]!BANCO10[[#This Row],[STATUS DA ETAPA]],"")</f>
        <v/>
      </c>
      <c r="CN280" s="21" t="str">
        <f>IF([1]!BANCO10[[#This Row],[SOLUÇÃO]]=CN$1,[1]!BANCO10[[#This Row],[STATUS DA ETAPA]],"")</f>
        <v/>
      </c>
      <c r="CO280" s="21" t="str">
        <f>IF([1]!BANCO10[[#This Row],[SOLUÇÃO]]=CO$1,[1]!BANCO10[[#This Row],[STATUS DA ETAPA]],"")</f>
        <v/>
      </c>
      <c r="CP280" s="21" t="str">
        <f>IF([1]!BANCO10[[#This Row],[SOLUÇÃO]]=CP$1,[1]!BANCO10[[#This Row],[STATUS DA ETAPA]],"")</f>
        <v/>
      </c>
      <c r="CQ280" s="21" t="str">
        <f>IF([1]!BANCO10[[#This Row],[SOLUÇÃO]]=CQ$1,[1]!BANCO10[[#This Row],[STATUS DA ETAPA]],"")</f>
        <v/>
      </c>
      <c r="CR280" s="21" t="str">
        <f>IF([1]!BANCO10[[#This Row],[SOLUÇÃO]]=CR$1,[1]!BANCO10[[#This Row],[STATUS DA ETAPA]],"")</f>
        <v/>
      </c>
      <c r="CS280" s="21" t="str">
        <f>IF([1]!BANCO10[[#This Row],[SOLUÇÃO]]=CS$1,[1]!BANCO10[[#This Row],[STATUS DA ETAPA]],"")</f>
        <v/>
      </c>
      <c r="CT280" s="21" t="str">
        <f>IF([1]!BANCO10[[#This Row],[SOLUÇÃO]]=CT$1,[1]!BANCO10[[#This Row],[STATUS DA ETAPA]],"")</f>
        <v/>
      </c>
      <c r="CU280" s="21" t="str">
        <f>IF([1]!BANCO10[[#This Row],[SOLUÇÃO]]=CU$1,[1]!BANCO10[[#This Row],[STATUS DA ETAPA]],"")</f>
        <v/>
      </c>
      <c r="CV280" s="21" t="str">
        <f>IF([1]!BANCO10[[#This Row],[SOLUÇÃO]]=CV$1,[1]!BANCO10[[#This Row],[STATUS DA ETAPA]],"")</f>
        <v/>
      </c>
    </row>
    <row r="281" spans="1:100">
      <c r="A281" s="44" t="s">
        <v>1</v>
      </c>
      <c r="B281" s="44"/>
      <c r="C281" s="44" t="s">
        <v>1</v>
      </c>
      <c r="D281" s="44"/>
      <c r="E281" s="44" t="s">
        <v>1</v>
      </c>
      <c r="F281" s="44"/>
      <c r="G281" s="44" t="s">
        <v>1</v>
      </c>
      <c r="H281" s="44"/>
      <c r="I281" s="45" t="s">
        <v>1</v>
      </c>
      <c r="J281" s="46"/>
      <c r="K281" s="45" t="s">
        <v>1</v>
      </c>
      <c r="L281" s="33"/>
      <c r="M281" s="45" t="s">
        <v>1</v>
      </c>
      <c r="N281" s="33"/>
      <c r="O281" s="44" t="s">
        <v>2</v>
      </c>
      <c r="P281" s="44">
        <v>44823</v>
      </c>
      <c r="Q281" s="44" t="s">
        <v>2</v>
      </c>
      <c r="R281" s="44">
        <v>44823</v>
      </c>
      <c r="S281" s="44"/>
      <c r="T281" s="44"/>
      <c r="U281" s="44" t="s">
        <v>1</v>
      </c>
      <c r="V281" s="44"/>
      <c r="W281" s="44" t="s">
        <v>1</v>
      </c>
      <c r="X281" s="44"/>
      <c r="Y281" s="44" t="s">
        <v>1</v>
      </c>
      <c r="Z281" s="44"/>
      <c r="AA281" s="44" t="s">
        <v>1</v>
      </c>
      <c r="AB281" s="44"/>
      <c r="AC281" s="51">
        <v>45963</v>
      </c>
      <c r="AD281" s="50">
        <v>45963</v>
      </c>
      <c r="AE281" s="41" t="s">
        <v>1</v>
      </c>
      <c r="AF281" s="41" t="s">
        <v>1</v>
      </c>
      <c r="AG281" s="76" t="s">
        <v>5</v>
      </c>
      <c r="AH281" s="36" t="s">
        <v>0</v>
      </c>
      <c r="AI281" s="49">
        <v>0</v>
      </c>
      <c r="AJ281" s="36"/>
      <c r="AK281" s="10" t="s">
        <v>30</v>
      </c>
      <c r="AL281" s="36" t="s">
        <v>30</v>
      </c>
      <c r="AM281" s="36" t="s">
        <v>30</v>
      </c>
      <c r="AN281" s="35" t="s">
        <v>1</v>
      </c>
      <c r="AO281" s="35" t="s">
        <v>1</v>
      </c>
      <c r="AP281" s="35"/>
      <c r="AQ281" s="35" t="s">
        <v>1</v>
      </c>
      <c r="AR281" s="34" t="s">
        <v>1</v>
      </c>
      <c r="AS281" s="33"/>
      <c r="AT281" s="32"/>
      <c r="AU281" s="31"/>
      <c r="AV281" s="32"/>
      <c r="AW281" s="31"/>
      <c r="AX281" s="30" t="s">
        <v>0</v>
      </c>
      <c r="AY281" s="29"/>
      <c r="AZ281" s="28" t="s">
        <v>0</v>
      </c>
      <c r="BA281" s="27"/>
      <c r="BB281" s="74" t="s">
        <v>606</v>
      </c>
      <c r="BC281" s="25"/>
      <c r="BD281" s="24" t="s">
        <v>11</v>
      </c>
      <c r="BE281" s="24" t="s">
        <v>11</v>
      </c>
      <c r="BF281" s="24" t="s">
        <v>51</v>
      </c>
      <c r="BG281" s="24" t="s">
        <v>11</v>
      </c>
      <c r="BH281" s="130" t="s">
        <v>19</v>
      </c>
      <c r="BI281" s="24"/>
      <c r="BJ281" s="24" t="s">
        <v>11</v>
      </c>
      <c r="BK281" s="24" t="s">
        <v>11</v>
      </c>
      <c r="BL281" s="24">
        <v>45412</v>
      </c>
      <c r="BM281" s="24"/>
      <c r="BN281" s="24" t="s">
        <v>11</v>
      </c>
      <c r="BO281" s="24"/>
      <c r="BP281" s="24" t="s">
        <v>605</v>
      </c>
      <c r="BQ281" s="22">
        <f>YEAR([1]!BANCO10[[#This Row],[DATA INÍCIO]])</f>
        <v>2025</v>
      </c>
      <c r="BR281" s="22">
        <f>MONTH([1]!BANCO10[[#This Row],[DATA INÍCIO]])</f>
        <v>11</v>
      </c>
      <c r="BS281" s="129" t="e">
        <f>CONCATENATE(#REF!,#REF!)</f>
        <v>#REF!</v>
      </c>
      <c r="BT281" s="22"/>
      <c r="BU281" s="21" t="s">
        <v>30</v>
      </c>
      <c r="BV281" s="21" t="str">
        <f>IF([1]!BANCO10[[#This Row],[SOLUÇÃO]]=BV$1,[1]!BANCO10[[#This Row],[STATUS DA ETAPA]],"")</f>
        <v/>
      </c>
      <c r="BW281" s="21" t="str">
        <f>IF([1]!BANCO10[[#This Row],[SOLUÇÃO]]=BW$1,[1]!BANCO10[[#This Row],[STATUS DA ETAPA]],"")</f>
        <v/>
      </c>
      <c r="BX281" s="21" t="str">
        <f>IF([1]!BANCO10[[#This Row],[SOLUÇÃO]]=BX$1,[1]!BANCO10[[#This Row],[STATUS DA ETAPA]],"")</f>
        <v/>
      </c>
      <c r="BY281" s="21" t="str">
        <f>IF([1]!BANCO10[[#This Row],[SOLUÇÃO]]=BY$1,[1]!BANCO10[[#This Row],[STATUS DA ETAPA]],"")</f>
        <v/>
      </c>
      <c r="BZ281" s="21" t="str">
        <f>IF([1]!BANCO10[[#This Row],[SOLUÇÃO]]=BZ$1,[1]!BANCO10[[#This Row],[STATUS DA ETAPA]],"")</f>
        <v/>
      </c>
      <c r="CA281" s="21" t="str">
        <f>IF([1]!BANCO10[[#This Row],[SOLUÇÃO]]=CA$1,[1]!BANCO10[[#This Row],[STATUS DA ETAPA]],"")</f>
        <v>PROSPECÇÃO</v>
      </c>
      <c r="CB281" s="21" t="str">
        <f>IF([1]!BANCO10[[#This Row],[SOLUÇÃO]]=CB$1,[1]!BANCO10[[#This Row],[STATUS DA ETAPA]],"")</f>
        <v/>
      </c>
      <c r="CC281" s="21" t="str">
        <f>IF([1]!BANCO10[[#This Row],[SOLUÇÃO]]=CC$1,[1]!BANCO10[[#This Row],[STATUS DA ETAPA]],"")</f>
        <v/>
      </c>
      <c r="CD281" s="21" t="str">
        <f>IF([1]!BANCO10[[#This Row],[SOLUÇÃO]]=CD$1,[1]!BANCO10[[#This Row],[STATUS DA ETAPA]],"")</f>
        <v/>
      </c>
      <c r="CE281" s="21" t="str">
        <f>IF([1]!BANCO10[[#This Row],[SOLUÇÃO]]=CE$1,[1]!BANCO10[[#This Row],[STATUS DA ETAPA]],"")</f>
        <v/>
      </c>
      <c r="CF281" s="21" t="str">
        <f>IF([1]!BANCO10[[#This Row],[SOLUÇÃO]]=CF$1,[1]!BANCO10[[#This Row],[STATUS DA ETAPA]],"")</f>
        <v/>
      </c>
      <c r="CG281" s="21" t="str">
        <f>IF([1]!BANCO10[[#This Row],[SOLUÇÃO]]=CG$1,[1]!BANCO10[[#This Row],[STATUS DA ETAPA]],"")</f>
        <v/>
      </c>
      <c r="CH281" s="21" t="str">
        <f>IF([1]!BANCO10[[#This Row],[SOLUÇÃO]]=CH$1,[1]!BANCO10[[#This Row],[STATUS DA ETAPA]],"")</f>
        <v/>
      </c>
      <c r="CI281" s="21" t="str">
        <f>IF([1]!BANCO10[[#This Row],[SOLUÇÃO]]=CI$1,[1]!BANCO10[[#This Row],[STATUS DA ETAPA]],"")</f>
        <v/>
      </c>
      <c r="CJ281" s="21" t="str">
        <f>IF([1]!BANCO10[[#This Row],[SOLUÇÃO]]=CJ$1,[1]!BANCO10[[#This Row],[STATUS DA ETAPA]],"")</f>
        <v/>
      </c>
      <c r="CK281" s="21" t="str">
        <f>IF([1]!BANCO10[[#This Row],[SOLUÇÃO]]=CK$1,[1]!BANCO10[[#This Row],[STATUS DA ETAPA]],"")</f>
        <v/>
      </c>
      <c r="CL281" s="21" t="str">
        <f>IF([1]!BANCO10[[#This Row],[SOLUÇÃO]]=CL$1,[1]!BANCO10[[#This Row],[STATUS DA ETAPA]],"")</f>
        <v/>
      </c>
      <c r="CM281" s="21" t="str">
        <f>IF([1]!BANCO10[[#This Row],[SOLUÇÃO]]=CM$1,[1]!BANCO10[[#This Row],[STATUS DA ETAPA]],"")</f>
        <v/>
      </c>
      <c r="CN281" s="21" t="str">
        <f>IF([1]!BANCO10[[#This Row],[SOLUÇÃO]]=CN$1,[1]!BANCO10[[#This Row],[STATUS DA ETAPA]],"")</f>
        <v/>
      </c>
      <c r="CO281" s="21" t="str">
        <f>IF([1]!BANCO10[[#This Row],[SOLUÇÃO]]=CO$1,[1]!BANCO10[[#This Row],[STATUS DA ETAPA]],"")</f>
        <v/>
      </c>
      <c r="CP281" s="21" t="str">
        <f>IF([1]!BANCO10[[#This Row],[SOLUÇÃO]]=CP$1,[1]!BANCO10[[#This Row],[STATUS DA ETAPA]],"")</f>
        <v/>
      </c>
      <c r="CQ281" s="21" t="str">
        <f>IF([1]!BANCO10[[#This Row],[SOLUÇÃO]]=CQ$1,[1]!BANCO10[[#This Row],[STATUS DA ETAPA]],"")</f>
        <v/>
      </c>
      <c r="CR281" s="21" t="str">
        <f>IF([1]!BANCO10[[#This Row],[SOLUÇÃO]]=CR$1,[1]!BANCO10[[#This Row],[STATUS DA ETAPA]],"")</f>
        <v/>
      </c>
      <c r="CS281" s="21" t="str">
        <f>IF([1]!BANCO10[[#This Row],[SOLUÇÃO]]=CS$1,[1]!BANCO10[[#This Row],[STATUS DA ETAPA]],"")</f>
        <v/>
      </c>
      <c r="CT281" s="21" t="str">
        <f>IF([1]!BANCO10[[#This Row],[SOLUÇÃO]]=CT$1,[1]!BANCO10[[#This Row],[STATUS DA ETAPA]],"")</f>
        <v/>
      </c>
      <c r="CU281" s="21" t="str">
        <f>IF([1]!BANCO10[[#This Row],[SOLUÇÃO]]=CU$1,[1]!BANCO10[[#This Row],[STATUS DA ETAPA]],"")</f>
        <v/>
      </c>
      <c r="CV281" s="21" t="str">
        <f>IF([1]!BANCO10[[#This Row],[SOLUÇÃO]]=CV$1,[1]!BANCO10[[#This Row],[STATUS DA ETAPA]],"")</f>
        <v/>
      </c>
    </row>
    <row r="282" spans="1:100">
      <c r="A282" s="44"/>
      <c r="B282" s="44"/>
      <c r="C282" s="44"/>
      <c r="D282" s="44"/>
      <c r="E282" s="44"/>
      <c r="F282" s="44"/>
      <c r="G282" s="44"/>
      <c r="H282" s="44"/>
      <c r="I282" s="45"/>
      <c r="J282" s="46"/>
      <c r="K282" s="45"/>
      <c r="L282" s="33"/>
      <c r="M282" s="45"/>
      <c r="N282" s="33"/>
      <c r="O282" s="60"/>
      <c r="P282" s="72"/>
      <c r="Q282" s="138"/>
      <c r="R282" s="72"/>
      <c r="S282" s="58"/>
      <c r="T282" s="71"/>
      <c r="U282" s="137"/>
      <c r="V282" s="71"/>
      <c r="W282" s="44"/>
      <c r="X282" s="71"/>
      <c r="Y282" s="44"/>
      <c r="Z282" s="70"/>
      <c r="AA282" s="44"/>
      <c r="AB282" s="70"/>
      <c r="AC282" s="51"/>
      <c r="AD282" s="50"/>
      <c r="AE282" s="68"/>
      <c r="AF282" s="68"/>
      <c r="AG282" s="76"/>
      <c r="AH282" s="39"/>
      <c r="AI282" s="49">
        <v>0</v>
      </c>
      <c r="AJ282" s="67"/>
      <c r="AK282" s="37" t="s">
        <v>1</v>
      </c>
      <c r="AL282" s="136"/>
      <c r="AM282" s="136"/>
      <c r="AN282" s="52"/>
      <c r="AO282" s="52"/>
      <c r="AP282" s="52"/>
      <c r="AQ282" s="52"/>
      <c r="AR282" s="136"/>
      <c r="AT282" s="135"/>
      <c r="AU282" s="134"/>
      <c r="AV282" s="135"/>
      <c r="AW282" s="134"/>
      <c r="AX282" s="28"/>
      <c r="AY282" s="133"/>
      <c r="AZ282" s="32"/>
      <c r="BA282" s="31"/>
      <c r="BB282" s="26"/>
      <c r="BC282" s="25"/>
      <c r="BD282" s="24"/>
      <c r="BE282" s="24"/>
      <c r="BF282" s="24"/>
      <c r="BG282" s="24"/>
      <c r="BH282" s="24"/>
      <c r="BI282" s="24"/>
      <c r="BJ282" s="24"/>
      <c r="BK282" s="24"/>
      <c r="BL282" s="24"/>
      <c r="BM282" s="24"/>
      <c r="BN282" s="24"/>
      <c r="BO282" s="24"/>
      <c r="BP282" s="24"/>
      <c r="BQ282" s="22">
        <f>YEAR([1]!BANCO10[[#This Row],[DATA INÍCIO]])</f>
        <v>1900</v>
      </c>
      <c r="BR282" s="22">
        <f>MONTH([1]!BANCO10[[#This Row],[DATA INÍCIO]])</f>
        <v>1</v>
      </c>
      <c r="BS282" s="23" t="e">
        <f>CONCATENATE(#REF!,#REF!)</f>
        <v>#REF!</v>
      </c>
      <c r="BT282" s="22"/>
      <c r="BU282" s="22"/>
      <c r="BV282" s="21" t="str">
        <f>IF([1]!BANCO10[[#This Row],[SOLUÇÃO]]=BV$1,[1]!BANCO10[[#This Row],[STATUS DA ETAPA]],"")</f>
        <v/>
      </c>
      <c r="BW282" s="21" t="str">
        <f>IF([1]!BANCO10[[#This Row],[SOLUÇÃO]]=BW$1,[1]!BANCO10[[#This Row],[STATUS DA ETAPA]],"")</f>
        <v/>
      </c>
      <c r="BX282" s="21" t="str">
        <f>IF([1]!BANCO10[[#This Row],[SOLUÇÃO]]=BX$1,[1]!BANCO10[[#This Row],[STATUS DA ETAPA]],"")</f>
        <v/>
      </c>
      <c r="BY282" s="21" t="str">
        <f>IF([1]!BANCO10[[#This Row],[SOLUÇÃO]]=BY$1,[1]!BANCO10[[#This Row],[STATUS DA ETAPA]],"")</f>
        <v/>
      </c>
      <c r="BZ282" s="21" t="str">
        <f>IF([1]!BANCO10[[#This Row],[SOLUÇÃO]]=BZ$1,[1]!BANCO10[[#This Row],[STATUS DA ETAPA]],"")</f>
        <v/>
      </c>
      <c r="CA282" s="21" t="str">
        <f>IF([1]!BANCO10[[#This Row],[SOLUÇÃO]]=CA$1,[1]!BANCO10[[#This Row],[STATUS DA ETAPA]],"")</f>
        <v/>
      </c>
      <c r="CB282" s="21" t="str">
        <f>IF([1]!BANCO10[[#This Row],[SOLUÇÃO]]=CB$1,[1]!BANCO10[[#This Row],[STATUS DA ETAPA]],"")</f>
        <v/>
      </c>
      <c r="CC282" s="21" t="str">
        <f>IF([1]!BANCO10[[#This Row],[SOLUÇÃO]]=CC$1,[1]!BANCO10[[#This Row],[STATUS DA ETAPA]],"")</f>
        <v/>
      </c>
      <c r="CD282" s="21" t="str">
        <f>IF([1]!BANCO10[[#This Row],[SOLUÇÃO]]=CD$1,[1]!BANCO10[[#This Row],[STATUS DA ETAPA]],"")</f>
        <v/>
      </c>
      <c r="CE282" s="21" t="str">
        <f>IF([1]!BANCO10[[#This Row],[SOLUÇÃO]]=CE$1,[1]!BANCO10[[#This Row],[STATUS DA ETAPA]],"")</f>
        <v/>
      </c>
      <c r="CF282" s="21" t="str">
        <f>IF([1]!BANCO10[[#This Row],[SOLUÇÃO]]=CF$1,[1]!BANCO10[[#This Row],[STATUS DA ETAPA]],"")</f>
        <v/>
      </c>
      <c r="CG282" s="21" t="str">
        <f>IF([1]!BANCO10[[#This Row],[SOLUÇÃO]]=CG$1,[1]!BANCO10[[#This Row],[STATUS DA ETAPA]],"")</f>
        <v/>
      </c>
      <c r="CH282" s="21" t="str">
        <f>IF([1]!BANCO10[[#This Row],[SOLUÇÃO]]=CH$1,[1]!BANCO10[[#This Row],[STATUS DA ETAPA]],"")</f>
        <v/>
      </c>
      <c r="CI282" s="21" t="str">
        <f>IF([1]!BANCO10[[#This Row],[SOLUÇÃO]]=CI$1,[1]!BANCO10[[#This Row],[STATUS DA ETAPA]],"")</f>
        <v/>
      </c>
      <c r="CJ282" s="21" t="str">
        <f>IF([1]!BANCO10[[#This Row],[SOLUÇÃO]]=CJ$1,[1]!BANCO10[[#This Row],[STATUS DA ETAPA]],"")</f>
        <v/>
      </c>
      <c r="CK282" s="21" t="str">
        <f>IF([1]!BANCO10[[#This Row],[SOLUÇÃO]]=CK$1,[1]!BANCO10[[#This Row],[STATUS DA ETAPA]],"")</f>
        <v/>
      </c>
      <c r="CL282" s="21" t="str">
        <f>IF([1]!BANCO10[[#This Row],[SOLUÇÃO]]=CL$1,[1]!BANCO10[[#This Row],[STATUS DA ETAPA]],"")</f>
        <v/>
      </c>
      <c r="CM282" s="21" t="str">
        <f>IF([1]!BANCO10[[#This Row],[SOLUÇÃO]]=CM$1,[1]!BANCO10[[#This Row],[STATUS DA ETAPA]],"")</f>
        <v/>
      </c>
      <c r="CN282" s="21" t="str">
        <f>IF([1]!BANCO10[[#This Row],[SOLUÇÃO]]=CN$1,[1]!BANCO10[[#This Row],[STATUS DA ETAPA]],"")</f>
        <v/>
      </c>
      <c r="CO282" s="21" t="str">
        <f>IF([1]!BANCO10[[#This Row],[SOLUÇÃO]]=CO$1,[1]!BANCO10[[#This Row],[STATUS DA ETAPA]],"")</f>
        <v/>
      </c>
      <c r="CP282" s="21" t="str">
        <f>IF([1]!BANCO10[[#This Row],[SOLUÇÃO]]=CP$1,[1]!BANCO10[[#This Row],[STATUS DA ETAPA]],"")</f>
        <v/>
      </c>
      <c r="CQ282" s="21" t="str">
        <f>IF([1]!BANCO10[[#This Row],[SOLUÇÃO]]=CQ$1,[1]!BANCO10[[#This Row],[STATUS DA ETAPA]],"")</f>
        <v/>
      </c>
      <c r="CR282" s="21" t="str">
        <f>IF([1]!BANCO10[[#This Row],[SOLUÇÃO]]=CR$1,[1]!BANCO10[[#This Row],[STATUS DA ETAPA]],"")</f>
        <v/>
      </c>
      <c r="CS282" s="21" t="str">
        <f>IF([1]!BANCO10[[#This Row],[SOLUÇÃO]]=CS$1,[1]!BANCO10[[#This Row],[STATUS DA ETAPA]],"")</f>
        <v/>
      </c>
      <c r="CT282" s="21" t="str">
        <f>IF([1]!BANCO10[[#This Row],[SOLUÇÃO]]=CT$1,[1]!BANCO10[[#This Row],[STATUS DA ETAPA]],"")</f>
        <v/>
      </c>
      <c r="CU282" s="21" t="str">
        <f>IF([1]!BANCO10[[#This Row],[SOLUÇÃO]]=CU$1,[1]!BANCO10[[#This Row],[STATUS DA ETAPA]],"")</f>
        <v/>
      </c>
      <c r="CV282" s="21" t="str">
        <f>IF([1]!BANCO10[[#This Row],[SOLUÇÃO]]=CV$1,[1]!BANCO10[[#This Row],[STATUS DA ETAPA]],"")</f>
        <v/>
      </c>
    </row>
    <row r="283" spans="1:100">
      <c r="A283" s="44" t="s">
        <v>1</v>
      </c>
      <c r="B283" s="44"/>
      <c r="C283" s="44" t="s">
        <v>1</v>
      </c>
      <c r="D283" s="44"/>
      <c r="E283" s="44" t="s">
        <v>1</v>
      </c>
      <c r="F283" s="44"/>
      <c r="G283" s="44" t="s">
        <v>1</v>
      </c>
      <c r="H283" s="44"/>
      <c r="I283" s="45" t="s">
        <v>1</v>
      </c>
      <c r="J283" s="46"/>
      <c r="K283" s="45" t="s">
        <v>1</v>
      </c>
      <c r="L283" s="33"/>
      <c r="M283" s="45" t="s">
        <v>1</v>
      </c>
      <c r="N283" s="33"/>
      <c r="O283" s="44" t="s">
        <v>1</v>
      </c>
      <c r="P283" s="44"/>
      <c r="Q283" s="44" t="s">
        <v>1</v>
      </c>
      <c r="R283" s="44"/>
      <c r="S283" s="44" t="s">
        <v>1</v>
      </c>
      <c r="T283" s="44"/>
      <c r="U283" s="44" t="s">
        <v>1</v>
      </c>
      <c r="V283" s="44"/>
      <c r="W283" s="44" t="s">
        <v>1</v>
      </c>
      <c r="X283" s="44"/>
      <c r="Y283" s="44" t="s">
        <v>1</v>
      </c>
      <c r="Z283" s="44"/>
      <c r="AA283" s="44" t="s">
        <v>1</v>
      </c>
      <c r="AB283" s="44"/>
      <c r="AC283" s="51">
        <v>45577</v>
      </c>
      <c r="AD283" s="50">
        <v>45577</v>
      </c>
      <c r="AE283" s="41" t="s">
        <v>1</v>
      </c>
      <c r="AF283" s="41" t="s">
        <v>1</v>
      </c>
      <c r="AG283" s="40" t="s">
        <v>5</v>
      </c>
      <c r="AH283" s="36" t="s">
        <v>1</v>
      </c>
      <c r="AI283" s="49">
        <v>0</v>
      </c>
      <c r="AJ283" s="36" t="s">
        <v>1</v>
      </c>
      <c r="AK283" s="10" t="s">
        <v>1</v>
      </c>
      <c r="AL283" s="36" t="s">
        <v>1</v>
      </c>
      <c r="AM283" s="36" t="s">
        <v>1</v>
      </c>
      <c r="AN283" s="35" t="s">
        <v>1</v>
      </c>
      <c r="AO283" s="35" t="s">
        <v>1</v>
      </c>
      <c r="AP283" s="35" t="s">
        <v>1</v>
      </c>
      <c r="AQ283" s="35" t="s">
        <v>1</v>
      </c>
      <c r="AR283" s="90" t="s">
        <v>1</v>
      </c>
      <c r="AS283" s="89"/>
      <c r="AT283" s="88"/>
      <c r="AU283" s="25"/>
      <c r="AV283" s="88"/>
      <c r="AW283" s="25"/>
      <c r="AX283" s="88" t="s">
        <v>1</v>
      </c>
      <c r="AY283" s="25"/>
      <c r="AZ283" s="88" t="s">
        <v>1</v>
      </c>
      <c r="BA283" s="25"/>
      <c r="BB283" s="39"/>
      <c r="BC283" s="25"/>
      <c r="BD283" s="24"/>
      <c r="BE283" s="24"/>
      <c r="BF283" s="79"/>
      <c r="BG283" s="79"/>
      <c r="BH283" s="80"/>
      <c r="BI283" s="79"/>
      <c r="BJ283" s="54"/>
      <c r="BK283" s="78"/>
      <c r="BL283" s="69"/>
      <c r="BM283" s="78"/>
      <c r="BN283" s="78"/>
      <c r="BO283" s="78"/>
      <c r="BP283" s="78"/>
      <c r="BQ283" s="21">
        <f>YEAR([1]!BANCO10[[#This Row],[DATA INÍCIO]])</f>
        <v>2024</v>
      </c>
      <c r="BR283" s="21">
        <f>MONTH([1]!BANCO10[[#This Row],[DATA INÍCIO]])</f>
        <v>10</v>
      </c>
      <c r="BS283" s="21" t="e">
        <f>CONCATENATE(#REF!,#REF!)</f>
        <v>#REF!</v>
      </c>
      <c r="BT283" s="21"/>
      <c r="BU283" s="21"/>
      <c r="BV283" s="21" t="str">
        <f>IF([1]!BANCO10[[#This Row],[SOLUÇÃO]]=BV$1,[1]!BANCO10[[#This Row],[STATUS DA ETAPA]],"")</f>
        <v>CONCLUÍDO</v>
      </c>
      <c r="BW283" s="21" t="str">
        <f>IF([1]!BANCO10[[#This Row],[SOLUÇÃO]]=BW$1,[1]!BANCO10[[#This Row],[STATUS DA ETAPA]],"")</f>
        <v/>
      </c>
      <c r="BX283" s="21" t="str">
        <f>IF([1]!BANCO10[[#This Row],[SOLUÇÃO]]=BX$1,[1]!BANCO10[[#This Row],[STATUS DA ETAPA]],"")</f>
        <v/>
      </c>
      <c r="BY283" s="21" t="str">
        <f>IF([1]!BANCO10[[#This Row],[SOLUÇÃO]]=BY$1,[1]!BANCO10[[#This Row],[STATUS DA ETAPA]],"")</f>
        <v/>
      </c>
      <c r="BZ283" s="21" t="str">
        <f>IF([1]!BANCO10[[#This Row],[SOLUÇÃO]]=BZ$1,[1]!BANCO10[[#This Row],[STATUS DA ETAPA]],"")</f>
        <v/>
      </c>
      <c r="CA283" s="21" t="str">
        <f>IF([1]!BANCO10[[#This Row],[SOLUÇÃO]]=CA$1,[1]!BANCO10[[#This Row],[STATUS DA ETAPA]],"")</f>
        <v/>
      </c>
      <c r="CB283" s="21" t="str">
        <f>IF([1]!BANCO10[[#This Row],[SOLUÇÃO]]=CB$1,[1]!BANCO10[[#This Row],[STATUS DA ETAPA]],"")</f>
        <v/>
      </c>
      <c r="CC283" s="21" t="str">
        <f>IF([1]!BANCO10[[#This Row],[SOLUÇÃO]]=CC$1,[1]!BANCO10[[#This Row],[STATUS DA ETAPA]],"")</f>
        <v/>
      </c>
      <c r="CD283" s="21" t="str">
        <f>IF([1]!BANCO10[[#This Row],[SOLUÇÃO]]=CD$1,[1]!BANCO10[[#This Row],[STATUS DA ETAPA]],"")</f>
        <v/>
      </c>
      <c r="CE283" s="21" t="str">
        <f>IF([1]!BANCO10[[#This Row],[SOLUÇÃO]]=CE$1,[1]!BANCO10[[#This Row],[STATUS DA ETAPA]],"")</f>
        <v/>
      </c>
      <c r="CF283" s="21" t="str">
        <f>IF([1]!BANCO10[[#This Row],[SOLUÇÃO]]=CF$1,[1]!BANCO10[[#This Row],[STATUS DA ETAPA]],"")</f>
        <v/>
      </c>
      <c r="CG283" s="21" t="str">
        <f>IF([1]!BANCO10[[#This Row],[SOLUÇÃO]]=CG$1,[1]!BANCO10[[#This Row],[STATUS DA ETAPA]],"")</f>
        <v/>
      </c>
      <c r="CH283" s="21" t="str">
        <f>IF([1]!BANCO10[[#This Row],[SOLUÇÃO]]=CH$1,[1]!BANCO10[[#This Row],[STATUS DA ETAPA]],"")</f>
        <v/>
      </c>
      <c r="CI283" s="21" t="str">
        <f>IF([1]!BANCO10[[#This Row],[SOLUÇÃO]]=CI$1,[1]!BANCO10[[#This Row],[STATUS DA ETAPA]],"")</f>
        <v/>
      </c>
      <c r="CJ283" s="21" t="str">
        <f>IF([1]!BANCO10[[#This Row],[SOLUÇÃO]]=CJ$1,[1]!BANCO10[[#This Row],[STATUS DA ETAPA]],"")</f>
        <v/>
      </c>
      <c r="CK283" s="21" t="str">
        <f>IF([1]!BANCO10[[#This Row],[SOLUÇÃO]]=CK$1,[1]!BANCO10[[#This Row],[STATUS DA ETAPA]],"")</f>
        <v/>
      </c>
      <c r="CL283" s="22" t="str">
        <f>IF([1]!BANCO10[[#This Row],[SOLUÇÃO]]=CL$1,[1]!BANCO10[[#This Row],[STATUS DA ETAPA]],"")</f>
        <v/>
      </c>
      <c r="CM283" s="64" t="str">
        <f>IF([1]!BANCO10[[#This Row],[SOLUÇÃO]]=CM$1,[1]!BANCO10[[#This Row],[STATUS DA ETAPA]],"")</f>
        <v/>
      </c>
      <c r="CN283" s="64" t="str">
        <f>IF([1]!BANCO10[[#This Row],[SOLUÇÃO]]=CN$1,[1]!BANCO10[[#This Row],[STATUS DA ETAPA]],"")</f>
        <v/>
      </c>
      <c r="CO283" s="64" t="str">
        <f>IF([1]!BANCO10[[#This Row],[SOLUÇÃO]]=CO$1,[1]!BANCO10[[#This Row],[STATUS DA ETAPA]],"")</f>
        <v/>
      </c>
      <c r="CP283" s="64" t="str">
        <f>IF([1]!BANCO10[[#This Row],[SOLUÇÃO]]=CP$1,[1]!BANCO10[[#This Row],[STATUS DA ETAPA]],"")</f>
        <v/>
      </c>
      <c r="CQ283" s="64" t="str">
        <f>IF([1]!BANCO10[[#This Row],[SOLUÇÃO]]=CQ$1,[1]!BANCO10[[#This Row],[STATUS DA ETAPA]],"")</f>
        <v/>
      </c>
      <c r="CR283" s="64" t="str">
        <f>IF([1]!BANCO10[[#This Row],[SOLUÇÃO]]=CR$1,[1]!BANCO10[[#This Row],[STATUS DA ETAPA]],"")</f>
        <v/>
      </c>
      <c r="CS283" s="64" t="str">
        <f>IF([1]!BANCO10[[#This Row],[SOLUÇÃO]]=CS$1,[1]!BANCO10[[#This Row],[STATUS DA ETAPA]],"")</f>
        <v/>
      </c>
      <c r="CT283" s="64" t="str">
        <f>IF([1]!BANCO10[[#This Row],[SOLUÇÃO]]=CT$1,[1]!BANCO10[[#This Row],[STATUS DA ETAPA]],"")</f>
        <v/>
      </c>
      <c r="CU283" s="64" t="str">
        <f>IF([1]!BANCO10[[#This Row],[SOLUÇÃO]]=CU$1,[1]!BANCO10[[#This Row],[STATUS DA ETAPA]],"")</f>
        <v/>
      </c>
      <c r="CV283" s="64" t="str">
        <f>IF([1]!BANCO10[[#This Row],[SOLUÇÃO]]=CV$1,[1]!BANCO10[[#This Row],[STATUS DA ETAPA]],"")</f>
        <v/>
      </c>
    </row>
    <row r="284" spans="1:100">
      <c r="A284" s="44" t="s">
        <v>1</v>
      </c>
      <c r="B284" s="44"/>
      <c r="C284" s="44" t="s">
        <v>1</v>
      </c>
      <c r="D284" s="44"/>
      <c r="E284" s="44" t="s">
        <v>1</v>
      </c>
      <c r="F284" s="44"/>
      <c r="G284" s="44" t="s">
        <v>1</v>
      </c>
      <c r="H284" s="44"/>
      <c r="I284" s="45" t="s">
        <v>1</v>
      </c>
      <c r="J284" s="46"/>
      <c r="K284" s="45" t="s">
        <v>1</v>
      </c>
      <c r="L284" s="33"/>
      <c r="M284" s="45" t="s">
        <v>1</v>
      </c>
      <c r="N284" s="33"/>
      <c r="O284" s="44" t="s">
        <v>2</v>
      </c>
      <c r="P284" s="44">
        <v>45536</v>
      </c>
      <c r="Q284" s="44" t="s">
        <v>2</v>
      </c>
      <c r="R284" s="44">
        <v>45590</v>
      </c>
      <c r="S284" s="44" t="s">
        <v>2</v>
      </c>
      <c r="T284" s="44">
        <v>45607</v>
      </c>
      <c r="U284" s="44" t="s">
        <v>1</v>
      </c>
      <c r="V284" s="44"/>
      <c r="W284" s="44" t="s">
        <v>1</v>
      </c>
      <c r="X284" s="44"/>
      <c r="Y284" s="44" t="s">
        <v>1</v>
      </c>
      <c r="Z284" s="44"/>
      <c r="AA284" s="44" t="s">
        <v>1</v>
      </c>
      <c r="AB284" s="44"/>
      <c r="AC284" s="51">
        <v>45685</v>
      </c>
      <c r="AD284" s="50">
        <v>45789</v>
      </c>
      <c r="AE284" s="41" t="s">
        <v>2</v>
      </c>
      <c r="AF284" s="41" t="s">
        <v>2</v>
      </c>
      <c r="AG284" s="40" t="s">
        <v>5</v>
      </c>
      <c r="AH284" s="36" t="s">
        <v>0</v>
      </c>
      <c r="AI284" s="49">
        <v>0</v>
      </c>
      <c r="AJ284" s="36" t="s">
        <v>6</v>
      </c>
      <c r="AK284" s="10">
        <v>580998</v>
      </c>
      <c r="AL284" s="36" t="s">
        <v>1</v>
      </c>
      <c r="AM284" s="36" t="s">
        <v>1</v>
      </c>
      <c r="AN284" s="35" t="s">
        <v>2</v>
      </c>
      <c r="AO284" s="35" t="s">
        <v>2</v>
      </c>
      <c r="AP284" s="35" t="s">
        <v>2</v>
      </c>
      <c r="AQ284" s="35" t="s">
        <v>2</v>
      </c>
      <c r="AR284" s="34" t="s">
        <v>2</v>
      </c>
      <c r="AS284" s="33">
        <v>45804</v>
      </c>
      <c r="AT284" s="32" t="s">
        <v>1</v>
      </c>
      <c r="AU284" s="31"/>
      <c r="AV284" s="32" t="s">
        <v>1</v>
      </c>
      <c r="AW284" s="31"/>
      <c r="AX284" s="30" t="s">
        <v>2</v>
      </c>
      <c r="AY284" s="29">
        <v>45804</v>
      </c>
      <c r="AZ284" s="28" t="s">
        <v>0</v>
      </c>
      <c r="BA284" s="27"/>
      <c r="BB284" s="95" t="s">
        <v>143</v>
      </c>
      <c r="BC284" s="25" t="s">
        <v>41</v>
      </c>
      <c r="BD284" s="24"/>
      <c r="BE284" s="24"/>
      <c r="BF284" s="79"/>
      <c r="BG284" s="79"/>
      <c r="BH284" s="80"/>
      <c r="BI284" s="79"/>
      <c r="BJ284" s="54"/>
      <c r="BK284" s="78"/>
      <c r="BL284" s="69"/>
      <c r="BM284" s="78"/>
      <c r="BN284" s="78"/>
      <c r="BO284" s="78"/>
      <c r="BP284" s="78"/>
      <c r="BQ284" s="21">
        <f>YEAR([1]!BANCO10[[#This Row],[DATA INÍCIO]])</f>
        <v>2025</v>
      </c>
      <c r="BR284" s="21">
        <f>MONTH([1]!BANCO10[[#This Row],[DATA INÍCIO]])</f>
        <v>1</v>
      </c>
      <c r="BS284" s="21" t="e">
        <f>CONCATENATE(#REF!,#REF!)</f>
        <v>#REF!</v>
      </c>
      <c r="BT284" s="21"/>
      <c r="BU284" s="21"/>
      <c r="BV284" s="21" t="str">
        <f>IF([1]!BANCO10[[#This Row],[SOLUÇÃO]]=BV$1,[1]!BANCO10[[#This Row],[STATUS DA ETAPA]],"")</f>
        <v/>
      </c>
      <c r="BW284" s="21" t="str">
        <f>IF([1]!BANCO10[[#This Row],[SOLUÇÃO]]=BW$1,[1]!BANCO10[[#This Row],[STATUS DA ETAPA]],"")</f>
        <v/>
      </c>
      <c r="BX284" s="21" t="str">
        <f>IF([1]!BANCO10[[#This Row],[SOLUÇÃO]]=BX$1,[1]!BANCO10[[#This Row],[STATUS DA ETAPA]],"")</f>
        <v/>
      </c>
      <c r="BY284" s="21" t="str">
        <f>IF([1]!BANCO10[[#This Row],[SOLUÇÃO]]=BY$1,[1]!BANCO10[[#This Row],[STATUS DA ETAPA]],"")</f>
        <v/>
      </c>
      <c r="BZ284" s="21" t="str">
        <f>IF([1]!BANCO10[[#This Row],[SOLUÇÃO]]=BZ$1,[1]!BANCO10[[#This Row],[STATUS DA ETAPA]],"")</f>
        <v/>
      </c>
      <c r="CA284" s="21" t="str">
        <f>IF([1]!BANCO10[[#This Row],[SOLUÇÃO]]=CA$1,[1]!BANCO10[[#This Row],[STATUS DA ETAPA]],"")</f>
        <v/>
      </c>
      <c r="CB284" s="21" t="str">
        <f>IF([1]!BANCO10[[#This Row],[SOLUÇÃO]]=CB$1,[1]!BANCO10[[#This Row],[STATUS DA ETAPA]],"")</f>
        <v>CONCLUÍDO</v>
      </c>
      <c r="CC284" s="21" t="str">
        <f>IF([1]!BANCO10[[#This Row],[SOLUÇÃO]]=CC$1,[1]!BANCO10[[#This Row],[STATUS DA ETAPA]],"")</f>
        <v/>
      </c>
      <c r="CD284" s="21" t="str">
        <f>IF([1]!BANCO10[[#This Row],[SOLUÇÃO]]=CD$1,[1]!BANCO10[[#This Row],[STATUS DA ETAPA]],"")</f>
        <v/>
      </c>
      <c r="CE284" s="21" t="str">
        <f>IF([1]!BANCO10[[#This Row],[SOLUÇÃO]]=CE$1,[1]!BANCO10[[#This Row],[STATUS DA ETAPA]],"")</f>
        <v/>
      </c>
      <c r="CF284" s="21" t="str">
        <f>IF([1]!BANCO10[[#This Row],[SOLUÇÃO]]=CF$1,[1]!BANCO10[[#This Row],[STATUS DA ETAPA]],"")</f>
        <v/>
      </c>
      <c r="CG284" s="21" t="str">
        <f>IF([1]!BANCO10[[#This Row],[SOLUÇÃO]]=CG$1,[1]!BANCO10[[#This Row],[STATUS DA ETAPA]],"")</f>
        <v/>
      </c>
      <c r="CH284" s="21" t="str">
        <f>IF([1]!BANCO10[[#This Row],[SOLUÇÃO]]=CH$1,[1]!BANCO10[[#This Row],[STATUS DA ETAPA]],"")</f>
        <v/>
      </c>
      <c r="CI284" s="21" t="str">
        <f>IF([1]!BANCO10[[#This Row],[SOLUÇÃO]]=CI$1,[1]!BANCO10[[#This Row],[STATUS DA ETAPA]],"")</f>
        <v/>
      </c>
      <c r="CJ284" s="21" t="str">
        <f>IF([1]!BANCO10[[#This Row],[SOLUÇÃO]]=CJ$1,[1]!BANCO10[[#This Row],[STATUS DA ETAPA]],"")</f>
        <v/>
      </c>
      <c r="CK284" s="21" t="str">
        <f>IF([1]!BANCO10[[#This Row],[SOLUÇÃO]]=CK$1,[1]!BANCO10[[#This Row],[STATUS DA ETAPA]],"")</f>
        <v/>
      </c>
      <c r="CL284" s="22" t="str">
        <f>IF([1]!BANCO10[[#This Row],[SOLUÇÃO]]=CL$1,[1]!BANCO10[[#This Row],[STATUS DA ETAPA]],"")</f>
        <v/>
      </c>
      <c r="CM284" s="64" t="str">
        <f>IF([1]!BANCO10[[#This Row],[SOLUÇÃO]]=CM$1,[1]!BANCO10[[#This Row],[STATUS DA ETAPA]],"")</f>
        <v/>
      </c>
      <c r="CN284" s="64" t="str">
        <f>IF([1]!BANCO10[[#This Row],[SOLUÇÃO]]=CN$1,[1]!BANCO10[[#This Row],[STATUS DA ETAPA]],"")</f>
        <v/>
      </c>
      <c r="CO284" s="64" t="str">
        <f>IF([1]!BANCO10[[#This Row],[SOLUÇÃO]]=CO$1,[1]!BANCO10[[#This Row],[STATUS DA ETAPA]],"")</f>
        <v/>
      </c>
      <c r="CP284" s="64" t="str">
        <f>IF([1]!BANCO10[[#This Row],[SOLUÇÃO]]=CP$1,[1]!BANCO10[[#This Row],[STATUS DA ETAPA]],"")</f>
        <v/>
      </c>
      <c r="CQ284" s="64" t="str">
        <f>IF([1]!BANCO10[[#This Row],[SOLUÇÃO]]=CQ$1,[1]!BANCO10[[#This Row],[STATUS DA ETAPA]],"")</f>
        <v/>
      </c>
      <c r="CR284" s="64" t="str">
        <f>IF([1]!BANCO10[[#This Row],[SOLUÇÃO]]=CR$1,[1]!BANCO10[[#This Row],[STATUS DA ETAPA]],"")</f>
        <v/>
      </c>
      <c r="CS284" s="64" t="str">
        <f>IF([1]!BANCO10[[#This Row],[SOLUÇÃO]]=CS$1,[1]!BANCO10[[#This Row],[STATUS DA ETAPA]],"")</f>
        <v/>
      </c>
      <c r="CT284" s="64" t="str">
        <f>IF([1]!BANCO10[[#This Row],[SOLUÇÃO]]=CT$1,[1]!BANCO10[[#This Row],[STATUS DA ETAPA]],"")</f>
        <v/>
      </c>
      <c r="CU284" s="64" t="str">
        <f>IF([1]!BANCO10[[#This Row],[SOLUÇÃO]]=CU$1,[1]!BANCO10[[#This Row],[STATUS DA ETAPA]],"")</f>
        <v/>
      </c>
      <c r="CV284" s="64" t="str">
        <f>IF([1]!BANCO10[[#This Row],[SOLUÇÃO]]=CV$1,[1]!BANCO10[[#This Row],[STATUS DA ETAPA]],"")</f>
        <v/>
      </c>
    </row>
    <row r="285" spans="1:100">
      <c r="A285" s="44" t="s">
        <v>1</v>
      </c>
      <c r="B285" s="44"/>
      <c r="C285" s="44" t="s">
        <v>1</v>
      </c>
      <c r="D285" s="44"/>
      <c r="E285" s="44" t="s">
        <v>1</v>
      </c>
      <c r="F285" s="44"/>
      <c r="G285" s="44" t="s">
        <v>1</v>
      </c>
      <c r="H285" s="44"/>
      <c r="I285" s="45" t="s">
        <v>1</v>
      </c>
      <c r="J285" s="46"/>
      <c r="K285" s="45" t="s">
        <v>1</v>
      </c>
      <c r="L285" s="33"/>
      <c r="M285" s="45" t="s">
        <v>1</v>
      </c>
      <c r="N285" s="33"/>
      <c r="O285" s="44" t="s">
        <v>1</v>
      </c>
      <c r="P285" s="44"/>
      <c r="Q285" s="44" t="s">
        <v>1</v>
      </c>
      <c r="R285" s="44"/>
      <c r="S285" s="44" t="s">
        <v>1</v>
      </c>
      <c r="T285" s="44"/>
      <c r="U285" s="44" t="s">
        <v>1</v>
      </c>
      <c r="V285" s="44"/>
      <c r="W285" s="44" t="s">
        <v>1</v>
      </c>
      <c r="X285" s="44"/>
      <c r="Y285" s="44" t="s">
        <v>1</v>
      </c>
      <c r="Z285" s="44"/>
      <c r="AA285" s="44" t="s">
        <v>1</v>
      </c>
      <c r="AB285" s="44"/>
      <c r="AC285" s="51">
        <v>45807</v>
      </c>
      <c r="AD285" s="50">
        <v>45807</v>
      </c>
      <c r="AE285" s="41" t="s">
        <v>1</v>
      </c>
      <c r="AF285" s="41" t="s">
        <v>1</v>
      </c>
      <c r="AG285" s="40" t="s">
        <v>4</v>
      </c>
      <c r="AH285" s="36" t="s">
        <v>0</v>
      </c>
      <c r="AI285" s="49">
        <v>0</v>
      </c>
      <c r="AJ285" s="36" t="s">
        <v>1</v>
      </c>
      <c r="AK285" s="10" t="s">
        <v>1</v>
      </c>
      <c r="AL285" s="36" t="s">
        <v>1</v>
      </c>
      <c r="AM285" s="36" t="s">
        <v>1</v>
      </c>
      <c r="AN285" s="35" t="s">
        <v>1</v>
      </c>
      <c r="AO285" s="35" t="s">
        <v>1</v>
      </c>
      <c r="AP285" s="35" t="s">
        <v>1</v>
      </c>
      <c r="AQ285" s="35" t="s">
        <v>2</v>
      </c>
      <c r="AR285" s="34" t="s">
        <v>0</v>
      </c>
      <c r="AS285" s="33"/>
      <c r="AT285" s="30" t="s">
        <v>0</v>
      </c>
      <c r="AU285" s="31"/>
      <c r="AV285" s="30" t="s">
        <v>0</v>
      </c>
      <c r="AW285" s="31"/>
      <c r="AX285" s="30" t="s">
        <v>0</v>
      </c>
      <c r="AY285" s="29"/>
      <c r="AZ285" s="28" t="s">
        <v>0</v>
      </c>
      <c r="BA285" s="27"/>
      <c r="BB285" s="26"/>
      <c r="BC285" s="25"/>
      <c r="BD285" s="24"/>
      <c r="BE285" s="24"/>
      <c r="BF285" s="24"/>
      <c r="BG285" s="24"/>
      <c r="BH285" s="24"/>
      <c r="BI285" s="24"/>
      <c r="BJ285" s="24"/>
      <c r="BK285" s="24"/>
      <c r="BL285" s="24"/>
      <c r="BM285" s="24"/>
      <c r="BN285" s="24"/>
      <c r="BO285" s="24"/>
      <c r="BP285" s="24"/>
      <c r="BQ285" s="22">
        <f>YEAR([1]!BANCO10[[#This Row],[DATA INÍCIO]])</f>
        <v>2025</v>
      </c>
      <c r="BR285" s="22">
        <f>MONTH([1]!BANCO10[[#This Row],[DATA INÍCIO]])</f>
        <v>5</v>
      </c>
      <c r="BS285" s="23" t="e">
        <f>CONCATENATE(#REF!,#REF!)</f>
        <v>#REF!</v>
      </c>
      <c r="BT285" s="22"/>
      <c r="BU285" s="22"/>
      <c r="BV285" s="21" t="str">
        <f>IF([1]!BANCO10[[#This Row],[SOLUÇÃO]]=BV$1,[1]!BANCO10[[#This Row],[STATUS DA ETAPA]],"")</f>
        <v/>
      </c>
      <c r="BW285" s="21" t="str">
        <f>IF([1]!BANCO10[[#This Row],[SOLUÇÃO]]=BW$1,[1]!BANCO10[[#This Row],[STATUS DA ETAPA]],"")</f>
        <v/>
      </c>
      <c r="BX285" s="21" t="str">
        <f>IF([1]!BANCO10[[#This Row],[SOLUÇÃO]]=BX$1,[1]!BANCO10[[#This Row],[STATUS DA ETAPA]],"")</f>
        <v/>
      </c>
      <c r="BY285" s="21" t="str">
        <f>IF([1]!BANCO10[[#This Row],[SOLUÇÃO]]=BY$1,[1]!BANCO10[[#This Row],[STATUS DA ETAPA]],"")</f>
        <v/>
      </c>
      <c r="BZ285" s="21" t="str">
        <f>IF([1]!BANCO10[[#This Row],[SOLUÇÃO]]=BZ$1,[1]!BANCO10[[#This Row],[STATUS DA ETAPA]],"")</f>
        <v/>
      </c>
      <c r="CA285" s="21" t="str">
        <f>IF([1]!BANCO10[[#This Row],[SOLUÇÃO]]=CA$1,[1]!BANCO10[[#This Row],[STATUS DA ETAPA]],"")</f>
        <v/>
      </c>
      <c r="CB285" s="21" t="str">
        <f>IF([1]!BANCO10[[#This Row],[SOLUÇÃO]]=CB$1,[1]!BANCO10[[#This Row],[STATUS DA ETAPA]],"")</f>
        <v/>
      </c>
      <c r="CC285" s="21" t="str">
        <f>IF([1]!BANCO10[[#This Row],[SOLUÇÃO]]=CC$1,[1]!BANCO10[[#This Row],[STATUS DA ETAPA]],"")</f>
        <v/>
      </c>
      <c r="CD285" s="21" t="str">
        <f>IF([1]!BANCO10[[#This Row],[SOLUÇÃO]]=CD$1,[1]!BANCO10[[#This Row],[STATUS DA ETAPA]],"")</f>
        <v/>
      </c>
      <c r="CE285" s="21" t="str">
        <f>IF([1]!BANCO10[[#This Row],[SOLUÇÃO]]=CE$1,[1]!BANCO10[[#This Row],[STATUS DA ETAPA]],"")</f>
        <v/>
      </c>
      <c r="CF285" s="21" t="str">
        <f>IF([1]!BANCO10[[#This Row],[SOLUÇÃO]]=CF$1,[1]!BANCO10[[#This Row],[STATUS DA ETAPA]],"")</f>
        <v/>
      </c>
      <c r="CG285" s="21" t="str">
        <f>IF([1]!BANCO10[[#This Row],[SOLUÇÃO]]=CG$1,[1]!BANCO10[[#This Row],[STATUS DA ETAPA]],"")</f>
        <v/>
      </c>
      <c r="CH285" s="21" t="str">
        <f>IF([1]!BANCO10[[#This Row],[SOLUÇÃO]]=CH$1,[1]!BANCO10[[#This Row],[STATUS DA ETAPA]],"")</f>
        <v/>
      </c>
      <c r="CI285" s="21" t="str">
        <f>IF([1]!BANCO10[[#This Row],[SOLUÇÃO]]=CI$1,[1]!BANCO10[[#This Row],[STATUS DA ETAPA]],"")</f>
        <v/>
      </c>
      <c r="CJ285" s="21" t="str">
        <f>IF([1]!BANCO10[[#This Row],[SOLUÇÃO]]=CJ$1,[1]!BANCO10[[#This Row],[STATUS DA ETAPA]],"")</f>
        <v/>
      </c>
      <c r="CK285" s="21" t="str">
        <f>IF([1]!BANCO10[[#This Row],[SOLUÇÃO]]=CK$1,[1]!BANCO10[[#This Row],[STATUS DA ETAPA]],"")</f>
        <v/>
      </c>
      <c r="CL285" s="21" t="str">
        <f>IF([1]!BANCO10[[#This Row],[SOLUÇÃO]]=CL$1,[1]!BANCO10[[#This Row],[STATUS DA ETAPA]],"")</f>
        <v/>
      </c>
      <c r="CM285" s="21" t="str">
        <f>IF([1]!BANCO10[[#This Row],[SOLUÇÃO]]=CM$1,[1]!BANCO10[[#This Row],[STATUS DA ETAPA]],"")</f>
        <v/>
      </c>
      <c r="CN285" s="21" t="str">
        <f>IF([1]!BANCO10[[#This Row],[SOLUÇÃO]]=CN$1,[1]!BANCO10[[#This Row],[STATUS DA ETAPA]],"")</f>
        <v/>
      </c>
      <c r="CO285" s="21" t="str">
        <f>IF([1]!BANCO10[[#This Row],[SOLUÇÃO]]=CO$1,[1]!BANCO10[[#This Row],[STATUS DA ETAPA]],"")</f>
        <v/>
      </c>
      <c r="CP285" s="21" t="str">
        <f>IF([1]!BANCO10[[#This Row],[SOLUÇÃO]]=CP$1,[1]!BANCO10[[#This Row],[STATUS DA ETAPA]],"")</f>
        <v/>
      </c>
      <c r="CQ285" s="21" t="str">
        <f>IF([1]!BANCO10[[#This Row],[SOLUÇÃO]]=CQ$1,[1]!BANCO10[[#This Row],[STATUS DA ETAPA]],"")</f>
        <v/>
      </c>
      <c r="CR285" s="21" t="str">
        <f>IF([1]!BANCO10[[#This Row],[SOLUÇÃO]]=CR$1,[1]!BANCO10[[#This Row],[STATUS DA ETAPA]],"")</f>
        <v/>
      </c>
      <c r="CS285" s="21" t="str">
        <f>IF([1]!BANCO10[[#This Row],[SOLUÇÃO]]=CS$1,[1]!BANCO10[[#This Row],[STATUS DA ETAPA]],"")</f>
        <v/>
      </c>
      <c r="CT285" s="21" t="str">
        <f>IF([1]!BANCO10[[#This Row],[SOLUÇÃO]]=CT$1,[1]!BANCO10[[#This Row],[STATUS DA ETAPA]],"")</f>
        <v/>
      </c>
      <c r="CU285" s="21" t="str">
        <f>IF([1]!BANCO10[[#This Row],[SOLUÇÃO]]=CU$1,[1]!BANCO10[[#This Row],[STATUS DA ETAPA]],"")</f>
        <v/>
      </c>
      <c r="CV285" s="21" t="str">
        <f>IF([1]!BANCO10[[#This Row],[SOLUÇÃO]]=CV$1,[1]!BANCO10[[#This Row],[STATUS DA ETAPA]],"")</f>
        <v/>
      </c>
    </row>
    <row r="286" spans="1:100">
      <c r="A286" s="44" t="s">
        <v>1</v>
      </c>
      <c r="B286" s="44"/>
      <c r="C286" s="44" t="s">
        <v>1</v>
      </c>
      <c r="D286" s="44"/>
      <c r="E286" s="44" t="s">
        <v>1</v>
      </c>
      <c r="F286" s="44"/>
      <c r="G286" s="44" t="s">
        <v>1</v>
      </c>
      <c r="H286" s="44"/>
      <c r="I286" s="45" t="s">
        <v>1</v>
      </c>
      <c r="J286" s="46"/>
      <c r="K286" s="45" t="s">
        <v>1</v>
      </c>
      <c r="L286" s="33"/>
      <c r="M286" s="45" t="s">
        <v>1</v>
      </c>
      <c r="N286" s="33"/>
      <c r="O286" s="44" t="s">
        <v>1</v>
      </c>
      <c r="P286" s="44"/>
      <c r="Q286" s="44" t="s">
        <v>1</v>
      </c>
      <c r="R286" s="44"/>
      <c r="S286" s="44" t="s">
        <v>1</v>
      </c>
      <c r="T286" s="44"/>
      <c r="U286" s="44" t="s">
        <v>2</v>
      </c>
      <c r="V286" s="44"/>
      <c r="W286" s="44" t="s">
        <v>2</v>
      </c>
      <c r="X286" s="44"/>
      <c r="Y286" s="44" t="s">
        <v>2</v>
      </c>
      <c r="Z286" s="44"/>
      <c r="AA286" s="44" t="s">
        <v>2</v>
      </c>
      <c r="AB286" s="44"/>
      <c r="AC286" s="51">
        <v>45811</v>
      </c>
      <c r="AD286" s="50">
        <v>45895</v>
      </c>
      <c r="AE286" s="68" t="s">
        <v>2</v>
      </c>
      <c r="AF286" s="68" t="s">
        <v>2</v>
      </c>
      <c r="AG286" s="76" t="s">
        <v>4</v>
      </c>
      <c r="AH286" s="36" t="s">
        <v>0</v>
      </c>
      <c r="AI286" s="49">
        <v>0</v>
      </c>
      <c r="AJ286" s="36" t="s">
        <v>6</v>
      </c>
      <c r="AK286" s="10" t="s">
        <v>604</v>
      </c>
      <c r="AL286" s="36">
        <v>7498</v>
      </c>
      <c r="AM286" s="36">
        <v>118599</v>
      </c>
      <c r="AN286" s="35" t="s">
        <v>1</v>
      </c>
      <c r="AO286" s="35" t="s">
        <v>1</v>
      </c>
      <c r="AP286" s="35" t="s">
        <v>2</v>
      </c>
      <c r="AQ286" s="35" t="s">
        <v>1</v>
      </c>
      <c r="AR286" s="34" t="s">
        <v>1</v>
      </c>
      <c r="AS286" s="33"/>
      <c r="AT286" s="32" t="s">
        <v>2</v>
      </c>
      <c r="AU286" s="96">
        <v>45823</v>
      </c>
      <c r="AV286" s="28" t="s">
        <v>0</v>
      </c>
      <c r="AW286" s="31"/>
      <c r="AX286" s="30" t="s">
        <v>0</v>
      </c>
      <c r="AY286" s="29"/>
      <c r="AZ286" s="28" t="s">
        <v>0</v>
      </c>
      <c r="BA286" s="27"/>
      <c r="BB286" s="155"/>
      <c r="BC286" s="25"/>
      <c r="BD286" s="24"/>
      <c r="BE286" s="24"/>
      <c r="BF286" s="24"/>
      <c r="BG286" s="24"/>
      <c r="BH286" s="24"/>
      <c r="BI286" s="24"/>
      <c r="BJ286" s="24"/>
      <c r="BK286" s="24"/>
      <c r="BL286" s="24"/>
      <c r="BM286" s="24"/>
      <c r="BN286" s="24"/>
      <c r="BO286" s="24"/>
      <c r="BP286" s="24"/>
      <c r="BQ286" s="22">
        <f>YEAR([1]!BANCO10[[#This Row],[DATA INÍCIO]])</f>
        <v>2025</v>
      </c>
      <c r="BR286" s="22">
        <f>MONTH([1]!BANCO10[[#This Row],[DATA INÍCIO]])</f>
        <v>6</v>
      </c>
      <c r="BS286" s="23" t="e">
        <f>CONCATENATE(#REF!,#REF!)</f>
        <v>#REF!</v>
      </c>
      <c r="BT286" s="22"/>
      <c r="BU286" s="22"/>
      <c r="BV286" s="21" t="str">
        <f>IF([1]!BANCO10[[#This Row],[SOLUÇÃO]]=BV$1,[1]!BANCO10[[#This Row],[STATUS DA ETAPA]],"")</f>
        <v/>
      </c>
      <c r="BW286" s="21" t="str">
        <f>IF([1]!BANCO10[[#This Row],[SOLUÇÃO]]=BW$1,[1]!BANCO10[[#This Row],[STATUS DA ETAPA]],"")</f>
        <v/>
      </c>
      <c r="BX286" s="21" t="str">
        <f>IF([1]!BANCO10[[#This Row],[SOLUÇÃO]]=BX$1,[1]!BANCO10[[#This Row],[STATUS DA ETAPA]],"")</f>
        <v/>
      </c>
      <c r="BY286" s="21" t="str">
        <f>IF([1]!BANCO10[[#This Row],[SOLUÇÃO]]=BY$1,[1]!BANCO10[[#This Row],[STATUS DA ETAPA]],"")</f>
        <v/>
      </c>
      <c r="BZ286" s="21" t="str">
        <f>IF([1]!BANCO10[[#This Row],[SOLUÇÃO]]=BZ$1,[1]!BANCO10[[#This Row],[STATUS DA ETAPA]],"")</f>
        <v/>
      </c>
      <c r="CA286" s="21" t="str">
        <f>IF([1]!BANCO10[[#This Row],[SOLUÇÃO]]=CA$1,[1]!BANCO10[[#This Row],[STATUS DA ETAPA]],"")</f>
        <v/>
      </c>
      <c r="CB286" s="21" t="str">
        <f>IF([1]!BANCO10[[#This Row],[SOLUÇÃO]]=CB$1,[1]!BANCO10[[#This Row],[STATUS DA ETAPA]],"")</f>
        <v/>
      </c>
      <c r="CC286" s="21" t="str">
        <f>IF([1]!BANCO10[[#This Row],[SOLUÇÃO]]=CC$1,[1]!BANCO10[[#This Row],[STATUS DA ETAPA]],"")</f>
        <v/>
      </c>
      <c r="CD286" s="21" t="str">
        <f>IF([1]!BANCO10[[#This Row],[SOLUÇÃO]]=CD$1,[1]!BANCO10[[#This Row],[STATUS DA ETAPA]],"")</f>
        <v/>
      </c>
      <c r="CE286" s="21" t="str">
        <f>IF([1]!BANCO10[[#This Row],[SOLUÇÃO]]=CE$1,[1]!BANCO10[[#This Row],[STATUS DA ETAPA]],"")</f>
        <v/>
      </c>
      <c r="CF286" s="21" t="str">
        <f>IF([1]!BANCO10[[#This Row],[SOLUÇÃO]]=CF$1,[1]!BANCO10[[#This Row],[STATUS DA ETAPA]],"")</f>
        <v/>
      </c>
      <c r="CG286" s="21" t="str">
        <f>IF([1]!BANCO10[[#This Row],[SOLUÇÃO]]=CG$1,[1]!BANCO10[[#This Row],[STATUS DA ETAPA]],"")</f>
        <v/>
      </c>
      <c r="CH286" s="21" t="str">
        <f>IF([1]!BANCO10[[#This Row],[SOLUÇÃO]]=CH$1,[1]!BANCO10[[#This Row],[STATUS DA ETAPA]],"")</f>
        <v/>
      </c>
      <c r="CI286" s="21" t="str">
        <f>IF([1]!BANCO10[[#This Row],[SOLUÇÃO]]=CI$1,[1]!BANCO10[[#This Row],[STATUS DA ETAPA]],"")</f>
        <v/>
      </c>
      <c r="CJ286" s="21" t="str">
        <f>IF([1]!BANCO10[[#This Row],[SOLUÇÃO]]=CJ$1,[1]!BANCO10[[#This Row],[STATUS DA ETAPA]],"")</f>
        <v/>
      </c>
      <c r="CK286" s="21" t="str">
        <f>IF([1]!BANCO10[[#This Row],[SOLUÇÃO]]=CK$1,[1]!BANCO10[[#This Row],[STATUS DA ETAPA]],"")</f>
        <v/>
      </c>
      <c r="CL286" s="21" t="str">
        <f>IF([1]!BANCO10[[#This Row],[SOLUÇÃO]]=CL$1,[1]!BANCO10[[#This Row],[STATUS DA ETAPA]],"")</f>
        <v/>
      </c>
      <c r="CM286" s="21" t="str">
        <f>IF([1]!BANCO10[[#This Row],[SOLUÇÃO]]=CM$1,[1]!BANCO10[[#This Row],[STATUS DA ETAPA]],"")</f>
        <v/>
      </c>
      <c r="CN286" s="21" t="str">
        <f>IF([1]!BANCO10[[#This Row],[SOLUÇÃO]]=CN$1,[1]!BANCO10[[#This Row],[STATUS DA ETAPA]],"")</f>
        <v/>
      </c>
      <c r="CO286" s="21" t="str">
        <f>IF([1]!BANCO10[[#This Row],[SOLUÇÃO]]=CO$1,[1]!BANCO10[[#This Row],[STATUS DA ETAPA]],"")</f>
        <v>CONCLUÍDO</v>
      </c>
      <c r="CP286" s="21" t="str">
        <f>IF([1]!BANCO10[[#This Row],[SOLUÇÃO]]=CP$1,[1]!BANCO10[[#This Row],[STATUS DA ETAPA]],"")</f>
        <v/>
      </c>
      <c r="CQ286" s="21" t="str">
        <f>IF([1]!BANCO10[[#This Row],[SOLUÇÃO]]=CQ$1,[1]!BANCO10[[#This Row],[STATUS DA ETAPA]],"")</f>
        <v/>
      </c>
      <c r="CR286" s="21" t="str">
        <f>IF([1]!BANCO10[[#This Row],[SOLUÇÃO]]=CR$1,[1]!BANCO10[[#This Row],[STATUS DA ETAPA]],"")</f>
        <v/>
      </c>
      <c r="CS286" s="21" t="str">
        <f>IF([1]!BANCO10[[#This Row],[SOLUÇÃO]]=CS$1,[1]!BANCO10[[#This Row],[STATUS DA ETAPA]],"")</f>
        <v/>
      </c>
      <c r="CT286" s="21" t="str">
        <f>IF([1]!BANCO10[[#This Row],[SOLUÇÃO]]=CT$1,[1]!BANCO10[[#This Row],[STATUS DA ETAPA]],"")</f>
        <v/>
      </c>
      <c r="CU286" s="21" t="str">
        <f>IF([1]!BANCO10[[#This Row],[SOLUÇÃO]]=CU$1,[1]!BANCO10[[#This Row],[STATUS DA ETAPA]],"")</f>
        <v/>
      </c>
      <c r="CV286" s="21" t="str">
        <f>IF([1]!BANCO10[[#This Row],[SOLUÇÃO]]=CV$1,[1]!BANCO10[[#This Row],[STATUS DA ETAPA]],"")</f>
        <v/>
      </c>
    </row>
    <row r="287" spans="1:100">
      <c r="A287" s="44" t="s">
        <v>1</v>
      </c>
      <c r="B287" s="44"/>
      <c r="C287" s="44" t="s">
        <v>1</v>
      </c>
      <c r="D287" s="44"/>
      <c r="E287" s="44" t="s">
        <v>1</v>
      </c>
      <c r="F287" s="44"/>
      <c r="G287" s="44" t="s">
        <v>1</v>
      </c>
      <c r="H287" s="44"/>
      <c r="I287" s="45" t="s">
        <v>1</v>
      </c>
      <c r="J287" s="46"/>
      <c r="K287" s="45" t="s">
        <v>1</v>
      </c>
      <c r="L287" s="33"/>
      <c r="M287" s="45" t="s">
        <v>1</v>
      </c>
      <c r="N287" s="33"/>
      <c r="O287" s="44" t="s">
        <v>1</v>
      </c>
      <c r="P287" s="44"/>
      <c r="Q287" s="44" t="s">
        <v>1</v>
      </c>
      <c r="R287" s="44"/>
      <c r="S287" s="44" t="s">
        <v>1</v>
      </c>
      <c r="T287" s="44"/>
      <c r="U287" s="44" t="s">
        <v>1</v>
      </c>
      <c r="V287" s="44"/>
      <c r="W287" s="44" t="s">
        <v>1</v>
      </c>
      <c r="X287" s="44"/>
      <c r="Y287" s="44" t="s">
        <v>1</v>
      </c>
      <c r="Z287" s="44"/>
      <c r="AA287" s="44" t="s">
        <v>1</v>
      </c>
      <c r="AB287" s="44"/>
      <c r="AC287" s="84">
        <v>45531</v>
      </c>
      <c r="AD287" s="83">
        <v>45531</v>
      </c>
      <c r="AE287" s="41" t="s">
        <v>1</v>
      </c>
      <c r="AF287" s="41" t="s">
        <v>1</v>
      </c>
      <c r="AG287" s="40" t="s">
        <v>5</v>
      </c>
      <c r="AH287" s="36" t="s">
        <v>1</v>
      </c>
      <c r="AI287" s="49">
        <v>0</v>
      </c>
      <c r="AJ287" s="36" t="s">
        <v>1</v>
      </c>
      <c r="AK287" s="10" t="s">
        <v>1</v>
      </c>
      <c r="AL287" s="36" t="s">
        <v>1</v>
      </c>
      <c r="AM287" s="36" t="s">
        <v>1</v>
      </c>
      <c r="AN287" s="35" t="s">
        <v>1</v>
      </c>
      <c r="AO287" s="35" t="s">
        <v>1</v>
      </c>
      <c r="AP287" s="35" t="s">
        <v>1</v>
      </c>
      <c r="AQ287" s="35" t="s">
        <v>1</v>
      </c>
      <c r="AR287" s="90" t="s">
        <v>1</v>
      </c>
      <c r="AS287" s="89"/>
      <c r="AT287" s="88"/>
      <c r="AU287" s="25"/>
      <c r="AV287" s="88"/>
      <c r="AW287" s="25"/>
      <c r="AX287" s="88" t="s">
        <v>1</v>
      </c>
      <c r="AY287" s="25"/>
      <c r="AZ287" s="88" t="s">
        <v>1</v>
      </c>
      <c r="BA287" s="25"/>
      <c r="BB287" s="39"/>
      <c r="BC287" s="25"/>
      <c r="BD287" s="24"/>
      <c r="BE287" s="24"/>
      <c r="BF287" s="79"/>
      <c r="BG287" s="79"/>
      <c r="BH287" s="80"/>
      <c r="BI287" s="79"/>
      <c r="BJ287" s="54"/>
      <c r="BK287" s="78"/>
      <c r="BL287" s="69">
        <v>45390</v>
      </c>
      <c r="BM287" s="78"/>
      <c r="BN287" s="78" t="s">
        <v>11</v>
      </c>
      <c r="BO287" s="78"/>
      <c r="BP287" s="78" t="s">
        <v>44</v>
      </c>
      <c r="BQ287" s="21">
        <f>YEAR([1]!BANCO10[[#This Row],[DATA INÍCIO]])</f>
        <v>2024</v>
      </c>
      <c r="BR287" s="21">
        <f>MONTH([1]!BANCO10[[#This Row],[DATA INÍCIO]])</f>
        <v>8</v>
      </c>
      <c r="BS287" s="21" t="e">
        <f>CONCATENATE(#REF!,#REF!)</f>
        <v>#REF!</v>
      </c>
      <c r="BT287" s="21"/>
      <c r="BU287" s="21" t="s">
        <v>603</v>
      </c>
      <c r="BV287" s="21" t="str">
        <f>IF([1]!BANCO10[[#This Row],[SOLUÇÃO]]=BV$1,[1]!BANCO10[[#This Row],[STATUS DA ETAPA]],"")</f>
        <v>CONCLUÍDO</v>
      </c>
      <c r="BW287" s="21" t="str">
        <f>IF([1]!BANCO10[[#This Row],[SOLUÇÃO]]=BW$1,[1]!BANCO10[[#This Row],[STATUS DA ETAPA]],"")</f>
        <v/>
      </c>
      <c r="BX287" s="21" t="str">
        <f>IF([1]!BANCO10[[#This Row],[SOLUÇÃO]]=BX$1,[1]!BANCO10[[#This Row],[STATUS DA ETAPA]],"")</f>
        <v/>
      </c>
      <c r="BY287" s="21" t="str">
        <f>IF([1]!BANCO10[[#This Row],[SOLUÇÃO]]=BY$1,[1]!BANCO10[[#This Row],[STATUS DA ETAPA]],"")</f>
        <v/>
      </c>
      <c r="BZ287" s="21" t="str">
        <f>IF([1]!BANCO10[[#This Row],[SOLUÇÃO]]=BZ$1,[1]!BANCO10[[#This Row],[STATUS DA ETAPA]],"")</f>
        <v/>
      </c>
      <c r="CA287" s="21" t="str">
        <f>IF([1]!BANCO10[[#This Row],[SOLUÇÃO]]=CA$1,[1]!BANCO10[[#This Row],[STATUS DA ETAPA]],"")</f>
        <v/>
      </c>
      <c r="CB287" s="21" t="str">
        <f>IF([1]!BANCO10[[#This Row],[SOLUÇÃO]]=CB$1,[1]!BANCO10[[#This Row],[STATUS DA ETAPA]],"")</f>
        <v/>
      </c>
      <c r="CC287" s="21" t="str">
        <f>IF([1]!BANCO10[[#This Row],[SOLUÇÃO]]=CC$1,[1]!BANCO10[[#This Row],[STATUS DA ETAPA]],"")</f>
        <v/>
      </c>
      <c r="CD287" s="21" t="str">
        <f>IF([1]!BANCO10[[#This Row],[SOLUÇÃO]]=CD$1,[1]!BANCO10[[#This Row],[STATUS DA ETAPA]],"")</f>
        <v/>
      </c>
      <c r="CE287" s="21" t="str">
        <f>IF([1]!BANCO10[[#This Row],[SOLUÇÃO]]=CE$1,[1]!BANCO10[[#This Row],[STATUS DA ETAPA]],"")</f>
        <v/>
      </c>
      <c r="CF287" s="21" t="str">
        <f>IF([1]!BANCO10[[#This Row],[SOLUÇÃO]]=CF$1,[1]!BANCO10[[#This Row],[STATUS DA ETAPA]],"")</f>
        <v/>
      </c>
      <c r="CG287" s="21" t="str">
        <f>IF([1]!BANCO10[[#This Row],[SOLUÇÃO]]=CG$1,[1]!BANCO10[[#This Row],[STATUS DA ETAPA]],"")</f>
        <v/>
      </c>
      <c r="CH287" s="21" t="str">
        <f>IF([1]!BANCO10[[#This Row],[SOLUÇÃO]]=CH$1,[1]!BANCO10[[#This Row],[STATUS DA ETAPA]],"")</f>
        <v/>
      </c>
      <c r="CI287" s="21" t="str">
        <f>IF([1]!BANCO10[[#This Row],[SOLUÇÃO]]=CI$1,[1]!BANCO10[[#This Row],[STATUS DA ETAPA]],"")</f>
        <v/>
      </c>
      <c r="CJ287" s="21" t="str">
        <f>IF([1]!BANCO10[[#This Row],[SOLUÇÃO]]=CJ$1,[1]!BANCO10[[#This Row],[STATUS DA ETAPA]],"")</f>
        <v/>
      </c>
      <c r="CK287" s="21" t="str">
        <f>IF([1]!BANCO10[[#This Row],[SOLUÇÃO]]=CK$1,[1]!BANCO10[[#This Row],[STATUS DA ETAPA]],"")</f>
        <v/>
      </c>
      <c r="CL287" s="22" t="str">
        <f>IF([1]!BANCO10[[#This Row],[SOLUÇÃO]]=CL$1,[1]!BANCO10[[#This Row],[STATUS DA ETAPA]],"")</f>
        <v/>
      </c>
      <c r="CM287" s="64" t="str">
        <f>IF([1]!BANCO10[[#This Row],[SOLUÇÃO]]=CM$1,[1]!BANCO10[[#This Row],[STATUS DA ETAPA]],"")</f>
        <v/>
      </c>
      <c r="CN287" s="64" t="str">
        <f>IF([1]!BANCO10[[#This Row],[SOLUÇÃO]]=CN$1,[1]!BANCO10[[#This Row],[STATUS DA ETAPA]],"")</f>
        <v/>
      </c>
      <c r="CO287" s="64" t="str">
        <f>IF([1]!BANCO10[[#This Row],[SOLUÇÃO]]=CO$1,[1]!BANCO10[[#This Row],[STATUS DA ETAPA]],"")</f>
        <v/>
      </c>
      <c r="CP287" s="64" t="str">
        <f>IF([1]!BANCO10[[#This Row],[SOLUÇÃO]]=CP$1,[1]!BANCO10[[#This Row],[STATUS DA ETAPA]],"")</f>
        <v/>
      </c>
      <c r="CQ287" s="64" t="str">
        <f>IF([1]!BANCO10[[#This Row],[SOLUÇÃO]]=CQ$1,[1]!BANCO10[[#This Row],[STATUS DA ETAPA]],"")</f>
        <v/>
      </c>
      <c r="CR287" s="64" t="str">
        <f>IF([1]!BANCO10[[#This Row],[SOLUÇÃO]]=CR$1,[1]!BANCO10[[#This Row],[STATUS DA ETAPA]],"")</f>
        <v/>
      </c>
      <c r="CS287" s="64" t="str">
        <f>IF([1]!BANCO10[[#This Row],[SOLUÇÃO]]=CS$1,[1]!BANCO10[[#This Row],[STATUS DA ETAPA]],"")</f>
        <v/>
      </c>
      <c r="CT287" s="64" t="str">
        <f>IF([1]!BANCO10[[#This Row],[SOLUÇÃO]]=CT$1,[1]!BANCO10[[#This Row],[STATUS DA ETAPA]],"")</f>
        <v/>
      </c>
      <c r="CU287" s="64" t="str">
        <f>IF([1]!BANCO10[[#This Row],[SOLUÇÃO]]=CU$1,[1]!BANCO10[[#This Row],[STATUS DA ETAPA]],"")</f>
        <v/>
      </c>
      <c r="CV287" s="64" t="str">
        <f>IF([1]!BANCO10[[#This Row],[SOLUÇÃO]]=CV$1,[1]!BANCO10[[#This Row],[STATUS DA ETAPA]],"")</f>
        <v/>
      </c>
    </row>
    <row r="288" spans="1:100">
      <c r="A288" s="44" t="s">
        <v>1</v>
      </c>
      <c r="B288" s="44"/>
      <c r="C288" s="44" t="s">
        <v>1</v>
      </c>
      <c r="D288" s="44"/>
      <c r="E288" s="44" t="s">
        <v>1</v>
      </c>
      <c r="F288" s="44"/>
      <c r="G288" s="44" t="s">
        <v>1</v>
      </c>
      <c r="H288" s="44"/>
      <c r="I288" s="45" t="s">
        <v>1</v>
      </c>
      <c r="J288" s="46"/>
      <c r="K288" s="45" t="s">
        <v>1</v>
      </c>
      <c r="L288" s="33"/>
      <c r="M288" s="45" t="s">
        <v>1</v>
      </c>
      <c r="N288" s="33"/>
      <c r="O288" s="44" t="s">
        <v>1</v>
      </c>
      <c r="P288" s="44"/>
      <c r="Q288" s="44" t="s">
        <v>1</v>
      </c>
      <c r="R288" s="44"/>
      <c r="S288" s="44" t="s">
        <v>1</v>
      </c>
      <c r="T288" s="44"/>
      <c r="U288" s="44" t="s">
        <v>1</v>
      </c>
      <c r="V288" s="44"/>
      <c r="W288" s="44" t="s">
        <v>1</v>
      </c>
      <c r="X288" s="44"/>
      <c r="Y288" s="44" t="s">
        <v>1</v>
      </c>
      <c r="Z288" s="44"/>
      <c r="AA288" s="44" t="s">
        <v>1</v>
      </c>
      <c r="AB288" s="44"/>
      <c r="AC288" s="84">
        <v>45636</v>
      </c>
      <c r="AD288" s="83">
        <v>45636</v>
      </c>
      <c r="AE288" s="41" t="s">
        <v>1</v>
      </c>
      <c r="AF288" s="41" t="s">
        <v>1</v>
      </c>
      <c r="AG288" s="40" t="s">
        <v>4</v>
      </c>
      <c r="AH288" s="36" t="s">
        <v>0</v>
      </c>
      <c r="AI288" s="49">
        <v>0</v>
      </c>
      <c r="AJ288" s="36" t="s">
        <v>1</v>
      </c>
      <c r="AK288" s="10" t="s">
        <v>1</v>
      </c>
      <c r="AL288" s="36" t="s">
        <v>1</v>
      </c>
      <c r="AM288" s="36" t="s">
        <v>1</v>
      </c>
      <c r="AN288" s="35" t="s">
        <v>1</v>
      </c>
      <c r="AO288" s="35" t="s">
        <v>1</v>
      </c>
      <c r="AP288" s="35" t="s">
        <v>1</v>
      </c>
      <c r="AQ288" s="35" t="s">
        <v>2</v>
      </c>
      <c r="AR288" s="33" t="s">
        <v>0</v>
      </c>
      <c r="AS288" s="33"/>
      <c r="AT288" s="30" t="s">
        <v>0</v>
      </c>
      <c r="AU288" s="31"/>
      <c r="AV288" s="30" t="s">
        <v>0</v>
      </c>
      <c r="AW288" s="31"/>
      <c r="AX288" s="30" t="s">
        <v>0</v>
      </c>
      <c r="AY288" s="29"/>
      <c r="AZ288" s="28" t="s">
        <v>0</v>
      </c>
      <c r="BA288" s="81"/>
      <c r="BB288" s="26"/>
      <c r="BC288" s="25"/>
      <c r="BD288" s="24"/>
      <c r="BE288" s="24"/>
      <c r="BF288" s="24"/>
      <c r="BG288" s="24"/>
      <c r="BH288" s="24"/>
      <c r="BI288" s="24"/>
      <c r="BJ288" s="24"/>
      <c r="BK288" s="24"/>
      <c r="BL288" s="24"/>
      <c r="BM288" s="24"/>
      <c r="BN288" s="24"/>
      <c r="BO288" s="24"/>
      <c r="BP288" s="24"/>
      <c r="BQ288" s="22">
        <f>YEAR([1]!BANCO10[[#This Row],[DATA INÍCIO]])</f>
        <v>2024</v>
      </c>
      <c r="BR288" s="22">
        <f>MONTH([1]!BANCO10[[#This Row],[DATA INÍCIO]])</f>
        <v>12</v>
      </c>
      <c r="BS288" s="23" t="e">
        <f>CONCATENATE(#REF!,#REF!)</f>
        <v>#REF!</v>
      </c>
      <c r="BT288" s="22"/>
      <c r="BU288" s="22"/>
      <c r="BV288" s="21" t="str">
        <f>IF([1]!BANCO10[[#This Row],[SOLUÇÃO]]=BV$1,[1]!BANCO10[[#This Row],[STATUS DA ETAPA]],"")</f>
        <v/>
      </c>
      <c r="BW288" s="21" t="str">
        <f>IF([1]!BANCO10[[#This Row],[SOLUÇÃO]]=BW$1,[1]!BANCO10[[#This Row],[STATUS DA ETAPA]],"")</f>
        <v/>
      </c>
      <c r="BX288" s="21" t="str">
        <f>IF([1]!BANCO10[[#This Row],[SOLUÇÃO]]=BX$1,[1]!BANCO10[[#This Row],[STATUS DA ETAPA]],"")</f>
        <v/>
      </c>
      <c r="BY288" s="21" t="str">
        <f>IF([1]!BANCO10[[#This Row],[SOLUÇÃO]]=BY$1,[1]!BANCO10[[#This Row],[STATUS DA ETAPA]],"")</f>
        <v/>
      </c>
      <c r="BZ288" s="21" t="str">
        <f>IF([1]!BANCO10[[#This Row],[SOLUÇÃO]]=BZ$1,[1]!BANCO10[[#This Row],[STATUS DA ETAPA]],"")</f>
        <v/>
      </c>
      <c r="CA288" s="21" t="str">
        <f>IF([1]!BANCO10[[#This Row],[SOLUÇÃO]]=CA$1,[1]!BANCO10[[#This Row],[STATUS DA ETAPA]],"")</f>
        <v/>
      </c>
      <c r="CB288" s="21" t="str">
        <f>IF([1]!BANCO10[[#This Row],[SOLUÇÃO]]=CB$1,[1]!BANCO10[[#This Row],[STATUS DA ETAPA]],"")</f>
        <v/>
      </c>
      <c r="CC288" s="21" t="str">
        <f>IF([1]!BANCO10[[#This Row],[SOLUÇÃO]]=CC$1,[1]!BANCO10[[#This Row],[STATUS DA ETAPA]],"")</f>
        <v/>
      </c>
      <c r="CD288" s="21" t="str">
        <f>IF([1]!BANCO10[[#This Row],[SOLUÇÃO]]=CD$1,[1]!BANCO10[[#This Row],[STATUS DA ETAPA]],"")</f>
        <v/>
      </c>
      <c r="CE288" s="21" t="str">
        <f>IF([1]!BANCO10[[#This Row],[SOLUÇÃO]]=CE$1,[1]!BANCO10[[#This Row],[STATUS DA ETAPA]],"")</f>
        <v/>
      </c>
      <c r="CF288" s="21" t="str">
        <f>IF([1]!BANCO10[[#This Row],[SOLUÇÃO]]=CF$1,[1]!BANCO10[[#This Row],[STATUS DA ETAPA]],"")</f>
        <v/>
      </c>
      <c r="CG288" s="21" t="str">
        <f>IF([1]!BANCO10[[#This Row],[SOLUÇÃO]]=CG$1,[1]!BANCO10[[#This Row],[STATUS DA ETAPA]],"")</f>
        <v/>
      </c>
      <c r="CH288" s="21" t="str">
        <f>IF([1]!BANCO10[[#This Row],[SOLUÇÃO]]=CH$1,[1]!BANCO10[[#This Row],[STATUS DA ETAPA]],"")</f>
        <v/>
      </c>
      <c r="CI288" s="21" t="str">
        <f>IF([1]!BANCO10[[#This Row],[SOLUÇÃO]]=CI$1,[1]!BANCO10[[#This Row],[STATUS DA ETAPA]],"")</f>
        <v/>
      </c>
      <c r="CJ288" s="21" t="str">
        <f>IF([1]!BANCO10[[#This Row],[SOLUÇÃO]]=CJ$1,[1]!BANCO10[[#This Row],[STATUS DA ETAPA]],"")</f>
        <v/>
      </c>
      <c r="CK288" s="21" t="str">
        <f>IF([1]!BANCO10[[#This Row],[SOLUÇÃO]]=CK$1,[1]!BANCO10[[#This Row],[STATUS DA ETAPA]],"")</f>
        <v/>
      </c>
      <c r="CL288" s="21" t="str">
        <f>IF([1]!BANCO10[[#This Row],[SOLUÇÃO]]=CL$1,[1]!BANCO10[[#This Row],[STATUS DA ETAPA]],"")</f>
        <v/>
      </c>
      <c r="CM288" s="21" t="str">
        <f>IF([1]!BANCO10[[#This Row],[SOLUÇÃO]]=CM$1,[1]!BANCO10[[#This Row],[STATUS DA ETAPA]],"")</f>
        <v/>
      </c>
      <c r="CN288" s="21" t="str">
        <f>IF([1]!BANCO10[[#This Row],[SOLUÇÃO]]=CN$1,[1]!BANCO10[[#This Row],[STATUS DA ETAPA]],"")</f>
        <v/>
      </c>
      <c r="CO288" s="21" t="str">
        <f>IF([1]!BANCO10[[#This Row],[SOLUÇÃO]]=CO$1,[1]!BANCO10[[#This Row],[STATUS DA ETAPA]],"")</f>
        <v/>
      </c>
      <c r="CP288" s="21" t="str">
        <f>IF([1]!BANCO10[[#This Row],[SOLUÇÃO]]=CP$1,[1]!BANCO10[[#This Row],[STATUS DA ETAPA]],"")</f>
        <v/>
      </c>
      <c r="CQ288" s="21" t="str">
        <f>IF([1]!BANCO10[[#This Row],[SOLUÇÃO]]=CQ$1,[1]!BANCO10[[#This Row],[STATUS DA ETAPA]],"")</f>
        <v/>
      </c>
      <c r="CR288" s="21" t="str">
        <f>IF([1]!BANCO10[[#This Row],[SOLUÇÃO]]=CR$1,[1]!BANCO10[[#This Row],[STATUS DA ETAPA]],"")</f>
        <v/>
      </c>
      <c r="CS288" s="21" t="str">
        <f>IF([1]!BANCO10[[#This Row],[SOLUÇÃO]]=CS$1,[1]!BANCO10[[#This Row],[STATUS DA ETAPA]],"")</f>
        <v/>
      </c>
      <c r="CT288" s="21" t="str">
        <f>IF([1]!BANCO10[[#This Row],[SOLUÇÃO]]=CT$1,[1]!BANCO10[[#This Row],[STATUS DA ETAPA]],"")</f>
        <v/>
      </c>
      <c r="CU288" s="21" t="str">
        <f>IF([1]!BANCO10[[#This Row],[SOLUÇÃO]]=CU$1,[1]!BANCO10[[#This Row],[STATUS DA ETAPA]],"")</f>
        <v/>
      </c>
      <c r="CV288" s="21" t="str">
        <f>IF([1]!BANCO10[[#This Row],[SOLUÇÃO]]=CV$1,[1]!BANCO10[[#This Row],[STATUS DA ETAPA]],"")</f>
        <v/>
      </c>
    </row>
    <row r="289" spans="1:100">
      <c r="A289" s="44" t="s">
        <v>1</v>
      </c>
      <c r="B289" s="44"/>
      <c r="C289" s="44" t="s">
        <v>1</v>
      </c>
      <c r="D289" s="44"/>
      <c r="E289" s="44" t="s">
        <v>1</v>
      </c>
      <c r="F289" s="44"/>
      <c r="G289" s="44" t="s">
        <v>1</v>
      </c>
      <c r="H289" s="44"/>
      <c r="I289" s="45" t="s">
        <v>1</v>
      </c>
      <c r="J289" s="46"/>
      <c r="K289" s="45" t="s">
        <v>1</v>
      </c>
      <c r="L289" s="33"/>
      <c r="M289" s="45" t="s">
        <v>1</v>
      </c>
      <c r="N289" s="33"/>
      <c r="O289" s="44" t="s">
        <v>2</v>
      </c>
      <c r="P289" s="44">
        <v>45531</v>
      </c>
      <c r="Q289" s="44" t="s">
        <v>2</v>
      </c>
      <c r="R289" s="44">
        <v>45534</v>
      </c>
      <c r="S289" s="44" t="s">
        <v>2</v>
      </c>
      <c r="T289" s="44">
        <v>45536</v>
      </c>
      <c r="U289" s="44" t="s">
        <v>1</v>
      </c>
      <c r="V289" s="44"/>
      <c r="W289" s="44" t="s">
        <v>1</v>
      </c>
      <c r="X289" s="44"/>
      <c r="Y289" s="44" t="s">
        <v>1</v>
      </c>
      <c r="Z289" s="44"/>
      <c r="AA289" s="44" t="s">
        <v>1</v>
      </c>
      <c r="AB289" s="44"/>
      <c r="AC289" s="51">
        <v>45686</v>
      </c>
      <c r="AD289" s="50">
        <v>45793</v>
      </c>
      <c r="AE289" s="41" t="s">
        <v>2</v>
      </c>
      <c r="AF289" s="41" t="s">
        <v>2</v>
      </c>
      <c r="AG289" s="40" t="s">
        <v>5</v>
      </c>
      <c r="AH289" s="36" t="s">
        <v>0</v>
      </c>
      <c r="AI289" s="49">
        <v>0</v>
      </c>
      <c r="AJ289" s="36" t="s">
        <v>6</v>
      </c>
      <c r="AK289" s="10">
        <v>573323</v>
      </c>
      <c r="AL289" s="36" t="s">
        <v>1</v>
      </c>
      <c r="AM289" s="36" t="s">
        <v>1</v>
      </c>
      <c r="AN289" s="35" t="s">
        <v>2</v>
      </c>
      <c r="AO289" s="35" t="s">
        <v>2</v>
      </c>
      <c r="AP289" s="35" t="s">
        <v>2</v>
      </c>
      <c r="AQ289" s="35" t="s">
        <v>2</v>
      </c>
      <c r="AR289" s="34" t="s">
        <v>2</v>
      </c>
      <c r="AS289" s="33">
        <v>45803</v>
      </c>
      <c r="AT289" s="32" t="s">
        <v>1</v>
      </c>
      <c r="AU289" s="31"/>
      <c r="AV289" s="32" t="s">
        <v>1</v>
      </c>
      <c r="AW289" s="31"/>
      <c r="AX289" s="30" t="s">
        <v>2</v>
      </c>
      <c r="AY289" s="29">
        <v>45803</v>
      </c>
      <c r="AZ289" s="28" t="s">
        <v>0</v>
      </c>
      <c r="BA289" s="27"/>
      <c r="BB289" s="95" t="s">
        <v>143</v>
      </c>
      <c r="BC289" s="25" t="s">
        <v>41</v>
      </c>
      <c r="BD289" s="24"/>
      <c r="BE289" s="24"/>
      <c r="BF289" s="79"/>
      <c r="BG289" s="79"/>
      <c r="BH289" s="80"/>
      <c r="BI289" s="79"/>
      <c r="BJ289" s="54"/>
      <c r="BK289" s="78"/>
      <c r="BL289" s="69">
        <v>45390</v>
      </c>
      <c r="BM289" s="78"/>
      <c r="BN289" s="78" t="s">
        <v>11</v>
      </c>
      <c r="BO289" s="78"/>
      <c r="BP289" s="78" t="s">
        <v>44</v>
      </c>
      <c r="BQ289" s="21">
        <f>YEAR([1]!BANCO10[[#This Row],[DATA INÍCIO]])</f>
        <v>2025</v>
      </c>
      <c r="BR289" s="21">
        <f>MONTH([1]!BANCO10[[#This Row],[DATA INÍCIO]])</f>
        <v>1</v>
      </c>
      <c r="BS289" s="21" t="e">
        <f>CONCATENATE(#REF!,#REF!)</f>
        <v>#REF!</v>
      </c>
      <c r="BT289" s="21"/>
      <c r="BU289" s="21" t="s">
        <v>603</v>
      </c>
      <c r="BV289" s="21" t="str">
        <f>IF([1]!BANCO10[[#This Row],[SOLUÇÃO]]=BV$1,[1]!BANCO10[[#This Row],[STATUS DA ETAPA]],"")</f>
        <v/>
      </c>
      <c r="BW289" s="21" t="str">
        <f>IF([1]!BANCO10[[#This Row],[SOLUÇÃO]]=BW$1,[1]!BANCO10[[#This Row],[STATUS DA ETAPA]],"")</f>
        <v/>
      </c>
      <c r="BX289" s="21" t="str">
        <f>IF([1]!BANCO10[[#This Row],[SOLUÇÃO]]=BX$1,[1]!BANCO10[[#This Row],[STATUS DA ETAPA]],"")</f>
        <v/>
      </c>
      <c r="BY289" s="21" t="str">
        <f>IF([1]!BANCO10[[#This Row],[SOLUÇÃO]]=BY$1,[1]!BANCO10[[#This Row],[STATUS DA ETAPA]],"")</f>
        <v/>
      </c>
      <c r="BZ289" s="21" t="str">
        <f>IF([1]!BANCO10[[#This Row],[SOLUÇÃO]]=BZ$1,[1]!BANCO10[[#This Row],[STATUS DA ETAPA]],"")</f>
        <v/>
      </c>
      <c r="CA289" s="21" t="str">
        <f>IF([1]!BANCO10[[#This Row],[SOLUÇÃO]]=CA$1,[1]!BANCO10[[#This Row],[STATUS DA ETAPA]],"")</f>
        <v/>
      </c>
      <c r="CB289" s="21" t="str">
        <f>IF([1]!BANCO10[[#This Row],[SOLUÇÃO]]=CB$1,[1]!BANCO10[[#This Row],[STATUS DA ETAPA]],"")</f>
        <v>CONCLUÍDO</v>
      </c>
      <c r="CC289" s="21" t="str">
        <f>IF([1]!BANCO10[[#This Row],[SOLUÇÃO]]=CC$1,[1]!BANCO10[[#This Row],[STATUS DA ETAPA]],"")</f>
        <v/>
      </c>
      <c r="CD289" s="21" t="str">
        <f>IF([1]!BANCO10[[#This Row],[SOLUÇÃO]]=CD$1,[1]!BANCO10[[#This Row],[STATUS DA ETAPA]],"")</f>
        <v/>
      </c>
      <c r="CE289" s="21" t="str">
        <f>IF([1]!BANCO10[[#This Row],[SOLUÇÃO]]=CE$1,[1]!BANCO10[[#This Row],[STATUS DA ETAPA]],"")</f>
        <v/>
      </c>
      <c r="CF289" s="21" t="str">
        <f>IF([1]!BANCO10[[#This Row],[SOLUÇÃO]]=CF$1,[1]!BANCO10[[#This Row],[STATUS DA ETAPA]],"")</f>
        <v/>
      </c>
      <c r="CG289" s="21" t="str">
        <f>IF([1]!BANCO10[[#This Row],[SOLUÇÃO]]=CG$1,[1]!BANCO10[[#This Row],[STATUS DA ETAPA]],"")</f>
        <v/>
      </c>
      <c r="CH289" s="21" t="str">
        <f>IF([1]!BANCO10[[#This Row],[SOLUÇÃO]]=CH$1,[1]!BANCO10[[#This Row],[STATUS DA ETAPA]],"")</f>
        <v/>
      </c>
      <c r="CI289" s="21" t="str">
        <f>IF([1]!BANCO10[[#This Row],[SOLUÇÃO]]=CI$1,[1]!BANCO10[[#This Row],[STATUS DA ETAPA]],"")</f>
        <v/>
      </c>
      <c r="CJ289" s="21" t="str">
        <f>IF([1]!BANCO10[[#This Row],[SOLUÇÃO]]=CJ$1,[1]!BANCO10[[#This Row],[STATUS DA ETAPA]],"")</f>
        <v/>
      </c>
      <c r="CK289" s="21" t="str">
        <f>IF([1]!BANCO10[[#This Row],[SOLUÇÃO]]=CK$1,[1]!BANCO10[[#This Row],[STATUS DA ETAPA]],"")</f>
        <v/>
      </c>
      <c r="CL289" s="22" t="str">
        <f>IF([1]!BANCO10[[#This Row],[SOLUÇÃO]]=CL$1,[1]!BANCO10[[#This Row],[STATUS DA ETAPA]],"")</f>
        <v/>
      </c>
      <c r="CM289" s="64" t="str">
        <f>IF([1]!BANCO10[[#This Row],[SOLUÇÃO]]=CM$1,[1]!BANCO10[[#This Row],[STATUS DA ETAPA]],"")</f>
        <v/>
      </c>
      <c r="CN289" s="64" t="str">
        <f>IF([1]!BANCO10[[#This Row],[SOLUÇÃO]]=CN$1,[1]!BANCO10[[#This Row],[STATUS DA ETAPA]],"")</f>
        <v/>
      </c>
      <c r="CO289" s="64" t="str">
        <f>IF([1]!BANCO10[[#This Row],[SOLUÇÃO]]=CO$1,[1]!BANCO10[[#This Row],[STATUS DA ETAPA]],"")</f>
        <v/>
      </c>
      <c r="CP289" s="64" t="str">
        <f>IF([1]!BANCO10[[#This Row],[SOLUÇÃO]]=CP$1,[1]!BANCO10[[#This Row],[STATUS DA ETAPA]],"")</f>
        <v/>
      </c>
      <c r="CQ289" s="64" t="str">
        <f>IF([1]!BANCO10[[#This Row],[SOLUÇÃO]]=CQ$1,[1]!BANCO10[[#This Row],[STATUS DA ETAPA]],"")</f>
        <v/>
      </c>
      <c r="CR289" s="64" t="str">
        <f>IF([1]!BANCO10[[#This Row],[SOLUÇÃO]]=CR$1,[1]!BANCO10[[#This Row],[STATUS DA ETAPA]],"")</f>
        <v/>
      </c>
      <c r="CS289" s="64" t="str">
        <f>IF([1]!BANCO10[[#This Row],[SOLUÇÃO]]=CS$1,[1]!BANCO10[[#This Row],[STATUS DA ETAPA]],"")</f>
        <v/>
      </c>
      <c r="CT289" s="64" t="str">
        <f>IF([1]!BANCO10[[#This Row],[SOLUÇÃO]]=CT$1,[1]!BANCO10[[#This Row],[STATUS DA ETAPA]],"")</f>
        <v/>
      </c>
      <c r="CU289" s="64" t="str">
        <f>IF([1]!BANCO10[[#This Row],[SOLUÇÃO]]=CU$1,[1]!BANCO10[[#This Row],[STATUS DA ETAPA]],"")</f>
        <v/>
      </c>
      <c r="CV289" s="64" t="str">
        <f>IF([1]!BANCO10[[#This Row],[SOLUÇÃO]]=CV$1,[1]!BANCO10[[#This Row],[STATUS DA ETAPA]],"")</f>
        <v/>
      </c>
    </row>
    <row r="290" spans="1:100">
      <c r="A290" s="44" t="s">
        <v>1</v>
      </c>
      <c r="B290" s="44"/>
      <c r="C290" s="44" t="s">
        <v>1</v>
      </c>
      <c r="D290" s="44"/>
      <c r="E290" s="44" t="s">
        <v>1</v>
      </c>
      <c r="F290" s="44"/>
      <c r="G290" s="44" t="s">
        <v>1</v>
      </c>
      <c r="H290" s="44"/>
      <c r="I290" s="45" t="s">
        <v>1</v>
      </c>
      <c r="J290" s="46"/>
      <c r="K290" s="45" t="s">
        <v>1</v>
      </c>
      <c r="L290" s="33"/>
      <c r="M290" s="45" t="s">
        <v>1</v>
      </c>
      <c r="N290" s="33"/>
      <c r="O290" s="44" t="s">
        <v>1</v>
      </c>
      <c r="P290" s="44"/>
      <c r="Q290" s="44" t="s">
        <v>1</v>
      </c>
      <c r="R290" s="44"/>
      <c r="S290" s="44" t="s">
        <v>1</v>
      </c>
      <c r="T290" s="44"/>
      <c r="U290" s="44" t="s">
        <v>1</v>
      </c>
      <c r="V290" s="44"/>
      <c r="W290" s="44" t="s">
        <v>1</v>
      </c>
      <c r="X290" s="44"/>
      <c r="Y290" s="44" t="s">
        <v>1</v>
      </c>
      <c r="Z290" s="44"/>
      <c r="AA290" s="44" t="s">
        <v>1</v>
      </c>
      <c r="AB290" s="44"/>
      <c r="AC290" s="51">
        <v>45807</v>
      </c>
      <c r="AD290" s="50">
        <v>45807</v>
      </c>
      <c r="AE290" s="41" t="s">
        <v>1</v>
      </c>
      <c r="AF290" s="41" t="s">
        <v>1</v>
      </c>
      <c r="AG290" s="40" t="s">
        <v>4</v>
      </c>
      <c r="AH290" s="36" t="s">
        <v>0</v>
      </c>
      <c r="AI290" s="49">
        <v>0</v>
      </c>
      <c r="AJ290" s="36" t="s">
        <v>1</v>
      </c>
      <c r="AK290" s="10" t="s">
        <v>1</v>
      </c>
      <c r="AL290" s="36" t="s">
        <v>1</v>
      </c>
      <c r="AM290" s="36" t="s">
        <v>1</v>
      </c>
      <c r="AN290" s="35" t="s">
        <v>1</v>
      </c>
      <c r="AO290" s="35" t="s">
        <v>1</v>
      </c>
      <c r="AP290" s="35" t="s">
        <v>1</v>
      </c>
      <c r="AQ290" s="35" t="s">
        <v>2</v>
      </c>
      <c r="AR290" s="34" t="s">
        <v>0</v>
      </c>
      <c r="AS290" s="33"/>
      <c r="AT290" s="30" t="s">
        <v>0</v>
      </c>
      <c r="AU290" s="31"/>
      <c r="AV290" s="30" t="s">
        <v>0</v>
      </c>
      <c r="AW290" s="31"/>
      <c r="AX290" s="30" t="s">
        <v>0</v>
      </c>
      <c r="AY290" s="29"/>
      <c r="AZ290" s="28" t="s">
        <v>0</v>
      </c>
      <c r="BA290" s="27"/>
      <c r="BB290" s="26"/>
      <c r="BC290" s="25"/>
      <c r="BD290" s="24"/>
      <c r="BE290" s="24"/>
      <c r="BF290" s="24"/>
      <c r="BG290" s="24"/>
      <c r="BH290" s="24"/>
      <c r="BI290" s="24"/>
      <c r="BJ290" s="24"/>
      <c r="BK290" s="24"/>
      <c r="BL290" s="24"/>
      <c r="BM290" s="24"/>
      <c r="BN290" s="24"/>
      <c r="BO290" s="24"/>
      <c r="BP290" s="24"/>
      <c r="BQ290" s="22">
        <f>YEAR([1]!BANCO10[[#This Row],[DATA INÍCIO]])</f>
        <v>2025</v>
      </c>
      <c r="BR290" s="22">
        <f>MONTH([1]!BANCO10[[#This Row],[DATA INÍCIO]])</f>
        <v>5</v>
      </c>
      <c r="BS290" s="23" t="e">
        <f>CONCATENATE(#REF!,#REF!)</f>
        <v>#REF!</v>
      </c>
      <c r="BT290" s="22"/>
      <c r="BU290" s="22"/>
      <c r="BV290" s="21" t="str">
        <f>IF([1]!BANCO10[[#This Row],[SOLUÇÃO]]=BV$1,[1]!BANCO10[[#This Row],[STATUS DA ETAPA]],"")</f>
        <v/>
      </c>
      <c r="BW290" s="21" t="str">
        <f>IF([1]!BANCO10[[#This Row],[SOLUÇÃO]]=BW$1,[1]!BANCO10[[#This Row],[STATUS DA ETAPA]],"")</f>
        <v/>
      </c>
      <c r="BX290" s="21" t="str">
        <f>IF([1]!BANCO10[[#This Row],[SOLUÇÃO]]=BX$1,[1]!BANCO10[[#This Row],[STATUS DA ETAPA]],"")</f>
        <v/>
      </c>
      <c r="BY290" s="21" t="str">
        <f>IF([1]!BANCO10[[#This Row],[SOLUÇÃO]]=BY$1,[1]!BANCO10[[#This Row],[STATUS DA ETAPA]],"")</f>
        <v/>
      </c>
      <c r="BZ290" s="21" t="str">
        <f>IF([1]!BANCO10[[#This Row],[SOLUÇÃO]]=BZ$1,[1]!BANCO10[[#This Row],[STATUS DA ETAPA]],"")</f>
        <v/>
      </c>
      <c r="CA290" s="21" t="str">
        <f>IF([1]!BANCO10[[#This Row],[SOLUÇÃO]]=CA$1,[1]!BANCO10[[#This Row],[STATUS DA ETAPA]],"")</f>
        <v/>
      </c>
      <c r="CB290" s="21" t="str">
        <f>IF([1]!BANCO10[[#This Row],[SOLUÇÃO]]=CB$1,[1]!BANCO10[[#This Row],[STATUS DA ETAPA]],"")</f>
        <v/>
      </c>
      <c r="CC290" s="21" t="str">
        <f>IF([1]!BANCO10[[#This Row],[SOLUÇÃO]]=CC$1,[1]!BANCO10[[#This Row],[STATUS DA ETAPA]],"")</f>
        <v/>
      </c>
      <c r="CD290" s="21" t="str">
        <f>IF([1]!BANCO10[[#This Row],[SOLUÇÃO]]=CD$1,[1]!BANCO10[[#This Row],[STATUS DA ETAPA]],"")</f>
        <v/>
      </c>
      <c r="CE290" s="21" t="str">
        <f>IF([1]!BANCO10[[#This Row],[SOLUÇÃO]]=CE$1,[1]!BANCO10[[#This Row],[STATUS DA ETAPA]],"")</f>
        <v/>
      </c>
      <c r="CF290" s="21" t="str">
        <f>IF([1]!BANCO10[[#This Row],[SOLUÇÃO]]=CF$1,[1]!BANCO10[[#This Row],[STATUS DA ETAPA]],"")</f>
        <v/>
      </c>
      <c r="CG290" s="21" t="str">
        <f>IF([1]!BANCO10[[#This Row],[SOLUÇÃO]]=CG$1,[1]!BANCO10[[#This Row],[STATUS DA ETAPA]],"")</f>
        <v/>
      </c>
      <c r="CH290" s="21" t="str">
        <f>IF([1]!BANCO10[[#This Row],[SOLUÇÃO]]=CH$1,[1]!BANCO10[[#This Row],[STATUS DA ETAPA]],"")</f>
        <v/>
      </c>
      <c r="CI290" s="21" t="str">
        <f>IF([1]!BANCO10[[#This Row],[SOLUÇÃO]]=CI$1,[1]!BANCO10[[#This Row],[STATUS DA ETAPA]],"")</f>
        <v/>
      </c>
      <c r="CJ290" s="21" t="str">
        <f>IF([1]!BANCO10[[#This Row],[SOLUÇÃO]]=CJ$1,[1]!BANCO10[[#This Row],[STATUS DA ETAPA]],"")</f>
        <v/>
      </c>
      <c r="CK290" s="21" t="str">
        <f>IF([1]!BANCO10[[#This Row],[SOLUÇÃO]]=CK$1,[1]!BANCO10[[#This Row],[STATUS DA ETAPA]],"")</f>
        <v/>
      </c>
      <c r="CL290" s="21" t="str">
        <f>IF([1]!BANCO10[[#This Row],[SOLUÇÃO]]=CL$1,[1]!BANCO10[[#This Row],[STATUS DA ETAPA]],"")</f>
        <v/>
      </c>
      <c r="CM290" s="21" t="str">
        <f>IF([1]!BANCO10[[#This Row],[SOLUÇÃO]]=CM$1,[1]!BANCO10[[#This Row],[STATUS DA ETAPA]],"")</f>
        <v/>
      </c>
      <c r="CN290" s="21" t="str">
        <f>IF([1]!BANCO10[[#This Row],[SOLUÇÃO]]=CN$1,[1]!BANCO10[[#This Row],[STATUS DA ETAPA]],"")</f>
        <v/>
      </c>
      <c r="CO290" s="21" t="str">
        <f>IF([1]!BANCO10[[#This Row],[SOLUÇÃO]]=CO$1,[1]!BANCO10[[#This Row],[STATUS DA ETAPA]],"")</f>
        <v/>
      </c>
      <c r="CP290" s="21" t="str">
        <f>IF([1]!BANCO10[[#This Row],[SOLUÇÃO]]=CP$1,[1]!BANCO10[[#This Row],[STATUS DA ETAPA]],"")</f>
        <v/>
      </c>
      <c r="CQ290" s="21" t="str">
        <f>IF([1]!BANCO10[[#This Row],[SOLUÇÃO]]=CQ$1,[1]!BANCO10[[#This Row],[STATUS DA ETAPA]],"")</f>
        <v/>
      </c>
      <c r="CR290" s="21" t="str">
        <f>IF([1]!BANCO10[[#This Row],[SOLUÇÃO]]=CR$1,[1]!BANCO10[[#This Row],[STATUS DA ETAPA]],"")</f>
        <v/>
      </c>
      <c r="CS290" s="21" t="str">
        <f>IF([1]!BANCO10[[#This Row],[SOLUÇÃO]]=CS$1,[1]!BANCO10[[#This Row],[STATUS DA ETAPA]],"")</f>
        <v/>
      </c>
      <c r="CT290" s="21" t="str">
        <f>IF([1]!BANCO10[[#This Row],[SOLUÇÃO]]=CT$1,[1]!BANCO10[[#This Row],[STATUS DA ETAPA]],"")</f>
        <v/>
      </c>
      <c r="CU290" s="21" t="str">
        <f>IF([1]!BANCO10[[#This Row],[SOLUÇÃO]]=CU$1,[1]!BANCO10[[#This Row],[STATUS DA ETAPA]],"")</f>
        <v/>
      </c>
      <c r="CV290" s="21" t="str">
        <f>IF([1]!BANCO10[[#This Row],[SOLUÇÃO]]=CV$1,[1]!BANCO10[[#This Row],[STATUS DA ETAPA]],"")</f>
        <v/>
      </c>
    </row>
    <row r="291" spans="1:100">
      <c r="A291" s="44" t="s">
        <v>1</v>
      </c>
      <c r="B291" s="44"/>
      <c r="C291" s="44" t="s">
        <v>1</v>
      </c>
      <c r="D291" s="44"/>
      <c r="E291" s="44" t="s">
        <v>1</v>
      </c>
      <c r="F291" s="44"/>
      <c r="G291" s="44" t="s">
        <v>1</v>
      </c>
      <c r="H291" s="44"/>
      <c r="I291" s="45" t="s">
        <v>1</v>
      </c>
      <c r="J291" s="46"/>
      <c r="K291" s="45" t="s">
        <v>1</v>
      </c>
      <c r="L291" s="33"/>
      <c r="M291" s="45" t="s">
        <v>1</v>
      </c>
      <c r="N291" s="33"/>
      <c r="O291" s="44" t="s">
        <v>1</v>
      </c>
      <c r="P291" s="44"/>
      <c r="Q291" s="44" t="s">
        <v>1</v>
      </c>
      <c r="R291" s="44"/>
      <c r="S291" s="44" t="s">
        <v>1</v>
      </c>
      <c r="T291" s="44"/>
      <c r="U291" s="44" t="s">
        <v>2</v>
      </c>
      <c r="V291" s="44"/>
      <c r="W291" s="44" t="s">
        <v>2</v>
      </c>
      <c r="X291" s="44"/>
      <c r="Y291" s="44" t="s">
        <v>2</v>
      </c>
      <c r="Z291" s="44"/>
      <c r="AA291" s="44" t="s">
        <v>2</v>
      </c>
      <c r="AB291" s="44"/>
      <c r="AC291" s="51">
        <v>45832</v>
      </c>
      <c r="AD291" s="50">
        <v>45919</v>
      </c>
      <c r="AE291" s="68" t="s">
        <v>2</v>
      </c>
      <c r="AF291" s="68" t="s">
        <v>2</v>
      </c>
      <c r="AG291" s="76" t="s">
        <v>4</v>
      </c>
      <c r="AH291" s="36" t="s">
        <v>0</v>
      </c>
      <c r="AI291" s="49">
        <v>0</v>
      </c>
      <c r="AJ291" s="36" t="s">
        <v>6</v>
      </c>
      <c r="AK291" s="10" t="s">
        <v>602</v>
      </c>
      <c r="AL291" s="36">
        <v>4712</v>
      </c>
      <c r="AM291" s="36">
        <v>119013</v>
      </c>
      <c r="AN291" s="35" t="s">
        <v>1</v>
      </c>
      <c r="AO291" s="35" t="s">
        <v>1</v>
      </c>
      <c r="AP291" s="35" t="s">
        <v>2</v>
      </c>
      <c r="AQ291" s="35" t="s">
        <v>1</v>
      </c>
      <c r="AR291" s="34" t="s">
        <v>1</v>
      </c>
      <c r="AS291" s="33"/>
      <c r="AT291" s="32" t="s">
        <v>2</v>
      </c>
      <c r="AU291" s="31">
        <v>45922</v>
      </c>
      <c r="AV291" s="32" t="s">
        <v>2</v>
      </c>
      <c r="AW291" s="31">
        <v>45922</v>
      </c>
      <c r="AX291" s="30" t="s">
        <v>2</v>
      </c>
      <c r="AY291" s="29">
        <v>45922</v>
      </c>
      <c r="AZ291" s="28" t="s">
        <v>0</v>
      </c>
      <c r="BA291" s="27"/>
      <c r="BB291" s="39" t="s">
        <v>279</v>
      </c>
      <c r="BC291" s="25"/>
      <c r="BD291" s="24"/>
      <c r="BE291" s="24"/>
      <c r="BF291" s="24"/>
      <c r="BG291" s="24"/>
      <c r="BH291" s="24"/>
      <c r="BI291" s="24"/>
      <c r="BJ291" s="24"/>
      <c r="BK291" s="24"/>
      <c r="BL291" s="24"/>
      <c r="BM291" s="24"/>
      <c r="BN291" s="24"/>
      <c r="BO291" s="24"/>
      <c r="BP291" s="24"/>
      <c r="BQ291" s="22">
        <f>YEAR([1]!BANCO10[[#This Row],[DATA INÍCIO]])</f>
        <v>2025</v>
      </c>
      <c r="BR291" s="22">
        <f>MONTH([1]!BANCO10[[#This Row],[DATA INÍCIO]])</f>
        <v>6</v>
      </c>
      <c r="BS291" s="23" t="e">
        <f>CONCATENATE(#REF!,#REF!)</f>
        <v>#REF!</v>
      </c>
      <c r="BT291" s="22"/>
      <c r="BU291" s="22"/>
      <c r="BV291" s="21" t="str">
        <f>IF([1]!BANCO10[[#This Row],[SOLUÇÃO]]=BV$1,[1]!BANCO10[[#This Row],[STATUS DA ETAPA]],"")</f>
        <v/>
      </c>
      <c r="BW291" s="21" t="str">
        <f>IF([1]!BANCO10[[#This Row],[SOLUÇÃO]]=BW$1,[1]!BANCO10[[#This Row],[STATUS DA ETAPA]],"")</f>
        <v>CONCLUÍDO</v>
      </c>
      <c r="BX291" s="21" t="str">
        <f>IF([1]!BANCO10[[#This Row],[SOLUÇÃO]]=BX$1,[1]!BANCO10[[#This Row],[STATUS DA ETAPA]],"")</f>
        <v/>
      </c>
      <c r="BY291" s="21" t="str">
        <f>IF([1]!BANCO10[[#This Row],[SOLUÇÃO]]=BY$1,[1]!BANCO10[[#This Row],[STATUS DA ETAPA]],"")</f>
        <v/>
      </c>
      <c r="BZ291" s="21" t="str">
        <f>IF([1]!BANCO10[[#This Row],[SOLUÇÃO]]=BZ$1,[1]!BANCO10[[#This Row],[STATUS DA ETAPA]],"")</f>
        <v/>
      </c>
      <c r="CA291" s="21" t="str">
        <f>IF([1]!BANCO10[[#This Row],[SOLUÇÃO]]=CA$1,[1]!BANCO10[[#This Row],[STATUS DA ETAPA]],"")</f>
        <v/>
      </c>
      <c r="CB291" s="21" t="str">
        <f>IF([1]!BANCO10[[#This Row],[SOLUÇÃO]]=CB$1,[1]!BANCO10[[#This Row],[STATUS DA ETAPA]],"")</f>
        <v/>
      </c>
      <c r="CC291" s="21" t="str">
        <f>IF([1]!BANCO10[[#This Row],[SOLUÇÃO]]=CC$1,[1]!BANCO10[[#This Row],[STATUS DA ETAPA]],"")</f>
        <v/>
      </c>
      <c r="CD291" s="21" t="str">
        <f>IF([1]!BANCO10[[#This Row],[SOLUÇÃO]]=CD$1,[1]!BANCO10[[#This Row],[STATUS DA ETAPA]],"")</f>
        <v/>
      </c>
      <c r="CE291" s="21" t="str">
        <f>IF([1]!BANCO10[[#This Row],[SOLUÇÃO]]=CE$1,[1]!BANCO10[[#This Row],[STATUS DA ETAPA]],"")</f>
        <v/>
      </c>
      <c r="CF291" s="21" t="str">
        <f>IF([1]!BANCO10[[#This Row],[SOLUÇÃO]]=CF$1,[1]!BANCO10[[#This Row],[STATUS DA ETAPA]],"")</f>
        <v/>
      </c>
      <c r="CG291" s="21" t="str">
        <f>IF([1]!BANCO10[[#This Row],[SOLUÇÃO]]=CG$1,[1]!BANCO10[[#This Row],[STATUS DA ETAPA]],"")</f>
        <v/>
      </c>
      <c r="CH291" s="21" t="str">
        <f>IF([1]!BANCO10[[#This Row],[SOLUÇÃO]]=CH$1,[1]!BANCO10[[#This Row],[STATUS DA ETAPA]],"")</f>
        <v/>
      </c>
      <c r="CI291" s="21" t="str">
        <f>IF([1]!BANCO10[[#This Row],[SOLUÇÃO]]=CI$1,[1]!BANCO10[[#This Row],[STATUS DA ETAPA]],"")</f>
        <v/>
      </c>
      <c r="CJ291" s="21" t="str">
        <f>IF([1]!BANCO10[[#This Row],[SOLUÇÃO]]=CJ$1,[1]!BANCO10[[#This Row],[STATUS DA ETAPA]],"")</f>
        <v/>
      </c>
      <c r="CK291" s="21" t="str">
        <f>IF([1]!BANCO10[[#This Row],[SOLUÇÃO]]=CK$1,[1]!BANCO10[[#This Row],[STATUS DA ETAPA]],"")</f>
        <v/>
      </c>
      <c r="CL291" s="21" t="str">
        <f>IF([1]!BANCO10[[#This Row],[SOLUÇÃO]]=CL$1,[1]!BANCO10[[#This Row],[STATUS DA ETAPA]],"")</f>
        <v/>
      </c>
      <c r="CM291" s="21" t="str">
        <f>IF([1]!BANCO10[[#This Row],[SOLUÇÃO]]=CM$1,[1]!BANCO10[[#This Row],[STATUS DA ETAPA]],"")</f>
        <v/>
      </c>
      <c r="CN291" s="21" t="str">
        <f>IF([1]!BANCO10[[#This Row],[SOLUÇÃO]]=CN$1,[1]!BANCO10[[#This Row],[STATUS DA ETAPA]],"")</f>
        <v/>
      </c>
      <c r="CO291" s="21" t="str">
        <f>IF([1]!BANCO10[[#This Row],[SOLUÇÃO]]=CO$1,[1]!BANCO10[[#This Row],[STATUS DA ETAPA]],"")</f>
        <v/>
      </c>
      <c r="CP291" s="21" t="str">
        <f>IF([1]!BANCO10[[#This Row],[SOLUÇÃO]]=CP$1,[1]!BANCO10[[#This Row],[STATUS DA ETAPA]],"")</f>
        <v/>
      </c>
      <c r="CQ291" s="21" t="str">
        <f>IF([1]!BANCO10[[#This Row],[SOLUÇÃO]]=CQ$1,[1]!BANCO10[[#This Row],[STATUS DA ETAPA]],"")</f>
        <v/>
      </c>
      <c r="CR291" s="21" t="str">
        <f>IF([1]!BANCO10[[#This Row],[SOLUÇÃO]]=CR$1,[1]!BANCO10[[#This Row],[STATUS DA ETAPA]],"")</f>
        <v/>
      </c>
      <c r="CS291" s="21" t="str">
        <f>IF([1]!BANCO10[[#This Row],[SOLUÇÃO]]=CS$1,[1]!BANCO10[[#This Row],[STATUS DA ETAPA]],"")</f>
        <v/>
      </c>
      <c r="CT291" s="21" t="str">
        <f>IF([1]!BANCO10[[#This Row],[SOLUÇÃO]]=CT$1,[1]!BANCO10[[#This Row],[STATUS DA ETAPA]],"")</f>
        <v/>
      </c>
      <c r="CU291" s="21" t="str">
        <f>IF([1]!BANCO10[[#This Row],[SOLUÇÃO]]=CU$1,[1]!BANCO10[[#This Row],[STATUS DA ETAPA]],"")</f>
        <v/>
      </c>
      <c r="CV291" s="21" t="str">
        <f>IF([1]!BANCO10[[#This Row],[SOLUÇÃO]]=CV$1,[1]!BANCO10[[#This Row],[STATUS DA ETAPA]],"")</f>
        <v/>
      </c>
    </row>
    <row r="292" spans="1:100">
      <c r="A292" s="44" t="s">
        <v>2</v>
      </c>
      <c r="B292" s="44">
        <v>45713</v>
      </c>
      <c r="C292" s="44" t="s">
        <v>2</v>
      </c>
      <c r="D292" s="44">
        <v>45713</v>
      </c>
      <c r="E292" s="44" t="s">
        <v>2</v>
      </c>
      <c r="F292" s="44">
        <v>45713</v>
      </c>
      <c r="G292" s="44" t="s">
        <v>2</v>
      </c>
      <c r="H292" s="44">
        <v>45713</v>
      </c>
      <c r="I292" s="45" t="s">
        <v>2</v>
      </c>
      <c r="J292" s="46">
        <v>45736</v>
      </c>
      <c r="K292" s="45" t="s">
        <v>0</v>
      </c>
      <c r="L292" s="33"/>
      <c r="M292" s="45" t="s">
        <v>0</v>
      </c>
      <c r="N292" s="33"/>
      <c r="O292" s="44" t="s">
        <v>1</v>
      </c>
      <c r="P292" s="44"/>
      <c r="Q292" s="44" t="s">
        <v>1</v>
      </c>
      <c r="R292" s="44"/>
      <c r="S292" s="44" t="s">
        <v>2</v>
      </c>
      <c r="T292" s="44">
        <v>45708</v>
      </c>
      <c r="U292" s="44" t="s">
        <v>1</v>
      </c>
      <c r="V292" s="44"/>
      <c r="W292" s="44" t="s">
        <v>1</v>
      </c>
      <c r="X292" s="44"/>
      <c r="Y292" s="44" t="s">
        <v>1</v>
      </c>
      <c r="Z292" s="44"/>
      <c r="AA292" s="44" t="s">
        <v>1</v>
      </c>
      <c r="AB292" s="44"/>
      <c r="AC292" s="51">
        <v>46022</v>
      </c>
      <c r="AD292" s="50">
        <v>46022</v>
      </c>
      <c r="AE292" s="41" t="s">
        <v>0</v>
      </c>
      <c r="AF292" s="41" t="s">
        <v>0</v>
      </c>
      <c r="AG292" s="40" t="s">
        <v>5</v>
      </c>
      <c r="AH292" s="36" t="s">
        <v>0</v>
      </c>
      <c r="AI292" s="49">
        <v>20140</v>
      </c>
      <c r="AJ292" s="36" t="s">
        <v>3</v>
      </c>
      <c r="AK292" s="21">
        <v>678869</v>
      </c>
      <c r="AL292" s="36" t="s">
        <v>1</v>
      </c>
      <c r="AM292" s="36" t="s">
        <v>1</v>
      </c>
      <c r="AN292" s="35" t="s">
        <v>0</v>
      </c>
      <c r="AO292" s="35" t="s">
        <v>0</v>
      </c>
      <c r="AP292" s="35" t="s">
        <v>0</v>
      </c>
      <c r="AQ292" s="35" t="s">
        <v>0</v>
      </c>
      <c r="AR292" s="34" t="s">
        <v>1</v>
      </c>
      <c r="AS292" s="33"/>
      <c r="AT292" s="32" t="s">
        <v>0</v>
      </c>
      <c r="AU292" s="31"/>
      <c r="AV292" s="32" t="s">
        <v>0</v>
      </c>
      <c r="AW292" s="31"/>
      <c r="AX292" s="32" t="s">
        <v>0</v>
      </c>
      <c r="AY292" s="31"/>
      <c r="AZ292" s="32" t="s">
        <v>0</v>
      </c>
      <c r="BA292" s="31"/>
      <c r="BB292" s="26" t="s">
        <v>7</v>
      </c>
      <c r="BC292" s="25" t="s">
        <v>601</v>
      </c>
      <c r="BD292" s="24"/>
      <c r="BE292" s="24"/>
      <c r="BF292" s="24"/>
      <c r="BG292" s="24"/>
      <c r="BH292" s="24"/>
      <c r="BI292" s="24"/>
      <c r="BJ292" s="24"/>
      <c r="BK292" s="24"/>
      <c r="BL292" s="24"/>
      <c r="BM292" s="24"/>
      <c r="BN292" s="24"/>
      <c r="BO292" s="24"/>
      <c r="BP292" s="24"/>
      <c r="BQ292" s="22">
        <f>YEAR([1]!BANCO10[[#This Row],[DATA INÍCIO]])</f>
        <v>2025</v>
      </c>
      <c r="BR292" s="22">
        <f>MONTH([1]!BANCO10[[#This Row],[DATA INÍCIO]])</f>
        <v>12</v>
      </c>
      <c r="BS292" s="23" t="e">
        <f>CONCATENATE(#REF!,#REF!)</f>
        <v>#REF!</v>
      </c>
      <c r="BT292" s="22"/>
      <c r="BU292" s="22"/>
      <c r="BV292" s="21" t="str">
        <f>IF([1]!BANCO10[[#This Row],[SOLUÇÃO]]=BV$1,[1]!BANCO10[[#This Row],[STATUS DA ETAPA]],"")</f>
        <v/>
      </c>
      <c r="BW292" s="21" t="str">
        <f>IF([1]!BANCO10[[#This Row],[SOLUÇÃO]]=BW$1,[1]!BANCO10[[#This Row],[STATUS DA ETAPA]],"")</f>
        <v/>
      </c>
      <c r="BX292" s="21" t="str">
        <f>IF([1]!BANCO10[[#This Row],[SOLUÇÃO]]=BX$1,[1]!BANCO10[[#This Row],[STATUS DA ETAPA]],"")</f>
        <v/>
      </c>
      <c r="BY292" s="21" t="str">
        <f>IF([1]!BANCO10[[#This Row],[SOLUÇÃO]]=BY$1,[1]!BANCO10[[#This Row],[STATUS DA ETAPA]],"")</f>
        <v/>
      </c>
      <c r="BZ292" s="21" t="str">
        <f>IF([1]!BANCO10[[#This Row],[SOLUÇÃO]]=BZ$1,[1]!BANCO10[[#This Row],[STATUS DA ETAPA]],"")</f>
        <v/>
      </c>
      <c r="CA292" s="21" t="str">
        <f>IF([1]!BANCO10[[#This Row],[SOLUÇÃO]]=CA$1,[1]!BANCO10[[#This Row],[STATUS DA ETAPA]],"")</f>
        <v/>
      </c>
      <c r="CB292" s="21" t="str">
        <f>IF([1]!BANCO10[[#This Row],[SOLUÇÃO]]=CB$1,[1]!BANCO10[[#This Row],[STATUS DA ETAPA]],"")</f>
        <v>AGUARDANDO SALDO</v>
      </c>
      <c r="CC292" s="21" t="str">
        <f>IF([1]!BANCO10[[#This Row],[SOLUÇÃO]]=CC$1,[1]!BANCO10[[#This Row],[STATUS DA ETAPA]],"")</f>
        <v/>
      </c>
      <c r="CD292" s="21" t="str">
        <f>IF([1]!BANCO10[[#This Row],[SOLUÇÃO]]=CD$1,[1]!BANCO10[[#This Row],[STATUS DA ETAPA]],"")</f>
        <v/>
      </c>
      <c r="CE292" s="21" t="str">
        <f>IF([1]!BANCO10[[#This Row],[SOLUÇÃO]]=CE$1,[1]!BANCO10[[#This Row],[STATUS DA ETAPA]],"")</f>
        <v/>
      </c>
      <c r="CF292" s="21" t="str">
        <f>IF([1]!BANCO10[[#This Row],[SOLUÇÃO]]=CF$1,[1]!BANCO10[[#This Row],[STATUS DA ETAPA]],"")</f>
        <v/>
      </c>
      <c r="CG292" s="21" t="str">
        <f>IF([1]!BANCO10[[#This Row],[SOLUÇÃO]]=CG$1,[1]!BANCO10[[#This Row],[STATUS DA ETAPA]],"")</f>
        <v/>
      </c>
      <c r="CH292" s="21" t="str">
        <f>IF([1]!BANCO10[[#This Row],[SOLUÇÃO]]=CH$1,[1]!BANCO10[[#This Row],[STATUS DA ETAPA]],"")</f>
        <v/>
      </c>
      <c r="CI292" s="21" t="str">
        <f>IF([1]!BANCO10[[#This Row],[SOLUÇÃO]]=CI$1,[1]!BANCO10[[#This Row],[STATUS DA ETAPA]],"")</f>
        <v/>
      </c>
      <c r="CJ292" s="21" t="str">
        <f>IF([1]!BANCO10[[#This Row],[SOLUÇÃO]]=CJ$1,[1]!BANCO10[[#This Row],[STATUS DA ETAPA]],"")</f>
        <v/>
      </c>
      <c r="CK292" s="21" t="str">
        <f>IF([1]!BANCO10[[#This Row],[SOLUÇÃO]]=CK$1,[1]!BANCO10[[#This Row],[STATUS DA ETAPA]],"")</f>
        <v/>
      </c>
      <c r="CL292" s="21" t="str">
        <f>IF([1]!BANCO10[[#This Row],[SOLUÇÃO]]=CL$1,[1]!BANCO10[[#This Row],[STATUS DA ETAPA]],"")</f>
        <v/>
      </c>
      <c r="CM292" s="21" t="str">
        <f>IF([1]!BANCO10[[#This Row],[SOLUÇÃO]]=CM$1,[1]!BANCO10[[#This Row],[STATUS DA ETAPA]],"")</f>
        <v/>
      </c>
      <c r="CN292" s="21" t="str">
        <f>IF([1]!BANCO10[[#This Row],[SOLUÇÃO]]=CN$1,[1]!BANCO10[[#This Row],[STATUS DA ETAPA]],"")</f>
        <v/>
      </c>
      <c r="CO292" s="21" t="str">
        <f>IF([1]!BANCO10[[#This Row],[SOLUÇÃO]]=CO$1,[1]!BANCO10[[#This Row],[STATUS DA ETAPA]],"")</f>
        <v/>
      </c>
      <c r="CP292" s="21" t="str">
        <f>IF([1]!BANCO10[[#This Row],[SOLUÇÃO]]=CP$1,[1]!BANCO10[[#This Row],[STATUS DA ETAPA]],"")</f>
        <v/>
      </c>
      <c r="CQ292" s="21" t="str">
        <f>IF([1]!BANCO10[[#This Row],[SOLUÇÃO]]=CQ$1,[1]!BANCO10[[#This Row],[STATUS DA ETAPA]],"")</f>
        <v/>
      </c>
      <c r="CR292" s="21" t="str">
        <f>IF([1]!BANCO10[[#This Row],[SOLUÇÃO]]=CR$1,[1]!BANCO10[[#This Row],[STATUS DA ETAPA]],"")</f>
        <v/>
      </c>
      <c r="CS292" s="21" t="str">
        <f>IF([1]!BANCO10[[#This Row],[SOLUÇÃO]]=CS$1,[1]!BANCO10[[#This Row],[STATUS DA ETAPA]],"")</f>
        <v/>
      </c>
      <c r="CT292" s="21" t="str">
        <f>IF([1]!BANCO10[[#This Row],[SOLUÇÃO]]=CT$1,[1]!BANCO10[[#This Row],[STATUS DA ETAPA]],"")</f>
        <v/>
      </c>
      <c r="CU292" s="21" t="str">
        <f>IF([1]!BANCO10[[#This Row],[SOLUÇÃO]]=CU$1,[1]!BANCO10[[#This Row],[STATUS DA ETAPA]],"")</f>
        <v/>
      </c>
      <c r="CV292" s="21" t="str">
        <f>IF([1]!BANCO10[[#This Row],[SOLUÇÃO]]=CV$1,[1]!BANCO10[[#This Row],[STATUS DA ETAPA]],"")</f>
        <v/>
      </c>
    </row>
    <row r="293" spans="1:100">
      <c r="A293" s="44" t="s">
        <v>1</v>
      </c>
      <c r="B293" s="44"/>
      <c r="C293" s="44" t="s">
        <v>1</v>
      </c>
      <c r="D293" s="44"/>
      <c r="E293" s="44" t="s">
        <v>1</v>
      </c>
      <c r="F293" s="44"/>
      <c r="G293" s="44" t="s">
        <v>1</v>
      </c>
      <c r="H293" s="44"/>
      <c r="I293" s="45" t="s">
        <v>1</v>
      </c>
      <c r="J293" s="46"/>
      <c r="K293" s="45" t="s">
        <v>1</v>
      </c>
      <c r="L293" s="33"/>
      <c r="M293" s="45" t="s">
        <v>1</v>
      </c>
      <c r="N293" s="33"/>
      <c r="O293" s="44" t="s">
        <v>2</v>
      </c>
      <c r="P293" s="44">
        <v>45008</v>
      </c>
      <c r="Q293" s="44" t="s">
        <v>0</v>
      </c>
      <c r="R293" s="44"/>
      <c r="S293" s="44" t="s">
        <v>1</v>
      </c>
      <c r="T293" s="44"/>
      <c r="U293" s="44" t="s">
        <v>1</v>
      </c>
      <c r="V293" s="44"/>
      <c r="W293" s="44" t="s">
        <v>1</v>
      </c>
      <c r="X293" s="44"/>
      <c r="Y293" s="44" t="s">
        <v>1</v>
      </c>
      <c r="Z293" s="44"/>
      <c r="AA293" s="44" t="s">
        <v>1</v>
      </c>
      <c r="AB293" s="44"/>
      <c r="AC293" s="51">
        <v>45007</v>
      </c>
      <c r="AD293" s="50">
        <v>45007</v>
      </c>
      <c r="AE293" s="40" t="s">
        <v>1</v>
      </c>
      <c r="AF293" s="40" t="s">
        <v>1</v>
      </c>
      <c r="AG293" s="76" t="s">
        <v>5</v>
      </c>
      <c r="AH293" s="36" t="s">
        <v>1</v>
      </c>
      <c r="AI293" s="49">
        <v>0</v>
      </c>
      <c r="AJ293" s="36" t="s">
        <v>1</v>
      </c>
      <c r="AK293" s="10" t="s">
        <v>1</v>
      </c>
      <c r="AL293" s="36" t="s">
        <v>1</v>
      </c>
      <c r="AM293" s="36" t="s">
        <v>1</v>
      </c>
      <c r="AN293" s="35" t="s">
        <v>1</v>
      </c>
      <c r="AO293" s="35" t="s">
        <v>1</v>
      </c>
      <c r="AP293" s="35" t="s">
        <v>1</v>
      </c>
      <c r="AQ293" s="35" t="s">
        <v>1</v>
      </c>
      <c r="AR293" s="82" t="s">
        <v>1</v>
      </c>
      <c r="AS293" s="33"/>
      <c r="AT293" s="32" t="s">
        <v>1</v>
      </c>
      <c r="AU293" s="31"/>
      <c r="AV293" s="32" t="s">
        <v>1</v>
      </c>
      <c r="AW293" s="31"/>
      <c r="AX293" s="30" t="s">
        <v>1</v>
      </c>
      <c r="AY293" s="55"/>
      <c r="AZ293" s="30" t="s">
        <v>1</v>
      </c>
      <c r="BA293" s="55"/>
      <c r="BB293" s="74"/>
      <c r="BC293" s="25"/>
      <c r="BD293" s="24" t="s">
        <v>11</v>
      </c>
      <c r="BE293" s="24" t="s">
        <v>11</v>
      </c>
      <c r="BF293" s="24" t="s">
        <v>21</v>
      </c>
      <c r="BG293" s="24" t="s">
        <v>11</v>
      </c>
      <c r="BH293" s="130" t="s">
        <v>18</v>
      </c>
      <c r="BI293" s="24" t="s">
        <v>243</v>
      </c>
      <c r="BJ293" s="24" t="s">
        <v>11</v>
      </c>
      <c r="BK293" s="24" t="s">
        <v>11</v>
      </c>
      <c r="BL293" s="24" t="s">
        <v>11</v>
      </c>
      <c r="BM293" s="24" t="s">
        <v>11</v>
      </c>
      <c r="BN293" s="24" t="s">
        <v>11</v>
      </c>
      <c r="BO293" s="24" t="s">
        <v>11</v>
      </c>
      <c r="BP293" s="24" t="s">
        <v>11</v>
      </c>
      <c r="BQ293" s="22">
        <f>YEAR([1]!BANCO10[[#This Row],[DATA INÍCIO]])</f>
        <v>2023</v>
      </c>
      <c r="BR293" s="22">
        <f>MONTH([1]!BANCO10[[#This Row],[DATA INÍCIO]])</f>
        <v>3</v>
      </c>
      <c r="BS293" s="129" t="e">
        <f>CONCATENATE(#REF!,#REF!)</f>
        <v>#REF!</v>
      </c>
      <c r="BT293" s="22"/>
      <c r="BU293" s="21" t="s">
        <v>600</v>
      </c>
      <c r="BV293" s="21" t="str">
        <f>IF([1]!BANCO10[[#This Row],[SOLUÇÃO]]=BV$1,[1]!BANCO10[[#This Row],[STATUS DA ETAPA]],"")</f>
        <v>CONCLUÍDO</v>
      </c>
      <c r="BW293" s="21" t="str">
        <f>IF([1]!BANCO10[[#This Row],[SOLUÇÃO]]=BW$1,[1]!BANCO10[[#This Row],[STATUS DA ETAPA]],"")</f>
        <v/>
      </c>
      <c r="BX293" s="21" t="str">
        <f>IF([1]!BANCO10[[#This Row],[SOLUÇÃO]]=BX$1,[1]!BANCO10[[#This Row],[STATUS DA ETAPA]],"")</f>
        <v/>
      </c>
      <c r="BY293" s="21" t="str">
        <f>IF([1]!BANCO10[[#This Row],[SOLUÇÃO]]=BY$1,[1]!BANCO10[[#This Row],[STATUS DA ETAPA]],"")</f>
        <v/>
      </c>
      <c r="BZ293" s="21" t="str">
        <f>IF([1]!BANCO10[[#This Row],[SOLUÇÃO]]=BZ$1,[1]!BANCO10[[#This Row],[STATUS DA ETAPA]],"")</f>
        <v/>
      </c>
      <c r="CA293" s="21" t="str">
        <f>IF([1]!BANCO10[[#This Row],[SOLUÇÃO]]=CA$1,[1]!BANCO10[[#This Row],[STATUS DA ETAPA]],"")</f>
        <v/>
      </c>
      <c r="CB293" s="21" t="str">
        <f>IF([1]!BANCO10[[#This Row],[SOLUÇÃO]]=CB$1,[1]!BANCO10[[#This Row],[STATUS DA ETAPA]],"")</f>
        <v/>
      </c>
      <c r="CC293" s="21" t="str">
        <f>IF([1]!BANCO10[[#This Row],[SOLUÇÃO]]=CC$1,[1]!BANCO10[[#This Row],[STATUS DA ETAPA]],"")</f>
        <v/>
      </c>
      <c r="CD293" s="21" t="str">
        <f>IF([1]!BANCO10[[#This Row],[SOLUÇÃO]]=CD$1,[1]!BANCO10[[#This Row],[STATUS DA ETAPA]],"")</f>
        <v/>
      </c>
      <c r="CE293" s="21" t="str">
        <f>IF([1]!BANCO10[[#This Row],[SOLUÇÃO]]=CE$1,[1]!BANCO10[[#This Row],[STATUS DA ETAPA]],"")</f>
        <v/>
      </c>
      <c r="CF293" s="21" t="str">
        <f>IF([1]!BANCO10[[#This Row],[SOLUÇÃO]]=CF$1,[1]!BANCO10[[#This Row],[STATUS DA ETAPA]],"")</f>
        <v/>
      </c>
      <c r="CG293" s="21" t="str">
        <f>IF([1]!BANCO10[[#This Row],[SOLUÇÃO]]=CG$1,[1]!BANCO10[[#This Row],[STATUS DA ETAPA]],"")</f>
        <v/>
      </c>
      <c r="CH293" s="21" t="str">
        <f>IF([1]!BANCO10[[#This Row],[SOLUÇÃO]]=CH$1,[1]!BANCO10[[#This Row],[STATUS DA ETAPA]],"")</f>
        <v/>
      </c>
      <c r="CI293" s="21" t="str">
        <f>IF([1]!BANCO10[[#This Row],[SOLUÇÃO]]=CI$1,[1]!BANCO10[[#This Row],[STATUS DA ETAPA]],"")</f>
        <v/>
      </c>
      <c r="CJ293" s="21" t="str">
        <f>IF([1]!BANCO10[[#This Row],[SOLUÇÃO]]=CJ$1,[1]!BANCO10[[#This Row],[STATUS DA ETAPA]],"")</f>
        <v/>
      </c>
      <c r="CK293" s="21" t="str">
        <f>IF([1]!BANCO10[[#This Row],[SOLUÇÃO]]=CK$1,[1]!BANCO10[[#This Row],[STATUS DA ETAPA]],"")</f>
        <v/>
      </c>
      <c r="CL293" s="21" t="str">
        <f>IF([1]!BANCO10[[#This Row],[SOLUÇÃO]]=CL$1,[1]!BANCO10[[#This Row],[STATUS DA ETAPA]],"")</f>
        <v/>
      </c>
      <c r="CM293" s="21" t="str">
        <f>IF([1]!BANCO10[[#This Row],[SOLUÇÃO]]=CM$1,[1]!BANCO10[[#This Row],[STATUS DA ETAPA]],"")</f>
        <v/>
      </c>
      <c r="CN293" s="21" t="str">
        <f>IF([1]!BANCO10[[#This Row],[SOLUÇÃO]]=CN$1,[1]!BANCO10[[#This Row],[STATUS DA ETAPA]],"")</f>
        <v/>
      </c>
      <c r="CO293" s="21" t="str">
        <f>IF([1]!BANCO10[[#This Row],[SOLUÇÃO]]=CO$1,[1]!BANCO10[[#This Row],[STATUS DA ETAPA]],"")</f>
        <v/>
      </c>
      <c r="CP293" s="21" t="str">
        <f>IF([1]!BANCO10[[#This Row],[SOLUÇÃO]]=CP$1,[1]!BANCO10[[#This Row],[STATUS DA ETAPA]],"")</f>
        <v/>
      </c>
      <c r="CQ293" s="21" t="str">
        <f>IF([1]!BANCO10[[#This Row],[SOLUÇÃO]]=CQ$1,[1]!BANCO10[[#This Row],[STATUS DA ETAPA]],"")</f>
        <v/>
      </c>
      <c r="CR293" s="21" t="str">
        <f>IF([1]!BANCO10[[#This Row],[SOLUÇÃO]]=CR$1,[1]!BANCO10[[#This Row],[STATUS DA ETAPA]],"")</f>
        <v/>
      </c>
      <c r="CS293" s="21" t="str">
        <f>IF([1]!BANCO10[[#This Row],[SOLUÇÃO]]=CS$1,[1]!BANCO10[[#This Row],[STATUS DA ETAPA]],"")</f>
        <v/>
      </c>
      <c r="CT293" s="21" t="str">
        <f>IF([1]!BANCO10[[#This Row],[SOLUÇÃO]]=CT$1,[1]!BANCO10[[#This Row],[STATUS DA ETAPA]],"")</f>
        <v/>
      </c>
      <c r="CU293" s="21" t="str">
        <f>IF([1]!BANCO10[[#This Row],[SOLUÇÃO]]=CU$1,[1]!BANCO10[[#This Row],[STATUS DA ETAPA]],"")</f>
        <v/>
      </c>
      <c r="CV293" s="21" t="str">
        <f>IF([1]!BANCO10[[#This Row],[SOLUÇÃO]]=CV$1,[1]!BANCO10[[#This Row],[STATUS DA ETAPA]],"")</f>
        <v/>
      </c>
    </row>
    <row r="294" spans="1:100">
      <c r="A294" s="44" t="s">
        <v>1</v>
      </c>
      <c r="B294" s="44"/>
      <c r="C294" s="44" t="s">
        <v>1</v>
      </c>
      <c r="D294" s="44"/>
      <c r="E294" s="44" t="s">
        <v>1</v>
      </c>
      <c r="F294" s="44"/>
      <c r="G294" s="44" t="s">
        <v>1</v>
      </c>
      <c r="H294" s="44"/>
      <c r="I294" s="45" t="s">
        <v>1</v>
      </c>
      <c r="J294" s="46"/>
      <c r="K294" s="45" t="s">
        <v>1</v>
      </c>
      <c r="L294" s="33"/>
      <c r="M294" s="45" t="s">
        <v>1</v>
      </c>
      <c r="N294" s="33"/>
      <c r="O294" s="44" t="s">
        <v>2</v>
      </c>
      <c r="P294" s="44">
        <v>45008</v>
      </c>
      <c r="Q294" s="44" t="s">
        <v>2</v>
      </c>
      <c r="R294" s="44">
        <v>45012</v>
      </c>
      <c r="S294" s="44" t="s">
        <v>1</v>
      </c>
      <c r="T294" s="44"/>
      <c r="U294" s="44" t="s">
        <v>2</v>
      </c>
      <c r="V294" s="44">
        <v>45068</v>
      </c>
      <c r="W294" s="44" t="s">
        <v>2</v>
      </c>
      <c r="X294" s="44"/>
      <c r="Y294" s="44" t="s">
        <v>2</v>
      </c>
      <c r="Z294" s="44">
        <v>45106</v>
      </c>
      <c r="AA294" s="44" t="s">
        <v>2</v>
      </c>
      <c r="AB294" s="44"/>
      <c r="AC294" s="51">
        <v>45106</v>
      </c>
      <c r="AD294" s="50">
        <v>45231</v>
      </c>
      <c r="AE294" s="40" t="s">
        <v>2</v>
      </c>
      <c r="AF294" s="40" t="s">
        <v>2</v>
      </c>
      <c r="AG294" s="76" t="s">
        <v>5</v>
      </c>
      <c r="AH294" s="36" t="s">
        <v>0</v>
      </c>
      <c r="AI294" s="49">
        <v>0</v>
      </c>
      <c r="AJ294" s="36"/>
      <c r="AK294" s="10"/>
      <c r="AL294" s="36">
        <v>4731</v>
      </c>
      <c r="AM294" s="36" t="s">
        <v>1</v>
      </c>
      <c r="AN294" s="35" t="s">
        <v>1</v>
      </c>
      <c r="AO294" s="35" t="s">
        <v>1</v>
      </c>
      <c r="AP294" s="35" t="s">
        <v>2</v>
      </c>
      <c r="AQ294" s="35" t="s">
        <v>1</v>
      </c>
      <c r="AR294" s="34" t="s">
        <v>1</v>
      </c>
      <c r="AS294" s="33"/>
      <c r="AT294" s="32" t="s">
        <v>1</v>
      </c>
      <c r="AU294" s="31"/>
      <c r="AV294" s="32" t="s">
        <v>1</v>
      </c>
      <c r="AW294" s="31"/>
      <c r="AX294" s="30" t="s">
        <v>2</v>
      </c>
      <c r="AY294" s="55">
        <v>45231</v>
      </c>
      <c r="AZ294" s="30" t="s">
        <v>0</v>
      </c>
      <c r="BA294" s="55"/>
      <c r="BB294" s="74"/>
      <c r="BC294" s="25"/>
      <c r="BD294" s="24" t="s">
        <v>11</v>
      </c>
      <c r="BE294" s="24" t="s">
        <v>11</v>
      </c>
      <c r="BF294" s="24" t="s">
        <v>21</v>
      </c>
      <c r="BG294" s="24" t="s">
        <v>11</v>
      </c>
      <c r="BH294" s="130" t="s">
        <v>18</v>
      </c>
      <c r="BI294" s="24" t="s">
        <v>243</v>
      </c>
      <c r="BJ294" s="24" t="s">
        <v>37</v>
      </c>
      <c r="BK294" s="24" t="s">
        <v>19</v>
      </c>
      <c r="BL294" s="24">
        <v>45391</v>
      </c>
      <c r="BM294" s="24" t="s">
        <v>18</v>
      </c>
      <c r="BN294" s="24" t="s">
        <v>11</v>
      </c>
      <c r="BO294" s="24"/>
      <c r="BP294" s="24" t="s">
        <v>599</v>
      </c>
      <c r="BQ294" s="22">
        <f>YEAR([1]!BANCO10[[#This Row],[DATA INÍCIO]])</f>
        <v>2023</v>
      </c>
      <c r="BR294" s="22">
        <f>MONTH([1]!BANCO10[[#This Row],[DATA INÍCIO]])</f>
        <v>6</v>
      </c>
      <c r="BS294" s="129" t="e">
        <f>CONCATENATE(#REF!,#REF!)</f>
        <v>#REF!</v>
      </c>
      <c r="BT294" s="22"/>
      <c r="BU294" s="21" t="s">
        <v>598</v>
      </c>
      <c r="BV294" s="21" t="str">
        <f>IF([1]!BANCO10[[#This Row],[SOLUÇÃO]]=BV$1,[1]!BANCO10[[#This Row],[STATUS DA ETAPA]],"")</f>
        <v/>
      </c>
      <c r="BW294" s="21" t="str">
        <f>IF([1]!BANCO10[[#This Row],[SOLUÇÃO]]=BW$1,[1]!BANCO10[[#This Row],[STATUS DA ETAPA]],"")</f>
        <v/>
      </c>
      <c r="BX294" s="21" t="str">
        <f>IF([1]!BANCO10[[#This Row],[SOLUÇÃO]]=BX$1,[1]!BANCO10[[#This Row],[STATUS DA ETAPA]],"")</f>
        <v/>
      </c>
      <c r="BY294" s="21" t="str">
        <f>IF([1]!BANCO10[[#This Row],[SOLUÇÃO]]=BY$1,[1]!BANCO10[[#This Row],[STATUS DA ETAPA]],"")</f>
        <v/>
      </c>
      <c r="BZ294" s="21" t="str">
        <f>IF([1]!BANCO10[[#This Row],[SOLUÇÃO]]=BZ$1,[1]!BANCO10[[#This Row],[STATUS DA ETAPA]],"")</f>
        <v/>
      </c>
      <c r="CA294" s="21" t="str">
        <f>IF([1]!BANCO10[[#This Row],[SOLUÇÃO]]=CA$1,[1]!BANCO10[[#This Row],[STATUS DA ETAPA]],"")</f>
        <v>CONCLUÍDO</v>
      </c>
      <c r="CB294" s="21" t="str">
        <f>IF([1]!BANCO10[[#This Row],[SOLUÇÃO]]=CB$1,[1]!BANCO10[[#This Row],[STATUS DA ETAPA]],"")</f>
        <v/>
      </c>
      <c r="CC294" s="21" t="str">
        <f>IF([1]!BANCO10[[#This Row],[SOLUÇÃO]]=CC$1,[1]!BANCO10[[#This Row],[STATUS DA ETAPA]],"")</f>
        <v/>
      </c>
      <c r="CD294" s="21" t="str">
        <f>IF([1]!BANCO10[[#This Row],[SOLUÇÃO]]=CD$1,[1]!BANCO10[[#This Row],[STATUS DA ETAPA]],"")</f>
        <v/>
      </c>
      <c r="CE294" s="21" t="str">
        <f>IF([1]!BANCO10[[#This Row],[SOLUÇÃO]]=CE$1,[1]!BANCO10[[#This Row],[STATUS DA ETAPA]],"")</f>
        <v/>
      </c>
      <c r="CF294" s="21" t="str">
        <f>IF([1]!BANCO10[[#This Row],[SOLUÇÃO]]=CF$1,[1]!BANCO10[[#This Row],[STATUS DA ETAPA]],"")</f>
        <v/>
      </c>
      <c r="CG294" s="21" t="str">
        <f>IF([1]!BANCO10[[#This Row],[SOLUÇÃO]]=CG$1,[1]!BANCO10[[#This Row],[STATUS DA ETAPA]],"")</f>
        <v/>
      </c>
      <c r="CH294" s="21" t="str">
        <f>IF([1]!BANCO10[[#This Row],[SOLUÇÃO]]=CH$1,[1]!BANCO10[[#This Row],[STATUS DA ETAPA]],"")</f>
        <v/>
      </c>
      <c r="CI294" s="21" t="str">
        <f>IF([1]!BANCO10[[#This Row],[SOLUÇÃO]]=CI$1,[1]!BANCO10[[#This Row],[STATUS DA ETAPA]],"")</f>
        <v/>
      </c>
      <c r="CJ294" s="21" t="str">
        <f>IF([1]!BANCO10[[#This Row],[SOLUÇÃO]]=CJ$1,[1]!BANCO10[[#This Row],[STATUS DA ETAPA]],"")</f>
        <v/>
      </c>
      <c r="CK294" s="21" t="str">
        <f>IF([1]!BANCO10[[#This Row],[SOLUÇÃO]]=CK$1,[1]!BANCO10[[#This Row],[STATUS DA ETAPA]],"")</f>
        <v/>
      </c>
      <c r="CL294" s="21" t="str">
        <f>IF([1]!BANCO10[[#This Row],[SOLUÇÃO]]=CL$1,[1]!BANCO10[[#This Row],[STATUS DA ETAPA]],"")</f>
        <v/>
      </c>
      <c r="CM294" s="21" t="str">
        <f>IF([1]!BANCO10[[#This Row],[SOLUÇÃO]]=CM$1,[1]!BANCO10[[#This Row],[STATUS DA ETAPA]],"")</f>
        <v/>
      </c>
      <c r="CN294" s="21" t="str">
        <f>IF([1]!BANCO10[[#This Row],[SOLUÇÃO]]=CN$1,[1]!BANCO10[[#This Row],[STATUS DA ETAPA]],"")</f>
        <v/>
      </c>
      <c r="CO294" s="21" t="str">
        <f>IF([1]!BANCO10[[#This Row],[SOLUÇÃO]]=CO$1,[1]!BANCO10[[#This Row],[STATUS DA ETAPA]],"")</f>
        <v/>
      </c>
      <c r="CP294" s="21" t="str">
        <f>IF([1]!BANCO10[[#This Row],[SOLUÇÃO]]=CP$1,[1]!BANCO10[[#This Row],[STATUS DA ETAPA]],"")</f>
        <v/>
      </c>
      <c r="CQ294" s="21" t="str">
        <f>IF([1]!BANCO10[[#This Row],[SOLUÇÃO]]=CQ$1,[1]!BANCO10[[#This Row],[STATUS DA ETAPA]],"")</f>
        <v/>
      </c>
      <c r="CR294" s="21" t="str">
        <f>IF([1]!BANCO10[[#This Row],[SOLUÇÃO]]=CR$1,[1]!BANCO10[[#This Row],[STATUS DA ETAPA]],"")</f>
        <v/>
      </c>
      <c r="CS294" s="21" t="str">
        <f>IF([1]!BANCO10[[#This Row],[SOLUÇÃO]]=CS$1,[1]!BANCO10[[#This Row],[STATUS DA ETAPA]],"")</f>
        <v/>
      </c>
      <c r="CT294" s="21" t="str">
        <f>IF([1]!BANCO10[[#This Row],[SOLUÇÃO]]=CT$1,[1]!BANCO10[[#This Row],[STATUS DA ETAPA]],"")</f>
        <v/>
      </c>
      <c r="CU294" s="21" t="str">
        <f>IF([1]!BANCO10[[#This Row],[SOLUÇÃO]]=CU$1,[1]!BANCO10[[#This Row],[STATUS DA ETAPA]],"")</f>
        <v/>
      </c>
      <c r="CV294" s="21" t="str">
        <f>IF([1]!BANCO10[[#This Row],[SOLUÇÃO]]=CV$1,[1]!BANCO10[[#This Row],[STATUS DA ETAPA]],"")</f>
        <v/>
      </c>
    </row>
    <row r="295" spans="1:100">
      <c r="A295" s="44" t="s">
        <v>1</v>
      </c>
      <c r="B295" s="44"/>
      <c r="C295" s="44" t="s">
        <v>1</v>
      </c>
      <c r="D295" s="44"/>
      <c r="E295" s="44" t="s">
        <v>1</v>
      </c>
      <c r="F295" s="44"/>
      <c r="G295" s="44" t="s">
        <v>1</v>
      </c>
      <c r="H295" s="44"/>
      <c r="I295" s="45" t="s">
        <v>1</v>
      </c>
      <c r="J295" s="46"/>
      <c r="K295" s="45" t="s">
        <v>1</v>
      </c>
      <c r="L295" s="33"/>
      <c r="M295" s="45" t="s">
        <v>1</v>
      </c>
      <c r="N295" s="33"/>
      <c r="O295" s="44" t="s">
        <v>1</v>
      </c>
      <c r="P295" s="44"/>
      <c r="Q295" s="44" t="s">
        <v>1</v>
      </c>
      <c r="R295" s="44"/>
      <c r="S295" s="44" t="s">
        <v>1</v>
      </c>
      <c r="T295" s="44"/>
      <c r="U295" s="44" t="s">
        <v>2</v>
      </c>
      <c r="V295" s="44">
        <v>45824</v>
      </c>
      <c r="W295" s="44" t="s">
        <v>2</v>
      </c>
      <c r="X295" s="44"/>
      <c r="Y295" s="44" t="s">
        <v>2</v>
      </c>
      <c r="Z295" s="44"/>
      <c r="AA295" s="44" t="s">
        <v>2</v>
      </c>
      <c r="AB295" s="44"/>
      <c r="AC295" s="51">
        <v>45835</v>
      </c>
      <c r="AD295" s="50">
        <v>45919</v>
      </c>
      <c r="AE295" s="68" t="s">
        <v>2</v>
      </c>
      <c r="AF295" s="68" t="s">
        <v>2</v>
      </c>
      <c r="AG295" s="76" t="s">
        <v>5</v>
      </c>
      <c r="AH295" s="36" t="s">
        <v>0</v>
      </c>
      <c r="AI295" s="49">
        <v>0</v>
      </c>
      <c r="AJ295" s="36" t="s">
        <v>6</v>
      </c>
      <c r="AK295" s="10" t="s">
        <v>597</v>
      </c>
      <c r="AL295" s="36">
        <v>4742</v>
      </c>
      <c r="AM295" s="36"/>
      <c r="AN295" s="35" t="s">
        <v>1</v>
      </c>
      <c r="AO295" s="35" t="s">
        <v>1</v>
      </c>
      <c r="AP295" s="35" t="s">
        <v>2</v>
      </c>
      <c r="AQ295" s="35" t="s">
        <v>1</v>
      </c>
      <c r="AR295" s="34" t="s">
        <v>1</v>
      </c>
      <c r="AS295" s="33"/>
      <c r="AT295" s="32" t="s">
        <v>2</v>
      </c>
      <c r="AU295" s="96">
        <v>45923</v>
      </c>
      <c r="AV295" s="28" t="s">
        <v>0</v>
      </c>
      <c r="AW295" s="31"/>
      <c r="AX295" s="30" t="s">
        <v>0</v>
      </c>
      <c r="AY295" s="29"/>
      <c r="AZ295" s="28" t="s">
        <v>0</v>
      </c>
      <c r="BA295" s="27"/>
      <c r="BB295" s="39"/>
      <c r="BC295" s="25"/>
      <c r="BD295" s="24"/>
      <c r="BE295" s="24"/>
      <c r="BF295" s="24"/>
      <c r="BG295" s="24"/>
      <c r="BH295" s="24"/>
      <c r="BI295" s="24"/>
      <c r="BJ295" s="24"/>
      <c r="BK295" s="24"/>
      <c r="BL295" s="24"/>
      <c r="BM295" s="24"/>
      <c r="BN295" s="24"/>
      <c r="BO295" s="24"/>
      <c r="BP295" s="24"/>
      <c r="BQ295" s="22">
        <f>YEAR([1]!BANCO10[[#This Row],[DATA INÍCIO]])</f>
        <v>2025</v>
      </c>
      <c r="BR295" s="22">
        <f>MONTH([1]!BANCO10[[#This Row],[DATA INÍCIO]])</f>
        <v>6</v>
      </c>
      <c r="BS295" s="23" t="e">
        <f>CONCATENATE(#REF!,#REF!)</f>
        <v>#REF!</v>
      </c>
      <c r="BT295" s="22"/>
      <c r="BU295" s="22"/>
      <c r="BV295" s="21" t="str">
        <f>IF([1]!BANCO10[[#This Row],[SOLUÇÃO]]=BV$1,[1]!BANCO10[[#This Row],[STATUS DA ETAPA]],"")</f>
        <v/>
      </c>
      <c r="BW295" s="21" t="str">
        <f>IF([1]!BANCO10[[#This Row],[SOLUÇÃO]]=BW$1,[1]!BANCO10[[#This Row],[STATUS DA ETAPA]],"")</f>
        <v/>
      </c>
      <c r="BX295" s="21" t="str">
        <f>IF([1]!BANCO10[[#This Row],[SOLUÇÃO]]=BX$1,[1]!BANCO10[[#This Row],[STATUS DA ETAPA]],"")</f>
        <v/>
      </c>
      <c r="BY295" s="21" t="str">
        <f>IF([1]!BANCO10[[#This Row],[SOLUÇÃO]]=BY$1,[1]!BANCO10[[#This Row],[STATUS DA ETAPA]],"")</f>
        <v/>
      </c>
      <c r="BZ295" s="21" t="str">
        <f>IF([1]!BANCO10[[#This Row],[SOLUÇÃO]]=BZ$1,[1]!BANCO10[[#This Row],[STATUS DA ETAPA]],"")</f>
        <v/>
      </c>
      <c r="CA295" s="21" t="str">
        <f>IF([1]!BANCO10[[#This Row],[SOLUÇÃO]]=CA$1,[1]!BANCO10[[#This Row],[STATUS DA ETAPA]],"")</f>
        <v/>
      </c>
      <c r="CB295" s="21" t="str">
        <f>IF([1]!BANCO10[[#This Row],[SOLUÇÃO]]=CB$1,[1]!BANCO10[[#This Row],[STATUS DA ETAPA]],"")</f>
        <v/>
      </c>
      <c r="CC295" s="21" t="str">
        <f>IF([1]!BANCO10[[#This Row],[SOLUÇÃO]]=CC$1,[1]!BANCO10[[#This Row],[STATUS DA ETAPA]],"")</f>
        <v/>
      </c>
      <c r="CD295" s="21" t="str">
        <f>IF([1]!BANCO10[[#This Row],[SOLUÇÃO]]=CD$1,[1]!BANCO10[[#This Row],[STATUS DA ETAPA]],"")</f>
        <v/>
      </c>
      <c r="CE295" s="21" t="str">
        <f>IF([1]!BANCO10[[#This Row],[SOLUÇÃO]]=CE$1,[1]!BANCO10[[#This Row],[STATUS DA ETAPA]],"")</f>
        <v/>
      </c>
      <c r="CF295" s="21" t="str">
        <f>IF([1]!BANCO10[[#This Row],[SOLUÇÃO]]=CF$1,[1]!BANCO10[[#This Row],[STATUS DA ETAPA]],"")</f>
        <v/>
      </c>
      <c r="CG295" s="21" t="str">
        <f>IF([1]!BANCO10[[#This Row],[SOLUÇÃO]]=CG$1,[1]!BANCO10[[#This Row],[STATUS DA ETAPA]],"")</f>
        <v/>
      </c>
      <c r="CH295" s="21" t="str">
        <f>IF([1]!BANCO10[[#This Row],[SOLUÇÃO]]=CH$1,[1]!BANCO10[[#This Row],[STATUS DA ETAPA]],"")</f>
        <v/>
      </c>
      <c r="CI295" s="21" t="str">
        <f>IF([1]!BANCO10[[#This Row],[SOLUÇÃO]]=CI$1,[1]!BANCO10[[#This Row],[STATUS DA ETAPA]],"")</f>
        <v/>
      </c>
      <c r="CJ295" s="21" t="str">
        <f>IF([1]!BANCO10[[#This Row],[SOLUÇÃO]]=CJ$1,[1]!BANCO10[[#This Row],[STATUS DA ETAPA]],"")</f>
        <v/>
      </c>
      <c r="CK295" s="21" t="str">
        <f>IF([1]!BANCO10[[#This Row],[SOLUÇÃO]]=CK$1,[1]!BANCO10[[#This Row],[STATUS DA ETAPA]],"")</f>
        <v/>
      </c>
      <c r="CL295" s="21" t="str">
        <f>IF([1]!BANCO10[[#This Row],[SOLUÇÃO]]=CL$1,[1]!BANCO10[[#This Row],[STATUS DA ETAPA]],"")</f>
        <v>CONCLUÍDO</v>
      </c>
      <c r="CM295" s="21" t="str">
        <f>IF([1]!BANCO10[[#This Row],[SOLUÇÃO]]=CM$1,[1]!BANCO10[[#This Row],[STATUS DA ETAPA]],"")</f>
        <v/>
      </c>
      <c r="CN295" s="21" t="str">
        <f>IF([1]!BANCO10[[#This Row],[SOLUÇÃO]]=CN$1,[1]!BANCO10[[#This Row],[STATUS DA ETAPA]],"")</f>
        <v/>
      </c>
      <c r="CO295" s="21" t="str">
        <f>IF([1]!BANCO10[[#This Row],[SOLUÇÃO]]=CO$1,[1]!BANCO10[[#This Row],[STATUS DA ETAPA]],"")</f>
        <v/>
      </c>
      <c r="CP295" s="21" t="str">
        <f>IF([1]!BANCO10[[#This Row],[SOLUÇÃO]]=CP$1,[1]!BANCO10[[#This Row],[STATUS DA ETAPA]],"")</f>
        <v/>
      </c>
      <c r="CQ295" s="21" t="str">
        <f>IF([1]!BANCO10[[#This Row],[SOLUÇÃO]]=CQ$1,[1]!BANCO10[[#This Row],[STATUS DA ETAPA]],"")</f>
        <v/>
      </c>
      <c r="CR295" s="21" t="str">
        <f>IF([1]!BANCO10[[#This Row],[SOLUÇÃO]]=CR$1,[1]!BANCO10[[#This Row],[STATUS DA ETAPA]],"")</f>
        <v/>
      </c>
      <c r="CS295" s="21" t="str">
        <f>IF([1]!BANCO10[[#This Row],[SOLUÇÃO]]=CS$1,[1]!BANCO10[[#This Row],[STATUS DA ETAPA]],"")</f>
        <v/>
      </c>
      <c r="CT295" s="21" t="str">
        <f>IF([1]!BANCO10[[#This Row],[SOLUÇÃO]]=CT$1,[1]!BANCO10[[#This Row],[STATUS DA ETAPA]],"")</f>
        <v/>
      </c>
      <c r="CU295" s="21" t="str">
        <f>IF([1]!BANCO10[[#This Row],[SOLUÇÃO]]=CU$1,[1]!BANCO10[[#This Row],[STATUS DA ETAPA]],"")</f>
        <v/>
      </c>
      <c r="CV295" s="21" t="str">
        <f>IF([1]!BANCO10[[#This Row],[SOLUÇÃO]]=CV$1,[1]!BANCO10[[#This Row],[STATUS DA ETAPA]],"")</f>
        <v/>
      </c>
    </row>
    <row r="296" spans="1:100">
      <c r="A296" s="44" t="s">
        <v>1</v>
      </c>
      <c r="B296" s="44"/>
      <c r="C296" s="44" t="s">
        <v>1</v>
      </c>
      <c r="D296" s="44"/>
      <c r="E296" s="44" t="s">
        <v>1</v>
      </c>
      <c r="F296" s="44"/>
      <c r="G296" s="44" t="s">
        <v>1</v>
      </c>
      <c r="H296" s="44"/>
      <c r="I296" s="45" t="s">
        <v>1</v>
      </c>
      <c r="J296" s="46"/>
      <c r="K296" s="45" t="s">
        <v>1</v>
      </c>
      <c r="L296" s="33"/>
      <c r="M296" s="45" t="s">
        <v>1</v>
      </c>
      <c r="N296" s="33"/>
      <c r="O296" s="44" t="s">
        <v>2</v>
      </c>
      <c r="P296" s="44">
        <v>44950</v>
      </c>
      <c r="Q296" s="44" t="s">
        <v>0</v>
      </c>
      <c r="R296" s="44"/>
      <c r="S296" s="44" t="s">
        <v>1</v>
      </c>
      <c r="T296" s="44"/>
      <c r="U296" s="44" t="s">
        <v>1</v>
      </c>
      <c r="V296" s="44"/>
      <c r="W296" s="44" t="s">
        <v>1</v>
      </c>
      <c r="X296" s="44"/>
      <c r="Y296" s="44" t="s">
        <v>1</v>
      </c>
      <c r="Z296" s="44"/>
      <c r="AA296" s="44" t="s">
        <v>1</v>
      </c>
      <c r="AB296" s="44"/>
      <c r="AC296" s="51">
        <v>44949</v>
      </c>
      <c r="AD296" s="50">
        <v>44949</v>
      </c>
      <c r="AE296" s="40" t="s">
        <v>1</v>
      </c>
      <c r="AF296" s="40" t="s">
        <v>1</v>
      </c>
      <c r="AG296" s="76" t="s">
        <v>5</v>
      </c>
      <c r="AH296" s="36" t="s">
        <v>1</v>
      </c>
      <c r="AI296" s="49">
        <v>0</v>
      </c>
      <c r="AJ296" s="36" t="s">
        <v>1</v>
      </c>
      <c r="AK296" s="10" t="s">
        <v>1</v>
      </c>
      <c r="AL296" s="36" t="s">
        <v>1</v>
      </c>
      <c r="AM296" s="36" t="s">
        <v>1</v>
      </c>
      <c r="AN296" s="35" t="s">
        <v>1</v>
      </c>
      <c r="AO296" s="35" t="s">
        <v>1</v>
      </c>
      <c r="AP296" s="35" t="s">
        <v>1</v>
      </c>
      <c r="AQ296" s="35" t="s">
        <v>1</v>
      </c>
      <c r="AR296" s="82" t="s">
        <v>1</v>
      </c>
      <c r="AS296" s="33"/>
      <c r="AT296" s="32" t="s">
        <v>1</v>
      </c>
      <c r="AU296" s="31"/>
      <c r="AV296" s="32" t="s">
        <v>1</v>
      </c>
      <c r="AW296" s="31"/>
      <c r="AX296" s="30" t="s">
        <v>1</v>
      </c>
      <c r="AY296" s="55"/>
      <c r="AZ296" s="30" t="s">
        <v>1</v>
      </c>
      <c r="BA296" s="55"/>
      <c r="BB296" s="74"/>
      <c r="BC296" s="25"/>
      <c r="BD296" s="24" t="s">
        <v>11</v>
      </c>
      <c r="BE296" s="24" t="s">
        <v>11</v>
      </c>
      <c r="BF296" s="24" t="s">
        <v>19</v>
      </c>
      <c r="BG296" s="24" t="s">
        <v>19</v>
      </c>
      <c r="BH296" s="130" t="s">
        <v>19</v>
      </c>
      <c r="BI296" s="24"/>
      <c r="BJ296" s="24" t="s">
        <v>11</v>
      </c>
      <c r="BK296" s="24" t="s">
        <v>11</v>
      </c>
      <c r="BL296" s="24" t="s">
        <v>11</v>
      </c>
      <c r="BM296" s="24" t="s">
        <v>11</v>
      </c>
      <c r="BN296" s="24" t="s">
        <v>11</v>
      </c>
      <c r="BO296" s="24" t="s">
        <v>11</v>
      </c>
      <c r="BP296" s="24" t="s">
        <v>11</v>
      </c>
      <c r="BQ296" s="22">
        <f>YEAR([1]!BANCO10[[#This Row],[DATA INÍCIO]])</f>
        <v>2023</v>
      </c>
      <c r="BR296" s="22">
        <f>MONTH([1]!BANCO10[[#This Row],[DATA INÍCIO]])</f>
        <v>1</v>
      </c>
      <c r="BS296" s="129" t="e">
        <f>CONCATENATE(#REF!,#REF!)</f>
        <v>#REF!</v>
      </c>
      <c r="BT296" s="22"/>
      <c r="BU296" s="21" t="s">
        <v>596</v>
      </c>
      <c r="BV296" s="21" t="str">
        <f>IF([1]!BANCO10[[#This Row],[SOLUÇÃO]]=BV$1,[1]!BANCO10[[#This Row],[STATUS DA ETAPA]],"")</f>
        <v>CONCLUÍDO</v>
      </c>
      <c r="BW296" s="21" t="str">
        <f>IF([1]!BANCO10[[#This Row],[SOLUÇÃO]]=BW$1,[1]!BANCO10[[#This Row],[STATUS DA ETAPA]],"")</f>
        <v/>
      </c>
      <c r="BX296" s="21" t="str">
        <f>IF([1]!BANCO10[[#This Row],[SOLUÇÃO]]=BX$1,[1]!BANCO10[[#This Row],[STATUS DA ETAPA]],"")</f>
        <v/>
      </c>
      <c r="BY296" s="21" t="str">
        <f>IF([1]!BANCO10[[#This Row],[SOLUÇÃO]]=BY$1,[1]!BANCO10[[#This Row],[STATUS DA ETAPA]],"")</f>
        <v/>
      </c>
      <c r="BZ296" s="21" t="str">
        <f>IF([1]!BANCO10[[#This Row],[SOLUÇÃO]]=BZ$1,[1]!BANCO10[[#This Row],[STATUS DA ETAPA]],"")</f>
        <v/>
      </c>
      <c r="CA296" s="21" t="str">
        <f>IF([1]!BANCO10[[#This Row],[SOLUÇÃO]]=CA$1,[1]!BANCO10[[#This Row],[STATUS DA ETAPA]],"")</f>
        <v/>
      </c>
      <c r="CB296" s="21" t="str">
        <f>IF([1]!BANCO10[[#This Row],[SOLUÇÃO]]=CB$1,[1]!BANCO10[[#This Row],[STATUS DA ETAPA]],"")</f>
        <v/>
      </c>
      <c r="CC296" s="21" t="str">
        <f>IF([1]!BANCO10[[#This Row],[SOLUÇÃO]]=CC$1,[1]!BANCO10[[#This Row],[STATUS DA ETAPA]],"")</f>
        <v/>
      </c>
      <c r="CD296" s="21" t="str">
        <f>IF([1]!BANCO10[[#This Row],[SOLUÇÃO]]=CD$1,[1]!BANCO10[[#This Row],[STATUS DA ETAPA]],"")</f>
        <v/>
      </c>
      <c r="CE296" s="21" t="str">
        <f>IF([1]!BANCO10[[#This Row],[SOLUÇÃO]]=CE$1,[1]!BANCO10[[#This Row],[STATUS DA ETAPA]],"")</f>
        <v/>
      </c>
      <c r="CF296" s="21" t="str">
        <f>IF([1]!BANCO10[[#This Row],[SOLUÇÃO]]=CF$1,[1]!BANCO10[[#This Row],[STATUS DA ETAPA]],"")</f>
        <v/>
      </c>
      <c r="CG296" s="21" t="str">
        <f>IF([1]!BANCO10[[#This Row],[SOLUÇÃO]]=CG$1,[1]!BANCO10[[#This Row],[STATUS DA ETAPA]],"")</f>
        <v/>
      </c>
      <c r="CH296" s="21" t="str">
        <f>IF([1]!BANCO10[[#This Row],[SOLUÇÃO]]=CH$1,[1]!BANCO10[[#This Row],[STATUS DA ETAPA]],"")</f>
        <v/>
      </c>
      <c r="CI296" s="21" t="str">
        <f>IF([1]!BANCO10[[#This Row],[SOLUÇÃO]]=CI$1,[1]!BANCO10[[#This Row],[STATUS DA ETAPA]],"")</f>
        <v/>
      </c>
      <c r="CJ296" s="21" t="str">
        <f>IF([1]!BANCO10[[#This Row],[SOLUÇÃO]]=CJ$1,[1]!BANCO10[[#This Row],[STATUS DA ETAPA]],"")</f>
        <v/>
      </c>
      <c r="CK296" s="21" t="str">
        <f>IF([1]!BANCO10[[#This Row],[SOLUÇÃO]]=CK$1,[1]!BANCO10[[#This Row],[STATUS DA ETAPA]],"")</f>
        <v/>
      </c>
      <c r="CL296" s="21" t="str">
        <f>IF([1]!BANCO10[[#This Row],[SOLUÇÃO]]=CL$1,[1]!BANCO10[[#This Row],[STATUS DA ETAPA]],"")</f>
        <v/>
      </c>
      <c r="CM296" s="21" t="str">
        <f>IF([1]!BANCO10[[#This Row],[SOLUÇÃO]]=CM$1,[1]!BANCO10[[#This Row],[STATUS DA ETAPA]],"")</f>
        <v/>
      </c>
      <c r="CN296" s="21" t="str">
        <f>IF([1]!BANCO10[[#This Row],[SOLUÇÃO]]=CN$1,[1]!BANCO10[[#This Row],[STATUS DA ETAPA]],"")</f>
        <v/>
      </c>
      <c r="CO296" s="21" t="str">
        <f>IF([1]!BANCO10[[#This Row],[SOLUÇÃO]]=CO$1,[1]!BANCO10[[#This Row],[STATUS DA ETAPA]],"")</f>
        <v/>
      </c>
      <c r="CP296" s="21" t="str">
        <f>IF([1]!BANCO10[[#This Row],[SOLUÇÃO]]=CP$1,[1]!BANCO10[[#This Row],[STATUS DA ETAPA]],"")</f>
        <v/>
      </c>
      <c r="CQ296" s="21" t="str">
        <f>IF([1]!BANCO10[[#This Row],[SOLUÇÃO]]=CQ$1,[1]!BANCO10[[#This Row],[STATUS DA ETAPA]],"")</f>
        <v/>
      </c>
      <c r="CR296" s="21" t="str">
        <f>IF([1]!BANCO10[[#This Row],[SOLUÇÃO]]=CR$1,[1]!BANCO10[[#This Row],[STATUS DA ETAPA]],"")</f>
        <v/>
      </c>
      <c r="CS296" s="21" t="str">
        <f>IF([1]!BANCO10[[#This Row],[SOLUÇÃO]]=CS$1,[1]!BANCO10[[#This Row],[STATUS DA ETAPA]],"")</f>
        <v/>
      </c>
      <c r="CT296" s="21" t="str">
        <f>IF([1]!BANCO10[[#This Row],[SOLUÇÃO]]=CT$1,[1]!BANCO10[[#This Row],[STATUS DA ETAPA]],"")</f>
        <v/>
      </c>
      <c r="CU296" s="21" t="str">
        <f>IF([1]!BANCO10[[#This Row],[SOLUÇÃO]]=CU$1,[1]!BANCO10[[#This Row],[STATUS DA ETAPA]],"")</f>
        <v/>
      </c>
      <c r="CV296" s="21" t="str">
        <f>IF([1]!BANCO10[[#This Row],[SOLUÇÃO]]=CV$1,[1]!BANCO10[[#This Row],[STATUS DA ETAPA]],"")</f>
        <v/>
      </c>
    </row>
    <row r="297" spans="1:100">
      <c r="A297" s="44" t="s">
        <v>1</v>
      </c>
      <c r="B297" s="44"/>
      <c r="C297" s="44" t="s">
        <v>1</v>
      </c>
      <c r="D297" s="44"/>
      <c r="E297" s="44" t="s">
        <v>1</v>
      </c>
      <c r="F297" s="44"/>
      <c r="G297" s="44" t="s">
        <v>1</v>
      </c>
      <c r="H297" s="44"/>
      <c r="I297" s="45" t="s">
        <v>1</v>
      </c>
      <c r="J297" s="46"/>
      <c r="K297" s="45" t="s">
        <v>1</v>
      </c>
      <c r="L297" s="33"/>
      <c r="M297" s="45" t="s">
        <v>1</v>
      </c>
      <c r="N297" s="33"/>
      <c r="O297" s="44" t="s">
        <v>2</v>
      </c>
      <c r="P297" s="44">
        <v>44950</v>
      </c>
      <c r="Q297" s="44" t="s">
        <v>2</v>
      </c>
      <c r="R297" s="44">
        <v>44952</v>
      </c>
      <c r="S297" s="44" t="s">
        <v>1</v>
      </c>
      <c r="T297" s="44"/>
      <c r="U297" s="44" t="s">
        <v>2</v>
      </c>
      <c r="V297" s="44">
        <v>45089</v>
      </c>
      <c r="W297" s="44" t="s">
        <v>2</v>
      </c>
      <c r="X297" s="44"/>
      <c r="Y297" s="44" t="s">
        <v>2</v>
      </c>
      <c r="Z297" s="44">
        <v>45089</v>
      </c>
      <c r="AA297" s="44" t="s">
        <v>2</v>
      </c>
      <c r="AB297" s="44"/>
      <c r="AC297" s="51">
        <v>45146</v>
      </c>
      <c r="AD297" s="50">
        <v>45198</v>
      </c>
      <c r="AE297" s="40" t="s">
        <v>2</v>
      </c>
      <c r="AF297" s="41" t="s">
        <v>2</v>
      </c>
      <c r="AG297" s="76" t="s">
        <v>5</v>
      </c>
      <c r="AH297" s="36" t="s">
        <v>0</v>
      </c>
      <c r="AI297" s="49">
        <v>0</v>
      </c>
      <c r="AJ297" s="36" t="s">
        <v>6</v>
      </c>
      <c r="AK297" s="10"/>
      <c r="AL297" s="36">
        <v>4728</v>
      </c>
      <c r="AM297" s="36"/>
      <c r="AN297" s="35" t="s">
        <v>1</v>
      </c>
      <c r="AO297" s="35" t="s">
        <v>1</v>
      </c>
      <c r="AP297" s="35" t="s">
        <v>2</v>
      </c>
      <c r="AQ297" s="35" t="s">
        <v>1</v>
      </c>
      <c r="AR297" s="34" t="s">
        <v>1</v>
      </c>
      <c r="AS297" s="33"/>
      <c r="AT297" s="32" t="s">
        <v>1</v>
      </c>
      <c r="AU297" s="31"/>
      <c r="AV297" s="32" t="s">
        <v>1</v>
      </c>
      <c r="AW297" s="31"/>
      <c r="AX297" s="30" t="s">
        <v>2</v>
      </c>
      <c r="AY297" s="55">
        <v>45198</v>
      </c>
      <c r="AZ297" s="30" t="s">
        <v>2</v>
      </c>
      <c r="BA297" s="55"/>
      <c r="BB297" s="74"/>
      <c r="BC297" s="25"/>
      <c r="BD297" s="24" t="s">
        <v>11</v>
      </c>
      <c r="BE297" s="24" t="s">
        <v>11</v>
      </c>
      <c r="BF297" s="24" t="s">
        <v>19</v>
      </c>
      <c r="BG297" s="24" t="s">
        <v>19</v>
      </c>
      <c r="BH297" s="130" t="s">
        <v>19</v>
      </c>
      <c r="BI297" s="24"/>
      <c r="BJ297" s="24" t="s">
        <v>19</v>
      </c>
      <c r="BK297" s="24" t="s">
        <v>19</v>
      </c>
      <c r="BL297" s="24">
        <v>45391</v>
      </c>
      <c r="BM297" s="24" t="s">
        <v>18</v>
      </c>
      <c r="BN297" s="24" t="s">
        <v>11</v>
      </c>
      <c r="BO297" s="24"/>
      <c r="BP297" s="24" t="s">
        <v>188</v>
      </c>
      <c r="BQ297" s="22">
        <f>YEAR([1]!BANCO10[[#This Row],[DATA INÍCIO]])</f>
        <v>2023</v>
      </c>
      <c r="BR297" s="22">
        <f>MONTH([1]!BANCO10[[#This Row],[DATA INÍCIO]])</f>
        <v>8</v>
      </c>
      <c r="BS297" s="129" t="e">
        <f>CONCATENATE(#REF!,#REF!)</f>
        <v>#REF!</v>
      </c>
      <c r="BT297" s="22"/>
      <c r="BU297" s="21" t="s">
        <v>595</v>
      </c>
      <c r="BV297" s="21" t="str">
        <f>IF([1]!BANCO10[[#This Row],[SOLUÇÃO]]=BV$1,[1]!BANCO10[[#This Row],[STATUS DA ETAPA]],"")</f>
        <v/>
      </c>
      <c r="BW297" s="21" t="str">
        <f>IF([1]!BANCO10[[#This Row],[SOLUÇÃO]]=BW$1,[1]!BANCO10[[#This Row],[STATUS DA ETAPA]],"")</f>
        <v/>
      </c>
      <c r="BX297" s="21" t="str">
        <f>IF([1]!BANCO10[[#This Row],[SOLUÇÃO]]=BX$1,[1]!BANCO10[[#This Row],[STATUS DA ETAPA]],"")</f>
        <v/>
      </c>
      <c r="BY297" s="21" t="str">
        <f>IF([1]!BANCO10[[#This Row],[SOLUÇÃO]]=BY$1,[1]!BANCO10[[#This Row],[STATUS DA ETAPA]],"")</f>
        <v/>
      </c>
      <c r="BZ297" s="21" t="str">
        <f>IF([1]!BANCO10[[#This Row],[SOLUÇÃO]]=BZ$1,[1]!BANCO10[[#This Row],[STATUS DA ETAPA]],"")</f>
        <v/>
      </c>
      <c r="CA297" s="21" t="str">
        <f>IF([1]!BANCO10[[#This Row],[SOLUÇÃO]]=CA$1,[1]!BANCO10[[#This Row],[STATUS DA ETAPA]],"")</f>
        <v>CONCLUÍDO</v>
      </c>
      <c r="CB297" s="21" t="str">
        <f>IF([1]!BANCO10[[#This Row],[SOLUÇÃO]]=CB$1,[1]!BANCO10[[#This Row],[STATUS DA ETAPA]],"")</f>
        <v/>
      </c>
      <c r="CC297" s="21" t="str">
        <f>IF([1]!BANCO10[[#This Row],[SOLUÇÃO]]=CC$1,[1]!BANCO10[[#This Row],[STATUS DA ETAPA]],"")</f>
        <v/>
      </c>
      <c r="CD297" s="21" t="str">
        <f>IF([1]!BANCO10[[#This Row],[SOLUÇÃO]]=CD$1,[1]!BANCO10[[#This Row],[STATUS DA ETAPA]],"")</f>
        <v/>
      </c>
      <c r="CE297" s="21" t="str">
        <f>IF([1]!BANCO10[[#This Row],[SOLUÇÃO]]=CE$1,[1]!BANCO10[[#This Row],[STATUS DA ETAPA]],"")</f>
        <v/>
      </c>
      <c r="CF297" s="21" t="str">
        <f>IF([1]!BANCO10[[#This Row],[SOLUÇÃO]]=CF$1,[1]!BANCO10[[#This Row],[STATUS DA ETAPA]],"")</f>
        <v/>
      </c>
      <c r="CG297" s="21" t="str">
        <f>IF([1]!BANCO10[[#This Row],[SOLUÇÃO]]=CG$1,[1]!BANCO10[[#This Row],[STATUS DA ETAPA]],"")</f>
        <v/>
      </c>
      <c r="CH297" s="21" t="str">
        <f>IF([1]!BANCO10[[#This Row],[SOLUÇÃO]]=CH$1,[1]!BANCO10[[#This Row],[STATUS DA ETAPA]],"")</f>
        <v/>
      </c>
      <c r="CI297" s="21" t="str">
        <f>IF([1]!BANCO10[[#This Row],[SOLUÇÃO]]=CI$1,[1]!BANCO10[[#This Row],[STATUS DA ETAPA]],"")</f>
        <v/>
      </c>
      <c r="CJ297" s="21" t="str">
        <f>IF([1]!BANCO10[[#This Row],[SOLUÇÃO]]=CJ$1,[1]!BANCO10[[#This Row],[STATUS DA ETAPA]],"")</f>
        <v/>
      </c>
      <c r="CK297" s="21" t="str">
        <f>IF([1]!BANCO10[[#This Row],[SOLUÇÃO]]=CK$1,[1]!BANCO10[[#This Row],[STATUS DA ETAPA]],"")</f>
        <v/>
      </c>
      <c r="CL297" s="21" t="str">
        <f>IF([1]!BANCO10[[#This Row],[SOLUÇÃO]]=CL$1,[1]!BANCO10[[#This Row],[STATUS DA ETAPA]],"")</f>
        <v/>
      </c>
      <c r="CM297" s="21" t="str">
        <f>IF([1]!BANCO10[[#This Row],[SOLUÇÃO]]=CM$1,[1]!BANCO10[[#This Row],[STATUS DA ETAPA]],"")</f>
        <v/>
      </c>
      <c r="CN297" s="21" t="str">
        <f>IF([1]!BANCO10[[#This Row],[SOLUÇÃO]]=CN$1,[1]!BANCO10[[#This Row],[STATUS DA ETAPA]],"")</f>
        <v/>
      </c>
      <c r="CO297" s="21" t="str">
        <f>IF([1]!BANCO10[[#This Row],[SOLUÇÃO]]=CO$1,[1]!BANCO10[[#This Row],[STATUS DA ETAPA]],"")</f>
        <v/>
      </c>
      <c r="CP297" s="21" t="str">
        <f>IF([1]!BANCO10[[#This Row],[SOLUÇÃO]]=CP$1,[1]!BANCO10[[#This Row],[STATUS DA ETAPA]],"")</f>
        <v/>
      </c>
      <c r="CQ297" s="21" t="str">
        <f>IF([1]!BANCO10[[#This Row],[SOLUÇÃO]]=CQ$1,[1]!BANCO10[[#This Row],[STATUS DA ETAPA]],"")</f>
        <v/>
      </c>
      <c r="CR297" s="21" t="str">
        <f>IF([1]!BANCO10[[#This Row],[SOLUÇÃO]]=CR$1,[1]!BANCO10[[#This Row],[STATUS DA ETAPA]],"")</f>
        <v/>
      </c>
      <c r="CS297" s="21" t="str">
        <f>IF([1]!BANCO10[[#This Row],[SOLUÇÃO]]=CS$1,[1]!BANCO10[[#This Row],[STATUS DA ETAPA]],"")</f>
        <v/>
      </c>
      <c r="CT297" s="21" t="str">
        <f>IF([1]!BANCO10[[#This Row],[SOLUÇÃO]]=CT$1,[1]!BANCO10[[#This Row],[STATUS DA ETAPA]],"")</f>
        <v/>
      </c>
      <c r="CU297" s="21" t="str">
        <f>IF([1]!BANCO10[[#This Row],[SOLUÇÃO]]=CU$1,[1]!BANCO10[[#This Row],[STATUS DA ETAPA]],"")</f>
        <v/>
      </c>
      <c r="CV297" s="21" t="str">
        <f>IF([1]!BANCO10[[#This Row],[SOLUÇÃO]]=CV$1,[1]!BANCO10[[#This Row],[STATUS DA ETAPA]],"")</f>
        <v/>
      </c>
    </row>
    <row r="298" spans="1:100">
      <c r="A298" s="44" t="s">
        <v>0</v>
      </c>
      <c r="B298" s="44"/>
      <c r="C298" s="44" t="s">
        <v>0</v>
      </c>
      <c r="D298" s="44"/>
      <c r="E298" s="44" t="s">
        <v>0</v>
      </c>
      <c r="F298" s="44"/>
      <c r="G298" s="44" t="s">
        <v>0</v>
      </c>
      <c r="H298" s="44"/>
      <c r="I298" s="45" t="s">
        <v>0</v>
      </c>
      <c r="J298" s="46"/>
      <c r="K298" s="45" t="s">
        <v>0</v>
      </c>
      <c r="L298" s="33"/>
      <c r="M298" s="45" t="s">
        <v>0</v>
      </c>
      <c r="N298" s="33"/>
      <c r="O298" s="44" t="s">
        <v>0</v>
      </c>
      <c r="P298" s="44"/>
      <c r="Q298" s="44" t="s">
        <v>2</v>
      </c>
      <c r="R298" s="44">
        <v>45918</v>
      </c>
      <c r="S298" s="44" t="s">
        <v>0</v>
      </c>
      <c r="T298" s="44"/>
      <c r="U298" s="44" t="s">
        <v>1</v>
      </c>
      <c r="V298" s="44"/>
      <c r="W298" s="44" t="s">
        <v>1</v>
      </c>
      <c r="X298" s="44"/>
      <c r="Y298" s="44" t="s">
        <v>1</v>
      </c>
      <c r="Z298" s="44"/>
      <c r="AA298" s="44" t="s">
        <v>1</v>
      </c>
      <c r="AB298" s="44"/>
      <c r="AC298" s="51">
        <v>45931</v>
      </c>
      <c r="AD298" s="50">
        <v>46022</v>
      </c>
      <c r="AE298" s="41" t="s">
        <v>0</v>
      </c>
      <c r="AF298" s="41" t="s">
        <v>0</v>
      </c>
      <c r="AG298" s="40" t="s">
        <v>5</v>
      </c>
      <c r="AH298" s="36" t="s">
        <v>0</v>
      </c>
      <c r="AI298" s="49">
        <v>20140</v>
      </c>
      <c r="AJ298" s="36"/>
      <c r="AK298" s="37" t="s">
        <v>1</v>
      </c>
      <c r="AL298" s="36" t="s">
        <v>1</v>
      </c>
      <c r="AM298" s="36" t="s">
        <v>1</v>
      </c>
      <c r="AN298" s="35" t="s">
        <v>0</v>
      </c>
      <c r="AO298" s="35" t="s">
        <v>0</v>
      </c>
      <c r="AP298" s="35" t="s">
        <v>0</v>
      </c>
      <c r="AQ298" s="35" t="s">
        <v>0</v>
      </c>
      <c r="AR298" s="34" t="s">
        <v>0</v>
      </c>
      <c r="AS298" s="33"/>
      <c r="AT298" s="32" t="s">
        <v>0</v>
      </c>
      <c r="AU298" s="31"/>
      <c r="AV298" s="32" t="s">
        <v>0</v>
      </c>
      <c r="AW298" s="31"/>
      <c r="AX298" s="32" t="s">
        <v>0</v>
      </c>
      <c r="AY298" s="31"/>
      <c r="AZ298" s="32" t="s">
        <v>0</v>
      </c>
      <c r="BA298" s="31"/>
      <c r="BB298" s="154">
        <v>45931</v>
      </c>
      <c r="BC298" s="25" t="s">
        <v>594</v>
      </c>
      <c r="BD298" s="24"/>
      <c r="BE298" s="24"/>
      <c r="BF298" s="24"/>
      <c r="BG298" s="24"/>
      <c r="BH298" s="24"/>
      <c r="BI298" s="24"/>
      <c r="BJ298" s="24"/>
      <c r="BK298" s="24"/>
      <c r="BL298" s="24"/>
      <c r="BM298" s="24"/>
      <c r="BN298" s="24"/>
      <c r="BO298" s="24"/>
      <c r="BP298" s="24"/>
      <c r="BQ298" s="22">
        <f>YEAR([1]!BANCO10[[#This Row],[DATA INÍCIO]])</f>
        <v>2025</v>
      </c>
      <c r="BR298" s="22">
        <f>MONTH([1]!BANCO10[[#This Row],[DATA INÍCIO]])</f>
        <v>10</v>
      </c>
      <c r="BS298" s="23" t="e">
        <f>CONCATENATE(#REF!,#REF!)</f>
        <v>#REF!</v>
      </c>
      <c r="BT298" s="22"/>
      <c r="BU298" s="22"/>
      <c r="BV298" s="21" t="str">
        <f>IF([1]!BANCO10[[#This Row],[SOLUÇÃO]]=BV$1,[1]!BANCO10[[#This Row],[STATUS DA ETAPA]],"")</f>
        <v/>
      </c>
      <c r="BW298" s="21" t="str">
        <f>IF([1]!BANCO10[[#This Row],[SOLUÇÃO]]=BW$1,[1]!BANCO10[[#This Row],[STATUS DA ETAPA]],"")</f>
        <v/>
      </c>
      <c r="BX298" s="21" t="str">
        <f>IF([1]!BANCO10[[#This Row],[SOLUÇÃO]]=BX$1,[1]!BANCO10[[#This Row],[STATUS DA ETAPA]],"")</f>
        <v/>
      </c>
      <c r="BY298" s="21" t="str">
        <f>IF([1]!BANCO10[[#This Row],[SOLUÇÃO]]=BY$1,[1]!BANCO10[[#This Row],[STATUS DA ETAPA]],"")</f>
        <v/>
      </c>
      <c r="BZ298" s="21" t="str">
        <f>IF([1]!BANCO10[[#This Row],[SOLUÇÃO]]=BZ$1,[1]!BANCO10[[#This Row],[STATUS DA ETAPA]],"")</f>
        <v/>
      </c>
      <c r="CA298" s="21" t="str">
        <f>IF([1]!BANCO10[[#This Row],[SOLUÇÃO]]=CA$1,[1]!BANCO10[[#This Row],[STATUS DA ETAPA]],"")</f>
        <v/>
      </c>
      <c r="CB298" s="21" t="str">
        <f>IF([1]!BANCO10[[#This Row],[SOLUÇÃO]]=CB$1,[1]!BANCO10[[#This Row],[STATUS DA ETAPA]],"")</f>
        <v/>
      </c>
      <c r="CC298" s="21" t="str">
        <f>IF([1]!BANCO10[[#This Row],[SOLUÇÃO]]=CC$1,[1]!BANCO10[[#This Row],[STATUS DA ETAPA]],"")</f>
        <v/>
      </c>
      <c r="CD298" s="21" t="str">
        <f>IF([1]!BANCO10[[#This Row],[SOLUÇÃO]]=CD$1,[1]!BANCO10[[#This Row],[STATUS DA ETAPA]],"")</f>
        <v/>
      </c>
      <c r="CE298" s="21" t="str">
        <f>IF([1]!BANCO10[[#This Row],[SOLUÇÃO]]=CE$1,[1]!BANCO10[[#This Row],[STATUS DA ETAPA]],"")</f>
        <v/>
      </c>
      <c r="CF298" s="21" t="str">
        <f>IF([1]!BANCO10[[#This Row],[SOLUÇÃO]]=CF$1,[1]!BANCO10[[#This Row],[STATUS DA ETAPA]],"")</f>
        <v/>
      </c>
      <c r="CG298" s="21" t="str">
        <f>IF([1]!BANCO10[[#This Row],[SOLUÇÃO]]=CG$1,[1]!BANCO10[[#This Row],[STATUS DA ETAPA]],"")</f>
        <v/>
      </c>
      <c r="CH298" s="21" t="str">
        <f>IF([1]!BANCO10[[#This Row],[SOLUÇÃO]]=CH$1,[1]!BANCO10[[#This Row],[STATUS DA ETAPA]],"")</f>
        <v/>
      </c>
      <c r="CI298" s="21" t="str">
        <f>IF([1]!BANCO10[[#This Row],[SOLUÇÃO]]=CI$1,[1]!BANCO10[[#This Row],[STATUS DA ETAPA]],"")</f>
        <v/>
      </c>
      <c r="CJ298" s="21" t="str">
        <f>IF([1]!BANCO10[[#This Row],[SOLUÇÃO]]=CJ$1,[1]!BANCO10[[#This Row],[STATUS DA ETAPA]],"")</f>
        <v/>
      </c>
      <c r="CK298" s="21" t="str">
        <f>IF([1]!BANCO10[[#This Row],[SOLUÇÃO]]=CK$1,[1]!BANCO10[[#This Row],[STATUS DA ETAPA]],"")</f>
        <v/>
      </c>
      <c r="CL298" s="21" t="str">
        <f>IF([1]!BANCO10[[#This Row],[SOLUÇÃO]]=CL$1,[1]!BANCO10[[#This Row],[STATUS DA ETAPA]],"")</f>
        <v/>
      </c>
      <c r="CM298" s="21" t="str">
        <f>IF([1]!BANCO10[[#This Row],[SOLUÇÃO]]=CM$1,[1]!BANCO10[[#This Row],[STATUS DA ETAPA]],"")</f>
        <v/>
      </c>
      <c r="CN298" s="21" t="str">
        <f>IF([1]!BANCO10[[#This Row],[SOLUÇÃO]]=CN$1,[1]!BANCO10[[#This Row],[STATUS DA ETAPA]],"")</f>
        <v/>
      </c>
      <c r="CO298" s="21" t="str">
        <f>IF([1]!BANCO10[[#This Row],[SOLUÇÃO]]=CO$1,[1]!BANCO10[[#This Row],[STATUS DA ETAPA]],"")</f>
        <v/>
      </c>
      <c r="CP298" s="21" t="str">
        <f>IF([1]!BANCO10[[#This Row],[SOLUÇÃO]]=CP$1,[1]!BANCO10[[#This Row],[STATUS DA ETAPA]],"")</f>
        <v/>
      </c>
      <c r="CQ298" s="21" t="str">
        <f>IF([1]!BANCO10[[#This Row],[SOLUÇÃO]]=CQ$1,[1]!BANCO10[[#This Row],[STATUS DA ETAPA]],"")</f>
        <v/>
      </c>
      <c r="CR298" s="21" t="str">
        <f>IF([1]!BANCO10[[#This Row],[SOLUÇÃO]]=CR$1,[1]!BANCO10[[#This Row],[STATUS DA ETAPA]],"")</f>
        <v/>
      </c>
      <c r="CS298" s="21" t="str">
        <f>IF([1]!BANCO10[[#This Row],[SOLUÇÃO]]=CS$1,[1]!BANCO10[[#This Row],[STATUS DA ETAPA]],"")</f>
        <v/>
      </c>
      <c r="CT298" s="21" t="str">
        <f>IF([1]!BANCO10[[#This Row],[SOLUÇÃO]]=CT$1,[1]!BANCO10[[#This Row],[STATUS DA ETAPA]],"")</f>
        <v/>
      </c>
      <c r="CU298" s="21" t="str">
        <f>IF([1]!BANCO10[[#This Row],[SOLUÇÃO]]=CU$1,[1]!BANCO10[[#This Row],[STATUS DA ETAPA]],"")</f>
        <v/>
      </c>
      <c r="CV298" s="21" t="str">
        <f>IF([1]!BANCO10[[#This Row],[SOLUÇÃO]]=CV$1,[1]!BANCO10[[#This Row],[STATUS DA ETAPA]],"")</f>
        <v/>
      </c>
    </row>
    <row r="299" spans="1:100">
      <c r="A299" s="44" t="s">
        <v>1</v>
      </c>
      <c r="B299" s="44"/>
      <c r="C299" s="44" t="s">
        <v>1</v>
      </c>
      <c r="D299" s="44"/>
      <c r="E299" s="44" t="s">
        <v>1</v>
      </c>
      <c r="F299" s="44"/>
      <c r="G299" s="44" t="s">
        <v>1</v>
      </c>
      <c r="H299" s="44"/>
      <c r="I299" s="45" t="s">
        <v>1</v>
      </c>
      <c r="J299" s="46"/>
      <c r="K299" s="45" t="s">
        <v>1</v>
      </c>
      <c r="L299" s="33"/>
      <c r="M299" s="45" t="s">
        <v>1</v>
      </c>
      <c r="N299" s="33"/>
      <c r="O299" s="44" t="s">
        <v>2</v>
      </c>
      <c r="P299" s="44">
        <v>44927</v>
      </c>
      <c r="Q299" s="44" t="s">
        <v>2</v>
      </c>
      <c r="R299" s="44">
        <v>45197</v>
      </c>
      <c r="S299" s="44" t="s">
        <v>2</v>
      </c>
      <c r="T299" s="44">
        <v>45197</v>
      </c>
      <c r="U299" s="44" t="s">
        <v>1</v>
      </c>
      <c r="V299" s="44"/>
      <c r="W299" s="44" t="s">
        <v>1</v>
      </c>
      <c r="X299" s="44"/>
      <c r="Y299" s="44" t="s">
        <v>1</v>
      </c>
      <c r="Z299" s="44"/>
      <c r="AA299" s="44" t="s">
        <v>1</v>
      </c>
      <c r="AB299" s="44"/>
      <c r="AC299" s="84">
        <v>45258</v>
      </c>
      <c r="AD299" s="83">
        <v>45391</v>
      </c>
      <c r="AE299" s="40" t="s">
        <v>2</v>
      </c>
      <c r="AF299" s="40" t="s">
        <v>2</v>
      </c>
      <c r="AG299" s="76" t="s">
        <v>5</v>
      </c>
      <c r="AH299" s="36" t="s">
        <v>2</v>
      </c>
      <c r="AI299" s="49">
        <v>0</v>
      </c>
      <c r="AJ299" s="36" t="s">
        <v>1</v>
      </c>
      <c r="AK299" s="10" t="s">
        <v>1</v>
      </c>
      <c r="AL299" s="36" t="s">
        <v>1</v>
      </c>
      <c r="AM299" s="36" t="s">
        <v>1</v>
      </c>
      <c r="AN299" s="35" t="s">
        <v>1</v>
      </c>
      <c r="AO299" s="35" t="s">
        <v>1</v>
      </c>
      <c r="AP299" s="35" t="s">
        <v>2</v>
      </c>
      <c r="AQ299" s="35" t="s">
        <v>1</v>
      </c>
      <c r="AR299" s="34" t="s">
        <v>1</v>
      </c>
      <c r="AS299" s="33"/>
      <c r="AT299" s="32" t="s">
        <v>1</v>
      </c>
      <c r="AU299" s="31"/>
      <c r="AV299" s="32" t="s">
        <v>1</v>
      </c>
      <c r="AW299" s="31"/>
      <c r="AX299" s="30" t="s">
        <v>2</v>
      </c>
      <c r="AY299" s="55">
        <v>45397</v>
      </c>
      <c r="AZ299" s="30" t="s">
        <v>2</v>
      </c>
      <c r="BA299" s="55">
        <v>45384</v>
      </c>
      <c r="BB299" s="74" t="s">
        <v>283</v>
      </c>
      <c r="BC299" s="25"/>
      <c r="BD299" s="24" t="s">
        <v>11</v>
      </c>
      <c r="BE299" s="24" t="s">
        <v>11</v>
      </c>
      <c r="BF299" s="24" t="s">
        <v>11</v>
      </c>
      <c r="BG299" s="24" t="s">
        <v>11</v>
      </c>
      <c r="BH299" s="130" t="s">
        <v>11</v>
      </c>
      <c r="BI299" s="24"/>
      <c r="BJ299" s="24" t="s">
        <v>11</v>
      </c>
      <c r="BK299" s="24" t="s">
        <v>11</v>
      </c>
      <c r="BL299" s="24" t="s">
        <v>11</v>
      </c>
      <c r="BM299" s="24" t="s">
        <v>11</v>
      </c>
      <c r="BN299" s="24" t="s">
        <v>11</v>
      </c>
      <c r="BO299" s="24" t="s">
        <v>11</v>
      </c>
      <c r="BP299" s="24" t="s">
        <v>11</v>
      </c>
      <c r="BQ299" s="22">
        <f>YEAR([1]!BANCO10[[#This Row],[DATA INÍCIO]])</f>
        <v>2023</v>
      </c>
      <c r="BR299" s="22">
        <f>MONTH([1]!BANCO10[[#This Row],[DATA INÍCIO]])</f>
        <v>11</v>
      </c>
      <c r="BS299" s="129" t="e">
        <f>CONCATENATE(#REF!,#REF!)</f>
        <v>#REF!</v>
      </c>
      <c r="BT299" s="22"/>
      <c r="BU299" s="21" t="s">
        <v>593</v>
      </c>
      <c r="BV299" s="21" t="str">
        <f>IF([1]!BANCO10[[#This Row],[SOLUÇÃO]]=BV$1,[1]!BANCO10[[#This Row],[STATUS DA ETAPA]],"")</f>
        <v/>
      </c>
      <c r="BW299" s="21" t="str">
        <f>IF([1]!BANCO10[[#This Row],[SOLUÇÃO]]=BW$1,[1]!BANCO10[[#This Row],[STATUS DA ETAPA]],"")</f>
        <v/>
      </c>
      <c r="BX299" s="21" t="str">
        <f>IF([1]!BANCO10[[#This Row],[SOLUÇÃO]]=BX$1,[1]!BANCO10[[#This Row],[STATUS DA ETAPA]],"")</f>
        <v/>
      </c>
      <c r="BY299" s="21" t="str">
        <f>IF([1]!BANCO10[[#This Row],[SOLUÇÃO]]=BY$1,[1]!BANCO10[[#This Row],[STATUS DA ETAPA]],"")</f>
        <v/>
      </c>
      <c r="BZ299" s="21" t="str">
        <f>IF([1]!BANCO10[[#This Row],[SOLUÇÃO]]=BZ$1,[1]!BANCO10[[#This Row],[STATUS DA ETAPA]],"")</f>
        <v/>
      </c>
      <c r="CA299" s="21" t="str">
        <f>IF([1]!BANCO10[[#This Row],[SOLUÇÃO]]=CA$1,[1]!BANCO10[[#This Row],[STATUS DA ETAPA]],"")</f>
        <v>CONCLUÍDO</v>
      </c>
      <c r="CB299" s="21" t="str">
        <f>IF([1]!BANCO10[[#This Row],[SOLUÇÃO]]=CB$1,[1]!BANCO10[[#This Row],[STATUS DA ETAPA]],"")</f>
        <v/>
      </c>
      <c r="CC299" s="21" t="str">
        <f>IF([1]!BANCO10[[#This Row],[SOLUÇÃO]]=CC$1,[1]!BANCO10[[#This Row],[STATUS DA ETAPA]],"")</f>
        <v/>
      </c>
      <c r="CD299" s="21" t="str">
        <f>IF([1]!BANCO10[[#This Row],[SOLUÇÃO]]=CD$1,[1]!BANCO10[[#This Row],[STATUS DA ETAPA]],"")</f>
        <v/>
      </c>
      <c r="CE299" s="21" t="str">
        <f>IF([1]!BANCO10[[#This Row],[SOLUÇÃO]]=CE$1,[1]!BANCO10[[#This Row],[STATUS DA ETAPA]],"")</f>
        <v/>
      </c>
      <c r="CF299" s="21" t="str">
        <f>IF([1]!BANCO10[[#This Row],[SOLUÇÃO]]=CF$1,[1]!BANCO10[[#This Row],[STATUS DA ETAPA]],"")</f>
        <v/>
      </c>
      <c r="CG299" s="21" t="str">
        <f>IF([1]!BANCO10[[#This Row],[SOLUÇÃO]]=CG$1,[1]!BANCO10[[#This Row],[STATUS DA ETAPA]],"")</f>
        <v/>
      </c>
      <c r="CH299" s="21" t="str">
        <f>IF([1]!BANCO10[[#This Row],[SOLUÇÃO]]=CH$1,[1]!BANCO10[[#This Row],[STATUS DA ETAPA]],"")</f>
        <v/>
      </c>
      <c r="CI299" s="21" t="str">
        <f>IF([1]!BANCO10[[#This Row],[SOLUÇÃO]]=CI$1,[1]!BANCO10[[#This Row],[STATUS DA ETAPA]],"")</f>
        <v/>
      </c>
      <c r="CJ299" s="21" t="str">
        <f>IF([1]!BANCO10[[#This Row],[SOLUÇÃO]]=CJ$1,[1]!BANCO10[[#This Row],[STATUS DA ETAPA]],"")</f>
        <v/>
      </c>
      <c r="CK299" s="21" t="str">
        <f>IF([1]!BANCO10[[#This Row],[SOLUÇÃO]]=CK$1,[1]!BANCO10[[#This Row],[STATUS DA ETAPA]],"")</f>
        <v/>
      </c>
      <c r="CL299" s="21" t="str">
        <f>IF([1]!BANCO10[[#This Row],[SOLUÇÃO]]=CL$1,[1]!BANCO10[[#This Row],[STATUS DA ETAPA]],"")</f>
        <v/>
      </c>
      <c r="CM299" s="21" t="str">
        <f>IF([1]!BANCO10[[#This Row],[SOLUÇÃO]]=CM$1,[1]!BANCO10[[#This Row],[STATUS DA ETAPA]],"")</f>
        <v/>
      </c>
      <c r="CN299" s="21" t="str">
        <f>IF([1]!BANCO10[[#This Row],[SOLUÇÃO]]=CN$1,[1]!BANCO10[[#This Row],[STATUS DA ETAPA]],"")</f>
        <v/>
      </c>
      <c r="CO299" s="21" t="str">
        <f>IF([1]!BANCO10[[#This Row],[SOLUÇÃO]]=CO$1,[1]!BANCO10[[#This Row],[STATUS DA ETAPA]],"")</f>
        <v/>
      </c>
      <c r="CP299" s="21" t="str">
        <f>IF([1]!BANCO10[[#This Row],[SOLUÇÃO]]=CP$1,[1]!BANCO10[[#This Row],[STATUS DA ETAPA]],"")</f>
        <v/>
      </c>
      <c r="CQ299" s="21" t="str">
        <f>IF([1]!BANCO10[[#This Row],[SOLUÇÃO]]=CQ$1,[1]!BANCO10[[#This Row],[STATUS DA ETAPA]],"")</f>
        <v/>
      </c>
      <c r="CR299" s="21" t="str">
        <f>IF([1]!BANCO10[[#This Row],[SOLUÇÃO]]=CR$1,[1]!BANCO10[[#This Row],[STATUS DA ETAPA]],"")</f>
        <v/>
      </c>
      <c r="CS299" s="21" t="str">
        <f>IF([1]!BANCO10[[#This Row],[SOLUÇÃO]]=CS$1,[1]!BANCO10[[#This Row],[STATUS DA ETAPA]],"")</f>
        <v/>
      </c>
      <c r="CT299" s="21" t="str">
        <f>IF([1]!BANCO10[[#This Row],[SOLUÇÃO]]=CT$1,[1]!BANCO10[[#This Row],[STATUS DA ETAPA]],"")</f>
        <v/>
      </c>
      <c r="CU299" s="21" t="str">
        <f>IF([1]!BANCO10[[#This Row],[SOLUÇÃO]]=CU$1,[1]!BANCO10[[#This Row],[STATUS DA ETAPA]],"")</f>
        <v/>
      </c>
      <c r="CV299" s="21" t="str">
        <f>IF([1]!BANCO10[[#This Row],[SOLUÇÃO]]=CV$1,[1]!BANCO10[[#This Row],[STATUS DA ETAPA]],"")</f>
        <v/>
      </c>
    </row>
    <row r="300" spans="1:100">
      <c r="A300" s="44" t="s">
        <v>1</v>
      </c>
      <c r="B300" s="44"/>
      <c r="C300" s="44" t="s">
        <v>1</v>
      </c>
      <c r="D300" s="44"/>
      <c r="E300" s="44" t="s">
        <v>1</v>
      </c>
      <c r="F300" s="44"/>
      <c r="G300" s="44" t="s">
        <v>1</v>
      </c>
      <c r="H300" s="44"/>
      <c r="I300" s="45" t="s">
        <v>1</v>
      </c>
      <c r="J300" s="46"/>
      <c r="K300" s="45" t="s">
        <v>1</v>
      </c>
      <c r="L300" s="33"/>
      <c r="M300" s="45" t="s">
        <v>1</v>
      </c>
      <c r="N300" s="33"/>
      <c r="O300" s="44" t="s">
        <v>2</v>
      </c>
      <c r="P300" s="44">
        <v>45310</v>
      </c>
      <c r="Q300" s="44" t="s">
        <v>2</v>
      </c>
      <c r="R300" s="44">
        <v>45386</v>
      </c>
      <c r="S300" s="44" t="s">
        <v>2</v>
      </c>
      <c r="T300" s="44">
        <v>45386</v>
      </c>
      <c r="U300" s="44" t="s">
        <v>2</v>
      </c>
      <c r="V300" s="44">
        <v>45390</v>
      </c>
      <c r="W300" s="44"/>
      <c r="X300" s="44"/>
      <c r="Y300" s="44"/>
      <c r="Z300" s="44"/>
      <c r="AA300" s="44" t="s">
        <v>2</v>
      </c>
      <c r="AB300" s="44"/>
      <c r="AC300" s="51">
        <v>45440</v>
      </c>
      <c r="AD300" s="50">
        <v>45513</v>
      </c>
      <c r="AE300" s="40" t="s">
        <v>2</v>
      </c>
      <c r="AF300" s="40" t="s">
        <v>2</v>
      </c>
      <c r="AG300" s="76" t="s">
        <v>5</v>
      </c>
      <c r="AH300" s="36" t="s">
        <v>0</v>
      </c>
      <c r="AI300" s="49">
        <v>0</v>
      </c>
      <c r="AJ300" s="36" t="s">
        <v>6</v>
      </c>
      <c r="AK300" s="10" t="s">
        <v>592</v>
      </c>
      <c r="AL300" s="36">
        <v>4742</v>
      </c>
      <c r="AM300" s="36"/>
      <c r="AN300" s="35" t="s">
        <v>1</v>
      </c>
      <c r="AO300" s="35" t="s">
        <v>1</v>
      </c>
      <c r="AP300" s="35" t="s">
        <v>2</v>
      </c>
      <c r="AQ300" s="35" t="s">
        <v>1</v>
      </c>
      <c r="AR300" s="34" t="s">
        <v>1</v>
      </c>
      <c r="AS300" s="33"/>
      <c r="AT300" s="32" t="s">
        <v>1</v>
      </c>
      <c r="AU300" s="31"/>
      <c r="AV300" s="32" t="s">
        <v>1</v>
      </c>
      <c r="AW300" s="31"/>
      <c r="AX300" s="28" t="s">
        <v>2</v>
      </c>
      <c r="AY300" s="55">
        <v>45513</v>
      </c>
      <c r="AZ300" s="28" t="s">
        <v>2</v>
      </c>
      <c r="BA300" s="55">
        <v>45512</v>
      </c>
      <c r="BB300" s="74"/>
      <c r="BC300" s="25"/>
      <c r="BD300" s="24"/>
      <c r="BE300" s="24"/>
      <c r="BF300" s="24"/>
      <c r="BG300" s="24"/>
      <c r="BH300" s="130"/>
      <c r="BI300" s="24"/>
      <c r="BJ300" s="24"/>
      <c r="BK300" s="24"/>
      <c r="BL300" s="24">
        <v>45391</v>
      </c>
      <c r="BM300" s="24" t="s">
        <v>11</v>
      </c>
      <c r="BN300" s="24" t="s">
        <v>11</v>
      </c>
      <c r="BO300" s="24" t="s">
        <v>11</v>
      </c>
      <c r="BP300" s="24" t="s">
        <v>591</v>
      </c>
      <c r="BQ300" s="22">
        <f>YEAR([1]!BANCO10[[#This Row],[DATA INÍCIO]])</f>
        <v>2024</v>
      </c>
      <c r="BR300" s="22">
        <f>MONTH([1]!BANCO10[[#This Row],[DATA INÍCIO]])</f>
        <v>5</v>
      </c>
      <c r="BS300" s="129" t="e">
        <f>CONCATENATE(#REF!,#REF!)</f>
        <v>#REF!</v>
      </c>
      <c r="BT300" s="22"/>
      <c r="BU300" s="21" t="s">
        <v>590</v>
      </c>
      <c r="BV300" s="21" t="str">
        <f>IF([1]!BANCO10[[#This Row],[SOLUÇÃO]]=BV$1,[1]!BANCO10[[#This Row],[STATUS DA ETAPA]],"")</f>
        <v/>
      </c>
      <c r="BW300" s="21" t="str">
        <f>IF([1]!BANCO10[[#This Row],[SOLUÇÃO]]=BW$1,[1]!BANCO10[[#This Row],[STATUS DA ETAPA]],"")</f>
        <v/>
      </c>
      <c r="BX300" s="21" t="str">
        <f>IF([1]!BANCO10[[#This Row],[SOLUÇÃO]]=BX$1,[1]!BANCO10[[#This Row],[STATUS DA ETAPA]],"")</f>
        <v/>
      </c>
      <c r="BY300" s="21" t="str">
        <f>IF([1]!BANCO10[[#This Row],[SOLUÇÃO]]=BY$1,[1]!BANCO10[[#This Row],[STATUS DA ETAPA]],"")</f>
        <v/>
      </c>
      <c r="BZ300" s="21" t="str">
        <f>IF([1]!BANCO10[[#This Row],[SOLUÇÃO]]=BZ$1,[1]!BANCO10[[#This Row],[STATUS DA ETAPA]],"")</f>
        <v/>
      </c>
      <c r="CA300" s="21" t="str">
        <f>IF([1]!BANCO10[[#This Row],[SOLUÇÃO]]=CA$1,[1]!BANCO10[[#This Row],[STATUS DA ETAPA]],"")</f>
        <v/>
      </c>
      <c r="CB300" s="21" t="str">
        <f>IF([1]!BANCO10[[#This Row],[SOLUÇÃO]]=CB$1,[1]!BANCO10[[#This Row],[STATUS DA ETAPA]],"")</f>
        <v/>
      </c>
      <c r="CC300" s="21" t="str">
        <f>IF([1]!BANCO10[[#This Row],[SOLUÇÃO]]=CC$1,[1]!BANCO10[[#This Row],[STATUS DA ETAPA]],"")</f>
        <v/>
      </c>
      <c r="CD300" s="21" t="str">
        <f>IF([1]!BANCO10[[#This Row],[SOLUÇÃO]]=CD$1,[1]!BANCO10[[#This Row],[STATUS DA ETAPA]],"")</f>
        <v/>
      </c>
      <c r="CE300" s="21" t="str">
        <f>IF([1]!BANCO10[[#This Row],[SOLUÇÃO]]=CE$1,[1]!BANCO10[[#This Row],[STATUS DA ETAPA]],"")</f>
        <v/>
      </c>
      <c r="CF300" s="21" t="str">
        <f>IF([1]!BANCO10[[#This Row],[SOLUÇÃO]]=CF$1,[1]!BANCO10[[#This Row],[STATUS DA ETAPA]],"")</f>
        <v/>
      </c>
      <c r="CG300" s="21" t="str">
        <f>IF([1]!BANCO10[[#This Row],[SOLUÇÃO]]=CG$1,[1]!BANCO10[[#This Row],[STATUS DA ETAPA]],"")</f>
        <v/>
      </c>
      <c r="CH300" s="21" t="str">
        <f>IF([1]!BANCO10[[#This Row],[SOLUÇÃO]]=CH$1,[1]!BANCO10[[#This Row],[STATUS DA ETAPA]],"")</f>
        <v/>
      </c>
      <c r="CI300" s="21" t="str">
        <f>IF([1]!BANCO10[[#This Row],[SOLUÇÃO]]=CI$1,[1]!BANCO10[[#This Row],[STATUS DA ETAPA]],"")</f>
        <v/>
      </c>
      <c r="CJ300" s="21" t="str">
        <f>IF([1]!BANCO10[[#This Row],[SOLUÇÃO]]=CJ$1,[1]!BANCO10[[#This Row],[STATUS DA ETAPA]],"")</f>
        <v/>
      </c>
      <c r="CK300" s="21" t="str">
        <f>IF([1]!BANCO10[[#This Row],[SOLUÇÃO]]=CK$1,[1]!BANCO10[[#This Row],[STATUS DA ETAPA]],"")</f>
        <v/>
      </c>
      <c r="CL300" s="21" t="str">
        <f>IF([1]!BANCO10[[#This Row],[SOLUÇÃO]]=CL$1,[1]!BANCO10[[#This Row],[STATUS DA ETAPA]],"")</f>
        <v>CONCLUÍDO</v>
      </c>
      <c r="CM300" s="21" t="str">
        <f>IF([1]!BANCO10[[#This Row],[SOLUÇÃO]]=CM$1,[1]!BANCO10[[#This Row],[STATUS DA ETAPA]],"")</f>
        <v/>
      </c>
      <c r="CN300" s="21" t="str">
        <f>IF([1]!BANCO10[[#This Row],[SOLUÇÃO]]=CN$1,[1]!BANCO10[[#This Row],[STATUS DA ETAPA]],"")</f>
        <v/>
      </c>
      <c r="CO300" s="21" t="str">
        <f>IF([1]!BANCO10[[#This Row],[SOLUÇÃO]]=CO$1,[1]!BANCO10[[#This Row],[STATUS DA ETAPA]],"")</f>
        <v/>
      </c>
      <c r="CP300" s="21" t="str">
        <f>IF([1]!BANCO10[[#This Row],[SOLUÇÃO]]=CP$1,[1]!BANCO10[[#This Row],[STATUS DA ETAPA]],"")</f>
        <v/>
      </c>
      <c r="CQ300" s="21" t="str">
        <f>IF([1]!BANCO10[[#This Row],[SOLUÇÃO]]=CQ$1,[1]!BANCO10[[#This Row],[STATUS DA ETAPA]],"")</f>
        <v/>
      </c>
      <c r="CR300" s="21" t="str">
        <f>IF([1]!BANCO10[[#This Row],[SOLUÇÃO]]=CR$1,[1]!BANCO10[[#This Row],[STATUS DA ETAPA]],"")</f>
        <v/>
      </c>
      <c r="CS300" s="21" t="str">
        <f>IF([1]!BANCO10[[#This Row],[SOLUÇÃO]]=CS$1,[1]!BANCO10[[#This Row],[STATUS DA ETAPA]],"")</f>
        <v/>
      </c>
      <c r="CT300" s="21" t="str">
        <f>IF([1]!BANCO10[[#This Row],[SOLUÇÃO]]=CT$1,[1]!BANCO10[[#This Row],[STATUS DA ETAPA]],"")</f>
        <v/>
      </c>
      <c r="CU300" s="21" t="str">
        <f>IF([1]!BANCO10[[#This Row],[SOLUÇÃO]]=CU$1,[1]!BANCO10[[#This Row],[STATUS DA ETAPA]],"")</f>
        <v/>
      </c>
      <c r="CV300" s="21" t="str">
        <f>IF([1]!BANCO10[[#This Row],[SOLUÇÃO]]=CV$1,[1]!BANCO10[[#This Row],[STATUS DA ETAPA]],"")</f>
        <v/>
      </c>
    </row>
    <row r="301" spans="1:100">
      <c r="A301" s="44" t="s">
        <v>1</v>
      </c>
      <c r="B301" s="44"/>
      <c r="C301" s="44" t="s">
        <v>1</v>
      </c>
      <c r="D301" s="44"/>
      <c r="E301" s="44" t="s">
        <v>1</v>
      </c>
      <c r="F301" s="44"/>
      <c r="G301" s="44" t="s">
        <v>1</v>
      </c>
      <c r="H301" s="44"/>
      <c r="I301" s="45" t="s">
        <v>1</v>
      </c>
      <c r="J301" s="46"/>
      <c r="K301" s="45" t="s">
        <v>1</v>
      </c>
      <c r="L301" s="33"/>
      <c r="M301" s="45" t="s">
        <v>1</v>
      </c>
      <c r="N301" s="33"/>
      <c r="O301" s="44" t="s">
        <v>1</v>
      </c>
      <c r="P301" s="44"/>
      <c r="Q301" s="44" t="s">
        <v>1</v>
      </c>
      <c r="R301" s="44"/>
      <c r="S301" s="44" t="s">
        <v>1</v>
      </c>
      <c r="T301" s="44"/>
      <c r="U301" s="44" t="s">
        <v>2</v>
      </c>
      <c r="V301" s="44">
        <v>45825</v>
      </c>
      <c r="W301" s="44" t="s">
        <v>2</v>
      </c>
      <c r="X301" s="44">
        <v>45825</v>
      </c>
      <c r="Y301" s="44" t="s">
        <v>2</v>
      </c>
      <c r="Z301" s="44">
        <v>45825</v>
      </c>
      <c r="AA301" s="44" t="s">
        <v>2</v>
      </c>
      <c r="AB301" s="44"/>
      <c r="AC301" s="51">
        <v>45852</v>
      </c>
      <c r="AD301" s="50">
        <v>45922</v>
      </c>
      <c r="AE301" s="68" t="s">
        <v>2</v>
      </c>
      <c r="AF301" s="68" t="s">
        <v>2</v>
      </c>
      <c r="AG301" s="76" t="s">
        <v>4</v>
      </c>
      <c r="AH301" s="36" t="s">
        <v>0</v>
      </c>
      <c r="AI301" s="49">
        <v>0</v>
      </c>
      <c r="AJ301" s="36" t="s">
        <v>6</v>
      </c>
      <c r="AK301" s="21" t="s">
        <v>589</v>
      </c>
      <c r="AL301" s="36">
        <v>7498</v>
      </c>
      <c r="AM301" s="36">
        <v>0</v>
      </c>
      <c r="AN301" s="35" t="s">
        <v>1</v>
      </c>
      <c r="AO301" s="35" t="s">
        <v>1</v>
      </c>
      <c r="AP301" s="35" t="s">
        <v>2</v>
      </c>
      <c r="AQ301" s="35" t="s">
        <v>1</v>
      </c>
      <c r="AR301" s="34" t="s">
        <v>1</v>
      </c>
      <c r="AS301" s="33"/>
      <c r="AT301" s="32" t="s">
        <v>2</v>
      </c>
      <c r="AU301" s="96">
        <v>45923</v>
      </c>
      <c r="AV301" s="28" t="s">
        <v>0</v>
      </c>
      <c r="AW301" s="31"/>
      <c r="AX301" s="30" t="s">
        <v>0</v>
      </c>
      <c r="AY301" s="29"/>
      <c r="AZ301" s="28" t="s">
        <v>0</v>
      </c>
      <c r="BA301" s="27"/>
      <c r="BB301" s="39">
        <v>45835</v>
      </c>
      <c r="BC301" s="25" t="s">
        <v>127</v>
      </c>
      <c r="BD301" s="24"/>
      <c r="BE301" s="24"/>
      <c r="BF301" s="24"/>
      <c r="BG301" s="24"/>
      <c r="BH301" s="24"/>
      <c r="BI301" s="24"/>
      <c r="BJ301" s="24"/>
      <c r="BK301" s="24"/>
      <c r="BL301" s="24"/>
      <c r="BM301" s="24"/>
      <c r="BN301" s="24"/>
      <c r="BO301" s="24"/>
      <c r="BP301" s="24"/>
      <c r="BQ301" s="22">
        <f>YEAR([1]!BANCO10[[#This Row],[DATA INÍCIO]])</f>
        <v>2025</v>
      </c>
      <c r="BR301" s="22">
        <f>MONTH([1]!BANCO10[[#This Row],[DATA INÍCIO]])</f>
        <v>7</v>
      </c>
      <c r="BS301" s="23" t="e">
        <f>CONCATENATE(#REF!,#REF!)</f>
        <v>#REF!</v>
      </c>
      <c r="BT301" s="22"/>
      <c r="BU301" s="22"/>
      <c r="BV301" s="21" t="str">
        <f>IF([1]!BANCO10[[#This Row],[SOLUÇÃO]]=BV$1,[1]!BANCO10[[#This Row],[STATUS DA ETAPA]],"")</f>
        <v/>
      </c>
      <c r="BW301" s="21" t="str">
        <f>IF([1]!BANCO10[[#This Row],[SOLUÇÃO]]=BW$1,[1]!BANCO10[[#This Row],[STATUS DA ETAPA]],"")</f>
        <v/>
      </c>
      <c r="BX301" s="21" t="str">
        <f>IF([1]!BANCO10[[#This Row],[SOLUÇÃO]]=BX$1,[1]!BANCO10[[#This Row],[STATUS DA ETAPA]],"")</f>
        <v/>
      </c>
      <c r="BY301" s="21" t="str">
        <f>IF([1]!BANCO10[[#This Row],[SOLUÇÃO]]=BY$1,[1]!BANCO10[[#This Row],[STATUS DA ETAPA]],"")</f>
        <v/>
      </c>
      <c r="BZ301" s="21" t="str">
        <f>IF([1]!BANCO10[[#This Row],[SOLUÇÃO]]=BZ$1,[1]!BANCO10[[#This Row],[STATUS DA ETAPA]],"")</f>
        <v/>
      </c>
      <c r="CA301" s="21" t="str">
        <f>IF([1]!BANCO10[[#This Row],[SOLUÇÃO]]=CA$1,[1]!BANCO10[[#This Row],[STATUS DA ETAPA]],"")</f>
        <v/>
      </c>
      <c r="CB301" s="21" t="str">
        <f>IF([1]!BANCO10[[#This Row],[SOLUÇÃO]]=CB$1,[1]!BANCO10[[#This Row],[STATUS DA ETAPA]],"")</f>
        <v/>
      </c>
      <c r="CC301" s="21" t="str">
        <f>IF([1]!BANCO10[[#This Row],[SOLUÇÃO]]=CC$1,[1]!BANCO10[[#This Row],[STATUS DA ETAPA]],"")</f>
        <v/>
      </c>
      <c r="CD301" s="21" t="str">
        <f>IF([1]!BANCO10[[#This Row],[SOLUÇÃO]]=CD$1,[1]!BANCO10[[#This Row],[STATUS DA ETAPA]],"")</f>
        <v/>
      </c>
      <c r="CE301" s="21" t="str">
        <f>IF([1]!BANCO10[[#This Row],[SOLUÇÃO]]=CE$1,[1]!BANCO10[[#This Row],[STATUS DA ETAPA]],"")</f>
        <v/>
      </c>
      <c r="CF301" s="21" t="str">
        <f>IF([1]!BANCO10[[#This Row],[SOLUÇÃO]]=CF$1,[1]!BANCO10[[#This Row],[STATUS DA ETAPA]],"")</f>
        <v/>
      </c>
      <c r="CG301" s="21" t="str">
        <f>IF([1]!BANCO10[[#This Row],[SOLUÇÃO]]=CG$1,[1]!BANCO10[[#This Row],[STATUS DA ETAPA]],"")</f>
        <v/>
      </c>
      <c r="CH301" s="21" t="str">
        <f>IF([1]!BANCO10[[#This Row],[SOLUÇÃO]]=CH$1,[1]!BANCO10[[#This Row],[STATUS DA ETAPA]],"")</f>
        <v/>
      </c>
      <c r="CI301" s="21" t="str">
        <f>IF([1]!BANCO10[[#This Row],[SOLUÇÃO]]=CI$1,[1]!BANCO10[[#This Row],[STATUS DA ETAPA]],"")</f>
        <v/>
      </c>
      <c r="CJ301" s="21" t="str">
        <f>IF([1]!BANCO10[[#This Row],[SOLUÇÃO]]=CJ$1,[1]!BANCO10[[#This Row],[STATUS DA ETAPA]],"")</f>
        <v/>
      </c>
      <c r="CK301" s="21" t="str">
        <f>IF([1]!BANCO10[[#This Row],[SOLUÇÃO]]=CK$1,[1]!BANCO10[[#This Row],[STATUS DA ETAPA]],"")</f>
        <v/>
      </c>
      <c r="CL301" s="21" t="str">
        <f>IF([1]!BANCO10[[#This Row],[SOLUÇÃO]]=CL$1,[1]!BANCO10[[#This Row],[STATUS DA ETAPA]],"")</f>
        <v/>
      </c>
      <c r="CM301" s="21" t="str">
        <f>IF([1]!BANCO10[[#This Row],[SOLUÇÃO]]=CM$1,[1]!BANCO10[[#This Row],[STATUS DA ETAPA]],"")</f>
        <v/>
      </c>
      <c r="CN301" s="21" t="str">
        <f>IF([1]!BANCO10[[#This Row],[SOLUÇÃO]]=CN$1,[1]!BANCO10[[#This Row],[STATUS DA ETAPA]],"")</f>
        <v/>
      </c>
      <c r="CO301" s="21" t="str">
        <f>IF([1]!BANCO10[[#This Row],[SOLUÇÃO]]=CO$1,[1]!BANCO10[[#This Row],[STATUS DA ETAPA]],"")</f>
        <v>CONCLUÍDO</v>
      </c>
      <c r="CP301" s="21" t="str">
        <f>IF([1]!BANCO10[[#This Row],[SOLUÇÃO]]=CP$1,[1]!BANCO10[[#This Row],[STATUS DA ETAPA]],"")</f>
        <v/>
      </c>
      <c r="CQ301" s="21" t="str">
        <f>IF([1]!BANCO10[[#This Row],[SOLUÇÃO]]=CQ$1,[1]!BANCO10[[#This Row],[STATUS DA ETAPA]],"")</f>
        <v/>
      </c>
      <c r="CR301" s="21" t="str">
        <f>IF([1]!BANCO10[[#This Row],[SOLUÇÃO]]=CR$1,[1]!BANCO10[[#This Row],[STATUS DA ETAPA]],"")</f>
        <v/>
      </c>
      <c r="CS301" s="21" t="str">
        <f>IF([1]!BANCO10[[#This Row],[SOLUÇÃO]]=CS$1,[1]!BANCO10[[#This Row],[STATUS DA ETAPA]],"")</f>
        <v/>
      </c>
      <c r="CT301" s="21" t="str">
        <f>IF([1]!BANCO10[[#This Row],[SOLUÇÃO]]=CT$1,[1]!BANCO10[[#This Row],[STATUS DA ETAPA]],"")</f>
        <v/>
      </c>
      <c r="CU301" s="21" t="str">
        <f>IF([1]!BANCO10[[#This Row],[SOLUÇÃO]]=CU$1,[1]!BANCO10[[#This Row],[STATUS DA ETAPA]],"")</f>
        <v/>
      </c>
      <c r="CV301" s="21" t="str">
        <f>IF([1]!BANCO10[[#This Row],[SOLUÇÃO]]=CV$1,[1]!BANCO10[[#This Row],[STATUS DA ETAPA]],"")</f>
        <v/>
      </c>
    </row>
    <row r="302" spans="1:100">
      <c r="A302" s="44" t="s">
        <v>1</v>
      </c>
      <c r="B302" s="44"/>
      <c r="C302" s="44" t="s">
        <v>1</v>
      </c>
      <c r="D302" s="44"/>
      <c r="E302" s="44" t="s">
        <v>1</v>
      </c>
      <c r="F302" s="44"/>
      <c r="G302" s="44" t="s">
        <v>1</v>
      </c>
      <c r="H302" s="44"/>
      <c r="I302" s="45" t="s">
        <v>1</v>
      </c>
      <c r="J302" s="46"/>
      <c r="K302" s="45" t="s">
        <v>1</v>
      </c>
      <c r="L302" s="33"/>
      <c r="M302" s="45" t="s">
        <v>1</v>
      </c>
      <c r="N302" s="33"/>
      <c r="O302" s="44" t="s">
        <v>0</v>
      </c>
      <c r="P302" s="44"/>
      <c r="Q302" s="44" t="s">
        <v>0</v>
      </c>
      <c r="R302" s="44"/>
      <c r="S302" s="44" t="s">
        <v>0</v>
      </c>
      <c r="T302" s="44"/>
      <c r="U302" s="44"/>
      <c r="V302" s="44"/>
      <c r="W302" s="44"/>
      <c r="X302" s="44"/>
      <c r="Y302" s="44"/>
      <c r="Z302" s="44"/>
      <c r="AA302" s="44"/>
      <c r="AB302" s="44"/>
      <c r="AC302" s="51">
        <v>45963</v>
      </c>
      <c r="AD302" s="50">
        <v>45963</v>
      </c>
      <c r="AE302" s="41" t="s">
        <v>1</v>
      </c>
      <c r="AF302" s="41" t="s">
        <v>1</v>
      </c>
      <c r="AG302" s="76" t="s">
        <v>5</v>
      </c>
      <c r="AH302" s="36" t="s">
        <v>0</v>
      </c>
      <c r="AI302" s="49">
        <v>0</v>
      </c>
      <c r="AJ302" s="36" t="s">
        <v>1</v>
      </c>
      <c r="AK302" s="10" t="s">
        <v>1</v>
      </c>
      <c r="AL302" s="36" t="s">
        <v>1</v>
      </c>
      <c r="AM302" s="36" t="s">
        <v>1</v>
      </c>
      <c r="AN302" s="35" t="s">
        <v>1</v>
      </c>
      <c r="AO302" s="35" t="s">
        <v>1</v>
      </c>
      <c r="AP302" s="35" t="s">
        <v>1</v>
      </c>
      <c r="AQ302" s="35" t="s">
        <v>1</v>
      </c>
      <c r="AR302" s="33" t="s">
        <v>1</v>
      </c>
      <c r="AS302" s="33"/>
      <c r="AT302" s="32" t="s">
        <v>0</v>
      </c>
      <c r="AU302" s="31"/>
      <c r="AV302" s="32" t="s">
        <v>0</v>
      </c>
      <c r="AW302" s="31"/>
      <c r="AX302" s="30" t="s">
        <v>0</v>
      </c>
      <c r="AY302" s="29"/>
      <c r="AZ302" s="28" t="s">
        <v>0</v>
      </c>
      <c r="BA302" s="81"/>
      <c r="BB302" s="127" t="s">
        <v>588</v>
      </c>
      <c r="BC302" s="25"/>
      <c r="BD302" s="24"/>
      <c r="BE302" s="24"/>
      <c r="BF302" s="24"/>
      <c r="BG302" s="24"/>
      <c r="BH302" s="24"/>
      <c r="BI302" s="24"/>
      <c r="BJ302" s="24"/>
      <c r="BK302" s="24"/>
      <c r="BL302" s="24"/>
      <c r="BM302" s="24"/>
      <c r="BN302" s="24"/>
      <c r="BO302" s="24"/>
      <c r="BP302" s="24"/>
      <c r="BQ302" s="22">
        <f>YEAR([1]!BANCO10[[#This Row],[DATA INÍCIO]])</f>
        <v>2025</v>
      </c>
      <c r="BR302" s="22">
        <f>MONTH([1]!BANCO10[[#This Row],[DATA INÍCIO]])</f>
        <v>11</v>
      </c>
      <c r="BS302" s="23" t="e">
        <f>CONCATENATE(#REF!,#REF!)</f>
        <v>#REF!</v>
      </c>
      <c r="BT302" s="22"/>
      <c r="BU302" s="22"/>
      <c r="BV302" s="21" t="str">
        <f>IF([1]!BANCO10[[#This Row],[SOLUÇÃO]]=BV$1,[1]!BANCO10[[#This Row],[STATUS DA ETAPA]],"")</f>
        <v/>
      </c>
      <c r="BW302" s="21" t="str">
        <f>IF([1]!BANCO10[[#This Row],[SOLUÇÃO]]=BW$1,[1]!BANCO10[[#This Row],[STATUS DA ETAPA]],"")</f>
        <v/>
      </c>
      <c r="BX302" s="21" t="str">
        <f>IF([1]!BANCO10[[#This Row],[SOLUÇÃO]]=BX$1,[1]!BANCO10[[#This Row],[STATUS DA ETAPA]],"")</f>
        <v/>
      </c>
      <c r="BY302" s="21" t="str">
        <f>IF([1]!BANCO10[[#This Row],[SOLUÇÃO]]=BY$1,[1]!BANCO10[[#This Row],[STATUS DA ETAPA]],"")</f>
        <v/>
      </c>
      <c r="BZ302" s="21" t="str">
        <f>IF([1]!BANCO10[[#This Row],[SOLUÇÃO]]=BZ$1,[1]!BANCO10[[#This Row],[STATUS DA ETAPA]],"")</f>
        <v/>
      </c>
      <c r="CA302" s="21" t="str">
        <f>IF([1]!BANCO10[[#This Row],[SOLUÇÃO]]=CA$1,[1]!BANCO10[[#This Row],[STATUS DA ETAPA]],"")</f>
        <v>CANCELADO</v>
      </c>
      <c r="CB302" s="21" t="str">
        <f>IF([1]!BANCO10[[#This Row],[SOLUÇÃO]]=CB$1,[1]!BANCO10[[#This Row],[STATUS DA ETAPA]],"")</f>
        <v/>
      </c>
      <c r="CC302" s="21" t="str">
        <f>IF([1]!BANCO10[[#This Row],[SOLUÇÃO]]=CC$1,[1]!BANCO10[[#This Row],[STATUS DA ETAPA]],"")</f>
        <v/>
      </c>
      <c r="CD302" s="21" t="str">
        <f>IF([1]!BANCO10[[#This Row],[SOLUÇÃO]]=CD$1,[1]!BANCO10[[#This Row],[STATUS DA ETAPA]],"")</f>
        <v/>
      </c>
      <c r="CE302" s="21" t="str">
        <f>IF([1]!BANCO10[[#This Row],[SOLUÇÃO]]=CE$1,[1]!BANCO10[[#This Row],[STATUS DA ETAPA]],"")</f>
        <v/>
      </c>
      <c r="CF302" s="21" t="str">
        <f>IF([1]!BANCO10[[#This Row],[SOLUÇÃO]]=CF$1,[1]!BANCO10[[#This Row],[STATUS DA ETAPA]],"")</f>
        <v/>
      </c>
      <c r="CG302" s="21" t="str">
        <f>IF([1]!BANCO10[[#This Row],[SOLUÇÃO]]=CG$1,[1]!BANCO10[[#This Row],[STATUS DA ETAPA]],"")</f>
        <v/>
      </c>
      <c r="CH302" s="21" t="str">
        <f>IF([1]!BANCO10[[#This Row],[SOLUÇÃO]]=CH$1,[1]!BANCO10[[#This Row],[STATUS DA ETAPA]],"")</f>
        <v/>
      </c>
      <c r="CI302" s="21" t="str">
        <f>IF([1]!BANCO10[[#This Row],[SOLUÇÃO]]=CI$1,[1]!BANCO10[[#This Row],[STATUS DA ETAPA]],"")</f>
        <v/>
      </c>
      <c r="CJ302" s="21" t="str">
        <f>IF([1]!BANCO10[[#This Row],[SOLUÇÃO]]=CJ$1,[1]!BANCO10[[#This Row],[STATUS DA ETAPA]],"")</f>
        <v/>
      </c>
      <c r="CK302" s="21" t="str">
        <f>IF([1]!BANCO10[[#This Row],[SOLUÇÃO]]=CK$1,[1]!BANCO10[[#This Row],[STATUS DA ETAPA]],"")</f>
        <v/>
      </c>
      <c r="CL302" s="21" t="str">
        <f>IF([1]!BANCO10[[#This Row],[SOLUÇÃO]]=CL$1,[1]!BANCO10[[#This Row],[STATUS DA ETAPA]],"")</f>
        <v/>
      </c>
      <c r="CM302" s="21" t="str">
        <f>IF([1]!BANCO10[[#This Row],[SOLUÇÃO]]=CM$1,[1]!BANCO10[[#This Row],[STATUS DA ETAPA]],"")</f>
        <v/>
      </c>
      <c r="CN302" s="21" t="str">
        <f>IF([1]!BANCO10[[#This Row],[SOLUÇÃO]]=CN$1,[1]!BANCO10[[#This Row],[STATUS DA ETAPA]],"")</f>
        <v/>
      </c>
      <c r="CO302" s="21" t="str">
        <f>IF([1]!BANCO10[[#This Row],[SOLUÇÃO]]=CO$1,[1]!BANCO10[[#This Row],[STATUS DA ETAPA]],"")</f>
        <v/>
      </c>
      <c r="CP302" s="21" t="str">
        <f>IF([1]!BANCO10[[#This Row],[SOLUÇÃO]]=CP$1,[1]!BANCO10[[#This Row],[STATUS DA ETAPA]],"")</f>
        <v/>
      </c>
      <c r="CQ302" s="21" t="str">
        <f>IF([1]!BANCO10[[#This Row],[SOLUÇÃO]]=CQ$1,[1]!BANCO10[[#This Row],[STATUS DA ETAPA]],"")</f>
        <v/>
      </c>
      <c r="CR302" s="21" t="str">
        <f>IF([1]!BANCO10[[#This Row],[SOLUÇÃO]]=CR$1,[1]!BANCO10[[#This Row],[STATUS DA ETAPA]],"")</f>
        <v/>
      </c>
      <c r="CS302" s="21" t="str">
        <f>IF([1]!BANCO10[[#This Row],[SOLUÇÃO]]=CS$1,[1]!BANCO10[[#This Row],[STATUS DA ETAPA]],"")</f>
        <v/>
      </c>
      <c r="CT302" s="21" t="str">
        <f>IF([1]!BANCO10[[#This Row],[SOLUÇÃO]]=CT$1,[1]!BANCO10[[#This Row],[STATUS DA ETAPA]],"")</f>
        <v/>
      </c>
      <c r="CU302" s="21" t="str">
        <f>IF([1]!BANCO10[[#This Row],[SOLUÇÃO]]=CU$1,[1]!BANCO10[[#This Row],[STATUS DA ETAPA]],"")</f>
        <v/>
      </c>
      <c r="CV302" s="21" t="str">
        <f>IF([1]!BANCO10[[#This Row],[SOLUÇÃO]]=CV$1,[1]!BANCO10[[#This Row],[STATUS DA ETAPA]],"")</f>
        <v/>
      </c>
    </row>
    <row r="303" spans="1:100">
      <c r="A303" s="44" t="s">
        <v>1</v>
      </c>
      <c r="B303" s="44"/>
      <c r="C303" s="44" t="s">
        <v>1</v>
      </c>
      <c r="D303" s="44"/>
      <c r="E303" s="44" t="s">
        <v>1</v>
      </c>
      <c r="F303" s="44"/>
      <c r="G303" s="44" t="s">
        <v>1</v>
      </c>
      <c r="H303" s="44"/>
      <c r="I303" s="45" t="s">
        <v>1</v>
      </c>
      <c r="J303" s="46"/>
      <c r="K303" s="45" t="s">
        <v>1</v>
      </c>
      <c r="L303" s="33"/>
      <c r="M303" s="45" t="s">
        <v>1</v>
      </c>
      <c r="N303" s="33"/>
      <c r="O303" s="44" t="s">
        <v>1</v>
      </c>
      <c r="P303" s="44"/>
      <c r="Q303" s="44" t="s">
        <v>1</v>
      </c>
      <c r="R303" s="44"/>
      <c r="S303" s="44" t="s">
        <v>1</v>
      </c>
      <c r="T303" s="44"/>
      <c r="U303" s="44" t="s">
        <v>2</v>
      </c>
      <c r="V303" s="44">
        <v>45617</v>
      </c>
      <c r="W303" s="44" t="s">
        <v>2</v>
      </c>
      <c r="X303" s="44">
        <v>45617</v>
      </c>
      <c r="Y303" s="44" t="s">
        <v>2</v>
      </c>
      <c r="Z303" s="44">
        <v>45617</v>
      </c>
      <c r="AA303" s="44" t="s">
        <v>2</v>
      </c>
      <c r="AB303" s="44">
        <v>45624</v>
      </c>
      <c r="AC303" s="84">
        <v>45635</v>
      </c>
      <c r="AD303" s="83">
        <v>45761</v>
      </c>
      <c r="AE303" s="41" t="s">
        <v>2</v>
      </c>
      <c r="AF303" s="41" t="s">
        <v>2</v>
      </c>
      <c r="AG303" s="76" t="s">
        <v>4</v>
      </c>
      <c r="AH303" s="36" t="s">
        <v>0</v>
      </c>
      <c r="AI303" s="49">
        <v>0</v>
      </c>
      <c r="AJ303" s="36" t="s">
        <v>6</v>
      </c>
      <c r="AK303" s="10" t="s">
        <v>587</v>
      </c>
      <c r="AL303" s="36">
        <v>4702</v>
      </c>
      <c r="AM303" s="36" t="s">
        <v>30</v>
      </c>
      <c r="AN303" s="35" t="s">
        <v>1</v>
      </c>
      <c r="AO303" s="35" t="s">
        <v>1</v>
      </c>
      <c r="AP303" s="35" t="s">
        <v>2</v>
      </c>
      <c r="AQ303" s="35" t="s">
        <v>1</v>
      </c>
      <c r="AR303" s="34" t="s">
        <v>1</v>
      </c>
      <c r="AS303" s="33"/>
      <c r="AT303" s="32" t="s">
        <v>2</v>
      </c>
      <c r="AU303" s="31">
        <v>45771</v>
      </c>
      <c r="AV303" s="32" t="s">
        <v>2</v>
      </c>
      <c r="AW303" s="31">
        <v>45784</v>
      </c>
      <c r="AX303" s="32" t="s">
        <v>2</v>
      </c>
      <c r="AY303" s="31">
        <v>45784</v>
      </c>
      <c r="AZ303" s="32" t="s">
        <v>0</v>
      </c>
      <c r="BA303" s="31"/>
      <c r="BB303" s="39"/>
      <c r="BC303" s="25" t="s">
        <v>162</v>
      </c>
      <c r="BD303" s="24"/>
      <c r="BE303" s="24"/>
      <c r="BF303" s="79"/>
      <c r="BG303" s="79"/>
      <c r="BH303" s="80"/>
      <c r="BI303" s="79"/>
      <c r="BJ303" s="54"/>
      <c r="BK303" s="78"/>
      <c r="BL303" s="69"/>
      <c r="BM303" s="78"/>
      <c r="BN303" s="78"/>
      <c r="BO303" s="78"/>
      <c r="BP303" s="78"/>
      <c r="BQ303" s="21">
        <f>YEAR([1]!BANCO10[[#This Row],[DATA INÍCIO]])</f>
        <v>2024</v>
      </c>
      <c r="BR303" s="21">
        <f>MONTH([1]!BANCO10[[#This Row],[DATA INÍCIO]])</f>
        <v>12</v>
      </c>
      <c r="BS303" s="21" t="e">
        <f>CONCATENATE(#REF!,#REF!)</f>
        <v>#REF!</v>
      </c>
      <c r="BT303" s="21"/>
      <c r="BU303" s="21"/>
      <c r="BV303" s="21" t="str">
        <f>IF([1]!BANCO10[[#This Row],[SOLUÇÃO]]=BV$1,[1]!BANCO10[[#This Row],[STATUS DA ETAPA]],"")</f>
        <v/>
      </c>
      <c r="BW303" s="21" t="str">
        <f>IF([1]!BANCO10[[#This Row],[SOLUÇÃO]]=BW$1,[1]!BANCO10[[#This Row],[STATUS DA ETAPA]],"")</f>
        <v/>
      </c>
      <c r="BX303" s="21" t="str">
        <f>IF([1]!BANCO10[[#This Row],[SOLUÇÃO]]=BX$1,[1]!BANCO10[[#This Row],[STATUS DA ETAPA]],"")</f>
        <v>CONCLUÍDO</v>
      </c>
      <c r="BY303" s="21" t="str">
        <f>IF([1]!BANCO10[[#This Row],[SOLUÇÃO]]=BY$1,[1]!BANCO10[[#This Row],[STATUS DA ETAPA]],"")</f>
        <v/>
      </c>
      <c r="BZ303" s="21" t="str">
        <f>IF([1]!BANCO10[[#This Row],[SOLUÇÃO]]=BZ$1,[1]!BANCO10[[#This Row],[STATUS DA ETAPA]],"")</f>
        <v/>
      </c>
      <c r="CA303" s="21" t="str">
        <f>IF([1]!BANCO10[[#This Row],[SOLUÇÃO]]=CA$1,[1]!BANCO10[[#This Row],[STATUS DA ETAPA]],"")</f>
        <v/>
      </c>
      <c r="CB303" s="21" t="str">
        <f>IF([1]!BANCO10[[#This Row],[SOLUÇÃO]]=CB$1,[1]!BANCO10[[#This Row],[STATUS DA ETAPA]],"")</f>
        <v/>
      </c>
      <c r="CC303" s="21" t="str">
        <f>IF([1]!BANCO10[[#This Row],[SOLUÇÃO]]=CC$1,[1]!BANCO10[[#This Row],[STATUS DA ETAPA]],"")</f>
        <v/>
      </c>
      <c r="CD303" s="21" t="str">
        <f>IF([1]!BANCO10[[#This Row],[SOLUÇÃO]]=CD$1,[1]!BANCO10[[#This Row],[STATUS DA ETAPA]],"")</f>
        <v/>
      </c>
      <c r="CE303" s="21" t="str">
        <f>IF([1]!BANCO10[[#This Row],[SOLUÇÃO]]=CE$1,[1]!BANCO10[[#This Row],[STATUS DA ETAPA]],"")</f>
        <v/>
      </c>
      <c r="CF303" s="21" t="str">
        <f>IF([1]!BANCO10[[#This Row],[SOLUÇÃO]]=CF$1,[1]!BANCO10[[#This Row],[STATUS DA ETAPA]],"")</f>
        <v/>
      </c>
      <c r="CG303" s="21" t="str">
        <f>IF([1]!BANCO10[[#This Row],[SOLUÇÃO]]=CG$1,[1]!BANCO10[[#This Row],[STATUS DA ETAPA]],"")</f>
        <v/>
      </c>
      <c r="CH303" s="21" t="str">
        <f>IF([1]!BANCO10[[#This Row],[SOLUÇÃO]]=CH$1,[1]!BANCO10[[#This Row],[STATUS DA ETAPA]],"")</f>
        <v/>
      </c>
      <c r="CI303" s="21" t="str">
        <f>IF([1]!BANCO10[[#This Row],[SOLUÇÃO]]=CI$1,[1]!BANCO10[[#This Row],[STATUS DA ETAPA]],"")</f>
        <v/>
      </c>
      <c r="CJ303" s="21" t="str">
        <f>IF([1]!BANCO10[[#This Row],[SOLUÇÃO]]=CJ$1,[1]!BANCO10[[#This Row],[STATUS DA ETAPA]],"")</f>
        <v/>
      </c>
      <c r="CK303" s="21" t="str">
        <f>IF([1]!BANCO10[[#This Row],[SOLUÇÃO]]=CK$1,[1]!BANCO10[[#This Row],[STATUS DA ETAPA]],"")</f>
        <v/>
      </c>
      <c r="CL303" s="22" t="str">
        <f>IF([1]!BANCO10[[#This Row],[SOLUÇÃO]]=CL$1,[1]!BANCO10[[#This Row],[STATUS DA ETAPA]],"")</f>
        <v/>
      </c>
      <c r="CM303" s="64" t="str">
        <f>IF([1]!BANCO10[[#This Row],[SOLUÇÃO]]=CM$1,[1]!BANCO10[[#This Row],[STATUS DA ETAPA]],"")</f>
        <v/>
      </c>
      <c r="CN303" s="64" t="str">
        <f>IF([1]!BANCO10[[#This Row],[SOLUÇÃO]]=CN$1,[1]!BANCO10[[#This Row],[STATUS DA ETAPA]],"")</f>
        <v/>
      </c>
      <c r="CO303" s="64" t="str">
        <f>IF([1]!BANCO10[[#This Row],[SOLUÇÃO]]=CO$1,[1]!BANCO10[[#This Row],[STATUS DA ETAPA]],"")</f>
        <v/>
      </c>
      <c r="CP303" s="64" t="str">
        <f>IF([1]!BANCO10[[#This Row],[SOLUÇÃO]]=CP$1,[1]!BANCO10[[#This Row],[STATUS DA ETAPA]],"")</f>
        <v/>
      </c>
      <c r="CQ303" s="64" t="str">
        <f>IF([1]!BANCO10[[#This Row],[SOLUÇÃO]]=CQ$1,[1]!BANCO10[[#This Row],[STATUS DA ETAPA]],"")</f>
        <v/>
      </c>
      <c r="CR303" s="64" t="str">
        <f>IF([1]!BANCO10[[#This Row],[SOLUÇÃO]]=CR$1,[1]!BANCO10[[#This Row],[STATUS DA ETAPA]],"")</f>
        <v/>
      </c>
      <c r="CS303" s="64" t="str">
        <f>IF([1]!BANCO10[[#This Row],[SOLUÇÃO]]=CS$1,[1]!BANCO10[[#This Row],[STATUS DA ETAPA]],"")</f>
        <v/>
      </c>
      <c r="CT303" s="64" t="str">
        <f>IF([1]!BANCO10[[#This Row],[SOLUÇÃO]]=CT$1,[1]!BANCO10[[#This Row],[STATUS DA ETAPA]],"")</f>
        <v/>
      </c>
      <c r="CU303" s="64" t="str">
        <f>IF([1]!BANCO10[[#This Row],[SOLUÇÃO]]=CU$1,[1]!BANCO10[[#This Row],[STATUS DA ETAPA]],"")</f>
        <v/>
      </c>
      <c r="CV303" s="64" t="str">
        <f>IF([1]!BANCO10[[#This Row],[SOLUÇÃO]]=CV$1,[1]!BANCO10[[#This Row],[STATUS DA ETAPA]],"")</f>
        <v/>
      </c>
    </row>
    <row r="304" spans="1:100">
      <c r="A304" s="44" t="s">
        <v>2</v>
      </c>
      <c r="B304" s="44">
        <v>45734</v>
      </c>
      <c r="C304" s="44" t="s">
        <v>2</v>
      </c>
      <c r="D304" s="44">
        <v>45734</v>
      </c>
      <c r="E304" s="44" t="s">
        <v>2</v>
      </c>
      <c r="F304" s="44">
        <v>45734</v>
      </c>
      <c r="G304" s="44" t="s">
        <v>2</v>
      </c>
      <c r="H304" s="44">
        <v>45734</v>
      </c>
      <c r="I304" s="45" t="s">
        <v>2</v>
      </c>
      <c r="J304" s="46">
        <v>45715</v>
      </c>
      <c r="K304" s="45" t="s">
        <v>0</v>
      </c>
      <c r="L304" s="33"/>
      <c r="M304" s="45" t="s">
        <v>0</v>
      </c>
      <c r="N304" s="33"/>
      <c r="O304" s="44" t="s">
        <v>1</v>
      </c>
      <c r="P304" s="44"/>
      <c r="Q304" s="44" t="s">
        <v>1</v>
      </c>
      <c r="R304" s="44"/>
      <c r="S304" s="44" t="s">
        <v>2</v>
      </c>
      <c r="T304" s="44">
        <v>45708</v>
      </c>
      <c r="U304" s="44" t="s">
        <v>1</v>
      </c>
      <c r="V304" s="44"/>
      <c r="W304" s="44" t="s">
        <v>1</v>
      </c>
      <c r="X304" s="44"/>
      <c r="Y304" s="44" t="s">
        <v>1</v>
      </c>
      <c r="Z304" s="44"/>
      <c r="AA304" s="44" t="s">
        <v>1</v>
      </c>
      <c r="AB304" s="44"/>
      <c r="AC304" s="51">
        <v>46022</v>
      </c>
      <c r="AD304" s="50">
        <v>46022</v>
      </c>
      <c r="AE304" s="41" t="s">
        <v>0</v>
      </c>
      <c r="AF304" s="41" t="s">
        <v>0</v>
      </c>
      <c r="AG304" s="40" t="s">
        <v>5</v>
      </c>
      <c r="AH304" s="36" t="s">
        <v>0</v>
      </c>
      <c r="AI304" s="49">
        <v>14440</v>
      </c>
      <c r="AJ304" s="36" t="s">
        <v>3</v>
      </c>
      <c r="AK304" s="10">
        <v>581964</v>
      </c>
      <c r="AL304" s="36" t="s">
        <v>1</v>
      </c>
      <c r="AM304" s="36" t="s">
        <v>1</v>
      </c>
      <c r="AN304" s="35" t="s">
        <v>0</v>
      </c>
      <c r="AO304" s="35" t="s">
        <v>0</v>
      </c>
      <c r="AP304" s="35" t="s">
        <v>0</v>
      </c>
      <c r="AQ304" s="35" t="s">
        <v>0</v>
      </c>
      <c r="AR304" s="34" t="s">
        <v>0</v>
      </c>
      <c r="AS304" s="33"/>
      <c r="AT304" s="32" t="s">
        <v>0</v>
      </c>
      <c r="AU304" s="31"/>
      <c r="AV304" s="32" t="s">
        <v>0</v>
      </c>
      <c r="AW304" s="31"/>
      <c r="AX304" s="32" t="s">
        <v>0</v>
      </c>
      <c r="AY304" s="31"/>
      <c r="AZ304" s="32" t="s">
        <v>0</v>
      </c>
      <c r="BA304" s="31"/>
      <c r="BB304" s="26" t="s">
        <v>7</v>
      </c>
      <c r="BC304" s="25"/>
      <c r="BD304" s="24"/>
      <c r="BE304" s="24"/>
      <c r="BF304" s="24"/>
      <c r="BG304" s="24"/>
      <c r="BH304" s="24"/>
      <c r="BI304" s="24"/>
      <c r="BJ304" s="24"/>
      <c r="BK304" s="24"/>
      <c r="BL304" s="24"/>
      <c r="BM304" s="24"/>
      <c r="BN304" s="24"/>
      <c r="BO304" s="24"/>
      <c r="BP304" s="24"/>
      <c r="BQ304" s="22">
        <f>YEAR([1]!BANCO10[[#This Row],[DATA INÍCIO]])</f>
        <v>2025</v>
      </c>
      <c r="BR304" s="22">
        <f>MONTH([1]!BANCO10[[#This Row],[DATA INÍCIO]])</f>
        <v>12</v>
      </c>
      <c r="BS304" s="23" t="e">
        <f>CONCATENATE(#REF!,#REF!)</f>
        <v>#REF!</v>
      </c>
      <c r="BT304" s="22"/>
      <c r="BU304" s="22"/>
      <c r="BV304" s="21" t="str">
        <f>IF([1]!BANCO10[[#This Row],[SOLUÇÃO]]=BV$1,[1]!BANCO10[[#This Row],[STATUS DA ETAPA]],"")</f>
        <v/>
      </c>
      <c r="BW304" s="21" t="str">
        <f>IF([1]!BANCO10[[#This Row],[SOLUÇÃO]]=BW$1,[1]!BANCO10[[#This Row],[STATUS DA ETAPA]],"")</f>
        <v/>
      </c>
      <c r="BX304" s="21" t="str">
        <f>IF([1]!BANCO10[[#This Row],[SOLUÇÃO]]=BX$1,[1]!BANCO10[[#This Row],[STATUS DA ETAPA]],"")</f>
        <v/>
      </c>
      <c r="BY304" s="21" t="str">
        <f>IF([1]!BANCO10[[#This Row],[SOLUÇÃO]]=BY$1,[1]!BANCO10[[#This Row],[STATUS DA ETAPA]],"")</f>
        <v/>
      </c>
      <c r="BZ304" s="21" t="str">
        <f>IF([1]!BANCO10[[#This Row],[SOLUÇÃO]]=BZ$1,[1]!BANCO10[[#This Row],[STATUS DA ETAPA]],"")</f>
        <v/>
      </c>
      <c r="CA304" s="21" t="str">
        <f>IF([1]!BANCO10[[#This Row],[SOLUÇÃO]]=CA$1,[1]!BANCO10[[#This Row],[STATUS DA ETAPA]],"")</f>
        <v/>
      </c>
      <c r="CB304" s="21" t="str">
        <f>IF([1]!BANCO10[[#This Row],[SOLUÇÃO]]=CB$1,[1]!BANCO10[[#This Row],[STATUS DA ETAPA]],"")</f>
        <v>AGUARDANDO SALDO</v>
      </c>
      <c r="CC304" s="21" t="str">
        <f>IF([1]!BANCO10[[#This Row],[SOLUÇÃO]]=CC$1,[1]!BANCO10[[#This Row],[STATUS DA ETAPA]],"")</f>
        <v/>
      </c>
      <c r="CD304" s="21" t="str">
        <f>IF([1]!BANCO10[[#This Row],[SOLUÇÃO]]=CD$1,[1]!BANCO10[[#This Row],[STATUS DA ETAPA]],"")</f>
        <v/>
      </c>
      <c r="CE304" s="21" t="str">
        <f>IF([1]!BANCO10[[#This Row],[SOLUÇÃO]]=CE$1,[1]!BANCO10[[#This Row],[STATUS DA ETAPA]],"")</f>
        <v/>
      </c>
      <c r="CF304" s="21" t="str">
        <f>IF([1]!BANCO10[[#This Row],[SOLUÇÃO]]=CF$1,[1]!BANCO10[[#This Row],[STATUS DA ETAPA]],"")</f>
        <v/>
      </c>
      <c r="CG304" s="21" t="str">
        <f>IF([1]!BANCO10[[#This Row],[SOLUÇÃO]]=CG$1,[1]!BANCO10[[#This Row],[STATUS DA ETAPA]],"")</f>
        <v/>
      </c>
      <c r="CH304" s="21" t="str">
        <f>IF([1]!BANCO10[[#This Row],[SOLUÇÃO]]=CH$1,[1]!BANCO10[[#This Row],[STATUS DA ETAPA]],"")</f>
        <v/>
      </c>
      <c r="CI304" s="21" t="str">
        <f>IF([1]!BANCO10[[#This Row],[SOLUÇÃO]]=CI$1,[1]!BANCO10[[#This Row],[STATUS DA ETAPA]],"")</f>
        <v/>
      </c>
      <c r="CJ304" s="21" t="str">
        <f>IF([1]!BANCO10[[#This Row],[SOLUÇÃO]]=CJ$1,[1]!BANCO10[[#This Row],[STATUS DA ETAPA]],"")</f>
        <v/>
      </c>
      <c r="CK304" s="21" t="str">
        <f>IF([1]!BANCO10[[#This Row],[SOLUÇÃO]]=CK$1,[1]!BANCO10[[#This Row],[STATUS DA ETAPA]],"")</f>
        <v/>
      </c>
      <c r="CL304" s="21" t="str">
        <f>IF([1]!BANCO10[[#This Row],[SOLUÇÃO]]=CL$1,[1]!BANCO10[[#This Row],[STATUS DA ETAPA]],"")</f>
        <v/>
      </c>
      <c r="CM304" s="21" t="str">
        <f>IF([1]!BANCO10[[#This Row],[SOLUÇÃO]]=CM$1,[1]!BANCO10[[#This Row],[STATUS DA ETAPA]],"")</f>
        <v/>
      </c>
      <c r="CN304" s="21" t="str">
        <f>IF([1]!BANCO10[[#This Row],[SOLUÇÃO]]=CN$1,[1]!BANCO10[[#This Row],[STATUS DA ETAPA]],"")</f>
        <v/>
      </c>
      <c r="CO304" s="21" t="str">
        <f>IF([1]!BANCO10[[#This Row],[SOLUÇÃO]]=CO$1,[1]!BANCO10[[#This Row],[STATUS DA ETAPA]],"")</f>
        <v/>
      </c>
      <c r="CP304" s="21" t="str">
        <f>IF([1]!BANCO10[[#This Row],[SOLUÇÃO]]=CP$1,[1]!BANCO10[[#This Row],[STATUS DA ETAPA]],"")</f>
        <v/>
      </c>
      <c r="CQ304" s="21" t="str">
        <f>IF([1]!BANCO10[[#This Row],[SOLUÇÃO]]=CQ$1,[1]!BANCO10[[#This Row],[STATUS DA ETAPA]],"")</f>
        <v/>
      </c>
      <c r="CR304" s="21" t="str">
        <f>IF([1]!BANCO10[[#This Row],[SOLUÇÃO]]=CR$1,[1]!BANCO10[[#This Row],[STATUS DA ETAPA]],"")</f>
        <v/>
      </c>
      <c r="CS304" s="21" t="str">
        <f>IF([1]!BANCO10[[#This Row],[SOLUÇÃO]]=CS$1,[1]!BANCO10[[#This Row],[STATUS DA ETAPA]],"")</f>
        <v/>
      </c>
      <c r="CT304" s="21" t="str">
        <f>IF([1]!BANCO10[[#This Row],[SOLUÇÃO]]=CT$1,[1]!BANCO10[[#This Row],[STATUS DA ETAPA]],"")</f>
        <v/>
      </c>
      <c r="CU304" s="21" t="str">
        <f>IF([1]!BANCO10[[#This Row],[SOLUÇÃO]]=CU$1,[1]!BANCO10[[#This Row],[STATUS DA ETAPA]],"")</f>
        <v/>
      </c>
      <c r="CV304" s="21" t="str">
        <f>IF([1]!BANCO10[[#This Row],[SOLUÇÃO]]=CV$1,[1]!BANCO10[[#This Row],[STATUS DA ETAPA]],"")</f>
        <v/>
      </c>
    </row>
    <row r="305" spans="1:100">
      <c r="A305" s="44" t="s">
        <v>1</v>
      </c>
      <c r="B305" s="44"/>
      <c r="C305" s="44" t="s">
        <v>1</v>
      </c>
      <c r="D305" s="44"/>
      <c r="E305" s="44" t="s">
        <v>1</v>
      </c>
      <c r="F305" s="44"/>
      <c r="G305" s="44" t="s">
        <v>1</v>
      </c>
      <c r="H305" s="44"/>
      <c r="I305" s="45" t="s">
        <v>1</v>
      </c>
      <c r="J305" s="46"/>
      <c r="K305" s="45" t="s">
        <v>1</v>
      </c>
      <c r="L305" s="33"/>
      <c r="M305" s="45" t="s">
        <v>1</v>
      </c>
      <c r="N305" s="33"/>
      <c r="O305" s="44" t="s">
        <v>1</v>
      </c>
      <c r="P305" s="44"/>
      <c r="Q305" s="44" t="s">
        <v>1</v>
      </c>
      <c r="R305" s="44"/>
      <c r="S305" s="44" t="s">
        <v>1</v>
      </c>
      <c r="T305" s="44"/>
      <c r="U305" s="44" t="s">
        <v>1</v>
      </c>
      <c r="V305" s="44"/>
      <c r="W305" s="44" t="s">
        <v>1</v>
      </c>
      <c r="X305" s="44"/>
      <c r="Y305" s="44" t="s">
        <v>1</v>
      </c>
      <c r="Z305" s="44"/>
      <c r="AA305" s="44" t="s">
        <v>1</v>
      </c>
      <c r="AB305" s="44"/>
      <c r="AC305" s="51">
        <v>45551</v>
      </c>
      <c r="AD305" s="50">
        <v>45551</v>
      </c>
      <c r="AE305" s="41" t="s">
        <v>1</v>
      </c>
      <c r="AF305" s="41" t="s">
        <v>1</v>
      </c>
      <c r="AG305" s="40" t="s">
        <v>5</v>
      </c>
      <c r="AH305" s="36" t="s">
        <v>1</v>
      </c>
      <c r="AI305" s="49">
        <v>0</v>
      </c>
      <c r="AJ305" s="36" t="s">
        <v>1</v>
      </c>
      <c r="AK305" s="10" t="s">
        <v>1</v>
      </c>
      <c r="AL305" s="36" t="s">
        <v>1</v>
      </c>
      <c r="AM305" s="36" t="s">
        <v>1</v>
      </c>
      <c r="AN305" s="35" t="s">
        <v>1</v>
      </c>
      <c r="AO305" s="35" t="s">
        <v>1</v>
      </c>
      <c r="AP305" s="35" t="s">
        <v>1</v>
      </c>
      <c r="AQ305" s="35" t="s">
        <v>1</v>
      </c>
      <c r="AR305" s="90" t="s">
        <v>1</v>
      </c>
      <c r="AS305" s="89"/>
      <c r="AT305" s="88"/>
      <c r="AU305" s="25"/>
      <c r="AV305" s="88"/>
      <c r="AW305" s="25"/>
      <c r="AX305" s="88" t="s">
        <v>1</v>
      </c>
      <c r="AY305" s="25"/>
      <c r="AZ305" s="88" t="s">
        <v>1</v>
      </c>
      <c r="BA305" s="25"/>
      <c r="BB305" s="39" t="s">
        <v>586</v>
      </c>
      <c r="BC305" s="25"/>
      <c r="BD305" s="24"/>
      <c r="BE305" s="24"/>
      <c r="BF305" s="79"/>
      <c r="BG305" s="79"/>
      <c r="BH305" s="80"/>
      <c r="BI305" s="79"/>
      <c r="BJ305" s="54"/>
      <c r="BK305" s="78"/>
      <c r="BL305" s="69"/>
      <c r="BM305" s="78"/>
      <c r="BN305" s="78"/>
      <c r="BO305" s="78"/>
      <c r="BP305" s="78"/>
      <c r="BQ305" s="21">
        <f>YEAR([1]!BANCO10[[#This Row],[DATA INÍCIO]])</f>
        <v>2024</v>
      </c>
      <c r="BR305" s="21">
        <f>MONTH([1]!BANCO10[[#This Row],[DATA INÍCIO]])</f>
        <v>9</v>
      </c>
      <c r="BS305" s="21" t="e">
        <f>CONCATENATE(#REF!,#REF!)</f>
        <v>#REF!</v>
      </c>
      <c r="BT305" s="21"/>
      <c r="BU305" s="21"/>
      <c r="BV305" s="21" t="str">
        <f>IF([1]!BANCO10[[#This Row],[SOLUÇÃO]]=BV$1,[1]!BANCO10[[#This Row],[STATUS DA ETAPA]],"")</f>
        <v>CONCLUÍDO</v>
      </c>
      <c r="BW305" s="21" t="str">
        <f>IF([1]!BANCO10[[#This Row],[SOLUÇÃO]]=BW$1,[1]!BANCO10[[#This Row],[STATUS DA ETAPA]],"")</f>
        <v/>
      </c>
      <c r="BX305" s="21" t="str">
        <f>IF([1]!BANCO10[[#This Row],[SOLUÇÃO]]=BX$1,[1]!BANCO10[[#This Row],[STATUS DA ETAPA]],"")</f>
        <v/>
      </c>
      <c r="BY305" s="21" t="str">
        <f>IF([1]!BANCO10[[#This Row],[SOLUÇÃO]]=BY$1,[1]!BANCO10[[#This Row],[STATUS DA ETAPA]],"")</f>
        <v/>
      </c>
      <c r="BZ305" s="21" t="str">
        <f>IF([1]!BANCO10[[#This Row],[SOLUÇÃO]]=BZ$1,[1]!BANCO10[[#This Row],[STATUS DA ETAPA]],"")</f>
        <v/>
      </c>
      <c r="CA305" s="21" t="str">
        <f>IF([1]!BANCO10[[#This Row],[SOLUÇÃO]]=CA$1,[1]!BANCO10[[#This Row],[STATUS DA ETAPA]],"")</f>
        <v/>
      </c>
      <c r="CB305" s="21" t="str">
        <f>IF([1]!BANCO10[[#This Row],[SOLUÇÃO]]=CB$1,[1]!BANCO10[[#This Row],[STATUS DA ETAPA]],"")</f>
        <v/>
      </c>
      <c r="CC305" s="21" t="str">
        <f>IF([1]!BANCO10[[#This Row],[SOLUÇÃO]]=CC$1,[1]!BANCO10[[#This Row],[STATUS DA ETAPA]],"")</f>
        <v/>
      </c>
      <c r="CD305" s="21" t="str">
        <f>IF([1]!BANCO10[[#This Row],[SOLUÇÃO]]=CD$1,[1]!BANCO10[[#This Row],[STATUS DA ETAPA]],"")</f>
        <v/>
      </c>
      <c r="CE305" s="21" t="str">
        <f>IF([1]!BANCO10[[#This Row],[SOLUÇÃO]]=CE$1,[1]!BANCO10[[#This Row],[STATUS DA ETAPA]],"")</f>
        <v/>
      </c>
      <c r="CF305" s="21" t="str">
        <f>IF([1]!BANCO10[[#This Row],[SOLUÇÃO]]=CF$1,[1]!BANCO10[[#This Row],[STATUS DA ETAPA]],"")</f>
        <v/>
      </c>
      <c r="CG305" s="21" t="str">
        <f>IF([1]!BANCO10[[#This Row],[SOLUÇÃO]]=CG$1,[1]!BANCO10[[#This Row],[STATUS DA ETAPA]],"")</f>
        <v/>
      </c>
      <c r="CH305" s="21" t="str">
        <f>IF([1]!BANCO10[[#This Row],[SOLUÇÃO]]=CH$1,[1]!BANCO10[[#This Row],[STATUS DA ETAPA]],"")</f>
        <v/>
      </c>
      <c r="CI305" s="21" t="str">
        <f>IF([1]!BANCO10[[#This Row],[SOLUÇÃO]]=CI$1,[1]!BANCO10[[#This Row],[STATUS DA ETAPA]],"")</f>
        <v/>
      </c>
      <c r="CJ305" s="21" t="str">
        <f>IF([1]!BANCO10[[#This Row],[SOLUÇÃO]]=CJ$1,[1]!BANCO10[[#This Row],[STATUS DA ETAPA]],"")</f>
        <v/>
      </c>
      <c r="CK305" s="21" t="str">
        <f>IF([1]!BANCO10[[#This Row],[SOLUÇÃO]]=CK$1,[1]!BANCO10[[#This Row],[STATUS DA ETAPA]],"")</f>
        <v/>
      </c>
      <c r="CL305" s="22" t="str">
        <f>IF([1]!BANCO10[[#This Row],[SOLUÇÃO]]=CL$1,[1]!BANCO10[[#This Row],[STATUS DA ETAPA]],"")</f>
        <v/>
      </c>
      <c r="CM305" s="64" t="str">
        <f>IF([1]!BANCO10[[#This Row],[SOLUÇÃO]]=CM$1,[1]!BANCO10[[#This Row],[STATUS DA ETAPA]],"")</f>
        <v/>
      </c>
      <c r="CN305" s="64" t="str">
        <f>IF([1]!BANCO10[[#This Row],[SOLUÇÃO]]=CN$1,[1]!BANCO10[[#This Row],[STATUS DA ETAPA]],"")</f>
        <v/>
      </c>
      <c r="CO305" s="64" t="str">
        <f>IF([1]!BANCO10[[#This Row],[SOLUÇÃO]]=CO$1,[1]!BANCO10[[#This Row],[STATUS DA ETAPA]],"")</f>
        <v/>
      </c>
      <c r="CP305" s="64" t="str">
        <f>IF([1]!BANCO10[[#This Row],[SOLUÇÃO]]=CP$1,[1]!BANCO10[[#This Row],[STATUS DA ETAPA]],"")</f>
        <v/>
      </c>
      <c r="CQ305" s="64" t="str">
        <f>IF([1]!BANCO10[[#This Row],[SOLUÇÃO]]=CQ$1,[1]!BANCO10[[#This Row],[STATUS DA ETAPA]],"")</f>
        <v/>
      </c>
      <c r="CR305" s="64" t="str">
        <f>IF([1]!BANCO10[[#This Row],[SOLUÇÃO]]=CR$1,[1]!BANCO10[[#This Row],[STATUS DA ETAPA]],"")</f>
        <v/>
      </c>
      <c r="CS305" s="64" t="str">
        <f>IF([1]!BANCO10[[#This Row],[SOLUÇÃO]]=CS$1,[1]!BANCO10[[#This Row],[STATUS DA ETAPA]],"")</f>
        <v/>
      </c>
      <c r="CT305" s="64" t="str">
        <f>IF([1]!BANCO10[[#This Row],[SOLUÇÃO]]=CT$1,[1]!BANCO10[[#This Row],[STATUS DA ETAPA]],"")</f>
        <v/>
      </c>
      <c r="CU305" s="64" t="str">
        <f>IF([1]!BANCO10[[#This Row],[SOLUÇÃO]]=CU$1,[1]!BANCO10[[#This Row],[STATUS DA ETAPA]],"")</f>
        <v/>
      </c>
      <c r="CV305" s="64" t="str">
        <f>IF([1]!BANCO10[[#This Row],[SOLUÇÃO]]=CV$1,[1]!BANCO10[[#This Row],[STATUS DA ETAPA]],"")</f>
        <v/>
      </c>
    </row>
    <row r="306" spans="1:100">
      <c r="A306" s="44" t="s">
        <v>1</v>
      </c>
      <c r="B306" s="44"/>
      <c r="C306" s="44" t="s">
        <v>1</v>
      </c>
      <c r="D306" s="44"/>
      <c r="E306" s="44" t="s">
        <v>1</v>
      </c>
      <c r="F306" s="44"/>
      <c r="G306" s="44" t="s">
        <v>1</v>
      </c>
      <c r="H306" s="44"/>
      <c r="I306" s="45" t="s">
        <v>1</v>
      </c>
      <c r="J306" s="46"/>
      <c r="K306" s="45" t="s">
        <v>1</v>
      </c>
      <c r="L306" s="33"/>
      <c r="M306" s="45" t="s">
        <v>1</v>
      </c>
      <c r="N306" s="33"/>
      <c r="O306" s="44" t="s">
        <v>2</v>
      </c>
      <c r="P306" s="44">
        <v>45531</v>
      </c>
      <c r="Q306" s="44" t="s">
        <v>2</v>
      </c>
      <c r="R306" s="44">
        <v>45536</v>
      </c>
      <c r="S306" s="44" t="s">
        <v>2</v>
      </c>
      <c r="T306" s="44">
        <v>45594</v>
      </c>
      <c r="U306" s="44" t="s">
        <v>1</v>
      </c>
      <c r="V306" s="44"/>
      <c r="W306" s="44" t="s">
        <v>1</v>
      </c>
      <c r="X306" s="44"/>
      <c r="Y306" s="44" t="s">
        <v>1</v>
      </c>
      <c r="Z306" s="44"/>
      <c r="AA306" s="44" t="s">
        <v>1</v>
      </c>
      <c r="AB306" s="44"/>
      <c r="AC306" s="51">
        <v>45686</v>
      </c>
      <c r="AD306" s="50">
        <v>45776</v>
      </c>
      <c r="AE306" s="41" t="s">
        <v>2</v>
      </c>
      <c r="AF306" s="41" t="s">
        <v>2</v>
      </c>
      <c r="AG306" s="40" t="s">
        <v>5</v>
      </c>
      <c r="AH306" s="36" t="s">
        <v>0</v>
      </c>
      <c r="AI306" s="49">
        <v>0</v>
      </c>
      <c r="AJ306" s="36" t="s">
        <v>6</v>
      </c>
      <c r="AK306" s="10">
        <v>574632</v>
      </c>
      <c r="AL306" s="36" t="s">
        <v>1</v>
      </c>
      <c r="AM306" s="36" t="s">
        <v>1</v>
      </c>
      <c r="AN306" s="35" t="s">
        <v>2</v>
      </c>
      <c r="AO306" s="35" t="s">
        <v>2</v>
      </c>
      <c r="AP306" s="35" t="s">
        <v>2</v>
      </c>
      <c r="AQ306" s="35" t="s">
        <v>2</v>
      </c>
      <c r="AR306" s="34" t="s">
        <v>2</v>
      </c>
      <c r="AS306" s="33">
        <v>45789</v>
      </c>
      <c r="AT306" s="32" t="s">
        <v>1</v>
      </c>
      <c r="AU306" s="31"/>
      <c r="AV306" s="32" t="s">
        <v>1</v>
      </c>
      <c r="AW306" s="31"/>
      <c r="AX306" s="30" t="s">
        <v>2</v>
      </c>
      <c r="AY306" s="29">
        <v>45789</v>
      </c>
      <c r="AZ306" s="28" t="s">
        <v>0</v>
      </c>
      <c r="BA306" s="27"/>
      <c r="BB306" s="95" t="s">
        <v>143</v>
      </c>
      <c r="BC306" s="25" t="s">
        <v>41</v>
      </c>
      <c r="BD306" s="24"/>
      <c r="BE306" s="24"/>
      <c r="BF306" s="79"/>
      <c r="BG306" s="79"/>
      <c r="BH306" s="80"/>
      <c r="BI306" s="79"/>
      <c r="BJ306" s="54"/>
      <c r="BK306" s="78"/>
      <c r="BL306" s="69"/>
      <c r="BM306" s="78"/>
      <c r="BN306" s="78"/>
      <c r="BO306" s="78"/>
      <c r="BP306" s="78"/>
      <c r="BQ306" s="21">
        <f>YEAR([1]!BANCO10[[#This Row],[DATA INÍCIO]])</f>
        <v>2025</v>
      </c>
      <c r="BR306" s="21">
        <f>MONTH([1]!BANCO10[[#This Row],[DATA INÍCIO]])</f>
        <v>1</v>
      </c>
      <c r="BS306" s="21" t="e">
        <f>CONCATENATE(#REF!,#REF!)</f>
        <v>#REF!</v>
      </c>
      <c r="BT306" s="21"/>
      <c r="BU306" s="21"/>
      <c r="BV306" s="21" t="str">
        <f>IF([1]!BANCO10[[#This Row],[SOLUÇÃO]]=BV$1,[1]!BANCO10[[#This Row],[STATUS DA ETAPA]],"")</f>
        <v/>
      </c>
      <c r="BW306" s="21" t="str">
        <f>IF([1]!BANCO10[[#This Row],[SOLUÇÃO]]=BW$1,[1]!BANCO10[[#This Row],[STATUS DA ETAPA]],"")</f>
        <v/>
      </c>
      <c r="BX306" s="21" t="str">
        <f>IF([1]!BANCO10[[#This Row],[SOLUÇÃO]]=BX$1,[1]!BANCO10[[#This Row],[STATUS DA ETAPA]],"")</f>
        <v/>
      </c>
      <c r="BY306" s="21" t="str">
        <f>IF([1]!BANCO10[[#This Row],[SOLUÇÃO]]=BY$1,[1]!BANCO10[[#This Row],[STATUS DA ETAPA]],"")</f>
        <v/>
      </c>
      <c r="BZ306" s="21" t="str">
        <f>IF([1]!BANCO10[[#This Row],[SOLUÇÃO]]=BZ$1,[1]!BANCO10[[#This Row],[STATUS DA ETAPA]],"")</f>
        <v/>
      </c>
      <c r="CA306" s="21" t="str">
        <f>IF([1]!BANCO10[[#This Row],[SOLUÇÃO]]=CA$1,[1]!BANCO10[[#This Row],[STATUS DA ETAPA]],"")</f>
        <v/>
      </c>
      <c r="CB306" s="21" t="str">
        <f>IF([1]!BANCO10[[#This Row],[SOLUÇÃO]]=CB$1,[1]!BANCO10[[#This Row],[STATUS DA ETAPA]],"")</f>
        <v>CONCLUÍDO</v>
      </c>
      <c r="CC306" s="21" t="str">
        <f>IF([1]!BANCO10[[#This Row],[SOLUÇÃO]]=CC$1,[1]!BANCO10[[#This Row],[STATUS DA ETAPA]],"")</f>
        <v/>
      </c>
      <c r="CD306" s="21" t="str">
        <f>IF([1]!BANCO10[[#This Row],[SOLUÇÃO]]=CD$1,[1]!BANCO10[[#This Row],[STATUS DA ETAPA]],"")</f>
        <v/>
      </c>
      <c r="CE306" s="21" t="str">
        <f>IF([1]!BANCO10[[#This Row],[SOLUÇÃO]]=CE$1,[1]!BANCO10[[#This Row],[STATUS DA ETAPA]],"")</f>
        <v/>
      </c>
      <c r="CF306" s="21" t="str">
        <f>IF([1]!BANCO10[[#This Row],[SOLUÇÃO]]=CF$1,[1]!BANCO10[[#This Row],[STATUS DA ETAPA]],"")</f>
        <v/>
      </c>
      <c r="CG306" s="21" t="str">
        <f>IF([1]!BANCO10[[#This Row],[SOLUÇÃO]]=CG$1,[1]!BANCO10[[#This Row],[STATUS DA ETAPA]],"")</f>
        <v/>
      </c>
      <c r="CH306" s="21" t="str">
        <f>IF([1]!BANCO10[[#This Row],[SOLUÇÃO]]=CH$1,[1]!BANCO10[[#This Row],[STATUS DA ETAPA]],"")</f>
        <v/>
      </c>
      <c r="CI306" s="21" t="str">
        <f>IF([1]!BANCO10[[#This Row],[SOLUÇÃO]]=CI$1,[1]!BANCO10[[#This Row],[STATUS DA ETAPA]],"")</f>
        <v/>
      </c>
      <c r="CJ306" s="21" t="str">
        <f>IF([1]!BANCO10[[#This Row],[SOLUÇÃO]]=CJ$1,[1]!BANCO10[[#This Row],[STATUS DA ETAPA]],"")</f>
        <v/>
      </c>
      <c r="CK306" s="21" t="str">
        <f>IF([1]!BANCO10[[#This Row],[SOLUÇÃO]]=CK$1,[1]!BANCO10[[#This Row],[STATUS DA ETAPA]],"")</f>
        <v/>
      </c>
      <c r="CL306" s="22" t="str">
        <f>IF([1]!BANCO10[[#This Row],[SOLUÇÃO]]=CL$1,[1]!BANCO10[[#This Row],[STATUS DA ETAPA]],"")</f>
        <v/>
      </c>
      <c r="CM306" s="64" t="str">
        <f>IF([1]!BANCO10[[#This Row],[SOLUÇÃO]]=CM$1,[1]!BANCO10[[#This Row],[STATUS DA ETAPA]],"")</f>
        <v/>
      </c>
      <c r="CN306" s="64" t="str">
        <f>IF([1]!BANCO10[[#This Row],[SOLUÇÃO]]=CN$1,[1]!BANCO10[[#This Row],[STATUS DA ETAPA]],"")</f>
        <v/>
      </c>
      <c r="CO306" s="64" t="str">
        <f>IF([1]!BANCO10[[#This Row],[SOLUÇÃO]]=CO$1,[1]!BANCO10[[#This Row],[STATUS DA ETAPA]],"")</f>
        <v/>
      </c>
      <c r="CP306" s="64" t="str">
        <f>IF([1]!BANCO10[[#This Row],[SOLUÇÃO]]=CP$1,[1]!BANCO10[[#This Row],[STATUS DA ETAPA]],"")</f>
        <v/>
      </c>
      <c r="CQ306" s="64" t="str">
        <f>IF([1]!BANCO10[[#This Row],[SOLUÇÃO]]=CQ$1,[1]!BANCO10[[#This Row],[STATUS DA ETAPA]],"")</f>
        <v/>
      </c>
      <c r="CR306" s="64" t="str">
        <f>IF([1]!BANCO10[[#This Row],[SOLUÇÃO]]=CR$1,[1]!BANCO10[[#This Row],[STATUS DA ETAPA]],"")</f>
        <v/>
      </c>
      <c r="CS306" s="64" t="str">
        <f>IF([1]!BANCO10[[#This Row],[SOLUÇÃO]]=CS$1,[1]!BANCO10[[#This Row],[STATUS DA ETAPA]],"")</f>
        <v/>
      </c>
      <c r="CT306" s="64" t="str">
        <f>IF([1]!BANCO10[[#This Row],[SOLUÇÃO]]=CT$1,[1]!BANCO10[[#This Row],[STATUS DA ETAPA]],"")</f>
        <v/>
      </c>
      <c r="CU306" s="64" t="str">
        <f>IF([1]!BANCO10[[#This Row],[SOLUÇÃO]]=CU$1,[1]!BANCO10[[#This Row],[STATUS DA ETAPA]],"")</f>
        <v/>
      </c>
      <c r="CV306" s="64" t="str">
        <f>IF([1]!BANCO10[[#This Row],[SOLUÇÃO]]=CV$1,[1]!BANCO10[[#This Row],[STATUS DA ETAPA]],"")</f>
        <v/>
      </c>
    </row>
    <row r="307" spans="1:100">
      <c r="A307" s="44" t="s">
        <v>1</v>
      </c>
      <c r="B307" s="44"/>
      <c r="C307" s="44" t="s">
        <v>1</v>
      </c>
      <c r="D307" s="44"/>
      <c r="E307" s="44" t="s">
        <v>1</v>
      </c>
      <c r="F307" s="44"/>
      <c r="G307" s="44" t="s">
        <v>1</v>
      </c>
      <c r="H307" s="44"/>
      <c r="I307" s="45" t="s">
        <v>1</v>
      </c>
      <c r="J307" s="46"/>
      <c r="K307" s="45" t="s">
        <v>1</v>
      </c>
      <c r="L307" s="33"/>
      <c r="M307" s="45" t="s">
        <v>1</v>
      </c>
      <c r="N307" s="33"/>
      <c r="O307" s="44" t="s">
        <v>1</v>
      </c>
      <c r="P307" s="44"/>
      <c r="Q307" s="44" t="s">
        <v>1</v>
      </c>
      <c r="R307" s="44"/>
      <c r="S307" s="44" t="s">
        <v>1</v>
      </c>
      <c r="T307" s="44"/>
      <c r="U307" s="44" t="s">
        <v>1</v>
      </c>
      <c r="V307" s="44"/>
      <c r="W307" s="44" t="s">
        <v>1</v>
      </c>
      <c r="X307" s="44"/>
      <c r="Y307" s="44" t="s">
        <v>1</v>
      </c>
      <c r="Z307" s="44"/>
      <c r="AA307" s="44" t="s">
        <v>1</v>
      </c>
      <c r="AB307" s="44"/>
      <c r="AC307" s="51">
        <v>45807</v>
      </c>
      <c r="AD307" s="50">
        <v>45807</v>
      </c>
      <c r="AE307" s="41" t="s">
        <v>1</v>
      </c>
      <c r="AF307" s="41" t="s">
        <v>1</v>
      </c>
      <c r="AG307" s="40" t="s">
        <v>4</v>
      </c>
      <c r="AH307" s="36" t="s">
        <v>0</v>
      </c>
      <c r="AI307" s="49">
        <v>0</v>
      </c>
      <c r="AJ307" s="36" t="s">
        <v>1</v>
      </c>
      <c r="AK307" s="10" t="s">
        <v>1</v>
      </c>
      <c r="AL307" s="36" t="s">
        <v>1</v>
      </c>
      <c r="AM307" s="36" t="s">
        <v>1</v>
      </c>
      <c r="AN307" s="35" t="s">
        <v>1</v>
      </c>
      <c r="AO307" s="35" t="s">
        <v>1</v>
      </c>
      <c r="AP307" s="35" t="s">
        <v>1</v>
      </c>
      <c r="AQ307" s="35" t="s">
        <v>2</v>
      </c>
      <c r="AR307" s="34" t="s">
        <v>0</v>
      </c>
      <c r="AS307" s="33"/>
      <c r="AT307" s="30" t="s">
        <v>0</v>
      </c>
      <c r="AU307" s="31"/>
      <c r="AV307" s="30" t="s">
        <v>0</v>
      </c>
      <c r="AW307" s="31"/>
      <c r="AX307" s="30" t="s">
        <v>0</v>
      </c>
      <c r="AY307" s="29"/>
      <c r="AZ307" s="28" t="s">
        <v>0</v>
      </c>
      <c r="BA307" s="27"/>
      <c r="BB307" s="26"/>
      <c r="BC307" s="25"/>
      <c r="BD307" s="24"/>
      <c r="BE307" s="24"/>
      <c r="BF307" s="24"/>
      <c r="BG307" s="24"/>
      <c r="BH307" s="24"/>
      <c r="BI307" s="24"/>
      <c r="BJ307" s="24"/>
      <c r="BK307" s="24"/>
      <c r="BL307" s="24"/>
      <c r="BM307" s="24"/>
      <c r="BN307" s="24"/>
      <c r="BO307" s="24"/>
      <c r="BP307" s="24"/>
      <c r="BQ307" s="22">
        <f>YEAR([1]!BANCO10[[#This Row],[DATA INÍCIO]])</f>
        <v>2025</v>
      </c>
      <c r="BR307" s="22">
        <f>MONTH([1]!BANCO10[[#This Row],[DATA INÍCIO]])</f>
        <v>5</v>
      </c>
      <c r="BS307" s="23" t="e">
        <f>CONCATENATE(#REF!,#REF!)</f>
        <v>#REF!</v>
      </c>
      <c r="BT307" s="22"/>
      <c r="BU307" s="22"/>
      <c r="BV307" s="21" t="str">
        <f>IF([1]!BANCO10[[#This Row],[SOLUÇÃO]]=BV$1,[1]!BANCO10[[#This Row],[STATUS DA ETAPA]],"")</f>
        <v/>
      </c>
      <c r="BW307" s="21" t="str">
        <f>IF([1]!BANCO10[[#This Row],[SOLUÇÃO]]=BW$1,[1]!BANCO10[[#This Row],[STATUS DA ETAPA]],"")</f>
        <v/>
      </c>
      <c r="BX307" s="21" t="str">
        <f>IF([1]!BANCO10[[#This Row],[SOLUÇÃO]]=BX$1,[1]!BANCO10[[#This Row],[STATUS DA ETAPA]],"")</f>
        <v/>
      </c>
      <c r="BY307" s="21" t="str">
        <f>IF([1]!BANCO10[[#This Row],[SOLUÇÃO]]=BY$1,[1]!BANCO10[[#This Row],[STATUS DA ETAPA]],"")</f>
        <v/>
      </c>
      <c r="BZ307" s="21" t="str">
        <f>IF([1]!BANCO10[[#This Row],[SOLUÇÃO]]=BZ$1,[1]!BANCO10[[#This Row],[STATUS DA ETAPA]],"")</f>
        <v/>
      </c>
      <c r="CA307" s="21" t="str">
        <f>IF([1]!BANCO10[[#This Row],[SOLUÇÃO]]=CA$1,[1]!BANCO10[[#This Row],[STATUS DA ETAPA]],"")</f>
        <v/>
      </c>
      <c r="CB307" s="21" t="str">
        <f>IF([1]!BANCO10[[#This Row],[SOLUÇÃO]]=CB$1,[1]!BANCO10[[#This Row],[STATUS DA ETAPA]],"")</f>
        <v/>
      </c>
      <c r="CC307" s="21" t="str">
        <f>IF([1]!BANCO10[[#This Row],[SOLUÇÃO]]=CC$1,[1]!BANCO10[[#This Row],[STATUS DA ETAPA]],"")</f>
        <v/>
      </c>
      <c r="CD307" s="21" t="str">
        <f>IF([1]!BANCO10[[#This Row],[SOLUÇÃO]]=CD$1,[1]!BANCO10[[#This Row],[STATUS DA ETAPA]],"")</f>
        <v/>
      </c>
      <c r="CE307" s="21" t="str">
        <f>IF([1]!BANCO10[[#This Row],[SOLUÇÃO]]=CE$1,[1]!BANCO10[[#This Row],[STATUS DA ETAPA]],"")</f>
        <v/>
      </c>
      <c r="CF307" s="21" t="str">
        <f>IF([1]!BANCO10[[#This Row],[SOLUÇÃO]]=CF$1,[1]!BANCO10[[#This Row],[STATUS DA ETAPA]],"")</f>
        <v/>
      </c>
      <c r="CG307" s="21" t="str">
        <f>IF([1]!BANCO10[[#This Row],[SOLUÇÃO]]=CG$1,[1]!BANCO10[[#This Row],[STATUS DA ETAPA]],"")</f>
        <v/>
      </c>
      <c r="CH307" s="21" t="str">
        <f>IF([1]!BANCO10[[#This Row],[SOLUÇÃO]]=CH$1,[1]!BANCO10[[#This Row],[STATUS DA ETAPA]],"")</f>
        <v/>
      </c>
      <c r="CI307" s="21" t="str">
        <f>IF([1]!BANCO10[[#This Row],[SOLUÇÃO]]=CI$1,[1]!BANCO10[[#This Row],[STATUS DA ETAPA]],"")</f>
        <v/>
      </c>
      <c r="CJ307" s="21" t="str">
        <f>IF([1]!BANCO10[[#This Row],[SOLUÇÃO]]=CJ$1,[1]!BANCO10[[#This Row],[STATUS DA ETAPA]],"")</f>
        <v/>
      </c>
      <c r="CK307" s="21" t="str">
        <f>IF([1]!BANCO10[[#This Row],[SOLUÇÃO]]=CK$1,[1]!BANCO10[[#This Row],[STATUS DA ETAPA]],"")</f>
        <v/>
      </c>
      <c r="CL307" s="21" t="str">
        <f>IF([1]!BANCO10[[#This Row],[SOLUÇÃO]]=CL$1,[1]!BANCO10[[#This Row],[STATUS DA ETAPA]],"")</f>
        <v/>
      </c>
      <c r="CM307" s="21" t="str">
        <f>IF([1]!BANCO10[[#This Row],[SOLUÇÃO]]=CM$1,[1]!BANCO10[[#This Row],[STATUS DA ETAPA]],"")</f>
        <v/>
      </c>
      <c r="CN307" s="21" t="str">
        <f>IF([1]!BANCO10[[#This Row],[SOLUÇÃO]]=CN$1,[1]!BANCO10[[#This Row],[STATUS DA ETAPA]],"")</f>
        <v/>
      </c>
      <c r="CO307" s="21" t="str">
        <f>IF([1]!BANCO10[[#This Row],[SOLUÇÃO]]=CO$1,[1]!BANCO10[[#This Row],[STATUS DA ETAPA]],"")</f>
        <v/>
      </c>
      <c r="CP307" s="21" t="str">
        <f>IF([1]!BANCO10[[#This Row],[SOLUÇÃO]]=CP$1,[1]!BANCO10[[#This Row],[STATUS DA ETAPA]],"")</f>
        <v/>
      </c>
      <c r="CQ307" s="21" t="str">
        <f>IF([1]!BANCO10[[#This Row],[SOLUÇÃO]]=CQ$1,[1]!BANCO10[[#This Row],[STATUS DA ETAPA]],"")</f>
        <v/>
      </c>
      <c r="CR307" s="21" t="str">
        <f>IF([1]!BANCO10[[#This Row],[SOLUÇÃO]]=CR$1,[1]!BANCO10[[#This Row],[STATUS DA ETAPA]],"")</f>
        <v/>
      </c>
      <c r="CS307" s="21" t="str">
        <f>IF([1]!BANCO10[[#This Row],[SOLUÇÃO]]=CS$1,[1]!BANCO10[[#This Row],[STATUS DA ETAPA]],"")</f>
        <v/>
      </c>
      <c r="CT307" s="21" t="str">
        <f>IF([1]!BANCO10[[#This Row],[SOLUÇÃO]]=CT$1,[1]!BANCO10[[#This Row],[STATUS DA ETAPA]],"")</f>
        <v/>
      </c>
      <c r="CU307" s="21" t="str">
        <f>IF([1]!BANCO10[[#This Row],[SOLUÇÃO]]=CU$1,[1]!BANCO10[[#This Row],[STATUS DA ETAPA]],"")</f>
        <v/>
      </c>
      <c r="CV307" s="21" t="str">
        <f>IF([1]!BANCO10[[#This Row],[SOLUÇÃO]]=CV$1,[1]!BANCO10[[#This Row],[STATUS DA ETAPA]],"")</f>
        <v/>
      </c>
    </row>
    <row r="308" spans="1:100">
      <c r="A308" s="44" t="s">
        <v>1</v>
      </c>
      <c r="B308" s="44"/>
      <c r="C308" s="44" t="s">
        <v>1</v>
      </c>
      <c r="D308" s="44"/>
      <c r="E308" s="44" t="s">
        <v>1</v>
      </c>
      <c r="F308" s="44"/>
      <c r="G308" s="44" t="s">
        <v>1</v>
      </c>
      <c r="H308" s="44"/>
      <c r="I308" s="45" t="s">
        <v>1</v>
      </c>
      <c r="J308" s="46"/>
      <c r="K308" s="45" t="s">
        <v>1</v>
      </c>
      <c r="L308" s="33"/>
      <c r="M308" s="45" t="s">
        <v>1</v>
      </c>
      <c r="N308" s="33"/>
      <c r="O308" s="44" t="s">
        <v>1</v>
      </c>
      <c r="P308" s="44"/>
      <c r="Q308" s="44" t="s">
        <v>1</v>
      </c>
      <c r="R308" s="44"/>
      <c r="S308" s="44" t="s">
        <v>1</v>
      </c>
      <c r="T308" s="44"/>
      <c r="U308" s="44" t="s">
        <v>1</v>
      </c>
      <c r="V308" s="44"/>
      <c r="W308" s="44" t="s">
        <v>1</v>
      </c>
      <c r="X308" s="44"/>
      <c r="Y308" s="44" t="s">
        <v>1</v>
      </c>
      <c r="Z308" s="44"/>
      <c r="AA308" s="44" t="s">
        <v>1</v>
      </c>
      <c r="AB308" s="44"/>
      <c r="AC308" s="51">
        <v>45963</v>
      </c>
      <c r="AD308" s="50">
        <v>45963</v>
      </c>
      <c r="AE308" s="40" t="s">
        <v>1</v>
      </c>
      <c r="AF308" s="40" t="s">
        <v>1</v>
      </c>
      <c r="AG308" s="40" t="s">
        <v>1</v>
      </c>
      <c r="AH308" s="36" t="s">
        <v>1</v>
      </c>
      <c r="AI308" s="49">
        <v>0</v>
      </c>
      <c r="AJ308" s="36" t="s">
        <v>1</v>
      </c>
      <c r="AK308" s="10" t="s">
        <v>1</v>
      </c>
      <c r="AL308" s="36" t="s">
        <v>1</v>
      </c>
      <c r="AM308" s="36" t="s">
        <v>1</v>
      </c>
      <c r="AN308" s="35" t="s">
        <v>1</v>
      </c>
      <c r="AO308" s="35" t="s">
        <v>1</v>
      </c>
      <c r="AP308" s="35" t="s">
        <v>1</v>
      </c>
      <c r="AQ308" s="35" t="s">
        <v>1</v>
      </c>
      <c r="AR308" s="34" t="s">
        <v>1</v>
      </c>
      <c r="AS308" s="63"/>
      <c r="AT308" s="32" t="s">
        <v>1</v>
      </c>
      <c r="AU308" s="31"/>
      <c r="AV308" s="32" t="s">
        <v>1</v>
      </c>
      <c r="AW308" s="31"/>
      <c r="AX308" s="32" t="s">
        <v>1</v>
      </c>
      <c r="AY308" s="31"/>
      <c r="AZ308" s="32" t="s">
        <v>1</v>
      </c>
      <c r="BA308" s="31"/>
      <c r="BB308" s="74" t="s">
        <v>585</v>
      </c>
      <c r="BC308" s="25"/>
      <c r="BD308" s="24" t="s">
        <v>11</v>
      </c>
      <c r="BE308" s="24" t="s">
        <v>11</v>
      </c>
      <c r="BF308" s="24" t="s">
        <v>11</v>
      </c>
      <c r="BG308" s="24" t="s">
        <v>11</v>
      </c>
      <c r="BH308" s="130" t="s">
        <v>11</v>
      </c>
      <c r="BI308" s="24"/>
      <c r="BJ308" s="24" t="s">
        <v>11</v>
      </c>
      <c r="BK308" s="24" t="s">
        <v>11</v>
      </c>
      <c r="BL308" s="24" t="s">
        <v>11</v>
      </c>
      <c r="BM308" s="24" t="s">
        <v>11</v>
      </c>
      <c r="BN308" s="24" t="s">
        <v>11</v>
      </c>
      <c r="BO308" s="24" t="s">
        <v>11</v>
      </c>
      <c r="BP308" s="24" t="s">
        <v>11</v>
      </c>
      <c r="BQ308" s="22">
        <f>YEAR([1]!BANCO10[[#This Row],[DATA INÍCIO]])</f>
        <v>2025</v>
      </c>
      <c r="BR308" s="22">
        <f>MONTH([1]!BANCO10[[#This Row],[DATA INÍCIO]])</f>
        <v>11</v>
      </c>
      <c r="BS308" s="129" t="e">
        <f>CONCATENATE(#REF!,#REF!)</f>
        <v>#REF!</v>
      </c>
      <c r="BT308" s="22"/>
      <c r="BU308" s="21" t="s">
        <v>1</v>
      </c>
      <c r="BV308" s="21" t="str">
        <f>IF([1]!BANCO10[[#This Row],[SOLUÇÃO]]=BV$1,[1]!BANCO10[[#This Row],[STATUS DA ETAPA]],"")</f>
        <v/>
      </c>
      <c r="BW308" s="21" t="str">
        <f>IF([1]!BANCO10[[#This Row],[SOLUÇÃO]]=BW$1,[1]!BANCO10[[#This Row],[STATUS DA ETAPA]],"")</f>
        <v/>
      </c>
      <c r="BX308" s="21" t="str">
        <f>IF([1]!BANCO10[[#This Row],[SOLUÇÃO]]=BX$1,[1]!BANCO10[[#This Row],[STATUS DA ETAPA]],"")</f>
        <v/>
      </c>
      <c r="BY308" s="21" t="str">
        <f>IF([1]!BANCO10[[#This Row],[SOLUÇÃO]]=BY$1,[1]!BANCO10[[#This Row],[STATUS DA ETAPA]],"")</f>
        <v/>
      </c>
      <c r="BZ308" s="21" t="str">
        <f>IF([1]!BANCO10[[#This Row],[SOLUÇÃO]]=BZ$1,[1]!BANCO10[[#This Row],[STATUS DA ETAPA]],"")</f>
        <v/>
      </c>
      <c r="CA308" s="21" t="str">
        <f>IF([1]!BANCO10[[#This Row],[SOLUÇÃO]]=CA$1,[1]!BANCO10[[#This Row],[STATUS DA ETAPA]],"")</f>
        <v>CANCELADO</v>
      </c>
      <c r="CB308" s="21" t="str">
        <f>IF([1]!BANCO10[[#This Row],[SOLUÇÃO]]=CB$1,[1]!BANCO10[[#This Row],[STATUS DA ETAPA]],"")</f>
        <v/>
      </c>
      <c r="CC308" s="21" t="str">
        <f>IF([1]!BANCO10[[#This Row],[SOLUÇÃO]]=CC$1,[1]!BANCO10[[#This Row],[STATUS DA ETAPA]],"")</f>
        <v/>
      </c>
      <c r="CD308" s="21" t="str">
        <f>IF([1]!BANCO10[[#This Row],[SOLUÇÃO]]=CD$1,[1]!BANCO10[[#This Row],[STATUS DA ETAPA]],"")</f>
        <v/>
      </c>
      <c r="CE308" s="21" t="str">
        <f>IF([1]!BANCO10[[#This Row],[SOLUÇÃO]]=CE$1,[1]!BANCO10[[#This Row],[STATUS DA ETAPA]],"")</f>
        <v/>
      </c>
      <c r="CF308" s="21" t="str">
        <f>IF([1]!BANCO10[[#This Row],[SOLUÇÃO]]=CF$1,[1]!BANCO10[[#This Row],[STATUS DA ETAPA]],"")</f>
        <v/>
      </c>
      <c r="CG308" s="21" t="str">
        <f>IF([1]!BANCO10[[#This Row],[SOLUÇÃO]]=CG$1,[1]!BANCO10[[#This Row],[STATUS DA ETAPA]],"")</f>
        <v/>
      </c>
      <c r="CH308" s="21" t="str">
        <f>IF([1]!BANCO10[[#This Row],[SOLUÇÃO]]=CH$1,[1]!BANCO10[[#This Row],[STATUS DA ETAPA]],"")</f>
        <v/>
      </c>
      <c r="CI308" s="21" t="str">
        <f>IF([1]!BANCO10[[#This Row],[SOLUÇÃO]]=CI$1,[1]!BANCO10[[#This Row],[STATUS DA ETAPA]],"")</f>
        <v/>
      </c>
      <c r="CJ308" s="21" t="str">
        <f>IF([1]!BANCO10[[#This Row],[SOLUÇÃO]]=CJ$1,[1]!BANCO10[[#This Row],[STATUS DA ETAPA]],"")</f>
        <v/>
      </c>
      <c r="CK308" s="21" t="str">
        <f>IF([1]!BANCO10[[#This Row],[SOLUÇÃO]]=CK$1,[1]!BANCO10[[#This Row],[STATUS DA ETAPA]],"")</f>
        <v/>
      </c>
      <c r="CL308" s="21" t="str">
        <f>IF([1]!BANCO10[[#This Row],[SOLUÇÃO]]=CL$1,[1]!BANCO10[[#This Row],[STATUS DA ETAPA]],"")</f>
        <v/>
      </c>
      <c r="CM308" s="21" t="str">
        <f>IF([1]!BANCO10[[#This Row],[SOLUÇÃO]]=CM$1,[1]!BANCO10[[#This Row],[STATUS DA ETAPA]],"")</f>
        <v/>
      </c>
      <c r="CN308" s="21" t="str">
        <f>IF([1]!BANCO10[[#This Row],[SOLUÇÃO]]=CN$1,[1]!BANCO10[[#This Row],[STATUS DA ETAPA]],"")</f>
        <v/>
      </c>
      <c r="CO308" s="21" t="str">
        <f>IF([1]!BANCO10[[#This Row],[SOLUÇÃO]]=CO$1,[1]!BANCO10[[#This Row],[STATUS DA ETAPA]],"")</f>
        <v/>
      </c>
      <c r="CP308" s="21" t="str">
        <f>IF([1]!BANCO10[[#This Row],[SOLUÇÃO]]=CP$1,[1]!BANCO10[[#This Row],[STATUS DA ETAPA]],"")</f>
        <v/>
      </c>
      <c r="CQ308" s="21" t="str">
        <f>IF([1]!BANCO10[[#This Row],[SOLUÇÃO]]=CQ$1,[1]!BANCO10[[#This Row],[STATUS DA ETAPA]],"")</f>
        <v/>
      </c>
      <c r="CR308" s="21" t="str">
        <f>IF([1]!BANCO10[[#This Row],[SOLUÇÃO]]=CR$1,[1]!BANCO10[[#This Row],[STATUS DA ETAPA]],"")</f>
        <v/>
      </c>
      <c r="CS308" s="21" t="str">
        <f>IF([1]!BANCO10[[#This Row],[SOLUÇÃO]]=CS$1,[1]!BANCO10[[#This Row],[STATUS DA ETAPA]],"")</f>
        <v/>
      </c>
      <c r="CT308" s="21" t="str">
        <f>IF([1]!BANCO10[[#This Row],[SOLUÇÃO]]=CT$1,[1]!BANCO10[[#This Row],[STATUS DA ETAPA]],"")</f>
        <v/>
      </c>
      <c r="CU308" s="21" t="str">
        <f>IF([1]!BANCO10[[#This Row],[SOLUÇÃO]]=CU$1,[1]!BANCO10[[#This Row],[STATUS DA ETAPA]],"")</f>
        <v/>
      </c>
      <c r="CV308" s="21" t="str">
        <f>IF([1]!BANCO10[[#This Row],[SOLUÇÃO]]=CV$1,[1]!BANCO10[[#This Row],[STATUS DA ETAPA]],"")</f>
        <v/>
      </c>
    </row>
    <row r="309" spans="1:100">
      <c r="A309" s="44" t="s">
        <v>1</v>
      </c>
      <c r="B309" s="44"/>
      <c r="C309" s="44" t="s">
        <v>1</v>
      </c>
      <c r="D309" s="44"/>
      <c r="E309" s="44" t="s">
        <v>1</v>
      </c>
      <c r="F309" s="44"/>
      <c r="G309" s="44" t="s">
        <v>1</v>
      </c>
      <c r="H309" s="44"/>
      <c r="I309" s="45" t="s">
        <v>1</v>
      </c>
      <c r="J309" s="46"/>
      <c r="K309" s="45" t="s">
        <v>1</v>
      </c>
      <c r="L309" s="33"/>
      <c r="M309" s="45" t="s">
        <v>1</v>
      </c>
      <c r="N309" s="33"/>
      <c r="O309" s="44" t="s">
        <v>2</v>
      </c>
      <c r="P309" s="44">
        <v>45170</v>
      </c>
      <c r="Q309" s="44" t="s">
        <v>0</v>
      </c>
      <c r="R309" s="44"/>
      <c r="S309" s="44" t="s">
        <v>1</v>
      </c>
      <c r="T309" s="44"/>
      <c r="U309" s="44" t="s">
        <v>1</v>
      </c>
      <c r="V309" s="44"/>
      <c r="W309" s="44" t="s">
        <v>1</v>
      </c>
      <c r="X309" s="44"/>
      <c r="Y309" s="44" t="s">
        <v>1</v>
      </c>
      <c r="Z309" s="44"/>
      <c r="AA309" s="44" t="s">
        <v>1</v>
      </c>
      <c r="AB309" s="44"/>
      <c r="AC309" s="51">
        <v>45170</v>
      </c>
      <c r="AD309" s="50">
        <v>45170</v>
      </c>
      <c r="AE309" s="40" t="s">
        <v>1</v>
      </c>
      <c r="AF309" s="40" t="s">
        <v>1</v>
      </c>
      <c r="AG309" s="76" t="s">
        <v>5</v>
      </c>
      <c r="AH309" s="36" t="s">
        <v>1</v>
      </c>
      <c r="AI309" s="49">
        <v>0</v>
      </c>
      <c r="AJ309" s="36" t="s">
        <v>1</v>
      </c>
      <c r="AK309" s="10" t="s">
        <v>1</v>
      </c>
      <c r="AL309" s="36" t="s">
        <v>1</v>
      </c>
      <c r="AM309" s="36" t="s">
        <v>1</v>
      </c>
      <c r="AN309" s="35" t="s">
        <v>1</v>
      </c>
      <c r="AO309" s="35" t="s">
        <v>1</v>
      </c>
      <c r="AP309" s="35" t="s">
        <v>1</v>
      </c>
      <c r="AQ309" s="35" t="s">
        <v>1</v>
      </c>
      <c r="AR309" s="82" t="s">
        <v>1</v>
      </c>
      <c r="AS309" s="33"/>
      <c r="AT309" s="30"/>
      <c r="AU309" s="55"/>
      <c r="AV309" s="30"/>
      <c r="AW309" s="55"/>
      <c r="AX309" s="30" t="s">
        <v>1</v>
      </c>
      <c r="AY309" s="55"/>
      <c r="AZ309" s="30" t="s">
        <v>1</v>
      </c>
      <c r="BA309" s="55"/>
      <c r="BB309" s="74" t="s">
        <v>585</v>
      </c>
      <c r="BC309" s="25"/>
      <c r="BD309" s="24" t="s">
        <v>11</v>
      </c>
      <c r="BE309" s="24" t="s">
        <v>11</v>
      </c>
      <c r="BF309" s="24" t="s">
        <v>11</v>
      </c>
      <c r="BG309" s="24" t="s">
        <v>11</v>
      </c>
      <c r="BH309" s="130" t="s">
        <v>11</v>
      </c>
      <c r="BI309" s="24"/>
      <c r="BJ309" s="24" t="s">
        <v>11</v>
      </c>
      <c r="BK309" s="24" t="s">
        <v>11</v>
      </c>
      <c r="BL309" s="24" t="s">
        <v>11</v>
      </c>
      <c r="BM309" s="24" t="s">
        <v>11</v>
      </c>
      <c r="BN309" s="24" t="s">
        <v>11</v>
      </c>
      <c r="BO309" s="24" t="s">
        <v>11</v>
      </c>
      <c r="BP309" s="24" t="s">
        <v>11</v>
      </c>
      <c r="BQ309" s="22">
        <f>YEAR([1]!BANCO10[[#This Row],[DATA INÍCIO]])</f>
        <v>2023</v>
      </c>
      <c r="BR309" s="22">
        <f>MONTH([1]!BANCO10[[#This Row],[DATA INÍCIO]])</f>
        <v>9</v>
      </c>
      <c r="BS309" s="129" t="e">
        <f>CONCATENATE(#REF!,#REF!)</f>
        <v>#REF!</v>
      </c>
      <c r="BT309" s="22"/>
      <c r="BU309" s="21" t="s">
        <v>584</v>
      </c>
      <c r="BV309" s="21" t="str">
        <f>IF([1]!BANCO10[[#This Row],[SOLUÇÃO]]=BV$1,[1]!BANCO10[[#This Row],[STATUS DA ETAPA]],"")</f>
        <v>CONCLUÍDO</v>
      </c>
      <c r="BW309" s="21" t="str">
        <f>IF([1]!BANCO10[[#This Row],[SOLUÇÃO]]=BW$1,[1]!BANCO10[[#This Row],[STATUS DA ETAPA]],"")</f>
        <v/>
      </c>
      <c r="BX309" s="21" t="str">
        <f>IF([1]!BANCO10[[#This Row],[SOLUÇÃO]]=BX$1,[1]!BANCO10[[#This Row],[STATUS DA ETAPA]],"")</f>
        <v/>
      </c>
      <c r="BY309" s="21" t="str">
        <f>IF([1]!BANCO10[[#This Row],[SOLUÇÃO]]=BY$1,[1]!BANCO10[[#This Row],[STATUS DA ETAPA]],"")</f>
        <v/>
      </c>
      <c r="BZ309" s="21" t="str">
        <f>IF([1]!BANCO10[[#This Row],[SOLUÇÃO]]=BZ$1,[1]!BANCO10[[#This Row],[STATUS DA ETAPA]],"")</f>
        <v/>
      </c>
      <c r="CA309" s="21" t="str">
        <f>IF([1]!BANCO10[[#This Row],[SOLUÇÃO]]=CA$1,[1]!BANCO10[[#This Row],[STATUS DA ETAPA]],"")</f>
        <v/>
      </c>
      <c r="CB309" s="21" t="str">
        <f>IF([1]!BANCO10[[#This Row],[SOLUÇÃO]]=CB$1,[1]!BANCO10[[#This Row],[STATUS DA ETAPA]],"")</f>
        <v/>
      </c>
      <c r="CC309" s="21" t="str">
        <f>IF([1]!BANCO10[[#This Row],[SOLUÇÃO]]=CC$1,[1]!BANCO10[[#This Row],[STATUS DA ETAPA]],"")</f>
        <v/>
      </c>
      <c r="CD309" s="21" t="str">
        <f>IF([1]!BANCO10[[#This Row],[SOLUÇÃO]]=CD$1,[1]!BANCO10[[#This Row],[STATUS DA ETAPA]],"")</f>
        <v/>
      </c>
      <c r="CE309" s="21" t="str">
        <f>IF([1]!BANCO10[[#This Row],[SOLUÇÃO]]=CE$1,[1]!BANCO10[[#This Row],[STATUS DA ETAPA]],"")</f>
        <v/>
      </c>
      <c r="CF309" s="21" t="str">
        <f>IF([1]!BANCO10[[#This Row],[SOLUÇÃO]]=CF$1,[1]!BANCO10[[#This Row],[STATUS DA ETAPA]],"")</f>
        <v/>
      </c>
      <c r="CG309" s="21" t="str">
        <f>IF([1]!BANCO10[[#This Row],[SOLUÇÃO]]=CG$1,[1]!BANCO10[[#This Row],[STATUS DA ETAPA]],"")</f>
        <v/>
      </c>
      <c r="CH309" s="21" t="str">
        <f>IF([1]!BANCO10[[#This Row],[SOLUÇÃO]]=CH$1,[1]!BANCO10[[#This Row],[STATUS DA ETAPA]],"")</f>
        <v/>
      </c>
      <c r="CI309" s="21" t="str">
        <f>IF([1]!BANCO10[[#This Row],[SOLUÇÃO]]=CI$1,[1]!BANCO10[[#This Row],[STATUS DA ETAPA]],"")</f>
        <v/>
      </c>
      <c r="CJ309" s="21" t="str">
        <f>IF([1]!BANCO10[[#This Row],[SOLUÇÃO]]=CJ$1,[1]!BANCO10[[#This Row],[STATUS DA ETAPA]],"")</f>
        <v/>
      </c>
      <c r="CK309" s="21" t="str">
        <f>IF([1]!BANCO10[[#This Row],[SOLUÇÃO]]=CK$1,[1]!BANCO10[[#This Row],[STATUS DA ETAPA]],"")</f>
        <v/>
      </c>
      <c r="CL309" s="21" t="str">
        <f>IF([1]!BANCO10[[#This Row],[SOLUÇÃO]]=CL$1,[1]!BANCO10[[#This Row],[STATUS DA ETAPA]],"")</f>
        <v/>
      </c>
      <c r="CM309" s="21" t="str">
        <f>IF([1]!BANCO10[[#This Row],[SOLUÇÃO]]=CM$1,[1]!BANCO10[[#This Row],[STATUS DA ETAPA]],"")</f>
        <v/>
      </c>
      <c r="CN309" s="21" t="str">
        <f>IF([1]!BANCO10[[#This Row],[SOLUÇÃO]]=CN$1,[1]!BANCO10[[#This Row],[STATUS DA ETAPA]],"")</f>
        <v/>
      </c>
      <c r="CO309" s="21" t="str">
        <f>IF([1]!BANCO10[[#This Row],[SOLUÇÃO]]=CO$1,[1]!BANCO10[[#This Row],[STATUS DA ETAPA]],"")</f>
        <v/>
      </c>
      <c r="CP309" s="21" t="str">
        <f>IF([1]!BANCO10[[#This Row],[SOLUÇÃO]]=CP$1,[1]!BANCO10[[#This Row],[STATUS DA ETAPA]],"")</f>
        <v/>
      </c>
      <c r="CQ309" s="21" t="str">
        <f>IF([1]!BANCO10[[#This Row],[SOLUÇÃO]]=CQ$1,[1]!BANCO10[[#This Row],[STATUS DA ETAPA]],"")</f>
        <v/>
      </c>
      <c r="CR309" s="21" t="str">
        <f>IF([1]!BANCO10[[#This Row],[SOLUÇÃO]]=CR$1,[1]!BANCO10[[#This Row],[STATUS DA ETAPA]],"")</f>
        <v/>
      </c>
      <c r="CS309" s="21" t="str">
        <f>IF([1]!BANCO10[[#This Row],[SOLUÇÃO]]=CS$1,[1]!BANCO10[[#This Row],[STATUS DA ETAPA]],"")</f>
        <v/>
      </c>
      <c r="CT309" s="21" t="str">
        <f>IF([1]!BANCO10[[#This Row],[SOLUÇÃO]]=CT$1,[1]!BANCO10[[#This Row],[STATUS DA ETAPA]],"")</f>
        <v/>
      </c>
      <c r="CU309" s="21" t="str">
        <f>IF([1]!BANCO10[[#This Row],[SOLUÇÃO]]=CU$1,[1]!BANCO10[[#This Row],[STATUS DA ETAPA]],"")</f>
        <v/>
      </c>
      <c r="CV309" s="21" t="str">
        <f>IF([1]!BANCO10[[#This Row],[SOLUÇÃO]]=CV$1,[1]!BANCO10[[#This Row],[STATUS DA ETAPA]],"")</f>
        <v/>
      </c>
    </row>
    <row r="310" spans="1:100">
      <c r="A310" s="44" t="s">
        <v>1</v>
      </c>
      <c r="B310" s="44"/>
      <c r="C310" s="44" t="s">
        <v>1</v>
      </c>
      <c r="D310" s="44"/>
      <c r="E310" s="44" t="s">
        <v>1</v>
      </c>
      <c r="F310" s="44"/>
      <c r="G310" s="44" t="s">
        <v>1</v>
      </c>
      <c r="H310" s="44"/>
      <c r="I310" s="45" t="s">
        <v>1</v>
      </c>
      <c r="J310" s="46"/>
      <c r="K310" s="45" t="s">
        <v>1</v>
      </c>
      <c r="L310" s="33"/>
      <c r="M310" s="45" t="s">
        <v>1</v>
      </c>
      <c r="N310" s="33"/>
      <c r="O310" s="44" t="s">
        <v>1</v>
      </c>
      <c r="P310" s="44"/>
      <c r="Q310" s="44" t="s">
        <v>0</v>
      </c>
      <c r="R310" s="44"/>
      <c r="S310" s="44" t="s">
        <v>1</v>
      </c>
      <c r="T310" s="44"/>
      <c r="U310" s="44" t="s">
        <v>1</v>
      </c>
      <c r="V310" s="44"/>
      <c r="W310" s="44" t="s">
        <v>1</v>
      </c>
      <c r="X310" s="44"/>
      <c r="Y310" s="44" t="s">
        <v>1</v>
      </c>
      <c r="Z310" s="44"/>
      <c r="AA310" s="44" t="s">
        <v>1</v>
      </c>
      <c r="AB310" s="44"/>
      <c r="AC310" s="51">
        <v>45963</v>
      </c>
      <c r="AD310" s="50">
        <v>45963</v>
      </c>
      <c r="AE310" s="41" t="s">
        <v>1</v>
      </c>
      <c r="AF310" s="41" t="s">
        <v>1</v>
      </c>
      <c r="AG310" s="40" t="s">
        <v>5</v>
      </c>
      <c r="AH310" s="36" t="s">
        <v>1</v>
      </c>
      <c r="AI310" s="49">
        <v>0</v>
      </c>
      <c r="AJ310" s="36" t="s">
        <v>1</v>
      </c>
      <c r="AK310" s="10" t="s">
        <v>1</v>
      </c>
      <c r="AL310" s="36" t="s">
        <v>1</v>
      </c>
      <c r="AM310" s="36" t="s">
        <v>1</v>
      </c>
      <c r="AN310" s="35" t="s">
        <v>1</v>
      </c>
      <c r="AO310" s="35" t="s">
        <v>1</v>
      </c>
      <c r="AP310" s="35" t="s">
        <v>1</v>
      </c>
      <c r="AQ310" s="35" t="s">
        <v>1</v>
      </c>
      <c r="AR310" s="82" t="s">
        <v>1</v>
      </c>
      <c r="AS310" s="63"/>
      <c r="AT310" s="32" t="s">
        <v>1</v>
      </c>
      <c r="AU310" s="31"/>
      <c r="AV310" s="32" t="s">
        <v>1</v>
      </c>
      <c r="AW310" s="31"/>
      <c r="AX310" s="32" t="s">
        <v>1</v>
      </c>
      <c r="AY310" s="31"/>
      <c r="AZ310" s="32" t="s">
        <v>1</v>
      </c>
      <c r="BA310" s="31"/>
      <c r="BB310" s="153" t="s">
        <v>583</v>
      </c>
      <c r="BC310" s="25" t="s">
        <v>41</v>
      </c>
      <c r="BD310" s="24"/>
      <c r="BE310" s="24"/>
      <c r="BF310" s="24"/>
      <c r="BG310" s="79"/>
      <c r="BH310" s="79"/>
      <c r="BI310" s="80"/>
      <c r="BJ310" s="79"/>
      <c r="BK310" s="54"/>
      <c r="BL310" s="69"/>
      <c r="BM310" s="78"/>
      <c r="BN310" s="78"/>
      <c r="BO310" s="78"/>
      <c r="BP310" s="78"/>
      <c r="BQ310" s="21">
        <f>YEAR([1]!BANCO10[[#This Row],[DATA INÍCIO]])</f>
        <v>2025</v>
      </c>
      <c r="BR310" s="21">
        <f>MONTH([1]!BANCO10[[#This Row],[DATA INÍCIO]])</f>
        <v>11</v>
      </c>
      <c r="BS310" s="21" t="e">
        <f>CONCATENATE(#REF!,#REF!)</f>
        <v>#REF!</v>
      </c>
      <c r="BT310" s="21"/>
      <c r="BU310" s="21" t="s">
        <v>582</v>
      </c>
      <c r="BV310" s="21" t="str">
        <f>IF([1]!BANCO10[[#This Row],[SOLUÇÃO]]=BV$1,[1]!BANCO10[[#This Row],[STATUS DA ETAPA]],"")</f>
        <v>CANCELADO</v>
      </c>
      <c r="BW310" s="21" t="str">
        <f>IF([1]!BANCO10[[#This Row],[SOLUÇÃO]]=BW$1,[1]!BANCO10[[#This Row],[STATUS DA ETAPA]],"")</f>
        <v/>
      </c>
      <c r="BX310" s="21" t="str">
        <f>IF([1]!BANCO10[[#This Row],[SOLUÇÃO]]=BX$1,[1]!BANCO10[[#This Row],[STATUS DA ETAPA]],"")</f>
        <v/>
      </c>
      <c r="BY310" s="21" t="str">
        <f>IF([1]!BANCO10[[#This Row],[SOLUÇÃO]]=BY$1,[1]!BANCO10[[#This Row],[STATUS DA ETAPA]],"")</f>
        <v/>
      </c>
      <c r="BZ310" s="21" t="str">
        <f>IF([1]!BANCO10[[#This Row],[SOLUÇÃO]]=BZ$1,[1]!BANCO10[[#This Row],[STATUS DA ETAPA]],"")</f>
        <v/>
      </c>
      <c r="CA310" s="21" t="str">
        <f>IF([1]!BANCO10[[#This Row],[SOLUÇÃO]]=CA$1,[1]!BANCO10[[#This Row],[STATUS DA ETAPA]],"")</f>
        <v/>
      </c>
      <c r="CB310" s="21" t="str">
        <f>IF([1]!BANCO10[[#This Row],[SOLUÇÃO]]=CB$1,[1]!BANCO10[[#This Row],[STATUS DA ETAPA]],"")</f>
        <v/>
      </c>
      <c r="CC310" s="21" t="str">
        <f>IF([1]!BANCO10[[#This Row],[SOLUÇÃO]]=CC$1,[1]!BANCO10[[#This Row],[STATUS DA ETAPA]],"")</f>
        <v/>
      </c>
      <c r="CD310" s="21" t="str">
        <f>IF([1]!BANCO10[[#This Row],[SOLUÇÃO]]=CD$1,[1]!BANCO10[[#This Row],[STATUS DA ETAPA]],"")</f>
        <v/>
      </c>
      <c r="CE310" s="21" t="str">
        <f>IF([1]!BANCO10[[#This Row],[SOLUÇÃO]]=CE$1,[1]!BANCO10[[#This Row],[STATUS DA ETAPA]],"")</f>
        <v/>
      </c>
      <c r="CF310" s="21" t="str">
        <f>IF([1]!BANCO10[[#This Row],[SOLUÇÃO]]=CF$1,[1]!BANCO10[[#This Row],[STATUS DA ETAPA]],"")</f>
        <v/>
      </c>
      <c r="CG310" s="21" t="str">
        <f>IF([1]!BANCO10[[#This Row],[SOLUÇÃO]]=CG$1,[1]!BANCO10[[#This Row],[STATUS DA ETAPA]],"")</f>
        <v/>
      </c>
      <c r="CH310" s="21" t="str">
        <f>IF([1]!BANCO10[[#This Row],[SOLUÇÃO]]=CH$1,[1]!BANCO10[[#This Row],[STATUS DA ETAPA]],"")</f>
        <v/>
      </c>
      <c r="CI310" s="21" t="str">
        <f>IF([1]!BANCO10[[#This Row],[SOLUÇÃO]]=CI$1,[1]!BANCO10[[#This Row],[STATUS DA ETAPA]],"")</f>
        <v/>
      </c>
      <c r="CJ310" s="21" t="str">
        <f>IF([1]!BANCO10[[#This Row],[SOLUÇÃO]]=CJ$1,[1]!BANCO10[[#This Row],[STATUS DA ETAPA]],"")</f>
        <v/>
      </c>
      <c r="CK310" s="21" t="str">
        <f>IF([1]!BANCO10[[#This Row],[SOLUÇÃO]]=CK$1,[1]!BANCO10[[#This Row],[STATUS DA ETAPA]],"")</f>
        <v/>
      </c>
      <c r="CL310" s="21" t="str">
        <f>IF([1]!BANCO10[[#This Row],[SOLUÇÃO]]=CL$1,[1]!BANCO10[[#This Row],[STATUS DA ETAPA]],"")</f>
        <v/>
      </c>
      <c r="CM310" s="22" t="str">
        <f>IF([1]!BANCO10[[#This Row],[SOLUÇÃO]]=CM$1,[1]!BANCO10[[#This Row],[STATUS DA ETAPA]],"")</f>
        <v/>
      </c>
      <c r="CN310" s="64" t="str">
        <f>IF([1]!BANCO10[[#This Row],[SOLUÇÃO]]=CN$1,[1]!BANCO10[[#This Row],[STATUS DA ETAPA]],"")</f>
        <v/>
      </c>
      <c r="CO310" s="64" t="str">
        <f>IF([1]!BANCO10[[#This Row],[SOLUÇÃO]]=CO$1,[1]!BANCO10[[#This Row],[STATUS DA ETAPA]],"")</f>
        <v/>
      </c>
      <c r="CP310" s="64" t="str">
        <f>IF([1]!BANCO10[[#This Row],[SOLUÇÃO]]=CP$1,[1]!BANCO10[[#This Row],[STATUS DA ETAPA]],"")</f>
        <v/>
      </c>
      <c r="CQ310" s="25" t="str">
        <f>IF([1]!BANCO10[[#This Row],[SOLUÇÃO]]=CQ$1,[1]!BANCO10[[#This Row],[STATUS DA ETAPA]],"")</f>
        <v/>
      </c>
      <c r="CR310" s="133" t="str">
        <f>IF([1]!BANCO10[[#This Row],[SOLUÇÃO]]=CR$1,[1]!BANCO10[[#This Row],[STATUS DA ETAPA]],"")</f>
        <v/>
      </c>
      <c r="CS310" s="152" t="str">
        <f>IF([1]!BANCO10[[#This Row],[SOLUÇÃO]]=CS$1,[1]!BANCO10[[#This Row],[STATUS DA ETAPA]],"")</f>
        <v/>
      </c>
      <c r="CT310" s="21" t="str">
        <f>IF([1]!BANCO10[[#This Row],[SOLUÇÃO]]=CT$1,[1]!BANCO10[[#This Row],[STATUS DA ETAPA]],"")</f>
        <v/>
      </c>
      <c r="CU310" s="21" t="str">
        <f>IF([1]!BANCO10[[#This Row],[SOLUÇÃO]]=CU$1,[1]!BANCO10[[#This Row],[STATUS DA ETAPA]],"")</f>
        <v/>
      </c>
      <c r="CV310" s="152" t="str">
        <f>IF([1]!BANCO10[[#This Row],[SOLUÇÃO]]=CV$1,[1]!BANCO10[[#This Row],[STATUS DA ETAPA]],"")</f>
        <v/>
      </c>
    </row>
    <row r="311" spans="1:100">
      <c r="A311" s="44" t="s">
        <v>1</v>
      </c>
      <c r="B311" s="44"/>
      <c r="C311" s="44" t="s">
        <v>1</v>
      </c>
      <c r="D311" s="44"/>
      <c r="E311" s="44" t="s">
        <v>1</v>
      </c>
      <c r="F311" s="44"/>
      <c r="G311" s="44" t="s">
        <v>1</v>
      </c>
      <c r="H311" s="44"/>
      <c r="I311" s="45" t="s">
        <v>1</v>
      </c>
      <c r="J311" s="46"/>
      <c r="K311" s="45" t="s">
        <v>1</v>
      </c>
      <c r="L311" s="33"/>
      <c r="M311" s="45" t="s">
        <v>1</v>
      </c>
      <c r="N311" s="33"/>
      <c r="O311" s="44" t="s">
        <v>1</v>
      </c>
      <c r="P311" s="44"/>
      <c r="Q311" s="44" t="s">
        <v>1</v>
      </c>
      <c r="R311" s="44"/>
      <c r="S311" s="44" t="s">
        <v>1</v>
      </c>
      <c r="T311" s="44"/>
      <c r="U311" s="44" t="s">
        <v>1</v>
      </c>
      <c r="V311" s="44"/>
      <c r="W311" s="44" t="s">
        <v>1</v>
      </c>
      <c r="X311" s="44"/>
      <c r="Y311" s="44" t="s">
        <v>1</v>
      </c>
      <c r="Z311" s="44"/>
      <c r="AA311" s="44" t="s">
        <v>1</v>
      </c>
      <c r="AB311" s="44"/>
      <c r="AC311" s="51">
        <v>45054</v>
      </c>
      <c r="AD311" s="50">
        <v>45054</v>
      </c>
      <c r="AE311" s="40" t="s">
        <v>1</v>
      </c>
      <c r="AF311" s="40" t="s">
        <v>1</v>
      </c>
      <c r="AG311" s="76" t="s">
        <v>5</v>
      </c>
      <c r="AH311" s="36" t="s">
        <v>0</v>
      </c>
      <c r="AI311" s="49">
        <v>0</v>
      </c>
      <c r="AJ311" s="36" t="s">
        <v>1</v>
      </c>
      <c r="AK311" s="10" t="s">
        <v>1</v>
      </c>
      <c r="AL311" s="36" t="s">
        <v>1</v>
      </c>
      <c r="AM311" s="36" t="s">
        <v>1</v>
      </c>
      <c r="AN311" s="35" t="s">
        <v>1</v>
      </c>
      <c r="AO311" s="35" t="s">
        <v>1</v>
      </c>
      <c r="AP311" s="35" t="s">
        <v>1</v>
      </c>
      <c r="AQ311" s="35" t="s">
        <v>1</v>
      </c>
      <c r="AR311" s="82" t="s">
        <v>1</v>
      </c>
      <c r="AS311" s="33"/>
      <c r="AT311" s="30"/>
      <c r="AU311" s="55"/>
      <c r="AV311" s="30"/>
      <c r="AW311" s="55"/>
      <c r="AX311" s="30" t="s">
        <v>1</v>
      </c>
      <c r="AY311" s="55"/>
      <c r="AZ311" s="30" t="s">
        <v>1</v>
      </c>
      <c r="BA311" s="55"/>
      <c r="BB311" s="74" t="s">
        <v>115</v>
      </c>
      <c r="BC311" s="25"/>
      <c r="BD311" s="24" t="s">
        <v>11</v>
      </c>
      <c r="BE311" s="24" t="s">
        <v>11</v>
      </c>
      <c r="BF311" s="24" t="s">
        <v>112</v>
      </c>
      <c r="BG311" s="24" t="s">
        <v>11</v>
      </c>
      <c r="BH311" s="130" t="s">
        <v>19</v>
      </c>
      <c r="BI311" s="24"/>
      <c r="BJ311" s="24" t="s">
        <v>11</v>
      </c>
      <c r="BK311" s="24" t="s">
        <v>11</v>
      </c>
      <c r="BL311" s="24" t="s">
        <v>11</v>
      </c>
      <c r="BM311" s="24" t="s">
        <v>11</v>
      </c>
      <c r="BN311" s="24" t="s">
        <v>11</v>
      </c>
      <c r="BO311" s="24" t="s">
        <v>11</v>
      </c>
      <c r="BP311" s="24" t="s">
        <v>11</v>
      </c>
      <c r="BQ311" s="22">
        <f>YEAR([1]!BANCO10[[#This Row],[DATA INÍCIO]])</f>
        <v>2023</v>
      </c>
      <c r="BR311" s="22">
        <f>MONTH([1]!BANCO10[[#This Row],[DATA INÍCIO]])</f>
        <v>5</v>
      </c>
      <c r="BS311" s="129" t="e">
        <f>CONCATENATE(#REF!,#REF!)</f>
        <v>#REF!</v>
      </c>
      <c r="BT311" s="22"/>
      <c r="BU311" s="21" t="s">
        <v>581</v>
      </c>
      <c r="BV311" s="21" t="str">
        <f>IF([1]!BANCO10[[#This Row],[SOLUÇÃO]]=BV$1,[1]!BANCO10[[#This Row],[STATUS DA ETAPA]],"")</f>
        <v>CONCLUÍDO</v>
      </c>
      <c r="BW311" s="21" t="str">
        <f>IF([1]!BANCO10[[#This Row],[SOLUÇÃO]]=BW$1,[1]!BANCO10[[#This Row],[STATUS DA ETAPA]],"")</f>
        <v/>
      </c>
      <c r="BX311" s="21" t="str">
        <f>IF([1]!BANCO10[[#This Row],[SOLUÇÃO]]=BX$1,[1]!BANCO10[[#This Row],[STATUS DA ETAPA]],"")</f>
        <v/>
      </c>
      <c r="BY311" s="21" t="str">
        <f>IF([1]!BANCO10[[#This Row],[SOLUÇÃO]]=BY$1,[1]!BANCO10[[#This Row],[STATUS DA ETAPA]],"")</f>
        <v/>
      </c>
      <c r="BZ311" s="21" t="str">
        <f>IF([1]!BANCO10[[#This Row],[SOLUÇÃO]]=BZ$1,[1]!BANCO10[[#This Row],[STATUS DA ETAPA]],"")</f>
        <v/>
      </c>
      <c r="CA311" s="21" t="str">
        <f>IF([1]!BANCO10[[#This Row],[SOLUÇÃO]]=CA$1,[1]!BANCO10[[#This Row],[STATUS DA ETAPA]],"")</f>
        <v/>
      </c>
      <c r="CB311" s="21" t="str">
        <f>IF([1]!BANCO10[[#This Row],[SOLUÇÃO]]=CB$1,[1]!BANCO10[[#This Row],[STATUS DA ETAPA]],"")</f>
        <v/>
      </c>
      <c r="CC311" s="21" t="str">
        <f>IF([1]!BANCO10[[#This Row],[SOLUÇÃO]]=CC$1,[1]!BANCO10[[#This Row],[STATUS DA ETAPA]],"")</f>
        <v/>
      </c>
      <c r="CD311" s="21" t="str">
        <f>IF([1]!BANCO10[[#This Row],[SOLUÇÃO]]=CD$1,[1]!BANCO10[[#This Row],[STATUS DA ETAPA]],"")</f>
        <v/>
      </c>
      <c r="CE311" s="21" t="str">
        <f>IF([1]!BANCO10[[#This Row],[SOLUÇÃO]]=CE$1,[1]!BANCO10[[#This Row],[STATUS DA ETAPA]],"")</f>
        <v/>
      </c>
      <c r="CF311" s="21" t="str">
        <f>IF([1]!BANCO10[[#This Row],[SOLUÇÃO]]=CF$1,[1]!BANCO10[[#This Row],[STATUS DA ETAPA]],"")</f>
        <v/>
      </c>
      <c r="CG311" s="21" t="str">
        <f>IF([1]!BANCO10[[#This Row],[SOLUÇÃO]]=CG$1,[1]!BANCO10[[#This Row],[STATUS DA ETAPA]],"")</f>
        <v/>
      </c>
      <c r="CH311" s="21" t="str">
        <f>IF([1]!BANCO10[[#This Row],[SOLUÇÃO]]=CH$1,[1]!BANCO10[[#This Row],[STATUS DA ETAPA]],"")</f>
        <v/>
      </c>
      <c r="CI311" s="21" t="str">
        <f>IF([1]!BANCO10[[#This Row],[SOLUÇÃO]]=CI$1,[1]!BANCO10[[#This Row],[STATUS DA ETAPA]],"")</f>
        <v/>
      </c>
      <c r="CJ311" s="21" t="str">
        <f>IF([1]!BANCO10[[#This Row],[SOLUÇÃO]]=CJ$1,[1]!BANCO10[[#This Row],[STATUS DA ETAPA]],"")</f>
        <v/>
      </c>
      <c r="CK311" s="21" t="str">
        <f>IF([1]!BANCO10[[#This Row],[SOLUÇÃO]]=CK$1,[1]!BANCO10[[#This Row],[STATUS DA ETAPA]],"")</f>
        <v/>
      </c>
      <c r="CL311" s="21" t="str">
        <f>IF([1]!BANCO10[[#This Row],[SOLUÇÃO]]=CL$1,[1]!BANCO10[[#This Row],[STATUS DA ETAPA]],"")</f>
        <v/>
      </c>
      <c r="CM311" s="21" t="str">
        <f>IF([1]!BANCO10[[#This Row],[SOLUÇÃO]]=CM$1,[1]!BANCO10[[#This Row],[STATUS DA ETAPA]],"")</f>
        <v/>
      </c>
      <c r="CN311" s="21" t="str">
        <f>IF([1]!BANCO10[[#This Row],[SOLUÇÃO]]=CN$1,[1]!BANCO10[[#This Row],[STATUS DA ETAPA]],"")</f>
        <v/>
      </c>
      <c r="CO311" s="21" t="str">
        <f>IF([1]!BANCO10[[#This Row],[SOLUÇÃO]]=CO$1,[1]!BANCO10[[#This Row],[STATUS DA ETAPA]],"")</f>
        <v/>
      </c>
      <c r="CP311" s="21" t="str">
        <f>IF([1]!BANCO10[[#This Row],[SOLUÇÃO]]=CP$1,[1]!BANCO10[[#This Row],[STATUS DA ETAPA]],"")</f>
        <v/>
      </c>
      <c r="CQ311" s="21" t="str">
        <f>IF([1]!BANCO10[[#This Row],[SOLUÇÃO]]=CQ$1,[1]!BANCO10[[#This Row],[STATUS DA ETAPA]],"")</f>
        <v/>
      </c>
      <c r="CR311" s="21" t="str">
        <f>IF([1]!BANCO10[[#This Row],[SOLUÇÃO]]=CR$1,[1]!BANCO10[[#This Row],[STATUS DA ETAPA]],"")</f>
        <v/>
      </c>
      <c r="CS311" s="21" t="str">
        <f>IF([1]!BANCO10[[#This Row],[SOLUÇÃO]]=CS$1,[1]!BANCO10[[#This Row],[STATUS DA ETAPA]],"")</f>
        <v/>
      </c>
      <c r="CT311" s="21" t="str">
        <f>IF([1]!BANCO10[[#This Row],[SOLUÇÃO]]=CT$1,[1]!BANCO10[[#This Row],[STATUS DA ETAPA]],"")</f>
        <v/>
      </c>
      <c r="CU311" s="21" t="str">
        <f>IF([1]!BANCO10[[#This Row],[SOLUÇÃO]]=CU$1,[1]!BANCO10[[#This Row],[STATUS DA ETAPA]],"")</f>
        <v/>
      </c>
      <c r="CV311" s="21" t="str">
        <f>IF([1]!BANCO10[[#This Row],[SOLUÇÃO]]=CV$1,[1]!BANCO10[[#This Row],[STATUS DA ETAPA]],"")</f>
        <v/>
      </c>
    </row>
    <row r="312" spans="1:100">
      <c r="A312" s="44" t="s">
        <v>1</v>
      </c>
      <c r="B312" s="44"/>
      <c r="C312" s="44" t="s">
        <v>1</v>
      </c>
      <c r="D312" s="44"/>
      <c r="E312" s="44" t="s">
        <v>1</v>
      </c>
      <c r="F312" s="44"/>
      <c r="G312" s="44" t="s">
        <v>1</v>
      </c>
      <c r="H312" s="44"/>
      <c r="I312" s="45" t="s">
        <v>1</v>
      </c>
      <c r="J312" s="46"/>
      <c r="K312" s="45" t="s">
        <v>1</v>
      </c>
      <c r="L312" s="33"/>
      <c r="M312" s="45" t="s">
        <v>1</v>
      </c>
      <c r="N312" s="33"/>
      <c r="O312" s="44" t="s">
        <v>2</v>
      </c>
      <c r="P312" s="44">
        <v>45271</v>
      </c>
      <c r="Q312" s="44" t="s">
        <v>0</v>
      </c>
      <c r="R312" s="44"/>
      <c r="S312" s="44" t="s">
        <v>1</v>
      </c>
      <c r="T312" s="44"/>
      <c r="U312" s="44" t="s">
        <v>1</v>
      </c>
      <c r="V312" s="44"/>
      <c r="W312" s="44" t="s">
        <v>1</v>
      </c>
      <c r="X312" s="44"/>
      <c r="Y312" s="44" t="s">
        <v>1</v>
      </c>
      <c r="Z312" s="44"/>
      <c r="AA312" s="44" t="s">
        <v>1</v>
      </c>
      <c r="AB312" s="44"/>
      <c r="AC312" s="51">
        <v>45271</v>
      </c>
      <c r="AD312" s="50">
        <v>45271</v>
      </c>
      <c r="AE312" s="40" t="s">
        <v>1</v>
      </c>
      <c r="AF312" s="40" t="s">
        <v>1</v>
      </c>
      <c r="AG312" s="76" t="s">
        <v>5</v>
      </c>
      <c r="AH312" s="36" t="s">
        <v>0</v>
      </c>
      <c r="AI312" s="49">
        <v>0</v>
      </c>
      <c r="AJ312" s="36" t="s">
        <v>1</v>
      </c>
      <c r="AK312" s="10" t="s">
        <v>1</v>
      </c>
      <c r="AL312" s="36" t="s">
        <v>1</v>
      </c>
      <c r="AM312" s="36" t="s">
        <v>1</v>
      </c>
      <c r="AN312" s="35" t="s">
        <v>1</v>
      </c>
      <c r="AO312" s="35" t="s">
        <v>1</v>
      </c>
      <c r="AP312" s="35" t="s">
        <v>1</v>
      </c>
      <c r="AQ312" s="35" t="s">
        <v>1</v>
      </c>
      <c r="AR312" s="82" t="s">
        <v>1</v>
      </c>
      <c r="AS312" s="33"/>
      <c r="AT312" s="30"/>
      <c r="AU312" s="55"/>
      <c r="AV312" s="30"/>
      <c r="AW312" s="55"/>
      <c r="AX312" s="30" t="s">
        <v>1</v>
      </c>
      <c r="AY312" s="55"/>
      <c r="AZ312" s="30" t="s">
        <v>1</v>
      </c>
      <c r="BA312" s="55"/>
      <c r="BB312" s="74"/>
      <c r="BC312" s="25"/>
      <c r="BD312" s="24" t="s">
        <v>11</v>
      </c>
      <c r="BE312" s="24" t="s">
        <v>11</v>
      </c>
      <c r="BF312" s="24" t="s">
        <v>112</v>
      </c>
      <c r="BG312" s="24"/>
      <c r="BH312" s="130"/>
      <c r="BI312" s="24"/>
      <c r="BJ312" s="24" t="s">
        <v>11</v>
      </c>
      <c r="BK312" s="24" t="s">
        <v>11</v>
      </c>
      <c r="BL312" s="24" t="s">
        <v>11</v>
      </c>
      <c r="BM312" s="24" t="s">
        <v>11</v>
      </c>
      <c r="BN312" s="24" t="s">
        <v>11</v>
      </c>
      <c r="BO312" s="24" t="s">
        <v>11</v>
      </c>
      <c r="BP312" s="24" t="s">
        <v>11</v>
      </c>
      <c r="BQ312" s="22">
        <f>YEAR([1]!BANCO10[[#This Row],[DATA INÍCIO]])</f>
        <v>2023</v>
      </c>
      <c r="BR312" s="22">
        <f>MONTH([1]!BANCO10[[#This Row],[DATA INÍCIO]])</f>
        <v>12</v>
      </c>
      <c r="BS312" s="129" t="e">
        <f>CONCATENATE(#REF!,#REF!)</f>
        <v>#REF!</v>
      </c>
      <c r="BT312" s="22"/>
      <c r="BU312" s="21" t="s">
        <v>580</v>
      </c>
      <c r="BV312" s="21" t="str">
        <f>IF([1]!BANCO10[[#This Row],[SOLUÇÃO]]=BV$1,[1]!BANCO10[[#This Row],[STATUS DA ETAPA]],"")</f>
        <v>CONCLUÍDO</v>
      </c>
      <c r="BW312" s="21" t="str">
        <f>IF([1]!BANCO10[[#This Row],[SOLUÇÃO]]=BW$1,[1]!BANCO10[[#This Row],[STATUS DA ETAPA]],"")</f>
        <v/>
      </c>
      <c r="BX312" s="21" t="str">
        <f>IF([1]!BANCO10[[#This Row],[SOLUÇÃO]]=BX$1,[1]!BANCO10[[#This Row],[STATUS DA ETAPA]],"")</f>
        <v/>
      </c>
      <c r="BY312" s="21" t="str">
        <f>IF([1]!BANCO10[[#This Row],[SOLUÇÃO]]=BY$1,[1]!BANCO10[[#This Row],[STATUS DA ETAPA]],"")</f>
        <v/>
      </c>
      <c r="BZ312" s="21" t="str">
        <f>IF([1]!BANCO10[[#This Row],[SOLUÇÃO]]=BZ$1,[1]!BANCO10[[#This Row],[STATUS DA ETAPA]],"")</f>
        <v/>
      </c>
      <c r="CA312" s="21" t="str">
        <f>IF([1]!BANCO10[[#This Row],[SOLUÇÃO]]=CA$1,[1]!BANCO10[[#This Row],[STATUS DA ETAPA]],"")</f>
        <v/>
      </c>
      <c r="CB312" s="21" t="str">
        <f>IF([1]!BANCO10[[#This Row],[SOLUÇÃO]]=CB$1,[1]!BANCO10[[#This Row],[STATUS DA ETAPA]],"")</f>
        <v/>
      </c>
      <c r="CC312" s="21" t="str">
        <f>IF([1]!BANCO10[[#This Row],[SOLUÇÃO]]=CC$1,[1]!BANCO10[[#This Row],[STATUS DA ETAPA]],"")</f>
        <v/>
      </c>
      <c r="CD312" s="21" t="str">
        <f>IF([1]!BANCO10[[#This Row],[SOLUÇÃO]]=CD$1,[1]!BANCO10[[#This Row],[STATUS DA ETAPA]],"")</f>
        <v/>
      </c>
      <c r="CE312" s="21" t="str">
        <f>IF([1]!BANCO10[[#This Row],[SOLUÇÃO]]=CE$1,[1]!BANCO10[[#This Row],[STATUS DA ETAPA]],"")</f>
        <v/>
      </c>
      <c r="CF312" s="21" t="str">
        <f>IF([1]!BANCO10[[#This Row],[SOLUÇÃO]]=CF$1,[1]!BANCO10[[#This Row],[STATUS DA ETAPA]],"")</f>
        <v/>
      </c>
      <c r="CG312" s="21" t="str">
        <f>IF([1]!BANCO10[[#This Row],[SOLUÇÃO]]=CG$1,[1]!BANCO10[[#This Row],[STATUS DA ETAPA]],"")</f>
        <v/>
      </c>
      <c r="CH312" s="21" t="str">
        <f>IF([1]!BANCO10[[#This Row],[SOLUÇÃO]]=CH$1,[1]!BANCO10[[#This Row],[STATUS DA ETAPA]],"")</f>
        <v/>
      </c>
      <c r="CI312" s="21" t="str">
        <f>IF([1]!BANCO10[[#This Row],[SOLUÇÃO]]=CI$1,[1]!BANCO10[[#This Row],[STATUS DA ETAPA]],"")</f>
        <v/>
      </c>
      <c r="CJ312" s="21" t="str">
        <f>IF([1]!BANCO10[[#This Row],[SOLUÇÃO]]=CJ$1,[1]!BANCO10[[#This Row],[STATUS DA ETAPA]],"")</f>
        <v/>
      </c>
      <c r="CK312" s="21" t="str">
        <f>IF([1]!BANCO10[[#This Row],[SOLUÇÃO]]=CK$1,[1]!BANCO10[[#This Row],[STATUS DA ETAPA]],"")</f>
        <v/>
      </c>
      <c r="CL312" s="21" t="str">
        <f>IF([1]!BANCO10[[#This Row],[SOLUÇÃO]]=CL$1,[1]!BANCO10[[#This Row],[STATUS DA ETAPA]],"")</f>
        <v/>
      </c>
      <c r="CM312" s="21" t="str">
        <f>IF([1]!BANCO10[[#This Row],[SOLUÇÃO]]=CM$1,[1]!BANCO10[[#This Row],[STATUS DA ETAPA]],"")</f>
        <v/>
      </c>
      <c r="CN312" s="21" t="str">
        <f>IF([1]!BANCO10[[#This Row],[SOLUÇÃO]]=CN$1,[1]!BANCO10[[#This Row],[STATUS DA ETAPA]],"")</f>
        <v/>
      </c>
      <c r="CO312" s="21" t="str">
        <f>IF([1]!BANCO10[[#This Row],[SOLUÇÃO]]=CO$1,[1]!BANCO10[[#This Row],[STATUS DA ETAPA]],"")</f>
        <v/>
      </c>
      <c r="CP312" s="21" t="str">
        <f>IF([1]!BANCO10[[#This Row],[SOLUÇÃO]]=CP$1,[1]!BANCO10[[#This Row],[STATUS DA ETAPA]],"")</f>
        <v/>
      </c>
      <c r="CQ312" s="21" t="str">
        <f>IF([1]!BANCO10[[#This Row],[SOLUÇÃO]]=CQ$1,[1]!BANCO10[[#This Row],[STATUS DA ETAPA]],"")</f>
        <v/>
      </c>
      <c r="CR312" s="21" t="str">
        <f>IF([1]!BANCO10[[#This Row],[SOLUÇÃO]]=CR$1,[1]!BANCO10[[#This Row],[STATUS DA ETAPA]],"")</f>
        <v/>
      </c>
      <c r="CS312" s="21" t="str">
        <f>IF([1]!BANCO10[[#This Row],[SOLUÇÃO]]=CS$1,[1]!BANCO10[[#This Row],[STATUS DA ETAPA]],"")</f>
        <v/>
      </c>
      <c r="CT312" s="21" t="str">
        <f>IF([1]!BANCO10[[#This Row],[SOLUÇÃO]]=CT$1,[1]!BANCO10[[#This Row],[STATUS DA ETAPA]],"")</f>
        <v/>
      </c>
      <c r="CU312" s="21" t="str">
        <f>IF([1]!BANCO10[[#This Row],[SOLUÇÃO]]=CU$1,[1]!BANCO10[[#This Row],[STATUS DA ETAPA]],"")</f>
        <v/>
      </c>
      <c r="CV312" s="21" t="str">
        <f>IF([1]!BANCO10[[#This Row],[SOLUÇÃO]]=CV$1,[1]!BANCO10[[#This Row],[STATUS DA ETAPA]],"")</f>
        <v/>
      </c>
    </row>
    <row r="313" spans="1:100">
      <c r="A313" s="44" t="s">
        <v>1</v>
      </c>
      <c r="B313" s="44"/>
      <c r="C313" s="44" t="s">
        <v>1</v>
      </c>
      <c r="D313" s="44"/>
      <c r="E313" s="44" t="s">
        <v>1</v>
      </c>
      <c r="F313" s="44"/>
      <c r="G313" s="44" t="s">
        <v>1</v>
      </c>
      <c r="H313" s="44"/>
      <c r="I313" s="45" t="s">
        <v>1</v>
      </c>
      <c r="J313" s="46"/>
      <c r="K313" s="45" t="s">
        <v>1</v>
      </c>
      <c r="L313" s="33"/>
      <c r="M313" s="45" t="s">
        <v>1</v>
      </c>
      <c r="N313" s="33"/>
      <c r="O313" s="44" t="s">
        <v>1</v>
      </c>
      <c r="P313" s="44"/>
      <c r="Q313" s="44" t="s">
        <v>1</v>
      </c>
      <c r="R313" s="44"/>
      <c r="S313" s="44" t="s">
        <v>1</v>
      </c>
      <c r="T313" s="44"/>
      <c r="U313" s="44" t="s">
        <v>1</v>
      </c>
      <c r="V313" s="44"/>
      <c r="W313" s="44" t="s">
        <v>1</v>
      </c>
      <c r="X313" s="44"/>
      <c r="Y313" s="44" t="s">
        <v>1</v>
      </c>
      <c r="Z313" s="44"/>
      <c r="AA313" s="44" t="s">
        <v>1</v>
      </c>
      <c r="AB313" s="44"/>
      <c r="AC313" s="51">
        <v>45963</v>
      </c>
      <c r="AD313" s="50">
        <v>45963</v>
      </c>
      <c r="AE313" s="40" t="s">
        <v>1</v>
      </c>
      <c r="AF313" s="40" t="s">
        <v>1</v>
      </c>
      <c r="AG313" s="40" t="s">
        <v>1</v>
      </c>
      <c r="AH313" s="36" t="s">
        <v>1</v>
      </c>
      <c r="AI313" s="49">
        <v>0</v>
      </c>
      <c r="AJ313" s="36" t="s">
        <v>1</v>
      </c>
      <c r="AK313" s="10" t="s">
        <v>1</v>
      </c>
      <c r="AL313" s="36" t="s">
        <v>1</v>
      </c>
      <c r="AM313" s="36" t="s">
        <v>1</v>
      </c>
      <c r="AN313" s="35" t="s">
        <v>1</v>
      </c>
      <c r="AO313" s="35" t="s">
        <v>1</v>
      </c>
      <c r="AP313" s="35" t="s">
        <v>1</v>
      </c>
      <c r="AQ313" s="35" t="s">
        <v>1</v>
      </c>
      <c r="AR313" s="34" t="s">
        <v>1</v>
      </c>
      <c r="AS313" s="63"/>
      <c r="AT313" s="32" t="s">
        <v>1</v>
      </c>
      <c r="AU313" s="31"/>
      <c r="AV313" s="32" t="s">
        <v>1</v>
      </c>
      <c r="AW313" s="31"/>
      <c r="AX313" s="32" t="s">
        <v>1</v>
      </c>
      <c r="AY313" s="31"/>
      <c r="AZ313" s="32" t="s">
        <v>1</v>
      </c>
      <c r="BA313" s="31"/>
      <c r="BB313" s="74"/>
      <c r="BC313" s="25"/>
      <c r="BD313" s="24" t="s">
        <v>11</v>
      </c>
      <c r="BE313" s="24" t="s">
        <v>11</v>
      </c>
      <c r="BF313" s="24" t="s">
        <v>11</v>
      </c>
      <c r="BG313" s="24" t="s">
        <v>11</v>
      </c>
      <c r="BH313" s="130" t="s">
        <v>11</v>
      </c>
      <c r="BI313" s="24"/>
      <c r="BJ313" s="24" t="s">
        <v>11</v>
      </c>
      <c r="BK313" s="24" t="s">
        <v>11</v>
      </c>
      <c r="BL313" s="24" t="s">
        <v>11</v>
      </c>
      <c r="BM313" s="24" t="s">
        <v>11</v>
      </c>
      <c r="BN313" s="24" t="s">
        <v>11</v>
      </c>
      <c r="BO313" s="24" t="s">
        <v>11</v>
      </c>
      <c r="BP313" s="24" t="s">
        <v>11</v>
      </c>
      <c r="BQ313" s="22">
        <f>YEAR([1]!BANCO10[[#This Row],[DATA INÍCIO]])</f>
        <v>2025</v>
      </c>
      <c r="BR313" s="22">
        <f>MONTH([1]!BANCO10[[#This Row],[DATA INÍCIO]])</f>
        <v>11</v>
      </c>
      <c r="BS313" s="129" t="e">
        <f>CONCATENATE(#REF!,#REF!)</f>
        <v>#REF!</v>
      </c>
      <c r="BT313" s="22"/>
      <c r="BU313" s="21" t="s">
        <v>1</v>
      </c>
      <c r="BV313" s="21" t="str">
        <f>IF([1]!BANCO10[[#This Row],[SOLUÇÃO]]=BV$1,[1]!BANCO10[[#This Row],[STATUS DA ETAPA]],"")</f>
        <v/>
      </c>
      <c r="BW313" s="21" t="str">
        <f>IF([1]!BANCO10[[#This Row],[SOLUÇÃO]]=BW$1,[1]!BANCO10[[#This Row],[STATUS DA ETAPA]],"")</f>
        <v/>
      </c>
      <c r="BX313" s="21" t="str">
        <f>IF([1]!BANCO10[[#This Row],[SOLUÇÃO]]=BX$1,[1]!BANCO10[[#This Row],[STATUS DA ETAPA]],"")</f>
        <v/>
      </c>
      <c r="BY313" s="21" t="str">
        <f>IF([1]!BANCO10[[#This Row],[SOLUÇÃO]]=BY$1,[1]!BANCO10[[#This Row],[STATUS DA ETAPA]],"")</f>
        <v/>
      </c>
      <c r="BZ313" s="21" t="str">
        <f>IF([1]!BANCO10[[#This Row],[SOLUÇÃO]]=BZ$1,[1]!BANCO10[[#This Row],[STATUS DA ETAPA]],"")</f>
        <v/>
      </c>
      <c r="CA313" s="21" t="str">
        <f>IF([1]!BANCO10[[#This Row],[SOLUÇÃO]]=CA$1,[1]!BANCO10[[#This Row],[STATUS DA ETAPA]],"")</f>
        <v>CANCELADO</v>
      </c>
      <c r="CB313" s="21" t="str">
        <f>IF([1]!BANCO10[[#This Row],[SOLUÇÃO]]=CB$1,[1]!BANCO10[[#This Row],[STATUS DA ETAPA]],"")</f>
        <v/>
      </c>
      <c r="CC313" s="21" t="str">
        <f>IF([1]!BANCO10[[#This Row],[SOLUÇÃO]]=CC$1,[1]!BANCO10[[#This Row],[STATUS DA ETAPA]],"")</f>
        <v/>
      </c>
      <c r="CD313" s="21" t="str">
        <f>IF([1]!BANCO10[[#This Row],[SOLUÇÃO]]=CD$1,[1]!BANCO10[[#This Row],[STATUS DA ETAPA]],"")</f>
        <v/>
      </c>
      <c r="CE313" s="21" t="str">
        <f>IF([1]!BANCO10[[#This Row],[SOLUÇÃO]]=CE$1,[1]!BANCO10[[#This Row],[STATUS DA ETAPA]],"")</f>
        <v/>
      </c>
      <c r="CF313" s="21" t="str">
        <f>IF([1]!BANCO10[[#This Row],[SOLUÇÃO]]=CF$1,[1]!BANCO10[[#This Row],[STATUS DA ETAPA]],"")</f>
        <v/>
      </c>
      <c r="CG313" s="21" t="str">
        <f>IF([1]!BANCO10[[#This Row],[SOLUÇÃO]]=CG$1,[1]!BANCO10[[#This Row],[STATUS DA ETAPA]],"")</f>
        <v/>
      </c>
      <c r="CH313" s="21" t="str">
        <f>IF([1]!BANCO10[[#This Row],[SOLUÇÃO]]=CH$1,[1]!BANCO10[[#This Row],[STATUS DA ETAPA]],"")</f>
        <v/>
      </c>
      <c r="CI313" s="21" t="str">
        <f>IF([1]!BANCO10[[#This Row],[SOLUÇÃO]]=CI$1,[1]!BANCO10[[#This Row],[STATUS DA ETAPA]],"")</f>
        <v/>
      </c>
      <c r="CJ313" s="21" t="str">
        <f>IF([1]!BANCO10[[#This Row],[SOLUÇÃO]]=CJ$1,[1]!BANCO10[[#This Row],[STATUS DA ETAPA]],"")</f>
        <v/>
      </c>
      <c r="CK313" s="21" t="str">
        <f>IF([1]!BANCO10[[#This Row],[SOLUÇÃO]]=CK$1,[1]!BANCO10[[#This Row],[STATUS DA ETAPA]],"")</f>
        <v/>
      </c>
      <c r="CL313" s="21" t="str">
        <f>IF([1]!BANCO10[[#This Row],[SOLUÇÃO]]=CL$1,[1]!BANCO10[[#This Row],[STATUS DA ETAPA]],"")</f>
        <v/>
      </c>
      <c r="CM313" s="21" t="str">
        <f>IF([1]!BANCO10[[#This Row],[SOLUÇÃO]]=CM$1,[1]!BANCO10[[#This Row],[STATUS DA ETAPA]],"")</f>
        <v/>
      </c>
      <c r="CN313" s="21" t="str">
        <f>IF([1]!BANCO10[[#This Row],[SOLUÇÃO]]=CN$1,[1]!BANCO10[[#This Row],[STATUS DA ETAPA]],"")</f>
        <v/>
      </c>
      <c r="CO313" s="21" t="str">
        <f>IF([1]!BANCO10[[#This Row],[SOLUÇÃO]]=CO$1,[1]!BANCO10[[#This Row],[STATUS DA ETAPA]],"")</f>
        <v/>
      </c>
      <c r="CP313" s="21" t="str">
        <f>IF([1]!BANCO10[[#This Row],[SOLUÇÃO]]=CP$1,[1]!BANCO10[[#This Row],[STATUS DA ETAPA]],"")</f>
        <v/>
      </c>
      <c r="CQ313" s="21" t="str">
        <f>IF([1]!BANCO10[[#This Row],[SOLUÇÃO]]=CQ$1,[1]!BANCO10[[#This Row],[STATUS DA ETAPA]],"")</f>
        <v/>
      </c>
      <c r="CR313" s="21" t="str">
        <f>IF([1]!BANCO10[[#This Row],[SOLUÇÃO]]=CR$1,[1]!BANCO10[[#This Row],[STATUS DA ETAPA]],"")</f>
        <v/>
      </c>
      <c r="CS313" s="21" t="str">
        <f>IF([1]!BANCO10[[#This Row],[SOLUÇÃO]]=CS$1,[1]!BANCO10[[#This Row],[STATUS DA ETAPA]],"")</f>
        <v/>
      </c>
      <c r="CT313" s="21" t="str">
        <f>IF([1]!BANCO10[[#This Row],[SOLUÇÃO]]=CT$1,[1]!BANCO10[[#This Row],[STATUS DA ETAPA]],"")</f>
        <v/>
      </c>
      <c r="CU313" s="21" t="str">
        <f>IF([1]!BANCO10[[#This Row],[SOLUÇÃO]]=CU$1,[1]!BANCO10[[#This Row],[STATUS DA ETAPA]],"")</f>
        <v/>
      </c>
      <c r="CV313" s="21" t="str">
        <f>IF([1]!BANCO10[[#This Row],[SOLUÇÃO]]=CV$1,[1]!BANCO10[[#This Row],[STATUS DA ETAPA]],"")</f>
        <v/>
      </c>
    </row>
    <row r="314" spans="1:100">
      <c r="A314" s="44" t="s">
        <v>2</v>
      </c>
      <c r="B314" s="44">
        <v>45709</v>
      </c>
      <c r="C314" s="44" t="s">
        <v>2</v>
      </c>
      <c r="D314" s="44">
        <v>45709</v>
      </c>
      <c r="E314" s="44" t="s">
        <v>2</v>
      </c>
      <c r="F314" s="44">
        <v>45709</v>
      </c>
      <c r="G314" s="44" t="s">
        <v>2</v>
      </c>
      <c r="H314" s="44">
        <v>45709</v>
      </c>
      <c r="I314" s="45" t="s">
        <v>2</v>
      </c>
      <c r="J314" s="46">
        <v>45709</v>
      </c>
      <c r="K314" s="45" t="s">
        <v>0</v>
      </c>
      <c r="L314" s="33"/>
      <c r="M314" s="45" t="s">
        <v>2</v>
      </c>
      <c r="N314" s="33">
        <v>45695</v>
      </c>
      <c r="O314" s="44" t="s">
        <v>1</v>
      </c>
      <c r="P314" s="44"/>
      <c r="Q314" s="44" t="s">
        <v>2</v>
      </c>
      <c r="R314" s="44"/>
      <c r="S314" s="44" t="s">
        <v>0</v>
      </c>
      <c r="T314" s="44"/>
      <c r="U314" s="44" t="s">
        <v>1</v>
      </c>
      <c r="V314" s="44"/>
      <c r="W314" s="44" t="s">
        <v>1</v>
      </c>
      <c r="X314" s="44"/>
      <c r="Y314" s="44" t="s">
        <v>1</v>
      </c>
      <c r="Z314" s="44"/>
      <c r="AA314" s="44" t="s">
        <v>1</v>
      </c>
      <c r="AB314" s="44"/>
      <c r="AC314" s="51">
        <v>45785</v>
      </c>
      <c r="AD314" s="50">
        <v>45869</v>
      </c>
      <c r="AE314" s="41" t="s">
        <v>2</v>
      </c>
      <c r="AF314" s="41" t="s">
        <v>0</v>
      </c>
      <c r="AG314" s="40" t="s">
        <v>5</v>
      </c>
      <c r="AH314" s="36" t="s">
        <v>0</v>
      </c>
      <c r="AI314" s="49">
        <v>20140</v>
      </c>
      <c r="AJ314" s="36" t="s">
        <v>6</v>
      </c>
      <c r="AK314" s="10">
        <v>667412</v>
      </c>
      <c r="AL314" s="36" t="s">
        <v>1</v>
      </c>
      <c r="AM314" s="36" t="s">
        <v>1</v>
      </c>
      <c r="AN314" s="35" t="s">
        <v>0</v>
      </c>
      <c r="AO314" s="35" t="s">
        <v>0</v>
      </c>
      <c r="AP314" s="35" t="s">
        <v>0</v>
      </c>
      <c r="AQ314" s="35" t="s">
        <v>2</v>
      </c>
      <c r="AR314" s="34" t="s">
        <v>0</v>
      </c>
      <c r="AS314" s="33"/>
      <c r="AT314" s="135" t="s">
        <v>1</v>
      </c>
      <c r="AU314" s="151"/>
      <c r="AV314" s="135" t="s">
        <v>1</v>
      </c>
      <c r="AW314" s="151"/>
      <c r="AX314" s="32" t="s">
        <v>0</v>
      </c>
      <c r="AY314" s="31"/>
      <c r="AZ314" s="32" t="s">
        <v>0</v>
      </c>
      <c r="BA314" s="31"/>
      <c r="BB314" s="109" t="s">
        <v>68</v>
      </c>
      <c r="BC314" s="22" t="s">
        <v>579</v>
      </c>
      <c r="BD314" s="24"/>
      <c r="BE314" s="24"/>
      <c r="BF314" s="24"/>
      <c r="BG314" s="24"/>
      <c r="BH314" s="24"/>
      <c r="BI314" s="24"/>
      <c r="BJ314" s="24"/>
      <c r="BK314" s="24"/>
      <c r="BL314" s="24"/>
      <c r="BM314" s="24"/>
      <c r="BN314" s="24"/>
      <c r="BO314" s="24"/>
      <c r="BP314" s="24"/>
      <c r="BQ314" s="22">
        <f>YEAR([1]!BANCO10[[#This Row],[DATA INÍCIO]])</f>
        <v>2025</v>
      </c>
      <c r="BR314" s="22">
        <f>MONTH([1]!BANCO10[[#This Row],[DATA INÍCIO]])</f>
        <v>5</v>
      </c>
      <c r="BS314" s="23" t="e">
        <f>CONCATENATE(#REF!,#REF!)</f>
        <v>#REF!</v>
      </c>
      <c r="BT314" s="22"/>
      <c r="BU314" s="22"/>
      <c r="BV314" s="21" t="str">
        <f>IF([1]!BANCO10[[#This Row],[SOLUÇÃO]]=BV$1,[1]!BANCO10[[#This Row],[STATUS DA ETAPA]],"")</f>
        <v/>
      </c>
      <c r="BW314" s="21" t="str">
        <f>IF([1]!BANCO10[[#This Row],[SOLUÇÃO]]=BW$1,[1]!BANCO10[[#This Row],[STATUS DA ETAPA]],"")</f>
        <v/>
      </c>
      <c r="BX314" s="21" t="str">
        <f>IF([1]!BANCO10[[#This Row],[SOLUÇÃO]]=BX$1,[1]!BANCO10[[#This Row],[STATUS DA ETAPA]],"")</f>
        <v/>
      </c>
      <c r="BY314" s="21" t="str">
        <f>IF([1]!BANCO10[[#This Row],[SOLUÇÃO]]=BY$1,[1]!BANCO10[[#This Row],[STATUS DA ETAPA]],"")</f>
        <v/>
      </c>
      <c r="BZ314" s="21" t="str">
        <f>IF([1]!BANCO10[[#This Row],[SOLUÇÃO]]=BZ$1,[1]!BANCO10[[#This Row],[STATUS DA ETAPA]],"")</f>
        <v/>
      </c>
      <c r="CA314" s="21" t="str">
        <f>IF([1]!BANCO10[[#This Row],[SOLUÇÃO]]=CA$1,[1]!BANCO10[[#This Row],[STATUS DA ETAPA]],"")</f>
        <v/>
      </c>
      <c r="CB314" s="21" t="str">
        <f>IF([1]!BANCO10[[#This Row],[SOLUÇÃO]]=CB$1,[1]!BANCO10[[#This Row],[STATUS DA ETAPA]],"")</f>
        <v>CONCLUÍDO</v>
      </c>
      <c r="CC314" s="21" t="str">
        <f>IF([1]!BANCO10[[#This Row],[SOLUÇÃO]]=CC$1,[1]!BANCO10[[#This Row],[STATUS DA ETAPA]],"")</f>
        <v/>
      </c>
      <c r="CD314" s="21" t="str">
        <f>IF([1]!BANCO10[[#This Row],[SOLUÇÃO]]=CD$1,[1]!BANCO10[[#This Row],[STATUS DA ETAPA]],"")</f>
        <v/>
      </c>
      <c r="CE314" s="21" t="str">
        <f>IF([1]!BANCO10[[#This Row],[SOLUÇÃO]]=CE$1,[1]!BANCO10[[#This Row],[STATUS DA ETAPA]],"")</f>
        <v/>
      </c>
      <c r="CF314" s="21" t="str">
        <f>IF([1]!BANCO10[[#This Row],[SOLUÇÃO]]=CF$1,[1]!BANCO10[[#This Row],[STATUS DA ETAPA]],"")</f>
        <v/>
      </c>
      <c r="CG314" s="21" t="str">
        <f>IF([1]!BANCO10[[#This Row],[SOLUÇÃO]]=CG$1,[1]!BANCO10[[#This Row],[STATUS DA ETAPA]],"")</f>
        <v/>
      </c>
      <c r="CH314" s="21" t="str">
        <f>IF([1]!BANCO10[[#This Row],[SOLUÇÃO]]=CH$1,[1]!BANCO10[[#This Row],[STATUS DA ETAPA]],"")</f>
        <v/>
      </c>
      <c r="CI314" s="21" t="str">
        <f>IF([1]!BANCO10[[#This Row],[SOLUÇÃO]]=CI$1,[1]!BANCO10[[#This Row],[STATUS DA ETAPA]],"")</f>
        <v/>
      </c>
      <c r="CJ314" s="21" t="str">
        <f>IF([1]!BANCO10[[#This Row],[SOLUÇÃO]]=CJ$1,[1]!BANCO10[[#This Row],[STATUS DA ETAPA]],"")</f>
        <v/>
      </c>
      <c r="CK314" s="21" t="str">
        <f>IF([1]!BANCO10[[#This Row],[SOLUÇÃO]]=CK$1,[1]!BANCO10[[#This Row],[STATUS DA ETAPA]],"")</f>
        <v/>
      </c>
      <c r="CL314" s="21" t="str">
        <f>IF([1]!BANCO10[[#This Row],[SOLUÇÃO]]=CL$1,[1]!BANCO10[[#This Row],[STATUS DA ETAPA]],"")</f>
        <v/>
      </c>
      <c r="CM314" s="21" t="str">
        <f>IF([1]!BANCO10[[#This Row],[SOLUÇÃO]]=CM$1,[1]!BANCO10[[#This Row],[STATUS DA ETAPA]],"")</f>
        <v/>
      </c>
      <c r="CN314" s="21" t="str">
        <f>IF([1]!BANCO10[[#This Row],[SOLUÇÃO]]=CN$1,[1]!BANCO10[[#This Row],[STATUS DA ETAPA]],"")</f>
        <v/>
      </c>
      <c r="CO314" s="21" t="str">
        <f>IF([1]!BANCO10[[#This Row],[SOLUÇÃO]]=CO$1,[1]!BANCO10[[#This Row],[STATUS DA ETAPA]],"")</f>
        <v/>
      </c>
      <c r="CP314" s="21" t="str">
        <f>IF([1]!BANCO10[[#This Row],[SOLUÇÃO]]=CP$1,[1]!BANCO10[[#This Row],[STATUS DA ETAPA]],"")</f>
        <v/>
      </c>
      <c r="CQ314" s="21" t="str">
        <f>IF([1]!BANCO10[[#This Row],[SOLUÇÃO]]=CQ$1,[1]!BANCO10[[#This Row],[STATUS DA ETAPA]],"")</f>
        <v/>
      </c>
      <c r="CR314" s="21" t="str">
        <f>IF([1]!BANCO10[[#This Row],[SOLUÇÃO]]=CR$1,[1]!BANCO10[[#This Row],[STATUS DA ETAPA]],"")</f>
        <v/>
      </c>
      <c r="CS314" s="21" t="str">
        <f>IF([1]!BANCO10[[#This Row],[SOLUÇÃO]]=CS$1,[1]!BANCO10[[#This Row],[STATUS DA ETAPA]],"")</f>
        <v/>
      </c>
      <c r="CT314" s="21" t="str">
        <f>IF([1]!BANCO10[[#This Row],[SOLUÇÃO]]=CT$1,[1]!BANCO10[[#This Row],[STATUS DA ETAPA]],"")</f>
        <v/>
      </c>
      <c r="CU314" s="21" t="str">
        <f>IF([1]!BANCO10[[#This Row],[SOLUÇÃO]]=CU$1,[1]!BANCO10[[#This Row],[STATUS DA ETAPA]],"")</f>
        <v/>
      </c>
      <c r="CV314" s="21" t="str">
        <f>IF([1]!BANCO10[[#This Row],[SOLUÇÃO]]=CV$1,[1]!BANCO10[[#This Row],[STATUS DA ETAPA]],"")</f>
        <v/>
      </c>
    </row>
    <row r="315" spans="1:100">
      <c r="A315" s="44" t="s">
        <v>1</v>
      </c>
      <c r="B315" s="44"/>
      <c r="C315" s="44" t="s">
        <v>1</v>
      </c>
      <c r="D315" s="44"/>
      <c r="E315" s="44" t="s">
        <v>1</v>
      </c>
      <c r="F315" s="44"/>
      <c r="G315" s="44" t="s">
        <v>1</v>
      </c>
      <c r="H315" s="44"/>
      <c r="I315" s="45" t="s">
        <v>1</v>
      </c>
      <c r="J315" s="46"/>
      <c r="K315" s="45" t="s">
        <v>1</v>
      </c>
      <c r="L315" s="33"/>
      <c r="M315" s="45" t="s">
        <v>1</v>
      </c>
      <c r="N315" s="33"/>
      <c r="O315" s="44" t="s">
        <v>1</v>
      </c>
      <c r="P315" s="44"/>
      <c r="Q315" s="44" t="s">
        <v>1</v>
      </c>
      <c r="R315" s="44"/>
      <c r="S315" s="44" t="s">
        <v>1</v>
      </c>
      <c r="T315" s="44"/>
      <c r="U315" s="44" t="s">
        <v>2</v>
      </c>
      <c r="V315" s="44">
        <v>45825</v>
      </c>
      <c r="W315" s="44" t="s">
        <v>2</v>
      </c>
      <c r="X315" s="44"/>
      <c r="Y315" s="44" t="s">
        <v>2</v>
      </c>
      <c r="Z315" s="44"/>
      <c r="AA315" s="44" t="s">
        <v>2</v>
      </c>
      <c r="AB315" s="44"/>
      <c r="AC315" s="51">
        <v>45866</v>
      </c>
      <c r="AD315" s="50">
        <v>45923</v>
      </c>
      <c r="AE315" s="68" t="s">
        <v>2</v>
      </c>
      <c r="AF315" s="68" t="s">
        <v>2</v>
      </c>
      <c r="AG315" s="76" t="s">
        <v>4</v>
      </c>
      <c r="AH315" s="36" t="s">
        <v>0</v>
      </c>
      <c r="AI315" s="49">
        <v>0</v>
      </c>
      <c r="AJ315" s="36" t="s">
        <v>6</v>
      </c>
      <c r="AK315" s="10" t="s">
        <v>578</v>
      </c>
      <c r="AL315" s="36">
        <v>4712</v>
      </c>
      <c r="AM315" s="36">
        <v>0</v>
      </c>
      <c r="AN315" s="35" t="s">
        <v>1</v>
      </c>
      <c r="AO315" s="35" t="s">
        <v>1</v>
      </c>
      <c r="AP315" s="35" t="s">
        <v>2</v>
      </c>
      <c r="AQ315" s="35" t="s">
        <v>1</v>
      </c>
      <c r="AR315" s="34" t="s">
        <v>1</v>
      </c>
      <c r="AS315" s="33"/>
      <c r="AT315" s="30" t="s">
        <v>2</v>
      </c>
      <c r="AU315" s="96">
        <v>45923</v>
      </c>
      <c r="AV315" s="28" t="s">
        <v>0</v>
      </c>
      <c r="AW315" s="31"/>
      <c r="AX315" s="30" t="s">
        <v>0</v>
      </c>
      <c r="AY315" s="29"/>
      <c r="AZ315" s="28" t="s">
        <v>0</v>
      </c>
      <c r="BA315" s="27"/>
      <c r="BB315" s="39">
        <v>45838</v>
      </c>
      <c r="BC315" s="25" t="s">
        <v>577</v>
      </c>
      <c r="BD315" s="24"/>
      <c r="BE315" s="24"/>
      <c r="BF315" s="24"/>
      <c r="BG315" s="24"/>
      <c r="BH315" s="24"/>
      <c r="BI315" s="24"/>
      <c r="BJ315" s="24"/>
      <c r="BK315" s="24"/>
      <c r="BL315" s="24"/>
      <c r="BM315" s="24"/>
      <c r="BN315" s="24"/>
      <c r="BO315" s="24"/>
      <c r="BP315" s="24"/>
      <c r="BQ315" s="22">
        <f>YEAR([1]!BANCO10[[#This Row],[DATA INÍCIO]])</f>
        <v>2025</v>
      </c>
      <c r="BR315" s="22">
        <f>MONTH([1]!BANCO10[[#This Row],[DATA INÍCIO]])</f>
        <v>7</v>
      </c>
      <c r="BS315" s="23" t="e">
        <f>CONCATENATE(#REF!,#REF!)</f>
        <v>#REF!</v>
      </c>
      <c r="BT315" s="22"/>
      <c r="BU315" s="22"/>
      <c r="BV315" s="21" t="str">
        <f>IF([1]!BANCO10[[#This Row],[SOLUÇÃO]]=BV$1,[1]!BANCO10[[#This Row],[STATUS DA ETAPA]],"")</f>
        <v/>
      </c>
      <c r="BW315" s="21" t="str">
        <f>IF([1]!BANCO10[[#This Row],[SOLUÇÃO]]=BW$1,[1]!BANCO10[[#This Row],[STATUS DA ETAPA]],"")</f>
        <v>CONCLUÍDO</v>
      </c>
      <c r="BX315" s="21" t="str">
        <f>IF([1]!BANCO10[[#This Row],[SOLUÇÃO]]=BX$1,[1]!BANCO10[[#This Row],[STATUS DA ETAPA]],"")</f>
        <v/>
      </c>
      <c r="BY315" s="21" t="str">
        <f>IF([1]!BANCO10[[#This Row],[SOLUÇÃO]]=BY$1,[1]!BANCO10[[#This Row],[STATUS DA ETAPA]],"")</f>
        <v/>
      </c>
      <c r="BZ315" s="21" t="str">
        <f>IF([1]!BANCO10[[#This Row],[SOLUÇÃO]]=BZ$1,[1]!BANCO10[[#This Row],[STATUS DA ETAPA]],"")</f>
        <v/>
      </c>
      <c r="CA315" s="21" t="str">
        <f>IF([1]!BANCO10[[#This Row],[SOLUÇÃO]]=CA$1,[1]!BANCO10[[#This Row],[STATUS DA ETAPA]],"")</f>
        <v/>
      </c>
      <c r="CB315" s="21" t="str">
        <f>IF([1]!BANCO10[[#This Row],[SOLUÇÃO]]=CB$1,[1]!BANCO10[[#This Row],[STATUS DA ETAPA]],"")</f>
        <v/>
      </c>
      <c r="CC315" s="21" t="str">
        <f>IF([1]!BANCO10[[#This Row],[SOLUÇÃO]]=CC$1,[1]!BANCO10[[#This Row],[STATUS DA ETAPA]],"")</f>
        <v/>
      </c>
      <c r="CD315" s="21" t="str">
        <f>IF([1]!BANCO10[[#This Row],[SOLUÇÃO]]=CD$1,[1]!BANCO10[[#This Row],[STATUS DA ETAPA]],"")</f>
        <v/>
      </c>
      <c r="CE315" s="21" t="str">
        <f>IF([1]!BANCO10[[#This Row],[SOLUÇÃO]]=CE$1,[1]!BANCO10[[#This Row],[STATUS DA ETAPA]],"")</f>
        <v/>
      </c>
      <c r="CF315" s="21" t="str">
        <f>IF([1]!BANCO10[[#This Row],[SOLUÇÃO]]=CF$1,[1]!BANCO10[[#This Row],[STATUS DA ETAPA]],"")</f>
        <v/>
      </c>
      <c r="CG315" s="21" t="str">
        <f>IF([1]!BANCO10[[#This Row],[SOLUÇÃO]]=CG$1,[1]!BANCO10[[#This Row],[STATUS DA ETAPA]],"")</f>
        <v/>
      </c>
      <c r="CH315" s="21" t="str">
        <f>IF([1]!BANCO10[[#This Row],[SOLUÇÃO]]=CH$1,[1]!BANCO10[[#This Row],[STATUS DA ETAPA]],"")</f>
        <v/>
      </c>
      <c r="CI315" s="21" t="str">
        <f>IF([1]!BANCO10[[#This Row],[SOLUÇÃO]]=CI$1,[1]!BANCO10[[#This Row],[STATUS DA ETAPA]],"")</f>
        <v/>
      </c>
      <c r="CJ315" s="21" t="str">
        <f>IF([1]!BANCO10[[#This Row],[SOLUÇÃO]]=CJ$1,[1]!BANCO10[[#This Row],[STATUS DA ETAPA]],"")</f>
        <v/>
      </c>
      <c r="CK315" s="21" t="str">
        <f>IF([1]!BANCO10[[#This Row],[SOLUÇÃO]]=CK$1,[1]!BANCO10[[#This Row],[STATUS DA ETAPA]],"")</f>
        <v/>
      </c>
      <c r="CL315" s="21" t="str">
        <f>IF([1]!BANCO10[[#This Row],[SOLUÇÃO]]=CL$1,[1]!BANCO10[[#This Row],[STATUS DA ETAPA]],"")</f>
        <v/>
      </c>
      <c r="CM315" s="21" t="str">
        <f>IF([1]!BANCO10[[#This Row],[SOLUÇÃO]]=CM$1,[1]!BANCO10[[#This Row],[STATUS DA ETAPA]],"")</f>
        <v/>
      </c>
      <c r="CN315" s="21" t="str">
        <f>IF([1]!BANCO10[[#This Row],[SOLUÇÃO]]=CN$1,[1]!BANCO10[[#This Row],[STATUS DA ETAPA]],"")</f>
        <v/>
      </c>
      <c r="CO315" s="21" t="str">
        <f>IF([1]!BANCO10[[#This Row],[SOLUÇÃO]]=CO$1,[1]!BANCO10[[#This Row],[STATUS DA ETAPA]],"")</f>
        <v/>
      </c>
      <c r="CP315" s="21" t="str">
        <f>IF([1]!BANCO10[[#This Row],[SOLUÇÃO]]=CP$1,[1]!BANCO10[[#This Row],[STATUS DA ETAPA]],"")</f>
        <v/>
      </c>
      <c r="CQ315" s="21" t="str">
        <f>IF([1]!BANCO10[[#This Row],[SOLUÇÃO]]=CQ$1,[1]!BANCO10[[#This Row],[STATUS DA ETAPA]],"")</f>
        <v/>
      </c>
      <c r="CR315" s="21" t="str">
        <f>IF([1]!BANCO10[[#This Row],[SOLUÇÃO]]=CR$1,[1]!BANCO10[[#This Row],[STATUS DA ETAPA]],"")</f>
        <v/>
      </c>
      <c r="CS315" s="21" t="str">
        <f>IF([1]!BANCO10[[#This Row],[SOLUÇÃO]]=CS$1,[1]!BANCO10[[#This Row],[STATUS DA ETAPA]],"")</f>
        <v/>
      </c>
      <c r="CT315" s="21" t="str">
        <f>IF([1]!BANCO10[[#This Row],[SOLUÇÃO]]=CT$1,[1]!BANCO10[[#This Row],[STATUS DA ETAPA]],"")</f>
        <v/>
      </c>
      <c r="CU315" s="21" t="str">
        <f>IF([1]!BANCO10[[#This Row],[SOLUÇÃO]]=CU$1,[1]!BANCO10[[#This Row],[STATUS DA ETAPA]],"")</f>
        <v/>
      </c>
      <c r="CV315" s="21" t="str">
        <f>IF([1]!BANCO10[[#This Row],[SOLUÇÃO]]=CV$1,[1]!BANCO10[[#This Row],[STATUS DA ETAPA]],"")</f>
        <v/>
      </c>
    </row>
    <row r="316" spans="1:100">
      <c r="A316" s="44" t="s">
        <v>1</v>
      </c>
      <c r="B316" s="44"/>
      <c r="C316" s="44" t="s">
        <v>1</v>
      </c>
      <c r="D316" s="44"/>
      <c r="E316" s="44" t="s">
        <v>1</v>
      </c>
      <c r="F316" s="44"/>
      <c r="G316" s="44" t="s">
        <v>1</v>
      </c>
      <c r="H316" s="44"/>
      <c r="I316" s="45" t="s">
        <v>1</v>
      </c>
      <c r="J316" s="46"/>
      <c r="K316" s="45" t="s">
        <v>1</v>
      </c>
      <c r="L316" s="33"/>
      <c r="M316" s="45" t="s">
        <v>1</v>
      </c>
      <c r="N316" s="33"/>
      <c r="O316" s="44" t="s">
        <v>1</v>
      </c>
      <c r="P316" s="44"/>
      <c r="Q316" s="44" t="s">
        <v>1</v>
      </c>
      <c r="R316" s="44"/>
      <c r="S316" s="44" t="s">
        <v>1</v>
      </c>
      <c r="T316" s="44"/>
      <c r="U316" s="44" t="s">
        <v>1</v>
      </c>
      <c r="V316" s="44"/>
      <c r="W316" s="44" t="s">
        <v>1</v>
      </c>
      <c r="X316" s="44"/>
      <c r="Y316" s="44" t="s">
        <v>1</v>
      </c>
      <c r="Z316" s="44"/>
      <c r="AA316" s="44" t="s">
        <v>1</v>
      </c>
      <c r="AB316" s="44"/>
      <c r="AC316" s="51">
        <v>45568</v>
      </c>
      <c r="AD316" s="50">
        <v>45568</v>
      </c>
      <c r="AE316" s="41" t="s">
        <v>1</v>
      </c>
      <c r="AF316" s="41" t="s">
        <v>1</v>
      </c>
      <c r="AG316" s="40" t="s">
        <v>5</v>
      </c>
      <c r="AH316" s="36" t="s">
        <v>1</v>
      </c>
      <c r="AI316" s="49">
        <v>0</v>
      </c>
      <c r="AJ316" s="36" t="s">
        <v>1</v>
      </c>
      <c r="AK316" s="10" t="s">
        <v>1</v>
      </c>
      <c r="AL316" s="36" t="s">
        <v>1</v>
      </c>
      <c r="AM316" s="36" t="s">
        <v>1</v>
      </c>
      <c r="AN316" s="35" t="s">
        <v>1</v>
      </c>
      <c r="AO316" s="35" t="s">
        <v>1</v>
      </c>
      <c r="AP316" s="35" t="s">
        <v>1</v>
      </c>
      <c r="AQ316" s="35" t="s">
        <v>1</v>
      </c>
      <c r="AR316" s="90" t="s">
        <v>1</v>
      </c>
      <c r="AS316" s="89"/>
      <c r="AT316" s="88"/>
      <c r="AU316" s="25"/>
      <c r="AV316" s="88"/>
      <c r="AW316" s="25"/>
      <c r="AX316" s="88" t="s">
        <v>1</v>
      </c>
      <c r="AY316" s="25"/>
      <c r="AZ316" s="88" t="s">
        <v>1</v>
      </c>
      <c r="BA316" s="25"/>
      <c r="BB316" s="39" t="s">
        <v>576</v>
      </c>
      <c r="BC316" s="25"/>
      <c r="BD316" s="24"/>
      <c r="BE316" s="24"/>
      <c r="BF316" s="79"/>
      <c r="BG316" s="79"/>
      <c r="BH316" s="80"/>
      <c r="BI316" s="79"/>
      <c r="BJ316" s="54"/>
      <c r="BK316" s="78"/>
      <c r="BL316" s="69"/>
      <c r="BM316" s="78"/>
      <c r="BN316" s="78"/>
      <c r="BO316" s="78"/>
      <c r="BP316" s="78"/>
      <c r="BQ316" s="21">
        <f>YEAR([1]!BANCO10[[#This Row],[DATA INÍCIO]])</f>
        <v>2024</v>
      </c>
      <c r="BR316" s="21">
        <f>MONTH([1]!BANCO10[[#This Row],[DATA INÍCIO]])</f>
        <v>10</v>
      </c>
      <c r="BS316" s="21" t="e">
        <f>CONCATENATE(#REF!,#REF!)</f>
        <v>#REF!</v>
      </c>
      <c r="BT316" s="21"/>
      <c r="BU316" s="21"/>
      <c r="BV316" s="21" t="str">
        <f>IF([1]!BANCO10[[#This Row],[SOLUÇÃO]]=BV$1,[1]!BANCO10[[#This Row],[STATUS DA ETAPA]],"")</f>
        <v>CONCLUÍDO</v>
      </c>
      <c r="BW316" s="21" t="str">
        <f>IF([1]!BANCO10[[#This Row],[SOLUÇÃO]]=BW$1,[1]!BANCO10[[#This Row],[STATUS DA ETAPA]],"")</f>
        <v/>
      </c>
      <c r="BX316" s="21" t="str">
        <f>IF([1]!BANCO10[[#This Row],[SOLUÇÃO]]=BX$1,[1]!BANCO10[[#This Row],[STATUS DA ETAPA]],"")</f>
        <v/>
      </c>
      <c r="BY316" s="21" t="str">
        <f>IF([1]!BANCO10[[#This Row],[SOLUÇÃO]]=BY$1,[1]!BANCO10[[#This Row],[STATUS DA ETAPA]],"")</f>
        <v/>
      </c>
      <c r="BZ316" s="21" t="str">
        <f>IF([1]!BANCO10[[#This Row],[SOLUÇÃO]]=BZ$1,[1]!BANCO10[[#This Row],[STATUS DA ETAPA]],"")</f>
        <v/>
      </c>
      <c r="CA316" s="21" t="str">
        <f>IF([1]!BANCO10[[#This Row],[SOLUÇÃO]]=CA$1,[1]!BANCO10[[#This Row],[STATUS DA ETAPA]],"")</f>
        <v/>
      </c>
      <c r="CB316" s="21" t="str">
        <f>IF([1]!BANCO10[[#This Row],[SOLUÇÃO]]=CB$1,[1]!BANCO10[[#This Row],[STATUS DA ETAPA]],"")</f>
        <v/>
      </c>
      <c r="CC316" s="21" t="str">
        <f>IF([1]!BANCO10[[#This Row],[SOLUÇÃO]]=CC$1,[1]!BANCO10[[#This Row],[STATUS DA ETAPA]],"")</f>
        <v/>
      </c>
      <c r="CD316" s="21" t="str">
        <f>IF([1]!BANCO10[[#This Row],[SOLUÇÃO]]=CD$1,[1]!BANCO10[[#This Row],[STATUS DA ETAPA]],"")</f>
        <v/>
      </c>
      <c r="CE316" s="21" t="str">
        <f>IF([1]!BANCO10[[#This Row],[SOLUÇÃO]]=CE$1,[1]!BANCO10[[#This Row],[STATUS DA ETAPA]],"")</f>
        <v/>
      </c>
      <c r="CF316" s="21" t="str">
        <f>IF([1]!BANCO10[[#This Row],[SOLUÇÃO]]=CF$1,[1]!BANCO10[[#This Row],[STATUS DA ETAPA]],"")</f>
        <v/>
      </c>
      <c r="CG316" s="21" t="str">
        <f>IF([1]!BANCO10[[#This Row],[SOLUÇÃO]]=CG$1,[1]!BANCO10[[#This Row],[STATUS DA ETAPA]],"")</f>
        <v/>
      </c>
      <c r="CH316" s="21" t="str">
        <f>IF([1]!BANCO10[[#This Row],[SOLUÇÃO]]=CH$1,[1]!BANCO10[[#This Row],[STATUS DA ETAPA]],"")</f>
        <v/>
      </c>
      <c r="CI316" s="21" t="str">
        <f>IF([1]!BANCO10[[#This Row],[SOLUÇÃO]]=CI$1,[1]!BANCO10[[#This Row],[STATUS DA ETAPA]],"")</f>
        <v/>
      </c>
      <c r="CJ316" s="21" t="str">
        <f>IF([1]!BANCO10[[#This Row],[SOLUÇÃO]]=CJ$1,[1]!BANCO10[[#This Row],[STATUS DA ETAPA]],"")</f>
        <v/>
      </c>
      <c r="CK316" s="21" t="str">
        <f>IF([1]!BANCO10[[#This Row],[SOLUÇÃO]]=CK$1,[1]!BANCO10[[#This Row],[STATUS DA ETAPA]],"")</f>
        <v/>
      </c>
      <c r="CL316" s="22" t="str">
        <f>IF([1]!BANCO10[[#This Row],[SOLUÇÃO]]=CL$1,[1]!BANCO10[[#This Row],[STATUS DA ETAPA]],"")</f>
        <v/>
      </c>
      <c r="CM316" s="64" t="str">
        <f>IF([1]!BANCO10[[#This Row],[SOLUÇÃO]]=CM$1,[1]!BANCO10[[#This Row],[STATUS DA ETAPA]],"")</f>
        <v/>
      </c>
      <c r="CN316" s="64" t="str">
        <f>IF([1]!BANCO10[[#This Row],[SOLUÇÃO]]=CN$1,[1]!BANCO10[[#This Row],[STATUS DA ETAPA]],"")</f>
        <v/>
      </c>
      <c r="CO316" s="64" t="str">
        <f>IF([1]!BANCO10[[#This Row],[SOLUÇÃO]]=CO$1,[1]!BANCO10[[#This Row],[STATUS DA ETAPA]],"")</f>
        <v/>
      </c>
      <c r="CP316" s="64" t="str">
        <f>IF([1]!BANCO10[[#This Row],[SOLUÇÃO]]=CP$1,[1]!BANCO10[[#This Row],[STATUS DA ETAPA]],"")</f>
        <v/>
      </c>
      <c r="CQ316" s="64" t="str">
        <f>IF([1]!BANCO10[[#This Row],[SOLUÇÃO]]=CQ$1,[1]!BANCO10[[#This Row],[STATUS DA ETAPA]],"")</f>
        <v/>
      </c>
      <c r="CR316" s="64" t="str">
        <f>IF([1]!BANCO10[[#This Row],[SOLUÇÃO]]=CR$1,[1]!BANCO10[[#This Row],[STATUS DA ETAPA]],"")</f>
        <v/>
      </c>
      <c r="CS316" s="64" t="str">
        <f>IF([1]!BANCO10[[#This Row],[SOLUÇÃO]]=CS$1,[1]!BANCO10[[#This Row],[STATUS DA ETAPA]],"")</f>
        <v/>
      </c>
      <c r="CT316" s="64" t="str">
        <f>IF([1]!BANCO10[[#This Row],[SOLUÇÃO]]=CT$1,[1]!BANCO10[[#This Row],[STATUS DA ETAPA]],"")</f>
        <v/>
      </c>
      <c r="CU316" s="64" t="str">
        <f>IF([1]!BANCO10[[#This Row],[SOLUÇÃO]]=CU$1,[1]!BANCO10[[#This Row],[STATUS DA ETAPA]],"")</f>
        <v/>
      </c>
      <c r="CV316" s="64" t="str">
        <f>IF([1]!BANCO10[[#This Row],[SOLUÇÃO]]=CV$1,[1]!BANCO10[[#This Row],[STATUS DA ETAPA]],"")</f>
        <v/>
      </c>
    </row>
    <row r="317" spans="1:100">
      <c r="A317" s="44" t="s">
        <v>1</v>
      </c>
      <c r="B317" s="44"/>
      <c r="C317" s="44" t="s">
        <v>1</v>
      </c>
      <c r="D317" s="44"/>
      <c r="E317" s="44" t="s">
        <v>1</v>
      </c>
      <c r="F317" s="44"/>
      <c r="G317" s="44" t="s">
        <v>1</v>
      </c>
      <c r="H317" s="44"/>
      <c r="I317" s="45" t="s">
        <v>1</v>
      </c>
      <c r="J317" s="46"/>
      <c r="K317" s="45" t="s">
        <v>1</v>
      </c>
      <c r="L317" s="33"/>
      <c r="M317" s="45" t="s">
        <v>1</v>
      </c>
      <c r="N317" s="33"/>
      <c r="O317" s="44" t="s">
        <v>2</v>
      </c>
      <c r="P317" s="44">
        <v>45588</v>
      </c>
      <c r="Q317" s="44" t="s">
        <v>2</v>
      </c>
      <c r="R317" s="44">
        <v>45574</v>
      </c>
      <c r="S317" s="44" t="s">
        <v>2</v>
      </c>
      <c r="T317" s="44">
        <v>45608</v>
      </c>
      <c r="U317" s="44" t="s">
        <v>1</v>
      </c>
      <c r="V317" s="44"/>
      <c r="W317" s="44" t="s">
        <v>1</v>
      </c>
      <c r="X317" s="44"/>
      <c r="Y317" s="44" t="s">
        <v>1</v>
      </c>
      <c r="Z317" s="44"/>
      <c r="AA317" s="44" t="s">
        <v>1</v>
      </c>
      <c r="AB317" s="44"/>
      <c r="AC317" s="51">
        <v>45692</v>
      </c>
      <c r="AD317" s="50">
        <v>45817</v>
      </c>
      <c r="AE317" s="41" t="s">
        <v>2</v>
      </c>
      <c r="AF317" s="41" t="s">
        <v>2</v>
      </c>
      <c r="AG317" s="40" t="s">
        <v>5</v>
      </c>
      <c r="AH317" s="36" t="s">
        <v>0</v>
      </c>
      <c r="AI317" s="49">
        <v>0</v>
      </c>
      <c r="AJ317" s="36" t="s">
        <v>6</v>
      </c>
      <c r="AK317" s="10">
        <v>577520</v>
      </c>
      <c r="AL317" s="36" t="s">
        <v>1</v>
      </c>
      <c r="AM317" s="36" t="s">
        <v>1</v>
      </c>
      <c r="AN317" s="35" t="s">
        <v>2</v>
      </c>
      <c r="AO317" s="35" t="s">
        <v>2</v>
      </c>
      <c r="AP317" s="35" t="s">
        <v>2</v>
      </c>
      <c r="AQ317" s="35" t="s">
        <v>2</v>
      </c>
      <c r="AR317" s="34" t="s">
        <v>2</v>
      </c>
      <c r="AS317" s="33">
        <v>45831</v>
      </c>
      <c r="AT317" s="32" t="s">
        <v>1</v>
      </c>
      <c r="AU317" s="31"/>
      <c r="AV317" s="32" t="s">
        <v>1</v>
      </c>
      <c r="AW317" s="31"/>
      <c r="AX317" s="30" t="s">
        <v>2</v>
      </c>
      <c r="AY317" s="29">
        <v>45831</v>
      </c>
      <c r="AZ317" s="28" t="s">
        <v>0</v>
      </c>
      <c r="BA317" s="27"/>
      <c r="BB317" s="95" t="s">
        <v>143</v>
      </c>
      <c r="BC317" s="22">
        <v>0</v>
      </c>
      <c r="BD317" s="24"/>
      <c r="BE317" s="24"/>
      <c r="BF317" s="79"/>
      <c r="BG317" s="79"/>
      <c r="BH317" s="80"/>
      <c r="BI317" s="79"/>
      <c r="BJ317" s="54"/>
      <c r="BK317" s="78"/>
      <c r="BL317" s="69"/>
      <c r="BM317" s="78"/>
      <c r="BN317" s="78"/>
      <c r="BO317" s="78"/>
      <c r="BP317" s="78"/>
      <c r="BQ317" s="21">
        <f>YEAR([1]!BANCO10[[#This Row],[DATA INÍCIO]])</f>
        <v>2025</v>
      </c>
      <c r="BR317" s="21">
        <f>MONTH([1]!BANCO10[[#This Row],[DATA INÍCIO]])</f>
        <v>2</v>
      </c>
      <c r="BS317" s="21" t="e">
        <f>CONCATENATE(#REF!,#REF!)</f>
        <v>#REF!</v>
      </c>
      <c r="BT317" s="21"/>
      <c r="BU317" s="21"/>
      <c r="BV317" s="21" t="str">
        <f>IF([1]!BANCO10[[#This Row],[SOLUÇÃO]]=BV$1,[1]!BANCO10[[#This Row],[STATUS DA ETAPA]],"")</f>
        <v/>
      </c>
      <c r="BW317" s="21" t="str">
        <f>IF([1]!BANCO10[[#This Row],[SOLUÇÃO]]=BW$1,[1]!BANCO10[[#This Row],[STATUS DA ETAPA]],"")</f>
        <v/>
      </c>
      <c r="BX317" s="21" t="str">
        <f>IF([1]!BANCO10[[#This Row],[SOLUÇÃO]]=BX$1,[1]!BANCO10[[#This Row],[STATUS DA ETAPA]],"")</f>
        <v/>
      </c>
      <c r="BY317" s="21" t="str">
        <f>IF([1]!BANCO10[[#This Row],[SOLUÇÃO]]=BY$1,[1]!BANCO10[[#This Row],[STATUS DA ETAPA]],"")</f>
        <v/>
      </c>
      <c r="BZ317" s="21" t="str">
        <f>IF([1]!BANCO10[[#This Row],[SOLUÇÃO]]=BZ$1,[1]!BANCO10[[#This Row],[STATUS DA ETAPA]],"")</f>
        <v/>
      </c>
      <c r="CA317" s="21" t="str">
        <f>IF([1]!BANCO10[[#This Row],[SOLUÇÃO]]=CA$1,[1]!BANCO10[[#This Row],[STATUS DA ETAPA]],"")</f>
        <v/>
      </c>
      <c r="CB317" s="21" t="str">
        <f>IF([1]!BANCO10[[#This Row],[SOLUÇÃO]]=CB$1,[1]!BANCO10[[#This Row],[STATUS DA ETAPA]],"")</f>
        <v>CONCLUÍDO</v>
      </c>
      <c r="CC317" s="21" t="str">
        <f>IF([1]!BANCO10[[#This Row],[SOLUÇÃO]]=CC$1,[1]!BANCO10[[#This Row],[STATUS DA ETAPA]],"")</f>
        <v/>
      </c>
      <c r="CD317" s="21" t="str">
        <f>IF([1]!BANCO10[[#This Row],[SOLUÇÃO]]=CD$1,[1]!BANCO10[[#This Row],[STATUS DA ETAPA]],"")</f>
        <v/>
      </c>
      <c r="CE317" s="21" t="str">
        <f>IF([1]!BANCO10[[#This Row],[SOLUÇÃO]]=CE$1,[1]!BANCO10[[#This Row],[STATUS DA ETAPA]],"")</f>
        <v/>
      </c>
      <c r="CF317" s="21" t="str">
        <f>IF([1]!BANCO10[[#This Row],[SOLUÇÃO]]=CF$1,[1]!BANCO10[[#This Row],[STATUS DA ETAPA]],"")</f>
        <v/>
      </c>
      <c r="CG317" s="21" t="str">
        <f>IF([1]!BANCO10[[#This Row],[SOLUÇÃO]]=CG$1,[1]!BANCO10[[#This Row],[STATUS DA ETAPA]],"")</f>
        <v/>
      </c>
      <c r="CH317" s="21" t="str">
        <f>IF([1]!BANCO10[[#This Row],[SOLUÇÃO]]=CH$1,[1]!BANCO10[[#This Row],[STATUS DA ETAPA]],"")</f>
        <v/>
      </c>
      <c r="CI317" s="21" t="str">
        <f>IF([1]!BANCO10[[#This Row],[SOLUÇÃO]]=CI$1,[1]!BANCO10[[#This Row],[STATUS DA ETAPA]],"")</f>
        <v/>
      </c>
      <c r="CJ317" s="21" t="str">
        <f>IF([1]!BANCO10[[#This Row],[SOLUÇÃO]]=CJ$1,[1]!BANCO10[[#This Row],[STATUS DA ETAPA]],"")</f>
        <v/>
      </c>
      <c r="CK317" s="21" t="str">
        <f>IF([1]!BANCO10[[#This Row],[SOLUÇÃO]]=CK$1,[1]!BANCO10[[#This Row],[STATUS DA ETAPA]],"")</f>
        <v/>
      </c>
      <c r="CL317" s="22" t="str">
        <f>IF([1]!BANCO10[[#This Row],[SOLUÇÃO]]=CL$1,[1]!BANCO10[[#This Row],[STATUS DA ETAPA]],"")</f>
        <v/>
      </c>
      <c r="CM317" s="64" t="str">
        <f>IF([1]!BANCO10[[#This Row],[SOLUÇÃO]]=CM$1,[1]!BANCO10[[#This Row],[STATUS DA ETAPA]],"")</f>
        <v/>
      </c>
      <c r="CN317" s="64" t="str">
        <f>IF([1]!BANCO10[[#This Row],[SOLUÇÃO]]=CN$1,[1]!BANCO10[[#This Row],[STATUS DA ETAPA]],"")</f>
        <v/>
      </c>
      <c r="CO317" s="64" t="str">
        <f>IF([1]!BANCO10[[#This Row],[SOLUÇÃO]]=CO$1,[1]!BANCO10[[#This Row],[STATUS DA ETAPA]],"")</f>
        <v/>
      </c>
      <c r="CP317" s="64" t="str">
        <f>IF([1]!BANCO10[[#This Row],[SOLUÇÃO]]=CP$1,[1]!BANCO10[[#This Row],[STATUS DA ETAPA]],"")</f>
        <v/>
      </c>
      <c r="CQ317" s="64" t="str">
        <f>IF([1]!BANCO10[[#This Row],[SOLUÇÃO]]=CQ$1,[1]!BANCO10[[#This Row],[STATUS DA ETAPA]],"")</f>
        <v/>
      </c>
      <c r="CR317" s="64" t="str">
        <f>IF([1]!BANCO10[[#This Row],[SOLUÇÃO]]=CR$1,[1]!BANCO10[[#This Row],[STATUS DA ETAPA]],"")</f>
        <v/>
      </c>
      <c r="CS317" s="64" t="str">
        <f>IF([1]!BANCO10[[#This Row],[SOLUÇÃO]]=CS$1,[1]!BANCO10[[#This Row],[STATUS DA ETAPA]],"")</f>
        <v/>
      </c>
      <c r="CT317" s="64" t="str">
        <f>IF([1]!BANCO10[[#This Row],[SOLUÇÃO]]=CT$1,[1]!BANCO10[[#This Row],[STATUS DA ETAPA]],"")</f>
        <v/>
      </c>
      <c r="CU317" s="64" t="str">
        <f>IF([1]!BANCO10[[#This Row],[SOLUÇÃO]]=CU$1,[1]!BANCO10[[#This Row],[STATUS DA ETAPA]],"")</f>
        <v/>
      </c>
      <c r="CV317" s="64" t="str">
        <f>IF([1]!BANCO10[[#This Row],[SOLUÇÃO]]=CV$1,[1]!BANCO10[[#This Row],[STATUS DA ETAPA]],"")</f>
        <v/>
      </c>
    </row>
    <row r="318" spans="1:100">
      <c r="A318" s="44" t="s">
        <v>1</v>
      </c>
      <c r="B318" s="44"/>
      <c r="C318" s="44" t="s">
        <v>1</v>
      </c>
      <c r="D318" s="44"/>
      <c r="E318" s="44" t="s">
        <v>1</v>
      </c>
      <c r="F318" s="44"/>
      <c r="G318" s="44" t="s">
        <v>1</v>
      </c>
      <c r="H318" s="44"/>
      <c r="I318" s="45" t="s">
        <v>1</v>
      </c>
      <c r="J318" s="46"/>
      <c r="K318" s="45" t="s">
        <v>1</v>
      </c>
      <c r="L318" s="33"/>
      <c r="M318" s="45" t="s">
        <v>1</v>
      </c>
      <c r="N318" s="33"/>
      <c r="O318" s="44" t="s">
        <v>1</v>
      </c>
      <c r="P318" s="44"/>
      <c r="Q318" s="44" t="s">
        <v>1</v>
      </c>
      <c r="R318" s="44" t="s">
        <v>1</v>
      </c>
      <c r="S318" s="44" t="s">
        <v>1</v>
      </c>
      <c r="T318" s="44"/>
      <c r="U318" s="44" t="s">
        <v>1</v>
      </c>
      <c r="V318" s="44"/>
      <c r="W318" s="44" t="s">
        <v>1</v>
      </c>
      <c r="X318" s="44"/>
      <c r="Y318" s="44" t="s">
        <v>1</v>
      </c>
      <c r="Z318" s="44"/>
      <c r="AA318" s="44" t="s">
        <v>1</v>
      </c>
      <c r="AB318" s="44"/>
      <c r="AC318" s="51">
        <v>45807</v>
      </c>
      <c r="AD318" s="50">
        <v>45807</v>
      </c>
      <c r="AE318" s="41" t="s">
        <v>1</v>
      </c>
      <c r="AF318" s="41" t="s">
        <v>1</v>
      </c>
      <c r="AG318" s="40" t="s">
        <v>4</v>
      </c>
      <c r="AH318" s="36" t="s">
        <v>0</v>
      </c>
      <c r="AI318" s="49">
        <v>0</v>
      </c>
      <c r="AJ318" s="36" t="s">
        <v>1</v>
      </c>
      <c r="AK318" s="10" t="s">
        <v>1</v>
      </c>
      <c r="AL318" s="36" t="s">
        <v>1</v>
      </c>
      <c r="AM318" s="36" t="s">
        <v>1</v>
      </c>
      <c r="AN318" s="35" t="s">
        <v>1</v>
      </c>
      <c r="AO318" s="35" t="s">
        <v>1</v>
      </c>
      <c r="AP318" s="35" t="s">
        <v>1</v>
      </c>
      <c r="AQ318" s="35" t="s">
        <v>2</v>
      </c>
      <c r="AR318" s="34" t="s">
        <v>0</v>
      </c>
      <c r="AS318" s="33"/>
      <c r="AT318" s="30" t="s">
        <v>0</v>
      </c>
      <c r="AU318" s="31"/>
      <c r="AV318" s="30" t="s">
        <v>0</v>
      </c>
      <c r="AW318" s="31"/>
      <c r="AX318" s="30" t="s">
        <v>0</v>
      </c>
      <c r="AY318" s="29"/>
      <c r="AZ318" s="28" t="s">
        <v>0</v>
      </c>
      <c r="BA318" s="27"/>
      <c r="BB318" s="26"/>
      <c r="BC318" s="25"/>
      <c r="BD318" s="24"/>
      <c r="BE318" s="24"/>
      <c r="BF318" s="24"/>
      <c r="BG318" s="24"/>
      <c r="BH318" s="24"/>
      <c r="BI318" s="24"/>
      <c r="BJ318" s="24"/>
      <c r="BK318" s="24"/>
      <c r="BL318" s="24"/>
      <c r="BM318" s="24"/>
      <c r="BN318" s="24"/>
      <c r="BO318" s="24"/>
      <c r="BP318" s="24"/>
      <c r="BQ318" s="22">
        <f>YEAR([1]!BANCO10[[#This Row],[DATA INÍCIO]])</f>
        <v>2025</v>
      </c>
      <c r="BR318" s="22">
        <f>MONTH([1]!BANCO10[[#This Row],[DATA INÍCIO]])</f>
        <v>5</v>
      </c>
      <c r="BS318" s="23" t="e">
        <f>CONCATENATE(#REF!,#REF!)</f>
        <v>#REF!</v>
      </c>
      <c r="BT318" s="22"/>
      <c r="BU318" s="22"/>
      <c r="BV318" s="21" t="str">
        <f>IF([1]!BANCO10[[#This Row],[SOLUÇÃO]]=BV$1,[1]!BANCO10[[#This Row],[STATUS DA ETAPA]],"")</f>
        <v/>
      </c>
      <c r="BW318" s="21" t="str">
        <f>IF([1]!BANCO10[[#This Row],[SOLUÇÃO]]=BW$1,[1]!BANCO10[[#This Row],[STATUS DA ETAPA]],"")</f>
        <v/>
      </c>
      <c r="BX318" s="21" t="str">
        <f>IF([1]!BANCO10[[#This Row],[SOLUÇÃO]]=BX$1,[1]!BANCO10[[#This Row],[STATUS DA ETAPA]],"")</f>
        <v/>
      </c>
      <c r="BY318" s="21" t="str">
        <f>IF([1]!BANCO10[[#This Row],[SOLUÇÃO]]=BY$1,[1]!BANCO10[[#This Row],[STATUS DA ETAPA]],"")</f>
        <v/>
      </c>
      <c r="BZ318" s="21" t="str">
        <f>IF([1]!BANCO10[[#This Row],[SOLUÇÃO]]=BZ$1,[1]!BANCO10[[#This Row],[STATUS DA ETAPA]],"")</f>
        <v/>
      </c>
      <c r="CA318" s="21" t="str">
        <f>IF([1]!BANCO10[[#This Row],[SOLUÇÃO]]=CA$1,[1]!BANCO10[[#This Row],[STATUS DA ETAPA]],"")</f>
        <v/>
      </c>
      <c r="CB318" s="21" t="str">
        <f>IF([1]!BANCO10[[#This Row],[SOLUÇÃO]]=CB$1,[1]!BANCO10[[#This Row],[STATUS DA ETAPA]],"")</f>
        <v/>
      </c>
      <c r="CC318" s="21" t="str">
        <f>IF([1]!BANCO10[[#This Row],[SOLUÇÃO]]=CC$1,[1]!BANCO10[[#This Row],[STATUS DA ETAPA]],"")</f>
        <v/>
      </c>
      <c r="CD318" s="21" t="str">
        <f>IF([1]!BANCO10[[#This Row],[SOLUÇÃO]]=CD$1,[1]!BANCO10[[#This Row],[STATUS DA ETAPA]],"")</f>
        <v/>
      </c>
      <c r="CE318" s="21" t="str">
        <f>IF([1]!BANCO10[[#This Row],[SOLUÇÃO]]=CE$1,[1]!BANCO10[[#This Row],[STATUS DA ETAPA]],"")</f>
        <v/>
      </c>
      <c r="CF318" s="21" t="str">
        <f>IF([1]!BANCO10[[#This Row],[SOLUÇÃO]]=CF$1,[1]!BANCO10[[#This Row],[STATUS DA ETAPA]],"")</f>
        <v/>
      </c>
      <c r="CG318" s="21" t="str">
        <f>IF([1]!BANCO10[[#This Row],[SOLUÇÃO]]=CG$1,[1]!BANCO10[[#This Row],[STATUS DA ETAPA]],"")</f>
        <v/>
      </c>
      <c r="CH318" s="21" t="str">
        <f>IF([1]!BANCO10[[#This Row],[SOLUÇÃO]]=CH$1,[1]!BANCO10[[#This Row],[STATUS DA ETAPA]],"")</f>
        <v/>
      </c>
      <c r="CI318" s="21" t="str">
        <f>IF([1]!BANCO10[[#This Row],[SOLUÇÃO]]=CI$1,[1]!BANCO10[[#This Row],[STATUS DA ETAPA]],"")</f>
        <v/>
      </c>
      <c r="CJ318" s="21" t="str">
        <f>IF([1]!BANCO10[[#This Row],[SOLUÇÃO]]=CJ$1,[1]!BANCO10[[#This Row],[STATUS DA ETAPA]],"")</f>
        <v/>
      </c>
      <c r="CK318" s="21" t="str">
        <f>IF([1]!BANCO10[[#This Row],[SOLUÇÃO]]=CK$1,[1]!BANCO10[[#This Row],[STATUS DA ETAPA]],"")</f>
        <v/>
      </c>
      <c r="CL318" s="21" t="str">
        <f>IF([1]!BANCO10[[#This Row],[SOLUÇÃO]]=CL$1,[1]!BANCO10[[#This Row],[STATUS DA ETAPA]],"")</f>
        <v/>
      </c>
      <c r="CM318" s="21" t="str">
        <f>IF([1]!BANCO10[[#This Row],[SOLUÇÃO]]=CM$1,[1]!BANCO10[[#This Row],[STATUS DA ETAPA]],"")</f>
        <v/>
      </c>
      <c r="CN318" s="21" t="str">
        <f>IF([1]!BANCO10[[#This Row],[SOLUÇÃO]]=CN$1,[1]!BANCO10[[#This Row],[STATUS DA ETAPA]],"")</f>
        <v/>
      </c>
      <c r="CO318" s="21" t="str">
        <f>IF([1]!BANCO10[[#This Row],[SOLUÇÃO]]=CO$1,[1]!BANCO10[[#This Row],[STATUS DA ETAPA]],"")</f>
        <v/>
      </c>
      <c r="CP318" s="21" t="str">
        <f>IF([1]!BANCO10[[#This Row],[SOLUÇÃO]]=CP$1,[1]!BANCO10[[#This Row],[STATUS DA ETAPA]],"")</f>
        <v/>
      </c>
      <c r="CQ318" s="21" t="str">
        <f>IF([1]!BANCO10[[#This Row],[SOLUÇÃO]]=CQ$1,[1]!BANCO10[[#This Row],[STATUS DA ETAPA]],"")</f>
        <v/>
      </c>
      <c r="CR318" s="21" t="str">
        <f>IF([1]!BANCO10[[#This Row],[SOLUÇÃO]]=CR$1,[1]!BANCO10[[#This Row],[STATUS DA ETAPA]],"")</f>
        <v/>
      </c>
      <c r="CS318" s="21" t="str">
        <f>IF([1]!BANCO10[[#This Row],[SOLUÇÃO]]=CS$1,[1]!BANCO10[[#This Row],[STATUS DA ETAPA]],"")</f>
        <v/>
      </c>
      <c r="CT318" s="21" t="str">
        <f>IF([1]!BANCO10[[#This Row],[SOLUÇÃO]]=CT$1,[1]!BANCO10[[#This Row],[STATUS DA ETAPA]],"")</f>
        <v/>
      </c>
      <c r="CU318" s="21" t="str">
        <f>IF([1]!BANCO10[[#This Row],[SOLUÇÃO]]=CU$1,[1]!BANCO10[[#This Row],[STATUS DA ETAPA]],"")</f>
        <v/>
      </c>
      <c r="CV318" s="21" t="str">
        <f>IF([1]!BANCO10[[#This Row],[SOLUÇÃO]]=CV$1,[1]!BANCO10[[#This Row],[STATUS DA ETAPA]],"")</f>
        <v/>
      </c>
    </row>
    <row r="319" spans="1:100">
      <c r="A319" s="44" t="s">
        <v>1</v>
      </c>
      <c r="B319" s="44"/>
      <c r="C319" s="44" t="s">
        <v>1</v>
      </c>
      <c r="D319" s="44"/>
      <c r="E319" s="44" t="s">
        <v>1</v>
      </c>
      <c r="F319" s="44"/>
      <c r="G319" s="44" t="s">
        <v>1</v>
      </c>
      <c r="H319" s="44"/>
      <c r="I319" s="45" t="s">
        <v>1</v>
      </c>
      <c r="J319" s="46"/>
      <c r="K319" s="45" t="s">
        <v>1</v>
      </c>
      <c r="L319" s="33"/>
      <c r="M319" s="45" t="s">
        <v>1</v>
      </c>
      <c r="N319" s="33"/>
      <c r="O319" s="44" t="s">
        <v>2</v>
      </c>
      <c r="P319" s="44">
        <v>44967</v>
      </c>
      <c r="Q319" s="44" t="s">
        <v>0</v>
      </c>
      <c r="R319" s="44"/>
      <c r="S319" s="44" t="s">
        <v>1</v>
      </c>
      <c r="T319" s="44"/>
      <c r="U319" s="44" t="s">
        <v>1</v>
      </c>
      <c r="V319" s="44"/>
      <c r="W319" s="44" t="s">
        <v>1</v>
      </c>
      <c r="X319" s="44"/>
      <c r="Y319" s="44" t="s">
        <v>1</v>
      </c>
      <c r="Z319" s="44"/>
      <c r="AA319" s="44" t="s">
        <v>1</v>
      </c>
      <c r="AB319" s="44"/>
      <c r="AC319" s="84">
        <v>44965</v>
      </c>
      <c r="AD319" s="83">
        <v>44965</v>
      </c>
      <c r="AE319" s="40" t="s">
        <v>1</v>
      </c>
      <c r="AF319" s="40" t="s">
        <v>1</v>
      </c>
      <c r="AG319" s="76" t="s">
        <v>5</v>
      </c>
      <c r="AH319" s="36" t="s">
        <v>1</v>
      </c>
      <c r="AI319" s="49">
        <v>0</v>
      </c>
      <c r="AJ319" s="36" t="s">
        <v>1</v>
      </c>
      <c r="AK319" s="10" t="s">
        <v>1</v>
      </c>
      <c r="AL319" s="36" t="s">
        <v>1</v>
      </c>
      <c r="AM319" s="36" t="s">
        <v>1</v>
      </c>
      <c r="AN319" s="35" t="s">
        <v>1</v>
      </c>
      <c r="AO319" s="35" t="s">
        <v>1</v>
      </c>
      <c r="AP319" s="35" t="s">
        <v>1</v>
      </c>
      <c r="AQ319" s="35" t="s">
        <v>1</v>
      </c>
      <c r="AR319" s="82" t="s">
        <v>1</v>
      </c>
      <c r="AS319" s="33"/>
      <c r="AT319" s="32" t="s">
        <v>1</v>
      </c>
      <c r="AU319" s="31"/>
      <c r="AV319" s="32" t="s">
        <v>1</v>
      </c>
      <c r="AW319" s="31"/>
      <c r="AX319" s="30" t="s">
        <v>1</v>
      </c>
      <c r="AY319" s="55"/>
      <c r="AZ319" s="30" t="s">
        <v>1</v>
      </c>
      <c r="BA319" s="55"/>
      <c r="BB319" s="74"/>
      <c r="BC319" s="25"/>
      <c r="BD319" s="24" t="s">
        <v>11</v>
      </c>
      <c r="BE319" s="24" t="s">
        <v>11</v>
      </c>
      <c r="BF319" s="24" t="s">
        <v>21</v>
      </c>
      <c r="BG319" s="24" t="s">
        <v>11</v>
      </c>
      <c r="BH319" s="130" t="s">
        <v>18</v>
      </c>
      <c r="BI319" s="24" t="s">
        <v>243</v>
      </c>
      <c r="BJ319" s="24" t="s">
        <v>11</v>
      </c>
      <c r="BK319" s="24" t="s">
        <v>11</v>
      </c>
      <c r="BL319" s="24" t="s">
        <v>11</v>
      </c>
      <c r="BM319" s="24" t="s">
        <v>11</v>
      </c>
      <c r="BN319" s="24" t="s">
        <v>11</v>
      </c>
      <c r="BO319" s="24" t="s">
        <v>11</v>
      </c>
      <c r="BP319" s="24" t="s">
        <v>11</v>
      </c>
      <c r="BQ319" s="22">
        <f>YEAR([1]!BANCO10[[#This Row],[DATA INÍCIO]])</f>
        <v>2023</v>
      </c>
      <c r="BR319" s="22">
        <f>MONTH([1]!BANCO10[[#This Row],[DATA INÍCIO]])</f>
        <v>2</v>
      </c>
      <c r="BS319" s="129" t="e">
        <f>CONCATENATE(#REF!,#REF!)</f>
        <v>#REF!</v>
      </c>
      <c r="BT319" s="22"/>
      <c r="BU319" s="21" t="s">
        <v>575</v>
      </c>
      <c r="BV319" s="21" t="str">
        <f>IF([1]!BANCO10[[#This Row],[SOLUÇÃO]]=BV$1,[1]!BANCO10[[#This Row],[STATUS DA ETAPA]],"")</f>
        <v>CONCLUÍDO</v>
      </c>
      <c r="BW319" s="21" t="str">
        <f>IF([1]!BANCO10[[#This Row],[SOLUÇÃO]]=BW$1,[1]!BANCO10[[#This Row],[STATUS DA ETAPA]],"")</f>
        <v/>
      </c>
      <c r="BX319" s="21" t="str">
        <f>IF([1]!BANCO10[[#This Row],[SOLUÇÃO]]=BX$1,[1]!BANCO10[[#This Row],[STATUS DA ETAPA]],"")</f>
        <v/>
      </c>
      <c r="BY319" s="21" t="str">
        <f>IF([1]!BANCO10[[#This Row],[SOLUÇÃO]]=BY$1,[1]!BANCO10[[#This Row],[STATUS DA ETAPA]],"")</f>
        <v/>
      </c>
      <c r="BZ319" s="21" t="str">
        <f>IF([1]!BANCO10[[#This Row],[SOLUÇÃO]]=BZ$1,[1]!BANCO10[[#This Row],[STATUS DA ETAPA]],"")</f>
        <v/>
      </c>
      <c r="CA319" s="21" t="str">
        <f>IF([1]!BANCO10[[#This Row],[SOLUÇÃO]]=CA$1,[1]!BANCO10[[#This Row],[STATUS DA ETAPA]],"")</f>
        <v/>
      </c>
      <c r="CB319" s="21" t="str">
        <f>IF([1]!BANCO10[[#This Row],[SOLUÇÃO]]=CB$1,[1]!BANCO10[[#This Row],[STATUS DA ETAPA]],"")</f>
        <v/>
      </c>
      <c r="CC319" s="21" t="str">
        <f>IF([1]!BANCO10[[#This Row],[SOLUÇÃO]]=CC$1,[1]!BANCO10[[#This Row],[STATUS DA ETAPA]],"")</f>
        <v/>
      </c>
      <c r="CD319" s="21" t="str">
        <f>IF([1]!BANCO10[[#This Row],[SOLUÇÃO]]=CD$1,[1]!BANCO10[[#This Row],[STATUS DA ETAPA]],"")</f>
        <v/>
      </c>
      <c r="CE319" s="21" t="str">
        <f>IF([1]!BANCO10[[#This Row],[SOLUÇÃO]]=CE$1,[1]!BANCO10[[#This Row],[STATUS DA ETAPA]],"")</f>
        <v/>
      </c>
      <c r="CF319" s="21" t="str">
        <f>IF([1]!BANCO10[[#This Row],[SOLUÇÃO]]=CF$1,[1]!BANCO10[[#This Row],[STATUS DA ETAPA]],"")</f>
        <v/>
      </c>
      <c r="CG319" s="21" t="str">
        <f>IF([1]!BANCO10[[#This Row],[SOLUÇÃO]]=CG$1,[1]!BANCO10[[#This Row],[STATUS DA ETAPA]],"")</f>
        <v/>
      </c>
      <c r="CH319" s="21" t="str">
        <f>IF([1]!BANCO10[[#This Row],[SOLUÇÃO]]=CH$1,[1]!BANCO10[[#This Row],[STATUS DA ETAPA]],"")</f>
        <v/>
      </c>
      <c r="CI319" s="21" t="str">
        <f>IF([1]!BANCO10[[#This Row],[SOLUÇÃO]]=CI$1,[1]!BANCO10[[#This Row],[STATUS DA ETAPA]],"")</f>
        <v/>
      </c>
      <c r="CJ319" s="21" t="str">
        <f>IF([1]!BANCO10[[#This Row],[SOLUÇÃO]]=CJ$1,[1]!BANCO10[[#This Row],[STATUS DA ETAPA]],"")</f>
        <v/>
      </c>
      <c r="CK319" s="21" t="str">
        <f>IF([1]!BANCO10[[#This Row],[SOLUÇÃO]]=CK$1,[1]!BANCO10[[#This Row],[STATUS DA ETAPA]],"")</f>
        <v/>
      </c>
      <c r="CL319" s="21" t="str">
        <f>IF([1]!BANCO10[[#This Row],[SOLUÇÃO]]=CL$1,[1]!BANCO10[[#This Row],[STATUS DA ETAPA]],"")</f>
        <v/>
      </c>
      <c r="CM319" s="21" t="str">
        <f>IF([1]!BANCO10[[#This Row],[SOLUÇÃO]]=CM$1,[1]!BANCO10[[#This Row],[STATUS DA ETAPA]],"")</f>
        <v/>
      </c>
      <c r="CN319" s="21" t="str">
        <f>IF([1]!BANCO10[[#This Row],[SOLUÇÃO]]=CN$1,[1]!BANCO10[[#This Row],[STATUS DA ETAPA]],"")</f>
        <v/>
      </c>
      <c r="CO319" s="21" t="str">
        <f>IF([1]!BANCO10[[#This Row],[SOLUÇÃO]]=CO$1,[1]!BANCO10[[#This Row],[STATUS DA ETAPA]],"")</f>
        <v/>
      </c>
      <c r="CP319" s="21" t="str">
        <f>IF([1]!BANCO10[[#This Row],[SOLUÇÃO]]=CP$1,[1]!BANCO10[[#This Row],[STATUS DA ETAPA]],"")</f>
        <v/>
      </c>
      <c r="CQ319" s="21" t="str">
        <f>IF([1]!BANCO10[[#This Row],[SOLUÇÃO]]=CQ$1,[1]!BANCO10[[#This Row],[STATUS DA ETAPA]],"")</f>
        <v/>
      </c>
      <c r="CR319" s="21" t="str">
        <f>IF([1]!BANCO10[[#This Row],[SOLUÇÃO]]=CR$1,[1]!BANCO10[[#This Row],[STATUS DA ETAPA]],"")</f>
        <v/>
      </c>
      <c r="CS319" s="21" t="str">
        <f>IF([1]!BANCO10[[#This Row],[SOLUÇÃO]]=CS$1,[1]!BANCO10[[#This Row],[STATUS DA ETAPA]],"")</f>
        <v/>
      </c>
      <c r="CT319" s="21" t="str">
        <f>IF([1]!BANCO10[[#This Row],[SOLUÇÃO]]=CT$1,[1]!BANCO10[[#This Row],[STATUS DA ETAPA]],"")</f>
        <v/>
      </c>
      <c r="CU319" s="21" t="str">
        <f>IF([1]!BANCO10[[#This Row],[SOLUÇÃO]]=CU$1,[1]!BANCO10[[#This Row],[STATUS DA ETAPA]],"")</f>
        <v/>
      </c>
      <c r="CV319" s="21" t="str">
        <f>IF([1]!BANCO10[[#This Row],[SOLUÇÃO]]=CV$1,[1]!BANCO10[[#This Row],[STATUS DA ETAPA]],"")</f>
        <v/>
      </c>
    </row>
    <row r="320" spans="1:100">
      <c r="A320" s="44" t="s">
        <v>1</v>
      </c>
      <c r="B320" s="44"/>
      <c r="C320" s="44" t="s">
        <v>1</v>
      </c>
      <c r="D320" s="44"/>
      <c r="E320" s="44" t="s">
        <v>1</v>
      </c>
      <c r="F320" s="44"/>
      <c r="G320" s="44" t="s">
        <v>1</v>
      </c>
      <c r="H320" s="44"/>
      <c r="I320" s="45" t="s">
        <v>1</v>
      </c>
      <c r="J320" s="46"/>
      <c r="K320" s="45" t="s">
        <v>1</v>
      </c>
      <c r="L320" s="33"/>
      <c r="M320" s="45" t="s">
        <v>1</v>
      </c>
      <c r="N320" s="33"/>
      <c r="O320" s="44" t="s">
        <v>2</v>
      </c>
      <c r="P320" s="44">
        <v>44936</v>
      </c>
      <c r="Q320" s="44" t="s">
        <v>2</v>
      </c>
      <c r="R320" s="44">
        <v>44969</v>
      </c>
      <c r="S320" s="44" t="s">
        <v>1</v>
      </c>
      <c r="T320" s="44"/>
      <c r="U320" s="44" t="s">
        <v>2</v>
      </c>
      <c r="V320" s="44">
        <v>45006</v>
      </c>
      <c r="W320" s="44" t="s">
        <v>2</v>
      </c>
      <c r="X320" s="44"/>
      <c r="Y320" s="44" t="s">
        <v>2</v>
      </c>
      <c r="Z320" s="44">
        <v>45006</v>
      </c>
      <c r="AA320" s="44" t="s">
        <v>2</v>
      </c>
      <c r="AB320" s="44"/>
      <c r="AC320" s="51">
        <v>45028</v>
      </c>
      <c r="AD320" s="50">
        <v>45126</v>
      </c>
      <c r="AE320" s="40" t="s">
        <v>2</v>
      </c>
      <c r="AF320" s="40" t="s">
        <v>2</v>
      </c>
      <c r="AG320" s="76" t="s">
        <v>5</v>
      </c>
      <c r="AH320" s="36" t="s">
        <v>0</v>
      </c>
      <c r="AI320" s="49">
        <v>0</v>
      </c>
      <c r="AJ320" s="36"/>
      <c r="AK320" s="10"/>
      <c r="AL320" s="36">
        <v>4731</v>
      </c>
      <c r="AM320" s="36" t="s">
        <v>1</v>
      </c>
      <c r="AN320" s="35" t="s">
        <v>1</v>
      </c>
      <c r="AO320" s="35" t="s">
        <v>1</v>
      </c>
      <c r="AP320" s="35" t="s">
        <v>2</v>
      </c>
      <c r="AQ320" s="35" t="s">
        <v>1</v>
      </c>
      <c r="AR320" s="34" t="s">
        <v>1</v>
      </c>
      <c r="AS320" s="33"/>
      <c r="AT320" s="32" t="s">
        <v>1</v>
      </c>
      <c r="AU320" s="31"/>
      <c r="AV320" s="32" t="s">
        <v>1</v>
      </c>
      <c r="AW320" s="31"/>
      <c r="AX320" s="30" t="s">
        <v>2</v>
      </c>
      <c r="AY320" s="55">
        <v>45126</v>
      </c>
      <c r="AZ320" s="30" t="s">
        <v>2</v>
      </c>
      <c r="BA320" s="55"/>
      <c r="BB320" s="74"/>
      <c r="BC320" s="25"/>
      <c r="BD320" s="24" t="s">
        <v>11</v>
      </c>
      <c r="BE320" s="24" t="s">
        <v>11</v>
      </c>
      <c r="BF320" s="24" t="s">
        <v>21</v>
      </c>
      <c r="BG320" s="24" t="s">
        <v>11</v>
      </c>
      <c r="BH320" s="130" t="s">
        <v>18</v>
      </c>
      <c r="BI320" s="24" t="s">
        <v>243</v>
      </c>
      <c r="BJ320" s="24" t="s">
        <v>37</v>
      </c>
      <c r="BK320" s="24" t="s">
        <v>19</v>
      </c>
      <c r="BL320" s="24">
        <v>45391</v>
      </c>
      <c r="BM320" s="24" t="s">
        <v>18</v>
      </c>
      <c r="BN320" s="24" t="s">
        <v>11</v>
      </c>
      <c r="BO320" s="24"/>
      <c r="BP320" s="24" t="s">
        <v>574</v>
      </c>
      <c r="BQ320" s="22">
        <f>YEAR([1]!BANCO10[[#This Row],[DATA INÍCIO]])</f>
        <v>2023</v>
      </c>
      <c r="BR320" s="22">
        <f>MONTH([1]!BANCO10[[#This Row],[DATA INÍCIO]])</f>
        <v>4</v>
      </c>
      <c r="BS320" s="129" t="e">
        <f>CONCATENATE(#REF!,#REF!)</f>
        <v>#REF!</v>
      </c>
      <c r="BT320" s="22"/>
      <c r="BU320" s="21" t="s">
        <v>573</v>
      </c>
      <c r="BV320" s="21" t="str">
        <f>IF([1]!BANCO10[[#This Row],[SOLUÇÃO]]=BV$1,[1]!BANCO10[[#This Row],[STATUS DA ETAPA]],"")</f>
        <v/>
      </c>
      <c r="BW320" s="21" t="str">
        <f>IF([1]!BANCO10[[#This Row],[SOLUÇÃO]]=BW$1,[1]!BANCO10[[#This Row],[STATUS DA ETAPA]],"")</f>
        <v/>
      </c>
      <c r="BX320" s="21" t="str">
        <f>IF([1]!BANCO10[[#This Row],[SOLUÇÃO]]=BX$1,[1]!BANCO10[[#This Row],[STATUS DA ETAPA]],"")</f>
        <v/>
      </c>
      <c r="BY320" s="21" t="str">
        <f>IF([1]!BANCO10[[#This Row],[SOLUÇÃO]]=BY$1,[1]!BANCO10[[#This Row],[STATUS DA ETAPA]],"")</f>
        <v/>
      </c>
      <c r="BZ320" s="21" t="str">
        <f>IF([1]!BANCO10[[#This Row],[SOLUÇÃO]]=BZ$1,[1]!BANCO10[[#This Row],[STATUS DA ETAPA]],"")</f>
        <v/>
      </c>
      <c r="CA320" s="21" t="str">
        <f>IF([1]!BANCO10[[#This Row],[SOLUÇÃO]]=CA$1,[1]!BANCO10[[#This Row],[STATUS DA ETAPA]],"")</f>
        <v>CONCLUÍDO</v>
      </c>
      <c r="CB320" s="21" t="str">
        <f>IF([1]!BANCO10[[#This Row],[SOLUÇÃO]]=CB$1,[1]!BANCO10[[#This Row],[STATUS DA ETAPA]],"")</f>
        <v/>
      </c>
      <c r="CC320" s="21" t="str">
        <f>IF([1]!BANCO10[[#This Row],[SOLUÇÃO]]=CC$1,[1]!BANCO10[[#This Row],[STATUS DA ETAPA]],"")</f>
        <v/>
      </c>
      <c r="CD320" s="21" t="str">
        <f>IF([1]!BANCO10[[#This Row],[SOLUÇÃO]]=CD$1,[1]!BANCO10[[#This Row],[STATUS DA ETAPA]],"")</f>
        <v/>
      </c>
      <c r="CE320" s="21" t="str">
        <f>IF([1]!BANCO10[[#This Row],[SOLUÇÃO]]=CE$1,[1]!BANCO10[[#This Row],[STATUS DA ETAPA]],"")</f>
        <v/>
      </c>
      <c r="CF320" s="21" t="str">
        <f>IF([1]!BANCO10[[#This Row],[SOLUÇÃO]]=CF$1,[1]!BANCO10[[#This Row],[STATUS DA ETAPA]],"")</f>
        <v/>
      </c>
      <c r="CG320" s="21" t="str">
        <f>IF([1]!BANCO10[[#This Row],[SOLUÇÃO]]=CG$1,[1]!BANCO10[[#This Row],[STATUS DA ETAPA]],"")</f>
        <v/>
      </c>
      <c r="CH320" s="21" t="str">
        <f>IF([1]!BANCO10[[#This Row],[SOLUÇÃO]]=CH$1,[1]!BANCO10[[#This Row],[STATUS DA ETAPA]],"")</f>
        <v/>
      </c>
      <c r="CI320" s="21" t="str">
        <f>IF([1]!BANCO10[[#This Row],[SOLUÇÃO]]=CI$1,[1]!BANCO10[[#This Row],[STATUS DA ETAPA]],"")</f>
        <v/>
      </c>
      <c r="CJ320" s="21" t="str">
        <f>IF([1]!BANCO10[[#This Row],[SOLUÇÃO]]=CJ$1,[1]!BANCO10[[#This Row],[STATUS DA ETAPA]],"")</f>
        <v/>
      </c>
      <c r="CK320" s="21" t="str">
        <f>IF([1]!BANCO10[[#This Row],[SOLUÇÃO]]=CK$1,[1]!BANCO10[[#This Row],[STATUS DA ETAPA]],"")</f>
        <v/>
      </c>
      <c r="CL320" s="21" t="str">
        <f>IF([1]!BANCO10[[#This Row],[SOLUÇÃO]]=CL$1,[1]!BANCO10[[#This Row],[STATUS DA ETAPA]],"")</f>
        <v/>
      </c>
      <c r="CM320" s="21" t="str">
        <f>IF([1]!BANCO10[[#This Row],[SOLUÇÃO]]=CM$1,[1]!BANCO10[[#This Row],[STATUS DA ETAPA]],"")</f>
        <v/>
      </c>
      <c r="CN320" s="21" t="str">
        <f>IF([1]!BANCO10[[#This Row],[SOLUÇÃO]]=CN$1,[1]!BANCO10[[#This Row],[STATUS DA ETAPA]],"")</f>
        <v/>
      </c>
      <c r="CO320" s="21" t="str">
        <f>IF([1]!BANCO10[[#This Row],[SOLUÇÃO]]=CO$1,[1]!BANCO10[[#This Row],[STATUS DA ETAPA]],"")</f>
        <v/>
      </c>
      <c r="CP320" s="21" t="str">
        <f>IF([1]!BANCO10[[#This Row],[SOLUÇÃO]]=CP$1,[1]!BANCO10[[#This Row],[STATUS DA ETAPA]],"")</f>
        <v/>
      </c>
      <c r="CQ320" s="21" t="str">
        <f>IF([1]!BANCO10[[#This Row],[SOLUÇÃO]]=CQ$1,[1]!BANCO10[[#This Row],[STATUS DA ETAPA]],"")</f>
        <v/>
      </c>
      <c r="CR320" s="21" t="str">
        <f>IF([1]!BANCO10[[#This Row],[SOLUÇÃO]]=CR$1,[1]!BANCO10[[#This Row],[STATUS DA ETAPA]],"")</f>
        <v/>
      </c>
      <c r="CS320" s="21" t="str">
        <f>IF([1]!BANCO10[[#This Row],[SOLUÇÃO]]=CS$1,[1]!BANCO10[[#This Row],[STATUS DA ETAPA]],"")</f>
        <v/>
      </c>
      <c r="CT320" s="21" t="str">
        <f>IF([1]!BANCO10[[#This Row],[SOLUÇÃO]]=CT$1,[1]!BANCO10[[#This Row],[STATUS DA ETAPA]],"")</f>
        <v/>
      </c>
      <c r="CU320" s="21" t="str">
        <f>IF([1]!BANCO10[[#This Row],[SOLUÇÃO]]=CU$1,[1]!BANCO10[[#This Row],[STATUS DA ETAPA]],"")</f>
        <v/>
      </c>
      <c r="CV320" s="21" t="str">
        <f>IF([1]!BANCO10[[#This Row],[SOLUÇÃO]]=CV$1,[1]!BANCO10[[#This Row],[STATUS DA ETAPA]],"")</f>
        <v/>
      </c>
    </row>
    <row r="321" spans="1:100">
      <c r="A321" s="44" t="s">
        <v>1</v>
      </c>
      <c r="B321" s="44"/>
      <c r="C321" s="44" t="s">
        <v>1</v>
      </c>
      <c r="D321" s="44"/>
      <c r="E321" s="44" t="s">
        <v>1</v>
      </c>
      <c r="F321" s="44"/>
      <c r="G321" s="44" t="s">
        <v>1</v>
      </c>
      <c r="H321" s="44"/>
      <c r="I321" s="45" t="s">
        <v>1</v>
      </c>
      <c r="J321" s="46"/>
      <c r="K321" s="45" t="s">
        <v>1</v>
      </c>
      <c r="L321" s="33"/>
      <c r="M321" s="45" t="s">
        <v>1</v>
      </c>
      <c r="N321" s="33"/>
      <c r="O321" s="44" t="s">
        <v>1</v>
      </c>
      <c r="P321" s="44"/>
      <c r="Q321" s="44" t="s">
        <v>1</v>
      </c>
      <c r="R321" s="44" t="s">
        <v>1</v>
      </c>
      <c r="S321" s="44" t="s">
        <v>1</v>
      </c>
      <c r="T321" s="44"/>
      <c r="U321" s="44" t="s">
        <v>1</v>
      </c>
      <c r="V321" s="44"/>
      <c r="W321" s="44" t="s">
        <v>1</v>
      </c>
      <c r="X321" s="44"/>
      <c r="Y321" s="44" t="s">
        <v>1</v>
      </c>
      <c r="Z321" s="44"/>
      <c r="AA321" s="44" t="s">
        <v>1</v>
      </c>
      <c r="AB321" s="44"/>
      <c r="AC321" s="51">
        <v>45636</v>
      </c>
      <c r="AD321" s="50">
        <v>45636</v>
      </c>
      <c r="AE321" s="41" t="s">
        <v>1</v>
      </c>
      <c r="AF321" s="41" t="s">
        <v>1</v>
      </c>
      <c r="AG321" s="40" t="s">
        <v>4</v>
      </c>
      <c r="AH321" s="36" t="s">
        <v>0</v>
      </c>
      <c r="AI321" s="49">
        <v>0</v>
      </c>
      <c r="AJ321" s="36" t="s">
        <v>1</v>
      </c>
      <c r="AK321" s="10" t="s">
        <v>1</v>
      </c>
      <c r="AL321" s="36" t="s">
        <v>1</v>
      </c>
      <c r="AM321" s="36" t="s">
        <v>1</v>
      </c>
      <c r="AN321" s="35" t="s">
        <v>1</v>
      </c>
      <c r="AO321" s="35" t="s">
        <v>1</v>
      </c>
      <c r="AP321" s="35" t="s">
        <v>1</v>
      </c>
      <c r="AQ321" s="35" t="s">
        <v>2</v>
      </c>
      <c r="AR321" s="34" t="s">
        <v>0</v>
      </c>
      <c r="AS321" s="33"/>
      <c r="AT321" s="30" t="s">
        <v>0</v>
      </c>
      <c r="AU321" s="31"/>
      <c r="AV321" s="30" t="s">
        <v>0</v>
      </c>
      <c r="AW321" s="31"/>
      <c r="AX321" s="30" t="s">
        <v>0</v>
      </c>
      <c r="AY321" s="29"/>
      <c r="AZ321" s="28" t="s">
        <v>0</v>
      </c>
      <c r="BA321" s="27"/>
      <c r="BB321" s="26"/>
      <c r="BC321" s="25"/>
      <c r="BD321" s="24"/>
      <c r="BE321" s="24"/>
      <c r="BF321" s="24"/>
      <c r="BG321" s="24"/>
      <c r="BH321" s="24"/>
      <c r="BI321" s="24"/>
      <c r="BJ321" s="24"/>
      <c r="BK321" s="24"/>
      <c r="BL321" s="24"/>
      <c r="BM321" s="24"/>
      <c r="BN321" s="24"/>
      <c r="BO321" s="24"/>
      <c r="BP321" s="24"/>
      <c r="BQ321" s="22">
        <f>YEAR([1]!BANCO10[[#This Row],[DATA INÍCIO]])</f>
        <v>2024</v>
      </c>
      <c r="BR321" s="22">
        <f>MONTH([1]!BANCO10[[#This Row],[DATA INÍCIO]])</f>
        <v>12</v>
      </c>
      <c r="BS321" s="23" t="e">
        <f>CONCATENATE(#REF!,#REF!)</f>
        <v>#REF!</v>
      </c>
      <c r="BT321" s="22"/>
      <c r="BU321" s="22"/>
      <c r="BV321" s="21" t="str">
        <f>IF([1]!BANCO10[[#This Row],[SOLUÇÃO]]=BV$1,[1]!BANCO10[[#This Row],[STATUS DA ETAPA]],"")</f>
        <v/>
      </c>
      <c r="BW321" s="21" t="str">
        <f>IF([1]!BANCO10[[#This Row],[SOLUÇÃO]]=BW$1,[1]!BANCO10[[#This Row],[STATUS DA ETAPA]],"")</f>
        <v/>
      </c>
      <c r="BX321" s="21" t="str">
        <f>IF([1]!BANCO10[[#This Row],[SOLUÇÃO]]=BX$1,[1]!BANCO10[[#This Row],[STATUS DA ETAPA]],"")</f>
        <v/>
      </c>
      <c r="BY321" s="21" t="str">
        <f>IF([1]!BANCO10[[#This Row],[SOLUÇÃO]]=BY$1,[1]!BANCO10[[#This Row],[STATUS DA ETAPA]],"")</f>
        <v/>
      </c>
      <c r="BZ321" s="21" t="str">
        <f>IF([1]!BANCO10[[#This Row],[SOLUÇÃO]]=BZ$1,[1]!BANCO10[[#This Row],[STATUS DA ETAPA]],"")</f>
        <v/>
      </c>
      <c r="CA321" s="21" t="str">
        <f>IF([1]!BANCO10[[#This Row],[SOLUÇÃO]]=CA$1,[1]!BANCO10[[#This Row],[STATUS DA ETAPA]],"")</f>
        <v/>
      </c>
      <c r="CB321" s="21" t="str">
        <f>IF([1]!BANCO10[[#This Row],[SOLUÇÃO]]=CB$1,[1]!BANCO10[[#This Row],[STATUS DA ETAPA]],"")</f>
        <v/>
      </c>
      <c r="CC321" s="21" t="str">
        <f>IF([1]!BANCO10[[#This Row],[SOLUÇÃO]]=CC$1,[1]!BANCO10[[#This Row],[STATUS DA ETAPA]],"")</f>
        <v/>
      </c>
      <c r="CD321" s="21" t="str">
        <f>IF([1]!BANCO10[[#This Row],[SOLUÇÃO]]=CD$1,[1]!BANCO10[[#This Row],[STATUS DA ETAPA]],"")</f>
        <v/>
      </c>
      <c r="CE321" s="21" t="str">
        <f>IF([1]!BANCO10[[#This Row],[SOLUÇÃO]]=CE$1,[1]!BANCO10[[#This Row],[STATUS DA ETAPA]],"")</f>
        <v/>
      </c>
      <c r="CF321" s="21" t="str">
        <f>IF([1]!BANCO10[[#This Row],[SOLUÇÃO]]=CF$1,[1]!BANCO10[[#This Row],[STATUS DA ETAPA]],"")</f>
        <v/>
      </c>
      <c r="CG321" s="21" t="str">
        <f>IF([1]!BANCO10[[#This Row],[SOLUÇÃO]]=CG$1,[1]!BANCO10[[#This Row],[STATUS DA ETAPA]],"")</f>
        <v/>
      </c>
      <c r="CH321" s="21" t="str">
        <f>IF([1]!BANCO10[[#This Row],[SOLUÇÃO]]=CH$1,[1]!BANCO10[[#This Row],[STATUS DA ETAPA]],"")</f>
        <v/>
      </c>
      <c r="CI321" s="21" t="str">
        <f>IF([1]!BANCO10[[#This Row],[SOLUÇÃO]]=CI$1,[1]!BANCO10[[#This Row],[STATUS DA ETAPA]],"")</f>
        <v/>
      </c>
      <c r="CJ321" s="21" t="str">
        <f>IF([1]!BANCO10[[#This Row],[SOLUÇÃO]]=CJ$1,[1]!BANCO10[[#This Row],[STATUS DA ETAPA]],"")</f>
        <v/>
      </c>
      <c r="CK321" s="21" t="str">
        <f>IF([1]!BANCO10[[#This Row],[SOLUÇÃO]]=CK$1,[1]!BANCO10[[#This Row],[STATUS DA ETAPA]],"")</f>
        <v/>
      </c>
      <c r="CL321" s="21" t="str">
        <f>IF([1]!BANCO10[[#This Row],[SOLUÇÃO]]=CL$1,[1]!BANCO10[[#This Row],[STATUS DA ETAPA]],"")</f>
        <v/>
      </c>
      <c r="CM321" s="21" t="str">
        <f>IF([1]!BANCO10[[#This Row],[SOLUÇÃO]]=CM$1,[1]!BANCO10[[#This Row],[STATUS DA ETAPA]],"")</f>
        <v/>
      </c>
      <c r="CN321" s="21" t="str">
        <f>IF([1]!BANCO10[[#This Row],[SOLUÇÃO]]=CN$1,[1]!BANCO10[[#This Row],[STATUS DA ETAPA]],"")</f>
        <v/>
      </c>
      <c r="CO321" s="21" t="str">
        <f>IF([1]!BANCO10[[#This Row],[SOLUÇÃO]]=CO$1,[1]!BANCO10[[#This Row],[STATUS DA ETAPA]],"")</f>
        <v/>
      </c>
      <c r="CP321" s="21" t="str">
        <f>IF([1]!BANCO10[[#This Row],[SOLUÇÃO]]=CP$1,[1]!BANCO10[[#This Row],[STATUS DA ETAPA]],"")</f>
        <v/>
      </c>
      <c r="CQ321" s="21" t="str">
        <f>IF([1]!BANCO10[[#This Row],[SOLUÇÃO]]=CQ$1,[1]!BANCO10[[#This Row],[STATUS DA ETAPA]],"")</f>
        <v/>
      </c>
      <c r="CR321" s="21" t="str">
        <f>IF([1]!BANCO10[[#This Row],[SOLUÇÃO]]=CR$1,[1]!BANCO10[[#This Row],[STATUS DA ETAPA]],"")</f>
        <v/>
      </c>
      <c r="CS321" s="21" t="str">
        <f>IF([1]!BANCO10[[#This Row],[SOLUÇÃO]]=CS$1,[1]!BANCO10[[#This Row],[STATUS DA ETAPA]],"")</f>
        <v/>
      </c>
      <c r="CT321" s="21" t="str">
        <f>IF([1]!BANCO10[[#This Row],[SOLUÇÃO]]=CT$1,[1]!BANCO10[[#This Row],[STATUS DA ETAPA]],"")</f>
        <v/>
      </c>
      <c r="CU321" s="21" t="str">
        <f>IF([1]!BANCO10[[#This Row],[SOLUÇÃO]]=CU$1,[1]!BANCO10[[#This Row],[STATUS DA ETAPA]],"")</f>
        <v/>
      </c>
      <c r="CV321" s="21" t="str">
        <f>IF([1]!BANCO10[[#This Row],[SOLUÇÃO]]=CV$1,[1]!BANCO10[[#This Row],[STATUS DA ETAPA]],"")</f>
        <v/>
      </c>
    </row>
    <row r="322" spans="1:100">
      <c r="A322" s="44" t="s">
        <v>1</v>
      </c>
      <c r="B322" s="44"/>
      <c r="C322" s="44" t="s">
        <v>1</v>
      </c>
      <c r="D322" s="44"/>
      <c r="E322" s="44" t="s">
        <v>1</v>
      </c>
      <c r="F322" s="44"/>
      <c r="G322" s="44" t="s">
        <v>1</v>
      </c>
      <c r="H322" s="44"/>
      <c r="I322" s="45" t="s">
        <v>1</v>
      </c>
      <c r="J322" s="46"/>
      <c r="K322" s="45" t="s">
        <v>1</v>
      </c>
      <c r="L322" s="33"/>
      <c r="M322" s="45" t="s">
        <v>1</v>
      </c>
      <c r="N322" s="33"/>
      <c r="O322" s="44" t="s">
        <v>1</v>
      </c>
      <c r="P322" s="44"/>
      <c r="Q322" s="44" t="s">
        <v>1</v>
      </c>
      <c r="R322" s="44"/>
      <c r="S322" s="44" t="s">
        <v>1</v>
      </c>
      <c r="T322" s="44"/>
      <c r="U322" s="44" t="s">
        <v>1</v>
      </c>
      <c r="V322" s="44"/>
      <c r="W322" s="44" t="s">
        <v>1</v>
      </c>
      <c r="X322" s="44"/>
      <c r="Y322" s="44" t="s">
        <v>1</v>
      </c>
      <c r="Z322" s="44"/>
      <c r="AA322" s="44" t="s">
        <v>1</v>
      </c>
      <c r="AB322" s="44"/>
      <c r="AC322" s="51">
        <v>45509</v>
      </c>
      <c r="AD322" s="50">
        <v>45509</v>
      </c>
      <c r="AE322" s="41" t="s">
        <v>1</v>
      </c>
      <c r="AF322" s="41" t="s">
        <v>1</v>
      </c>
      <c r="AG322" s="40" t="s">
        <v>5</v>
      </c>
      <c r="AH322" s="36" t="s">
        <v>1</v>
      </c>
      <c r="AI322" s="49">
        <v>0</v>
      </c>
      <c r="AJ322" s="36" t="s">
        <v>1</v>
      </c>
      <c r="AK322" s="10" t="s">
        <v>1</v>
      </c>
      <c r="AL322" s="36" t="s">
        <v>1</v>
      </c>
      <c r="AM322" s="36" t="s">
        <v>1</v>
      </c>
      <c r="AN322" s="35" t="s">
        <v>1</v>
      </c>
      <c r="AO322" s="35" t="s">
        <v>1</v>
      </c>
      <c r="AP322" s="35" t="s">
        <v>1</v>
      </c>
      <c r="AQ322" s="35" t="s">
        <v>1</v>
      </c>
      <c r="AR322" s="82" t="s">
        <v>1</v>
      </c>
      <c r="AS322" s="33"/>
      <c r="AT322" s="30"/>
      <c r="AU322" s="55"/>
      <c r="AV322" s="30"/>
      <c r="AW322" s="55"/>
      <c r="AX322" s="30" t="s">
        <v>1</v>
      </c>
      <c r="AY322" s="55"/>
      <c r="AZ322" s="30" t="s">
        <v>1</v>
      </c>
      <c r="BA322" s="55"/>
      <c r="BB322" s="26"/>
      <c r="BC322" s="25"/>
      <c r="BD322" s="24"/>
      <c r="BE322" s="24"/>
      <c r="BF322" s="24"/>
      <c r="BG322" s="24"/>
      <c r="BH322" s="130"/>
      <c r="BI322" s="24"/>
      <c r="BJ322" s="24"/>
      <c r="BK322" s="24"/>
      <c r="BL322" s="24"/>
      <c r="BM322" s="24"/>
      <c r="BN322" s="24"/>
      <c r="BO322" s="24"/>
      <c r="BP322" s="24"/>
      <c r="BQ322" s="22">
        <f>YEAR([1]!BANCO10[[#This Row],[DATA INÍCIO]])</f>
        <v>2024</v>
      </c>
      <c r="BR322" s="22">
        <f>MONTH([1]!BANCO10[[#This Row],[DATA INÍCIO]])</f>
        <v>8</v>
      </c>
      <c r="BS322" s="23" t="e">
        <f>CONCATENATE(#REF!,#REF!)</f>
        <v>#REF!</v>
      </c>
      <c r="BT322" s="22"/>
      <c r="BU322" s="97" t="s">
        <v>572</v>
      </c>
      <c r="BV322" s="21" t="str">
        <f>IF([1]!BANCO10[[#This Row],[SOLUÇÃO]]=BV$1,[1]!BANCO10[[#This Row],[STATUS DA ETAPA]],"")</f>
        <v>CONCLUÍDO</v>
      </c>
      <c r="BW322" s="21" t="str">
        <f>IF([1]!BANCO10[[#This Row],[SOLUÇÃO]]=BW$1,[1]!BANCO10[[#This Row],[STATUS DA ETAPA]],"")</f>
        <v/>
      </c>
      <c r="BX322" s="21" t="str">
        <f>IF([1]!BANCO10[[#This Row],[SOLUÇÃO]]=BX$1,[1]!BANCO10[[#This Row],[STATUS DA ETAPA]],"")</f>
        <v/>
      </c>
      <c r="BY322" s="21" t="str">
        <f>IF([1]!BANCO10[[#This Row],[SOLUÇÃO]]=BY$1,[1]!BANCO10[[#This Row],[STATUS DA ETAPA]],"")</f>
        <v/>
      </c>
      <c r="BZ322" s="21" t="str">
        <f>IF([1]!BANCO10[[#This Row],[SOLUÇÃO]]=BZ$1,[1]!BANCO10[[#This Row],[STATUS DA ETAPA]],"")</f>
        <v/>
      </c>
      <c r="CA322" s="21" t="str">
        <f>IF([1]!BANCO10[[#This Row],[SOLUÇÃO]]=CA$1,[1]!BANCO10[[#This Row],[STATUS DA ETAPA]],"")</f>
        <v/>
      </c>
      <c r="CB322" s="21" t="str">
        <f>IF([1]!BANCO10[[#This Row],[SOLUÇÃO]]=CB$1,[1]!BANCO10[[#This Row],[STATUS DA ETAPA]],"")</f>
        <v/>
      </c>
      <c r="CC322" s="21" t="str">
        <f>IF([1]!BANCO10[[#This Row],[SOLUÇÃO]]=CC$1,[1]!BANCO10[[#This Row],[STATUS DA ETAPA]],"")</f>
        <v/>
      </c>
      <c r="CD322" s="21" t="str">
        <f>IF([1]!BANCO10[[#This Row],[SOLUÇÃO]]=CD$1,[1]!BANCO10[[#This Row],[STATUS DA ETAPA]],"")</f>
        <v/>
      </c>
      <c r="CE322" s="21" t="str">
        <f>IF([1]!BANCO10[[#This Row],[SOLUÇÃO]]=CE$1,[1]!BANCO10[[#This Row],[STATUS DA ETAPA]],"")</f>
        <v/>
      </c>
      <c r="CF322" s="21" t="str">
        <f>IF([1]!BANCO10[[#This Row],[SOLUÇÃO]]=CF$1,[1]!BANCO10[[#This Row],[STATUS DA ETAPA]],"")</f>
        <v/>
      </c>
      <c r="CG322" s="21" t="str">
        <f>IF([1]!BANCO10[[#This Row],[SOLUÇÃO]]=CG$1,[1]!BANCO10[[#This Row],[STATUS DA ETAPA]],"")</f>
        <v/>
      </c>
      <c r="CH322" s="21" t="str">
        <f>IF([1]!BANCO10[[#This Row],[SOLUÇÃO]]=CH$1,[1]!BANCO10[[#This Row],[STATUS DA ETAPA]],"")</f>
        <v/>
      </c>
      <c r="CI322" s="21" t="str">
        <f>IF([1]!BANCO10[[#This Row],[SOLUÇÃO]]=CI$1,[1]!BANCO10[[#This Row],[STATUS DA ETAPA]],"")</f>
        <v/>
      </c>
      <c r="CJ322" s="21" t="str">
        <f>IF([1]!BANCO10[[#This Row],[SOLUÇÃO]]=CJ$1,[1]!BANCO10[[#This Row],[STATUS DA ETAPA]],"")</f>
        <v/>
      </c>
      <c r="CK322" s="21" t="str">
        <f>IF([1]!BANCO10[[#This Row],[SOLUÇÃO]]=CK$1,[1]!BANCO10[[#This Row],[STATUS DA ETAPA]],"")</f>
        <v/>
      </c>
      <c r="CL322" s="21" t="str">
        <f>IF([1]!BANCO10[[#This Row],[SOLUÇÃO]]=CL$1,[1]!BANCO10[[#This Row],[STATUS DA ETAPA]],"")</f>
        <v/>
      </c>
      <c r="CM322" s="21" t="str">
        <f>IF([1]!BANCO10[[#This Row],[SOLUÇÃO]]=CM$1,[1]!BANCO10[[#This Row],[STATUS DA ETAPA]],"")</f>
        <v/>
      </c>
      <c r="CN322" s="21" t="str">
        <f>IF([1]!BANCO10[[#This Row],[SOLUÇÃO]]=CN$1,[1]!BANCO10[[#This Row],[STATUS DA ETAPA]],"")</f>
        <v/>
      </c>
      <c r="CO322" s="21" t="str">
        <f>IF([1]!BANCO10[[#This Row],[SOLUÇÃO]]=CO$1,[1]!BANCO10[[#This Row],[STATUS DA ETAPA]],"")</f>
        <v/>
      </c>
      <c r="CP322" s="21" t="str">
        <f>IF([1]!BANCO10[[#This Row],[SOLUÇÃO]]=CP$1,[1]!BANCO10[[#This Row],[STATUS DA ETAPA]],"")</f>
        <v/>
      </c>
      <c r="CQ322" s="21" t="str">
        <f>IF([1]!BANCO10[[#This Row],[SOLUÇÃO]]=CQ$1,[1]!BANCO10[[#This Row],[STATUS DA ETAPA]],"")</f>
        <v/>
      </c>
      <c r="CR322" s="21" t="str">
        <f>IF([1]!BANCO10[[#This Row],[SOLUÇÃO]]=CR$1,[1]!BANCO10[[#This Row],[STATUS DA ETAPA]],"")</f>
        <v/>
      </c>
      <c r="CS322" s="21" t="str">
        <f>IF([1]!BANCO10[[#This Row],[SOLUÇÃO]]=CS$1,[1]!BANCO10[[#This Row],[STATUS DA ETAPA]],"")</f>
        <v/>
      </c>
      <c r="CT322" s="21" t="str">
        <f>IF([1]!BANCO10[[#This Row],[SOLUÇÃO]]=CT$1,[1]!BANCO10[[#This Row],[STATUS DA ETAPA]],"")</f>
        <v/>
      </c>
      <c r="CU322" s="21" t="str">
        <f>IF([1]!BANCO10[[#This Row],[SOLUÇÃO]]=CU$1,[1]!BANCO10[[#This Row],[STATUS DA ETAPA]],"")</f>
        <v/>
      </c>
      <c r="CV322" s="21" t="str">
        <f>IF([1]!BANCO10[[#This Row],[SOLUÇÃO]]=CV$1,[1]!BANCO10[[#This Row],[STATUS DA ETAPA]],"")</f>
        <v/>
      </c>
    </row>
    <row r="323" spans="1:100">
      <c r="A323" s="44" t="s">
        <v>2</v>
      </c>
      <c r="B323" s="44">
        <v>45383</v>
      </c>
      <c r="C323" s="44" t="s">
        <v>2</v>
      </c>
      <c r="D323" s="44">
        <v>45383</v>
      </c>
      <c r="E323" s="44" t="s">
        <v>2</v>
      </c>
      <c r="F323" s="44">
        <v>45383</v>
      </c>
      <c r="G323" s="44" t="s">
        <v>2</v>
      </c>
      <c r="H323" s="44">
        <v>45383</v>
      </c>
      <c r="I323" s="45" t="s">
        <v>2</v>
      </c>
      <c r="J323" s="46">
        <v>45536</v>
      </c>
      <c r="K323" s="45" t="s">
        <v>2</v>
      </c>
      <c r="L323" s="33">
        <v>45536</v>
      </c>
      <c r="M323" s="45" t="s">
        <v>2</v>
      </c>
      <c r="N323" s="33">
        <v>45536</v>
      </c>
      <c r="O323" s="44" t="s">
        <v>2</v>
      </c>
      <c r="P323" s="44">
        <v>45509</v>
      </c>
      <c r="Q323" s="44" t="s">
        <v>2</v>
      </c>
      <c r="R323" s="44">
        <v>45509</v>
      </c>
      <c r="S323" s="44" t="s">
        <v>2</v>
      </c>
      <c r="T323" s="44">
        <v>45536</v>
      </c>
      <c r="U323" s="44" t="s">
        <v>1</v>
      </c>
      <c r="V323" s="44"/>
      <c r="W323" s="44" t="s">
        <v>1</v>
      </c>
      <c r="X323" s="44"/>
      <c r="Y323" s="44" t="s">
        <v>1</v>
      </c>
      <c r="Z323" s="44"/>
      <c r="AA323" s="44" t="s">
        <v>1</v>
      </c>
      <c r="AB323" s="44"/>
      <c r="AC323" s="51">
        <v>45552</v>
      </c>
      <c r="AD323" s="50">
        <v>45630</v>
      </c>
      <c r="AE323" s="41" t="s">
        <v>2</v>
      </c>
      <c r="AF323" s="41" t="s">
        <v>2</v>
      </c>
      <c r="AG323" s="40" t="s">
        <v>5</v>
      </c>
      <c r="AH323" s="36" t="s">
        <v>0</v>
      </c>
      <c r="AI323" s="49">
        <v>0</v>
      </c>
      <c r="AJ323" s="36" t="s">
        <v>6</v>
      </c>
      <c r="AK323" s="10">
        <v>566063</v>
      </c>
      <c r="AL323" s="36" t="s">
        <v>1</v>
      </c>
      <c r="AM323" s="36" t="s">
        <v>1</v>
      </c>
      <c r="AN323" s="35" t="s">
        <v>2</v>
      </c>
      <c r="AO323" s="35" t="s">
        <v>2</v>
      </c>
      <c r="AP323" s="35" t="s">
        <v>2</v>
      </c>
      <c r="AQ323" s="35" t="s">
        <v>2</v>
      </c>
      <c r="AR323" s="34" t="s">
        <v>2</v>
      </c>
      <c r="AS323" s="33">
        <v>45649</v>
      </c>
      <c r="AT323" s="30" t="s">
        <v>1</v>
      </c>
      <c r="AU323" s="31"/>
      <c r="AV323" s="30" t="s">
        <v>1</v>
      </c>
      <c r="AW323" s="31"/>
      <c r="AX323" s="30" t="s">
        <v>2</v>
      </c>
      <c r="AY323" s="31">
        <v>45649</v>
      </c>
      <c r="AZ323" s="30" t="s">
        <v>0</v>
      </c>
      <c r="BA323" s="55"/>
      <c r="BB323" s="26"/>
      <c r="BC323" s="25" t="s">
        <v>45</v>
      </c>
      <c r="BD323" s="24"/>
      <c r="BE323" s="24"/>
      <c r="BF323" s="24"/>
      <c r="BG323" s="24"/>
      <c r="BH323" s="130"/>
      <c r="BI323" s="24"/>
      <c r="BJ323" s="24"/>
      <c r="BK323" s="24"/>
      <c r="BL323" s="24"/>
      <c r="BM323" s="24"/>
      <c r="BN323" s="24"/>
      <c r="BO323" s="24"/>
      <c r="BP323" s="24"/>
      <c r="BQ323" s="22">
        <f>YEAR([1]!BANCO10[[#This Row],[DATA INÍCIO]])</f>
        <v>2024</v>
      </c>
      <c r="BR323" s="22">
        <f>MONTH([1]!BANCO10[[#This Row],[DATA INÍCIO]])</f>
        <v>9</v>
      </c>
      <c r="BS323" s="23" t="e">
        <f>CONCATENATE(#REF!,#REF!)</f>
        <v>#REF!</v>
      </c>
      <c r="BT323" s="22"/>
      <c r="BU323" s="97" t="s">
        <v>571</v>
      </c>
      <c r="BV323" s="21" t="str">
        <f>IF([1]!BANCO10[[#This Row],[SOLUÇÃO]]=BV$1,[1]!BANCO10[[#This Row],[STATUS DA ETAPA]],"")</f>
        <v/>
      </c>
      <c r="BW323" s="21" t="str">
        <f>IF([1]!BANCO10[[#This Row],[SOLUÇÃO]]=BW$1,[1]!BANCO10[[#This Row],[STATUS DA ETAPA]],"")</f>
        <v/>
      </c>
      <c r="BX323" s="21" t="str">
        <f>IF([1]!BANCO10[[#This Row],[SOLUÇÃO]]=BX$1,[1]!BANCO10[[#This Row],[STATUS DA ETAPA]],"")</f>
        <v/>
      </c>
      <c r="BY323" s="21" t="str">
        <f>IF([1]!BANCO10[[#This Row],[SOLUÇÃO]]=BY$1,[1]!BANCO10[[#This Row],[STATUS DA ETAPA]],"")</f>
        <v/>
      </c>
      <c r="BZ323" s="21" t="str">
        <f>IF([1]!BANCO10[[#This Row],[SOLUÇÃO]]=BZ$1,[1]!BANCO10[[#This Row],[STATUS DA ETAPA]],"")</f>
        <v/>
      </c>
      <c r="CA323" s="21" t="str">
        <f>IF([1]!BANCO10[[#This Row],[SOLUÇÃO]]=CA$1,[1]!BANCO10[[#This Row],[STATUS DA ETAPA]],"")</f>
        <v/>
      </c>
      <c r="CB323" s="21" t="str">
        <f>IF([1]!BANCO10[[#This Row],[SOLUÇÃO]]=CB$1,[1]!BANCO10[[#This Row],[STATUS DA ETAPA]],"")</f>
        <v>CONCLUÍDO</v>
      </c>
      <c r="CC323" s="21" t="str">
        <f>IF([1]!BANCO10[[#This Row],[SOLUÇÃO]]=CC$1,[1]!BANCO10[[#This Row],[STATUS DA ETAPA]],"")</f>
        <v/>
      </c>
      <c r="CD323" s="21" t="str">
        <f>IF([1]!BANCO10[[#This Row],[SOLUÇÃO]]=CD$1,[1]!BANCO10[[#This Row],[STATUS DA ETAPA]],"")</f>
        <v/>
      </c>
      <c r="CE323" s="21" t="str">
        <f>IF([1]!BANCO10[[#This Row],[SOLUÇÃO]]=CE$1,[1]!BANCO10[[#This Row],[STATUS DA ETAPA]],"")</f>
        <v/>
      </c>
      <c r="CF323" s="21" t="str">
        <f>IF([1]!BANCO10[[#This Row],[SOLUÇÃO]]=CF$1,[1]!BANCO10[[#This Row],[STATUS DA ETAPA]],"")</f>
        <v/>
      </c>
      <c r="CG323" s="21" t="str">
        <f>IF([1]!BANCO10[[#This Row],[SOLUÇÃO]]=CG$1,[1]!BANCO10[[#This Row],[STATUS DA ETAPA]],"")</f>
        <v/>
      </c>
      <c r="CH323" s="21" t="str">
        <f>IF([1]!BANCO10[[#This Row],[SOLUÇÃO]]=CH$1,[1]!BANCO10[[#This Row],[STATUS DA ETAPA]],"")</f>
        <v/>
      </c>
      <c r="CI323" s="21" t="str">
        <f>IF([1]!BANCO10[[#This Row],[SOLUÇÃO]]=CI$1,[1]!BANCO10[[#This Row],[STATUS DA ETAPA]],"")</f>
        <v/>
      </c>
      <c r="CJ323" s="21" t="str">
        <f>IF([1]!BANCO10[[#This Row],[SOLUÇÃO]]=CJ$1,[1]!BANCO10[[#This Row],[STATUS DA ETAPA]],"")</f>
        <v/>
      </c>
      <c r="CK323" s="21" t="str">
        <f>IF([1]!BANCO10[[#This Row],[SOLUÇÃO]]=CK$1,[1]!BANCO10[[#This Row],[STATUS DA ETAPA]],"")</f>
        <v/>
      </c>
      <c r="CL323" s="21" t="str">
        <f>IF([1]!BANCO10[[#This Row],[SOLUÇÃO]]=CL$1,[1]!BANCO10[[#This Row],[STATUS DA ETAPA]],"")</f>
        <v/>
      </c>
      <c r="CM323" s="21" t="str">
        <f>IF([1]!BANCO10[[#This Row],[SOLUÇÃO]]=CM$1,[1]!BANCO10[[#This Row],[STATUS DA ETAPA]],"")</f>
        <v/>
      </c>
      <c r="CN323" s="21" t="str">
        <f>IF([1]!BANCO10[[#This Row],[SOLUÇÃO]]=CN$1,[1]!BANCO10[[#This Row],[STATUS DA ETAPA]],"")</f>
        <v/>
      </c>
      <c r="CO323" s="21" t="str">
        <f>IF([1]!BANCO10[[#This Row],[SOLUÇÃO]]=CO$1,[1]!BANCO10[[#This Row],[STATUS DA ETAPA]],"")</f>
        <v/>
      </c>
      <c r="CP323" s="21" t="str">
        <f>IF([1]!BANCO10[[#This Row],[SOLUÇÃO]]=CP$1,[1]!BANCO10[[#This Row],[STATUS DA ETAPA]],"")</f>
        <v/>
      </c>
      <c r="CQ323" s="21" t="str">
        <f>IF([1]!BANCO10[[#This Row],[SOLUÇÃO]]=CQ$1,[1]!BANCO10[[#This Row],[STATUS DA ETAPA]],"")</f>
        <v/>
      </c>
      <c r="CR323" s="21" t="str">
        <f>IF([1]!BANCO10[[#This Row],[SOLUÇÃO]]=CR$1,[1]!BANCO10[[#This Row],[STATUS DA ETAPA]],"")</f>
        <v/>
      </c>
      <c r="CS323" s="21" t="str">
        <f>IF([1]!BANCO10[[#This Row],[SOLUÇÃO]]=CS$1,[1]!BANCO10[[#This Row],[STATUS DA ETAPA]],"")</f>
        <v/>
      </c>
      <c r="CT323" s="21" t="str">
        <f>IF([1]!BANCO10[[#This Row],[SOLUÇÃO]]=CT$1,[1]!BANCO10[[#This Row],[STATUS DA ETAPA]],"")</f>
        <v/>
      </c>
      <c r="CU323" s="21" t="str">
        <f>IF([1]!BANCO10[[#This Row],[SOLUÇÃO]]=CU$1,[1]!BANCO10[[#This Row],[STATUS DA ETAPA]],"")</f>
        <v/>
      </c>
      <c r="CV323" s="21" t="str">
        <f>IF([1]!BANCO10[[#This Row],[SOLUÇÃO]]=CV$1,[1]!BANCO10[[#This Row],[STATUS DA ETAPA]],"")</f>
        <v/>
      </c>
    </row>
    <row r="324" spans="1:100">
      <c r="A324" s="44" t="s">
        <v>1</v>
      </c>
      <c r="B324" s="44"/>
      <c r="C324" s="44" t="s">
        <v>1</v>
      </c>
      <c r="D324" s="44"/>
      <c r="E324" s="44" t="s">
        <v>1</v>
      </c>
      <c r="F324" s="44"/>
      <c r="G324" s="44" t="s">
        <v>1</v>
      </c>
      <c r="H324" s="44"/>
      <c r="I324" s="45" t="s">
        <v>1</v>
      </c>
      <c r="J324" s="46"/>
      <c r="K324" s="45" t="s">
        <v>1</v>
      </c>
      <c r="L324" s="33"/>
      <c r="M324" s="45" t="s">
        <v>1</v>
      </c>
      <c r="N324" s="33"/>
      <c r="O324" s="44" t="s">
        <v>2</v>
      </c>
      <c r="P324" s="44">
        <v>44809</v>
      </c>
      <c r="Q324" s="44" t="s">
        <v>0</v>
      </c>
      <c r="R324" s="44"/>
      <c r="S324" s="44" t="s">
        <v>1</v>
      </c>
      <c r="T324" s="44"/>
      <c r="U324" s="44" t="s">
        <v>1</v>
      </c>
      <c r="V324" s="44"/>
      <c r="W324" s="44" t="s">
        <v>1</v>
      </c>
      <c r="X324" s="44"/>
      <c r="Y324" s="44" t="s">
        <v>1</v>
      </c>
      <c r="Z324" s="44"/>
      <c r="AA324" s="44" t="s">
        <v>1</v>
      </c>
      <c r="AB324" s="44"/>
      <c r="AC324" s="51">
        <v>44809</v>
      </c>
      <c r="AD324" s="50">
        <v>44809</v>
      </c>
      <c r="AE324" s="40" t="s">
        <v>1</v>
      </c>
      <c r="AF324" s="40" t="s">
        <v>1</v>
      </c>
      <c r="AG324" s="76" t="s">
        <v>5</v>
      </c>
      <c r="AH324" s="36" t="s">
        <v>1</v>
      </c>
      <c r="AI324" s="49">
        <v>0</v>
      </c>
      <c r="AJ324" s="36" t="s">
        <v>1</v>
      </c>
      <c r="AK324" s="10" t="s">
        <v>1</v>
      </c>
      <c r="AL324" s="36" t="s">
        <v>1</v>
      </c>
      <c r="AM324" s="36" t="s">
        <v>1</v>
      </c>
      <c r="AN324" s="35" t="s">
        <v>1</v>
      </c>
      <c r="AO324" s="35" t="s">
        <v>1</v>
      </c>
      <c r="AP324" s="35" t="s">
        <v>1</v>
      </c>
      <c r="AQ324" s="35" t="s">
        <v>1</v>
      </c>
      <c r="AR324" s="82" t="s">
        <v>1</v>
      </c>
      <c r="AS324" s="33"/>
      <c r="AT324" s="32" t="s">
        <v>1</v>
      </c>
      <c r="AU324" s="31"/>
      <c r="AV324" s="32" t="s">
        <v>1</v>
      </c>
      <c r="AW324" s="31"/>
      <c r="AX324" s="30" t="s">
        <v>1</v>
      </c>
      <c r="AY324" s="55"/>
      <c r="AZ324" s="30" t="s">
        <v>1</v>
      </c>
      <c r="BA324" s="55"/>
      <c r="BB324" s="74"/>
      <c r="BC324" s="25"/>
      <c r="BD324" s="24" t="s">
        <v>11</v>
      </c>
      <c r="BE324" s="24" t="s">
        <v>11</v>
      </c>
      <c r="BF324" s="24" t="s">
        <v>21</v>
      </c>
      <c r="BG324" s="24" t="s">
        <v>11</v>
      </c>
      <c r="BH324" s="130" t="s">
        <v>18</v>
      </c>
      <c r="BI324" s="24" t="s">
        <v>21</v>
      </c>
      <c r="BJ324" s="24" t="s">
        <v>11</v>
      </c>
      <c r="BK324" s="24" t="s">
        <v>11</v>
      </c>
      <c r="BL324" s="24" t="s">
        <v>11</v>
      </c>
      <c r="BM324" s="24" t="s">
        <v>11</v>
      </c>
      <c r="BN324" s="24" t="s">
        <v>11</v>
      </c>
      <c r="BO324" s="24" t="s">
        <v>11</v>
      </c>
      <c r="BP324" s="24" t="s">
        <v>11</v>
      </c>
      <c r="BQ324" s="22">
        <f>YEAR([1]!BANCO10[[#This Row],[DATA INÍCIO]])</f>
        <v>2022</v>
      </c>
      <c r="BR324" s="22">
        <f>MONTH([1]!BANCO10[[#This Row],[DATA INÍCIO]])</f>
        <v>9</v>
      </c>
      <c r="BS324" s="129" t="e">
        <f>CONCATENATE(#REF!,#REF!)</f>
        <v>#REF!</v>
      </c>
      <c r="BT324" s="22"/>
      <c r="BU324" s="21" t="s">
        <v>570</v>
      </c>
      <c r="BV324" s="21" t="str">
        <f>IF([1]!BANCO10[[#This Row],[SOLUÇÃO]]=BV$1,[1]!BANCO10[[#This Row],[STATUS DA ETAPA]],"")</f>
        <v>CONCLUÍDO</v>
      </c>
      <c r="BW324" s="21" t="str">
        <f>IF([1]!BANCO10[[#This Row],[SOLUÇÃO]]=BW$1,[1]!BANCO10[[#This Row],[STATUS DA ETAPA]],"")</f>
        <v/>
      </c>
      <c r="BX324" s="21" t="str">
        <f>IF([1]!BANCO10[[#This Row],[SOLUÇÃO]]=BX$1,[1]!BANCO10[[#This Row],[STATUS DA ETAPA]],"")</f>
        <v/>
      </c>
      <c r="BY324" s="21" t="str">
        <f>IF([1]!BANCO10[[#This Row],[SOLUÇÃO]]=BY$1,[1]!BANCO10[[#This Row],[STATUS DA ETAPA]],"")</f>
        <v/>
      </c>
      <c r="BZ324" s="21" t="str">
        <f>IF([1]!BANCO10[[#This Row],[SOLUÇÃO]]=BZ$1,[1]!BANCO10[[#This Row],[STATUS DA ETAPA]],"")</f>
        <v/>
      </c>
      <c r="CA324" s="21" t="str">
        <f>IF([1]!BANCO10[[#This Row],[SOLUÇÃO]]=CA$1,[1]!BANCO10[[#This Row],[STATUS DA ETAPA]],"")</f>
        <v/>
      </c>
      <c r="CB324" s="21" t="str">
        <f>IF([1]!BANCO10[[#This Row],[SOLUÇÃO]]=CB$1,[1]!BANCO10[[#This Row],[STATUS DA ETAPA]],"")</f>
        <v/>
      </c>
      <c r="CC324" s="21" t="str">
        <f>IF([1]!BANCO10[[#This Row],[SOLUÇÃO]]=CC$1,[1]!BANCO10[[#This Row],[STATUS DA ETAPA]],"")</f>
        <v/>
      </c>
      <c r="CD324" s="21" t="str">
        <f>IF([1]!BANCO10[[#This Row],[SOLUÇÃO]]=CD$1,[1]!BANCO10[[#This Row],[STATUS DA ETAPA]],"")</f>
        <v/>
      </c>
      <c r="CE324" s="21" t="str">
        <f>IF([1]!BANCO10[[#This Row],[SOLUÇÃO]]=CE$1,[1]!BANCO10[[#This Row],[STATUS DA ETAPA]],"")</f>
        <v/>
      </c>
      <c r="CF324" s="21" t="str">
        <f>IF([1]!BANCO10[[#This Row],[SOLUÇÃO]]=CF$1,[1]!BANCO10[[#This Row],[STATUS DA ETAPA]],"")</f>
        <v/>
      </c>
      <c r="CG324" s="21" t="str">
        <f>IF([1]!BANCO10[[#This Row],[SOLUÇÃO]]=CG$1,[1]!BANCO10[[#This Row],[STATUS DA ETAPA]],"")</f>
        <v/>
      </c>
      <c r="CH324" s="21" t="str">
        <f>IF([1]!BANCO10[[#This Row],[SOLUÇÃO]]=CH$1,[1]!BANCO10[[#This Row],[STATUS DA ETAPA]],"")</f>
        <v/>
      </c>
      <c r="CI324" s="21" t="str">
        <f>IF([1]!BANCO10[[#This Row],[SOLUÇÃO]]=CI$1,[1]!BANCO10[[#This Row],[STATUS DA ETAPA]],"")</f>
        <v/>
      </c>
      <c r="CJ324" s="21" t="str">
        <f>IF([1]!BANCO10[[#This Row],[SOLUÇÃO]]=CJ$1,[1]!BANCO10[[#This Row],[STATUS DA ETAPA]],"")</f>
        <v/>
      </c>
      <c r="CK324" s="21" t="str">
        <f>IF([1]!BANCO10[[#This Row],[SOLUÇÃO]]=CK$1,[1]!BANCO10[[#This Row],[STATUS DA ETAPA]],"")</f>
        <v/>
      </c>
      <c r="CL324" s="21" t="str">
        <f>IF([1]!BANCO10[[#This Row],[SOLUÇÃO]]=CL$1,[1]!BANCO10[[#This Row],[STATUS DA ETAPA]],"")</f>
        <v/>
      </c>
      <c r="CM324" s="21" t="str">
        <f>IF([1]!BANCO10[[#This Row],[SOLUÇÃO]]=CM$1,[1]!BANCO10[[#This Row],[STATUS DA ETAPA]],"")</f>
        <v/>
      </c>
      <c r="CN324" s="21" t="str">
        <f>IF([1]!BANCO10[[#This Row],[SOLUÇÃO]]=CN$1,[1]!BANCO10[[#This Row],[STATUS DA ETAPA]],"")</f>
        <v/>
      </c>
      <c r="CO324" s="21" t="str">
        <f>IF([1]!BANCO10[[#This Row],[SOLUÇÃO]]=CO$1,[1]!BANCO10[[#This Row],[STATUS DA ETAPA]],"")</f>
        <v/>
      </c>
      <c r="CP324" s="21" t="str">
        <f>IF([1]!BANCO10[[#This Row],[SOLUÇÃO]]=CP$1,[1]!BANCO10[[#This Row],[STATUS DA ETAPA]],"")</f>
        <v/>
      </c>
      <c r="CQ324" s="21" t="str">
        <f>IF([1]!BANCO10[[#This Row],[SOLUÇÃO]]=CQ$1,[1]!BANCO10[[#This Row],[STATUS DA ETAPA]],"")</f>
        <v/>
      </c>
      <c r="CR324" s="21" t="str">
        <f>IF([1]!BANCO10[[#This Row],[SOLUÇÃO]]=CR$1,[1]!BANCO10[[#This Row],[STATUS DA ETAPA]],"")</f>
        <v/>
      </c>
      <c r="CS324" s="21" t="str">
        <f>IF([1]!BANCO10[[#This Row],[SOLUÇÃO]]=CS$1,[1]!BANCO10[[#This Row],[STATUS DA ETAPA]],"")</f>
        <v/>
      </c>
      <c r="CT324" s="21" t="str">
        <f>IF([1]!BANCO10[[#This Row],[SOLUÇÃO]]=CT$1,[1]!BANCO10[[#This Row],[STATUS DA ETAPA]],"")</f>
        <v/>
      </c>
      <c r="CU324" s="21" t="str">
        <f>IF([1]!BANCO10[[#This Row],[SOLUÇÃO]]=CU$1,[1]!BANCO10[[#This Row],[STATUS DA ETAPA]],"")</f>
        <v/>
      </c>
      <c r="CV324" s="21" t="str">
        <f>IF([1]!BANCO10[[#This Row],[SOLUÇÃO]]=CV$1,[1]!BANCO10[[#This Row],[STATUS DA ETAPA]],"")</f>
        <v/>
      </c>
    </row>
    <row r="325" spans="1:100">
      <c r="A325" s="44" t="s">
        <v>1</v>
      </c>
      <c r="B325" s="44"/>
      <c r="C325" s="44" t="s">
        <v>1</v>
      </c>
      <c r="D325" s="44"/>
      <c r="E325" s="44" t="s">
        <v>1</v>
      </c>
      <c r="F325" s="44"/>
      <c r="G325" s="44" t="s">
        <v>1</v>
      </c>
      <c r="H325" s="44"/>
      <c r="I325" s="45" t="s">
        <v>1</v>
      </c>
      <c r="J325" s="46"/>
      <c r="K325" s="45" t="s">
        <v>1</v>
      </c>
      <c r="L325" s="33"/>
      <c r="M325" s="45" t="s">
        <v>1</v>
      </c>
      <c r="N325" s="33"/>
      <c r="O325" s="44" t="s">
        <v>2</v>
      </c>
      <c r="P325" s="44">
        <v>44809</v>
      </c>
      <c r="Q325" s="44" t="s">
        <v>2</v>
      </c>
      <c r="R325" s="44">
        <v>44809</v>
      </c>
      <c r="S325" s="44" t="s">
        <v>2</v>
      </c>
      <c r="T325" s="44">
        <v>44809</v>
      </c>
      <c r="U325" s="44" t="s">
        <v>2</v>
      </c>
      <c r="V325" s="44">
        <v>45029</v>
      </c>
      <c r="W325" s="44" t="s">
        <v>2</v>
      </c>
      <c r="X325" s="44"/>
      <c r="Y325" s="44" t="s">
        <v>2</v>
      </c>
      <c r="Z325" s="44">
        <v>45029</v>
      </c>
      <c r="AA325" s="44" t="s">
        <v>2</v>
      </c>
      <c r="AB325" s="44"/>
      <c r="AC325" s="51">
        <v>44965</v>
      </c>
      <c r="AD325" s="50">
        <v>45029</v>
      </c>
      <c r="AE325" s="40" t="s">
        <v>2</v>
      </c>
      <c r="AF325" s="40" t="s">
        <v>2</v>
      </c>
      <c r="AG325" s="76" t="s">
        <v>5</v>
      </c>
      <c r="AH325" s="36" t="s">
        <v>0</v>
      </c>
      <c r="AI325" s="49">
        <v>0</v>
      </c>
      <c r="AJ325" s="36" t="s">
        <v>6</v>
      </c>
      <c r="AK325" s="10"/>
      <c r="AL325" s="36">
        <v>4728</v>
      </c>
      <c r="AM325" s="36"/>
      <c r="AN325" s="35" t="s">
        <v>1</v>
      </c>
      <c r="AO325" s="35" t="s">
        <v>1</v>
      </c>
      <c r="AP325" s="35" t="s">
        <v>2</v>
      </c>
      <c r="AQ325" s="35" t="s">
        <v>1</v>
      </c>
      <c r="AR325" s="34" t="s">
        <v>1</v>
      </c>
      <c r="AS325" s="33"/>
      <c r="AT325" s="32" t="s">
        <v>1</v>
      </c>
      <c r="AU325" s="31"/>
      <c r="AV325" s="32" t="s">
        <v>1</v>
      </c>
      <c r="AW325" s="31"/>
      <c r="AX325" s="30" t="s">
        <v>2</v>
      </c>
      <c r="AY325" s="55">
        <v>45042</v>
      </c>
      <c r="AZ325" s="30" t="s">
        <v>2</v>
      </c>
      <c r="BA325" s="55"/>
      <c r="BB325" s="74"/>
      <c r="BC325" s="25"/>
      <c r="BD325" s="24" t="s">
        <v>11</v>
      </c>
      <c r="BE325" s="24" t="s">
        <v>11</v>
      </c>
      <c r="BF325" s="24" t="s">
        <v>21</v>
      </c>
      <c r="BG325" s="24" t="s">
        <v>11</v>
      </c>
      <c r="BH325" s="130" t="s">
        <v>18</v>
      </c>
      <c r="BI325" s="24" t="s">
        <v>21</v>
      </c>
      <c r="BJ325" s="24" t="s">
        <v>11</v>
      </c>
      <c r="BK325" s="24" t="s">
        <v>11</v>
      </c>
      <c r="BL325" s="24" t="s">
        <v>11</v>
      </c>
      <c r="BM325" s="24" t="s">
        <v>11</v>
      </c>
      <c r="BN325" s="24" t="s">
        <v>11</v>
      </c>
      <c r="BO325" s="24" t="s">
        <v>11</v>
      </c>
      <c r="BP325" s="24" t="s">
        <v>11</v>
      </c>
      <c r="BQ325" s="22">
        <f>YEAR([1]!BANCO10[[#This Row],[DATA INÍCIO]])</f>
        <v>2023</v>
      </c>
      <c r="BR325" s="22">
        <f>MONTH([1]!BANCO10[[#This Row],[DATA INÍCIO]])</f>
        <v>2</v>
      </c>
      <c r="BS325" s="129" t="e">
        <f>CONCATENATE(#REF!,#REF!)</f>
        <v>#REF!</v>
      </c>
      <c r="BT325" s="22"/>
      <c r="BU325" s="21" t="s">
        <v>569</v>
      </c>
      <c r="BV325" s="21" t="str">
        <f>IF([1]!BANCO10[[#This Row],[SOLUÇÃO]]=BV$1,[1]!BANCO10[[#This Row],[STATUS DA ETAPA]],"")</f>
        <v/>
      </c>
      <c r="BW325" s="21" t="str">
        <f>IF([1]!BANCO10[[#This Row],[SOLUÇÃO]]=BW$1,[1]!BANCO10[[#This Row],[STATUS DA ETAPA]],"")</f>
        <v/>
      </c>
      <c r="BX325" s="21" t="str">
        <f>IF([1]!BANCO10[[#This Row],[SOLUÇÃO]]=BX$1,[1]!BANCO10[[#This Row],[STATUS DA ETAPA]],"")</f>
        <v/>
      </c>
      <c r="BY325" s="21" t="str">
        <f>IF([1]!BANCO10[[#This Row],[SOLUÇÃO]]=BY$1,[1]!BANCO10[[#This Row],[STATUS DA ETAPA]],"")</f>
        <v/>
      </c>
      <c r="BZ325" s="21" t="str">
        <f>IF([1]!BANCO10[[#This Row],[SOLUÇÃO]]=BZ$1,[1]!BANCO10[[#This Row],[STATUS DA ETAPA]],"")</f>
        <v/>
      </c>
      <c r="CA325" s="21" t="str">
        <f>IF([1]!BANCO10[[#This Row],[SOLUÇÃO]]=CA$1,[1]!BANCO10[[#This Row],[STATUS DA ETAPA]],"")</f>
        <v>CONCLUÍDO</v>
      </c>
      <c r="CB325" s="21" t="str">
        <f>IF([1]!BANCO10[[#This Row],[SOLUÇÃO]]=CB$1,[1]!BANCO10[[#This Row],[STATUS DA ETAPA]],"")</f>
        <v/>
      </c>
      <c r="CC325" s="21" t="str">
        <f>IF([1]!BANCO10[[#This Row],[SOLUÇÃO]]=CC$1,[1]!BANCO10[[#This Row],[STATUS DA ETAPA]],"")</f>
        <v/>
      </c>
      <c r="CD325" s="21" t="str">
        <f>IF([1]!BANCO10[[#This Row],[SOLUÇÃO]]=CD$1,[1]!BANCO10[[#This Row],[STATUS DA ETAPA]],"")</f>
        <v/>
      </c>
      <c r="CE325" s="21" t="str">
        <f>IF([1]!BANCO10[[#This Row],[SOLUÇÃO]]=CE$1,[1]!BANCO10[[#This Row],[STATUS DA ETAPA]],"")</f>
        <v/>
      </c>
      <c r="CF325" s="21" t="str">
        <f>IF([1]!BANCO10[[#This Row],[SOLUÇÃO]]=CF$1,[1]!BANCO10[[#This Row],[STATUS DA ETAPA]],"")</f>
        <v/>
      </c>
      <c r="CG325" s="21" t="str">
        <f>IF([1]!BANCO10[[#This Row],[SOLUÇÃO]]=CG$1,[1]!BANCO10[[#This Row],[STATUS DA ETAPA]],"")</f>
        <v/>
      </c>
      <c r="CH325" s="21" t="str">
        <f>IF([1]!BANCO10[[#This Row],[SOLUÇÃO]]=CH$1,[1]!BANCO10[[#This Row],[STATUS DA ETAPA]],"")</f>
        <v/>
      </c>
      <c r="CI325" s="21" t="str">
        <f>IF([1]!BANCO10[[#This Row],[SOLUÇÃO]]=CI$1,[1]!BANCO10[[#This Row],[STATUS DA ETAPA]],"")</f>
        <v/>
      </c>
      <c r="CJ325" s="21" t="str">
        <f>IF([1]!BANCO10[[#This Row],[SOLUÇÃO]]=CJ$1,[1]!BANCO10[[#This Row],[STATUS DA ETAPA]],"")</f>
        <v/>
      </c>
      <c r="CK325" s="21" t="str">
        <f>IF([1]!BANCO10[[#This Row],[SOLUÇÃO]]=CK$1,[1]!BANCO10[[#This Row],[STATUS DA ETAPA]],"")</f>
        <v/>
      </c>
      <c r="CL325" s="21" t="str">
        <f>IF([1]!BANCO10[[#This Row],[SOLUÇÃO]]=CL$1,[1]!BANCO10[[#This Row],[STATUS DA ETAPA]],"")</f>
        <v/>
      </c>
      <c r="CM325" s="21" t="str">
        <f>IF([1]!BANCO10[[#This Row],[SOLUÇÃO]]=CM$1,[1]!BANCO10[[#This Row],[STATUS DA ETAPA]],"")</f>
        <v/>
      </c>
      <c r="CN325" s="21" t="str">
        <f>IF([1]!BANCO10[[#This Row],[SOLUÇÃO]]=CN$1,[1]!BANCO10[[#This Row],[STATUS DA ETAPA]],"")</f>
        <v/>
      </c>
      <c r="CO325" s="21" t="str">
        <f>IF([1]!BANCO10[[#This Row],[SOLUÇÃO]]=CO$1,[1]!BANCO10[[#This Row],[STATUS DA ETAPA]],"")</f>
        <v/>
      </c>
      <c r="CP325" s="21" t="str">
        <f>IF([1]!BANCO10[[#This Row],[SOLUÇÃO]]=CP$1,[1]!BANCO10[[#This Row],[STATUS DA ETAPA]],"")</f>
        <v/>
      </c>
      <c r="CQ325" s="21" t="str">
        <f>IF([1]!BANCO10[[#This Row],[SOLUÇÃO]]=CQ$1,[1]!BANCO10[[#This Row],[STATUS DA ETAPA]],"")</f>
        <v/>
      </c>
      <c r="CR325" s="21" t="str">
        <f>IF([1]!BANCO10[[#This Row],[SOLUÇÃO]]=CR$1,[1]!BANCO10[[#This Row],[STATUS DA ETAPA]],"")</f>
        <v/>
      </c>
      <c r="CS325" s="21" t="str">
        <f>IF([1]!BANCO10[[#This Row],[SOLUÇÃO]]=CS$1,[1]!BANCO10[[#This Row],[STATUS DA ETAPA]],"")</f>
        <v/>
      </c>
      <c r="CT325" s="21" t="str">
        <f>IF([1]!BANCO10[[#This Row],[SOLUÇÃO]]=CT$1,[1]!BANCO10[[#This Row],[STATUS DA ETAPA]],"")</f>
        <v/>
      </c>
      <c r="CU325" s="21" t="str">
        <f>IF([1]!BANCO10[[#This Row],[SOLUÇÃO]]=CU$1,[1]!BANCO10[[#This Row],[STATUS DA ETAPA]],"")</f>
        <v/>
      </c>
      <c r="CV325" s="21" t="str">
        <f>IF([1]!BANCO10[[#This Row],[SOLUÇÃO]]=CV$1,[1]!BANCO10[[#This Row],[STATUS DA ETAPA]],"")</f>
        <v/>
      </c>
    </row>
    <row r="326" spans="1:100">
      <c r="A326" s="44" t="s">
        <v>1</v>
      </c>
      <c r="B326" s="44"/>
      <c r="C326" s="44" t="s">
        <v>1</v>
      </c>
      <c r="D326" s="44"/>
      <c r="E326" s="44" t="s">
        <v>1</v>
      </c>
      <c r="F326" s="44"/>
      <c r="G326" s="44" t="s">
        <v>1</v>
      </c>
      <c r="H326" s="44"/>
      <c r="I326" s="45" t="s">
        <v>1</v>
      </c>
      <c r="J326" s="46"/>
      <c r="K326" s="45" t="s">
        <v>1</v>
      </c>
      <c r="L326" s="33"/>
      <c r="M326" s="45" t="s">
        <v>1</v>
      </c>
      <c r="N326" s="33"/>
      <c r="O326" s="44" t="s">
        <v>2</v>
      </c>
      <c r="P326" s="44">
        <v>44809</v>
      </c>
      <c r="Q326" s="44" t="s">
        <v>2</v>
      </c>
      <c r="R326" s="44">
        <v>45379</v>
      </c>
      <c r="S326" s="44" t="s">
        <v>2</v>
      </c>
      <c r="T326" s="44">
        <v>45379</v>
      </c>
      <c r="U326" s="44" t="s">
        <v>2</v>
      </c>
      <c r="V326" s="44">
        <v>45379</v>
      </c>
      <c r="W326" s="44" t="s">
        <v>2</v>
      </c>
      <c r="X326" s="44"/>
      <c r="Y326" s="44" t="s">
        <v>2</v>
      </c>
      <c r="Z326" s="44">
        <v>45379</v>
      </c>
      <c r="AA326" s="44" t="s">
        <v>2</v>
      </c>
      <c r="AB326" s="44"/>
      <c r="AC326" s="51">
        <v>45400</v>
      </c>
      <c r="AD326" s="50">
        <v>45474</v>
      </c>
      <c r="AE326" s="40" t="s">
        <v>2</v>
      </c>
      <c r="AF326" s="41" t="s">
        <v>2</v>
      </c>
      <c r="AG326" s="76" t="s">
        <v>5</v>
      </c>
      <c r="AH326" s="36" t="s">
        <v>0</v>
      </c>
      <c r="AI326" s="49">
        <v>0</v>
      </c>
      <c r="AJ326" s="36" t="s">
        <v>6</v>
      </c>
      <c r="AK326" s="10"/>
      <c r="AL326" s="36">
        <v>4740</v>
      </c>
      <c r="AM326" s="36"/>
      <c r="AN326" s="35" t="s">
        <v>1</v>
      </c>
      <c r="AO326" s="35" t="s">
        <v>1</v>
      </c>
      <c r="AP326" s="35" t="s">
        <v>2</v>
      </c>
      <c r="AQ326" s="35" t="s">
        <v>1</v>
      </c>
      <c r="AR326" s="34" t="s">
        <v>1</v>
      </c>
      <c r="AS326" s="33"/>
      <c r="AT326" s="32" t="s">
        <v>1</v>
      </c>
      <c r="AU326" s="31"/>
      <c r="AV326" s="32" t="s">
        <v>1</v>
      </c>
      <c r="AW326" s="31"/>
      <c r="AX326" s="30" t="s">
        <v>2</v>
      </c>
      <c r="AY326" s="55">
        <v>45474</v>
      </c>
      <c r="AZ326" s="30" t="s">
        <v>2</v>
      </c>
      <c r="BA326" s="55">
        <v>45474</v>
      </c>
      <c r="BB326" s="74"/>
      <c r="BC326" s="25"/>
      <c r="BD326" s="24"/>
      <c r="BE326" s="24"/>
      <c r="BF326" s="24"/>
      <c r="BG326" s="24"/>
      <c r="BH326" s="130"/>
      <c r="BI326" s="24"/>
      <c r="BJ326" s="24"/>
      <c r="BK326" s="24"/>
      <c r="BL326" s="24">
        <v>45514</v>
      </c>
      <c r="BM326" s="24" t="s">
        <v>18</v>
      </c>
      <c r="BN326" s="24" t="s">
        <v>11</v>
      </c>
      <c r="BO326" s="24"/>
      <c r="BP326" s="24" t="s">
        <v>343</v>
      </c>
      <c r="BQ326" s="22">
        <f>YEAR([1]!BANCO10[[#This Row],[DATA INÍCIO]])</f>
        <v>2024</v>
      </c>
      <c r="BR326" s="22">
        <f>MONTH([1]!BANCO10[[#This Row],[DATA INÍCIO]])</f>
        <v>4</v>
      </c>
      <c r="BS326" s="129" t="e">
        <f>CONCATENATE(#REF!,#REF!)</f>
        <v>#REF!</v>
      </c>
      <c r="BT326" s="22"/>
      <c r="BU326" s="21" t="s">
        <v>568</v>
      </c>
      <c r="BV326" s="21" t="str">
        <f>IF([1]!BANCO10[[#This Row],[SOLUÇÃO]]=BV$1,[1]!BANCO10[[#This Row],[STATUS DA ETAPA]],"")</f>
        <v/>
      </c>
      <c r="BW326" s="21" t="str">
        <f>IF([1]!BANCO10[[#This Row],[SOLUÇÃO]]=BW$1,[1]!BANCO10[[#This Row],[STATUS DA ETAPA]],"")</f>
        <v/>
      </c>
      <c r="BX326" s="21" t="str">
        <f>IF([1]!BANCO10[[#This Row],[SOLUÇÃO]]=BX$1,[1]!BANCO10[[#This Row],[STATUS DA ETAPA]],"")</f>
        <v/>
      </c>
      <c r="BY326" s="21" t="str">
        <f>IF([1]!BANCO10[[#This Row],[SOLUÇÃO]]=BY$1,[1]!BANCO10[[#This Row],[STATUS DA ETAPA]],"")</f>
        <v/>
      </c>
      <c r="BZ326" s="21" t="str">
        <f>IF([1]!BANCO10[[#This Row],[SOLUÇÃO]]=BZ$1,[1]!BANCO10[[#This Row],[STATUS DA ETAPA]],"")</f>
        <v/>
      </c>
      <c r="CA326" s="21" t="str">
        <f>IF([1]!BANCO10[[#This Row],[SOLUÇÃO]]=CA$1,[1]!BANCO10[[#This Row],[STATUS DA ETAPA]],"")</f>
        <v/>
      </c>
      <c r="CB326" s="21" t="str">
        <f>IF([1]!BANCO10[[#This Row],[SOLUÇÃO]]=CB$1,[1]!BANCO10[[#This Row],[STATUS DA ETAPA]],"")</f>
        <v/>
      </c>
      <c r="CC326" s="21" t="str">
        <f>IF([1]!BANCO10[[#This Row],[SOLUÇÃO]]=CC$1,[1]!BANCO10[[#This Row],[STATUS DA ETAPA]],"")</f>
        <v/>
      </c>
      <c r="CD326" s="21" t="str">
        <f>IF([1]!BANCO10[[#This Row],[SOLUÇÃO]]=CD$1,[1]!BANCO10[[#This Row],[STATUS DA ETAPA]],"")</f>
        <v/>
      </c>
      <c r="CE326" s="21" t="str">
        <f>IF([1]!BANCO10[[#This Row],[SOLUÇÃO]]=CE$1,[1]!BANCO10[[#This Row],[STATUS DA ETAPA]],"")</f>
        <v/>
      </c>
      <c r="CF326" s="21" t="str">
        <f>IF([1]!BANCO10[[#This Row],[SOLUÇÃO]]=CF$1,[1]!BANCO10[[#This Row],[STATUS DA ETAPA]],"")</f>
        <v/>
      </c>
      <c r="CG326" s="21" t="str">
        <f>IF([1]!BANCO10[[#This Row],[SOLUÇÃO]]=CG$1,[1]!BANCO10[[#This Row],[STATUS DA ETAPA]],"")</f>
        <v/>
      </c>
      <c r="CH326" s="21" t="str">
        <f>IF([1]!BANCO10[[#This Row],[SOLUÇÃO]]=CH$1,[1]!BANCO10[[#This Row],[STATUS DA ETAPA]],"")</f>
        <v/>
      </c>
      <c r="CI326" s="21" t="str">
        <f>IF([1]!BANCO10[[#This Row],[SOLUÇÃO]]=CI$1,[1]!BANCO10[[#This Row],[STATUS DA ETAPA]],"")</f>
        <v/>
      </c>
      <c r="CJ326" s="21" t="str">
        <f>IF([1]!BANCO10[[#This Row],[SOLUÇÃO]]=CJ$1,[1]!BANCO10[[#This Row],[STATUS DA ETAPA]],"")</f>
        <v/>
      </c>
      <c r="CK326" s="21" t="str">
        <f>IF([1]!BANCO10[[#This Row],[SOLUÇÃO]]=CK$1,[1]!BANCO10[[#This Row],[STATUS DA ETAPA]],"")</f>
        <v/>
      </c>
      <c r="CL326" s="21" t="str">
        <f>IF([1]!BANCO10[[#This Row],[SOLUÇÃO]]=CL$1,[1]!BANCO10[[#This Row],[STATUS DA ETAPA]],"")</f>
        <v>CONCLUÍDO</v>
      </c>
      <c r="CM326" s="21" t="str">
        <f>IF([1]!BANCO10[[#This Row],[SOLUÇÃO]]=CM$1,[1]!BANCO10[[#This Row],[STATUS DA ETAPA]],"")</f>
        <v/>
      </c>
      <c r="CN326" s="21" t="str">
        <f>IF([1]!BANCO10[[#This Row],[SOLUÇÃO]]=CN$1,[1]!BANCO10[[#This Row],[STATUS DA ETAPA]],"")</f>
        <v/>
      </c>
      <c r="CO326" s="21" t="str">
        <f>IF([1]!BANCO10[[#This Row],[SOLUÇÃO]]=CO$1,[1]!BANCO10[[#This Row],[STATUS DA ETAPA]],"")</f>
        <v/>
      </c>
      <c r="CP326" s="21" t="str">
        <f>IF([1]!BANCO10[[#This Row],[SOLUÇÃO]]=CP$1,[1]!BANCO10[[#This Row],[STATUS DA ETAPA]],"")</f>
        <v/>
      </c>
      <c r="CQ326" s="21" t="str">
        <f>IF([1]!BANCO10[[#This Row],[SOLUÇÃO]]=CQ$1,[1]!BANCO10[[#This Row],[STATUS DA ETAPA]],"")</f>
        <v/>
      </c>
      <c r="CR326" s="21" t="str">
        <f>IF([1]!BANCO10[[#This Row],[SOLUÇÃO]]=CR$1,[1]!BANCO10[[#This Row],[STATUS DA ETAPA]],"")</f>
        <v/>
      </c>
      <c r="CS326" s="21" t="str">
        <f>IF([1]!BANCO10[[#This Row],[SOLUÇÃO]]=CS$1,[1]!BANCO10[[#This Row],[STATUS DA ETAPA]],"")</f>
        <v/>
      </c>
      <c r="CT326" s="21" t="str">
        <f>IF([1]!BANCO10[[#This Row],[SOLUÇÃO]]=CT$1,[1]!BANCO10[[#This Row],[STATUS DA ETAPA]],"")</f>
        <v/>
      </c>
      <c r="CU326" s="21" t="str">
        <f>IF([1]!BANCO10[[#This Row],[SOLUÇÃO]]=CU$1,[1]!BANCO10[[#This Row],[STATUS DA ETAPA]],"")</f>
        <v/>
      </c>
      <c r="CV326" s="21" t="str">
        <f>IF([1]!BANCO10[[#This Row],[SOLUÇÃO]]=CV$1,[1]!BANCO10[[#This Row],[STATUS DA ETAPA]],"")</f>
        <v/>
      </c>
    </row>
    <row r="327" spans="1:100">
      <c r="A327" s="44" t="s">
        <v>1</v>
      </c>
      <c r="B327" s="44"/>
      <c r="C327" s="44" t="s">
        <v>1</v>
      </c>
      <c r="D327" s="44"/>
      <c r="E327" s="44" t="s">
        <v>1</v>
      </c>
      <c r="F327" s="44"/>
      <c r="G327" s="44" t="s">
        <v>1</v>
      </c>
      <c r="H327" s="44"/>
      <c r="I327" s="45" t="s">
        <v>1</v>
      </c>
      <c r="J327" s="46"/>
      <c r="K327" s="45" t="s">
        <v>1</v>
      </c>
      <c r="L327" s="33"/>
      <c r="M327" s="45" t="s">
        <v>1</v>
      </c>
      <c r="N327" s="33"/>
      <c r="O327" s="44" t="s">
        <v>1</v>
      </c>
      <c r="P327" s="44"/>
      <c r="Q327" s="44" t="s">
        <v>1</v>
      </c>
      <c r="R327" s="44"/>
      <c r="S327" s="44" t="s">
        <v>1</v>
      </c>
      <c r="T327" s="44"/>
      <c r="U327" s="44" t="s">
        <v>1</v>
      </c>
      <c r="V327" s="44"/>
      <c r="W327" s="44" t="s">
        <v>1</v>
      </c>
      <c r="X327" s="44"/>
      <c r="Y327" s="44" t="s">
        <v>1</v>
      </c>
      <c r="Z327" s="44"/>
      <c r="AA327" s="44" t="s">
        <v>1</v>
      </c>
      <c r="AB327" s="44"/>
      <c r="AC327" s="51">
        <v>45307</v>
      </c>
      <c r="AD327" s="50">
        <v>45307</v>
      </c>
      <c r="AE327" s="40" t="s">
        <v>1</v>
      </c>
      <c r="AF327" s="40" t="s">
        <v>1</v>
      </c>
      <c r="AG327" s="76" t="s">
        <v>5</v>
      </c>
      <c r="AH327" s="36" t="s">
        <v>1</v>
      </c>
      <c r="AI327" s="49">
        <v>0</v>
      </c>
      <c r="AJ327" s="36" t="s">
        <v>1</v>
      </c>
      <c r="AK327" s="10" t="s">
        <v>1</v>
      </c>
      <c r="AL327" s="36" t="s">
        <v>1</v>
      </c>
      <c r="AM327" s="36" t="s">
        <v>1</v>
      </c>
      <c r="AN327" s="35" t="s">
        <v>1</v>
      </c>
      <c r="AO327" s="35" t="s">
        <v>1</v>
      </c>
      <c r="AP327" s="35" t="s">
        <v>1</v>
      </c>
      <c r="AQ327" s="35" t="s">
        <v>1</v>
      </c>
      <c r="AR327" s="82" t="s">
        <v>1</v>
      </c>
      <c r="AS327" s="33"/>
      <c r="AT327" s="32" t="s">
        <v>1</v>
      </c>
      <c r="AU327" s="31"/>
      <c r="AV327" s="32" t="s">
        <v>1</v>
      </c>
      <c r="AW327" s="31"/>
      <c r="AX327" s="30" t="s">
        <v>1</v>
      </c>
      <c r="AY327" s="55"/>
      <c r="AZ327" s="30" t="s">
        <v>1</v>
      </c>
      <c r="BA327" s="55"/>
      <c r="BB327" s="74" t="s">
        <v>15</v>
      </c>
      <c r="BC327" s="25" t="s">
        <v>14</v>
      </c>
      <c r="BD327" s="24"/>
      <c r="BE327" s="24"/>
      <c r="BF327" s="24"/>
      <c r="BG327" s="24"/>
      <c r="BH327" s="130"/>
      <c r="BI327" s="24"/>
      <c r="BJ327" s="24" t="s">
        <v>11</v>
      </c>
      <c r="BK327" s="24" t="s">
        <v>11</v>
      </c>
      <c r="BL327" s="24" t="s">
        <v>11</v>
      </c>
      <c r="BM327" s="24" t="s">
        <v>11</v>
      </c>
      <c r="BN327" s="24" t="s">
        <v>11</v>
      </c>
      <c r="BO327" s="24" t="s">
        <v>11</v>
      </c>
      <c r="BP327" s="24" t="s">
        <v>11</v>
      </c>
      <c r="BQ327" s="22">
        <f>YEAR([1]!BANCO10[[#This Row],[DATA INÍCIO]])</f>
        <v>2024</v>
      </c>
      <c r="BR327" s="22">
        <f>MONTH([1]!BANCO10[[#This Row],[DATA INÍCIO]])</f>
        <v>1</v>
      </c>
      <c r="BS327" s="129" t="e">
        <f>CONCATENATE(#REF!,#REF!)</f>
        <v>#REF!</v>
      </c>
      <c r="BT327" s="22"/>
      <c r="BU327" s="21" t="s">
        <v>567</v>
      </c>
      <c r="BV327" s="21" t="str">
        <f>IF([1]!BANCO10[[#This Row],[SOLUÇÃO]]=BV$1,[1]!BANCO10[[#This Row],[STATUS DA ETAPA]],"")</f>
        <v>CONCLUÍDO</v>
      </c>
      <c r="BW327" s="21" t="str">
        <f>IF([1]!BANCO10[[#This Row],[SOLUÇÃO]]=BW$1,[1]!BANCO10[[#This Row],[STATUS DA ETAPA]],"")</f>
        <v/>
      </c>
      <c r="BX327" s="21" t="str">
        <f>IF([1]!BANCO10[[#This Row],[SOLUÇÃO]]=BX$1,[1]!BANCO10[[#This Row],[STATUS DA ETAPA]],"")</f>
        <v/>
      </c>
      <c r="BY327" s="21" t="str">
        <f>IF([1]!BANCO10[[#This Row],[SOLUÇÃO]]=BY$1,[1]!BANCO10[[#This Row],[STATUS DA ETAPA]],"")</f>
        <v/>
      </c>
      <c r="BZ327" s="21" t="str">
        <f>IF([1]!BANCO10[[#This Row],[SOLUÇÃO]]=BZ$1,[1]!BANCO10[[#This Row],[STATUS DA ETAPA]],"")</f>
        <v/>
      </c>
      <c r="CA327" s="21" t="str">
        <f>IF([1]!BANCO10[[#This Row],[SOLUÇÃO]]=CA$1,[1]!BANCO10[[#This Row],[STATUS DA ETAPA]],"")</f>
        <v/>
      </c>
      <c r="CB327" s="21" t="str">
        <f>IF([1]!BANCO10[[#This Row],[SOLUÇÃO]]=CB$1,[1]!BANCO10[[#This Row],[STATUS DA ETAPA]],"")</f>
        <v/>
      </c>
      <c r="CC327" s="21" t="str">
        <f>IF([1]!BANCO10[[#This Row],[SOLUÇÃO]]=CC$1,[1]!BANCO10[[#This Row],[STATUS DA ETAPA]],"")</f>
        <v/>
      </c>
      <c r="CD327" s="21" t="str">
        <f>IF([1]!BANCO10[[#This Row],[SOLUÇÃO]]=CD$1,[1]!BANCO10[[#This Row],[STATUS DA ETAPA]],"")</f>
        <v/>
      </c>
      <c r="CE327" s="21" t="str">
        <f>IF([1]!BANCO10[[#This Row],[SOLUÇÃO]]=CE$1,[1]!BANCO10[[#This Row],[STATUS DA ETAPA]],"")</f>
        <v/>
      </c>
      <c r="CF327" s="21" t="str">
        <f>IF([1]!BANCO10[[#This Row],[SOLUÇÃO]]=CF$1,[1]!BANCO10[[#This Row],[STATUS DA ETAPA]],"")</f>
        <v/>
      </c>
      <c r="CG327" s="21" t="str">
        <f>IF([1]!BANCO10[[#This Row],[SOLUÇÃO]]=CG$1,[1]!BANCO10[[#This Row],[STATUS DA ETAPA]],"")</f>
        <v/>
      </c>
      <c r="CH327" s="21" t="str">
        <f>IF([1]!BANCO10[[#This Row],[SOLUÇÃO]]=CH$1,[1]!BANCO10[[#This Row],[STATUS DA ETAPA]],"")</f>
        <v/>
      </c>
      <c r="CI327" s="21" t="str">
        <f>IF([1]!BANCO10[[#This Row],[SOLUÇÃO]]=CI$1,[1]!BANCO10[[#This Row],[STATUS DA ETAPA]],"")</f>
        <v/>
      </c>
      <c r="CJ327" s="21" t="str">
        <f>IF([1]!BANCO10[[#This Row],[SOLUÇÃO]]=CJ$1,[1]!BANCO10[[#This Row],[STATUS DA ETAPA]],"")</f>
        <v/>
      </c>
      <c r="CK327" s="21" t="str">
        <f>IF([1]!BANCO10[[#This Row],[SOLUÇÃO]]=CK$1,[1]!BANCO10[[#This Row],[STATUS DA ETAPA]],"")</f>
        <v/>
      </c>
      <c r="CL327" s="21" t="str">
        <f>IF([1]!BANCO10[[#This Row],[SOLUÇÃO]]=CL$1,[1]!BANCO10[[#This Row],[STATUS DA ETAPA]],"")</f>
        <v/>
      </c>
      <c r="CM327" s="21" t="str">
        <f>IF([1]!BANCO10[[#This Row],[SOLUÇÃO]]=CM$1,[1]!BANCO10[[#This Row],[STATUS DA ETAPA]],"")</f>
        <v/>
      </c>
      <c r="CN327" s="21" t="str">
        <f>IF([1]!BANCO10[[#This Row],[SOLUÇÃO]]=CN$1,[1]!BANCO10[[#This Row],[STATUS DA ETAPA]],"")</f>
        <v/>
      </c>
      <c r="CO327" s="21" t="str">
        <f>IF([1]!BANCO10[[#This Row],[SOLUÇÃO]]=CO$1,[1]!BANCO10[[#This Row],[STATUS DA ETAPA]],"")</f>
        <v/>
      </c>
      <c r="CP327" s="21" t="str">
        <f>IF([1]!BANCO10[[#This Row],[SOLUÇÃO]]=CP$1,[1]!BANCO10[[#This Row],[STATUS DA ETAPA]],"")</f>
        <v/>
      </c>
      <c r="CQ327" s="21" t="str">
        <f>IF([1]!BANCO10[[#This Row],[SOLUÇÃO]]=CQ$1,[1]!BANCO10[[#This Row],[STATUS DA ETAPA]],"")</f>
        <v/>
      </c>
      <c r="CR327" s="21" t="str">
        <f>IF([1]!BANCO10[[#This Row],[SOLUÇÃO]]=CR$1,[1]!BANCO10[[#This Row],[STATUS DA ETAPA]],"")</f>
        <v/>
      </c>
      <c r="CS327" s="21" t="str">
        <f>IF([1]!BANCO10[[#This Row],[SOLUÇÃO]]=CS$1,[1]!BANCO10[[#This Row],[STATUS DA ETAPA]],"")</f>
        <v/>
      </c>
      <c r="CT327" s="21" t="str">
        <f>IF([1]!BANCO10[[#This Row],[SOLUÇÃO]]=CT$1,[1]!BANCO10[[#This Row],[STATUS DA ETAPA]],"")</f>
        <v/>
      </c>
      <c r="CU327" s="21" t="str">
        <f>IF([1]!BANCO10[[#This Row],[SOLUÇÃO]]=CU$1,[1]!BANCO10[[#This Row],[STATUS DA ETAPA]],"")</f>
        <v/>
      </c>
      <c r="CV327" s="21" t="str">
        <f>IF([1]!BANCO10[[#This Row],[SOLUÇÃO]]=CV$1,[1]!BANCO10[[#This Row],[STATUS DA ETAPA]],"")</f>
        <v/>
      </c>
    </row>
    <row r="328" spans="1:100">
      <c r="A328" s="44" t="s">
        <v>1</v>
      </c>
      <c r="B328" s="44"/>
      <c r="C328" s="44" t="s">
        <v>1</v>
      </c>
      <c r="D328" s="44"/>
      <c r="E328" s="44" t="s">
        <v>1</v>
      </c>
      <c r="F328" s="44"/>
      <c r="G328" s="44" t="s">
        <v>1</v>
      </c>
      <c r="H328" s="44"/>
      <c r="I328" s="45" t="s">
        <v>1</v>
      </c>
      <c r="J328" s="46"/>
      <c r="K328" s="45" t="s">
        <v>1</v>
      </c>
      <c r="L328" s="33"/>
      <c r="M328" s="45" t="s">
        <v>1</v>
      </c>
      <c r="N328" s="33"/>
      <c r="O328" s="44" t="s">
        <v>2</v>
      </c>
      <c r="P328" s="44">
        <v>45013</v>
      </c>
      <c r="Q328" s="44"/>
      <c r="R328" s="44"/>
      <c r="S328" s="44"/>
      <c r="T328" s="44"/>
      <c r="U328" s="44" t="s">
        <v>1</v>
      </c>
      <c r="V328" s="44"/>
      <c r="W328" s="44" t="s">
        <v>1</v>
      </c>
      <c r="X328" s="44"/>
      <c r="Y328" s="44" t="s">
        <v>1</v>
      </c>
      <c r="Z328" s="44"/>
      <c r="AA328" s="44" t="s">
        <v>1</v>
      </c>
      <c r="AB328" s="44"/>
      <c r="AC328" s="51">
        <v>45963</v>
      </c>
      <c r="AD328" s="50">
        <v>45963</v>
      </c>
      <c r="AE328" s="41" t="s">
        <v>1</v>
      </c>
      <c r="AF328" s="41" t="s">
        <v>1</v>
      </c>
      <c r="AG328" s="76" t="s">
        <v>5</v>
      </c>
      <c r="AH328" s="36" t="s">
        <v>0</v>
      </c>
      <c r="AI328" s="49">
        <v>0</v>
      </c>
      <c r="AJ328" s="36"/>
      <c r="AK328" s="10" t="s">
        <v>30</v>
      </c>
      <c r="AL328" s="36" t="s">
        <v>30</v>
      </c>
      <c r="AM328" s="36" t="s">
        <v>30</v>
      </c>
      <c r="AN328" s="35" t="s">
        <v>1</v>
      </c>
      <c r="AO328" s="35" t="s">
        <v>1</v>
      </c>
      <c r="AP328" s="35"/>
      <c r="AQ328" s="35" t="s">
        <v>1</v>
      </c>
      <c r="AR328" s="34" t="s">
        <v>1</v>
      </c>
      <c r="AS328" s="33"/>
      <c r="AT328" s="32"/>
      <c r="AU328" s="31"/>
      <c r="AV328" s="32"/>
      <c r="AW328" s="31"/>
      <c r="AX328" s="30" t="s">
        <v>0</v>
      </c>
      <c r="AY328" s="29"/>
      <c r="AZ328" s="28" t="s">
        <v>0</v>
      </c>
      <c r="BA328" s="27"/>
      <c r="BB328" s="74"/>
      <c r="BC328" s="25"/>
      <c r="BD328" s="24" t="s">
        <v>11</v>
      </c>
      <c r="BE328" s="24" t="s">
        <v>11</v>
      </c>
      <c r="BF328" s="24" t="s">
        <v>19</v>
      </c>
      <c r="BG328" s="24" t="s">
        <v>11</v>
      </c>
      <c r="BH328" s="130" t="s">
        <v>19</v>
      </c>
      <c r="BI328" s="24"/>
      <c r="BJ328" s="24" t="s">
        <v>11</v>
      </c>
      <c r="BK328" s="24" t="s">
        <v>11</v>
      </c>
      <c r="BL328" s="24">
        <v>45402</v>
      </c>
      <c r="BM328" s="24"/>
      <c r="BN328" s="24" t="s">
        <v>11</v>
      </c>
      <c r="BO328" s="24"/>
      <c r="BP328" s="24" t="s">
        <v>566</v>
      </c>
      <c r="BQ328" s="22">
        <f>YEAR([1]!BANCO10[[#This Row],[DATA INÍCIO]])</f>
        <v>2025</v>
      </c>
      <c r="BR328" s="22">
        <f>MONTH([1]!BANCO10[[#This Row],[DATA INÍCIO]])</f>
        <v>11</v>
      </c>
      <c r="BS328" s="129" t="e">
        <f>CONCATENATE(#REF!,#REF!)</f>
        <v>#REF!</v>
      </c>
      <c r="BT328" s="22"/>
      <c r="BU328" s="21" t="s">
        <v>30</v>
      </c>
      <c r="BV328" s="21" t="str">
        <f>IF([1]!BANCO10[[#This Row],[SOLUÇÃO]]=BV$1,[1]!BANCO10[[#This Row],[STATUS DA ETAPA]],"")</f>
        <v/>
      </c>
      <c r="BW328" s="21" t="str">
        <f>IF([1]!BANCO10[[#This Row],[SOLUÇÃO]]=BW$1,[1]!BANCO10[[#This Row],[STATUS DA ETAPA]],"")</f>
        <v/>
      </c>
      <c r="BX328" s="21" t="str">
        <f>IF([1]!BANCO10[[#This Row],[SOLUÇÃO]]=BX$1,[1]!BANCO10[[#This Row],[STATUS DA ETAPA]],"")</f>
        <v/>
      </c>
      <c r="BY328" s="21" t="str">
        <f>IF([1]!BANCO10[[#This Row],[SOLUÇÃO]]=BY$1,[1]!BANCO10[[#This Row],[STATUS DA ETAPA]],"")</f>
        <v/>
      </c>
      <c r="BZ328" s="21" t="str">
        <f>IF([1]!BANCO10[[#This Row],[SOLUÇÃO]]=BZ$1,[1]!BANCO10[[#This Row],[STATUS DA ETAPA]],"")</f>
        <v/>
      </c>
      <c r="CA328" s="21" t="str">
        <f>IF([1]!BANCO10[[#This Row],[SOLUÇÃO]]=CA$1,[1]!BANCO10[[#This Row],[STATUS DA ETAPA]],"")</f>
        <v/>
      </c>
      <c r="CB328" s="21" t="str">
        <f>IF([1]!BANCO10[[#This Row],[SOLUÇÃO]]=CB$1,[1]!BANCO10[[#This Row],[STATUS DA ETAPA]],"")</f>
        <v/>
      </c>
      <c r="CC328" s="21" t="str">
        <f>IF([1]!BANCO10[[#This Row],[SOLUÇÃO]]=CC$1,[1]!BANCO10[[#This Row],[STATUS DA ETAPA]],"")</f>
        <v/>
      </c>
      <c r="CD328" s="21" t="str">
        <f>IF([1]!BANCO10[[#This Row],[SOLUÇÃO]]=CD$1,[1]!BANCO10[[#This Row],[STATUS DA ETAPA]],"")</f>
        <v/>
      </c>
      <c r="CE328" s="21" t="str">
        <f>IF([1]!BANCO10[[#This Row],[SOLUÇÃO]]=CE$1,[1]!BANCO10[[#This Row],[STATUS DA ETAPA]],"")</f>
        <v/>
      </c>
      <c r="CF328" s="21" t="str">
        <f>IF([1]!BANCO10[[#This Row],[SOLUÇÃO]]=CF$1,[1]!BANCO10[[#This Row],[STATUS DA ETAPA]],"")</f>
        <v/>
      </c>
      <c r="CG328" s="21" t="str">
        <f>IF([1]!BANCO10[[#This Row],[SOLUÇÃO]]=CG$1,[1]!BANCO10[[#This Row],[STATUS DA ETAPA]],"")</f>
        <v/>
      </c>
      <c r="CH328" s="21" t="str">
        <f>IF([1]!BANCO10[[#This Row],[SOLUÇÃO]]=CH$1,[1]!BANCO10[[#This Row],[STATUS DA ETAPA]],"")</f>
        <v/>
      </c>
      <c r="CI328" s="21" t="str">
        <f>IF([1]!BANCO10[[#This Row],[SOLUÇÃO]]=CI$1,[1]!BANCO10[[#This Row],[STATUS DA ETAPA]],"")</f>
        <v/>
      </c>
      <c r="CJ328" s="21" t="str">
        <f>IF([1]!BANCO10[[#This Row],[SOLUÇÃO]]=CJ$1,[1]!BANCO10[[#This Row],[STATUS DA ETAPA]],"")</f>
        <v/>
      </c>
      <c r="CK328" s="21" t="str">
        <f>IF([1]!BANCO10[[#This Row],[SOLUÇÃO]]=CK$1,[1]!BANCO10[[#This Row],[STATUS DA ETAPA]],"")</f>
        <v/>
      </c>
      <c r="CL328" s="21" t="str">
        <f>IF([1]!BANCO10[[#This Row],[SOLUÇÃO]]=CL$1,[1]!BANCO10[[#This Row],[STATUS DA ETAPA]],"")</f>
        <v/>
      </c>
      <c r="CM328" s="21" t="str">
        <f>IF([1]!BANCO10[[#This Row],[SOLUÇÃO]]=CM$1,[1]!BANCO10[[#This Row],[STATUS DA ETAPA]],"")</f>
        <v/>
      </c>
      <c r="CN328" s="21" t="str">
        <f>IF([1]!BANCO10[[#This Row],[SOLUÇÃO]]=CN$1,[1]!BANCO10[[#This Row],[STATUS DA ETAPA]],"")</f>
        <v>PROSPECÇÃO</v>
      </c>
      <c r="CO328" s="21" t="str">
        <f>IF([1]!BANCO10[[#This Row],[SOLUÇÃO]]=CO$1,[1]!BANCO10[[#This Row],[STATUS DA ETAPA]],"")</f>
        <v/>
      </c>
      <c r="CP328" s="21" t="str">
        <f>IF([1]!BANCO10[[#This Row],[SOLUÇÃO]]=CP$1,[1]!BANCO10[[#This Row],[STATUS DA ETAPA]],"")</f>
        <v/>
      </c>
      <c r="CQ328" s="21" t="str">
        <f>IF([1]!BANCO10[[#This Row],[SOLUÇÃO]]=CQ$1,[1]!BANCO10[[#This Row],[STATUS DA ETAPA]],"")</f>
        <v/>
      </c>
      <c r="CR328" s="21" t="str">
        <f>IF([1]!BANCO10[[#This Row],[SOLUÇÃO]]=CR$1,[1]!BANCO10[[#This Row],[STATUS DA ETAPA]],"")</f>
        <v/>
      </c>
      <c r="CS328" s="21" t="str">
        <f>IF([1]!BANCO10[[#This Row],[SOLUÇÃO]]=CS$1,[1]!BANCO10[[#This Row],[STATUS DA ETAPA]],"")</f>
        <v/>
      </c>
      <c r="CT328" s="21" t="str">
        <f>IF([1]!BANCO10[[#This Row],[SOLUÇÃO]]=CT$1,[1]!BANCO10[[#This Row],[STATUS DA ETAPA]],"")</f>
        <v/>
      </c>
      <c r="CU328" s="21" t="str">
        <f>IF([1]!BANCO10[[#This Row],[SOLUÇÃO]]=CU$1,[1]!BANCO10[[#This Row],[STATUS DA ETAPA]],"")</f>
        <v/>
      </c>
      <c r="CV328" s="21" t="str">
        <f>IF([1]!BANCO10[[#This Row],[SOLUÇÃO]]=CV$1,[1]!BANCO10[[#This Row],[STATUS DA ETAPA]],"")</f>
        <v/>
      </c>
    </row>
    <row r="329" spans="1:100">
      <c r="A329" s="44" t="s">
        <v>2</v>
      </c>
      <c r="B329" s="44">
        <v>45757</v>
      </c>
      <c r="C329" s="44" t="s">
        <v>2</v>
      </c>
      <c r="D329" s="44">
        <v>45757</v>
      </c>
      <c r="E329" s="44" t="s">
        <v>2</v>
      </c>
      <c r="F329" s="44">
        <v>45757</v>
      </c>
      <c r="G329" s="44" t="s">
        <v>2</v>
      </c>
      <c r="H329" s="44">
        <v>45757</v>
      </c>
      <c r="I329" s="45" t="s">
        <v>2</v>
      </c>
      <c r="J329" s="46">
        <v>45757</v>
      </c>
      <c r="K329" s="45" t="s">
        <v>0</v>
      </c>
      <c r="L329" s="33"/>
      <c r="M329" s="45" t="s">
        <v>0</v>
      </c>
      <c r="N329" s="33"/>
      <c r="O329" s="44" t="s">
        <v>1</v>
      </c>
      <c r="P329" s="44"/>
      <c r="Q329" s="44" t="s">
        <v>1</v>
      </c>
      <c r="R329" s="44"/>
      <c r="S329" s="44" t="s">
        <v>2</v>
      </c>
      <c r="T329" s="44">
        <v>45708</v>
      </c>
      <c r="U329" s="44" t="s">
        <v>1</v>
      </c>
      <c r="V329" s="44"/>
      <c r="W329" s="44" t="s">
        <v>1</v>
      </c>
      <c r="X329" s="44"/>
      <c r="Y329" s="44" t="s">
        <v>1</v>
      </c>
      <c r="Z329" s="44"/>
      <c r="AA329" s="44" t="s">
        <v>1</v>
      </c>
      <c r="AB329" s="44"/>
      <c r="AC329" s="51">
        <v>46022</v>
      </c>
      <c r="AD329" s="50">
        <v>46022</v>
      </c>
      <c r="AE329" s="41" t="s">
        <v>0</v>
      </c>
      <c r="AF329" s="41" t="s">
        <v>0</v>
      </c>
      <c r="AG329" s="40" t="s">
        <v>5</v>
      </c>
      <c r="AH329" s="36" t="s">
        <v>0</v>
      </c>
      <c r="AI329" s="49">
        <v>20140</v>
      </c>
      <c r="AJ329" s="36" t="s">
        <v>3</v>
      </c>
      <c r="AK329" s="21">
        <v>678852</v>
      </c>
      <c r="AL329" s="36" t="s">
        <v>1</v>
      </c>
      <c r="AM329" s="36" t="s">
        <v>1</v>
      </c>
      <c r="AN329" s="52" t="s">
        <v>0</v>
      </c>
      <c r="AO329" s="52" t="s">
        <v>0</v>
      </c>
      <c r="AP329" s="52" t="s">
        <v>0</v>
      </c>
      <c r="AQ329" s="52" t="s">
        <v>0</v>
      </c>
      <c r="AR329" s="34" t="s">
        <v>0</v>
      </c>
      <c r="AS329" s="33"/>
      <c r="AT329" s="32" t="s">
        <v>0</v>
      </c>
      <c r="AU329" s="31"/>
      <c r="AV329" s="32" t="s">
        <v>0</v>
      </c>
      <c r="AW329" s="31"/>
      <c r="AX329" s="32" t="s">
        <v>0</v>
      </c>
      <c r="AY329" s="31"/>
      <c r="AZ329" s="32" t="s">
        <v>0</v>
      </c>
      <c r="BA329" s="31"/>
      <c r="BB329" s="26" t="s">
        <v>7</v>
      </c>
      <c r="BC329" s="25"/>
      <c r="BD329" s="24"/>
      <c r="BE329" s="24"/>
      <c r="BF329" s="24"/>
      <c r="BG329" s="24"/>
      <c r="BH329" s="24"/>
      <c r="BI329" s="24"/>
      <c r="BJ329" s="24"/>
      <c r="BK329" s="24"/>
      <c r="BL329" s="24"/>
      <c r="BM329" s="24"/>
      <c r="BN329" s="24"/>
      <c r="BO329" s="24"/>
      <c r="BP329" s="24"/>
      <c r="BQ329" s="22">
        <f>YEAR([1]!BANCO10[[#This Row],[DATA INÍCIO]])</f>
        <v>2025</v>
      </c>
      <c r="BR329" s="22">
        <f>MONTH([1]!BANCO10[[#This Row],[DATA INÍCIO]])</f>
        <v>12</v>
      </c>
      <c r="BS329" s="23" t="e">
        <f>CONCATENATE(#REF!,#REF!)</f>
        <v>#REF!</v>
      </c>
      <c r="BT329" s="22"/>
      <c r="BU329" s="22"/>
      <c r="BV329" s="21" t="str">
        <f>IF([1]!BANCO10[[#This Row],[SOLUÇÃO]]=BV$1,[1]!BANCO10[[#This Row],[STATUS DA ETAPA]],"")</f>
        <v/>
      </c>
      <c r="BW329" s="21" t="str">
        <f>IF([1]!BANCO10[[#This Row],[SOLUÇÃO]]=BW$1,[1]!BANCO10[[#This Row],[STATUS DA ETAPA]],"")</f>
        <v/>
      </c>
      <c r="BX329" s="21" t="str">
        <f>IF([1]!BANCO10[[#This Row],[SOLUÇÃO]]=BX$1,[1]!BANCO10[[#This Row],[STATUS DA ETAPA]],"")</f>
        <v/>
      </c>
      <c r="BY329" s="21" t="str">
        <f>IF([1]!BANCO10[[#This Row],[SOLUÇÃO]]=BY$1,[1]!BANCO10[[#This Row],[STATUS DA ETAPA]],"")</f>
        <v/>
      </c>
      <c r="BZ329" s="21" t="str">
        <f>IF([1]!BANCO10[[#This Row],[SOLUÇÃO]]=BZ$1,[1]!BANCO10[[#This Row],[STATUS DA ETAPA]],"")</f>
        <v/>
      </c>
      <c r="CA329" s="21" t="str">
        <f>IF([1]!BANCO10[[#This Row],[SOLUÇÃO]]=CA$1,[1]!BANCO10[[#This Row],[STATUS DA ETAPA]],"")</f>
        <v/>
      </c>
      <c r="CB329" s="21" t="str">
        <f>IF([1]!BANCO10[[#This Row],[SOLUÇÃO]]=CB$1,[1]!BANCO10[[#This Row],[STATUS DA ETAPA]],"")</f>
        <v>AGUARDANDO SALDO</v>
      </c>
      <c r="CC329" s="21" t="str">
        <f>IF([1]!BANCO10[[#This Row],[SOLUÇÃO]]=CC$1,[1]!BANCO10[[#This Row],[STATUS DA ETAPA]],"")</f>
        <v/>
      </c>
      <c r="CD329" s="21" t="str">
        <f>IF([1]!BANCO10[[#This Row],[SOLUÇÃO]]=CD$1,[1]!BANCO10[[#This Row],[STATUS DA ETAPA]],"")</f>
        <v/>
      </c>
      <c r="CE329" s="21" t="str">
        <f>IF([1]!BANCO10[[#This Row],[SOLUÇÃO]]=CE$1,[1]!BANCO10[[#This Row],[STATUS DA ETAPA]],"")</f>
        <v/>
      </c>
      <c r="CF329" s="21" t="str">
        <f>IF([1]!BANCO10[[#This Row],[SOLUÇÃO]]=CF$1,[1]!BANCO10[[#This Row],[STATUS DA ETAPA]],"")</f>
        <v/>
      </c>
      <c r="CG329" s="21" t="str">
        <f>IF([1]!BANCO10[[#This Row],[SOLUÇÃO]]=CG$1,[1]!BANCO10[[#This Row],[STATUS DA ETAPA]],"")</f>
        <v/>
      </c>
      <c r="CH329" s="21" t="str">
        <f>IF([1]!BANCO10[[#This Row],[SOLUÇÃO]]=CH$1,[1]!BANCO10[[#This Row],[STATUS DA ETAPA]],"")</f>
        <v/>
      </c>
      <c r="CI329" s="21" t="str">
        <f>IF([1]!BANCO10[[#This Row],[SOLUÇÃO]]=CI$1,[1]!BANCO10[[#This Row],[STATUS DA ETAPA]],"")</f>
        <v/>
      </c>
      <c r="CJ329" s="21" t="str">
        <f>IF([1]!BANCO10[[#This Row],[SOLUÇÃO]]=CJ$1,[1]!BANCO10[[#This Row],[STATUS DA ETAPA]],"")</f>
        <v/>
      </c>
      <c r="CK329" s="21" t="str">
        <f>IF([1]!BANCO10[[#This Row],[SOLUÇÃO]]=CK$1,[1]!BANCO10[[#This Row],[STATUS DA ETAPA]],"")</f>
        <v/>
      </c>
      <c r="CL329" s="21" t="str">
        <f>IF([1]!BANCO10[[#This Row],[SOLUÇÃO]]=CL$1,[1]!BANCO10[[#This Row],[STATUS DA ETAPA]],"")</f>
        <v/>
      </c>
      <c r="CM329" s="21" t="str">
        <f>IF([1]!BANCO10[[#This Row],[SOLUÇÃO]]=CM$1,[1]!BANCO10[[#This Row],[STATUS DA ETAPA]],"")</f>
        <v/>
      </c>
      <c r="CN329" s="21" t="str">
        <f>IF([1]!BANCO10[[#This Row],[SOLUÇÃO]]=CN$1,[1]!BANCO10[[#This Row],[STATUS DA ETAPA]],"")</f>
        <v/>
      </c>
      <c r="CO329" s="21" t="str">
        <f>IF([1]!BANCO10[[#This Row],[SOLUÇÃO]]=CO$1,[1]!BANCO10[[#This Row],[STATUS DA ETAPA]],"")</f>
        <v/>
      </c>
      <c r="CP329" s="21" t="str">
        <f>IF([1]!BANCO10[[#This Row],[SOLUÇÃO]]=CP$1,[1]!BANCO10[[#This Row],[STATUS DA ETAPA]],"")</f>
        <v/>
      </c>
      <c r="CQ329" s="21" t="str">
        <f>IF([1]!BANCO10[[#This Row],[SOLUÇÃO]]=CQ$1,[1]!BANCO10[[#This Row],[STATUS DA ETAPA]],"")</f>
        <v/>
      </c>
      <c r="CR329" s="21" t="str">
        <f>IF([1]!BANCO10[[#This Row],[SOLUÇÃO]]=CR$1,[1]!BANCO10[[#This Row],[STATUS DA ETAPA]],"")</f>
        <v/>
      </c>
      <c r="CS329" s="21" t="str">
        <f>IF([1]!BANCO10[[#This Row],[SOLUÇÃO]]=CS$1,[1]!BANCO10[[#This Row],[STATUS DA ETAPA]],"")</f>
        <v/>
      </c>
      <c r="CT329" s="21" t="str">
        <f>IF([1]!BANCO10[[#This Row],[SOLUÇÃO]]=CT$1,[1]!BANCO10[[#This Row],[STATUS DA ETAPA]],"")</f>
        <v/>
      </c>
      <c r="CU329" s="21" t="str">
        <f>IF([1]!BANCO10[[#This Row],[SOLUÇÃO]]=CU$1,[1]!BANCO10[[#This Row],[STATUS DA ETAPA]],"")</f>
        <v/>
      </c>
      <c r="CV329" s="21" t="str">
        <f>IF([1]!BANCO10[[#This Row],[SOLUÇÃO]]=CV$1,[1]!BANCO10[[#This Row],[STATUS DA ETAPA]],"")</f>
        <v/>
      </c>
    </row>
    <row r="330" spans="1:100">
      <c r="A330" s="44" t="s">
        <v>1</v>
      </c>
      <c r="B330" s="44"/>
      <c r="C330" s="44" t="s">
        <v>1</v>
      </c>
      <c r="D330" s="44"/>
      <c r="E330" s="44" t="s">
        <v>1</v>
      </c>
      <c r="F330" s="44"/>
      <c r="G330" s="44" t="s">
        <v>1</v>
      </c>
      <c r="H330" s="44"/>
      <c r="I330" s="45" t="s">
        <v>1</v>
      </c>
      <c r="J330" s="46"/>
      <c r="K330" s="45" t="s">
        <v>1</v>
      </c>
      <c r="L330" s="33"/>
      <c r="M330" s="45" t="s">
        <v>1</v>
      </c>
      <c r="N330" s="33"/>
      <c r="O330" s="44" t="s">
        <v>2</v>
      </c>
      <c r="P330" s="44">
        <v>44799</v>
      </c>
      <c r="Q330" s="44" t="s">
        <v>0</v>
      </c>
      <c r="R330" s="44"/>
      <c r="S330" s="44" t="s">
        <v>1</v>
      </c>
      <c r="T330" s="44"/>
      <c r="U330" s="44" t="s">
        <v>1</v>
      </c>
      <c r="V330" s="44"/>
      <c r="W330" s="44" t="s">
        <v>1</v>
      </c>
      <c r="X330" s="44"/>
      <c r="Y330" s="44" t="s">
        <v>1</v>
      </c>
      <c r="Z330" s="44"/>
      <c r="AA330" s="44" t="s">
        <v>1</v>
      </c>
      <c r="AB330" s="44"/>
      <c r="AC330" s="51">
        <v>44799</v>
      </c>
      <c r="AD330" s="50">
        <v>44799</v>
      </c>
      <c r="AE330" s="40" t="s">
        <v>1</v>
      </c>
      <c r="AF330" s="40" t="s">
        <v>1</v>
      </c>
      <c r="AG330" s="76" t="s">
        <v>5</v>
      </c>
      <c r="AH330" s="36" t="s">
        <v>1</v>
      </c>
      <c r="AI330" s="49">
        <v>0</v>
      </c>
      <c r="AJ330" s="36" t="s">
        <v>1</v>
      </c>
      <c r="AK330" s="10" t="s">
        <v>1</v>
      </c>
      <c r="AL330" s="36" t="s">
        <v>1</v>
      </c>
      <c r="AM330" s="36" t="s">
        <v>1</v>
      </c>
      <c r="AN330" s="35" t="s">
        <v>1</v>
      </c>
      <c r="AO330" s="35" t="s">
        <v>1</v>
      </c>
      <c r="AP330" s="35" t="s">
        <v>1</v>
      </c>
      <c r="AQ330" s="35" t="s">
        <v>1</v>
      </c>
      <c r="AR330" s="82" t="s">
        <v>1</v>
      </c>
      <c r="AS330" s="33"/>
      <c r="AT330" s="32" t="s">
        <v>1</v>
      </c>
      <c r="AU330" s="31"/>
      <c r="AV330" s="32" t="s">
        <v>1</v>
      </c>
      <c r="AW330" s="31"/>
      <c r="AX330" s="30" t="s">
        <v>1</v>
      </c>
      <c r="AY330" s="55"/>
      <c r="AZ330" s="30" t="s">
        <v>1</v>
      </c>
      <c r="BA330" s="55"/>
      <c r="BB330" s="74"/>
      <c r="BC330" s="25"/>
      <c r="BD330" s="24" t="s">
        <v>11</v>
      </c>
      <c r="BE330" s="24" t="s">
        <v>11</v>
      </c>
      <c r="BF330" s="24" t="s">
        <v>21</v>
      </c>
      <c r="BG330" s="24" t="s">
        <v>88</v>
      </c>
      <c r="BH330" s="130" t="s">
        <v>18</v>
      </c>
      <c r="BI330" s="24" t="s">
        <v>21</v>
      </c>
      <c r="BJ330" s="24" t="s">
        <v>11</v>
      </c>
      <c r="BK330" s="24" t="s">
        <v>11</v>
      </c>
      <c r="BL330" s="24" t="s">
        <v>11</v>
      </c>
      <c r="BM330" s="24" t="s">
        <v>11</v>
      </c>
      <c r="BN330" s="24" t="s">
        <v>11</v>
      </c>
      <c r="BO330" s="24" t="s">
        <v>11</v>
      </c>
      <c r="BP330" s="24" t="s">
        <v>11</v>
      </c>
      <c r="BQ330" s="22">
        <f>YEAR([1]!BANCO10[[#This Row],[DATA INÍCIO]])</f>
        <v>2022</v>
      </c>
      <c r="BR330" s="22">
        <f>MONTH([1]!BANCO10[[#This Row],[DATA INÍCIO]])</f>
        <v>8</v>
      </c>
      <c r="BS330" s="129" t="e">
        <f>CONCATENATE(#REF!,#REF!)</f>
        <v>#REF!</v>
      </c>
      <c r="BT330" s="22"/>
      <c r="BU330" s="21" t="s">
        <v>565</v>
      </c>
      <c r="BV330" s="21" t="str">
        <f>IF([1]!BANCO10[[#This Row],[SOLUÇÃO]]=BV$1,[1]!BANCO10[[#This Row],[STATUS DA ETAPA]],"")</f>
        <v>CONCLUÍDO</v>
      </c>
      <c r="BW330" s="21" t="str">
        <f>IF([1]!BANCO10[[#This Row],[SOLUÇÃO]]=BW$1,[1]!BANCO10[[#This Row],[STATUS DA ETAPA]],"")</f>
        <v/>
      </c>
      <c r="BX330" s="21" t="str">
        <f>IF([1]!BANCO10[[#This Row],[SOLUÇÃO]]=BX$1,[1]!BANCO10[[#This Row],[STATUS DA ETAPA]],"")</f>
        <v/>
      </c>
      <c r="BY330" s="21" t="str">
        <f>IF([1]!BANCO10[[#This Row],[SOLUÇÃO]]=BY$1,[1]!BANCO10[[#This Row],[STATUS DA ETAPA]],"")</f>
        <v/>
      </c>
      <c r="BZ330" s="21" t="str">
        <f>IF([1]!BANCO10[[#This Row],[SOLUÇÃO]]=BZ$1,[1]!BANCO10[[#This Row],[STATUS DA ETAPA]],"")</f>
        <v/>
      </c>
      <c r="CA330" s="21" t="str">
        <f>IF([1]!BANCO10[[#This Row],[SOLUÇÃO]]=CA$1,[1]!BANCO10[[#This Row],[STATUS DA ETAPA]],"")</f>
        <v/>
      </c>
      <c r="CB330" s="21" t="str">
        <f>IF([1]!BANCO10[[#This Row],[SOLUÇÃO]]=CB$1,[1]!BANCO10[[#This Row],[STATUS DA ETAPA]],"")</f>
        <v/>
      </c>
      <c r="CC330" s="21" t="str">
        <f>IF([1]!BANCO10[[#This Row],[SOLUÇÃO]]=CC$1,[1]!BANCO10[[#This Row],[STATUS DA ETAPA]],"")</f>
        <v/>
      </c>
      <c r="CD330" s="21" t="str">
        <f>IF([1]!BANCO10[[#This Row],[SOLUÇÃO]]=CD$1,[1]!BANCO10[[#This Row],[STATUS DA ETAPA]],"")</f>
        <v/>
      </c>
      <c r="CE330" s="21" t="str">
        <f>IF([1]!BANCO10[[#This Row],[SOLUÇÃO]]=CE$1,[1]!BANCO10[[#This Row],[STATUS DA ETAPA]],"")</f>
        <v/>
      </c>
      <c r="CF330" s="21" t="str">
        <f>IF([1]!BANCO10[[#This Row],[SOLUÇÃO]]=CF$1,[1]!BANCO10[[#This Row],[STATUS DA ETAPA]],"")</f>
        <v/>
      </c>
      <c r="CG330" s="21" t="str">
        <f>IF([1]!BANCO10[[#This Row],[SOLUÇÃO]]=CG$1,[1]!BANCO10[[#This Row],[STATUS DA ETAPA]],"")</f>
        <v/>
      </c>
      <c r="CH330" s="21" t="str">
        <f>IF([1]!BANCO10[[#This Row],[SOLUÇÃO]]=CH$1,[1]!BANCO10[[#This Row],[STATUS DA ETAPA]],"")</f>
        <v/>
      </c>
      <c r="CI330" s="21" t="str">
        <f>IF([1]!BANCO10[[#This Row],[SOLUÇÃO]]=CI$1,[1]!BANCO10[[#This Row],[STATUS DA ETAPA]],"")</f>
        <v/>
      </c>
      <c r="CJ330" s="21" t="str">
        <f>IF([1]!BANCO10[[#This Row],[SOLUÇÃO]]=CJ$1,[1]!BANCO10[[#This Row],[STATUS DA ETAPA]],"")</f>
        <v/>
      </c>
      <c r="CK330" s="21" t="str">
        <f>IF([1]!BANCO10[[#This Row],[SOLUÇÃO]]=CK$1,[1]!BANCO10[[#This Row],[STATUS DA ETAPA]],"")</f>
        <v/>
      </c>
      <c r="CL330" s="21" t="str">
        <f>IF([1]!BANCO10[[#This Row],[SOLUÇÃO]]=CL$1,[1]!BANCO10[[#This Row],[STATUS DA ETAPA]],"")</f>
        <v/>
      </c>
      <c r="CM330" s="21" t="str">
        <f>IF([1]!BANCO10[[#This Row],[SOLUÇÃO]]=CM$1,[1]!BANCO10[[#This Row],[STATUS DA ETAPA]],"")</f>
        <v/>
      </c>
      <c r="CN330" s="21" t="str">
        <f>IF([1]!BANCO10[[#This Row],[SOLUÇÃO]]=CN$1,[1]!BANCO10[[#This Row],[STATUS DA ETAPA]],"")</f>
        <v/>
      </c>
      <c r="CO330" s="21" t="str">
        <f>IF([1]!BANCO10[[#This Row],[SOLUÇÃO]]=CO$1,[1]!BANCO10[[#This Row],[STATUS DA ETAPA]],"")</f>
        <v/>
      </c>
      <c r="CP330" s="21" t="str">
        <f>IF([1]!BANCO10[[#This Row],[SOLUÇÃO]]=CP$1,[1]!BANCO10[[#This Row],[STATUS DA ETAPA]],"")</f>
        <v/>
      </c>
      <c r="CQ330" s="21" t="str">
        <f>IF([1]!BANCO10[[#This Row],[SOLUÇÃO]]=CQ$1,[1]!BANCO10[[#This Row],[STATUS DA ETAPA]],"")</f>
        <v/>
      </c>
      <c r="CR330" s="21" t="str">
        <f>IF([1]!BANCO10[[#This Row],[SOLUÇÃO]]=CR$1,[1]!BANCO10[[#This Row],[STATUS DA ETAPA]],"")</f>
        <v/>
      </c>
      <c r="CS330" s="21" t="str">
        <f>IF([1]!BANCO10[[#This Row],[SOLUÇÃO]]=CS$1,[1]!BANCO10[[#This Row],[STATUS DA ETAPA]],"")</f>
        <v/>
      </c>
      <c r="CT330" s="21" t="str">
        <f>IF([1]!BANCO10[[#This Row],[SOLUÇÃO]]=CT$1,[1]!BANCO10[[#This Row],[STATUS DA ETAPA]],"")</f>
        <v/>
      </c>
      <c r="CU330" s="21" t="str">
        <f>IF([1]!BANCO10[[#This Row],[SOLUÇÃO]]=CU$1,[1]!BANCO10[[#This Row],[STATUS DA ETAPA]],"")</f>
        <v/>
      </c>
      <c r="CV330" s="21" t="str">
        <f>IF([1]!BANCO10[[#This Row],[SOLUÇÃO]]=CV$1,[1]!BANCO10[[#This Row],[STATUS DA ETAPA]],"")</f>
        <v/>
      </c>
    </row>
    <row r="331" spans="1:100">
      <c r="A331" s="44" t="s">
        <v>1</v>
      </c>
      <c r="B331" s="44"/>
      <c r="C331" s="44" t="s">
        <v>1</v>
      </c>
      <c r="D331" s="44"/>
      <c r="E331" s="44" t="s">
        <v>1</v>
      </c>
      <c r="F331" s="44"/>
      <c r="G331" s="44" t="s">
        <v>1</v>
      </c>
      <c r="H331" s="44"/>
      <c r="I331" s="45" t="s">
        <v>1</v>
      </c>
      <c r="J331" s="46"/>
      <c r="K331" s="45" t="s">
        <v>1</v>
      </c>
      <c r="L331" s="33"/>
      <c r="M331" s="45" t="s">
        <v>1</v>
      </c>
      <c r="N331" s="33"/>
      <c r="O331" s="44" t="s">
        <v>2</v>
      </c>
      <c r="P331" s="44">
        <v>44799</v>
      </c>
      <c r="Q331" s="44" t="s">
        <v>2</v>
      </c>
      <c r="R331" s="44">
        <v>44799</v>
      </c>
      <c r="S331" s="44" t="s">
        <v>2</v>
      </c>
      <c r="T331" s="44">
        <v>44799</v>
      </c>
      <c r="U331" s="44" t="s">
        <v>2</v>
      </c>
      <c r="V331" s="44">
        <v>44799</v>
      </c>
      <c r="W331" s="44" t="s">
        <v>2</v>
      </c>
      <c r="X331" s="44"/>
      <c r="Y331" s="44" t="s">
        <v>2</v>
      </c>
      <c r="Z331" s="44">
        <v>44799</v>
      </c>
      <c r="AA331" s="44" t="s">
        <v>2</v>
      </c>
      <c r="AB331" s="44"/>
      <c r="AC331" s="51">
        <v>44958</v>
      </c>
      <c r="AD331" s="50">
        <v>45048</v>
      </c>
      <c r="AE331" s="40" t="s">
        <v>2</v>
      </c>
      <c r="AF331" s="40" t="s">
        <v>2</v>
      </c>
      <c r="AG331" s="76" t="s">
        <v>5</v>
      </c>
      <c r="AH331" s="36" t="s">
        <v>0</v>
      </c>
      <c r="AI331" s="49">
        <v>0</v>
      </c>
      <c r="AJ331" s="36"/>
      <c r="AK331" s="10"/>
      <c r="AL331" s="36">
        <v>4731</v>
      </c>
      <c r="AM331" s="36" t="s">
        <v>1</v>
      </c>
      <c r="AN331" s="35" t="s">
        <v>1</v>
      </c>
      <c r="AO331" s="35" t="s">
        <v>1</v>
      </c>
      <c r="AP331" s="35" t="s">
        <v>2</v>
      </c>
      <c r="AQ331" s="35" t="s">
        <v>1</v>
      </c>
      <c r="AR331" s="34" t="s">
        <v>1</v>
      </c>
      <c r="AS331" s="33"/>
      <c r="AT331" s="32" t="s">
        <v>1</v>
      </c>
      <c r="AU331" s="31"/>
      <c r="AV331" s="32" t="s">
        <v>1</v>
      </c>
      <c r="AW331" s="31"/>
      <c r="AX331" s="30" t="s">
        <v>2</v>
      </c>
      <c r="AY331" s="55">
        <v>45054</v>
      </c>
      <c r="AZ331" s="30" t="s">
        <v>2</v>
      </c>
      <c r="BA331" s="55"/>
      <c r="BB331" s="74"/>
      <c r="BC331" s="25"/>
      <c r="BD331" s="24" t="s">
        <v>11</v>
      </c>
      <c r="BE331" s="24" t="s">
        <v>11</v>
      </c>
      <c r="BF331" s="24" t="s">
        <v>21</v>
      </c>
      <c r="BG331" s="24" t="s">
        <v>88</v>
      </c>
      <c r="BH331" s="130" t="s">
        <v>18</v>
      </c>
      <c r="BI331" s="24" t="s">
        <v>21</v>
      </c>
      <c r="BJ331" s="24" t="s">
        <v>11</v>
      </c>
      <c r="BK331" s="24" t="s">
        <v>11</v>
      </c>
      <c r="BL331" s="24" t="s">
        <v>11</v>
      </c>
      <c r="BM331" s="24" t="s">
        <v>11</v>
      </c>
      <c r="BN331" s="24" t="s">
        <v>11</v>
      </c>
      <c r="BO331" s="24" t="s">
        <v>11</v>
      </c>
      <c r="BP331" s="24" t="s">
        <v>11</v>
      </c>
      <c r="BQ331" s="22">
        <f>YEAR([1]!BANCO10[[#This Row],[DATA INÍCIO]])</f>
        <v>2023</v>
      </c>
      <c r="BR331" s="22">
        <f>MONTH([1]!BANCO10[[#This Row],[DATA INÍCIO]])</f>
        <v>2</v>
      </c>
      <c r="BS331" s="129" t="e">
        <f>CONCATENATE(#REF!,#REF!)</f>
        <v>#REF!</v>
      </c>
      <c r="BT331" s="22"/>
      <c r="BU331" s="21" t="s">
        <v>564</v>
      </c>
      <c r="BV331" s="21" t="str">
        <f>IF([1]!BANCO10[[#This Row],[SOLUÇÃO]]=BV$1,[1]!BANCO10[[#This Row],[STATUS DA ETAPA]],"")</f>
        <v/>
      </c>
      <c r="BW331" s="21" t="str">
        <f>IF([1]!BANCO10[[#This Row],[SOLUÇÃO]]=BW$1,[1]!BANCO10[[#This Row],[STATUS DA ETAPA]],"")</f>
        <v/>
      </c>
      <c r="BX331" s="21" t="str">
        <f>IF([1]!BANCO10[[#This Row],[SOLUÇÃO]]=BX$1,[1]!BANCO10[[#This Row],[STATUS DA ETAPA]],"")</f>
        <v/>
      </c>
      <c r="BY331" s="21" t="str">
        <f>IF([1]!BANCO10[[#This Row],[SOLUÇÃO]]=BY$1,[1]!BANCO10[[#This Row],[STATUS DA ETAPA]],"")</f>
        <v/>
      </c>
      <c r="BZ331" s="21" t="str">
        <f>IF([1]!BANCO10[[#This Row],[SOLUÇÃO]]=BZ$1,[1]!BANCO10[[#This Row],[STATUS DA ETAPA]],"")</f>
        <v/>
      </c>
      <c r="CA331" s="21" t="str">
        <f>IF([1]!BANCO10[[#This Row],[SOLUÇÃO]]=CA$1,[1]!BANCO10[[#This Row],[STATUS DA ETAPA]],"")</f>
        <v>CONCLUÍDO</v>
      </c>
      <c r="CB331" s="21" t="str">
        <f>IF([1]!BANCO10[[#This Row],[SOLUÇÃO]]=CB$1,[1]!BANCO10[[#This Row],[STATUS DA ETAPA]],"")</f>
        <v/>
      </c>
      <c r="CC331" s="21" t="str">
        <f>IF([1]!BANCO10[[#This Row],[SOLUÇÃO]]=CC$1,[1]!BANCO10[[#This Row],[STATUS DA ETAPA]],"")</f>
        <v/>
      </c>
      <c r="CD331" s="21" t="str">
        <f>IF([1]!BANCO10[[#This Row],[SOLUÇÃO]]=CD$1,[1]!BANCO10[[#This Row],[STATUS DA ETAPA]],"")</f>
        <v/>
      </c>
      <c r="CE331" s="21" t="str">
        <f>IF([1]!BANCO10[[#This Row],[SOLUÇÃO]]=CE$1,[1]!BANCO10[[#This Row],[STATUS DA ETAPA]],"")</f>
        <v/>
      </c>
      <c r="CF331" s="21" t="str">
        <f>IF([1]!BANCO10[[#This Row],[SOLUÇÃO]]=CF$1,[1]!BANCO10[[#This Row],[STATUS DA ETAPA]],"")</f>
        <v/>
      </c>
      <c r="CG331" s="21" t="str">
        <f>IF([1]!BANCO10[[#This Row],[SOLUÇÃO]]=CG$1,[1]!BANCO10[[#This Row],[STATUS DA ETAPA]],"")</f>
        <v/>
      </c>
      <c r="CH331" s="21" t="str">
        <f>IF([1]!BANCO10[[#This Row],[SOLUÇÃO]]=CH$1,[1]!BANCO10[[#This Row],[STATUS DA ETAPA]],"")</f>
        <v/>
      </c>
      <c r="CI331" s="21" t="str">
        <f>IF([1]!BANCO10[[#This Row],[SOLUÇÃO]]=CI$1,[1]!BANCO10[[#This Row],[STATUS DA ETAPA]],"")</f>
        <v/>
      </c>
      <c r="CJ331" s="21" t="str">
        <f>IF([1]!BANCO10[[#This Row],[SOLUÇÃO]]=CJ$1,[1]!BANCO10[[#This Row],[STATUS DA ETAPA]],"")</f>
        <v/>
      </c>
      <c r="CK331" s="21" t="str">
        <f>IF([1]!BANCO10[[#This Row],[SOLUÇÃO]]=CK$1,[1]!BANCO10[[#This Row],[STATUS DA ETAPA]],"")</f>
        <v/>
      </c>
      <c r="CL331" s="21" t="str">
        <f>IF([1]!BANCO10[[#This Row],[SOLUÇÃO]]=CL$1,[1]!BANCO10[[#This Row],[STATUS DA ETAPA]],"")</f>
        <v/>
      </c>
      <c r="CM331" s="21" t="str">
        <f>IF([1]!BANCO10[[#This Row],[SOLUÇÃO]]=CM$1,[1]!BANCO10[[#This Row],[STATUS DA ETAPA]],"")</f>
        <v/>
      </c>
      <c r="CN331" s="21" t="str">
        <f>IF([1]!BANCO10[[#This Row],[SOLUÇÃO]]=CN$1,[1]!BANCO10[[#This Row],[STATUS DA ETAPA]],"")</f>
        <v/>
      </c>
      <c r="CO331" s="21" t="str">
        <f>IF([1]!BANCO10[[#This Row],[SOLUÇÃO]]=CO$1,[1]!BANCO10[[#This Row],[STATUS DA ETAPA]],"")</f>
        <v/>
      </c>
      <c r="CP331" s="21" t="str">
        <f>IF([1]!BANCO10[[#This Row],[SOLUÇÃO]]=CP$1,[1]!BANCO10[[#This Row],[STATUS DA ETAPA]],"")</f>
        <v/>
      </c>
      <c r="CQ331" s="21" t="str">
        <f>IF([1]!BANCO10[[#This Row],[SOLUÇÃO]]=CQ$1,[1]!BANCO10[[#This Row],[STATUS DA ETAPA]],"")</f>
        <v/>
      </c>
      <c r="CR331" s="21" t="str">
        <f>IF([1]!BANCO10[[#This Row],[SOLUÇÃO]]=CR$1,[1]!BANCO10[[#This Row],[STATUS DA ETAPA]],"")</f>
        <v/>
      </c>
      <c r="CS331" s="21" t="str">
        <f>IF([1]!BANCO10[[#This Row],[SOLUÇÃO]]=CS$1,[1]!BANCO10[[#This Row],[STATUS DA ETAPA]],"")</f>
        <v/>
      </c>
      <c r="CT331" s="21" t="str">
        <f>IF([1]!BANCO10[[#This Row],[SOLUÇÃO]]=CT$1,[1]!BANCO10[[#This Row],[STATUS DA ETAPA]],"")</f>
        <v/>
      </c>
      <c r="CU331" s="21" t="str">
        <f>IF([1]!BANCO10[[#This Row],[SOLUÇÃO]]=CU$1,[1]!BANCO10[[#This Row],[STATUS DA ETAPA]],"")</f>
        <v/>
      </c>
      <c r="CV331" s="21" t="str">
        <f>IF([1]!BANCO10[[#This Row],[SOLUÇÃO]]=CV$1,[1]!BANCO10[[#This Row],[STATUS DA ETAPA]],"")</f>
        <v/>
      </c>
    </row>
    <row r="332" spans="1:100">
      <c r="A332" s="44" t="s">
        <v>1</v>
      </c>
      <c r="B332" s="44"/>
      <c r="C332" s="44" t="s">
        <v>1</v>
      </c>
      <c r="D332" s="44"/>
      <c r="E332" s="44" t="s">
        <v>1</v>
      </c>
      <c r="F332" s="44"/>
      <c r="G332" s="44" t="s">
        <v>1</v>
      </c>
      <c r="H332" s="44"/>
      <c r="I332" s="45" t="s">
        <v>1</v>
      </c>
      <c r="J332" s="46"/>
      <c r="K332" s="45" t="s">
        <v>1</v>
      </c>
      <c r="L332" s="33"/>
      <c r="M332" s="45" t="s">
        <v>1</v>
      </c>
      <c r="N332" s="33"/>
      <c r="O332" s="44" t="s">
        <v>2</v>
      </c>
      <c r="P332" s="44">
        <v>44799</v>
      </c>
      <c r="Q332" s="44" t="s">
        <v>2</v>
      </c>
      <c r="R332" s="44">
        <v>45378</v>
      </c>
      <c r="S332" s="44" t="s">
        <v>2</v>
      </c>
      <c r="T332" s="44">
        <v>45378</v>
      </c>
      <c r="U332" s="44" t="s">
        <v>2</v>
      </c>
      <c r="V332" s="44">
        <v>45379</v>
      </c>
      <c r="W332" s="44" t="s">
        <v>2</v>
      </c>
      <c r="X332" s="44"/>
      <c r="Y332" s="44" t="s">
        <v>2</v>
      </c>
      <c r="Z332" s="44">
        <v>45379</v>
      </c>
      <c r="AA332" s="44" t="s">
        <v>2</v>
      </c>
      <c r="AB332" s="44"/>
      <c r="AC332" s="51">
        <v>45415</v>
      </c>
      <c r="AD332" s="50">
        <v>45526</v>
      </c>
      <c r="AE332" s="40" t="s">
        <v>2</v>
      </c>
      <c r="AF332" s="40" t="s">
        <v>2</v>
      </c>
      <c r="AG332" s="76" t="s">
        <v>5</v>
      </c>
      <c r="AH332" s="36" t="s">
        <v>0</v>
      </c>
      <c r="AI332" s="49">
        <v>0</v>
      </c>
      <c r="AJ332" s="36" t="s">
        <v>6</v>
      </c>
      <c r="AK332" s="10">
        <v>0</v>
      </c>
      <c r="AL332" s="36" t="s">
        <v>563</v>
      </c>
      <c r="AM332" s="36">
        <v>0</v>
      </c>
      <c r="AN332" s="35" t="s">
        <v>1</v>
      </c>
      <c r="AO332" s="35" t="s">
        <v>1</v>
      </c>
      <c r="AP332" s="35" t="s">
        <v>2</v>
      </c>
      <c r="AQ332" s="35" t="s">
        <v>1</v>
      </c>
      <c r="AR332" s="34" t="s">
        <v>1</v>
      </c>
      <c r="AS332" s="33"/>
      <c r="AT332" s="32" t="s">
        <v>1</v>
      </c>
      <c r="AU332" s="31"/>
      <c r="AV332" s="32" t="s">
        <v>1</v>
      </c>
      <c r="AW332" s="31"/>
      <c r="AX332" s="30" t="s">
        <v>2</v>
      </c>
      <c r="AY332" s="55">
        <v>45526</v>
      </c>
      <c r="AZ332" s="30" t="s">
        <v>2</v>
      </c>
      <c r="BA332" s="55">
        <v>45509</v>
      </c>
      <c r="BB332" s="74"/>
      <c r="BC332" s="25"/>
      <c r="BD332" s="24" t="s">
        <v>11</v>
      </c>
      <c r="BE332" s="24" t="s">
        <v>11</v>
      </c>
      <c r="BF332" s="24" t="s">
        <v>21</v>
      </c>
      <c r="BG332" s="24" t="s">
        <v>88</v>
      </c>
      <c r="BH332" s="130" t="s">
        <v>18</v>
      </c>
      <c r="BI332" s="24" t="s">
        <v>21</v>
      </c>
      <c r="BJ332" s="24" t="s">
        <v>11</v>
      </c>
      <c r="BK332" s="24" t="s">
        <v>11</v>
      </c>
      <c r="BL332" s="24">
        <v>45391</v>
      </c>
      <c r="BM332" s="24" t="s">
        <v>18</v>
      </c>
      <c r="BN332" s="24" t="s">
        <v>11</v>
      </c>
      <c r="BO332" s="24"/>
      <c r="BP332" s="24" t="s">
        <v>126</v>
      </c>
      <c r="BQ332" s="22">
        <f>YEAR([1]!BANCO10[[#This Row],[DATA INÍCIO]])</f>
        <v>2024</v>
      </c>
      <c r="BR332" s="22">
        <f>MONTH([1]!BANCO10[[#This Row],[DATA INÍCIO]])</f>
        <v>5</v>
      </c>
      <c r="BS332" s="129" t="e">
        <f>CONCATENATE(#REF!,#REF!)</f>
        <v>#REF!</v>
      </c>
      <c r="BT332" s="22"/>
      <c r="BU332" s="21" t="s">
        <v>562</v>
      </c>
      <c r="BV332" s="21" t="str">
        <f>IF([1]!BANCO10[[#This Row],[SOLUÇÃO]]=BV$1,[1]!BANCO10[[#This Row],[STATUS DA ETAPA]],"")</f>
        <v/>
      </c>
      <c r="BW332" s="21" t="str">
        <f>IF([1]!BANCO10[[#This Row],[SOLUÇÃO]]=BW$1,[1]!BANCO10[[#This Row],[STATUS DA ETAPA]],"")</f>
        <v/>
      </c>
      <c r="BX332" s="21" t="str">
        <f>IF([1]!BANCO10[[#This Row],[SOLUÇÃO]]=BX$1,[1]!BANCO10[[#This Row],[STATUS DA ETAPA]],"")</f>
        <v/>
      </c>
      <c r="BY332" s="21" t="str">
        <f>IF([1]!BANCO10[[#This Row],[SOLUÇÃO]]=BY$1,[1]!BANCO10[[#This Row],[STATUS DA ETAPA]],"")</f>
        <v/>
      </c>
      <c r="BZ332" s="21" t="str">
        <f>IF([1]!BANCO10[[#This Row],[SOLUÇÃO]]=BZ$1,[1]!BANCO10[[#This Row],[STATUS DA ETAPA]],"")</f>
        <v/>
      </c>
      <c r="CA332" s="21" t="str">
        <f>IF([1]!BANCO10[[#This Row],[SOLUÇÃO]]=CA$1,[1]!BANCO10[[#This Row],[STATUS DA ETAPA]],"")</f>
        <v/>
      </c>
      <c r="CB332" s="21" t="str">
        <f>IF([1]!BANCO10[[#This Row],[SOLUÇÃO]]=CB$1,[1]!BANCO10[[#This Row],[STATUS DA ETAPA]],"")</f>
        <v/>
      </c>
      <c r="CC332" s="21" t="str">
        <f>IF([1]!BANCO10[[#This Row],[SOLUÇÃO]]=CC$1,[1]!BANCO10[[#This Row],[STATUS DA ETAPA]],"")</f>
        <v>CONCLUÍDO</v>
      </c>
      <c r="CD332" s="21" t="str">
        <f>IF([1]!BANCO10[[#This Row],[SOLUÇÃO]]=CD$1,[1]!BANCO10[[#This Row],[STATUS DA ETAPA]],"")</f>
        <v/>
      </c>
      <c r="CE332" s="21" t="str">
        <f>IF([1]!BANCO10[[#This Row],[SOLUÇÃO]]=CE$1,[1]!BANCO10[[#This Row],[STATUS DA ETAPA]],"")</f>
        <v/>
      </c>
      <c r="CF332" s="21" t="str">
        <f>IF([1]!BANCO10[[#This Row],[SOLUÇÃO]]=CF$1,[1]!BANCO10[[#This Row],[STATUS DA ETAPA]],"")</f>
        <v/>
      </c>
      <c r="CG332" s="21" t="str">
        <f>IF([1]!BANCO10[[#This Row],[SOLUÇÃO]]=CG$1,[1]!BANCO10[[#This Row],[STATUS DA ETAPA]],"")</f>
        <v/>
      </c>
      <c r="CH332" s="21" t="str">
        <f>IF([1]!BANCO10[[#This Row],[SOLUÇÃO]]=CH$1,[1]!BANCO10[[#This Row],[STATUS DA ETAPA]],"")</f>
        <v/>
      </c>
      <c r="CI332" s="21" t="str">
        <f>IF([1]!BANCO10[[#This Row],[SOLUÇÃO]]=CI$1,[1]!BANCO10[[#This Row],[STATUS DA ETAPA]],"")</f>
        <v/>
      </c>
      <c r="CJ332" s="21" t="str">
        <f>IF([1]!BANCO10[[#This Row],[SOLUÇÃO]]=CJ$1,[1]!BANCO10[[#This Row],[STATUS DA ETAPA]],"")</f>
        <v/>
      </c>
      <c r="CK332" s="21" t="str">
        <f>IF([1]!BANCO10[[#This Row],[SOLUÇÃO]]=CK$1,[1]!BANCO10[[#This Row],[STATUS DA ETAPA]],"")</f>
        <v/>
      </c>
      <c r="CL332" s="21" t="str">
        <f>IF([1]!BANCO10[[#This Row],[SOLUÇÃO]]=CL$1,[1]!BANCO10[[#This Row],[STATUS DA ETAPA]],"")</f>
        <v/>
      </c>
      <c r="CM332" s="21" t="str">
        <f>IF([1]!BANCO10[[#This Row],[SOLUÇÃO]]=CM$1,[1]!BANCO10[[#This Row],[STATUS DA ETAPA]],"")</f>
        <v/>
      </c>
      <c r="CN332" s="21" t="str">
        <f>IF([1]!BANCO10[[#This Row],[SOLUÇÃO]]=CN$1,[1]!BANCO10[[#This Row],[STATUS DA ETAPA]],"")</f>
        <v/>
      </c>
      <c r="CO332" s="21" t="str">
        <f>IF([1]!BANCO10[[#This Row],[SOLUÇÃO]]=CO$1,[1]!BANCO10[[#This Row],[STATUS DA ETAPA]],"")</f>
        <v/>
      </c>
      <c r="CP332" s="21" t="str">
        <f>IF([1]!BANCO10[[#This Row],[SOLUÇÃO]]=CP$1,[1]!BANCO10[[#This Row],[STATUS DA ETAPA]],"")</f>
        <v/>
      </c>
      <c r="CQ332" s="21" t="str">
        <f>IF([1]!BANCO10[[#This Row],[SOLUÇÃO]]=CQ$1,[1]!BANCO10[[#This Row],[STATUS DA ETAPA]],"")</f>
        <v/>
      </c>
      <c r="CR332" s="21" t="str">
        <f>IF([1]!BANCO10[[#This Row],[SOLUÇÃO]]=CR$1,[1]!BANCO10[[#This Row],[STATUS DA ETAPA]],"")</f>
        <v/>
      </c>
      <c r="CS332" s="21" t="str">
        <f>IF([1]!BANCO10[[#This Row],[SOLUÇÃO]]=CS$1,[1]!BANCO10[[#This Row],[STATUS DA ETAPA]],"")</f>
        <v/>
      </c>
      <c r="CT332" s="21" t="str">
        <f>IF([1]!BANCO10[[#This Row],[SOLUÇÃO]]=CT$1,[1]!BANCO10[[#This Row],[STATUS DA ETAPA]],"")</f>
        <v/>
      </c>
      <c r="CU332" s="21" t="str">
        <f>IF([1]!BANCO10[[#This Row],[SOLUÇÃO]]=CU$1,[1]!BANCO10[[#This Row],[STATUS DA ETAPA]],"")</f>
        <v/>
      </c>
      <c r="CV332" s="21" t="str">
        <f>IF([1]!BANCO10[[#This Row],[SOLUÇÃO]]=CV$1,[1]!BANCO10[[#This Row],[STATUS DA ETAPA]],"")</f>
        <v/>
      </c>
    </row>
    <row r="333" spans="1:100">
      <c r="A333" s="44" t="s">
        <v>1</v>
      </c>
      <c r="B333" s="44"/>
      <c r="C333" s="44" t="s">
        <v>1</v>
      </c>
      <c r="D333" s="44"/>
      <c r="E333" s="44" t="s">
        <v>1</v>
      </c>
      <c r="F333" s="44"/>
      <c r="G333" s="44" t="s">
        <v>1</v>
      </c>
      <c r="H333" s="44"/>
      <c r="I333" s="45" t="s">
        <v>1</v>
      </c>
      <c r="J333" s="46"/>
      <c r="K333" s="45" t="s">
        <v>1</v>
      </c>
      <c r="L333" s="33"/>
      <c r="M333" s="45" t="s">
        <v>1</v>
      </c>
      <c r="N333" s="33"/>
      <c r="O333" s="44" t="s">
        <v>2</v>
      </c>
      <c r="P333" s="44">
        <v>44963</v>
      </c>
      <c r="Q333" s="44" t="s">
        <v>0</v>
      </c>
      <c r="R333" s="44"/>
      <c r="S333" s="44" t="s">
        <v>1</v>
      </c>
      <c r="T333" s="44"/>
      <c r="U333" s="44" t="s">
        <v>1</v>
      </c>
      <c r="V333" s="44"/>
      <c r="W333" s="44" t="s">
        <v>1</v>
      </c>
      <c r="X333" s="44"/>
      <c r="Y333" s="44" t="s">
        <v>1</v>
      </c>
      <c r="Z333" s="44"/>
      <c r="AA333" s="44" t="s">
        <v>1</v>
      </c>
      <c r="AB333" s="44"/>
      <c r="AC333" s="51">
        <v>44958</v>
      </c>
      <c r="AD333" s="51">
        <v>44958</v>
      </c>
      <c r="AE333" s="40" t="s">
        <v>1</v>
      </c>
      <c r="AF333" s="40" t="s">
        <v>1</v>
      </c>
      <c r="AG333" s="76" t="s">
        <v>5</v>
      </c>
      <c r="AH333" s="36" t="s">
        <v>1</v>
      </c>
      <c r="AI333" s="49">
        <v>0</v>
      </c>
      <c r="AJ333" s="36" t="s">
        <v>1</v>
      </c>
      <c r="AK333" s="10" t="s">
        <v>1</v>
      </c>
      <c r="AL333" s="36" t="s">
        <v>1</v>
      </c>
      <c r="AM333" s="36" t="s">
        <v>1</v>
      </c>
      <c r="AN333" s="35" t="s">
        <v>1</v>
      </c>
      <c r="AO333" s="35" t="s">
        <v>1</v>
      </c>
      <c r="AP333" s="35" t="s">
        <v>1</v>
      </c>
      <c r="AQ333" s="35" t="s">
        <v>1</v>
      </c>
      <c r="AR333" s="82" t="s">
        <v>1</v>
      </c>
      <c r="AS333" s="33"/>
      <c r="AT333" s="32" t="s">
        <v>1</v>
      </c>
      <c r="AU333" s="31"/>
      <c r="AV333" s="32" t="s">
        <v>1</v>
      </c>
      <c r="AW333" s="31"/>
      <c r="AX333" s="30" t="s">
        <v>1</v>
      </c>
      <c r="AY333" s="55"/>
      <c r="AZ333" s="30" t="s">
        <v>1</v>
      </c>
      <c r="BA333" s="55"/>
      <c r="BB333" s="74" t="s">
        <v>560</v>
      </c>
      <c r="BC333" s="25"/>
      <c r="BD333" s="24" t="s">
        <v>11</v>
      </c>
      <c r="BE333" s="24" t="s">
        <v>11</v>
      </c>
      <c r="BF333" s="24" t="s">
        <v>11</v>
      </c>
      <c r="BG333" s="24" t="s">
        <v>11</v>
      </c>
      <c r="BH333" s="130" t="s">
        <v>11</v>
      </c>
      <c r="BI333" s="24"/>
      <c r="BJ333" s="24" t="s">
        <v>11</v>
      </c>
      <c r="BK333" s="24" t="s">
        <v>11</v>
      </c>
      <c r="BL333" s="24" t="s">
        <v>11</v>
      </c>
      <c r="BM333" s="24" t="s">
        <v>11</v>
      </c>
      <c r="BN333" s="24" t="s">
        <v>11</v>
      </c>
      <c r="BO333" s="24" t="s">
        <v>11</v>
      </c>
      <c r="BP333" s="24" t="s">
        <v>11</v>
      </c>
      <c r="BQ333" s="22">
        <f>YEAR([1]!BANCO10[[#This Row],[DATA INÍCIO]])</f>
        <v>2023</v>
      </c>
      <c r="BR333" s="22">
        <f>MONTH([1]!BANCO10[[#This Row],[DATA INÍCIO]])</f>
        <v>2</v>
      </c>
      <c r="BS333" s="129" t="e">
        <f>CONCATENATE(#REF!,#REF!)</f>
        <v>#REF!</v>
      </c>
      <c r="BT333" s="22"/>
      <c r="BU333" s="21" t="s">
        <v>561</v>
      </c>
      <c r="BV333" s="21" t="str">
        <f>IF([1]!BANCO10[[#This Row],[SOLUÇÃO]]=BV$1,[1]!BANCO10[[#This Row],[STATUS DA ETAPA]],"")</f>
        <v>CONCLUÍDO</v>
      </c>
      <c r="BW333" s="21" t="str">
        <f>IF([1]!BANCO10[[#This Row],[SOLUÇÃO]]=BW$1,[1]!BANCO10[[#This Row],[STATUS DA ETAPA]],"")</f>
        <v/>
      </c>
      <c r="BX333" s="21" t="str">
        <f>IF([1]!BANCO10[[#This Row],[SOLUÇÃO]]=BX$1,[1]!BANCO10[[#This Row],[STATUS DA ETAPA]],"")</f>
        <v/>
      </c>
      <c r="BY333" s="21" t="str">
        <f>IF([1]!BANCO10[[#This Row],[SOLUÇÃO]]=BY$1,[1]!BANCO10[[#This Row],[STATUS DA ETAPA]],"")</f>
        <v/>
      </c>
      <c r="BZ333" s="21" t="str">
        <f>IF([1]!BANCO10[[#This Row],[SOLUÇÃO]]=BZ$1,[1]!BANCO10[[#This Row],[STATUS DA ETAPA]],"")</f>
        <v/>
      </c>
      <c r="CA333" s="21" t="str">
        <f>IF([1]!BANCO10[[#This Row],[SOLUÇÃO]]=CA$1,[1]!BANCO10[[#This Row],[STATUS DA ETAPA]],"")</f>
        <v/>
      </c>
      <c r="CB333" s="21" t="str">
        <f>IF([1]!BANCO10[[#This Row],[SOLUÇÃO]]=CB$1,[1]!BANCO10[[#This Row],[STATUS DA ETAPA]],"")</f>
        <v/>
      </c>
      <c r="CC333" s="21" t="str">
        <f>IF([1]!BANCO10[[#This Row],[SOLUÇÃO]]=CC$1,[1]!BANCO10[[#This Row],[STATUS DA ETAPA]],"")</f>
        <v/>
      </c>
      <c r="CD333" s="21" t="str">
        <f>IF([1]!BANCO10[[#This Row],[SOLUÇÃO]]=CD$1,[1]!BANCO10[[#This Row],[STATUS DA ETAPA]],"")</f>
        <v/>
      </c>
      <c r="CE333" s="21" t="str">
        <f>IF([1]!BANCO10[[#This Row],[SOLUÇÃO]]=CE$1,[1]!BANCO10[[#This Row],[STATUS DA ETAPA]],"")</f>
        <v/>
      </c>
      <c r="CF333" s="21" t="str">
        <f>IF([1]!BANCO10[[#This Row],[SOLUÇÃO]]=CF$1,[1]!BANCO10[[#This Row],[STATUS DA ETAPA]],"")</f>
        <v/>
      </c>
      <c r="CG333" s="21" t="str">
        <f>IF([1]!BANCO10[[#This Row],[SOLUÇÃO]]=CG$1,[1]!BANCO10[[#This Row],[STATUS DA ETAPA]],"")</f>
        <v/>
      </c>
      <c r="CH333" s="21" t="str">
        <f>IF([1]!BANCO10[[#This Row],[SOLUÇÃO]]=CH$1,[1]!BANCO10[[#This Row],[STATUS DA ETAPA]],"")</f>
        <v/>
      </c>
      <c r="CI333" s="21" t="str">
        <f>IF([1]!BANCO10[[#This Row],[SOLUÇÃO]]=CI$1,[1]!BANCO10[[#This Row],[STATUS DA ETAPA]],"")</f>
        <v/>
      </c>
      <c r="CJ333" s="21" t="str">
        <f>IF([1]!BANCO10[[#This Row],[SOLUÇÃO]]=CJ$1,[1]!BANCO10[[#This Row],[STATUS DA ETAPA]],"")</f>
        <v/>
      </c>
      <c r="CK333" s="21" t="str">
        <f>IF([1]!BANCO10[[#This Row],[SOLUÇÃO]]=CK$1,[1]!BANCO10[[#This Row],[STATUS DA ETAPA]],"")</f>
        <v/>
      </c>
      <c r="CL333" s="21" t="str">
        <f>IF([1]!BANCO10[[#This Row],[SOLUÇÃO]]=CL$1,[1]!BANCO10[[#This Row],[STATUS DA ETAPA]],"")</f>
        <v/>
      </c>
      <c r="CM333" s="21" t="str">
        <f>IF([1]!BANCO10[[#This Row],[SOLUÇÃO]]=CM$1,[1]!BANCO10[[#This Row],[STATUS DA ETAPA]],"")</f>
        <v/>
      </c>
      <c r="CN333" s="21" t="str">
        <f>IF([1]!BANCO10[[#This Row],[SOLUÇÃO]]=CN$1,[1]!BANCO10[[#This Row],[STATUS DA ETAPA]],"")</f>
        <v/>
      </c>
      <c r="CO333" s="21" t="str">
        <f>IF([1]!BANCO10[[#This Row],[SOLUÇÃO]]=CO$1,[1]!BANCO10[[#This Row],[STATUS DA ETAPA]],"")</f>
        <v/>
      </c>
      <c r="CP333" s="21" t="str">
        <f>IF([1]!BANCO10[[#This Row],[SOLUÇÃO]]=CP$1,[1]!BANCO10[[#This Row],[STATUS DA ETAPA]],"")</f>
        <v/>
      </c>
      <c r="CQ333" s="21" t="str">
        <f>IF([1]!BANCO10[[#This Row],[SOLUÇÃO]]=CQ$1,[1]!BANCO10[[#This Row],[STATUS DA ETAPA]],"")</f>
        <v/>
      </c>
      <c r="CR333" s="21" t="str">
        <f>IF([1]!BANCO10[[#This Row],[SOLUÇÃO]]=CR$1,[1]!BANCO10[[#This Row],[STATUS DA ETAPA]],"")</f>
        <v/>
      </c>
      <c r="CS333" s="21" t="str">
        <f>IF([1]!BANCO10[[#This Row],[SOLUÇÃO]]=CS$1,[1]!BANCO10[[#This Row],[STATUS DA ETAPA]],"")</f>
        <v/>
      </c>
      <c r="CT333" s="21" t="str">
        <f>IF([1]!BANCO10[[#This Row],[SOLUÇÃO]]=CT$1,[1]!BANCO10[[#This Row],[STATUS DA ETAPA]],"")</f>
        <v/>
      </c>
      <c r="CU333" s="21" t="str">
        <f>IF([1]!BANCO10[[#This Row],[SOLUÇÃO]]=CU$1,[1]!BANCO10[[#This Row],[STATUS DA ETAPA]],"")</f>
        <v/>
      </c>
      <c r="CV333" s="21" t="str">
        <f>IF([1]!BANCO10[[#This Row],[SOLUÇÃO]]=CV$1,[1]!BANCO10[[#This Row],[STATUS DA ETAPA]],"")</f>
        <v/>
      </c>
    </row>
    <row r="334" spans="1:100">
      <c r="A334" s="44" t="s">
        <v>1</v>
      </c>
      <c r="B334" s="44"/>
      <c r="C334" s="44" t="s">
        <v>1</v>
      </c>
      <c r="D334" s="44"/>
      <c r="E334" s="44" t="s">
        <v>1</v>
      </c>
      <c r="F334" s="44"/>
      <c r="G334" s="44" t="s">
        <v>1</v>
      </c>
      <c r="H334" s="44"/>
      <c r="I334" s="45" t="s">
        <v>1</v>
      </c>
      <c r="J334" s="46"/>
      <c r="K334" s="45" t="s">
        <v>1</v>
      </c>
      <c r="L334" s="33"/>
      <c r="M334" s="45" t="s">
        <v>1</v>
      </c>
      <c r="N334" s="33"/>
      <c r="O334" s="44" t="s">
        <v>2</v>
      </c>
      <c r="P334" s="44">
        <v>44963</v>
      </c>
      <c r="Q334" s="44" t="s">
        <v>2</v>
      </c>
      <c r="R334" s="44">
        <v>45260</v>
      </c>
      <c r="S334" s="44" t="s">
        <v>2</v>
      </c>
      <c r="T334" s="44"/>
      <c r="U334" s="44" t="s">
        <v>2</v>
      </c>
      <c r="V334" s="44"/>
      <c r="W334" s="44"/>
      <c r="X334" s="44"/>
      <c r="Y334" s="44"/>
      <c r="Z334" s="44"/>
      <c r="AA334" s="44" t="s">
        <v>1</v>
      </c>
      <c r="AB334" s="44"/>
      <c r="AC334" s="51">
        <v>45963</v>
      </c>
      <c r="AD334" s="50">
        <v>45963</v>
      </c>
      <c r="AE334" s="41" t="s">
        <v>1</v>
      </c>
      <c r="AF334" s="41" t="s">
        <v>1</v>
      </c>
      <c r="AG334" s="76" t="s">
        <v>5</v>
      </c>
      <c r="AH334" s="36" t="s">
        <v>0</v>
      </c>
      <c r="AI334" s="49">
        <v>0</v>
      </c>
      <c r="AJ334" s="36"/>
      <c r="AK334" s="10" t="s">
        <v>30</v>
      </c>
      <c r="AL334" s="36" t="s">
        <v>30</v>
      </c>
      <c r="AM334" s="36" t="s">
        <v>30</v>
      </c>
      <c r="AN334" s="35" t="s">
        <v>1</v>
      </c>
      <c r="AO334" s="35" t="s">
        <v>1</v>
      </c>
      <c r="AP334" s="35"/>
      <c r="AQ334" s="35" t="s">
        <v>1</v>
      </c>
      <c r="AR334" s="34" t="s">
        <v>1</v>
      </c>
      <c r="AS334" s="33"/>
      <c r="AT334" s="32"/>
      <c r="AU334" s="31"/>
      <c r="AV334" s="32"/>
      <c r="AW334" s="31"/>
      <c r="AX334" s="30" t="s">
        <v>0</v>
      </c>
      <c r="AY334" s="29"/>
      <c r="AZ334" s="28" t="s">
        <v>0</v>
      </c>
      <c r="BA334" s="27"/>
      <c r="BB334" s="74" t="s">
        <v>560</v>
      </c>
      <c r="BC334" s="25"/>
      <c r="BD334" s="24" t="s">
        <v>11</v>
      </c>
      <c r="BE334" s="24" t="s">
        <v>11</v>
      </c>
      <c r="BF334" s="24" t="s">
        <v>11</v>
      </c>
      <c r="BG334" s="24" t="s">
        <v>11</v>
      </c>
      <c r="BH334" s="130" t="s">
        <v>11</v>
      </c>
      <c r="BI334" s="24"/>
      <c r="BJ334" s="24" t="s">
        <v>11</v>
      </c>
      <c r="BK334" s="24" t="s">
        <v>11</v>
      </c>
      <c r="BL334" s="24">
        <v>45402</v>
      </c>
      <c r="BM334" s="24" t="s">
        <v>11</v>
      </c>
      <c r="BN334" s="24" t="s">
        <v>11</v>
      </c>
      <c r="BO334" s="24"/>
      <c r="BP334" s="24" t="s">
        <v>286</v>
      </c>
      <c r="BQ334" s="22">
        <f>YEAR([1]!BANCO10[[#This Row],[DATA INÍCIO]])</f>
        <v>2025</v>
      </c>
      <c r="BR334" s="22">
        <f>MONTH([1]!BANCO10[[#This Row],[DATA INÍCIO]])</f>
        <v>11</v>
      </c>
      <c r="BS334" s="129" t="e">
        <f>CONCATENATE(#REF!,#REF!)</f>
        <v>#REF!</v>
      </c>
      <c r="BT334" s="22"/>
      <c r="BU334" s="21" t="s">
        <v>30</v>
      </c>
      <c r="BV334" s="21" t="str">
        <f>IF([1]!BANCO10[[#This Row],[SOLUÇÃO]]=BV$1,[1]!BANCO10[[#This Row],[STATUS DA ETAPA]],"")</f>
        <v/>
      </c>
      <c r="BW334" s="21" t="str">
        <f>IF([1]!BANCO10[[#This Row],[SOLUÇÃO]]=BW$1,[1]!BANCO10[[#This Row],[STATUS DA ETAPA]],"")</f>
        <v/>
      </c>
      <c r="BX334" s="21" t="str">
        <f>IF([1]!BANCO10[[#This Row],[SOLUÇÃO]]=BX$1,[1]!BANCO10[[#This Row],[STATUS DA ETAPA]],"")</f>
        <v/>
      </c>
      <c r="BY334" s="21" t="str">
        <f>IF([1]!BANCO10[[#This Row],[SOLUÇÃO]]=BY$1,[1]!BANCO10[[#This Row],[STATUS DA ETAPA]],"")</f>
        <v/>
      </c>
      <c r="BZ334" s="21" t="str">
        <f>IF([1]!BANCO10[[#This Row],[SOLUÇÃO]]=BZ$1,[1]!BANCO10[[#This Row],[STATUS DA ETAPA]],"")</f>
        <v/>
      </c>
      <c r="CA334" s="21" t="str">
        <f>IF([1]!BANCO10[[#This Row],[SOLUÇÃO]]=CA$1,[1]!BANCO10[[#This Row],[STATUS DA ETAPA]],"")</f>
        <v>PROSPECÇÃO</v>
      </c>
      <c r="CB334" s="21" t="str">
        <f>IF([1]!BANCO10[[#This Row],[SOLUÇÃO]]=CB$1,[1]!BANCO10[[#This Row],[STATUS DA ETAPA]],"")</f>
        <v/>
      </c>
      <c r="CC334" s="21" t="str">
        <f>IF([1]!BANCO10[[#This Row],[SOLUÇÃO]]=CC$1,[1]!BANCO10[[#This Row],[STATUS DA ETAPA]],"")</f>
        <v/>
      </c>
      <c r="CD334" s="21" t="str">
        <f>IF([1]!BANCO10[[#This Row],[SOLUÇÃO]]=CD$1,[1]!BANCO10[[#This Row],[STATUS DA ETAPA]],"")</f>
        <v/>
      </c>
      <c r="CE334" s="21" t="str">
        <f>IF([1]!BANCO10[[#This Row],[SOLUÇÃO]]=CE$1,[1]!BANCO10[[#This Row],[STATUS DA ETAPA]],"")</f>
        <v/>
      </c>
      <c r="CF334" s="21" t="str">
        <f>IF([1]!BANCO10[[#This Row],[SOLUÇÃO]]=CF$1,[1]!BANCO10[[#This Row],[STATUS DA ETAPA]],"")</f>
        <v/>
      </c>
      <c r="CG334" s="21" t="str">
        <f>IF([1]!BANCO10[[#This Row],[SOLUÇÃO]]=CG$1,[1]!BANCO10[[#This Row],[STATUS DA ETAPA]],"")</f>
        <v/>
      </c>
      <c r="CH334" s="21" t="str">
        <f>IF([1]!BANCO10[[#This Row],[SOLUÇÃO]]=CH$1,[1]!BANCO10[[#This Row],[STATUS DA ETAPA]],"")</f>
        <v/>
      </c>
      <c r="CI334" s="21" t="str">
        <f>IF([1]!BANCO10[[#This Row],[SOLUÇÃO]]=CI$1,[1]!BANCO10[[#This Row],[STATUS DA ETAPA]],"")</f>
        <v/>
      </c>
      <c r="CJ334" s="21" t="str">
        <f>IF([1]!BANCO10[[#This Row],[SOLUÇÃO]]=CJ$1,[1]!BANCO10[[#This Row],[STATUS DA ETAPA]],"")</f>
        <v/>
      </c>
      <c r="CK334" s="21" t="str">
        <f>IF([1]!BANCO10[[#This Row],[SOLUÇÃO]]=CK$1,[1]!BANCO10[[#This Row],[STATUS DA ETAPA]],"")</f>
        <v/>
      </c>
      <c r="CL334" s="21" t="str">
        <f>IF([1]!BANCO10[[#This Row],[SOLUÇÃO]]=CL$1,[1]!BANCO10[[#This Row],[STATUS DA ETAPA]],"")</f>
        <v/>
      </c>
      <c r="CM334" s="21" t="str">
        <f>IF([1]!BANCO10[[#This Row],[SOLUÇÃO]]=CM$1,[1]!BANCO10[[#This Row],[STATUS DA ETAPA]],"")</f>
        <v/>
      </c>
      <c r="CN334" s="21" t="str">
        <f>IF([1]!BANCO10[[#This Row],[SOLUÇÃO]]=CN$1,[1]!BANCO10[[#This Row],[STATUS DA ETAPA]],"")</f>
        <v/>
      </c>
      <c r="CO334" s="21" t="str">
        <f>IF([1]!BANCO10[[#This Row],[SOLUÇÃO]]=CO$1,[1]!BANCO10[[#This Row],[STATUS DA ETAPA]],"")</f>
        <v/>
      </c>
      <c r="CP334" s="21" t="str">
        <f>IF([1]!BANCO10[[#This Row],[SOLUÇÃO]]=CP$1,[1]!BANCO10[[#This Row],[STATUS DA ETAPA]],"")</f>
        <v/>
      </c>
      <c r="CQ334" s="21" t="str">
        <f>IF([1]!BANCO10[[#This Row],[SOLUÇÃO]]=CQ$1,[1]!BANCO10[[#This Row],[STATUS DA ETAPA]],"")</f>
        <v/>
      </c>
      <c r="CR334" s="21" t="str">
        <f>IF([1]!BANCO10[[#This Row],[SOLUÇÃO]]=CR$1,[1]!BANCO10[[#This Row],[STATUS DA ETAPA]],"")</f>
        <v/>
      </c>
      <c r="CS334" s="21" t="str">
        <f>IF([1]!BANCO10[[#This Row],[SOLUÇÃO]]=CS$1,[1]!BANCO10[[#This Row],[STATUS DA ETAPA]],"")</f>
        <v/>
      </c>
      <c r="CT334" s="21" t="str">
        <f>IF([1]!BANCO10[[#This Row],[SOLUÇÃO]]=CT$1,[1]!BANCO10[[#This Row],[STATUS DA ETAPA]],"")</f>
        <v/>
      </c>
      <c r="CU334" s="21" t="str">
        <f>IF([1]!BANCO10[[#This Row],[SOLUÇÃO]]=CU$1,[1]!BANCO10[[#This Row],[STATUS DA ETAPA]],"")</f>
        <v/>
      </c>
      <c r="CV334" s="21" t="str">
        <f>IF([1]!BANCO10[[#This Row],[SOLUÇÃO]]=CV$1,[1]!BANCO10[[#This Row],[STATUS DA ETAPA]],"")</f>
        <v/>
      </c>
    </row>
    <row r="335" spans="1:100">
      <c r="A335" s="44" t="s">
        <v>2</v>
      </c>
      <c r="B335" s="44" t="s">
        <v>559</v>
      </c>
      <c r="C335" s="44" t="s">
        <v>2</v>
      </c>
      <c r="D335" s="44">
        <v>45568</v>
      </c>
      <c r="E335" s="44" t="s">
        <v>2</v>
      </c>
      <c r="F335" s="44" t="s">
        <v>558</v>
      </c>
      <c r="G335" s="44" t="s">
        <v>2</v>
      </c>
      <c r="H335" s="44">
        <v>45573</v>
      </c>
      <c r="I335" s="45" t="s">
        <v>2</v>
      </c>
      <c r="J335" s="46">
        <v>45536</v>
      </c>
      <c r="K335" s="45" t="s">
        <v>2</v>
      </c>
      <c r="L335" s="33">
        <v>45536</v>
      </c>
      <c r="M335" s="45" t="s">
        <v>2</v>
      </c>
      <c r="N335" s="33">
        <v>45588</v>
      </c>
      <c r="O335" s="44" t="s">
        <v>2</v>
      </c>
      <c r="P335" s="44">
        <v>45531</v>
      </c>
      <c r="Q335" s="44" t="s">
        <v>2</v>
      </c>
      <c r="R335" s="44">
        <v>45536</v>
      </c>
      <c r="S335" s="44" t="s">
        <v>2</v>
      </c>
      <c r="T335" s="44">
        <v>45607</v>
      </c>
      <c r="U335" s="44" t="s">
        <v>1</v>
      </c>
      <c r="V335" s="44"/>
      <c r="W335" s="44" t="s">
        <v>1</v>
      </c>
      <c r="X335" s="44"/>
      <c r="Y335" s="44" t="s">
        <v>1</v>
      </c>
      <c r="Z335" s="44"/>
      <c r="AA335" s="44" t="s">
        <v>1</v>
      </c>
      <c r="AB335" s="44"/>
      <c r="AC335" s="51">
        <v>45672</v>
      </c>
      <c r="AD335" s="50">
        <v>45756</v>
      </c>
      <c r="AE335" s="41" t="s">
        <v>2</v>
      </c>
      <c r="AF335" s="41" t="s">
        <v>2</v>
      </c>
      <c r="AG335" s="40" t="s">
        <v>5</v>
      </c>
      <c r="AH335" s="36" t="s">
        <v>0</v>
      </c>
      <c r="AI335" s="49">
        <v>20140</v>
      </c>
      <c r="AJ335" s="36" t="s">
        <v>6</v>
      </c>
      <c r="AK335" s="21">
        <v>574602</v>
      </c>
      <c r="AL335" s="36" t="s">
        <v>1</v>
      </c>
      <c r="AM335" s="36" t="s">
        <v>1</v>
      </c>
      <c r="AN335" s="35" t="s">
        <v>2</v>
      </c>
      <c r="AO335" s="35" t="s">
        <v>2</v>
      </c>
      <c r="AP335" s="35" t="s">
        <v>2</v>
      </c>
      <c r="AQ335" s="35" t="s">
        <v>2</v>
      </c>
      <c r="AR335" s="34" t="s">
        <v>2</v>
      </c>
      <c r="AS335" s="33">
        <v>45786</v>
      </c>
      <c r="AT335" s="32" t="s">
        <v>1</v>
      </c>
      <c r="AU335" s="31"/>
      <c r="AV335" s="32" t="s">
        <v>1</v>
      </c>
      <c r="AW335" s="31"/>
      <c r="AX335" s="30" t="s">
        <v>2</v>
      </c>
      <c r="AY335" s="31">
        <v>45786</v>
      </c>
      <c r="AZ335" s="28" t="s">
        <v>0</v>
      </c>
      <c r="BA335" s="27"/>
      <c r="BB335" s="95" t="s">
        <v>143</v>
      </c>
      <c r="BC335" s="25" t="s">
        <v>41</v>
      </c>
      <c r="BD335" s="24"/>
      <c r="BE335" s="24"/>
      <c r="BF335" s="79"/>
      <c r="BG335" s="79"/>
      <c r="BH335" s="80"/>
      <c r="BI335" s="79"/>
      <c r="BJ335" s="54"/>
      <c r="BK335" s="78"/>
      <c r="BL335" s="69"/>
      <c r="BM335" s="78"/>
      <c r="BN335" s="78"/>
      <c r="BO335" s="78"/>
      <c r="BP335" s="78"/>
      <c r="BQ335" s="21">
        <f>YEAR([1]!BANCO10[[#This Row],[DATA INÍCIO]])</f>
        <v>2025</v>
      </c>
      <c r="BR335" s="21">
        <f>MONTH([1]!BANCO10[[#This Row],[DATA INÍCIO]])</f>
        <v>1</v>
      </c>
      <c r="BS335" s="21" t="e">
        <f>CONCATENATE(#REF!,#REF!)</f>
        <v>#REF!</v>
      </c>
      <c r="BT335" s="21"/>
      <c r="BU335" s="21"/>
      <c r="BV335" s="21" t="str">
        <f>IF([1]!BANCO10[[#This Row],[SOLUÇÃO]]=BV$1,[1]!BANCO10[[#This Row],[STATUS DA ETAPA]],"")</f>
        <v/>
      </c>
      <c r="BW335" s="21" t="str">
        <f>IF([1]!BANCO10[[#This Row],[SOLUÇÃO]]=BW$1,[1]!BANCO10[[#This Row],[STATUS DA ETAPA]],"")</f>
        <v/>
      </c>
      <c r="BX335" s="21" t="str">
        <f>IF([1]!BANCO10[[#This Row],[SOLUÇÃO]]=BX$1,[1]!BANCO10[[#This Row],[STATUS DA ETAPA]],"")</f>
        <v/>
      </c>
      <c r="BY335" s="21" t="str">
        <f>IF([1]!BANCO10[[#This Row],[SOLUÇÃO]]=BY$1,[1]!BANCO10[[#This Row],[STATUS DA ETAPA]],"")</f>
        <v/>
      </c>
      <c r="BZ335" s="21" t="str">
        <f>IF([1]!BANCO10[[#This Row],[SOLUÇÃO]]=BZ$1,[1]!BANCO10[[#This Row],[STATUS DA ETAPA]],"")</f>
        <v/>
      </c>
      <c r="CA335" s="21" t="str">
        <f>IF([1]!BANCO10[[#This Row],[SOLUÇÃO]]=CA$1,[1]!BANCO10[[#This Row],[STATUS DA ETAPA]],"")</f>
        <v/>
      </c>
      <c r="CB335" s="21" t="str">
        <f>IF([1]!BANCO10[[#This Row],[SOLUÇÃO]]=CB$1,[1]!BANCO10[[#This Row],[STATUS DA ETAPA]],"")</f>
        <v>CONCLUÍDO</v>
      </c>
      <c r="CC335" s="21" t="str">
        <f>IF([1]!BANCO10[[#This Row],[SOLUÇÃO]]=CC$1,[1]!BANCO10[[#This Row],[STATUS DA ETAPA]],"")</f>
        <v/>
      </c>
      <c r="CD335" s="21" t="str">
        <f>IF([1]!BANCO10[[#This Row],[SOLUÇÃO]]=CD$1,[1]!BANCO10[[#This Row],[STATUS DA ETAPA]],"")</f>
        <v/>
      </c>
      <c r="CE335" s="21" t="str">
        <f>IF([1]!BANCO10[[#This Row],[SOLUÇÃO]]=CE$1,[1]!BANCO10[[#This Row],[STATUS DA ETAPA]],"")</f>
        <v/>
      </c>
      <c r="CF335" s="21" t="str">
        <f>IF([1]!BANCO10[[#This Row],[SOLUÇÃO]]=CF$1,[1]!BANCO10[[#This Row],[STATUS DA ETAPA]],"")</f>
        <v/>
      </c>
      <c r="CG335" s="21" t="str">
        <f>IF([1]!BANCO10[[#This Row],[SOLUÇÃO]]=CG$1,[1]!BANCO10[[#This Row],[STATUS DA ETAPA]],"")</f>
        <v/>
      </c>
      <c r="CH335" s="21" t="str">
        <f>IF([1]!BANCO10[[#This Row],[SOLUÇÃO]]=CH$1,[1]!BANCO10[[#This Row],[STATUS DA ETAPA]],"")</f>
        <v/>
      </c>
      <c r="CI335" s="21" t="str">
        <f>IF([1]!BANCO10[[#This Row],[SOLUÇÃO]]=CI$1,[1]!BANCO10[[#This Row],[STATUS DA ETAPA]],"")</f>
        <v/>
      </c>
      <c r="CJ335" s="21" t="str">
        <f>IF([1]!BANCO10[[#This Row],[SOLUÇÃO]]=CJ$1,[1]!BANCO10[[#This Row],[STATUS DA ETAPA]],"")</f>
        <v/>
      </c>
      <c r="CK335" s="21" t="str">
        <f>IF([1]!BANCO10[[#This Row],[SOLUÇÃO]]=CK$1,[1]!BANCO10[[#This Row],[STATUS DA ETAPA]],"")</f>
        <v/>
      </c>
      <c r="CL335" s="22" t="str">
        <f>IF([1]!BANCO10[[#This Row],[SOLUÇÃO]]=CL$1,[1]!BANCO10[[#This Row],[STATUS DA ETAPA]],"")</f>
        <v/>
      </c>
      <c r="CM335" s="64" t="str">
        <f>IF([1]!BANCO10[[#This Row],[SOLUÇÃO]]=CM$1,[1]!BANCO10[[#This Row],[STATUS DA ETAPA]],"")</f>
        <v/>
      </c>
      <c r="CN335" s="64" t="str">
        <f>IF([1]!BANCO10[[#This Row],[SOLUÇÃO]]=CN$1,[1]!BANCO10[[#This Row],[STATUS DA ETAPA]],"")</f>
        <v/>
      </c>
      <c r="CO335" s="64" t="str">
        <f>IF([1]!BANCO10[[#This Row],[SOLUÇÃO]]=CO$1,[1]!BANCO10[[#This Row],[STATUS DA ETAPA]],"")</f>
        <v/>
      </c>
      <c r="CP335" s="64" t="str">
        <f>IF([1]!BANCO10[[#This Row],[SOLUÇÃO]]=CP$1,[1]!BANCO10[[#This Row],[STATUS DA ETAPA]],"")</f>
        <v/>
      </c>
      <c r="CQ335" s="64" t="str">
        <f>IF([1]!BANCO10[[#This Row],[SOLUÇÃO]]=CQ$1,[1]!BANCO10[[#This Row],[STATUS DA ETAPA]],"")</f>
        <v/>
      </c>
      <c r="CR335" s="64" t="str">
        <f>IF([1]!BANCO10[[#This Row],[SOLUÇÃO]]=CR$1,[1]!BANCO10[[#This Row],[STATUS DA ETAPA]],"")</f>
        <v/>
      </c>
      <c r="CS335" s="64" t="str">
        <f>IF([1]!BANCO10[[#This Row],[SOLUÇÃO]]=CS$1,[1]!BANCO10[[#This Row],[STATUS DA ETAPA]],"")</f>
        <v/>
      </c>
      <c r="CT335" s="64" t="str">
        <f>IF([1]!BANCO10[[#This Row],[SOLUÇÃO]]=CT$1,[1]!BANCO10[[#This Row],[STATUS DA ETAPA]],"")</f>
        <v/>
      </c>
      <c r="CU335" s="64" t="str">
        <f>IF([1]!BANCO10[[#This Row],[SOLUÇÃO]]=CU$1,[1]!BANCO10[[#This Row],[STATUS DA ETAPA]],"")</f>
        <v/>
      </c>
      <c r="CV335" s="64" t="str">
        <f>IF([1]!BANCO10[[#This Row],[SOLUÇÃO]]=CV$1,[1]!BANCO10[[#This Row],[STATUS DA ETAPA]],"")</f>
        <v/>
      </c>
    </row>
    <row r="336" spans="1:100">
      <c r="A336" s="44" t="s">
        <v>1</v>
      </c>
      <c r="B336" s="44"/>
      <c r="C336" s="44" t="s">
        <v>1</v>
      </c>
      <c r="D336" s="44"/>
      <c r="E336" s="44" t="s">
        <v>1</v>
      </c>
      <c r="F336" s="44"/>
      <c r="G336" s="44" t="s">
        <v>1</v>
      </c>
      <c r="H336" s="44"/>
      <c r="I336" s="45" t="s">
        <v>1</v>
      </c>
      <c r="J336" s="46"/>
      <c r="K336" s="45" t="s">
        <v>1</v>
      </c>
      <c r="L336" s="33"/>
      <c r="M336" s="45" t="s">
        <v>1</v>
      </c>
      <c r="N336" s="33"/>
      <c r="O336" s="44" t="s">
        <v>2</v>
      </c>
      <c r="P336" s="44">
        <v>45159</v>
      </c>
      <c r="Q336" s="44" t="s">
        <v>0</v>
      </c>
      <c r="R336" s="44"/>
      <c r="S336" s="44" t="s">
        <v>1</v>
      </c>
      <c r="T336" s="44"/>
      <c r="U336" s="44" t="s">
        <v>1</v>
      </c>
      <c r="V336" s="44"/>
      <c r="W336" s="44" t="s">
        <v>1</v>
      </c>
      <c r="X336" s="44"/>
      <c r="Y336" s="44" t="s">
        <v>1</v>
      </c>
      <c r="Z336" s="44"/>
      <c r="AA336" s="44" t="s">
        <v>1</v>
      </c>
      <c r="AB336" s="44"/>
      <c r="AC336" s="51">
        <v>45156</v>
      </c>
      <c r="AD336" s="50">
        <v>45156</v>
      </c>
      <c r="AE336" s="40" t="s">
        <v>1</v>
      </c>
      <c r="AF336" s="40" t="s">
        <v>1</v>
      </c>
      <c r="AG336" s="76" t="s">
        <v>5</v>
      </c>
      <c r="AH336" s="36" t="s">
        <v>1</v>
      </c>
      <c r="AI336" s="49">
        <v>0</v>
      </c>
      <c r="AJ336" s="36" t="s">
        <v>1</v>
      </c>
      <c r="AK336" s="10" t="s">
        <v>1</v>
      </c>
      <c r="AL336" s="36" t="s">
        <v>1</v>
      </c>
      <c r="AM336" s="36" t="s">
        <v>1</v>
      </c>
      <c r="AN336" s="35" t="s">
        <v>1</v>
      </c>
      <c r="AO336" s="35" t="s">
        <v>1</v>
      </c>
      <c r="AP336" s="35" t="s">
        <v>1</v>
      </c>
      <c r="AQ336" s="35" t="s">
        <v>1</v>
      </c>
      <c r="AR336" s="82" t="s">
        <v>1</v>
      </c>
      <c r="AS336" s="33"/>
      <c r="AT336" s="32" t="s">
        <v>1</v>
      </c>
      <c r="AU336" s="31"/>
      <c r="AV336" s="32" t="s">
        <v>1</v>
      </c>
      <c r="AW336" s="31"/>
      <c r="AX336" s="30" t="s">
        <v>1</v>
      </c>
      <c r="AY336" s="55"/>
      <c r="AZ336" s="30" t="s">
        <v>1</v>
      </c>
      <c r="BA336" s="55"/>
      <c r="BB336" s="74" t="s">
        <v>557</v>
      </c>
      <c r="BC336" s="25"/>
      <c r="BD336" s="24" t="s">
        <v>556</v>
      </c>
      <c r="BE336" s="24" t="s">
        <v>19</v>
      </c>
      <c r="BF336" s="24" t="s">
        <v>51</v>
      </c>
      <c r="BG336" s="24" t="s">
        <v>11</v>
      </c>
      <c r="BH336" s="130" t="s">
        <v>18</v>
      </c>
      <c r="BI336" s="24" t="s">
        <v>51</v>
      </c>
      <c r="BJ336" s="24" t="s">
        <v>11</v>
      </c>
      <c r="BK336" s="24" t="s">
        <v>11</v>
      </c>
      <c r="BL336" s="24" t="s">
        <v>11</v>
      </c>
      <c r="BM336" s="24" t="s">
        <v>11</v>
      </c>
      <c r="BN336" s="24" t="s">
        <v>11</v>
      </c>
      <c r="BO336" s="24" t="s">
        <v>11</v>
      </c>
      <c r="BP336" s="24" t="s">
        <v>11</v>
      </c>
      <c r="BQ336" s="22">
        <f>YEAR([1]!BANCO10[[#This Row],[DATA INÍCIO]])</f>
        <v>2023</v>
      </c>
      <c r="BR336" s="22">
        <f>MONTH([1]!BANCO10[[#This Row],[DATA INÍCIO]])</f>
        <v>8</v>
      </c>
      <c r="BS336" s="129" t="e">
        <f>CONCATENATE(#REF!,#REF!)</f>
        <v>#REF!</v>
      </c>
      <c r="BT336" s="22"/>
      <c r="BU336" s="21" t="s">
        <v>555</v>
      </c>
      <c r="BV336" s="21" t="str">
        <f>IF([1]!BANCO10[[#This Row],[SOLUÇÃO]]=BV$1,[1]!BANCO10[[#This Row],[STATUS DA ETAPA]],"")</f>
        <v>CONCLUÍDO</v>
      </c>
      <c r="BW336" s="21" t="str">
        <f>IF([1]!BANCO10[[#This Row],[SOLUÇÃO]]=BW$1,[1]!BANCO10[[#This Row],[STATUS DA ETAPA]],"")</f>
        <v/>
      </c>
      <c r="BX336" s="21" t="str">
        <f>IF([1]!BANCO10[[#This Row],[SOLUÇÃO]]=BX$1,[1]!BANCO10[[#This Row],[STATUS DA ETAPA]],"")</f>
        <v/>
      </c>
      <c r="BY336" s="21" t="str">
        <f>IF([1]!BANCO10[[#This Row],[SOLUÇÃO]]=BY$1,[1]!BANCO10[[#This Row],[STATUS DA ETAPA]],"")</f>
        <v/>
      </c>
      <c r="BZ336" s="21" t="str">
        <f>IF([1]!BANCO10[[#This Row],[SOLUÇÃO]]=BZ$1,[1]!BANCO10[[#This Row],[STATUS DA ETAPA]],"")</f>
        <v/>
      </c>
      <c r="CA336" s="21" t="str">
        <f>IF([1]!BANCO10[[#This Row],[SOLUÇÃO]]=CA$1,[1]!BANCO10[[#This Row],[STATUS DA ETAPA]],"")</f>
        <v/>
      </c>
      <c r="CB336" s="21" t="str">
        <f>IF([1]!BANCO10[[#This Row],[SOLUÇÃO]]=CB$1,[1]!BANCO10[[#This Row],[STATUS DA ETAPA]],"")</f>
        <v/>
      </c>
      <c r="CC336" s="21" t="str">
        <f>IF([1]!BANCO10[[#This Row],[SOLUÇÃO]]=CC$1,[1]!BANCO10[[#This Row],[STATUS DA ETAPA]],"")</f>
        <v/>
      </c>
      <c r="CD336" s="21" t="str">
        <f>IF([1]!BANCO10[[#This Row],[SOLUÇÃO]]=CD$1,[1]!BANCO10[[#This Row],[STATUS DA ETAPA]],"")</f>
        <v/>
      </c>
      <c r="CE336" s="21" t="str">
        <f>IF([1]!BANCO10[[#This Row],[SOLUÇÃO]]=CE$1,[1]!BANCO10[[#This Row],[STATUS DA ETAPA]],"")</f>
        <v/>
      </c>
      <c r="CF336" s="21" t="str">
        <f>IF([1]!BANCO10[[#This Row],[SOLUÇÃO]]=CF$1,[1]!BANCO10[[#This Row],[STATUS DA ETAPA]],"")</f>
        <v/>
      </c>
      <c r="CG336" s="21" t="str">
        <f>IF([1]!BANCO10[[#This Row],[SOLUÇÃO]]=CG$1,[1]!BANCO10[[#This Row],[STATUS DA ETAPA]],"")</f>
        <v/>
      </c>
      <c r="CH336" s="21" t="str">
        <f>IF([1]!BANCO10[[#This Row],[SOLUÇÃO]]=CH$1,[1]!BANCO10[[#This Row],[STATUS DA ETAPA]],"")</f>
        <v/>
      </c>
      <c r="CI336" s="21" t="str">
        <f>IF([1]!BANCO10[[#This Row],[SOLUÇÃO]]=CI$1,[1]!BANCO10[[#This Row],[STATUS DA ETAPA]],"")</f>
        <v/>
      </c>
      <c r="CJ336" s="21" t="str">
        <f>IF([1]!BANCO10[[#This Row],[SOLUÇÃO]]=CJ$1,[1]!BANCO10[[#This Row],[STATUS DA ETAPA]],"")</f>
        <v/>
      </c>
      <c r="CK336" s="21" t="str">
        <f>IF([1]!BANCO10[[#This Row],[SOLUÇÃO]]=CK$1,[1]!BANCO10[[#This Row],[STATUS DA ETAPA]],"")</f>
        <v/>
      </c>
      <c r="CL336" s="21" t="str">
        <f>IF([1]!BANCO10[[#This Row],[SOLUÇÃO]]=CL$1,[1]!BANCO10[[#This Row],[STATUS DA ETAPA]],"")</f>
        <v/>
      </c>
      <c r="CM336" s="21" t="str">
        <f>IF([1]!BANCO10[[#This Row],[SOLUÇÃO]]=CM$1,[1]!BANCO10[[#This Row],[STATUS DA ETAPA]],"")</f>
        <v/>
      </c>
      <c r="CN336" s="21" t="str">
        <f>IF([1]!BANCO10[[#This Row],[SOLUÇÃO]]=CN$1,[1]!BANCO10[[#This Row],[STATUS DA ETAPA]],"")</f>
        <v/>
      </c>
      <c r="CO336" s="21" t="str">
        <f>IF([1]!BANCO10[[#This Row],[SOLUÇÃO]]=CO$1,[1]!BANCO10[[#This Row],[STATUS DA ETAPA]],"")</f>
        <v/>
      </c>
      <c r="CP336" s="21" t="str">
        <f>IF([1]!BANCO10[[#This Row],[SOLUÇÃO]]=CP$1,[1]!BANCO10[[#This Row],[STATUS DA ETAPA]],"")</f>
        <v/>
      </c>
      <c r="CQ336" s="21" t="str">
        <f>IF([1]!BANCO10[[#This Row],[SOLUÇÃO]]=CQ$1,[1]!BANCO10[[#This Row],[STATUS DA ETAPA]],"")</f>
        <v/>
      </c>
      <c r="CR336" s="21" t="str">
        <f>IF([1]!BANCO10[[#This Row],[SOLUÇÃO]]=CR$1,[1]!BANCO10[[#This Row],[STATUS DA ETAPA]],"")</f>
        <v/>
      </c>
      <c r="CS336" s="21" t="str">
        <f>IF([1]!BANCO10[[#This Row],[SOLUÇÃO]]=CS$1,[1]!BANCO10[[#This Row],[STATUS DA ETAPA]],"")</f>
        <v/>
      </c>
      <c r="CT336" s="21" t="str">
        <f>IF([1]!BANCO10[[#This Row],[SOLUÇÃO]]=CT$1,[1]!BANCO10[[#This Row],[STATUS DA ETAPA]],"")</f>
        <v/>
      </c>
      <c r="CU336" s="21" t="str">
        <f>IF([1]!BANCO10[[#This Row],[SOLUÇÃO]]=CU$1,[1]!BANCO10[[#This Row],[STATUS DA ETAPA]],"")</f>
        <v/>
      </c>
      <c r="CV336" s="21" t="str">
        <f>IF([1]!BANCO10[[#This Row],[SOLUÇÃO]]=CV$1,[1]!BANCO10[[#This Row],[STATUS DA ETAPA]],"")</f>
        <v/>
      </c>
    </row>
    <row r="337" spans="1:100">
      <c r="A337" s="44" t="s">
        <v>1</v>
      </c>
      <c r="B337" s="44"/>
      <c r="C337" s="44" t="s">
        <v>1</v>
      </c>
      <c r="D337" s="44"/>
      <c r="E337" s="44" t="s">
        <v>1</v>
      </c>
      <c r="F337" s="44"/>
      <c r="G337" s="44" t="s">
        <v>1</v>
      </c>
      <c r="H337" s="44"/>
      <c r="I337" s="45" t="s">
        <v>1</v>
      </c>
      <c r="J337" s="46"/>
      <c r="K337" s="45" t="s">
        <v>1</v>
      </c>
      <c r="L337" s="33"/>
      <c r="M337" s="45" t="s">
        <v>1</v>
      </c>
      <c r="N337" s="33"/>
      <c r="O337" s="44" t="s">
        <v>2</v>
      </c>
      <c r="P337" s="44">
        <v>45159</v>
      </c>
      <c r="Q337" s="44" t="s">
        <v>2</v>
      </c>
      <c r="R337" s="44">
        <v>45366</v>
      </c>
      <c r="S337" s="44" t="s">
        <v>2</v>
      </c>
      <c r="T337" s="44">
        <v>45365</v>
      </c>
      <c r="U337" s="44" t="s">
        <v>2</v>
      </c>
      <c r="V337" s="44">
        <v>45379</v>
      </c>
      <c r="W337" s="44" t="s">
        <v>2</v>
      </c>
      <c r="X337" s="44"/>
      <c r="Y337" s="44" t="s">
        <v>2</v>
      </c>
      <c r="Z337" s="44">
        <v>45366</v>
      </c>
      <c r="AA337" s="44" t="s">
        <v>2</v>
      </c>
      <c r="AB337" s="44"/>
      <c r="AC337" s="51">
        <v>45408</v>
      </c>
      <c r="AD337" s="50">
        <v>45499</v>
      </c>
      <c r="AE337" s="40" t="s">
        <v>2</v>
      </c>
      <c r="AF337" s="40" t="s">
        <v>2</v>
      </c>
      <c r="AG337" s="76" t="s">
        <v>5</v>
      </c>
      <c r="AH337" s="36" t="s">
        <v>0</v>
      </c>
      <c r="AI337" s="49">
        <v>0</v>
      </c>
      <c r="AJ337" s="36" t="s">
        <v>6</v>
      </c>
      <c r="AK337" s="10">
        <v>0</v>
      </c>
      <c r="AL337" s="36">
        <v>4742</v>
      </c>
      <c r="AM337" s="36">
        <v>0</v>
      </c>
      <c r="AN337" s="35" t="s">
        <v>1</v>
      </c>
      <c r="AO337" s="35" t="s">
        <v>1</v>
      </c>
      <c r="AP337" s="35" t="s">
        <v>2</v>
      </c>
      <c r="AQ337" s="35" t="s">
        <v>1</v>
      </c>
      <c r="AR337" s="34" t="s">
        <v>1</v>
      </c>
      <c r="AS337" s="33"/>
      <c r="AT337" s="32" t="s">
        <v>1</v>
      </c>
      <c r="AU337" s="31"/>
      <c r="AV337" s="32" t="s">
        <v>1</v>
      </c>
      <c r="AW337" s="31"/>
      <c r="AX337" s="30" t="s">
        <v>2</v>
      </c>
      <c r="AY337" s="55">
        <v>45499</v>
      </c>
      <c r="AZ337" s="30" t="s">
        <v>0</v>
      </c>
      <c r="BA337" s="55"/>
      <c r="BB337" s="74"/>
      <c r="BC337" s="25"/>
      <c r="BD337" s="24"/>
      <c r="BE337" s="24"/>
      <c r="BF337" s="24"/>
      <c r="BG337" s="24"/>
      <c r="BH337" s="130"/>
      <c r="BI337" s="24"/>
      <c r="BJ337" s="24"/>
      <c r="BK337" s="24"/>
      <c r="BL337" s="24">
        <v>45389</v>
      </c>
      <c r="BM337" s="24" t="s">
        <v>18</v>
      </c>
      <c r="BN337" s="24" t="s">
        <v>11</v>
      </c>
      <c r="BO337" s="24"/>
      <c r="BP337" s="24" t="s">
        <v>151</v>
      </c>
      <c r="BQ337" s="22">
        <f>YEAR([1]!BANCO10[[#This Row],[DATA INÍCIO]])</f>
        <v>2024</v>
      </c>
      <c r="BR337" s="22">
        <f>MONTH([1]!BANCO10[[#This Row],[DATA INÍCIO]])</f>
        <v>4</v>
      </c>
      <c r="BS337" s="129" t="e">
        <f>CONCATENATE(#REF!,#REF!)</f>
        <v>#REF!</v>
      </c>
      <c r="BT337" s="22"/>
      <c r="BU337" s="21" t="s">
        <v>554</v>
      </c>
      <c r="BV337" s="21" t="str">
        <f>IF([1]!BANCO10[[#This Row],[SOLUÇÃO]]=BV$1,[1]!BANCO10[[#This Row],[STATUS DA ETAPA]],"")</f>
        <v/>
      </c>
      <c r="BW337" s="21" t="str">
        <f>IF([1]!BANCO10[[#This Row],[SOLUÇÃO]]=BW$1,[1]!BANCO10[[#This Row],[STATUS DA ETAPA]],"")</f>
        <v/>
      </c>
      <c r="BX337" s="21" t="str">
        <f>IF([1]!BANCO10[[#This Row],[SOLUÇÃO]]=BX$1,[1]!BANCO10[[#This Row],[STATUS DA ETAPA]],"")</f>
        <v/>
      </c>
      <c r="BY337" s="21" t="str">
        <f>IF([1]!BANCO10[[#This Row],[SOLUÇÃO]]=BY$1,[1]!BANCO10[[#This Row],[STATUS DA ETAPA]],"")</f>
        <v/>
      </c>
      <c r="BZ337" s="21" t="str">
        <f>IF([1]!BANCO10[[#This Row],[SOLUÇÃO]]=BZ$1,[1]!BANCO10[[#This Row],[STATUS DA ETAPA]],"")</f>
        <v/>
      </c>
      <c r="CA337" s="21" t="str">
        <f>IF([1]!BANCO10[[#This Row],[SOLUÇÃO]]=CA$1,[1]!BANCO10[[#This Row],[STATUS DA ETAPA]],"")</f>
        <v/>
      </c>
      <c r="CB337" s="21" t="str">
        <f>IF([1]!BANCO10[[#This Row],[SOLUÇÃO]]=CB$1,[1]!BANCO10[[#This Row],[STATUS DA ETAPA]],"")</f>
        <v/>
      </c>
      <c r="CC337" s="21" t="str">
        <f>IF([1]!BANCO10[[#This Row],[SOLUÇÃO]]=CC$1,[1]!BANCO10[[#This Row],[STATUS DA ETAPA]],"")</f>
        <v/>
      </c>
      <c r="CD337" s="21" t="str">
        <f>IF([1]!BANCO10[[#This Row],[SOLUÇÃO]]=CD$1,[1]!BANCO10[[#This Row],[STATUS DA ETAPA]],"")</f>
        <v/>
      </c>
      <c r="CE337" s="21" t="str">
        <f>IF([1]!BANCO10[[#This Row],[SOLUÇÃO]]=CE$1,[1]!BANCO10[[#This Row],[STATUS DA ETAPA]],"")</f>
        <v/>
      </c>
      <c r="CF337" s="21" t="str">
        <f>IF([1]!BANCO10[[#This Row],[SOLUÇÃO]]=CF$1,[1]!BANCO10[[#This Row],[STATUS DA ETAPA]],"")</f>
        <v/>
      </c>
      <c r="CG337" s="21" t="str">
        <f>IF([1]!BANCO10[[#This Row],[SOLUÇÃO]]=CG$1,[1]!BANCO10[[#This Row],[STATUS DA ETAPA]],"")</f>
        <v/>
      </c>
      <c r="CH337" s="21" t="str">
        <f>IF([1]!BANCO10[[#This Row],[SOLUÇÃO]]=CH$1,[1]!BANCO10[[#This Row],[STATUS DA ETAPA]],"")</f>
        <v/>
      </c>
      <c r="CI337" s="21" t="str">
        <f>IF([1]!BANCO10[[#This Row],[SOLUÇÃO]]=CI$1,[1]!BANCO10[[#This Row],[STATUS DA ETAPA]],"")</f>
        <v/>
      </c>
      <c r="CJ337" s="21" t="str">
        <f>IF([1]!BANCO10[[#This Row],[SOLUÇÃO]]=CJ$1,[1]!BANCO10[[#This Row],[STATUS DA ETAPA]],"")</f>
        <v/>
      </c>
      <c r="CK337" s="21" t="str">
        <f>IF([1]!BANCO10[[#This Row],[SOLUÇÃO]]=CK$1,[1]!BANCO10[[#This Row],[STATUS DA ETAPA]],"")</f>
        <v/>
      </c>
      <c r="CL337" s="21" t="str">
        <f>IF([1]!BANCO10[[#This Row],[SOLUÇÃO]]=CL$1,[1]!BANCO10[[#This Row],[STATUS DA ETAPA]],"")</f>
        <v>CONCLUÍDO</v>
      </c>
      <c r="CM337" s="21" t="str">
        <f>IF([1]!BANCO10[[#This Row],[SOLUÇÃO]]=CM$1,[1]!BANCO10[[#This Row],[STATUS DA ETAPA]],"")</f>
        <v/>
      </c>
      <c r="CN337" s="21" t="str">
        <f>IF([1]!BANCO10[[#This Row],[SOLUÇÃO]]=CN$1,[1]!BANCO10[[#This Row],[STATUS DA ETAPA]],"")</f>
        <v/>
      </c>
      <c r="CO337" s="21" t="str">
        <f>IF([1]!BANCO10[[#This Row],[SOLUÇÃO]]=CO$1,[1]!BANCO10[[#This Row],[STATUS DA ETAPA]],"")</f>
        <v/>
      </c>
      <c r="CP337" s="21" t="str">
        <f>IF([1]!BANCO10[[#This Row],[SOLUÇÃO]]=CP$1,[1]!BANCO10[[#This Row],[STATUS DA ETAPA]],"")</f>
        <v/>
      </c>
      <c r="CQ337" s="21" t="str">
        <f>IF([1]!BANCO10[[#This Row],[SOLUÇÃO]]=CQ$1,[1]!BANCO10[[#This Row],[STATUS DA ETAPA]],"")</f>
        <v/>
      </c>
      <c r="CR337" s="21" t="str">
        <f>IF([1]!BANCO10[[#This Row],[SOLUÇÃO]]=CR$1,[1]!BANCO10[[#This Row],[STATUS DA ETAPA]],"")</f>
        <v/>
      </c>
      <c r="CS337" s="21" t="str">
        <f>IF([1]!BANCO10[[#This Row],[SOLUÇÃO]]=CS$1,[1]!BANCO10[[#This Row],[STATUS DA ETAPA]],"")</f>
        <v/>
      </c>
      <c r="CT337" s="21" t="str">
        <f>IF([1]!BANCO10[[#This Row],[SOLUÇÃO]]=CT$1,[1]!BANCO10[[#This Row],[STATUS DA ETAPA]],"")</f>
        <v/>
      </c>
      <c r="CU337" s="21" t="str">
        <f>IF([1]!BANCO10[[#This Row],[SOLUÇÃO]]=CU$1,[1]!BANCO10[[#This Row],[STATUS DA ETAPA]],"")</f>
        <v/>
      </c>
      <c r="CV337" s="21" t="str">
        <f>IF([1]!BANCO10[[#This Row],[SOLUÇÃO]]=CV$1,[1]!BANCO10[[#This Row],[STATUS DA ETAPA]],"")</f>
        <v/>
      </c>
    </row>
    <row r="338" spans="1:100">
      <c r="A338" s="44" t="s">
        <v>1</v>
      </c>
      <c r="B338" s="44"/>
      <c r="C338" s="44" t="s">
        <v>1</v>
      </c>
      <c r="D338" s="44"/>
      <c r="E338" s="44" t="s">
        <v>1</v>
      </c>
      <c r="F338" s="44"/>
      <c r="G338" s="44" t="s">
        <v>1</v>
      </c>
      <c r="H338" s="44"/>
      <c r="I338" s="45" t="s">
        <v>1</v>
      </c>
      <c r="J338" s="46"/>
      <c r="K338" s="45" t="s">
        <v>1</v>
      </c>
      <c r="L338" s="33"/>
      <c r="M338" s="45" t="s">
        <v>1</v>
      </c>
      <c r="N338" s="33"/>
      <c r="O338" s="44" t="s">
        <v>1</v>
      </c>
      <c r="P338" s="44"/>
      <c r="Q338" s="44" t="s">
        <v>1</v>
      </c>
      <c r="R338" s="44"/>
      <c r="S338" s="44" t="s">
        <v>1</v>
      </c>
      <c r="T338" s="44"/>
      <c r="U338" s="44" t="s">
        <v>1</v>
      </c>
      <c r="V338" s="44"/>
      <c r="W338" s="44" t="s">
        <v>1</v>
      </c>
      <c r="X338" s="44"/>
      <c r="Y338" s="44" t="s">
        <v>1</v>
      </c>
      <c r="Z338" s="44"/>
      <c r="AA338" s="44" t="s">
        <v>1</v>
      </c>
      <c r="AB338" s="44"/>
      <c r="AC338" s="51">
        <v>45551</v>
      </c>
      <c r="AD338" s="50">
        <v>45551</v>
      </c>
      <c r="AE338" s="41" t="s">
        <v>1</v>
      </c>
      <c r="AF338" s="41" t="s">
        <v>1</v>
      </c>
      <c r="AG338" s="40" t="s">
        <v>5</v>
      </c>
      <c r="AH338" s="36" t="s">
        <v>1</v>
      </c>
      <c r="AI338" s="49">
        <v>0</v>
      </c>
      <c r="AJ338" s="36" t="s">
        <v>1</v>
      </c>
      <c r="AK338" s="10" t="s">
        <v>1</v>
      </c>
      <c r="AL338" s="36" t="s">
        <v>1</v>
      </c>
      <c r="AM338" s="36" t="s">
        <v>1</v>
      </c>
      <c r="AN338" s="35" t="s">
        <v>1</v>
      </c>
      <c r="AO338" s="35" t="s">
        <v>1</v>
      </c>
      <c r="AP338" s="35" t="s">
        <v>1</v>
      </c>
      <c r="AQ338" s="35" t="s">
        <v>1</v>
      </c>
      <c r="AR338" s="90" t="s">
        <v>1</v>
      </c>
      <c r="AS338" s="89"/>
      <c r="AT338" s="88"/>
      <c r="AU338" s="25"/>
      <c r="AV338" s="88"/>
      <c r="AW338" s="25"/>
      <c r="AX338" s="88" t="s">
        <v>1</v>
      </c>
      <c r="AY338" s="25"/>
      <c r="AZ338" s="88" t="s">
        <v>1</v>
      </c>
      <c r="BA338" s="25"/>
      <c r="BB338" s="39" t="s">
        <v>144</v>
      </c>
      <c r="BC338" s="25"/>
      <c r="BD338" s="24"/>
      <c r="BE338" s="24"/>
      <c r="BF338" s="79"/>
      <c r="BG338" s="79"/>
      <c r="BH338" s="80"/>
      <c r="BI338" s="79"/>
      <c r="BJ338" s="54"/>
      <c r="BK338" s="78"/>
      <c r="BL338" s="69"/>
      <c r="BM338" s="78"/>
      <c r="BN338" s="78"/>
      <c r="BO338" s="78"/>
      <c r="BP338" s="78"/>
      <c r="BQ338" s="21">
        <f>YEAR([1]!BANCO10[[#This Row],[DATA INÍCIO]])</f>
        <v>2024</v>
      </c>
      <c r="BR338" s="21">
        <f>MONTH([1]!BANCO10[[#This Row],[DATA INÍCIO]])</f>
        <v>9</v>
      </c>
      <c r="BS338" s="21" t="e">
        <f>CONCATENATE(#REF!,#REF!)</f>
        <v>#REF!</v>
      </c>
      <c r="BT338" s="21"/>
      <c r="BU338" s="21"/>
      <c r="BV338" s="21" t="str">
        <f>IF([1]!BANCO10[[#This Row],[SOLUÇÃO]]=BV$1,[1]!BANCO10[[#This Row],[STATUS DA ETAPA]],"")</f>
        <v>CONCLUÍDO</v>
      </c>
      <c r="BW338" s="21" t="str">
        <f>IF([1]!BANCO10[[#This Row],[SOLUÇÃO]]=BW$1,[1]!BANCO10[[#This Row],[STATUS DA ETAPA]],"")</f>
        <v/>
      </c>
      <c r="BX338" s="21" t="str">
        <f>IF([1]!BANCO10[[#This Row],[SOLUÇÃO]]=BX$1,[1]!BANCO10[[#This Row],[STATUS DA ETAPA]],"")</f>
        <v/>
      </c>
      <c r="BY338" s="21" t="str">
        <f>IF([1]!BANCO10[[#This Row],[SOLUÇÃO]]=BY$1,[1]!BANCO10[[#This Row],[STATUS DA ETAPA]],"")</f>
        <v/>
      </c>
      <c r="BZ338" s="21" t="str">
        <f>IF([1]!BANCO10[[#This Row],[SOLUÇÃO]]=BZ$1,[1]!BANCO10[[#This Row],[STATUS DA ETAPA]],"")</f>
        <v/>
      </c>
      <c r="CA338" s="21" t="str">
        <f>IF([1]!BANCO10[[#This Row],[SOLUÇÃO]]=CA$1,[1]!BANCO10[[#This Row],[STATUS DA ETAPA]],"")</f>
        <v/>
      </c>
      <c r="CB338" s="21" t="str">
        <f>IF([1]!BANCO10[[#This Row],[SOLUÇÃO]]=CB$1,[1]!BANCO10[[#This Row],[STATUS DA ETAPA]],"")</f>
        <v/>
      </c>
      <c r="CC338" s="21" t="str">
        <f>IF([1]!BANCO10[[#This Row],[SOLUÇÃO]]=CC$1,[1]!BANCO10[[#This Row],[STATUS DA ETAPA]],"")</f>
        <v/>
      </c>
      <c r="CD338" s="21" t="str">
        <f>IF([1]!BANCO10[[#This Row],[SOLUÇÃO]]=CD$1,[1]!BANCO10[[#This Row],[STATUS DA ETAPA]],"")</f>
        <v/>
      </c>
      <c r="CE338" s="21" t="str">
        <f>IF([1]!BANCO10[[#This Row],[SOLUÇÃO]]=CE$1,[1]!BANCO10[[#This Row],[STATUS DA ETAPA]],"")</f>
        <v/>
      </c>
      <c r="CF338" s="21" t="str">
        <f>IF([1]!BANCO10[[#This Row],[SOLUÇÃO]]=CF$1,[1]!BANCO10[[#This Row],[STATUS DA ETAPA]],"")</f>
        <v/>
      </c>
      <c r="CG338" s="21" t="str">
        <f>IF([1]!BANCO10[[#This Row],[SOLUÇÃO]]=CG$1,[1]!BANCO10[[#This Row],[STATUS DA ETAPA]],"")</f>
        <v/>
      </c>
      <c r="CH338" s="21" t="str">
        <f>IF([1]!BANCO10[[#This Row],[SOLUÇÃO]]=CH$1,[1]!BANCO10[[#This Row],[STATUS DA ETAPA]],"")</f>
        <v/>
      </c>
      <c r="CI338" s="21" t="str">
        <f>IF([1]!BANCO10[[#This Row],[SOLUÇÃO]]=CI$1,[1]!BANCO10[[#This Row],[STATUS DA ETAPA]],"")</f>
        <v/>
      </c>
      <c r="CJ338" s="21" t="str">
        <f>IF([1]!BANCO10[[#This Row],[SOLUÇÃO]]=CJ$1,[1]!BANCO10[[#This Row],[STATUS DA ETAPA]],"")</f>
        <v/>
      </c>
      <c r="CK338" s="21" t="str">
        <f>IF([1]!BANCO10[[#This Row],[SOLUÇÃO]]=CK$1,[1]!BANCO10[[#This Row],[STATUS DA ETAPA]],"")</f>
        <v/>
      </c>
      <c r="CL338" s="22" t="str">
        <f>IF([1]!BANCO10[[#This Row],[SOLUÇÃO]]=CL$1,[1]!BANCO10[[#This Row],[STATUS DA ETAPA]],"")</f>
        <v/>
      </c>
      <c r="CM338" s="64" t="str">
        <f>IF([1]!BANCO10[[#This Row],[SOLUÇÃO]]=CM$1,[1]!BANCO10[[#This Row],[STATUS DA ETAPA]],"")</f>
        <v/>
      </c>
      <c r="CN338" s="64" t="str">
        <f>IF([1]!BANCO10[[#This Row],[SOLUÇÃO]]=CN$1,[1]!BANCO10[[#This Row],[STATUS DA ETAPA]],"")</f>
        <v/>
      </c>
      <c r="CO338" s="64" t="str">
        <f>IF([1]!BANCO10[[#This Row],[SOLUÇÃO]]=CO$1,[1]!BANCO10[[#This Row],[STATUS DA ETAPA]],"")</f>
        <v/>
      </c>
      <c r="CP338" s="64" t="str">
        <f>IF([1]!BANCO10[[#This Row],[SOLUÇÃO]]=CP$1,[1]!BANCO10[[#This Row],[STATUS DA ETAPA]],"")</f>
        <v/>
      </c>
      <c r="CQ338" s="64" t="str">
        <f>IF([1]!BANCO10[[#This Row],[SOLUÇÃO]]=CQ$1,[1]!BANCO10[[#This Row],[STATUS DA ETAPA]],"")</f>
        <v/>
      </c>
      <c r="CR338" s="64" t="str">
        <f>IF([1]!BANCO10[[#This Row],[SOLUÇÃO]]=CR$1,[1]!BANCO10[[#This Row],[STATUS DA ETAPA]],"")</f>
        <v/>
      </c>
      <c r="CS338" s="64" t="str">
        <f>IF([1]!BANCO10[[#This Row],[SOLUÇÃO]]=CS$1,[1]!BANCO10[[#This Row],[STATUS DA ETAPA]],"")</f>
        <v/>
      </c>
      <c r="CT338" s="64" t="str">
        <f>IF([1]!BANCO10[[#This Row],[SOLUÇÃO]]=CT$1,[1]!BANCO10[[#This Row],[STATUS DA ETAPA]],"")</f>
        <v/>
      </c>
      <c r="CU338" s="64" t="str">
        <f>IF([1]!BANCO10[[#This Row],[SOLUÇÃO]]=CU$1,[1]!BANCO10[[#This Row],[STATUS DA ETAPA]],"")</f>
        <v/>
      </c>
      <c r="CV338" s="64" t="str">
        <f>IF([1]!BANCO10[[#This Row],[SOLUÇÃO]]=CV$1,[1]!BANCO10[[#This Row],[STATUS DA ETAPA]],"")</f>
        <v/>
      </c>
    </row>
    <row r="339" spans="1:100">
      <c r="A339" s="44" t="s">
        <v>1</v>
      </c>
      <c r="B339" s="44"/>
      <c r="C339" s="44" t="s">
        <v>1</v>
      </c>
      <c r="D339" s="44"/>
      <c r="E339" s="44" t="s">
        <v>1</v>
      </c>
      <c r="F339" s="44"/>
      <c r="G339" s="44" t="s">
        <v>1</v>
      </c>
      <c r="H339" s="44"/>
      <c r="I339" s="45" t="s">
        <v>1</v>
      </c>
      <c r="J339" s="46"/>
      <c r="K339" s="45" t="s">
        <v>1</v>
      </c>
      <c r="L339" s="33"/>
      <c r="M339" s="45" t="s">
        <v>1</v>
      </c>
      <c r="N339" s="33"/>
      <c r="O339" s="44" t="s">
        <v>1</v>
      </c>
      <c r="P339" s="44"/>
      <c r="Q339" s="44" t="s">
        <v>1</v>
      </c>
      <c r="R339" s="44"/>
      <c r="S339" s="44" t="s">
        <v>1</v>
      </c>
      <c r="T339" s="44"/>
      <c r="U339" s="44" t="s">
        <v>1</v>
      </c>
      <c r="V339" s="44"/>
      <c r="W339" s="44" t="s">
        <v>1</v>
      </c>
      <c r="X339" s="44"/>
      <c r="Y339" s="44" t="s">
        <v>1</v>
      </c>
      <c r="Z339" s="44"/>
      <c r="AA339" s="44" t="s">
        <v>1</v>
      </c>
      <c r="AB339" s="44"/>
      <c r="AC339" s="51">
        <v>45807</v>
      </c>
      <c r="AD339" s="50">
        <v>45807</v>
      </c>
      <c r="AE339" s="41" t="s">
        <v>1</v>
      </c>
      <c r="AF339" s="41" t="s">
        <v>1</v>
      </c>
      <c r="AG339" s="40" t="s">
        <v>4</v>
      </c>
      <c r="AH339" s="36" t="s">
        <v>0</v>
      </c>
      <c r="AI339" s="49">
        <v>0</v>
      </c>
      <c r="AJ339" s="36" t="s">
        <v>1</v>
      </c>
      <c r="AK339" s="10" t="s">
        <v>1</v>
      </c>
      <c r="AL339" s="36" t="s">
        <v>1</v>
      </c>
      <c r="AM339" s="36" t="s">
        <v>1</v>
      </c>
      <c r="AN339" s="35" t="s">
        <v>1</v>
      </c>
      <c r="AO339" s="35" t="s">
        <v>1</v>
      </c>
      <c r="AP339" s="35" t="s">
        <v>1</v>
      </c>
      <c r="AQ339" s="35" t="s">
        <v>2</v>
      </c>
      <c r="AR339" s="34" t="s">
        <v>0</v>
      </c>
      <c r="AS339" s="33"/>
      <c r="AT339" s="30" t="s">
        <v>0</v>
      </c>
      <c r="AU339" s="31"/>
      <c r="AV339" s="30" t="s">
        <v>0</v>
      </c>
      <c r="AW339" s="31"/>
      <c r="AX339" s="30" t="s">
        <v>0</v>
      </c>
      <c r="AY339" s="29"/>
      <c r="AZ339" s="28" t="s">
        <v>0</v>
      </c>
      <c r="BA339" s="27"/>
      <c r="BB339" s="26"/>
      <c r="BC339" s="25"/>
      <c r="BD339" s="24"/>
      <c r="BE339" s="24"/>
      <c r="BF339" s="24"/>
      <c r="BG339" s="24"/>
      <c r="BH339" s="24"/>
      <c r="BI339" s="24"/>
      <c r="BJ339" s="24"/>
      <c r="BK339" s="24"/>
      <c r="BL339" s="24"/>
      <c r="BM339" s="24"/>
      <c r="BN339" s="24"/>
      <c r="BO339" s="24"/>
      <c r="BP339" s="24"/>
      <c r="BQ339" s="22">
        <f>YEAR([1]!BANCO10[[#This Row],[DATA INÍCIO]])</f>
        <v>2025</v>
      </c>
      <c r="BR339" s="22">
        <f>MONTH([1]!BANCO10[[#This Row],[DATA INÍCIO]])</f>
        <v>5</v>
      </c>
      <c r="BS339" s="23" t="e">
        <f>CONCATENATE(#REF!,#REF!)</f>
        <v>#REF!</v>
      </c>
      <c r="BT339" s="22"/>
      <c r="BU339" s="22"/>
      <c r="BV339" s="21" t="str">
        <f>IF([1]!BANCO10[[#This Row],[SOLUÇÃO]]=BV$1,[1]!BANCO10[[#This Row],[STATUS DA ETAPA]],"")</f>
        <v/>
      </c>
      <c r="BW339" s="21" t="str">
        <f>IF([1]!BANCO10[[#This Row],[SOLUÇÃO]]=BW$1,[1]!BANCO10[[#This Row],[STATUS DA ETAPA]],"")</f>
        <v/>
      </c>
      <c r="BX339" s="21" t="str">
        <f>IF([1]!BANCO10[[#This Row],[SOLUÇÃO]]=BX$1,[1]!BANCO10[[#This Row],[STATUS DA ETAPA]],"")</f>
        <v/>
      </c>
      <c r="BY339" s="21" t="str">
        <f>IF([1]!BANCO10[[#This Row],[SOLUÇÃO]]=BY$1,[1]!BANCO10[[#This Row],[STATUS DA ETAPA]],"")</f>
        <v/>
      </c>
      <c r="BZ339" s="21" t="str">
        <f>IF([1]!BANCO10[[#This Row],[SOLUÇÃO]]=BZ$1,[1]!BANCO10[[#This Row],[STATUS DA ETAPA]],"")</f>
        <v/>
      </c>
      <c r="CA339" s="21" t="str">
        <f>IF([1]!BANCO10[[#This Row],[SOLUÇÃO]]=CA$1,[1]!BANCO10[[#This Row],[STATUS DA ETAPA]],"")</f>
        <v/>
      </c>
      <c r="CB339" s="21" t="str">
        <f>IF([1]!BANCO10[[#This Row],[SOLUÇÃO]]=CB$1,[1]!BANCO10[[#This Row],[STATUS DA ETAPA]],"")</f>
        <v/>
      </c>
      <c r="CC339" s="21" t="str">
        <f>IF([1]!BANCO10[[#This Row],[SOLUÇÃO]]=CC$1,[1]!BANCO10[[#This Row],[STATUS DA ETAPA]],"")</f>
        <v/>
      </c>
      <c r="CD339" s="21" t="str">
        <f>IF([1]!BANCO10[[#This Row],[SOLUÇÃO]]=CD$1,[1]!BANCO10[[#This Row],[STATUS DA ETAPA]],"")</f>
        <v/>
      </c>
      <c r="CE339" s="21" t="str">
        <f>IF([1]!BANCO10[[#This Row],[SOLUÇÃO]]=CE$1,[1]!BANCO10[[#This Row],[STATUS DA ETAPA]],"")</f>
        <v/>
      </c>
      <c r="CF339" s="21" t="str">
        <f>IF([1]!BANCO10[[#This Row],[SOLUÇÃO]]=CF$1,[1]!BANCO10[[#This Row],[STATUS DA ETAPA]],"")</f>
        <v/>
      </c>
      <c r="CG339" s="21" t="str">
        <f>IF([1]!BANCO10[[#This Row],[SOLUÇÃO]]=CG$1,[1]!BANCO10[[#This Row],[STATUS DA ETAPA]],"")</f>
        <v/>
      </c>
      <c r="CH339" s="21" t="str">
        <f>IF([1]!BANCO10[[#This Row],[SOLUÇÃO]]=CH$1,[1]!BANCO10[[#This Row],[STATUS DA ETAPA]],"")</f>
        <v/>
      </c>
      <c r="CI339" s="21" t="str">
        <f>IF([1]!BANCO10[[#This Row],[SOLUÇÃO]]=CI$1,[1]!BANCO10[[#This Row],[STATUS DA ETAPA]],"")</f>
        <v/>
      </c>
      <c r="CJ339" s="21" t="str">
        <f>IF([1]!BANCO10[[#This Row],[SOLUÇÃO]]=CJ$1,[1]!BANCO10[[#This Row],[STATUS DA ETAPA]],"")</f>
        <v/>
      </c>
      <c r="CK339" s="21" t="str">
        <f>IF([1]!BANCO10[[#This Row],[SOLUÇÃO]]=CK$1,[1]!BANCO10[[#This Row],[STATUS DA ETAPA]],"")</f>
        <v/>
      </c>
      <c r="CL339" s="21" t="str">
        <f>IF([1]!BANCO10[[#This Row],[SOLUÇÃO]]=CL$1,[1]!BANCO10[[#This Row],[STATUS DA ETAPA]],"")</f>
        <v/>
      </c>
      <c r="CM339" s="21" t="str">
        <f>IF([1]!BANCO10[[#This Row],[SOLUÇÃO]]=CM$1,[1]!BANCO10[[#This Row],[STATUS DA ETAPA]],"")</f>
        <v/>
      </c>
      <c r="CN339" s="21" t="str">
        <f>IF([1]!BANCO10[[#This Row],[SOLUÇÃO]]=CN$1,[1]!BANCO10[[#This Row],[STATUS DA ETAPA]],"")</f>
        <v/>
      </c>
      <c r="CO339" s="21" t="str">
        <f>IF([1]!BANCO10[[#This Row],[SOLUÇÃO]]=CO$1,[1]!BANCO10[[#This Row],[STATUS DA ETAPA]],"")</f>
        <v/>
      </c>
      <c r="CP339" s="21" t="str">
        <f>IF([1]!BANCO10[[#This Row],[SOLUÇÃO]]=CP$1,[1]!BANCO10[[#This Row],[STATUS DA ETAPA]],"")</f>
        <v/>
      </c>
      <c r="CQ339" s="21" t="str">
        <f>IF([1]!BANCO10[[#This Row],[SOLUÇÃO]]=CQ$1,[1]!BANCO10[[#This Row],[STATUS DA ETAPA]],"")</f>
        <v/>
      </c>
      <c r="CR339" s="21" t="str">
        <f>IF([1]!BANCO10[[#This Row],[SOLUÇÃO]]=CR$1,[1]!BANCO10[[#This Row],[STATUS DA ETAPA]],"")</f>
        <v/>
      </c>
      <c r="CS339" s="21" t="str">
        <f>IF([1]!BANCO10[[#This Row],[SOLUÇÃO]]=CS$1,[1]!BANCO10[[#This Row],[STATUS DA ETAPA]],"")</f>
        <v/>
      </c>
      <c r="CT339" s="21" t="str">
        <f>IF([1]!BANCO10[[#This Row],[SOLUÇÃO]]=CT$1,[1]!BANCO10[[#This Row],[STATUS DA ETAPA]],"")</f>
        <v/>
      </c>
      <c r="CU339" s="21" t="str">
        <f>IF([1]!BANCO10[[#This Row],[SOLUÇÃO]]=CU$1,[1]!BANCO10[[#This Row],[STATUS DA ETAPA]],"")</f>
        <v/>
      </c>
      <c r="CV339" s="21" t="str">
        <f>IF([1]!BANCO10[[#This Row],[SOLUÇÃO]]=CV$1,[1]!BANCO10[[#This Row],[STATUS DA ETAPA]],"")</f>
        <v/>
      </c>
    </row>
    <row r="340" spans="1:100">
      <c r="A340" s="44" t="s">
        <v>1</v>
      </c>
      <c r="B340" s="44"/>
      <c r="C340" s="44" t="s">
        <v>1</v>
      </c>
      <c r="D340" s="44"/>
      <c r="E340" s="44" t="s">
        <v>1</v>
      </c>
      <c r="F340" s="44"/>
      <c r="G340" s="44" t="s">
        <v>1</v>
      </c>
      <c r="H340" s="44"/>
      <c r="I340" s="45" t="s">
        <v>1</v>
      </c>
      <c r="J340" s="46"/>
      <c r="K340" s="45" t="s">
        <v>1</v>
      </c>
      <c r="L340" s="33"/>
      <c r="M340" s="45" t="s">
        <v>1</v>
      </c>
      <c r="N340" s="33"/>
      <c r="O340" s="44" t="s">
        <v>2</v>
      </c>
      <c r="P340" s="44">
        <v>44903</v>
      </c>
      <c r="Q340" s="44" t="s">
        <v>0</v>
      </c>
      <c r="R340" s="44"/>
      <c r="S340" s="44" t="s">
        <v>1</v>
      </c>
      <c r="T340" s="44"/>
      <c r="U340" s="44" t="s">
        <v>1</v>
      </c>
      <c r="V340" s="44"/>
      <c r="W340" s="44" t="s">
        <v>1</v>
      </c>
      <c r="X340" s="44"/>
      <c r="Y340" s="44" t="s">
        <v>1</v>
      </c>
      <c r="Z340" s="44"/>
      <c r="AA340" s="44" t="s">
        <v>1</v>
      </c>
      <c r="AB340" s="44"/>
      <c r="AC340" s="84">
        <v>44902</v>
      </c>
      <c r="AD340" s="83">
        <v>44902</v>
      </c>
      <c r="AE340" s="40" t="s">
        <v>1</v>
      </c>
      <c r="AF340" s="40" t="s">
        <v>1</v>
      </c>
      <c r="AG340" s="76" t="s">
        <v>5</v>
      </c>
      <c r="AH340" s="36" t="s">
        <v>1</v>
      </c>
      <c r="AI340" s="49">
        <v>0</v>
      </c>
      <c r="AJ340" s="36" t="s">
        <v>1</v>
      </c>
      <c r="AK340" s="10" t="s">
        <v>1</v>
      </c>
      <c r="AL340" s="36" t="s">
        <v>1</v>
      </c>
      <c r="AM340" s="36" t="s">
        <v>1</v>
      </c>
      <c r="AN340" s="35" t="s">
        <v>1</v>
      </c>
      <c r="AO340" s="35" t="s">
        <v>1</v>
      </c>
      <c r="AP340" s="35" t="s">
        <v>1</v>
      </c>
      <c r="AQ340" s="35" t="s">
        <v>1</v>
      </c>
      <c r="AR340" s="48" t="s">
        <v>1</v>
      </c>
      <c r="AS340" s="33"/>
      <c r="AT340" s="32" t="s">
        <v>1</v>
      </c>
      <c r="AU340" s="31"/>
      <c r="AV340" s="32" t="s">
        <v>1</v>
      </c>
      <c r="AW340" s="31"/>
      <c r="AX340" s="30" t="s">
        <v>1</v>
      </c>
      <c r="AY340" s="55"/>
      <c r="AZ340" s="30" t="s">
        <v>1</v>
      </c>
      <c r="BA340" s="91"/>
      <c r="BB340" s="74"/>
      <c r="BC340" s="25"/>
      <c r="BD340" s="24" t="s">
        <v>11</v>
      </c>
      <c r="BE340" s="24" t="s">
        <v>11</v>
      </c>
      <c r="BF340" s="24" t="s">
        <v>88</v>
      </c>
      <c r="BG340" s="24" t="s">
        <v>21</v>
      </c>
      <c r="BH340" s="130" t="s">
        <v>19</v>
      </c>
      <c r="BI340" s="24"/>
      <c r="BJ340" s="24" t="s">
        <v>11</v>
      </c>
      <c r="BK340" s="24" t="s">
        <v>11</v>
      </c>
      <c r="BL340" s="24" t="s">
        <v>11</v>
      </c>
      <c r="BM340" s="24" t="s">
        <v>11</v>
      </c>
      <c r="BN340" s="24" t="s">
        <v>11</v>
      </c>
      <c r="BO340" s="24" t="s">
        <v>11</v>
      </c>
      <c r="BP340" s="24" t="s">
        <v>11</v>
      </c>
      <c r="BQ340" s="22">
        <f>YEAR([1]!BANCO10[[#This Row],[DATA INÍCIO]])</f>
        <v>2022</v>
      </c>
      <c r="BR340" s="22">
        <f>MONTH([1]!BANCO10[[#This Row],[DATA INÍCIO]])</f>
        <v>12</v>
      </c>
      <c r="BS340" s="129" t="e">
        <f>CONCATENATE(#REF!,#REF!)</f>
        <v>#REF!</v>
      </c>
      <c r="BT340" s="22"/>
      <c r="BU340" s="21" t="s">
        <v>553</v>
      </c>
      <c r="BV340" s="21" t="str">
        <f>IF([1]!BANCO10[[#This Row],[SOLUÇÃO]]=BV$1,[1]!BANCO10[[#This Row],[STATUS DA ETAPA]],"")</f>
        <v>CONCLUÍDO</v>
      </c>
      <c r="BW340" s="21" t="str">
        <f>IF([1]!BANCO10[[#This Row],[SOLUÇÃO]]=BW$1,[1]!BANCO10[[#This Row],[STATUS DA ETAPA]],"")</f>
        <v/>
      </c>
      <c r="BX340" s="21" t="str">
        <f>IF([1]!BANCO10[[#This Row],[SOLUÇÃO]]=BX$1,[1]!BANCO10[[#This Row],[STATUS DA ETAPA]],"")</f>
        <v/>
      </c>
      <c r="BY340" s="21" t="str">
        <f>IF([1]!BANCO10[[#This Row],[SOLUÇÃO]]=BY$1,[1]!BANCO10[[#This Row],[STATUS DA ETAPA]],"")</f>
        <v/>
      </c>
      <c r="BZ340" s="21" t="str">
        <f>IF([1]!BANCO10[[#This Row],[SOLUÇÃO]]=BZ$1,[1]!BANCO10[[#This Row],[STATUS DA ETAPA]],"")</f>
        <v/>
      </c>
      <c r="CA340" s="21" t="str">
        <f>IF([1]!BANCO10[[#This Row],[SOLUÇÃO]]=CA$1,[1]!BANCO10[[#This Row],[STATUS DA ETAPA]],"")</f>
        <v/>
      </c>
      <c r="CB340" s="21" t="str">
        <f>IF([1]!BANCO10[[#This Row],[SOLUÇÃO]]=CB$1,[1]!BANCO10[[#This Row],[STATUS DA ETAPA]],"")</f>
        <v/>
      </c>
      <c r="CC340" s="21" t="str">
        <f>IF([1]!BANCO10[[#This Row],[SOLUÇÃO]]=CC$1,[1]!BANCO10[[#This Row],[STATUS DA ETAPA]],"")</f>
        <v/>
      </c>
      <c r="CD340" s="21" t="str">
        <f>IF([1]!BANCO10[[#This Row],[SOLUÇÃO]]=CD$1,[1]!BANCO10[[#This Row],[STATUS DA ETAPA]],"")</f>
        <v/>
      </c>
      <c r="CE340" s="21" t="str">
        <f>IF([1]!BANCO10[[#This Row],[SOLUÇÃO]]=CE$1,[1]!BANCO10[[#This Row],[STATUS DA ETAPA]],"")</f>
        <v/>
      </c>
      <c r="CF340" s="21" t="str">
        <f>IF([1]!BANCO10[[#This Row],[SOLUÇÃO]]=CF$1,[1]!BANCO10[[#This Row],[STATUS DA ETAPA]],"")</f>
        <v/>
      </c>
      <c r="CG340" s="21" t="str">
        <f>IF([1]!BANCO10[[#This Row],[SOLUÇÃO]]=CG$1,[1]!BANCO10[[#This Row],[STATUS DA ETAPA]],"")</f>
        <v/>
      </c>
      <c r="CH340" s="21" t="str">
        <f>IF([1]!BANCO10[[#This Row],[SOLUÇÃO]]=CH$1,[1]!BANCO10[[#This Row],[STATUS DA ETAPA]],"")</f>
        <v/>
      </c>
      <c r="CI340" s="21" t="str">
        <f>IF([1]!BANCO10[[#This Row],[SOLUÇÃO]]=CI$1,[1]!BANCO10[[#This Row],[STATUS DA ETAPA]],"")</f>
        <v/>
      </c>
      <c r="CJ340" s="21" t="str">
        <f>IF([1]!BANCO10[[#This Row],[SOLUÇÃO]]=CJ$1,[1]!BANCO10[[#This Row],[STATUS DA ETAPA]],"")</f>
        <v/>
      </c>
      <c r="CK340" s="21" t="str">
        <f>IF([1]!BANCO10[[#This Row],[SOLUÇÃO]]=CK$1,[1]!BANCO10[[#This Row],[STATUS DA ETAPA]],"")</f>
        <v/>
      </c>
      <c r="CL340" s="21" t="str">
        <f>IF([1]!BANCO10[[#This Row],[SOLUÇÃO]]=CL$1,[1]!BANCO10[[#This Row],[STATUS DA ETAPA]],"")</f>
        <v/>
      </c>
      <c r="CM340" s="21" t="str">
        <f>IF([1]!BANCO10[[#This Row],[SOLUÇÃO]]=CM$1,[1]!BANCO10[[#This Row],[STATUS DA ETAPA]],"")</f>
        <v/>
      </c>
      <c r="CN340" s="21" t="str">
        <f>IF([1]!BANCO10[[#This Row],[SOLUÇÃO]]=CN$1,[1]!BANCO10[[#This Row],[STATUS DA ETAPA]],"")</f>
        <v/>
      </c>
      <c r="CO340" s="21" t="str">
        <f>IF([1]!BANCO10[[#This Row],[SOLUÇÃO]]=CO$1,[1]!BANCO10[[#This Row],[STATUS DA ETAPA]],"")</f>
        <v/>
      </c>
      <c r="CP340" s="21" t="str">
        <f>IF([1]!BANCO10[[#This Row],[SOLUÇÃO]]=CP$1,[1]!BANCO10[[#This Row],[STATUS DA ETAPA]],"")</f>
        <v/>
      </c>
      <c r="CQ340" s="21" t="str">
        <f>IF([1]!BANCO10[[#This Row],[SOLUÇÃO]]=CQ$1,[1]!BANCO10[[#This Row],[STATUS DA ETAPA]],"")</f>
        <v/>
      </c>
      <c r="CR340" s="21" t="str">
        <f>IF([1]!BANCO10[[#This Row],[SOLUÇÃO]]=CR$1,[1]!BANCO10[[#This Row],[STATUS DA ETAPA]],"")</f>
        <v/>
      </c>
      <c r="CS340" s="21" t="str">
        <f>IF([1]!BANCO10[[#This Row],[SOLUÇÃO]]=CS$1,[1]!BANCO10[[#This Row],[STATUS DA ETAPA]],"")</f>
        <v/>
      </c>
      <c r="CT340" s="21" t="str">
        <f>IF([1]!BANCO10[[#This Row],[SOLUÇÃO]]=CT$1,[1]!BANCO10[[#This Row],[STATUS DA ETAPA]],"")</f>
        <v/>
      </c>
      <c r="CU340" s="21" t="str">
        <f>IF([1]!BANCO10[[#This Row],[SOLUÇÃO]]=CU$1,[1]!BANCO10[[#This Row],[STATUS DA ETAPA]],"")</f>
        <v/>
      </c>
      <c r="CV340" s="21" t="str">
        <f>IF([1]!BANCO10[[#This Row],[SOLUÇÃO]]=CV$1,[1]!BANCO10[[#This Row],[STATUS DA ETAPA]],"")</f>
        <v/>
      </c>
    </row>
    <row r="341" spans="1:100">
      <c r="A341" s="44" t="s">
        <v>1</v>
      </c>
      <c r="B341" s="44"/>
      <c r="C341" s="44" t="s">
        <v>1</v>
      </c>
      <c r="D341" s="44"/>
      <c r="E341" s="44" t="s">
        <v>1</v>
      </c>
      <c r="F341" s="44"/>
      <c r="G341" s="44" t="s">
        <v>1</v>
      </c>
      <c r="H341" s="44"/>
      <c r="I341" s="45" t="s">
        <v>1</v>
      </c>
      <c r="J341" s="46"/>
      <c r="K341" s="45" t="s">
        <v>1</v>
      </c>
      <c r="L341" s="33"/>
      <c r="M341" s="45" t="s">
        <v>1</v>
      </c>
      <c r="N341" s="33"/>
      <c r="O341" s="44" t="s">
        <v>2</v>
      </c>
      <c r="P341" s="44">
        <v>44903</v>
      </c>
      <c r="Q341" s="44" t="s">
        <v>2</v>
      </c>
      <c r="R341" s="44">
        <v>44904</v>
      </c>
      <c r="S341" s="44" t="s">
        <v>2</v>
      </c>
      <c r="T341" s="44">
        <v>44905</v>
      </c>
      <c r="U341" s="44" t="s">
        <v>2</v>
      </c>
      <c r="V341" s="44">
        <v>44906</v>
      </c>
      <c r="W341" s="44" t="s">
        <v>2</v>
      </c>
      <c r="X341" s="44"/>
      <c r="Y341" s="44" t="s">
        <v>2</v>
      </c>
      <c r="Z341" s="44">
        <v>44907</v>
      </c>
      <c r="AA341" s="44" t="s">
        <v>2</v>
      </c>
      <c r="AB341" s="44"/>
      <c r="AC341" s="51">
        <v>44939</v>
      </c>
      <c r="AD341" s="50">
        <v>45022</v>
      </c>
      <c r="AE341" s="40" t="s">
        <v>2</v>
      </c>
      <c r="AF341" s="40" t="s">
        <v>2</v>
      </c>
      <c r="AG341" s="76" t="s">
        <v>5</v>
      </c>
      <c r="AH341" s="36" t="s">
        <v>0</v>
      </c>
      <c r="AI341" s="49">
        <v>0</v>
      </c>
      <c r="AJ341" s="36"/>
      <c r="AK341" s="10"/>
      <c r="AL341" s="36">
        <v>4731</v>
      </c>
      <c r="AM341" s="36" t="s">
        <v>1</v>
      </c>
      <c r="AN341" s="35" t="s">
        <v>1</v>
      </c>
      <c r="AO341" s="35" t="s">
        <v>1</v>
      </c>
      <c r="AP341" s="35" t="s">
        <v>2</v>
      </c>
      <c r="AQ341" s="35" t="s">
        <v>1</v>
      </c>
      <c r="AR341" s="34" t="s">
        <v>1</v>
      </c>
      <c r="AS341" s="33"/>
      <c r="AT341" s="32" t="s">
        <v>1</v>
      </c>
      <c r="AU341" s="31"/>
      <c r="AV341" s="32" t="s">
        <v>1</v>
      </c>
      <c r="AW341" s="31"/>
      <c r="AX341" s="30" t="s">
        <v>2</v>
      </c>
      <c r="AY341" s="55">
        <v>45062</v>
      </c>
      <c r="AZ341" s="30" t="s">
        <v>2</v>
      </c>
      <c r="BA341" s="55"/>
      <c r="BB341" s="74"/>
      <c r="BC341" s="25"/>
      <c r="BD341" s="24" t="s">
        <v>11</v>
      </c>
      <c r="BE341" s="24" t="s">
        <v>11</v>
      </c>
      <c r="BF341" s="24" t="s">
        <v>88</v>
      </c>
      <c r="BG341" s="24" t="s">
        <v>21</v>
      </c>
      <c r="BH341" s="130" t="s">
        <v>19</v>
      </c>
      <c r="BI341" s="24"/>
      <c r="BJ341" s="24" t="s">
        <v>11</v>
      </c>
      <c r="BK341" s="24" t="s">
        <v>11</v>
      </c>
      <c r="BL341" s="24" t="s">
        <v>11</v>
      </c>
      <c r="BM341" s="24" t="s">
        <v>11</v>
      </c>
      <c r="BN341" s="24" t="s">
        <v>11</v>
      </c>
      <c r="BO341" s="24" t="s">
        <v>11</v>
      </c>
      <c r="BP341" s="24" t="s">
        <v>11</v>
      </c>
      <c r="BQ341" s="22">
        <f>YEAR([1]!BANCO10[[#This Row],[DATA INÍCIO]])</f>
        <v>2023</v>
      </c>
      <c r="BR341" s="22">
        <f>MONTH([1]!BANCO10[[#This Row],[DATA INÍCIO]])</f>
        <v>1</v>
      </c>
      <c r="BS341" s="129" t="e">
        <f>CONCATENATE(#REF!,#REF!)</f>
        <v>#REF!</v>
      </c>
      <c r="BT341" s="22"/>
      <c r="BU341" s="21" t="s">
        <v>552</v>
      </c>
      <c r="BV341" s="21" t="str">
        <f>IF([1]!BANCO10[[#This Row],[SOLUÇÃO]]=BV$1,[1]!BANCO10[[#This Row],[STATUS DA ETAPA]],"")</f>
        <v/>
      </c>
      <c r="BW341" s="21" t="str">
        <f>IF([1]!BANCO10[[#This Row],[SOLUÇÃO]]=BW$1,[1]!BANCO10[[#This Row],[STATUS DA ETAPA]],"")</f>
        <v/>
      </c>
      <c r="BX341" s="21" t="str">
        <f>IF([1]!BANCO10[[#This Row],[SOLUÇÃO]]=BX$1,[1]!BANCO10[[#This Row],[STATUS DA ETAPA]],"")</f>
        <v/>
      </c>
      <c r="BY341" s="21" t="str">
        <f>IF([1]!BANCO10[[#This Row],[SOLUÇÃO]]=BY$1,[1]!BANCO10[[#This Row],[STATUS DA ETAPA]],"")</f>
        <v/>
      </c>
      <c r="BZ341" s="21" t="str">
        <f>IF([1]!BANCO10[[#This Row],[SOLUÇÃO]]=BZ$1,[1]!BANCO10[[#This Row],[STATUS DA ETAPA]],"")</f>
        <v/>
      </c>
      <c r="CA341" s="21" t="str">
        <f>IF([1]!BANCO10[[#This Row],[SOLUÇÃO]]=CA$1,[1]!BANCO10[[#This Row],[STATUS DA ETAPA]],"")</f>
        <v>CONCLUÍDO</v>
      </c>
      <c r="CB341" s="21" t="str">
        <f>IF([1]!BANCO10[[#This Row],[SOLUÇÃO]]=CB$1,[1]!BANCO10[[#This Row],[STATUS DA ETAPA]],"")</f>
        <v/>
      </c>
      <c r="CC341" s="21" t="str">
        <f>IF([1]!BANCO10[[#This Row],[SOLUÇÃO]]=CC$1,[1]!BANCO10[[#This Row],[STATUS DA ETAPA]],"")</f>
        <v/>
      </c>
      <c r="CD341" s="21" t="str">
        <f>IF([1]!BANCO10[[#This Row],[SOLUÇÃO]]=CD$1,[1]!BANCO10[[#This Row],[STATUS DA ETAPA]],"")</f>
        <v/>
      </c>
      <c r="CE341" s="21" t="str">
        <f>IF([1]!BANCO10[[#This Row],[SOLUÇÃO]]=CE$1,[1]!BANCO10[[#This Row],[STATUS DA ETAPA]],"")</f>
        <v/>
      </c>
      <c r="CF341" s="21" t="str">
        <f>IF([1]!BANCO10[[#This Row],[SOLUÇÃO]]=CF$1,[1]!BANCO10[[#This Row],[STATUS DA ETAPA]],"")</f>
        <v/>
      </c>
      <c r="CG341" s="21" t="str">
        <f>IF([1]!BANCO10[[#This Row],[SOLUÇÃO]]=CG$1,[1]!BANCO10[[#This Row],[STATUS DA ETAPA]],"")</f>
        <v/>
      </c>
      <c r="CH341" s="21" t="str">
        <f>IF([1]!BANCO10[[#This Row],[SOLUÇÃO]]=CH$1,[1]!BANCO10[[#This Row],[STATUS DA ETAPA]],"")</f>
        <v/>
      </c>
      <c r="CI341" s="21" t="str">
        <f>IF([1]!BANCO10[[#This Row],[SOLUÇÃO]]=CI$1,[1]!BANCO10[[#This Row],[STATUS DA ETAPA]],"")</f>
        <v/>
      </c>
      <c r="CJ341" s="21" t="str">
        <f>IF([1]!BANCO10[[#This Row],[SOLUÇÃO]]=CJ$1,[1]!BANCO10[[#This Row],[STATUS DA ETAPA]],"")</f>
        <v/>
      </c>
      <c r="CK341" s="21" t="str">
        <f>IF([1]!BANCO10[[#This Row],[SOLUÇÃO]]=CK$1,[1]!BANCO10[[#This Row],[STATUS DA ETAPA]],"")</f>
        <v/>
      </c>
      <c r="CL341" s="21" t="str">
        <f>IF([1]!BANCO10[[#This Row],[SOLUÇÃO]]=CL$1,[1]!BANCO10[[#This Row],[STATUS DA ETAPA]],"")</f>
        <v/>
      </c>
      <c r="CM341" s="21" t="str">
        <f>IF([1]!BANCO10[[#This Row],[SOLUÇÃO]]=CM$1,[1]!BANCO10[[#This Row],[STATUS DA ETAPA]],"")</f>
        <v/>
      </c>
      <c r="CN341" s="21" t="str">
        <f>IF([1]!BANCO10[[#This Row],[SOLUÇÃO]]=CN$1,[1]!BANCO10[[#This Row],[STATUS DA ETAPA]],"")</f>
        <v/>
      </c>
      <c r="CO341" s="21" t="str">
        <f>IF([1]!BANCO10[[#This Row],[SOLUÇÃO]]=CO$1,[1]!BANCO10[[#This Row],[STATUS DA ETAPA]],"")</f>
        <v/>
      </c>
      <c r="CP341" s="21" t="str">
        <f>IF([1]!BANCO10[[#This Row],[SOLUÇÃO]]=CP$1,[1]!BANCO10[[#This Row],[STATUS DA ETAPA]],"")</f>
        <v/>
      </c>
      <c r="CQ341" s="21" t="str">
        <f>IF([1]!BANCO10[[#This Row],[SOLUÇÃO]]=CQ$1,[1]!BANCO10[[#This Row],[STATUS DA ETAPA]],"")</f>
        <v/>
      </c>
      <c r="CR341" s="21" t="str">
        <f>IF([1]!BANCO10[[#This Row],[SOLUÇÃO]]=CR$1,[1]!BANCO10[[#This Row],[STATUS DA ETAPA]],"")</f>
        <v/>
      </c>
      <c r="CS341" s="21" t="str">
        <f>IF([1]!BANCO10[[#This Row],[SOLUÇÃO]]=CS$1,[1]!BANCO10[[#This Row],[STATUS DA ETAPA]],"")</f>
        <v/>
      </c>
      <c r="CT341" s="21" t="str">
        <f>IF([1]!BANCO10[[#This Row],[SOLUÇÃO]]=CT$1,[1]!BANCO10[[#This Row],[STATUS DA ETAPA]],"")</f>
        <v/>
      </c>
      <c r="CU341" s="21" t="str">
        <f>IF([1]!BANCO10[[#This Row],[SOLUÇÃO]]=CU$1,[1]!BANCO10[[#This Row],[STATUS DA ETAPA]],"")</f>
        <v/>
      </c>
      <c r="CV341" s="21" t="str">
        <f>IF([1]!BANCO10[[#This Row],[SOLUÇÃO]]=CV$1,[1]!BANCO10[[#This Row],[STATUS DA ETAPA]],"")</f>
        <v/>
      </c>
    </row>
    <row r="342" spans="1:100">
      <c r="A342" s="44" t="s">
        <v>1</v>
      </c>
      <c r="B342" s="44"/>
      <c r="C342" s="44" t="s">
        <v>1</v>
      </c>
      <c r="D342" s="44"/>
      <c r="E342" s="44" t="s">
        <v>1</v>
      </c>
      <c r="F342" s="44"/>
      <c r="G342" s="44" t="s">
        <v>1</v>
      </c>
      <c r="H342" s="44"/>
      <c r="I342" s="45" t="s">
        <v>1</v>
      </c>
      <c r="J342" s="46"/>
      <c r="K342" s="45" t="s">
        <v>1</v>
      </c>
      <c r="L342" s="33"/>
      <c r="M342" s="45" t="s">
        <v>1</v>
      </c>
      <c r="N342" s="33"/>
      <c r="O342" s="44" t="s">
        <v>2</v>
      </c>
      <c r="P342" s="44">
        <v>44903</v>
      </c>
      <c r="Q342" s="44" t="s">
        <v>2</v>
      </c>
      <c r="R342" s="44">
        <v>44904</v>
      </c>
      <c r="S342" s="44" t="s">
        <v>2</v>
      </c>
      <c r="T342" s="44">
        <v>44905</v>
      </c>
      <c r="U342" s="44" t="s">
        <v>2</v>
      </c>
      <c r="V342" s="44">
        <v>44906</v>
      </c>
      <c r="W342" s="44" t="s">
        <v>2</v>
      </c>
      <c r="X342" s="44"/>
      <c r="Y342" s="44" t="s">
        <v>2</v>
      </c>
      <c r="Z342" s="44">
        <v>45132</v>
      </c>
      <c r="AA342" s="44" t="s">
        <v>2</v>
      </c>
      <c r="AB342" s="44"/>
      <c r="AC342" s="84">
        <v>45162</v>
      </c>
      <c r="AD342" s="83">
        <v>45272</v>
      </c>
      <c r="AE342" s="40" t="s">
        <v>2</v>
      </c>
      <c r="AF342" s="40" t="s">
        <v>2</v>
      </c>
      <c r="AG342" s="76" t="s">
        <v>5</v>
      </c>
      <c r="AH342" s="36" t="s">
        <v>0</v>
      </c>
      <c r="AI342" s="49">
        <v>0</v>
      </c>
      <c r="AJ342" s="36" t="s">
        <v>6</v>
      </c>
      <c r="AK342" s="10">
        <v>0</v>
      </c>
      <c r="AL342" s="36">
        <v>0</v>
      </c>
      <c r="AM342" s="36">
        <v>0</v>
      </c>
      <c r="AN342" s="35" t="s">
        <v>1</v>
      </c>
      <c r="AO342" s="35" t="s">
        <v>1</v>
      </c>
      <c r="AP342" s="35" t="s">
        <v>2</v>
      </c>
      <c r="AQ342" s="35" t="s">
        <v>1</v>
      </c>
      <c r="AR342" s="34" t="s">
        <v>1</v>
      </c>
      <c r="AS342" s="33"/>
      <c r="AT342" s="32" t="s">
        <v>1</v>
      </c>
      <c r="AU342" s="31"/>
      <c r="AV342" s="32" t="s">
        <v>1</v>
      </c>
      <c r="AW342" s="31"/>
      <c r="AX342" s="30" t="s">
        <v>2</v>
      </c>
      <c r="AY342" s="55">
        <v>45272</v>
      </c>
      <c r="AZ342" s="30" t="s">
        <v>1</v>
      </c>
      <c r="BA342" s="55"/>
      <c r="BB342" s="74"/>
      <c r="BC342" s="25"/>
      <c r="BD342" s="24" t="s">
        <v>11</v>
      </c>
      <c r="BE342" s="24" t="s">
        <v>11</v>
      </c>
      <c r="BF342" s="24" t="s">
        <v>88</v>
      </c>
      <c r="BG342" s="24" t="s">
        <v>21</v>
      </c>
      <c r="BH342" s="130" t="s">
        <v>19</v>
      </c>
      <c r="BI342" s="24"/>
      <c r="BJ342" s="24" t="s">
        <v>11</v>
      </c>
      <c r="BK342" s="24" t="s">
        <v>11</v>
      </c>
      <c r="BL342" s="24">
        <v>45402</v>
      </c>
      <c r="BM342" s="24" t="s">
        <v>18</v>
      </c>
      <c r="BN342" s="24" t="s">
        <v>270</v>
      </c>
      <c r="BO342" s="24"/>
      <c r="BP342" s="24" t="s">
        <v>286</v>
      </c>
      <c r="BQ342" s="22">
        <f>YEAR([1]!BANCO10[[#This Row],[DATA INÍCIO]])</f>
        <v>2023</v>
      </c>
      <c r="BR342" s="22">
        <f>MONTH([1]!BANCO10[[#This Row],[DATA INÍCIO]])</f>
        <v>8</v>
      </c>
      <c r="BS342" s="129" t="e">
        <f>CONCATENATE(#REF!,#REF!)</f>
        <v>#REF!</v>
      </c>
      <c r="BT342" s="22"/>
      <c r="BU342" s="21" t="s">
        <v>487</v>
      </c>
      <c r="BV342" s="21" t="str">
        <f>IF([1]!BANCO10[[#This Row],[SOLUÇÃO]]=BV$1,[1]!BANCO10[[#This Row],[STATUS DA ETAPA]],"")</f>
        <v/>
      </c>
      <c r="BW342" s="21" t="str">
        <f>IF([1]!BANCO10[[#This Row],[SOLUÇÃO]]=BW$1,[1]!BANCO10[[#This Row],[STATUS DA ETAPA]],"")</f>
        <v/>
      </c>
      <c r="BX342" s="21" t="str">
        <f>IF([1]!BANCO10[[#This Row],[SOLUÇÃO]]=BX$1,[1]!BANCO10[[#This Row],[STATUS DA ETAPA]],"")</f>
        <v/>
      </c>
      <c r="BY342" s="21" t="str">
        <f>IF([1]!BANCO10[[#This Row],[SOLUÇÃO]]=BY$1,[1]!BANCO10[[#This Row],[STATUS DA ETAPA]],"")</f>
        <v/>
      </c>
      <c r="BZ342" s="21" t="str">
        <f>IF([1]!BANCO10[[#This Row],[SOLUÇÃO]]=BZ$1,[1]!BANCO10[[#This Row],[STATUS DA ETAPA]],"")</f>
        <v/>
      </c>
      <c r="CA342" s="21" t="str">
        <f>IF([1]!BANCO10[[#This Row],[SOLUÇÃO]]=CA$1,[1]!BANCO10[[#This Row],[STATUS DA ETAPA]],"")</f>
        <v/>
      </c>
      <c r="CB342" s="21" t="str">
        <f>IF([1]!BANCO10[[#This Row],[SOLUÇÃO]]=CB$1,[1]!BANCO10[[#This Row],[STATUS DA ETAPA]],"")</f>
        <v/>
      </c>
      <c r="CC342" s="21" t="str">
        <f>IF([1]!BANCO10[[#This Row],[SOLUÇÃO]]=CC$1,[1]!BANCO10[[#This Row],[STATUS DA ETAPA]],"")</f>
        <v/>
      </c>
      <c r="CD342" s="21" t="str">
        <f>IF([1]!BANCO10[[#This Row],[SOLUÇÃO]]=CD$1,[1]!BANCO10[[#This Row],[STATUS DA ETAPA]],"")</f>
        <v/>
      </c>
      <c r="CE342" s="21" t="str">
        <f>IF([1]!BANCO10[[#This Row],[SOLUÇÃO]]=CE$1,[1]!BANCO10[[#This Row],[STATUS DA ETAPA]],"")</f>
        <v/>
      </c>
      <c r="CF342" s="21" t="str">
        <f>IF([1]!BANCO10[[#This Row],[SOLUÇÃO]]=CF$1,[1]!BANCO10[[#This Row],[STATUS DA ETAPA]],"")</f>
        <v/>
      </c>
      <c r="CG342" s="21" t="str">
        <f>IF([1]!BANCO10[[#This Row],[SOLUÇÃO]]=CG$1,[1]!BANCO10[[#This Row],[STATUS DA ETAPA]],"")</f>
        <v/>
      </c>
      <c r="CH342" s="21" t="str">
        <f>IF([1]!BANCO10[[#This Row],[SOLUÇÃO]]=CH$1,[1]!BANCO10[[#This Row],[STATUS DA ETAPA]],"")</f>
        <v/>
      </c>
      <c r="CI342" s="21" t="str">
        <f>IF([1]!BANCO10[[#This Row],[SOLUÇÃO]]=CI$1,[1]!BANCO10[[#This Row],[STATUS DA ETAPA]],"")</f>
        <v/>
      </c>
      <c r="CJ342" s="21" t="str">
        <f>IF([1]!BANCO10[[#This Row],[SOLUÇÃO]]=CJ$1,[1]!BANCO10[[#This Row],[STATUS DA ETAPA]],"")</f>
        <v/>
      </c>
      <c r="CK342" s="21" t="str">
        <f>IF([1]!BANCO10[[#This Row],[SOLUÇÃO]]=CK$1,[1]!BANCO10[[#This Row],[STATUS DA ETAPA]],"")</f>
        <v/>
      </c>
      <c r="CL342" s="21" t="str">
        <f>IF([1]!BANCO10[[#This Row],[SOLUÇÃO]]=CL$1,[1]!BANCO10[[#This Row],[STATUS DA ETAPA]],"")</f>
        <v/>
      </c>
      <c r="CM342" s="21" t="str">
        <f>IF([1]!BANCO10[[#This Row],[SOLUÇÃO]]=CM$1,[1]!BANCO10[[#This Row],[STATUS DA ETAPA]],"")</f>
        <v/>
      </c>
      <c r="CN342" s="21" t="str">
        <f>IF([1]!BANCO10[[#This Row],[SOLUÇÃO]]=CN$1,[1]!BANCO10[[#This Row],[STATUS DA ETAPA]],"")</f>
        <v/>
      </c>
      <c r="CO342" s="21" t="str">
        <f>IF([1]!BANCO10[[#This Row],[SOLUÇÃO]]=CO$1,[1]!BANCO10[[#This Row],[STATUS DA ETAPA]],"")</f>
        <v>CONCLUÍDO</v>
      </c>
      <c r="CP342" s="21" t="str">
        <f>IF([1]!BANCO10[[#This Row],[SOLUÇÃO]]=CP$1,[1]!BANCO10[[#This Row],[STATUS DA ETAPA]],"")</f>
        <v/>
      </c>
      <c r="CQ342" s="21" t="str">
        <f>IF([1]!BANCO10[[#This Row],[SOLUÇÃO]]=CQ$1,[1]!BANCO10[[#This Row],[STATUS DA ETAPA]],"")</f>
        <v/>
      </c>
      <c r="CR342" s="21" t="str">
        <f>IF([1]!BANCO10[[#This Row],[SOLUÇÃO]]=CR$1,[1]!BANCO10[[#This Row],[STATUS DA ETAPA]],"")</f>
        <v/>
      </c>
      <c r="CS342" s="21" t="str">
        <f>IF([1]!BANCO10[[#This Row],[SOLUÇÃO]]=CS$1,[1]!BANCO10[[#This Row],[STATUS DA ETAPA]],"")</f>
        <v/>
      </c>
      <c r="CT342" s="21" t="str">
        <f>IF([1]!BANCO10[[#This Row],[SOLUÇÃO]]=CT$1,[1]!BANCO10[[#This Row],[STATUS DA ETAPA]],"")</f>
        <v/>
      </c>
      <c r="CU342" s="21" t="str">
        <f>IF([1]!BANCO10[[#This Row],[SOLUÇÃO]]=CU$1,[1]!BANCO10[[#This Row],[STATUS DA ETAPA]],"")</f>
        <v/>
      </c>
      <c r="CV342" s="21" t="str">
        <f>IF([1]!BANCO10[[#This Row],[SOLUÇÃO]]=CV$1,[1]!BANCO10[[#This Row],[STATUS DA ETAPA]],"")</f>
        <v/>
      </c>
    </row>
    <row r="343" spans="1:100">
      <c r="A343" s="44" t="s">
        <v>1</v>
      </c>
      <c r="B343" s="44"/>
      <c r="C343" s="44" t="s">
        <v>1</v>
      </c>
      <c r="D343" s="44"/>
      <c r="E343" s="44" t="s">
        <v>1</v>
      </c>
      <c r="F343" s="44"/>
      <c r="G343" s="44" t="s">
        <v>1</v>
      </c>
      <c r="H343" s="44"/>
      <c r="I343" s="45" t="s">
        <v>1</v>
      </c>
      <c r="J343" s="46"/>
      <c r="K343" s="45" t="s">
        <v>1</v>
      </c>
      <c r="L343" s="33"/>
      <c r="M343" s="45" t="s">
        <v>1</v>
      </c>
      <c r="N343" s="33"/>
      <c r="O343" s="44" t="s">
        <v>1</v>
      </c>
      <c r="P343" s="44"/>
      <c r="Q343" s="44" t="s">
        <v>0</v>
      </c>
      <c r="R343" s="44"/>
      <c r="S343" s="44" t="s">
        <v>1</v>
      </c>
      <c r="T343" s="44"/>
      <c r="U343" s="44" t="s">
        <v>1</v>
      </c>
      <c r="V343" s="44"/>
      <c r="W343" s="44" t="s">
        <v>1</v>
      </c>
      <c r="X343" s="44"/>
      <c r="Y343" s="44" t="s">
        <v>1</v>
      </c>
      <c r="Z343" s="44"/>
      <c r="AA343" s="44" t="s">
        <v>1</v>
      </c>
      <c r="AB343" s="44"/>
      <c r="AC343" s="51">
        <v>45963</v>
      </c>
      <c r="AD343" s="50">
        <v>45963</v>
      </c>
      <c r="AE343" s="40" t="s">
        <v>1</v>
      </c>
      <c r="AF343" s="40" t="s">
        <v>1</v>
      </c>
      <c r="AG343" s="40" t="s">
        <v>1</v>
      </c>
      <c r="AH343" s="36" t="s">
        <v>1</v>
      </c>
      <c r="AI343" s="49">
        <v>0</v>
      </c>
      <c r="AJ343" s="36" t="s">
        <v>1</v>
      </c>
      <c r="AK343" s="10" t="s">
        <v>1</v>
      </c>
      <c r="AL343" s="36" t="s">
        <v>1</v>
      </c>
      <c r="AM343" s="36" t="s">
        <v>1</v>
      </c>
      <c r="AN343" s="35" t="s">
        <v>1</v>
      </c>
      <c r="AO343" s="35" t="s">
        <v>1</v>
      </c>
      <c r="AP343" s="35" t="s">
        <v>1</v>
      </c>
      <c r="AQ343" s="35" t="s">
        <v>1</v>
      </c>
      <c r="AR343" s="48" t="s">
        <v>1</v>
      </c>
      <c r="AS343" s="63"/>
      <c r="AT343" s="32" t="s">
        <v>1</v>
      </c>
      <c r="AU343" s="31"/>
      <c r="AV343" s="32" t="s">
        <v>1</v>
      </c>
      <c r="AW343" s="31"/>
      <c r="AX343" s="32" t="s">
        <v>1</v>
      </c>
      <c r="AY343" s="31"/>
      <c r="AZ343" s="32" t="s">
        <v>1</v>
      </c>
      <c r="BA343" s="31"/>
      <c r="BB343" s="74" t="s">
        <v>550</v>
      </c>
      <c r="BC343" s="25"/>
      <c r="BD343" s="24" t="s">
        <v>11</v>
      </c>
      <c r="BE343" s="24" t="s">
        <v>11</v>
      </c>
      <c r="BF343" s="24" t="s">
        <v>51</v>
      </c>
      <c r="BG343" s="24" t="s">
        <v>11</v>
      </c>
      <c r="BH343" s="130" t="s">
        <v>19</v>
      </c>
      <c r="BI343" s="24"/>
      <c r="BJ343" s="24" t="s">
        <v>11</v>
      </c>
      <c r="BK343" s="24" t="s">
        <v>11</v>
      </c>
      <c r="BL343" s="24" t="s">
        <v>11</v>
      </c>
      <c r="BM343" s="24" t="s">
        <v>11</v>
      </c>
      <c r="BN343" s="24" t="s">
        <v>11</v>
      </c>
      <c r="BO343" s="24" t="s">
        <v>11</v>
      </c>
      <c r="BP343" s="24" t="s">
        <v>11</v>
      </c>
      <c r="BQ343" s="22">
        <f>YEAR([1]!BANCO10[[#This Row],[DATA INÍCIO]])</f>
        <v>2025</v>
      </c>
      <c r="BR343" s="22">
        <f>MONTH([1]!BANCO10[[#This Row],[DATA INÍCIO]])</f>
        <v>11</v>
      </c>
      <c r="BS343" s="129" t="e">
        <f>CONCATENATE(#REF!,#REF!)</f>
        <v>#REF!</v>
      </c>
      <c r="BT343" s="22"/>
      <c r="BU343" s="21" t="s">
        <v>551</v>
      </c>
      <c r="BV343" s="21" t="str">
        <f>IF([1]!BANCO10[[#This Row],[SOLUÇÃO]]=BV$1,[1]!BANCO10[[#This Row],[STATUS DA ETAPA]],"")</f>
        <v>CANCELADO</v>
      </c>
      <c r="BW343" s="21" t="str">
        <f>IF([1]!BANCO10[[#This Row],[SOLUÇÃO]]=BW$1,[1]!BANCO10[[#This Row],[STATUS DA ETAPA]],"")</f>
        <v/>
      </c>
      <c r="BX343" s="21" t="str">
        <f>IF([1]!BANCO10[[#This Row],[SOLUÇÃO]]=BX$1,[1]!BANCO10[[#This Row],[STATUS DA ETAPA]],"")</f>
        <v/>
      </c>
      <c r="BY343" s="21" t="str">
        <f>IF([1]!BANCO10[[#This Row],[SOLUÇÃO]]=BY$1,[1]!BANCO10[[#This Row],[STATUS DA ETAPA]],"")</f>
        <v/>
      </c>
      <c r="BZ343" s="21" t="str">
        <f>IF([1]!BANCO10[[#This Row],[SOLUÇÃO]]=BZ$1,[1]!BANCO10[[#This Row],[STATUS DA ETAPA]],"")</f>
        <v/>
      </c>
      <c r="CA343" s="21" t="str">
        <f>IF([1]!BANCO10[[#This Row],[SOLUÇÃO]]=CA$1,[1]!BANCO10[[#This Row],[STATUS DA ETAPA]],"")</f>
        <v/>
      </c>
      <c r="CB343" s="21" t="str">
        <f>IF([1]!BANCO10[[#This Row],[SOLUÇÃO]]=CB$1,[1]!BANCO10[[#This Row],[STATUS DA ETAPA]],"")</f>
        <v/>
      </c>
      <c r="CC343" s="21" t="str">
        <f>IF([1]!BANCO10[[#This Row],[SOLUÇÃO]]=CC$1,[1]!BANCO10[[#This Row],[STATUS DA ETAPA]],"")</f>
        <v/>
      </c>
      <c r="CD343" s="21" t="str">
        <f>IF([1]!BANCO10[[#This Row],[SOLUÇÃO]]=CD$1,[1]!BANCO10[[#This Row],[STATUS DA ETAPA]],"")</f>
        <v/>
      </c>
      <c r="CE343" s="21" t="str">
        <f>IF([1]!BANCO10[[#This Row],[SOLUÇÃO]]=CE$1,[1]!BANCO10[[#This Row],[STATUS DA ETAPA]],"")</f>
        <v/>
      </c>
      <c r="CF343" s="21" t="str">
        <f>IF([1]!BANCO10[[#This Row],[SOLUÇÃO]]=CF$1,[1]!BANCO10[[#This Row],[STATUS DA ETAPA]],"")</f>
        <v/>
      </c>
      <c r="CG343" s="21" t="str">
        <f>IF([1]!BANCO10[[#This Row],[SOLUÇÃO]]=CG$1,[1]!BANCO10[[#This Row],[STATUS DA ETAPA]],"")</f>
        <v/>
      </c>
      <c r="CH343" s="21" t="str">
        <f>IF([1]!BANCO10[[#This Row],[SOLUÇÃO]]=CH$1,[1]!BANCO10[[#This Row],[STATUS DA ETAPA]],"")</f>
        <v/>
      </c>
      <c r="CI343" s="21" t="str">
        <f>IF([1]!BANCO10[[#This Row],[SOLUÇÃO]]=CI$1,[1]!BANCO10[[#This Row],[STATUS DA ETAPA]],"")</f>
        <v/>
      </c>
      <c r="CJ343" s="21" t="str">
        <f>IF([1]!BANCO10[[#This Row],[SOLUÇÃO]]=CJ$1,[1]!BANCO10[[#This Row],[STATUS DA ETAPA]],"")</f>
        <v/>
      </c>
      <c r="CK343" s="21" t="str">
        <f>IF([1]!BANCO10[[#This Row],[SOLUÇÃO]]=CK$1,[1]!BANCO10[[#This Row],[STATUS DA ETAPA]],"")</f>
        <v/>
      </c>
      <c r="CL343" s="21" t="str">
        <f>IF([1]!BANCO10[[#This Row],[SOLUÇÃO]]=CL$1,[1]!BANCO10[[#This Row],[STATUS DA ETAPA]],"")</f>
        <v/>
      </c>
      <c r="CM343" s="21" t="str">
        <f>IF([1]!BANCO10[[#This Row],[SOLUÇÃO]]=CM$1,[1]!BANCO10[[#This Row],[STATUS DA ETAPA]],"")</f>
        <v/>
      </c>
      <c r="CN343" s="21" t="str">
        <f>IF([1]!BANCO10[[#This Row],[SOLUÇÃO]]=CN$1,[1]!BANCO10[[#This Row],[STATUS DA ETAPA]],"")</f>
        <v/>
      </c>
      <c r="CO343" s="21" t="str">
        <f>IF([1]!BANCO10[[#This Row],[SOLUÇÃO]]=CO$1,[1]!BANCO10[[#This Row],[STATUS DA ETAPA]],"")</f>
        <v/>
      </c>
      <c r="CP343" s="21" t="str">
        <f>IF([1]!BANCO10[[#This Row],[SOLUÇÃO]]=CP$1,[1]!BANCO10[[#This Row],[STATUS DA ETAPA]],"")</f>
        <v/>
      </c>
      <c r="CQ343" s="21" t="str">
        <f>IF([1]!BANCO10[[#This Row],[SOLUÇÃO]]=CQ$1,[1]!BANCO10[[#This Row],[STATUS DA ETAPA]],"")</f>
        <v/>
      </c>
      <c r="CR343" s="21" t="str">
        <f>IF([1]!BANCO10[[#This Row],[SOLUÇÃO]]=CR$1,[1]!BANCO10[[#This Row],[STATUS DA ETAPA]],"")</f>
        <v/>
      </c>
      <c r="CS343" s="21" t="str">
        <f>IF([1]!BANCO10[[#This Row],[SOLUÇÃO]]=CS$1,[1]!BANCO10[[#This Row],[STATUS DA ETAPA]],"")</f>
        <v/>
      </c>
      <c r="CT343" s="21" t="str">
        <f>IF([1]!BANCO10[[#This Row],[SOLUÇÃO]]=CT$1,[1]!BANCO10[[#This Row],[STATUS DA ETAPA]],"")</f>
        <v/>
      </c>
      <c r="CU343" s="21" t="str">
        <f>IF([1]!BANCO10[[#This Row],[SOLUÇÃO]]=CU$1,[1]!BANCO10[[#This Row],[STATUS DA ETAPA]],"")</f>
        <v/>
      </c>
      <c r="CV343" s="21" t="str">
        <f>IF([1]!BANCO10[[#This Row],[SOLUÇÃO]]=CV$1,[1]!BANCO10[[#This Row],[STATUS DA ETAPA]],"")</f>
        <v/>
      </c>
    </row>
    <row r="344" spans="1:100">
      <c r="A344" s="44" t="s">
        <v>1</v>
      </c>
      <c r="B344" s="44"/>
      <c r="C344" s="44" t="s">
        <v>1</v>
      </c>
      <c r="D344" s="44"/>
      <c r="E344" s="44" t="s">
        <v>1</v>
      </c>
      <c r="F344" s="44"/>
      <c r="G344" s="44" t="s">
        <v>1</v>
      </c>
      <c r="H344" s="44"/>
      <c r="I344" s="45" t="s">
        <v>1</v>
      </c>
      <c r="J344" s="46"/>
      <c r="K344" s="45" t="s">
        <v>1</v>
      </c>
      <c r="L344" s="33"/>
      <c r="M344" s="45" t="s">
        <v>1</v>
      </c>
      <c r="N344" s="33"/>
      <c r="O344" s="44" t="s">
        <v>2</v>
      </c>
      <c r="P344" s="44">
        <v>44927</v>
      </c>
      <c r="Q344" s="44" t="s">
        <v>2</v>
      </c>
      <c r="R344" s="44">
        <v>44927</v>
      </c>
      <c r="S344" s="44" t="s">
        <v>1</v>
      </c>
      <c r="T344" s="44"/>
      <c r="U344" s="44" t="s">
        <v>2</v>
      </c>
      <c r="V344" s="44">
        <v>44927</v>
      </c>
      <c r="W344" s="44" t="s">
        <v>2</v>
      </c>
      <c r="X344" s="44">
        <v>44927</v>
      </c>
      <c r="Y344" s="44" t="s">
        <v>2</v>
      </c>
      <c r="Z344" s="44">
        <v>44927</v>
      </c>
      <c r="AA344" s="44" t="s">
        <v>1</v>
      </c>
      <c r="AB344" s="44"/>
      <c r="AC344" s="51">
        <v>45963</v>
      </c>
      <c r="AD344" s="50">
        <v>45963</v>
      </c>
      <c r="AE344" s="41" t="s">
        <v>1</v>
      </c>
      <c r="AF344" s="41" t="s">
        <v>1</v>
      </c>
      <c r="AG344" s="76" t="s">
        <v>5</v>
      </c>
      <c r="AH344" s="36" t="s">
        <v>0</v>
      </c>
      <c r="AI344" s="49">
        <v>0</v>
      </c>
      <c r="AJ344" s="36"/>
      <c r="AK344" s="10" t="s">
        <v>30</v>
      </c>
      <c r="AL344" s="36" t="s">
        <v>30</v>
      </c>
      <c r="AM344" s="36" t="s">
        <v>30</v>
      </c>
      <c r="AN344" s="35" t="s">
        <v>1</v>
      </c>
      <c r="AO344" s="35" t="s">
        <v>1</v>
      </c>
      <c r="AP344" s="35"/>
      <c r="AQ344" s="35" t="s">
        <v>1</v>
      </c>
      <c r="AR344" s="34" t="s">
        <v>1</v>
      </c>
      <c r="AS344" s="33"/>
      <c r="AT344" s="32"/>
      <c r="AU344" s="31"/>
      <c r="AV344" s="32"/>
      <c r="AW344" s="31"/>
      <c r="AX344" s="30" t="s">
        <v>0</v>
      </c>
      <c r="AY344" s="29"/>
      <c r="AZ344" s="28" t="s">
        <v>0</v>
      </c>
      <c r="BA344" s="27"/>
      <c r="BB344" s="74" t="s">
        <v>550</v>
      </c>
      <c r="BC344" s="25"/>
      <c r="BD344" s="24" t="s">
        <v>11</v>
      </c>
      <c r="BE344" s="24" t="s">
        <v>11</v>
      </c>
      <c r="BF344" s="24" t="s">
        <v>51</v>
      </c>
      <c r="BG344" s="24" t="s">
        <v>11</v>
      </c>
      <c r="BH344" s="130" t="s">
        <v>19</v>
      </c>
      <c r="BI344" s="24"/>
      <c r="BJ344" s="24" t="s">
        <v>11</v>
      </c>
      <c r="BK344" s="24" t="s">
        <v>11</v>
      </c>
      <c r="BL344" s="24">
        <v>45393</v>
      </c>
      <c r="BM344" s="24"/>
      <c r="BN344" s="24" t="s">
        <v>11</v>
      </c>
      <c r="BO344" s="24"/>
      <c r="BP344" s="24" t="s">
        <v>549</v>
      </c>
      <c r="BQ344" s="22">
        <f>YEAR([1]!BANCO10[[#This Row],[DATA INÍCIO]])</f>
        <v>2025</v>
      </c>
      <c r="BR344" s="22">
        <f>MONTH([1]!BANCO10[[#This Row],[DATA INÍCIO]])</f>
        <v>11</v>
      </c>
      <c r="BS344" s="129" t="e">
        <f>CONCATENATE(#REF!,#REF!)</f>
        <v>#REF!</v>
      </c>
      <c r="BT344" s="22"/>
      <c r="BU344" s="21" t="s">
        <v>30</v>
      </c>
      <c r="BV344" s="21" t="str">
        <f>IF([1]!BANCO10[[#This Row],[SOLUÇÃO]]=BV$1,[1]!BANCO10[[#This Row],[STATUS DA ETAPA]],"")</f>
        <v/>
      </c>
      <c r="BW344" s="21" t="str">
        <f>IF([1]!BANCO10[[#This Row],[SOLUÇÃO]]=BW$1,[1]!BANCO10[[#This Row],[STATUS DA ETAPA]],"")</f>
        <v/>
      </c>
      <c r="BX344" s="21" t="str">
        <f>IF([1]!BANCO10[[#This Row],[SOLUÇÃO]]=BX$1,[1]!BANCO10[[#This Row],[STATUS DA ETAPA]],"")</f>
        <v/>
      </c>
      <c r="BY344" s="21" t="str">
        <f>IF([1]!BANCO10[[#This Row],[SOLUÇÃO]]=BY$1,[1]!BANCO10[[#This Row],[STATUS DA ETAPA]],"")</f>
        <v/>
      </c>
      <c r="BZ344" s="21" t="str">
        <f>IF([1]!BANCO10[[#This Row],[SOLUÇÃO]]=BZ$1,[1]!BANCO10[[#This Row],[STATUS DA ETAPA]],"")</f>
        <v/>
      </c>
      <c r="CA344" s="21" t="str">
        <f>IF([1]!BANCO10[[#This Row],[SOLUÇÃO]]=CA$1,[1]!BANCO10[[#This Row],[STATUS DA ETAPA]],"")</f>
        <v>PROSPECÇÃO</v>
      </c>
      <c r="CB344" s="21" t="str">
        <f>IF([1]!BANCO10[[#This Row],[SOLUÇÃO]]=CB$1,[1]!BANCO10[[#This Row],[STATUS DA ETAPA]],"")</f>
        <v/>
      </c>
      <c r="CC344" s="21" t="str">
        <f>IF([1]!BANCO10[[#This Row],[SOLUÇÃO]]=CC$1,[1]!BANCO10[[#This Row],[STATUS DA ETAPA]],"")</f>
        <v/>
      </c>
      <c r="CD344" s="21" t="str">
        <f>IF([1]!BANCO10[[#This Row],[SOLUÇÃO]]=CD$1,[1]!BANCO10[[#This Row],[STATUS DA ETAPA]],"")</f>
        <v/>
      </c>
      <c r="CE344" s="21" t="str">
        <f>IF([1]!BANCO10[[#This Row],[SOLUÇÃO]]=CE$1,[1]!BANCO10[[#This Row],[STATUS DA ETAPA]],"")</f>
        <v/>
      </c>
      <c r="CF344" s="21" t="str">
        <f>IF([1]!BANCO10[[#This Row],[SOLUÇÃO]]=CF$1,[1]!BANCO10[[#This Row],[STATUS DA ETAPA]],"")</f>
        <v/>
      </c>
      <c r="CG344" s="21" t="str">
        <f>IF([1]!BANCO10[[#This Row],[SOLUÇÃO]]=CG$1,[1]!BANCO10[[#This Row],[STATUS DA ETAPA]],"")</f>
        <v/>
      </c>
      <c r="CH344" s="21" t="str">
        <f>IF([1]!BANCO10[[#This Row],[SOLUÇÃO]]=CH$1,[1]!BANCO10[[#This Row],[STATUS DA ETAPA]],"")</f>
        <v/>
      </c>
      <c r="CI344" s="21" t="str">
        <f>IF([1]!BANCO10[[#This Row],[SOLUÇÃO]]=CI$1,[1]!BANCO10[[#This Row],[STATUS DA ETAPA]],"")</f>
        <v/>
      </c>
      <c r="CJ344" s="21" t="str">
        <f>IF([1]!BANCO10[[#This Row],[SOLUÇÃO]]=CJ$1,[1]!BANCO10[[#This Row],[STATUS DA ETAPA]],"")</f>
        <v/>
      </c>
      <c r="CK344" s="21" t="str">
        <f>IF([1]!BANCO10[[#This Row],[SOLUÇÃO]]=CK$1,[1]!BANCO10[[#This Row],[STATUS DA ETAPA]],"")</f>
        <v/>
      </c>
      <c r="CL344" s="21" t="str">
        <f>IF([1]!BANCO10[[#This Row],[SOLUÇÃO]]=CL$1,[1]!BANCO10[[#This Row],[STATUS DA ETAPA]],"")</f>
        <v/>
      </c>
      <c r="CM344" s="21" t="str">
        <f>IF([1]!BANCO10[[#This Row],[SOLUÇÃO]]=CM$1,[1]!BANCO10[[#This Row],[STATUS DA ETAPA]],"")</f>
        <v/>
      </c>
      <c r="CN344" s="21" t="str">
        <f>IF([1]!BANCO10[[#This Row],[SOLUÇÃO]]=CN$1,[1]!BANCO10[[#This Row],[STATUS DA ETAPA]],"")</f>
        <v/>
      </c>
      <c r="CO344" s="21" t="str">
        <f>IF([1]!BANCO10[[#This Row],[SOLUÇÃO]]=CO$1,[1]!BANCO10[[#This Row],[STATUS DA ETAPA]],"")</f>
        <v/>
      </c>
      <c r="CP344" s="21" t="str">
        <f>IF([1]!BANCO10[[#This Row],[SOLUÇÃO]]=CP$1,[1]!BANCO10[[#This Row],[STATUS DA ETAPA]],"")</f>
        <v/>
      </c>
      <c r="CQ344" s="21" t="str">
        <f>IF([1]!BANCO10[[#This Row],[SOLUÇÃO]]=CQ$1,[1]!BANCO10[[#This Row],[STATUS DA ETAPA]],"")</f>
        <v/>
      </c>
      <c r="CR344" s="21" t="str">
        <f>IF([1]!BANCO10[[#This Row],[SOLUÇÃO]]=CR$1,[1]!BANCO10[[#This Row],[STATUS DA ETAPA]],"")</f>
        <v/>
      </c>
      <c r="CS344" s="21" t="str">
        <f>IF([1]!BANCO10[[#This Row],[SOLUÇÃO]]=CS$1,[1]!BANCO10[[#This Row],[STATUS DA ETAPA]],"")</f>
        <v/>
      </c>
      <c r="CT344" s="21" t="str">
        <f>IF([1]!BANCO10[[#This Row],[SOLUÇÃO]]=CT$1,[1]!BANCO10[[#This Row],[STATUS DA ETAPA]],"")</f>
        <v/>
      </c>
      <c r="CU344" s="21" t="str">
        <f>IF([1]!BANCO10[[#This Row],[SOLUÇÃO]]=CU$1,[1]!BANCO10[[#This Row],[STATUS DA ETAPA]],"")</f>
        <v/>
      </c>
      <c r="CV344" s="21" t="str">
        <f>IF([1]!BANCO10[[#This Row],[SOLUÇÃO]]=CV$1,[1]!BANCO10[[#This Row],[STATUS DA ETAPA]],"")</f>
        <v/>
      </c>
    </row>
    <row r="345" spans="1:100">
      <c r="A345" s="44" t="s">
        <v>1</v>
      </c>
      <c r="B345" s="44"/>
      <c r="C345" s="44" t="s">
        <v>1</v>
      </c>
      <c r="D345" s="44"/>
      <c r="E345" s="44" t="s">
        <v>1</v>
      </c>
      <c r="F345" s="44"/>
      <c r="G345" s="44" t="s">
        <v>1</v>
      </c>
      <c r="H345" s="44"/>
      <c r="I345" s="45" t="s">
        <v>1</v>
      </c>
      <c r="J345" s="46"/>
      <c r="K345" s="45" t="s">
        <v>1</v>
      </c>
      <c r="L345" s="33"/>
      <c r="M345" s="45" t="s">
        <v>1</v>
      </c>
      <c r="N345" s="33"/>
      <c r="O345" s="44" t="s">
        <v>1</v>
      </c>
      <c r="P345" s="44"/>
      <c r="Q345" s="44" t="s">
        <v>1</v>
      </c>
      <c r="R345" s="44"/>
      <c r="S345" s="44" t="s">
        <v>1</v>
      </c>
      <c r="T345" s="44"/>
      <c r="U345" s="44" t="s">
        <v>1</v>
      </c>
      <c r="V345" s="44"/>
      <c r="W345" s="44" t="s">
        <v>1</v>
      </c>
      <c r="X345" s="44"/>
      <c r="Y345" s="44" t="s">
        <v>1</v>
      </c>
      <c r="Z345" s="44"/>
      <c r="AA345" s="44" t="s">
        <v>1</v>
      </c>
      <c r="AB345" s="44"/>
      <c r="AC345" s="84">
        <v>45577</v>
      </c>
      <c r="AD345" s="83">
        <v>45577</v>
      </c>
      <c r="AE345" s="41" t="s">
        <v>1</v>
      </c>
      <c r="AF345" s="41" t="s">
        <v>1</v>
      </c>
      <c r="AG345" s="40" t="s">
        <v>5</v>
      </c>
      <c r="AH345" s="36" t="s">
        <v>1</v>
      </c>
      <c r="AI345" s="49">
        <v>0</v>
      </c>
      <c r="AJ345" s="36" t="s">
        <v>1</v>
      </c>
      <c r="AK345" s="10" t="s">
        <v>1</v>
      </c>
      <c r="AL345" s="36" t="s">
        <v>1</v>
      </c>
      <c r="AM345" s="36" t="s">
        <v>1</v>
      </c>
      <c r="AN345" s="35" t="s">
        <v>1</v>
      </c>
      <c r="AO345" s="35" t="s">
        <v>1</v>
      </c>
      <c r="AP345" s="35" t="s">
        <v>1</v>
      </c>
      <c r="AQ345" s="35" t="s">
        <v>1</v>
      </c>
      <c r="AR345" s="90" t="s">
        <v>1</v>
      </c>
      <c r="AS345" s="89"/>
      <c r="AT345" s="88"/>
      <c r="AU345" s="25"/>
      <c r="AV345" s="88"/>
      <c r="AW345" s="25"/>
      <c r="AX345" s="88" t="s">
        <v>1</v>
      </c>
      <c r="AY345" s="25"/>
      <c r="AZ345" s="88" t="s">
        <v>1</v>
      </c>
      <c r="BA345" s="25"/>
      <c r="BB345" s="39"/>
      <c r="BC345" s="25"/>
      <c r="BD345" s="24"/>
      <c r="BE345" s="24"/>
      <c r="BF345" s="79"/>
      <c r="BG345" s="79"/>
      <c r="BH345" s="80"/>
      <c r="BI345" s="79"/>
      <c r="BJ345" s="54"/>
      <c r="BK345" s="78"/>
      <c r="BL345" s="69"/>
      <c r="BM345" s="78"/>
      <c r="BN345" s="78"/>
      <c r="BO345" s="78"/>
      <c r="BP345" s="78"/>
      <c r="BQ345" s="21">
        <f>YEAR([1]!BANCO10[[#This Row],[DATA INÍCIO]])</f>
        <v>2024</v>
      </c>
      <c r="BR345" s="21">
        <f>MONTH([1]!BANCO10[[#This Row],[DATA INÍCIO]])</f>
        <v>10</v>
      </c>
      <c r="BS345" s="21" t="e">
        <f>CONCATENATE(#REF!,#REF!)</f>
        <v>#REF!</v>
      </c>
      <c r="BT345" s="21"/>
      <c r="BU345" s="21"/>
      <c r="BV345" s="21" t="str">
        <f>IF([1]!BANCO10[[#This Row],[SOLUÇÃO]]=BV$1,[1]!BANCO10[[#This Row],[STATUS DA ETAPA]],"")</f>
        <v>CONCLUÍDO</v>
      </c>
      <c r="BW345" s="21" t="str">
        <f>IF([1]!BANCO10[[#This Row],[SOLUÇÃO]]=BW$1,[1]!BANCO10[[#This Row],[STATUS DA ETAPA]],"")</f>
        <v/>
      </c>
      <c r="BX345" s="21" t="str">
        <f>IF([1]!BANCO10[[#This Row],[SOLUÇÃO]]=BX$1,[1]!BANCO10[[#This Row],[STATUS DA ETAPA]],"")</f>
        <v/>
      </c>
      <c r="BY345" s="21" t="str">
        <f>IF([1]!BANCO10[[#This Row],[SOLUÇÃO]]=BY$1,[1]!BANCO10[[#This Row],[STATUS DA ETAPA]],"")</f>
        <v/>
      </c>
      <c r="BZ345" s="21" t="str">
        <f>IF([1]!BANCO10[[#This Row],[SOLUÇÃO]]=BZ$1,[1]!BANCO10[[#This Row],[STATUS DA ETAPA]],"")</f>
        <v/>
      </c>
      <c r="CA345" s="21" t="str">
        <f>IF([1]!BANCO10[[#This Row],[SOLUÇÃO]]=CA$1,[1]!BANCO10[[#This Row],[STATUS DA ETAPA]],"")</f>
        <v/>
      </c>
      <c r="CB345" s="21" t="str">
        <f>IF([1]!BANCO10[[#This Row],[SOLUÇÃO]]=CB$1,[1]!BANCO10[[#This Row],[STATUS DA ETAPA]],"")</f>
        <v/>
      </c>
      <c r="CC345" s="21" t="str">
        <f>IF([1]!BANCO10[[#This Row],[SOLUÇÃO]]=CC$1,[1]!BANCO10[[#This Row],[STATUS DA ETAPA]],"")</f>
        <v/>
      </c>
      <c r="CD345" s="21" t="str">
        <f>IF([1]!BANCO10[[#This Row],[SOLUÇÃO]]=CD$1,[1]!BANCO10[[#This Row],[STATUS DA ETAPA]],"")</f>
        <v/>
      </c>
      <c r="CE345" s="21" t="str">
        <f>IF([1]!BANCO10[[#This Row],[SOLUÇÃO]]=CE$1,[1]!BANCO10[[#This Row],[STATUS DA ETAPA]],"")</f>
        <v/>
      </c>
      <c r="CF345" s="21" t="str">
        <f>IF([1]!BANCO10[[#This Row],[SOLUÇÃO]]=CF$1,[1]!BANCO10[[#This Row],[STATUS DA ETAPA]],"")</f>
        <v/>
      </c>
      <c r="CG345" s="21" t="str">
        <f>IF([1]!BANCO10[[#This Row],[SOLUÇÃO]]=CG$1,[1]!BANCO10[[#This Row],[STATUS DA ETAPA]],"")</f>
        <v/>
      </c>
      <c r="CH345" s="21" t="str">
        <f>IF([1]!BANCO10[[#This Row],[SOLUÇÃO]]=CH$1,[1]!BANCO10[[#This Row],[STATUS DA ETAPA]],"")</f>
        <v/>
      </c>
      <c r="CI345" s="21" t="str">
        <f>IF([1]!BANCO10[[#This Row],[SOLUÇÃO]]=CI$1,[1]!BANCO10[[#This Row],[STATUS DA ETAPA]],"")</f>
        <v/>
      </c>
      <c r="CJ345" s="21" t="str">
        <f>IF([1]!BANCO10[[#This Row],[SOLUÇÃO]]=CJ$1,[1]!BANCO10[[#This Row],[STATUS DA ETAPA]],"")</f>
        <v/>
      </c>
      <c r="CK345" s="21" t="str">
        <f>IF([1]!BANCO10[[#This Row],[SOLUÇÃO]]=CK$1,[1]!BANCO10[[#This Row],[STATUS DA ETAPA]],"")</f>
        <v/>
      </c>
      <c r="CL345" s="22" t="str">
        <f>IF([1]!BANCO10[[#This Row],[SOLUÇÃO]]=CL$1,[1]!BANCO10[[#This Row],[STATUS DA ETAPA]],"")</f>
        <v/>
      </c>
      <c r="CM345" s="64" t="str">
        <f>IF([1]!BANCO10[[#This Row],[SOLUÇÃO]]=CM$1,[1]!BANCO10[[#This Row],[STATUS DA ETAPA]],"")</f>
        <v/>
      </c>
      <c r="CN345" s="64" t="str">
        <f>IF([1]!BANCO10[[#This Row],[SOLUÇÃO]]=CN$1,[1]!BANCO10[[#This Row],[STATUS DA ETAPA]],"")</f>
        <v/>
      </c>
      <c r="CO345" s="64" t="str">
        <f>IF([1]!BANCO10[[#This Row],[SOLUÇÃO]]=CO$1,[1]!BANCO10[[#This Row],[STATUS DA ETAPA]],"")</f>
        <v/>
      </c>
      <c r="CP345" s="64" t="str">
        <f>IF([1]!BANCO10[[#This Row],[SOLUÇÃO]]=CP$1,[1]!BANCO10[[#This Row],[STATUS DA ETAPA]],"")</f>
        <v/>
      </c>
      <c r="CQ345" s="64" t="str">
        <f>IF([1]!BANCO10[[#This Row],[SOLUÇÃO]]=CQ$1,[1]!BANCO10[[#This Row],[STATUS DA ETAPA]],"")</f>
        <v/>
      </c>
      <c r="CR345" s="64" t="str">
        <f>IF([1]!BANCO10[[#This Row],[SOLUÇÃO]]=CR$1,[1]!BANCO10[[#This Row],[STATUS DA ETAPA]],"")</f>
        <v/>
      </c>
      <c r="CS345" s="64" t="str">
        <f>IF([1]!BANCO10[[#This Row],[SOLUÇÃO]]=CS$1,[1]!BANCO10[[#This Row],[STATUS DA ETAPA]],"")</f>
        <v/>
      </c>
      <c r="CT345" s="64" t="str">
        <f>IF([1]!BANCO10[[#This Row],[SOLUÇÃO]]=CT$1,[1]!BANCO10[[#This Row],[STATUS DA ETAPA]],"")</f>
        <v/>
      </c>
      <c r="CU345" s="64" t="str">
        <f>IF([1]!BANCO10[[#This Row],[SOLUÇÃO]]=CU$1,[1]!BANCO10[[#This Row],[STATUS DA ETAPA]],"")</f>
        <v/>
      </c>
      <c r="CV345" s="64" t="str">
        <f>IF([1]!BANCO10[[#This Row],[SOLUÇÃO]]=CV$1,[1]!BANCO10[[#This Row],[STATUS DA ETAPA]],"")</f>
        <v/>
      </c>
    </row>
    <row r="346" spans="1:100">
      <c r="A346" s="44" t="s">
        <v>1</v>
      </c>
      <c r="B346" s="44"/>
      <c r="C346" s="44" t="s">
        <v>1</v>
      </c>
      <c r="D346" s="44"/>
      <c r="E346" s="44" t="s">
        <v>1</v>
      </c>
      <c r="F346" s="44"/>
      <c r="G346" s="44" t="s">
        <v>1</v>
      </c>
      <c r="H346" s="44"/>
      <c r="I346" s="45" t="s">
        <v>1</v>
      </c>
      <c r="J346" s="46"/>
      <c r="K346" s="45" t="s">
        <v>1</v>
      </c>
      <c r="L346" s="33"/>
      <c r="M346" s="45" t="s">
        <v>1</v>
      </c>
      <c r="N346" s="33"/>
      <c r="O346" s="44" t="s">
        <v>2</v>
      </c>
      <c r="P346" s="44">
        <v>45536</v>
      </c>
      <c r="Q346" s="44" t="s">
        <v>2</v>
      </c>
      <c r="R346" s="44">
        <v>45590</v>
      </c>
      <c r="S346" s="44" t="s">
        <v>2</v>
      </c>
      <c r="T346" s="44">
        <v>45594</v>
      </c>
      <c r="U346" s="44" t="s">
        <v>1</v>
      </c>
      <c r="V346" s="44"/>
      <c r="W346" s="44" t="s">
        <v>1</v>
      </c>
      <c r="X346" s="44"/>
      <c r="Y346" s="44" t="s">
        <v>1</v>
      </c>
      <c r="Z346" s="44"/>
      <c r="AA346" s="44" t="s">
        <v>1</v>
      </c>
      <c r="AB346" s="44"/>
      <c r="AC346" s="51">
        <v>45684</v>
      </c>
      <c r="AD346" s="50">
        <v>45781</v>
      </c>
      <c r="AE346" s="41" t="s">
        <v>2</v>
      </c>
      <c r="AF346" s="41" t="s">
        <v>2</v>
      </c>
      <c r="AG346" s="40" t="s">
        <v>5</v>
      </c>
      <c r="AH346" s="36" t="s">
        <v>0</v>
      </c>
      <c r="AI346" s="49">
        <v>0</v>
      </c>
      <c r="AJ346" s="36" t="s">
        <v>6</v>
      </c>
      <c r="AK346" s="10">
        <v>580970</v>
      </c>
      <c r="AL346" s="36" t="s">
        <v>1</v>
      </c>
      <c r="AM346" s="36" t="s">
        <v>1</v>
      </c>
      <c r="AN346" s="35" t="s">
        <v>2</v>
      </c>
      <c r="AO346" s="35" t="s">
        <v>2</v>
      </c>
      <c r="AP346" s="35" t="s">
        <v>2</v>
      </c>
      <c r="AQ346" s="35" t="s">
        <v>2</v>
      </c>
      <c r="AR346" s="34" t="s">
        <v>2</v>
      </c>
      <c r="AS346" s="33">
        <v>45789</v>
      </c>
      <c r="AT346" s="32" t="s">
        <v>1</v>
      </c>
      <c r="AU346" s="31"/>
      <c r="AV346" s="32" t="s">
        <v>1</v>
      </c>
      <c r="AW346" s="31"/>
      <c r="AX346" s="30" t="s">
        <v>2</v>
      </c>
      <c r="AY346" s="29">
        <v>45789</v>
      </c>
      <c r="AZ346" s="28" t="s">
        <v>0</v>
      </c>
      <c r="BA346" s="27"/>
      <c r="BB346" s="95" t="s">
        <v>143</v>
      </c>
      <c r="BC346" s="25" t="s">
        <v>41</v>
      </c>
      <c r="BD346" s="24"/>
      <c r="BE346" s="24"/>
      <c r="BF346" s="79"/>
      <c r="BG346" s="79"/>
      <c r="BH346" s="80"/>
      <c r="BI346" s="79"/>
      <c r="BJ346" s="54"/>
      <c r="BK346" s="78"/>
      <c r="BL346" s="69"/>
      <c r="BM346" s="78"/>
      <c r="BN346" s="78"/>
      <c r="BO346" s="78"/>
      <c r="BP346" s="78"/>
      <c r="BQ346" s="21">
        <f>YEAR([1]!BANCO10[[#This Row],[DATA INÍCIO]])</f>
        <v>2025</v>
      </c>
      <c r="BR346" s="21">
        <f>MONTH([1]!BANCO10[[#This Row],[DATA INÍCIO]])</f>
        <v>1</v>
      </c>
      <c r="BS346" s="21" t="e">
        <f>CONCATENATE(#REF!,#REF!)</f>
        <v>#REF!</v>
      </c>
      <c r="BT346" s="21"/>
      <c r="BU346" s="21"/>
      <c r="BV346" s="21" t="str">
        <f>IF([1]!BANCO10[[#This Row],[SOLUÇÃO]]=BV$1,[1]!BANCO10[[#This Row],[STATUS DA ETAPA]],"")</f>
        <v/>
      </c>
      <c r="BW346" s="21" t="str">
        <f>IF([1]!BANCO10[[#This Row],[SOLUÇÃO]]=BW$1,[1]!BANCO10[[#This Row],[STATUS DA ETAPA]],"")</f>
        <v/>
      </c>
      <c r="BX346" s="21" t="str">
        <f>IF([1]!BANCO10[[#This Row],[SOLUÇÃO]]=BX$1,[1]!BANCO10[[#This Row],[STATUS DA ETAPA]],"")</f>
        <v/>
      </c>
      <c r="BY346" s="21" t="str">
        <f>IF([1]!BANCO10[[#This Row],[SOLUÇÃO]]=BY$1,[1]!BANCO10[[#This Row],[STATUS DA ETAPA]],"")</f>
        <v/>
      </c>
      <c r="BZ346" s="21" t="str">
        <f>IF([1]!BANCO10[[#This Row],[SOLUÇÃO]]=BZ$1,[1]!BANCO10[[#This Row],[STATUS DA ETAPA]],"")</f>
        <v/>
      </c>
      <c r="CA346" s="21" t="str">
        <f>IF([1]!BANCO10[[#This Row],[SOLUÇÃO]]=CA$1,[1]!BANCO10[[#This Row],[STATUS DA ETAPA]],"")</f>
        <v/>
      </c>
      <c r="CB346" s="21" t="str">
        <f>IF([1]!BANCO10[[#This Row],[SOLUÇÃO]]=CB$1,[1]!BANCO10[[#This Row],[STATUS DA ETAPA]],"")</f>
        <v>CONCLUÍDO</v>
      </c>
      <c r="CC346" s="21" t="str">
        <f>IF([1]!BANCO10[[#This Row],[SOLUÇÃO]]=CC$1,[1]!BANCO10[[#This Row],[STATUS DA ETAPA]],"")</f>
        <v/>
      </c>
      <c r="CD346" s="21" t="str">
        <f>IF([1]!BANCO10[[#This Row],[SOLUÇÃO]]=CD$1,[1]!BANCO10[[#This Row],[STATUS DA ETAPA]],"")</f>
        <v/>
      </c>
      <c r="CE346" s="21" t="str">
        <f>IF([1]!BANCO10[[#This Row],[SOLUÇÃO]]=CE$1,[1]!BANCO10[[#This Row],[STATUS DA ETAPA]],"")</f>
        <v/>
      </c>
      <c r="CF346" s="21" t="str">
        <f>IF([1]!BANCO10[[#This Row],[SOLUÇÃO]]=CF$1,[1]!BANCO10[[#This Row],[STATUS DA ETAPA]],"")</f>
        <v/>
      </c>
      <c r="CG346" s="21" t="str">
        <f>IF([1]!BANCO10[[#This Row],[SOLUÇÃO]]=CG$1,[1]!BANCO10[[#This Row],[STATUS DA ETAPA]],"")</f>
        <v/>
      </c>
      <c r="CH346" s="21" t="str">
        <f>IF([1]!BANCO10[[#This Row],[SOLUÇÃO]]=CH$1,[1]!BANCO10[[#This Row],[STATUS DA ETAPA]],"")</f>
        <v/>
      </c>
      <c r="CI346" s="21" t="str">
        <f>IF([1]!BANCO10[[#This Row],[SOLUÇÃO]]=CI$1,[1]!BANCO10[[#This Row],[STATUS DA ETAPA]],"")</f>
        <v/>
      </c>
      <c r="CJ346" s="21" t="str">
        <f>IF([1]!BANCO10[[#This Row],[SOLUÇÃO]]=CJ$1,[1]!BANCO10[[#This Row],[STATUS DA ETAPA]],"")</f>
        <v/>
      </c>
      <c r="CK346" s="21" t="str">
        <f>IF([1]!BANCO10[[#This Row],[SOLUÇÃO]]=CK$1,[1]!BANCO10[[#This Row],[STATUS DA ETAPA]],"")</f>
        <v/>
      </c>
      <c r="CL346" s="22" t="str">
        <f>IF([1]!BANCO10[[#This Row],[SOLUÇÃO]]=CL$1,[1]!BANCO10[[#This Row],[STATUS DA ETAPA]],"")</f>
        <v/>
      </c>
      <c r="CM346" s="64" t="str">
        <f>IF([1]!BANCO10[[#This Row],[SOLUÇÃO]]=CM$1,[1]!BANCO10[[#This Row],[STATUS DA ETAPA]],"")</f>
        <v/>
      </c>
      <c r="CN346" s="64" t="str">
        <f>IF([1]!BANCO10[[#This Row],[SOLUÇÃO]]=CN$1,[1]!BANCO10[[#This Row],[STATUS DA ETAPA]],"")</f>
        <v/>
      </c>
      <c r="CO346" s="64" t="str">
        <f>IF([1]!BANCO10[[#This Row],[SOLUÇÃO]]=CO$1,[1]!BANCO10[[#This Row],[STATUS DA ETAPA]],"")</f>
        <v/>
      </c>
      <c r="CP346" s="64" t="str">
        <f>IF([1]!BANCO10[[#This Row],[SOLUÇÃO]]=CP$1,[1]!BANCO10[[#This Row],[STATUS DA ETAPA]],"")</f>
        <v/>
      </c>
      <c r="CQ346" s="64" t="str">
        <f>IF([1]!BANCO10[[#This Row],[SOLUÇÃO]]=CQ$1,[1]!BANCO10[[#This Row],[STATUS DA ETAPA]],"")</f>
        <v/>
      </c>
      <c r="CR346" s="64" t="str">
        <f>IF([1]!BANCO10[[#This Row],[SOLUÇÃO]]=CR$1,[1]!BANCO10[[#This Row],[STATUS DA ETAPA]],"")</f>
        <v/>
      </c>
      <c r="CS346" s="64" t="str">
        <f>IF([1]!BANCO10[[#This Row],[SOLUÇÃO]]=CS$1,[1]!BANCO10[[#This Row],[STATUS DA ETAPA]],"")</f>
        <v/>
      </c>
      <c r="CT346" s="64" t="str">
        <f>IF([1]!BANCO10[[#This Row],[SOLUÇÃO]]=CT$1,[1]!BANCO10[[#This Row],[STATUS DA ETAPA]],"")</f>
        <v/>
      </c>
      <c r="CU346" s="64" t="str">
        <f>IF([1]!BANCO10[[#This Row],[SOLUÇÃO]]=CU$1,[1]!BANCO10[[#This Row],[STATUS DA ETAPA]],"")</f>
        <v/>
      </c>
      <c r="CV346" s="64" t="str">
        <f>IF([1]!BANCO10[[#This Row],[SOLUÇÃO]]=CV$1,[1]!BANCO10[[#This Row],[STATUS DA ETAPA]],"")</f>
        <v/>
      </c>
    </row>
    <row r="347" spans="1:100">
      <c r="A347" s="44" t="s">
        <v>1</v>
      </c>
      <c r="B347" s="44"/>
      <c r="C347" s="44" t="s">
        <v>1</v>
      </c>
      <c r="D347" s="44"/>
      <c r="E347" s="44" t="s">
        <v>1</v>
      </c>
      <c r="F347" s="44"/>
      <c r="G347" s="44" t="s">
        <v>1</v>
      </c>
      <c r="H347" s="44"/>
      <c r="I347" s="45" t="s">
        <v>1</v>
      </c>
      <c r="J347" s="46"/>
      <c r="K347" s="45" t="s">
        <v>1</v>
      </c>
      <c r="L347" s="33"/>
      <c r="M347" s="45" t="s">
        <v>1</v>
      </c>
      <c r="N347" s="33"/>
      <c r="O347" s="44" t="s">
        <v>1</v>
      </c>
      <c r="P347" s="44"/>
      <c r="Q347" s="44" t="s">
        <v>1</v>
      </c>
      <c r="R347" s="44"/>
      <c r="S347" s="44" t="s">
        <v>1</v>
      </c>
      <c r="T347" s="44"/>
      <c r="U347" s="44" t="s">
        <v>1</v>
      </c>
      <c r="V347" s="44"/>
      <c r="W347" s="44" t="s">
        <v>1</v>
      </c>
      <c r="X347" s="44"/>
      <c r="Y347" s="44" t="s">
        <v>1</v>
      </c>
      <c r="Z347" s="44"/>
      <c r="AA347" s="44" t="s">
        <v>1</v>
      </c>
      <c r="AB347" s="44"/>
      <c r="AC347" s="51">
        <v>45807</v>
      </c>
      <c r="AD347" s="50">
        <v>45807</v>
      </c>
      <c r="AE347" s="41" t="s">
        <v>1</v>
      </c>
      <c r="AF347" s="41" t="s">
        <v>1</v>
      </c>
      <c r="AG347" s="40" t="s">
        <v>4</v>
      </c>
      <c r="AH347" s="36" t="s">
        <v>0</v>
      </c>
      <c r="AI347" s="49">
        <v>0</v>
      </c>
      <c r="AJ347" s="36" t="s">
        <v>1</v>
      </c>
      <c r="AK347" s="10" t="s">
        <v>1</v>
      </c>
      <c r="AL347" s="36" t="s">
        <v>1</v>
      </c>
      <c r="AM347" s="36" t="s">
        <v>1</v>
      </c>
      <c r="AN347" s="35" t="s">
        <v>1</v>
      </c>
      <c r="AO347" s="35" t="s">
        <v>1</v>
      </c>
      <c r="AP347" s="35" t="s">
        <v>1</v>
      </c>
      <c r="AQ347" s="35" t="s">
        <v>2</v>
      </c>
      <c r="AR347" s="34" t="s">
        <v>0</v>
      </c>
      <c r="AS347" s="33"/>
      <c r="AT347" s="30" t="s">
        <v>0</v>
      </c>
      <c r="AU347" s="31"/>
      <c r="AV347" s="30" t="s">
        <v>0</v>
      </c>
      <c r="AW347" s="31"/>
      <c r="AX347" s="30" t="s">
        <v>0</v>
      </c>
      <c r="AY347" s="29"/>
      <c r="AZ347" s="28" t="s">
        <v>0</v>
      </c>
      <c r="BA347" s="27"/>
      <c r="BB347" s="26"/>
      <c r="BC347" s="25"/>
      <c r="BD347" s="24"/>
      <c r="BE347" s="24"/>
      <c r="BF347" s="24"/>
      <c r="BG347" s="24"/>
      <c r="BH347" s="24"/>
      <c r="BI347" s="24"/>
      <c r="BJ347" s="24"/>
      <c r="BK347" s="24"/>
      <c r="BL347" s="24"/>
      <c r="BM347" s="24"/>
      <c r="BN347" s="24"/>
      <c r="BO347" s="24"/>
      <c r="BP347" s="24"/>
      <c r="BQ347" s="22">
        <f>YEAR([1]!BANCO10[[#This Row],[DATA INÍCIO]])</f>
        <v>2025</v>
      </c>
      <c r="BR347" s="22">
        <f>MONTH([1]!BANCO10[[#This Row],[DATA INÍCIO]])</f>
        <v>5</v>
      </c>
      <c r="BS347" s="23" t="e">
        <f>CONCATENATE(#REF!,#REF!)</f>
        <v>#REF!</v>
      </c>
      <c r="BT347" s="22"/>
      <c r="BU347" s="22"/>
      <c r="BV347" s="21" t="str">
        <f>IF([1]!BANCO10[[#This Row],[SOLUÇÃO]]=BV$1,[1]!BANCO10[[#This Row],[STATUS DA ETAPA]],"")</f>
        <v/>
      </c>
      <c r="BW347" s="21" t="str">
        <f>IF([1]!BANCO10[[#This Row],[SOLUÇÃO]]=BW$1,[1]!BANCO10[[#This Row],[STATUS DA ETAPA]],"")</f>
        <v/>
      </c>
      <c r="BX347" s="21" t="str">
        <f>IF([1]!BANCO10[[#This Row],[SOLUÇÃO]]=BX$1,[1]!BANCO10[[#This Row],[STATUS DA ETAPA]],"")</f>
        <v/>
      </c>
      <c r="BY347" s="21" t="str">
        <f>IF([1]!BANCO10[[#This Row],[SOLUÇÃO]]=BY$1,[1]!BANCO10[[#This Row],[STATUS DA ETAPA]],"")</f>
        <v/>
      </c>
      <c r="BZ347" s="21" t="str">
        <f>IF([1]!BANCO10[[#This Row],[SOLUÇÃO]]=BZ$1,[1]!BANCO10[[#This Row],[STATUS DA ETAPA]],"")</f>
        <v/>
      </c>
      <c r="CA347" s="21" t="str">
        <f>IF([1]!BANCO10[[#This Row],[SOLUÇÃO]]=CA$1,[1]!BANCO10[[#This Row],[STATUS DA ETAPA]],"")</f>
        <v/>
      </c>
      <c r="CB347" s="21" t="str">
        <f>IF([1]!BANCO10[[#This Row],[SOLUÇÃO]]=CB$1,[1]!BANCO10[[#This Row],[STATUS DA ETAPA]],"")</f>
        <v/>
      </c>
      <c r="CC347" s="21" t="str">
        <f>IF([1]!BANCO10[[#This Row],[SOLUÇÃO]]=CC$1,[1]!BANCO10[[#This Row],[STATUS DA ETAPA]],"")</f>
        <v/>
      </c>
      <c r="CD347" s="21" t="str">
        <f>IF([1]!BANCO10[[#This Row],[SOLUÇÃO]]=CD$1,[1]!BANCO10[[#This Row],[STATUS DA ETAPA]],"")</f>
        <v/>
      </c>
      <c r="CE347" s="21" t="str">
        <f>IF([1]!BANCO10[[#This Row],[SOLUÇÃO]]=CE$1,[1]!BANCO10[[#This Row],[STATUS DA ETAPA]],"")</f>
        <v/>
      </c>
      <c r="CF347" s="21" t="str">
        <f>IF([1]!BANCO10[[#This Row],[SOLUÇÃO]]=CF$1,[1]!BANCO10[[#This Row],[STATUS DA ETAPA]],"")</f>
        <v/>
      </c>
      <c r="CG347" s="21" t="str">
        <f>IF([1]!BANCO10[[#This Row],[SOLUÇÃO]]=CG$1,[1]!BANCO10[[#This Row],[STATUS DA ETAPA]],"")</f>
        <v/>
      </c>
      <c r="CH347" s="21" t="str">
        <f>IF([1]!BANCO10[[#This Row],[SOLUÇÃO]]=CH$1,[1]!BANCO10[[#This Row],[STATUS DA ETAPA]],"")</f>
        <v/>
      </c>
      <c r="CI347" s="21" t="str">
        <f>IF([1]!BANCO10[[#This Row],[SOLUÇÃO]]=CI$1,[1]!BANCO10[[#This Row],[STATUS DA ETAPA]],"")</f>
        <v/>
      </c>
      <c r="CJ347" s="21" t="str">
        <f>IF([1]!BANCO10[[#This Row],[SOLUÇÃO]]=CJ$1,[1]!BANCO10[[#This Row],[STATUS DA ETAPA]],"")</f>
        <v/>
      </c>
      <c r="CK347" s="21" t="str">
        <f>IF([1]!BANCO10[[#This Row],[SOLUÇÃO]]=CK$1,[1]!BANCO10[[#This Row],[STATUS DA ETAPA]],"")</f>
        <v/>
      </c>
      <c r="CL347" s="21" t="str">
        <f>IF([1]!BANCO10[[#This Row],[SOLUÇÃO]]=CL$1,[1]!BANCO10[[#This Row],[STATUS DA ETAPA]],"")</f>
        <v/>
      </c>
      <c r="CM347" s="21" t="str">
        <f>IF([1]!BANCO10[[#This Row],[SOLUÇÃO]]=CM$1,[1]!BANCO10[[#This Row],[STATUS DA ETAPA]],"")</f>
        <v/>
      </c>
      <c r="CN347" s="21" t="str">
        <f>IF([1]!BANCO10[[#This Row],[SOLUÇÃO]]=CN$1,[1]!BANCO10[[#This Row],[STATUS DA ETAPA]],"")</f>
        <v/>
      </c>
      <c r="CO347" s="21" t="str">
        <f>IF([1]!BANCO10[[#This Row],[SOLUÇÃO]]=CO$1,[1]!BANCO10[[#This Row],[STATUS DA ETAPA]],"")</f>
        <v/>
      </c>
      <c r="CP347" s="21" t="str">
        <f>IF([1]!BANCO10[[#This Row],[SOLUÇÃO]]=CP$1,[1]!BANCO10[[#This Row],[STATUS DA ETAPA]],"")</f>
        <v/>
      </c>
      <c r="CQ347" s="21" t="str">
        <f>IF([1]!BANCO10[[#This Row],[SOLUÇÃO]]=CQ$1,[1]!BANCO10[[#This Row],[STATUS DA ETAPA]],"")</f>
        <v/>
      </c>
      <c r="CR347" s="21" t="str">
        <f>IF([1]!BANCO10[[#This Row],[SOLUÇÃO]]=CR$1,[1]!BANCO10[[#This Row],[STATUS DA ETAPA]],"")</f>
        <v/>
      </c>
      <c r="CS347" s="21" t="str">
        <f>IF([1]!BANCO10[[#This Row],[SOLUÇÃO]]=CS$1,[1]!BANCO10[[#This Row],[STATUS DA ETAPA]],"")</f>
        <v/>
      </c>
      <c r="CT347" s="21" t="str">
        <f>IF([1]!BANCO10[[#This Row],[SOLUÇÃO]]=CT$1,[1]!BANCO10[[#This Row],[STATUS DA ETAPA]],"")</f>
        <v/>
      </c>
      <c r="CU347" s="21" t="str">
        <f>IF([1]!BANCO10[[#This Row],[SOLUÇÃO]]=CU$1,[1]!BANCO10[[#This Row],[STATUS DA ETAPA]],"")</f>
        <v/>
      </c>
      <c r="CV347" s="21" t="str">
        <f>IF([1]!BANCO10[[#This Row],[SOLUÇÃO]]=CV$1,[1]!BANCO10[[#This Row],[STATUS DA ETAPA]],"")</f>
        <v/>
      </c>
    </row>
    <row r="348" spans="1:100">
      <c r="A348" s="44" t="s">
        <v>1</v>
      </c>
      <c r="B348" s="44"/>
      <c r="C348" s="44" t="s">
        <v>1</v>
      </c>
      <c r="D348" s="44"/>
      <c r="E348" s="44" t="s">
        <v>1</v>
      </c>
      <c r="F348" s="44"/>
      <c r="G348" s="44" t="s">
        <v>1</v>
      </c>
      <c r="H348" s="44"/>
      <c r="I348" s="45" t="s">
        <v>1</v>
      </c>
      <c r="J348" s="46"/>
      <c r="K348" s="45" t="s">
        <v>1</v>
      </c>
      <c r="L348" s="33"/>
      <c r="M348" s="45" t="s">
        <v>1</v>
      </c>
      <c r="N348" s="33"/>
      <c r="O348" s="44" t="s">
        <v>1</v>
      </c>
      <c r="P348" s="44"/>
      <c r="Q348" s="44" t="s">
        <v>1</v>
      </c>
      <c r="R348" s="44"/>
      <c r="S348" s="44" t="s">
        <v>1</v>
      </c>
      <c r="T348" s="44"/>
      <c r="U348" s="44" t="s">
        <v>2</v>
      </c>
      <c r="V348" s="44"/>
      <c r="W348" s="44" t="s">
        <v>2</v>
      </c>
      <c r="X348" s="44"/>
      <c r="Y348" s="44" t="s">
        <v>2</v>
      </c>
      <c r="Z348" s="44">
        <v>45819</v>
      </c>
      <c r="AA348" s="44" t="s">
        <v>2</v>
      </c>
      <c r="AB348" s="44"/>
      <c r="AC348" s="51">
        <v>45849</v>
      </c>
      <c r="AD348" s="50">
        <v>45910</v>
      </c>
      <c r="AE348" s="68" t="s">
        <v>2</v>
      </c>
      <c r="AF348" s="68" t="s">
        <v>2</v>
      </c>
      <c r="AG348" s="76" t="s">
        <v>4</v>
      </c>
      <c r="AH348" s="36" t="s">
        <v>0</v>
      </c>
      <c r="AI348" s="49">
        <v>0</v>
      </c>
      <c r="AJ348" s="36" t="s">
        <v>6</v>
      </c>
      <c r="AK348" s="10" t="s">
        <v>548</v>
      </c>
      <c r="AL348" s="36">
        <v>0</v>
      </c>
      <c r="AM348" s="36">
        <v>0</v>
      </c>
      <c r="AN348" s="35" t="s">
        <v>1</v>
      </c>
      <c r="AO348" s="35" t="s">
        <v>1</v>
      </c>
      <c r="AP348" s="35" t="s">
        <v>2</v>
      </c>
      <c r="AQ348" s="35" t="s">
        <v>1</v>
      </c>
      <c r="AR348" s="34" t="s">
        <v>1</v>
      </c>
      <c r="AS348" s="33"/>
      <c r="AT348" s="32" t="s">
        <v>2</v>
      </c>
      <c r="AU348" s="31">
        <v>45910</v>
      </c>
      <c r="AV348" s="32" t="s">
        <v>2</v>
      </c>
      <c r="AW348" s="31">
        <v>45915</v>
      </c>
      <c r="AX348" s="30" t="s">
        <v>2</v>
      </c>
      <c r="AY348" s="29">
        <v>45915</v>
      </c>
      <c r="AZ348" s="28" t="s">
        <v>0</v>
      </c>
      <c r="BA348" s="27"/>
      <c r="BB348" s="39">
        <v>45834</v>
      </c>
      <c r="BC348" s="25" t="s">
        <v>297</v>
      </c>
      <c r="BD348" s="24"/>
      <c r="BE348" s="24"/>
      <c r="BF348" s="24"/>
      <c r="BG348" s="24"/>
      <c r="BH348" s="24"/>
      <c r="BI348" s="24"/>
      <c r="BJ348" s="24"/>
      <c r="BK348" s="24"/>
      <c r="BL348" s="24"/>
      <c r="BM348" s="24"/>
      <c r="BN348" s="24"/>
      <c r="BO348" s="24"/>
      <c r="BP348" s="24"/>
      <c r="BQ348" s="22">
        <f>YEAR([1]!BANCO10[[#This Row],[DATA INÍCIO]])</f>
        <v>2025</v>
      </c>
      <c r="BR348" s="22">
        <f>MONTH([1]!BANCO10[[#This Row],[DATA INÍCIO]])</f>
        <v>7</v>
      </c>
      <c r="BS348" s="23" t="e">
        <f>CONCATENATE(#REF!,#REF!)</f>
        <v>#REF!</v>
      </c>
      <c r="BT348" s="22"/>
      <c r="BU348" s="22"/>
      <c r="BV348" s="21" t="str">
        <f>IF([1]!BANCO10[[#This Row],[SOLUÇÃO]]=BV$1,[1]!BANCO10[[#This Row],[STATUS DA ETAPA]],"")</f>
        <v/>
      </c>
      <c r="BW348" s="21" t="str">
        <f>IF([1]!BANCO10[[#This Row],[SOLUÇÃO]]=BW$1,[1]!BANCO10[[#This Row],[STATUS DA ETAPA]],"")</f>
        <v/>
      </c>
      <c r="BX348" s="21" t="str">
        <f>IF([1]!BANCO10[[#This Row],[SOLUÇÃO]]=BX$1,[1]!BANCO10[[#This Row],[STATUS DA ETAPA]],"")</f>
        <v>CONCLUÍDO</v>
      </c>
      <c r="BY348" s="21" t="str">
        <f>IF([1]!BANCO10[[#This Row],[SOLUÇÃO]]=BY$1,[1]!BANCO10[[#This Row],[STATUS DA ETAPA]],"")</f>
        <v/>
      </c>
      <c r="BZ348" s="21" t="str">
        <f>IF([1]!BANCO10[[#This Row],[SOLUÇÃO]]=BZ$1,[1]!BANCO10[[#This Row],[STATUS DA ETAPA]],"")</f>
        <v/>
      </c>
      <c r="CA348" s="21" t="str">
        <f>IF([1]!BANCO10[[#This Row],[SOLUÇÃO]]=CA$1,[1]!BANCO10[[#This Row],[STATUS DA ETAPA]],"")</f>
        <v/>
      </c>
      <c r="CB348" s="21" t="str">
        <f>IF([1]!BANCO10[[#This Row],[SOLUÇÃO]]=CB$1,[1]!BANCO10[[#This Row],[STATUS DA ETAPA]],"")</f>
        <v/>
      </c>
      <c r="CC348" s="21" t="str">
        <f>IF([1]!BANCO10[[#This Row],[SOLUÇÃO]]=CC$1,[1]!BANCO10[[#This Row],[STATUS DA ETAPA]],"")</f>
        <v/>
      </c>
      <c r="CD348" s="21" t="str">
        <f>IF([1]!BANCO10[[#This Row],[SOLUÇÃO]]=CD$1,[1]!BANCO10[[#This Row],[STATUS DA ETAPA]],"")</f>
        <v/>
      </c>
      <c r="CE348" s="21" t="str">
        <f>IF([1]!BANCO10[[#This Row],[SOLUÇÃO]]=CE$1,[1]!BANCO10[[#This Row],[STATUS DA ETAPA]],"")</f>
        <v/>
      </c>
      <c r="CF348" s="21" t="str">
        <f>IF([1]!BANCO10[[#This Row],[SOLUÇÃO]]=CF$1,[1]!BANCO10[[#This Row],[STATUS DA ETAPA]],"")</f>
        <v/>
      </c>
      <c r="CG348" s="21" t="str">
        <f>IF([1]!BANCO10[[#This Row],[SOLUÇÃO]]=CG$1,[1]!BANCO10[[#This Row],[STATUS DA ETAPA]],"")</f>
        <v/>
      </c>
      <c r="CH348" s="21" t="str">
        <f>IF([1]!BANCO10[[#This Row],[SOLUÇÃO]]=CH$1,[1]!BANCO10[[#This Row],[STATUS DA ETAPA]],"")</f>
        <v/>
      </c>
      <c r="CI348" s="21" t="str">
        <f>IF([1]!BANCO10[[#This Row],[SOLUÇÃO]]=CI$1,[1]!BANCO10[[#This Row],[STATUS DA ETAPA]],"")</f>
        <v/>
      </c>
      <c r="CJ348" s="21" t="str">
        <f>IF([1]!BANCO10[[#This Row],[SOLUÇÃO]]=CJ$1,[1]!BANCO10[[#This Row],[STATUS DA ETAPA]],"")</f>
        <v/>
      </c>
      <c r="CK348" s="21" t="str">
        <f>IF([1]!BANCO10[[#This Row],[SOLUÇÃO]]=CK$1,[1]!BANCO10[[#This Row],[STATUS DA ETAPA]],"")</f>
        <v/>
      </c>
      <c r="CL348" s="21" t="str">
        <f>IF([1]!BANCO10[[#This Row],[SOLUÇÃO]]=CL$1,[1]!BANCO10[[#This Row],[STATUS DA ETAPA]],"")</f>
        <v/>
      </c>
      <c r="CM348" s="21" t="str">
        <f>IF([1]!BANCO10[[#This Row],[SOLUÇÃO]]=CM$1,[1]!BANCO10[[#This Row],[STATUS DA ETAPA]],"")</f>
        <v/>
      </c>
      <c r="CN348" s="21" t="str">
        <f>IF([1]!BANCO10[[#This Row],[SOLUÇÃO]]=CN$1,[1]!BANCO10[[#This Row],[STATUS DA ETAPA]],"")</f>
        <v/>
      </c>
      <c r="CO348" s="21" t="str">
        <f>IF([1]!BANCO10[[#This Row],[SOLUÇÃO]]=CO$1,[1]!BANCO10[[#This Row],[STATUS DA ETAPA]],"")</f>
        <v/>
      </c>
      <c r="CP348" s="21" t="str">
        <f>IF([1]!BANCO10[[#This Row],[SOLUÇÃO]]=CP$1,[1]!BANCO10[[#This Row],[STATUS DA ETAPA]],"")</f>
        <v/>
      </c>
      <c r="CQ348" s="21" t="str">
        <f>IF([1]!BANCO10[[#This Row],[SOLUÇÃO]]=CQ$1,[1]!BANCO10[[#This Row],[STATUS DA ETAPA]],"")</f>
        <v/>
      </c>
      <c r="CR348" s="21" t="str">
        <f>IF([1]!BANCO10[[#This Row],[SOLUÇÃO]]=CR$1,[1]!BANCO10[[#This Row],[STATUS DA ETAPA]],"")</f>
        <v/>
      </c>
      <c r="CS348" s="21" t="str">
        <f>IF([1]!BANCO10[[#This Row],[SOLUÇÃO]]=CS$1,[1]!BANCO10[[#This Row],[STATUS DA ETAPA]],"")</f>
        <v/>
      </c>
      <c r="CT348" s="21" t="str">
        <f>IF([1]!BANCO10[[#This Row],[SOLUÇÃO]]=CT$1,[1]!BANCO10[[#This Row],[STATUS DA ETAPA]],"")</f>
        <v/>
      </c>
      <c r="CU348" s="21" t="str">
        <f>IF([1]!BANCO10[[#This Row],[SOLUÇÃO]]=CU$1,[1]!BANCO10[[#This Row],[STATUS DA ETAPA]],"")</f>
        <v/>
      </c>
      <c r="CV348" s="21" t="str">
        <f>IF([1]!BANCO10[[#This Row],[SOLUÇÃO]]=CV$1,[1]!BANCO10[[#This Row],[STATUS DA ETAPA]],"")</f>
        <v/>
      </c>
    </row>
    <row r="349" spans="1:100">
      <c r="A349" s="44" t="s">
        <v>1</v>
      </c>
      <c r="B349" s="44"/>
      <c r="C349" s="44" t="s">
        <v>1</v>
      </c>
      <c r="D349" s="44"/>
      <c r="E349" s="44" t="s">
        <v>1</v>
      </c>
      <c r="F349" s="44"/>
      <c r="G349" s="44" t="s">
        <v>1</v>
      </c>
      <c r="H349" s="44"/>
      <c r="I349" s="45" t="s">
        <v>1</v>
      </c>
      <c r="J349" s="46"/>
      <c r="K349" s="45" t="s">
        <v>1</v>
      </c>
      <c r="L349" s="33"/>
      <c r="M349" s="45" t="s">
        <v>1</v>
      </c>
      <c r="N349" s="33"/>
      <c r="O349" s="44" t="s">
        <v>1</v>
      </c>
      <c r="P349" s="44"/>
      <c r="Q349" s="44" t="s">
        <v>1</v>
      </c>
      <c r="R349" s="44"/>
      <c r="S349" s="44" t="s">
        <v>1</v>
      </c>
      <c r="T349" s="44"/>
      <c r="U349" s="44" t="s">
        <v>1</v>
      </c>
      <c r="V349" s="44"/>
      <c r="W349" s="44" t="s">
        <v>1</v>
      </c>
      <c r="X349" s="44"/>
      <c r="Y349" s="44" t="s">
        <v>1</v>
      </c>
      <c r="Z349" s="44"/>
      <c r="AA349" s="44" t="s">
        <v>1</v>
      </c>
      <c r="AB349" s="44"/>
      <c r="AC349" s="84">
        <v>45328</v>
      </c>
      <c r="AD349" s="83">
        <v>45328</v>
      </c>
      <c r="AE349" s="40" t="s">
        <v>1</v>
      </c>
      <c r="AF349" s="40" t="s">
        <v>1</v>
      </c>
      <c r="AG349" s="76" t="s">
        <v>5</v>
      </c>
      <c r="AH349" s="36" t="s">
        <v>1</v>
      </c>
      <c r="AI349" s="49">
        <v>0</v>
      </c>
      <c r="AJ349" s="36" t="s">
        <v>1</v>
      </c>
      <c r="AK349" s="10" t="s">
        <v>1</v>
      </c>
      <c r="AL349" s="36" t="s">
        <v>1</v>
      </c>
      <c r="AM349" s="36" t="s">
        <v>1</v>
      </c>
      <c r="AN349" s="35" t="s">
        <v>1</v>
      </c>
      <c r="AO349" s="35" t="s">
        <v>1</v>
      </c>
      <c r="AP349" s="35" t="s">
        <v>1</v>
      </c>
      <c r="AQ349" s="35" t="s">
        <v>1</v>
      </c>
      <c r="AR349" s="48" t="s">
        <v>1</v>
      </c>
      <c r="AS349" s="33"/>
      <c r="AT349" s="32" t="s">
        <v>1</v>
      </c>
      <c r="AU349" s="31"/>
      <c r="AV349" s="32" t="s">
        <v>1</v>
      </c>
      <c r="AW349" s="31"/>
      <c r="AX349" s="30" t="s">
        <v>1</v>
      </c>
      <c r="AY349" s="55"/>
      <c r="AZ349" s="30" t="s">
        <v>1</v>
      </c>
      <c r="BA349" s="91"/>
      <c r="BB349" s="74" t="s">
        <v>547</v>
      </c>
      <c r="BC349" s="25" t="s">
        <v>14</v>
      </c>
      <c r="BD349" s="24"/>
      <c r="BE349" s="24"/>
      <c r="BF349" s="24"/>
      <c r="BG349" s="24"/>
      <c r="BH349" s="130"/>
      <c r="BI349" s="24"/>
      <c r="BJ349" s="24" t="s">
        <v>11</v>
      </c>
      <c r="BK349" s="24" t="s">
        <v>11</v>
      </c>
      <c r="BL349" s="24" t="s">
        <v>11</v>
      </c>
      <c r="BM349" s="24" t="s">
        <v>11</v>
      </c>
      <c r="BN349" s="24" t="s">
        <v>11</v>
      </c>
      <c r="BO349" s="24" t="s">
        <v>11</v>
      </c>
      <c r="BP349" s="24" t="s">
        <v>11</v>
      </c>
      <c r="BQ349" s="22">
        <f>YEAR([1]!BANCO10[[#This Row],[DATA INÍCIO]])</f>
        <v>2024</v>
      </c>
      <c r="BR349" s="22">
        <f>MONTH([1]!BANCO10[[#This Row],[DATA INÍCIO]])</f>
        <v>2</v>
      </c>
      <c r="BS349" s="129" t="e">
        <f>CONCATENATE(#REF!,#REF!)</f>
        <v>#REF!</v>
      </c>
      <c r="BT349" s="22"/>
      <c r="BU349" s="21" t="s">
        <v>546</v>
      </c>
      <c r="BV349" s="21" t="str">
        <f>IF([1]!BANCO10[[#This Row],[SOLUÇÃO]]=BV$1,[1]!BANCO10[[#This Row],[STATUS DA ETAPA]],"")</f>
        <v>CONCLUÍDO</v>
      </c>
      <c r="BW349" s="21" t="str">
        <f>IF([1]!BANCO10[[#This Row],[SOLUÇÃO]]=BW$1,[1]!BANCO10[[#This Row],[STATUS DA ETAPA]],"")</f>
        <v/>
      </c>
      <c r="BX349" s="21" t="str">
        <f>IF([1]!BANCO10[[#This Row],[SOLUÇÃO]]=BX$1,[1]!BANCO10[[#This Row],[STATUS DA ETAPA]],"")</f>
        <v/>
      </c>
      <c r="BY349" s="21" t="str">
        <f>IF([1]!BANCO10[[#This Row],[SOLUÇÃO]]=BY$1,[1]!BANCO10[[#This Row],[STATUS DA ETAPA]],"")</f>
        <v/>
      </c>
      <c r="BZ349" s="21" t="str">
        <f>IF([1]!BANCO10[[#This Row],[SOLUÇÃO]]=BZ$1,[1]!BANCO10[[#This Row],[STATUS DA ETAPA]],"")</f>
        <v/>
      </c>
      <c r="CA349" s="21" t="str">
        <f>IF([1]!BANCO10[[#This Row],[SOLUÇÃO]]=CA$1,[1]!BANCO10[[#This Row],[STATUS DA ETAPA]],"")</f>
        <v/>
      </c>
      <c r="CB349" s="21" t="str">
        <f>IF([1]!BANCO10[[#This Row],[SOLUÇÃO]]=CB$1,[1]!BANCO10[[#This Row],[STATUS DA ETAPA]],"")</f>
        <v/>
      </c>
      <c r="CC349" s="21" t="str">
        <f>IF([1]!BANCO10[[#This Row],[SOLUÇÃO]]=CC$1,[1]!BANCO10[[#This Row],[STATUS DA ETAPA]],"")</f>
        <v/>
      </c>
      <c r="CD349" s="21" t="str">
        <f>IF([1]!BANCO10[[#This Row],[SOLUÇÃO]]=CD$1,[1]!BANCO10[[#This Row],[STATUS DA ETAPA]],"")</f>
        <v/>
      </c>
      <c r="CE349" s="21" t="str">
        <f>IF([1]!BANCO10[[#This Row],[SOLUÇÃO]]=CE$1,[1]!BANCO10[[#This Row],[STATUS DA ETAPA]],"")</f>
        <v/>
      </c>
      <c r="CF349" s="21" t="str">
        <f>IF([1]!BANCO10[[#This Row],[SOLUÇÃO]]=CF$1,[1]!BANCO10[[#This Row],[STATUS DA ETAPA]],"")</f>
        <v/>
      </c>
      <c r="CG349" s="21" t="str">
        <f>IF([1]!BANCO10[[#This Row],[SOLUÇÃO]]=CG$1,[1]!BANCO10[[#This Row],[STATUS DA ETAPA]],"")</f>
        <v/>
      </c>
      <c r="CH349" s="21" t="str">
        <f>IF([1]!BANCO10[[#This Row],[SOLUÇÃO]]=CH$1,[1]!BANCO10[[#This Row],[STATUS DA ETAPA]],"")</f>
        <v/>
      </c>
      <c r="CI349" s="21" t="str">
        <f>IF([1]!BANCO10[[#This Row],[SOLUÇÃO]]=CI$1,[1]!BANCO10[[#This Row],[STATUS DA ETAPA]],"")</f>
        <v/>
      </c>
      <c r="CJ349" s="21" t="str">
        <f>IF([1]!BANCO10[[#This Row],[SOLUÇÃO]]=CJ$1,[1]!BANCO10[[#This Row],[STATUS DA ETAPA]],"")</f>
        <v/>
      </c>
      <c r="CK349" s="21" t="str">
        <f>IF([1]!BANCO10[[#This Row],[SOLUÇÃO]]=CK$1,[1]!BANCO10[[#This Row],[STATUS DA ETAPA]],"")</f>
        <v/>
      </c>
      <c r="CL349" s="21" t="str">
        <f>IF([1]!BANCO10[[#This Row],[SOLUÇÃO]]=CL$1,[1]!BANCO10[[#This Row],[STATUS DA ETAPA]],"")</f>
        <v/>
      </c>
      <c r="CM349" s="21" t="str">
        <f>IF([1]!BANCO10[[#This Row],[SOLUÇÃO]]=CM$1,[1]!BANCO10[[#This Row],[STATUS DA ETAPA]],"")</f>
        <v/>
      </c>
      <c r="CN349" s="21" t="str">
        <f>IF([1]!BANCO10[[#This Row],[SOLUÇÃO]]=CN$1,[1]!BANCO10[[#This Row],[STATUS DA ETAPA]],"")</f>
        <v/>
      </c>
      <c r="CO349" s="21" t="str">
        <f>IF([1]!BANCO10[[#This Row],[SOLUÇÃO]]=CO$1,[1]!BANCO10[[#This Row],[STATUS DA ETAPA]],"")</f>
        <v/>
      </c>
      <c r="CP349" s="21" t="str">
        <f>IF([1]!BANCO10[[#This Row],[SOLUÇÃO]]=CP$1,[1]!BANCO10[[#This Row],[STATUS DA ETAPA]],"")</f>
        <v/>
      </c>
      <c r="CQ349" s="21" t="str">
        <f>IF([1]!BANCO10[[#This Row],[SOLUÇÃO]]=CQ$1,[1]!BANCO10[[#This Row],[STATUS DA ETAPA]],"")</f>
        <v/>
      </c>
      <c r="CR349" s="21" t="str">
        <f>IF([1]!BANCO10[[#This Row],[SOLUÇÃO]]=CR$1,[1]!BANCO10[[#This Row],[STATUS DA ETAPA]],"")</f>
        <v/>
      </c>
      <c r="CS349" s="21" t="str">
        <f>IF([1]!BANCO10[[#This Row],[SOLUÇÃO]]=CS$1,[1]!BANCO10[[#This Row],[STATUS DA ETAPA]],"")</f>
        <v/>
      </c>
      <c r="CT349" s="21" t="str">
        <f>IF([1]!BANCO10[[#This Row],[SOLUÇÃO]]=CT$1,[1]!BANCO10[[#This Row],[STATUS DA ETAPA]],"")</f>
        <v/>
      </c>
      <c r="CU349" s="21" t="str">
        <f>IF([1]!BANCO10[[#This Row],[SOLUÇÃO]]=CU$1,[1]!BANCO10[[#This Row],[STATUS DA ETAPA]],"")</f>
        <v/>
      </c>
      <c r="CV349" s="21" t="str">
        <f>IF([1]!BANCO10[[#This Row],[SOLUÇÃO]]=CV$1,[1]!BANCO10[[#This Row],[STATUS DA ETAPA]],"")</f>
        <v/>
      </c>
    </row>
    <row r="350" spans="1:100">
      <c r="A350" s="44" t="s">
        <v>1</v>
      </c>
      <c r="B350" s="44"/>
      <c r="C350" s="44" t="s">
        <v>1</v>
      </c>
      <c r="D350" s="44"/>
      <c r="E350" s="44" t="s">
        <v>1</v>
      </c>
      <c r="F350" s="44"/>
      <c r="G350" s="44" t="s">
        <v>1</v>
      </c>
      <c r="H350" s="44"/>
      <c r="I350" s="45" t="s">
        <v>1</v>
      </c>
      <c r="J350" s="46"/>
      <c r="K350" s="45" t="s">
        <v>1</v>
      </c>
      <c r="L350" s="33"/>
      <c r="M350" s="45" t="s">
        <v>1</v>
      </c>
      <c r="N350" s="33"/>
      <c r="O350" s="44" t="s">
        <v>1</v>
      </c>
      <c r="P350" s="44"/>
      <c r="Q350" s="44" t="s">
        <v>1</v>
      </c>
      <c r="R350" s="44"/>
      <c r="S350" s="44" t="s">
        <v>1</v>
      </c>
      <c r="T350" s="44"/>
      <c r="U350" s="44" t="s">
        <v>1</v>
      </c>
      <c r="V350" s="44"/>
      <c r="W350" s="44" t="s">
        <v>1</v>
      </c>
      <c r="X350" s="44"/>
      <c r="Y350" s="44" t="s">
        <v>1</v>
      </c>
      <c r="Z350" s="44"/>
      <c r="AA350" s="44" t="s">
        <v>1</v>
      </c>
      <c r="AB350" s="44"/>
      <c r="AC350" s="150">
        <v>44742</v>
      </c>
      <c r="AD350" s="149">
        <v>44847</v>
      </c>
      <c r="AE350" s="146" t="s">
        <v>2</v>
      </c>
      <c r="AF350" s="146" t="s">
        <v>2</v>
      </c>
      <c r="AG350" s="145" t="s">
        <v>5</v>
      </c>
      <c r="AH350" s="36" t="s">
        <v>0</v>
      </c>
      <c r="AI350" s="49">
        <v>0</v>
      </c>
      <c r="AJ350" s="36"/>
      <c r="AK350" s="10"/>
      <c r="AL350" s="36" t="s">
        <v>1</v>
      </c>
      <c r="AM350" s="36" t="s">
        <v>1</v>
      </c>
      <c r="AN350" s="35" t="s">
        <v>0</v>
      </c>
      <c r="AO350" s="35" t="s">
        <v>0</v>
      </c>
      <c r="AP350" s="35" t="s">
        <v>2</v>
      </c>
      <c r="AQ350" s="35" t="s">
        <v>1</v>
      </c>
      <c r="AR350" s="144" t="s">
        <v>1</v>
      </c>
      <c r="AS350" s="143"/>
      <c r="AT350" s="142"/>
      <c r="AU350" s="140"/>
      <c r="AV350" s="142"/>
      <c r="AW350" s="140"/>
      <c r="AX350" s="142" t="s">
        <v>1</v>
      </c>
      <c r="AY350" s="140"/>
      <c r="AZ350" s="142" t="s">
        <v>1</v>
      </c>
      <c r="BA350" s="140"/>
      <c r="BB350" s="141"/>
      <c r="BC350" s="140"/>
      <c r="BD350" s="24" t="s">
        <v>11</v>
      </c>
      <c r="BE350" s="24" t="s">
        <v>11</v>
      </c>
      <c r="BF350" s="24" t="s">
        <v>19</v>
      </c>
      <c r="BG350" s="24" t="s">
        <v>19</v>
      </c>
      <c r="BH350" s="130" t="s">
        <v>19</v>
      </c>
      <c r="BI350" s="24"/>
      <c r="BJ350" s="24" t="s">
        <v>11</v>
      </c>
      <c r="BK350" s="24" t="s">
        <v>11</v>
      </c>
      <c r="BL350" s="24" t="s">
        <v>11</v>
      </c>
      <c r="BM350" s="24" t="s">
        <v>11</v>
      </c>
      <c r="BN350" s="24" t="s">
        <v>11</v>
      </c>
      <c r="BO350" s="24" t="s">
        <v>11</v>
      </c>
      <c r="BP350" s="24" t="s">
        <v>11</v>
      </c>
      <c r="BQ350" s="22">
        <f>YEAR([1]!BANCO10[[#This Row],[DATA INÍCIO]])</f>
        <v>2022</v>
      </c>
      <c r="BR350" s="22">
        <f>MONTH([1]!BANCO10[[#This Row],[DATA INÍCIO]])</f>
        <v>6</v>
      </c>
      <c r="BS350" s="129" t="e">
        <f>CONCATENATE(#REF!,#REF!)</f>
        <v>#REF!</v>
      </c>
      <c r="BT350" s="22"/>
      <c r="BU350" s="21" t="s">
        <v>545</v>
      </c>
      <c r="BV350" s="21" t="str">
        <f>IF([1]!BANCO10[[#This Row],[SOLUÇÃO]]=BV$1,[1]!BANCO10[[#This Row],[STATUS DA ETAPA]],"")</f>
        <v/>
      </c>
      <c r="BW350" s="21" t="str">
        <f>IF([1]!BANCO10[[#This Row],[SOLUÇÃO]]=BW$1,[1]!BANCO10[[#This Row],[STATUS DA ETAPA]],"")</f>
        <v/>
      </c>
      <c r="BX350" s="21" t="str">
        <f>IF([1]!BANCO10[[#This Row],[SOLUÇÃO]]=BX$1,[1]!BANCO10[[#This Row],[STATUS DA ETAPA]],"")</f>
        <v/>
      </c>
      <c r="BY350" s="21" t="str">
        <f>IF([1]!BANCO10[[#This Row],[SOLUÇÃO]]=BY$1,[1]!BANCO10[[#This Row],[STATUS DA ETAPA]],"")</f>
        <v/>
      </c>
      <c r="BZ350" s="21" t="str">
        <f>IF([1]!BANCO10[[#This Row],[SOLUÇÃO]]=BZ$1,[1]!BANCO10[[#This Row],[STATUS DA ETAPA]],"")</f>
        <v/>
      </c>
      <c r="CA350" s="21" t="str">
        <f>IF([1]!BANCO10[[#This Row],[SOLUÇÃO]]=CA$1,[1]!BANCO10[[#This Row],[STATUS DA ETAPA]],"")</f>
        <v>CONCLUÍDO</v>
      </c>
      <c r="CB350" s="21" t="str">
        <f>IF([1]!BANCO10[[#This Row],[SOLUÇÃO]]=CB$1,[1]!BANCO10[[#This Row],[STATUS DA ETAPA]],"")</f>
        <v/>
      </c>
      <c r="CC350" s="21" t="str">
        <f>IF([1]!BANCO10[[#This Row],[SOLUÇÃO]]=CC$1,[1]!BANCO10[[#This Row],[STATUS DA ETAPA]],"")</f>
        <v/>
      </c>
      <c r="CD350" s="21" t="str">
        <f>IF([1]!BANCO10[[#This Row],[SOLUÇÃO]]=CD$1,[1]!BANCO10[[#This Row],[STATUS DA ETAPA]],"")</f>
        <v/>
      </c>
      <c r="CE350" s="21" t="str">
        <f>IF([1]!BANCO10[[#This Row],[SOLUÇÃO]]=CE$1,[1]!BANCO10[[#This Row],[STATUS DA ETAPA]],"")</f>
        <v/>
      </c>
      <c r="CF350" s="21" t="str">
        <f>IF([1]!BANCO10[[#This Row],[SOLUÇÃO]]=CF$1,[1]!BANCO10[[#This Row],[STATUS DA ETAPA]],"")</f>
        <v/>
      </c>
      <c r="CG350" s="21" t="str">
        <f>IF([1]!BANCO10[[#This Row],[SOLUÇÃO]]=CG$1,[1]!BANCO10[[#This Row],[STATUS DA ETAPA]],"")</f>
        <v/>
      </c>
      <c r="CH350" s="21" t="str">
        <f>IF([1]!BANCO10[[#This Row],[SOLUÇÃO]]=CH$1,[1]!BANCO10[[#This Row],[STATUS DA ETAPA]],"")</f>
        <v/>
      </c>
      <c r="CI350" s="21" t="str">
        <f>IF([1]!BANCO10[[#This Row],[SOLUÇÃO]]=CI$1,[1]!BANCO10[[#This Row],[STATUS DA ETAPA]],"")</f>
        <v/>
      </c>
      <c r="CJ350" s="21" t="str">
        <f>IF([1]!BANCO10[[#This Row],[SOLUÇÃO]]=CJ$1,[1]!BANCO10[[#This Row],[STATUS DA ETAPA]],"")</f>
        <v/>
      </c>
      <c r="CK350" s="21" t="str">
        <f>IF([1]!BANCO10[[#This Row],[SOLUÇÃO]]=CK$1,[1]!BANCO10[[#This Row],[STATUS DA ETAPA]],"")</f>
        <v/>
      </c>
      <c r="CL350" s="21" t="str">
        <f>IF([1]!BANCO10[[#This Row],[SOLUÇÃO]]=CL$1,[1]!BANCO10[[#This Row],[STATUS DA ETAPA]],"")</f>
        <v/>
      </c>
      <c r="CM350" s="21" t="str">
        <f>IF([1]!BANCO10[[#This Row],[SOLUÇÃO]]=CM$1,[1]!BANCO10[[#This Row],[STATUS DA ETAPA]],"")</f>
        <v/>
      </c>
      <c r="CN350" s="21" t="str">
        <f>IF([1]!BANCO10[[#This Row],[SOLUÇÃO]]=CN$1,[1]!BANCO10[[#This Row],[STATUS DA ETAPA]],"")</f>
        <v/>
      </c>
      <c r="CO350" s="21" t="str">
        <f>IF([1]!BANCO10[[#This Row],[SOLUÇÃO]]=CO$1,[1]!BANCO10[[#This Row],[STATUS DA ETAPA]],"")</f>
        <v/>
      </c>
      <c r="CP350" s="21" t="str">
        <f>IF([1]!BANCO10[[#This Row],[SOLUÇÃO]]=CP$1,[1]!BANCO10[[#This Row],[STATUS DA ETAPA]],"")</f>
        <v/>
      </c>
      <c r="CQ350" s="21" t="str">
        <f>IF([1]!BANCO10[[#This Row],[SOLUÇÃO]]=CQ$1,[1]!BANCO10[[#This Row],[STATUS DA ETAPA]],"")</f>
        <v/>
      </c>
      <c r="CR350" s="21" t="str">
        <f>IF([1]!BANCO10[[#This Row],[SOLUÇÃO]]=CR$1,[1]!BANCO10[[#This Row],[STATUS DA ETAPA]],"")</f>
        <v/>
      </c>
      <c r="CS350" s="21" t="str">
        <f>IF([1]!BANCO10[[#This Row],[SOLUÇÃO]]=CS$1,[1]!BANCO10[[#This Row],[STATUS DA ETAPA]],"")</f>
        <v/>
      </c>
      <c r="CT350" s="21" t="str">
        <f>IF([1]!BANCO10[[#This Row],[SOLUÇÃO]]=CT$1,[1]!BANCO10[[#This Row],[STATUS DA ETAPA]],"")</f>
        <v/>
      </c>
      <c r="CU350" s="21" t="str">
        <f>IF([1]!BANCO10[[#This Row],[SOLUÇÃO]]=CU$1,[1]!BANCO10[[#This Row],[STATUS DA ETAPA]],"")</f>
        <v/>
      </c>
      <c r="CV350" s="21" t="str">
        <f>IF([1]!BANCO10[[#This Row],[SOLUÇÃO]]=CV$1,[1]!BANCO10[[#This Row],[STATUS DA ETAPA]],"")</f>
        <v/>
      </c>
    </row>
    <row r="351" spans="1:100">
      <c r="A351" s="44" t="s">
        <v>1</v>
      </c>
      <c r="B351" s="44"/>
      <c r="C351" s="44" t="s">
        <v>1</v>
      </c>
      <c r="D351" s="44"/>
      <c r="E351" s="44" t="s">
        <v>1</v>
      </c>
      <c r="F351" s="44"/>
      <c r="G351" s="44" t="s">
        <v>1</v>
      </c>
      <c r="H351" s="44"/>
      <c r="I351" s="45" t="s">
        <v>1</v>
      </c>
      <c r="J351" s="46"/>
      <c r="K351" s="45" t="s">
        <v>1</v>
      </c>
      <c r="L351" s="33"/>
      <c r="M351" s="45" t="s">
        <v>1</v>
      </c>
      <c r="N351" s="33"/>
      <c r="O351" s="44" t="s">
        <v>2</v>
      </c>
      <c r="P351" s="44">
        <v>44926</v>
      </c>
      <c r="Q351" s="44" t="s">
        <v>0</v>
      </c>
      <c r="R351" s="44"/>
      <c r="S351" s="44" t="s">
        <v>1</v>
      </c>
      <c r="T351" s="44"/>
      <c r="U351" s="44" t="s">
        <v>1</v>
      </c>
      <c r="V351" s="44"/>
      <c r="W351" s="44" t="s">
        <v>1</v>
      </c>
      <c r="X351" s="44"/>
      <c r="Y351" s="44" t="s">
        <v>1</v>
      </c>
      <c r="Z351" s="44"/>
      <c r="AA351" s="44" t="s">
        <v>1</v>
      </c>
      <c r="AB351" s="44"/>
      <c r="AC351" s="84">
        <v>44926</v>
      </c>
      <c r="AD351" s="83">
        <v>44926</v>
      </c>
      <c r="AE351" s="40" t="s">
        <v>1</v>
      </c>
      <c r="AF351" s="40" t="s">
        <v>1</v>
      </c>
      <c r="AG351" s="76" t="s">
        <v>5</v>
      </c>
      <c r="AH351" s="36" t="s">
        <v>1</v>
      </c>
      <c r="AI351" s="49">
        <v>0</v>
      </c>
      <c r="AJ351" s="36" t="s">
        <v>1</v>
      </c>
      <c r="AK351" s="10" t="s">
        <v>1</v>
      </c>
      <c r="AL351" s="36" t="s">
        <v>1</v>
      </c>
      <c r="AM351" s="36" t="s">
        <v>1</v>
      </c>
      <c r="AN351" s="35" t="s">
        <v>1</v>
      </c>
      <c r="AO351" s="35" t="s">
        <v>1</v>
      </c>
      <c r="AP351" s="35" t="s">
        <v>1</v>
      </c>
      <c r="AQ351" s="35" t="s">
        <v>1</v>
      </c>
      <c r="AR351" s="82" t="s">
        <v>1</v>
      </c>
      <c r="AS351" s="33"/>
      <c r="AT351" s="30"/>
      <c r="AU351" s="55"/>
      <c r="AV351" s="30"/>
      <c r="AW351" s="55"/>
      <c r="AX351" s="30" t="s">
        <v>1</v>
      </c>
      <c r="AY351" s="55"/>
      <c r="AZ351" s="30" t="s">
        <v>1</v>
      </c>
      <c r="BA351" s="55"/>
      <c r="BB351" s="74"/>
      <c r="BC351" s="25"/>
      <c r="BD351" s="24" t="s">
        <v>11</v>
      </c>
      <c r="BE351" s="24" t="s">
        <v>11</v>
      </c>
      <c r="BF351" s="24" t="s">
        <v>19</v>
      </c>
      <c r="BG351" s="24" t="s">
        <v>19</v>
      </c>
      <c r="BH351" s="130" t="s">
        <v>19</v>
      </c>
      <c r="BI351" s="24"/>
      <c r="BJ351" s="24" t="s">
        <v>11</v>
      </c>
      <c r="BK351" s="24" t="s">
        <v>11</v>
      </c>
      <c r="BL351" s="24" t="s">
        <v>11</v>
      </c>
      <c r="BM351" s="24" t="s">
        <v>11</v>
      </c>
      <c r="BN351" s="24" t="s">
        <v>11</v>
      </c>
      <c r="BO351" s="24" t="s">
        <v>11</v>
      </c>
      <c r="BP351" s="24" t="s">
        <v>11</v>
      </c>
      <c r="BQ351" s="22">
        <f>YEAR([1]!BANCO10[[#This Row],[DATA INÍCIO]])</f>
        <v>2022</v>
      </c>
      <c r="BR351" s="22">
        <f>MONTH([1]!BANCO10[[#This Row],[DATA INÍCIO]])</f>
        <v>12</v>
      </c>
      <c r="BS351" s="129" t="e">
        <f>CONCATENATE(#REF!,#REF!)</f>
        <v>#REF!</v>
      </c>
      <c r="BT351" s="22"/>
      <c r="BU351" s="21" t="s">
        <v>544</v>
      </c>
      <c r="BV351" s="21" t="str">
        <f>IF([1]!BANCO10[[#This Row],[SOLUÇÃO]]=BV$1,[1]!BANCO10[[#This Row],[STATUS DA ETAPA]],"")</f>
        <v>CONCLUÍDO</v>
      </c>
      <c r="BW351" s="21" t="str">
        <f>IF([1]!BANCO10[[#This Row],[SOLUÇÃO]]=BW$1,[1]!BANCO10[[#This Row],[STATUS DA ETAPA]],"")</f>
        <v/>
      </c>
      <c r="BX351" s="21" t="str">
        <f>IF([1]!BANCO10[[#This Row],[SOLUÇÃO]]=BX$1,[1]!BANCO10[[#This Row],[STATUS DA ETAPA]],"")</f>
        <v/>
      </c>
      <c r="BY351" s="21" t="str">
        <f>IF([1]!BANCO10[[#This Row],[SOLUÇÃO]]=BY$1,[1]!BANCO10[[#This Row],[STATUS DA ETAPA]],"")</f>
        <v/>
      </c>
      <c r="BZ351" s="21" t="str">
        <f>IF([1]!BANCO10[[#This Row],[SOLUÇÃO]]=BZ$1,[1]!BANCO10[[#This Row],[STATUS DA ETAPA]],"")</f>
        <v/>
      </c>
      <c r="CA351" s="21" t="str">
        <f>IF([1]!BANCO10[[#This Row],[SOLUÇÃO]]=CA$1,[1]!BANCO10[[#This Row],[STATUS DA ETAPA]],"")</f>
        <v/>
      </c>
      <c r="CB351" s="21" t="str">
        <f>IF([1]!BANCO10[[#This Row],[SOLUÇÃO]]=CB$1,[1]!BANCO10[[#This Row],[STATUS DA ETAPA]],"")</f>
        <v/>
      </c>
      <c r="CC351" s="21" t="str">
        <f>IF([1]!BANCO10[[#This Row],[SOLUÇÃO]]=CC$1,[1]!BANCO10[[#This Row],[STATUS DA ETAPA]],"")</f>
        <v/>
      </c>
      <c r="CD351" s="21" t="str">
        <f>IF([1]!BANCO10[[#This Row],[SOLUÇÃO]]=CD$1,[1]!BANCO10[[#This Row],[STATUS DA ETAPA]],"")</f>
        <v/>
      </c>
      <c r="CE351" s="21" t="str">
        <f>IF([1]!BANCO10[[#This Row],[SOLUÇÃO]]=CE$1,[1]!BANCO10[[#This Row],[STATUS DA ETAPA]],"")</f>
        <v/>
      </c>
      <c r="CF351" s="21" t="str">
        <f>IF([1]!BANCO10[[#This Row],[SOLUÇÃO]]=CF$1,[1]!BANCO10[[#This Row],[STATUS DA ETAPA]],"")</f>
        <v/>
      </c>
      <c r="CG351" s="21" t="str">
        <f>IF([1]!BANCO10[[#This Row],[SOLUÇÃO]]=CG$1,[1]!BANCO10[[#This Row],[STATUS DA ETAPA]],"")</f>
        <v/>
      </c>
      <c r="CH351" s="21" t="str">
        <f>IF([1]!BANCO10[[#This Row],[SOLUÇÃO]]=CH$1,[1]!BANCO10[[#This Row],[STATUS DA ETAPA]],"")</f>
        <v/>
      </c>
      <c r="CI351" s="21" t="str">
        <f>IF([1]!BANCO10[[#This Row],[SOLUÇÃO]]=CI$1,[1]!BANCO10[[#This Row],[STATUS DA ETAPA]],"")</f>
        <v/>
      </c>
      <c r="CJ351" s="21" t="str">
        <f>IF([1]!BANCO10[[#This Row],[SOLUÇÃO]]=CJ$1,[1]!BANCO10[[#This Row],[STATUS DA ETAPA]],"")</f>
        <v/>
      </c>
      <c r="CK351" s="21" t="str">
        <f>IF([1]!BANCO10[[#This Row],[SOLUÇÃO]]=CK$1,[1]!BANCO10[[#This Row],[STATUS DA ETAPA]],"")</f>
        <v/>
      </c>
      <c r="CL351" s="21" t="str">
        <f>IF([1]!BANCO10[[#This Row],[SOLUÇÃO]]=CL$1,[1]!BANCO10[[#This Row],[STATUS DA ETAPA]],"")</f>
        <v/>
      </c>
      <c r="CM351" s="21" t="str">
        <f>IF([1]!BANCO10[[#This Row],[SOLUÇÃO]]=CM$1,[1]!BANCO10[[#This Row],[STATUS DA ETAPA]],"")</f>
        <v/>
      </c>
      <c r="CN351" s="21" t="str">
        <f>IF([1]!BANCO10[[#This Row],[SOLUÇÃO]]=CN$1,[1]!BANCO10[[#This Row],[STATUS DA ETAPA]],"")</f>
        <v/>
      </c>
      <c r="CO351" s="21" t="str">
        <f>IF([1]!BANCO10[[#This Row],[SOLUÇÃO]]=CO$1,[1]!BANCO10[[#This Row],[STATUS DA ETAPA]],"")</f>
        <v/>
      </c>
      <c r="CP351" s="21" t="str">
        <f>IF([1]!BANCO10[[#This Row],[SOLUÇÃO]]=CP$1,[1]!BANCO10[[#This Row],[STATUS DA ETAPA]],"")</f>
        <v/>
      </c>
      <c r="CQ351" s="21" t="str">
        <f>IF([1]!BANCO10[[#This Row],[SOLUÇÃO]]=CQ$1,[1]!BANCO10[[#This Row],[STATUS DA ETAPA]],"")</f>
        <v/>
      </c>
      <c r="CR351" s="21" t="str">
        <f>IF([1]!BANCO10[[#This Row],[SOLUÇÃO]]=CR$1,[1]!BANCO10[[#This Row],[STATUS DA ETAPA]],"")</f>
        <v/>
      </c>
      <c r="CS351" s="21" t="str">
        <f>IF([1]!BANCO10[[#This Row],[SOLUÇÃO]]=CS$1,[1]!BANCO10[[#This Row],[STATUS DA ETAPA]],"")</f>
        <v/>
      </c>
      <c r="CT351" s="21" t="str">
        <f>IF([1]!BANCO10[[#This Row],[SOLUÇÃO]]=CT$1,[1]!BANCO10[[#This Row],[STATUS DA ETAPA]],"")</f>
        <v/>
      </c>
      <c r="CU351" s="21" t="str">
        <f>IF([1]!BANCO10[[#This Row],[SOLUÇÃO]]=CU$1,[1]!BANCO10[[#This Row],[STATUS DA ETAPA]],"")</f>
        <v/>
      </c>
      <c r="CV351" s="21" t="str">
        <f>IF([1]!BANCO10[[#This Row],[SOLUÇÃO]]=CV$1,[1]!BANCO10[[#This Row],[STATUS DA ETAPA]],"")</f>
        <v/>
      </c>
    </row>
    <row r="352" spans="1:100">
      <c r="A352" s="44" t="s">
        <v>1</v>
      </c>
      <c r="B352" s="44"/>
      <c r="C352" s="44" t="s">
        <v>1</v>
      </c>
      <c r="D352" s="44"/>
      <c r="E352" s="44" t="s">
        <v>1</v>
      </c>
      <c r="F352" s="44"/>
      <c r="G352" s="44" t="s">
        <v>1</v>
      </c>
      <c r="H352" s="44"/>
      <c r="I352" s="45" t="s">
        <v>1</v>
      </c>
      <c r="J352" s="46"/>
      <c r="K352" s="45" t="s">
        <v>1</v>
      </c>
      <c r="L352" s="33"/>
      <c r="M352" s="45" t="s">
        <v>1</v>
      </c>
      <c r="N352" s="33"/>
      <c r="O352" s="44" t="s">
        <v>2</v>
      </c>
      <c r="P352" s="44">
        <v>44927</v>
      </c>
      <c r="Q352" s="44"/>
      <c r="R352" s="44"/>
      <c r="S352" s="44" t="s">
        <v>1</v>
      </c>
      <c r="T352" s="44"/>
      <c r="U352" s="44"/>
      <c r="V352" s="44"/>
      <c r="W352" s="44" t="s">
        <v>1</v>
      </c>
      <c r="X352" s="44"/>
      <c r="Y352" s="44" t="s">
        <v>1</v>
      </c>
      <c r="Z352" s="44"/>
      <c r="AA352" s="44" t="s">
        <v>1</v>
      </c>
      <c r="AB352" s="44"/>
      <c r="AC352" s="148">
        <v>44956</v>
      </c>
      <c r="AD352" s="147">
        <v>45266</v>
      </c>
      <c r="AE352" s="146" t="s">
        <v>2</v>
      </c>
      <c r="AF352" s="146" t="s">
        <v>2</v>
      </c>
      <c r="AG352" s="145" t="s">
        <v>5</v>
      </c>
      <c r="AH352" s="36"/>
      <c r="AI352" s="49">
        <v>0</v>
      </c>
      <c r="AJ352" s="36" t="s">
        <v>1</v>
      </c>
      <c r="AK352" s="10" t="s">
        <v>1</v>
      </c>
      <c r="AL352" s="36" t="s">
        <v>1</v>
      </c>
      <c r="AM352" s="36" t="s">
        <v>1</v>
      </c>
      <c r="AN352" s="35" t="s">
        <v>0</v>
      </c>
      <c r="AO352" s="35" t="s">
        <v>0</v>
      </c>
      <c r="AP352" s="35" t="s">
        <v>2</v>
      </c>
      <c r="AQ352" s="35" t="s">
        <v>1</v>
      </c>
      <c r="AR352" s="144" t="s">
        <v>1</v>
      </c>
      <c r="AS352" s="143"/>
      <c r="AT352" s="142"/>
      <c r="AU352" s="140"/>
      <c r="AV352" s="142"/>
      <c r="AW352" s="140"/>
      <c r="AX352" s="142" t="s">
        <v>2</v>
      </c>
      <c r="AY352" s="140">
        <v>45266</v>
      </c>
      <c r="AZ352" s="142" t="s">
        <v>1</v>
      </c>
      <c r="BA352" s="140"/>
      <c r="BB352" s="141" t="s">
        <v>543</v>
      </c>
      <c r="BC352" s="140"/>
      <c r="BD352" s="24" t="s">
        <v>11</v>
      </c>
      <c r="BE352" s="24" t="s">
        <v>11</v>
      </c>
      <c r="BF352" s="24" t="s">
        <v>19</v>
      </c>
      <c r="BG352" s="24" t="s">
        <v>19</v>
      </c>
      <c r="BH352" s="130" t="s">
        <v>19</v>
      </c>
      <c r="BI352" s="24"/>
      <c r="BJ352" s="24" t="s">
        <v>11</v>
      </c>
      <c r="BK352" s="24" t="s">
        <v>11</v>
      </c>
      <c r="BL352" s="24">
        <v>45402</v>
      </c>
      <c r="BM352" s="24" t="s">
        <v>18</v>
      </c>
      <c r="BN352" s="24" t="s">
        <v>270</v>
      </c>
      <c r="BO352" s="24"/>
      <c r="BP352" s="24" t="s">
        <v>286</v>
      </c>
      <c r="BQ352" s="22">
        <f>YEAR([1]!BANCO10[[#This Row],[DATA INÍCIO]])</f>
        <v>2023</v>
      </c>
      <c r="BR352" s="22">
        <f>MONTH([1]!BANCO10[[#This Row],[DATA INÍCIO]])</f>
        <v>1</v>
      </c>
      <c r="BS352" s="129" t="e">
        <f>CONCATENATE(#REF!,#REF!)</f>
        <v>#REF!</v>
      </c>
      <c r="BT352" s="22"/>
      <c r="BU352" s="21" t="s">
        <v>542</v>
      </c>
      <c r="BV352" s="21" t="str">
        <f>IF([1]!BANCO10[[#This Row],[SOLUÇÃO]]=BV$1,[1]!BANCO10[[#This Row],[STATUS DA ETAPA]],"")</f>
        <v/>
      </c>
      <c r="BW352" s="21" t="str">
        <f>IF([1]!BANCO10[[#This Row],[SOLUÇÃO]]=BW$1,[1]!BANCO10[[#This Row],[STATUS DA ETAPA]],"")</f>
        <v/>
      </c>
      <c r="BX352" s="21" t="str">
        <f>IF([1]!BANCO10[[#This Row],[SOLUÇÃO]]=BX$1,[1]!BANCO10[[#This Row],[STATUS DA ETAPA]],"")</f>
        <v/>
      </c>
      <c r="BY352" s="21" t="str">
        <f>IF([1]!BANCO10[[#This Row],[SOLUÇÃO]]=BY$1,[1]!BANCO10[[#This Row],[STATUS DA ETAPA]],"")</f>
        <v/>
      </c>
      <c r="BZ352" s="21" t="str">
        <f>IF([1]!BANCO10[[#This Row],[SOLUÇÃO]]=BZ$1,[1]!BANCO10[[#This Row],[STATUS DA ETAPA]],"")</f>
        <v/>
      </c>
      <c r="CA352" s="21" t="str">
        <f>IF([1]!BANCO10[[#This Row],[SOLUÇÃO]]=CA$1,[1]!BANCO10[[#This Row],[STATUS DA ETAPA]],"")</f>
        <v/>
      </c>
      <c r="CB352" s="21" t="str">
        <f>IF([1]!BANCO10[[#This Row],[SOLUÇÃO]]=CB$1,[1]!BANCO10[[#This Row],[STATUS DA ETAPA]],"")</f>
        <v/>
      </c>
      <c r="CC352" s="21" t="str">
        <f>IF([1]!BANCO10[[#This Row],[SOLUÇÃO]]=CC$1,[1]!BANCO10[[#This Row],[STATUS DA ETAPA]],"")</f>
        <v/>
      </c>
      <c r="CD352" s="21" t="str">
        <f>IF([1]!BANCO10[[#This Row],[SOLUÇÃO]]=CD$1,[1]!BANCO10[[#This Row],[STATUS DA ETAPA]],"")</f>
        <v/>
      </c>
      <c r="CE352" s="21" t="str">
        <f>IF([1]!BANCO10[[#This Row],[SOLUÇÃO]]=CE$1,[1]!BANCO10[[#This Row],[STATUS DA ETAPA]],"")</f>
        <v/>
      </c>
      <c r="CF352" s="21" t="str">
        <f>IF([1]!BANCO10[[#This Row],[SOLUÇÃO]]=CF$1,[1]!BANCO10[[#This Row],[STATUS DA ETAPA]],"")</f>
        <v/>
      </c>
      <c r="CG352" s="21" t="str">
        <f>IF([1]!BANCO10[[#This Row],[SOLUÇÃO]]=CG$1,[1]!BANCO10[[#This Row],[STATUS DA ETAPA]],"")</f>
        <v/>
      </c>
      <c r="CH352" s="21" t="str">
        <f>IF([1]!BANCO10[[#This Row],[SOLUÇÃO]]=CH$1,[1]!BANCO10[[#This Row],[STATUS DA ETAPA]],"")</f>
        <v/>
      </c>
      <c r="CI352" s="21" t="str">
        <f>IF([1]!BANCO10[[#This Row],[SOLUÇÃO]]=CI$1,[1]!BANCO10[[#This Row],[STATUS DA ETAPA]],"")</f>
        <v/>
      </c>
      <c r="CJ352" s="21" t="str">
        <f>IF([1]!BANCO10[[#This Row],[SOLUÇÃO]]=CJ$1,[1]!BANCO10[[#This Row],[STATUS DA ETAPA]],"")</f>
        <v/>
      </c>
      <c r="CK352" s="21" t="str">
        <f>IF([1]!BANCO10[[#This Row],[SOLUÇÃO]]=CK$1,[1]!BANCO10[[#This Row],[STATUS DA ETAPA]],"")</f>
        <v/>
      </c>
      <c r="CL352" s="21" t="str">
        <f>IF([1]!BANCO10[[#This Row],[SOLUÇÃO]]=CL$1,[1]!BANCO10[[#This Row],[STATUS DA ETAPA]],"")</f>
        <v/>
      </c>
      <c r="CM352" s="21" t="str">
        <f>IF([1]!BANCO10[[#This Row],[SOLUÇÃO]]=CM$1,[1]!BANCO10[[#This Row],[STATUS DA ETAPA]],"")</f>
        <v/>
      </c>
      <c r="CN352" s="21" t="str">
        <f>IF([1]!BANCO10[[#This Row],[SOLUÇÃO]]=CN$1,[1]!BANCO10[[#This Row],[STATUS DA ETAPA]],"")</f>
        <v/>
      </c>
      <c r="CO352" s="21" t="str">
        <f>IF([1]!BANCO10[[#This Row],[SOLUÇÃO]]=CO$1,[1]!BANCO10[[#This Row],[STATUS DA ETAPA]],"")</f>
        <v>CONCLUÍDO</v>
      </c>
      <c r="CP352" s="21" t="str">
        <f>IF([1]!BANCO10[[#This Row],[SOLUÇÃO]]=CP$1,[1]!BANCO10[[#This Row],[STATUS DA ETAPA]],"")</f>
        <v/>
      </c>
      <c r="CQ352" s="21" t="str">
        <f>IF([1]!BANCO10[[#This Row],[SOLUÇÃO]]=CQ$1,[1]!BANCO10[[#This Row],[STATUS DA ETAPA]],"")</f>
        <v/>
      </c>
      <c r="CR352" s="21" t="str">
        <f>IF([1]!BANCO10[[#This Row],[SOLUÇÃO]]=CR$1,[1]!BANCO10[[#This Row],[STATUS DA ETAPA]],"")</f>
        <v/>
      </c>
      <c r="CS352" s="21" t="str">
        <f>IF([1]!BANCO10[[#This Row],[SOLUÇÃO]]=CS$1,[1]!BANCO10[[#This Row],[STATUS DA ETAPA]],"")</f>
        <v/>
      </c>
      <c r="CT352" s="21" t="str">
        <f>IF([1]!BANCO10[[#This Row],[SOLUÇÃO]]=CT$1,[1]!BANCO10[[#This Row],[STATUS DA ETAPA]],"")</f>
        <v/>
      </c>
      <c r="CU352" s="21" t="str">
        <f>IF([1]!BANCO10[[#This Row],[SOLUÇÃO]]=CU$1,[1]!BANCO10[[#This Row],[STATUS DA ETAPA]],"")</f>
        <v/>
      </c>
      <c r="CV352" s="21" t="str">
        <f>IF([1]!BANCO10[[#This Row],[SOLUÇÃO]]=CV$1,[1]!BANCO10[[#This Row],[STATUS DA ETAPA]],"")</f>
        <v/>
      </c>
    </row>
    <row r="353" spans="1:100">
      <c r="A353" s="44" t="s">
        <v>1</v>
      </c>
      <c r="B353" s="44"/>
      <c r="C353" s="44" t="s">
        <v>1</v>
      </c>
      <c r="D353" s="44"/>
      <c r="E353" s="44" t="s">
        <v>1</v>
      </c>
      <c r="F353" s="44"/>
      <c r="G353" s="44" t="s">
        <v>1</v>
      </c>
      <c r="H353" s="44"/>
      <c r="I353" s="45" t="s">
        <v>1</v>
      </c>
      <c r="J353" s="46"/>
      <c r="K353" s="45" t="s">
        <v>1</v>
      </c>
      <c r="L353" s="33"/>
      <c r="M353" s="45" t="s">
        <v>1</v>
      </c>
      <c r="N353" s="33"/>
      <c r="O353" s="44" t="s">
        <v>2</v>
      </c>
      <c r="P353" s="44">
        <v>44701</v>
      </c>
      <c r="Q353" s="44" t="s">
        <v>0</v>
      </c>
      <c r="R353" s="44"/>
      <c r="S353" s="44" t="s">
        <v>1</v>
      </c>
      <c r="T353" s="44"/>
      <c r="U353" s="44" t="s">
        <v>1</v>
      </c>
      <c r="V353" s="44"/>
      <c r="W353" s="44" t="s">
        <v>1</v>
      </c>
      <c r="X353" s="44"/>
      <c r="Y353" s="44" t="s">
        <v>1</v>
      </c>
      <c r="Z353" s="44"/>
      <c r="AA353" s="44" t="s">
        <v>1</v>
      </c>
      <c r="AB353" s="44"/>
      <c r="AC353" s="51">
        <v>44700</v>
      </c>
      <c r="AD353" s="50">
        <v>44700</v>
      </c>
      <c r="AE353" s="40" t="s">
        <v>1</v>
      </c>
      <c r="AF353" s="40" t="s">
        <v>1</v>
      </c>
      <c r="AG353" s="76" t="s">
        <v>5</v>
      </c>
      <c r="AH353" s="36" t="s">
        <v>1</v>
      </c>
      <c r="AI353" s="49">
        <v>0</v>
      </c>
      <c r="AJ353" s="36" t="s">
        <v>1</v>
      </c>
      <c r="AK353" s="10" t="s">
        <v>1</v>
      </c>
      <c r="AL353" s="36" t="s">
        <v>1</v>
      </c>
      <c r="AM353" s="36" t="s">
        <v>1</v>
      </c>
      <c r="AN353" s="35" t="s">
        <v>1</v>
      </c>
      <c r="AO353" s="35" t="s">
        <v>1</v>
      </c>
      <c r="AP353" s="35" t="s">
        <v>1</v>
      </c>
      <c r="AQ353" s="35" t="s">
        <v>1</v>
      </c>
      <c r="AR353" s="82" t="s">
        <v>1</v>
      </c>
      <c r="AS353" s="33"/>
      <c r="AT353" s="32" t="s">
        <v>1</v>
      </c>
      <c r="AU353" s="31"/>
      <c r="AV353" s="32" t="s">
        <v>1</v>
      </c>
      <c r="AW353" s="31"/>
      <c r="AX353" s="30" t="s">
        <v>1</v>
      </c>
      <c r="AY353" s="55"/>
      <c r="AZ353" s="30" t="s">
        <v>1</v>
      </c>
      <c r="BA353" s="55"/>
      <c r="BB353" s="74"/>
      <c r="BC353" s="25"/>
      <c r="BD353" s="24" t="s">
        <v>11</v>
      </c>
      <c r="BE353" s="24" t="s">
        <v>11</v>
      </c>
      <c r="BF353" s="24" t="s">
        <v>11</v>
      </c>
      <c r="BG353" s="24" t="s">
        <v>11</v>
      </c>
      <c r="BH353" s="130" t="s">
        <v>11</v>
      </c>
      <c r="BI353" s="24"/>
      <c r="BJ353" s="24" t="s">
        <v>11</v>
      </c>
      <c r="BK353" s="24" t="s">
        <v>11</v>
      </c>
      <c r="BL353" s="24" t="s">
        <v>11</v>
      </c>
      <c r="BM353" s="24" t="s">
        <v>11</v>
      </c>
      <c r="BN353" s="24" t="s">
        <v>11</v>
      </c>
      <c r="BO353" s="24" t="s">
        <v>11</v>
      </c>
      <c r="BP353" s="24" t="s">
        <v>11</v>
      </c>
      <c r="BQ353" s="22">
        <f>YEAR([1]!BANCO10[[#This Row],[DATA INÍCIO]])</f>
        <v>2022</v>
      </c>
      <c r="BR353" s="22">
        <f>MONTH([1]!BANCO10[[#This Row],[DATA INÍCIO]])</f>
        <v>5</v>
      </c>
      <c r="BS353" s="129" t="e">
        <f>CONCATENATE(#REF!,#REF!)</f>
        <v>#REF!</v>
      </c>
      <c r="BT353" s="22"/>
      <c r="BU353" s="21" t="s">
        <v>541</v>
      </c>
      <c r="BV353" s="21" t="str">
        <f>IF([1]!BANCO10[[#This Row],[SOLUÇÃO]]=BV$1,[1]!BANCO10[[#This Row],[STATUS DA ETAPA]],"")</f>
        <v>CONCLUÍDO</v>
      </c>
      <c r="BW353" s="21" t="str">
        <f>IF([1]!BANCO10[[#This Row],[SOLUÇÃO]]=BW$1,[1]!BANCO10[[#This Row],[STATUS DA ETAPA]],"")</f>
        <v/>
      </c>
      <c r="BX353" s="21" t="str">
        <f>IF([1]!BANCO10[[#This Row],[SOLUÇÃO]]=BX$1,[1]!BANCO10[[#This Row],[STATUS DA ETAPA]],"")</f>
        <v/>
      </c>
      <c r="BY353" s="21" t="str">
        <f>IF([1]!BANCO10[[#This Row],[SOLUÇÃO]]=BY$1,[1]!BANCO10[[#This Row],[STATUS DA ETAPA]],"")</f>
        <v/>
      </c>
      <c r="BZ353" s="21" t="str">
        <f>IF([1]!BANCO10[[#This Row],[SOLUÇÃO]]=BZ$1,[1]!BANCO10[[#This Row],[STATUS DA ETAPA]],"")</f>
        <v/>
      </c>
      <c r="CA353" s="21" t="str">
        <f>IF([1]!BANCO10[[#This Row],[SOLUÇÃO]]=CA$1,[1]!BANCO10[[#This Row],[STATUS DA ETAPA]],"")</f>
        <v/>
      </c>
      <c r="CB353" s="21" t="str">
        <f>IF([1]!BANCO10[[#This Row],[SOLUÇÃO]]=CB$1,[1]!BANCO10[[#This Row],[STATUS DA ETAPA]],"")</f>
        <v/>
      </c>
      <c r="CC353" s="21" t="str">
        <f>IF([1]!BANCO10[[#This Row],[SOLUÇÃO]]=CC$1,[1]!BANCO10[[#This Row],[STATUS DA ETAPA]],"")</f>
        <v/>
      </c>
      <c r="CD353" s="21" t="str">
        <f>IF([1]!BANCO10[[#This Row],[SOLUÇÃO]]=CD$1,[1]!BANCO10[[#This Row],[STATUS DA ETAPA]],"")</f>
        <v/>
      </c>
      <c r="CE353" s="21" t="str">
        <f>IF([1]!BANCO10[[#This Row],[SOLUÇÃO]]=CE$1,[1]!BANCO10[[#This Row],[STATUS DA ETAPA]],"")</f>
        <v/>
      </c>
      <c r="CF353" s="21" t="str">
        <f>IF([1]!BANCO10[[#This Row],[SOLUÇÃO]]=CF$1,[1]!BANCO10[[#This Row],[STATUS DA ETAPA]],"")</f>
        <v/>
      </c>
      <c r="CG353" s="21" t="str">
        <f>IF([1]!BANCO10[[#This Row],[SOLUÇÃO]]=CG$1,[1]!BANCO10[[#This Row],[STATUS DA ETAPA]],"")</f>
        <v/>
      </c>
      <c r="CH353" s="21" t="str">
        <f>IF([1]!BANCO10[[#This Row],[SOLUÇÃO]]=CH$1,[1]!BANCO10[[#This Row],[STATUS DA ETAPA]],"")</f>
        <v/>
      </c>
      <c r="CI353" s="21" t="str">
        <f>IF([1]!BANCO10[[#This Row],[SOLUÇÃO]]=CI$1,[1]!BANCO10[[#This Row],[STATUS DA ETAPA]],"")</f>
        <v/>
      </c>
      <c r="CJ353" s="21" t="str">
        <f>IF([1]!BANCO10[[#This Row],[SOLUÇÃO]]=CJ$1,[1]!BANCO10[[#This Row],[STATUS DA ETAPA]],"")</f>
        <v/>
      </c>
      <c r="CK353" s="21" t="str">
        <f>IF([1]!BANCO10[[#This Row],[SOLUÇÃO]]=CK$1,[1]!BANCO10[[#This Row],[STATUS DA ETAPA]],"")</f>
        <v/>
      </c>
      <c r="CL353" s="21" t="str">
        <f>IF([1]!BANCO10[[#This Row],[SOLUÇÃO]]=CL$1,[1]!BANCO10[[#This Row],[STATUS DA ETAPA]],"")</f>
        <v/>
      </c>
      <c r="CM353" s="21" t="str">
        <f>IF([1]!BANCO10[[#This Row],[SOLUÇÃO]]=CM$1,[1]!BANCO10[[#This Row],[STATUS DA ETAPA]],"")</f>
        <v/>
      </c>
      <c r="CN353" s="21" t="str">
        <f>IF([1]!BANCO10[[#This Row],[SOLUÇÃO]]=CN$1,[1]!BANCO10[[#This Row],[STATUS DA ETAPA]],"")</f>
        <v/>
      </c>
      <c r="CO353" s="21" t="str">
        <f>IF([1]!BANCO10[[#This Row],[SOLUÇÃO]]=CO$1,[1]!BANCO10[[#This Row],[STATUS DA ETAPA]],"")</f>
        <v/>
      </c>
      <c r="CP353" s="21" t="str">
        <f>IF([1]!BANCO10[[#This Row],[SOLUÇÃO]]=CP$1,[1]!BANCO10[[#This Row],[STATUS DA ETAPA]],"")</f>
        <v/>
      </c>
      <c r="CQ353" s="21" t="str">
        <f>IF([1]!BANCO10[[#This Row],[SOLUÇÃO]]=CQ$1,[1]!BANCO10[[#This Row],[STATUS DA ETAPA]],"")</f>
        <v/>
      </c>
      <c r="CR353" s="21" t="str">
        <f>IF([1]!BANCO10[[#This Row],[SOLUÇÃO]]=CR$1,[1]!BANCO10[[#This Row],[STATUS DA ETAPA]],"")</f>
        <v/>
      </c>
      <c r="CS353" s="21" t="str">
        <f>IF([1]!BANCO10[[#This Row],[SOLUÇÃO]]=CS$1,[1]!BANCO10[[#This Row],[STATUS DA ETAPA]],"")</f>
        <v/>
      </c>
      <c r="CT353" s="21" t="str">
        <f>IF([1]!BANCO10[[#This Row],[SOLUÇÃO]]=CT$1,[1]!BANCO10[[#This Row],[STATUS DA ETAPA]],"")</f>
        <v/>
      </c>
      <c r="CU353" s="21" t="str">
        <f>IF([1]!BANCO10[[#This Row],[SOLUÇÃO]]=CU$1,[1]!BANCO10[[#This Row],[STATUS DA ETAPA]],"")</f>
        <v/>
      </c>
      <c r="CV353" s="21" t="str">
        <f>IF([1]!BANCO10[[#This Row],[SOLUÇÃO]]=CV$1,[1]!BANCO10[[#This Row],[STATUS DA ETAPA]],"")</f>
        <v/>
      </c>
    </row>
    <row r="354" spans="1:100">
      <c r="A354" s="44" t="s">
        <v>1</v>
      </c>
      <c r="B354" s="44"/>
      <c r="C354" s="44" t="s">
        <v>1</v>
      </c>
      <c r="D354" s="44"/>
      <c r="E354" s="44" t="s">
        <v>1</v>
      </c>
      <c r="F354" s="44"/>
      <c r="G354" s="44" t="s">
        <v>1</v>
      </c>
      <c r="H354" s="44"/>
      <c r="I354" s="45" t="s">
        <v>1</v>
      </c>
      <c r="J354" s="46"/>
      <c r="K354" s="45" t="s">
        <v>1</v>
      </c>
      <c r="L354" s="33"/>
      <c r="M354" s="45" t="s">
        <v>1</v>
      </c>
      <c r="N354" s="33"/>
      <c r="O354" s="44" t="s">
        <v>2</v>
      </c>
      <c r="P354" s="44">
        <v>44701</v>
      </c>
      <c r="Q354" s="44" t="s">
        <v>2</v>
      </c>
      <c r="R354" s="44">
        <v>44702</v>
      </c>
      <c r="S354" s="44" t="s">
        <v>2</v>
      </c>
      <c r="T354" s="44">
        <v>44733</v>
      </c>
      <c r="U354" s="44" t="s">
        <v>2</v>
      </c>
      <c r="V354" s="44"/>
      <c r="W354" s="44" t="s">
        <v>2</v>
      </c>
      <c r="X354" s="44"/>
      <c r="Y354" s="44" t="s">
        <v>2</v>
      </c>
      <c r="Z354" s="44">
        <v>44735</v>
      </c>
      <c r="AA354" s="44" t="s">
        <v>2</v>
      </c>
      <c r="AB354" s="44"/>
      <c r="AC354" s="51">
        <v>44939</v>
      </c>
      <c r="AD354" s="50">
        <v>45022</v>
      </c>
      <c r="AE354" s="40" t="s">
        <v>2</v>
      </c>
      <c r="AF354" s="40" t="s">
        <v>2</v>
      </c>
      <c r="AG354" s="76" t="s">
        <v>5</v>
      </c>
      <c r="AH354" s="36" t="s">
        <v>0</v>
      </c>
      <c r="AI354" s="49">
        <v>0</v>
      </c>
      <c r="AJ354" s="36"/>
      <c r="AK354" s="10"/>
      <c r="AL354" s="36">
        <v>4731</v>
      </c>
      <c r="AM354" s="36" t="s">
        <v>1</v>
      </c>
      <c r="AN354" s="35" t="s">
        <v>1</v>
      </c>
      <c r="AO354" s="35" t="s">
        <v>1</v>
      </c>
      <c r="AP354" s="35" t="s">
        <v>2</v>
      </c>
      <c r="AQ354" s="35" t="s">
        <v>1</v>
      </c>
      <c r="AR354" s="34" t="s">
        <v>1</v>
      </c>
      <c r="AS354" s="33"/>
      <c r="AT354" s="32" t="s">
        <v>1</v>
      </c>
      <c r="AU354" s="31"/>
      <c r="AV354" s="32" t="s">
        <v>1</v>
      </c>
      <c r="AW354" s="31"/>
      <c r="AX354" s="30" t="s">
        <v>2</v>
      </c>
      <c r="AY354" s="55">
        <v>45054</v>
      </c>
      <c r="AZ354" s="30" t="s">
        <v>2</v>
      </c>
      <c r="BA354" s="55"/>
      <c r="BB354" s="74"/>
      <c r="BC354" s="25"/>
      <c r="BD354" s="24" t="s">
        <v>11</v>
      </c>
      <c r="BE354" s="24" t="s">
        <v>11</v>
      </c>
      <c r="BF354" s="24" t="s">
        <v>11</v>
      </c>
      <c r="BG354" s="24" t="s">
        <v>11</v>
      </c>
      <c r="BH354" s="130" t="s">
        <v>11</v>
      </c>
      <c r="BI354" s="24"/>
      <c r="BJ354" s="24" t="s">
        <v>11</v>
      </c>
      <c r="BK354" s="24" t="s">
        <v>11</v>
      </c>
      <c r="BL354" s="24" t="s">
        <v>11</v>
      </c>
      <c r="BM354" s="24" t="s">
        <v>11</v>
      </c>
      <c r="BN354" s="24" t="s">
        <v>11</v>
      </c>
      <c r="BO354" s="24" t="s">
        <v>11</v>
      </c>
      <c r="BP354" s="24" t="s">
        <v>11</v>
      </c>
      <c r="BQ354" s="22">
        <f>YEAR([1]!BANCO10[[#This Row],[DATA INÍCIO]])</f>
        <v>2023</v>
      </c>
      <c r="BR354" s="22">
        <f>MONTH([1]!BANCO10[[#This Row],[DATA INÍCIO]])</f>
        <v>1</v>
      </c>
      <c r="BS354" s="129" t="e">
        <f>CONCATENATE(#REF!,#REF!)</f>
        <v>#REF!</v>
      </c>
      <c r="BT354" s="22"/>
      <c r="BU354" s="21" t="s">
        <v>540</v>
      </c>
      <c r="BV354" s="21" t="str">
        <f>IF([1]!BANCO10[[#This Row],[SOLUÇÃO]]=BV$1,[1]!BANCO10[[#This Row],[STATUS DA ETAPA]],"")</f>
        <v/>
      </c>
      <c r="BW354" s="21" t="str">
        <f>IF([1]!BANCO10[[#This Row],[SOLUÇÃO]]=BW$1,[1]!BANCO10[[#This Row],[STATUS DA ETAPA]],"")</f>
        <v/>
      </c>
      <c r="BX354" s="21" t="str">
        <f>IF([1]!BANCO10[[#This Row],[SOLUÇÃO]]=BX$1,[1]!BANCO10[[#This Row],[STATUS DA ETAPA]],"")</f>
        <v/>
      </c>
      <c r="BY354" s="21" t="str">
        <f>IF([1]!BANCO10[[#This Row],[SOLUÇÃO]]=BY$1,[1]!BANCO10[[#This Row],[STATUS DA ETAPA]],"")</f>
        <v/>
      </c>
      <c r="BZ354" s="21" t="str">
        <f>IF([1]!BANCO10[[#This Row],[SOLUÇÃO]]=BZ$1,[1]!BANCO10[[#This Row],[STATUS DA ETAPA]],"")</f>
        <v/>
      </c>
      <c r="CA354" s="21" t="str">
        <f>IF([1]!BANCO10[[#This Row],[SOLUÇÃO]]=CA$1,[1]!BANCO10[[#This Row],[STATUS DA ETAPA]],"")</f>
        <v>CONCLUÍDO</v>
      </c>
      <c r="CB354" s="21" t="str">
        <f>IF([1]!BANCO10[[#This Row],[SOLUÇÃO]]=CB$1,[1]!BANCO10[[#This Row],[STATUS DA ETAPA]],"")</f>
        <v/>
      </c>
      <c r="CC354" s="21" t="str">
        <f>IF([1]!BANCO10[[#This Row],[SOLUÇÃO]]=CC$1,[1]!BANCO10[[#This Row],[STATUS DA ETAPA]],"")</f>
        <v/>
      </c>
      <c r="CD354" s="21" t="str">
        <f>IF([1]!BANCO10[[#This Row],[SOLUÇÃO]]=CD$1,[1]!BANCO10[[#This Row],[STATUS DA ETAPA]],"")</f>
        <v/>
      </c>
      <c r="CE354" s="21" t="str">
        <f>IF([1]!BANCO10[[#This Row],[SOLUÇÃO]]=CE$1,[1]!BANCO10[[#This Row],[STATUS DA ETAPA]],"")</f>
        <v/>
      </c>
      <c r="CF354" s="21" t="str">
        <f>IF([1]!BANCO10[[#This Row],[SOLUÇÃO]]=CF$1,[1]!BANCO10[[#This Row],[STATUS DA ETAPA]],"")</f>
        <v/>
      </c>
      <c r="CG354" s="21" t="str">
        <f>IF([1]!BANCO10[[#This Row],[SOLUÇÃO]]=CG$1,[1]!BANCO10[[#This Row],[STATUS DA ETAPA]],"")</f>
        <v/>
      </c>
      <c r="CH354" s="21" t="str">
        <f>IF([1]!BANCO10[[#This Row],[SOLUÇÃO]]=CH$1,[1]!BANCO10[[#This Row],[STATUS DA ETAPA]],"")</f>
        <v/>
      </c>
      <c r="CI354" s="21" t="str">
        <f>IF([1]!BANCO10[[#This Row],[SOLUÇÃO]]=CI$1,[1]!BANCO10[[#This Row],[STATUS DA ETAPA]],"")</f>
        <v/>
      </c>
      <c r="CJ354" s="21" t="str">
        <f>IF([1]!BANCO10[[#This Row],[SOLUÇÃO]]=CJ$1,[1]!BANCO10[[#This Row],[STATUS DA ETAPA]],"")</f>
        <v/>
      </c>
      <c r="CK354" s="21" t="str">
        <f>IF([1]!BANCO10[[#This Row],[SOLUÇÃO]]=CK$1,[1]!BANCO10[[#This Row],[STATUS DA ETAPA]],"")</f>
        <v/>
      </c>
      <c r="CL354" s="21" t="str">
        <f>IF([1]!BANCO10[[#This Row],[SOLUÇÃO]]=CL$1,[1]!BANCO10[[#This Row],[STATUS DA ETAPA]],"")</f>
        <v/>
      </c>
      <c r="CM354" s="21" t="str">
        <f>IF([1]!BANCO10[[#This Row],[SOLUÇÃO]]=CM$1,[1]!BANCO10[[#This Row],[STATUS DA ETAPA]],"")</f>
        <v/>
      </c>
      <c r="CN354" s="21" t="str">
        <f>IF([1]!BANCO10[[#This Row],[SOLUÇÃO]]=CN$1,[1]!BANCO10[[#This Row],[STATUS DA ETAPA]],"")</f>
        <v/>
      </c>
      <c r="CO354" s="21" t="str">
        <f>IF([1]!BANCO10[[#This Row],[SOLUÇÃO]]=CO$1,[1]!BANCO10[[#This Row],[STATUS DA ETAPA]],"")</f>
        <v/>
      </c>
      <c r="CP354" s="21" t="str">
        <f>IF([1]!BANCO10[[#This Row],[SOLUÇÃO]]=CP$1,[1]!BANCO10[[#This Row],[STATUS DA ETAPA]],"")</f>
        <v/>
      </c>
      <c r="CQ354" s="21" t="str">
        <f>IF([1]!BANCO10[[#This Row],[SOLUÇÃO]]=CQ$1,[1]!BANCO10[[#This Row],[STATUS DA ETAPA]],"")</f>
        <v/>
      </c>
      <c r="CR354" s="21" t="str">
        <f>IF([1]!BANCO10[[#This Row],[SOLUÇÃO]]=CR$1,[1]!BANCO10[[#This Row],[STATUS DA ETAPA]],"")</f>
        <v/>
      </c>
      <c r="CS354" s="21" t="str">
        <f>IF([1]!BANCO10[[#This Row],[SOLUÇÃO]]=CS$1,[1]!BANCO10[[#This Row],[STATUS DA ETAPA]],"")</f>
        <v/>
      </c>
      <c r="CT354" s="21" t="str">
        <f>IF([1]!BANCO10[[#This Row],[SOLUÇÃO]]=CT$1,[1]!BANCO10[[#This Row],[STATUS DA ETAPA]],"")</f>
        <v/>
      </c>
      <c r="CU354" s="21" t="str">
        <f>IF([1]!BANCO10[[#This Row],[SOLUÇÃO]]=CU$1,[1]!BANCO10[[#This Row],[STATUS DA ETAPA]],"")</f>
        <v/>
      </c>
      <c r="CV354" s="21" t="str">
        <f>IF([1]!BANCO10[[#This Row],[SOLUÇÃO]]=CV$1,[1]!BANCO10[[#This Row],[STATUS DA ETAPA]],"")</f>
        <v/>
      </c>
    </row>
    <row r="355" spans="1:100">
      <c r="A355" s="44" t="s">
        <v>1</v>
      </c>
      <c r="B355" s="44"/>
      <c r="C355" s="44" t="s">
        <v>1</v>
      </c>
      <c r="D355" s="44"/>
      <c r="E355" s="44" t="s">
        <v>1</v>
      </c>
      <c r="F355" s="44"/>
      <c r="G355" s="44" t="s">
        <v>1</v>
      </c>
      <c r="H355" s="44"/>
      <c r="I355" s="45" t="s">
        <v>1</v>
      </c>
      <c r="J355" s="46"/>
      <c r="K355" s="45" t="s">
        <v>1</v>
      </c>
      <c r="L355" s="33"/>
      <c r="M355" s="45" t="s">
        <v>1</v>
      </c>
      <c r="N355" s="33"/>
      <c r="O355" s="44" t="s">
        <v>1</v>
      </c>
      <c r="P355" s="44"/>
      <c r="Q355" s="44" t="s">
        <v>1</v>
      </c>
      <c r="R355" s="44"/>
      <c r="S355" s="44" t="s">
        <v>1</v>
      </c>
      <c r="T355" s="44"/>
      <c r="U355" s="44" t="s">
        <v>1</v>
      </c>
      <c r="V355" s="44"/>
      <c r="W355" s="44" t="s">
        <v>1</v>
      </c>
      <c r="X355" s="44"/>
      <c r="Y355" s="44" t="s">
        <v>1</v>
      </c>
      <c r="Z355" s="44"/>
      <c r="AA355" s="44" t="s">
        <v>1</v>
      </c>
      <c r="AB355" s="44"/>
      <c r="AC355" s="51">
        <v>45425</v>
      </c>
      <c r="AD355" s="50">
        <v>45425</v>
      </c>
      <c r="AE355" s="68" t="s">
        <v>1</v>
      </c>
      <c r="AF355" s="68" t="s">
        <v>1</v>
      </c>
      <c r="AG355" s="76" t="s">
        <v>5</v>
      </c>
      <c r="AH355" s="36" t="s">
        <v>1</v>
      </c>
      <c r="AI355" s="49">
        <v>0</v>
      </c>
      <c r="AJ355" s="36" t="s">
        <v>1</v>
      </c>
      <c r="AK355" s="10" t="s">
        <v>1</v>
      </c>
      <c r="AL355" s="36" t="s">
        <v>1</v>
      </c>
      <c r="AM355" s="36" t="s">
        <v>1</v>
      </c>
      <c r="AN355" s="35" t="s">
        <v>1</v>
      </c>
      <c r="AO355" s="35" t="s">
        <v>1</v>
      </c>
      <c r="AP355" s="35" t="s">
        <v>1</v>
      </c>
      <c r="AQ355" s="35" t="s">
        <v>1</v>
      </c>
      <c r="AR355" s="82" t="s">
        <v>1</v>
      </c>
      <c r="AS355" s="33"/>
      <c r="AT355" s="32" t="s">
        <v>1</v>
      </c>
      <c r="AU355" s="31"/>
      <c r="AV355" s="32" t="s">
        <v>1</v>
      </c>
      <c r="AW355" s="31"/>
      <c r="AX355" s="30" t="s">
        <v>1</v>
      </c>
      <c r="AY355" s="55"/>
      <c r="AZ355" s="30" t="s">
        <v>1</v>
      </c>
      <c r="BA355" s="55"/>
      <c r="BB355" s="74" t="s">
        <v>539</v>
      </c>
      <c r="BC355" s="25"/>
      <c r="BD355" s="24"/>
      <c r="BE355" s="24"/>
      <c r="BF355" s="24"/>
      <c r="BG355" s="24"/>
      <c r="BH355" s="130"/>
      <c r="BI355" s="24"/>
      <c r="BJ355" s="24"/>
      <c r="BK355" s="24"/>
      <c r="BL355" s="24"/>
      <c r="BM355" s="24"/>
      <c r="BN355" s="24"/>
      <c r="BO355" s="24"/>
      <c r="BP355" s="24"/>
      <c r="BQ355" s="22">
        <f>YEAR([1]!BANCO10[[#This Row],[DATA INÍCIO]])</f>
        <v>2024</v>
      </c>
      <c r="BR355" s="22">
        <f>MONTH([1]!BANCO10[[#This Row],[DATA INÍCIO]])</f>
        <v>5</v>
      </c>
      <c r="BS355" s="23" t="e">
        <f>CONCATENATE(#REF!,#REF!)</f>
        <v>#REF!</v>
      </c>
      <c r="BT355" s="22"/>
      <c r="BU355" s="97"/>
      <c r="BV355" s="21" t="str">
        <f>IF([1]!BANCO10[[#This Row],[SOLUÇÃO]]=BV$1,[1]!BANCO10[[#This Row],[STATUS DA ETAPA]],"")</f>
        <v>CONCLUÍDO</v>
      </c>
      <c r="BW355" s="21" t="str">
        <f>IF([1]!BANCO10[[#This Row],[SOLUÇÃO]]=BW$1,[1]!BANCO10[[#This Row],[STATUS DA ETAPA]],"")</f>
        <v/>
      </c>
      <c r="BX355" s="21" t="str">
        <f>IF([1]!BANCO10[[#This Row],[SOLUÇÃO]]=BX$1,[1]!BANCO10[[#This Row],[STATUS DA ETAPA]],"")</f>
        <v/>
      </c>
      <c r="BY355" s="21" t="str">
        <f>IF([1]!BANCO10[[#This Row],[SOLUÇÃO]]=BY$1,[1]!BANCO10[[#This Row],[STATUS DA ETAPA]],"")</f>
        <v/>
      </c>
      <c r="BZ355" s="21" t="str">
        <f>IF([1]!BANCO10[[#This Row],[SOLUÇÃO]]=BZ$1,[1]!BANCO10[[#This Row],[STATUS DA ETAPA]],"")</f>
        <v/>
      </c>
      <c r="CA355" s="21" t="str">
        <f>IF([1]!BANCO10[[#This Row],[SOLUÇÃO]]=CA$1,[1]!BANCO10[[#This Row],[STATUS DA ETAPA]],"")</f>
        <v/>
      </c>
      <c r="CB355" s="21" t="str">
        <f>IF([1]!BANCO10[[#This Row],[SOLUÇÃO]]=CB$1,[1]!BANCO10[[#This Row],[STATUS DA ETAPA]],"")</f>
        <v/>
      </c>
      <c r="CC355" s="21" t="str">
        <f>IF([1]!BANCO10[[#This Row],[SOLUÇÃO]]=CC$1,[1]!BANCO10[[#This Row],[STATUS DA ETAPA]],"")</f>
        <v/>
      </c>
      <c r="CD355" s="21" t="str">
        <f>IF([1]!BANCO10[[#This Row],[SOLUÇÃO]]=CD$1,[1]!BANCO10[[#This Row],[STATUS DA ETAPA]],"")</f>
        <v/>
      </c>
      <c r="CE355" s="21" t="str">
        <f>IF([1]!BANCO10[[#This Row],[SOLUÇÃO]]=CE$1,[1]!BANCO10[[#This Row],[STATUS DA ETAPA]],"")</f>
        <v/>
      </c>
      <c r="CF355" s="21" t="str">
        <f>IF([1]!BANCO10[[#This Row],[SOLUÇÃO]]=CF$1,[1]!BANCO10[[#This Row],[STATUS DA ETAPA]],"")</f>
        <v/>
      </c>
      <c r="CG355" s="21" t="str">
        <f>IF([1]!BANCO10[[#This Row],[SOLUÇÃO]]=CG$1,[1]!BANCO10[[#This Row],[STATUS DA ETAPA]],"")</f>
        <v/>
      </c>
      <c r="CH355" s="21" t="str">
        <f>IF([1]!BANCO10[[#This Row],[SOLUÇÃO]]=CH$1,[1]!BANCO10[[#This Row],[STATUS DA ETAPA]],"")</f>
        <v/>
      </c>
      <c r="CI355" s="21" t="str">
        <f>IF([1]!BANCO10[[#This Row],[SOLUÇÃO]]=CI$1,[1]!BANCO10[[#This Row],[STATUS DA ETAPA]],"")</f>
        <v/>
      </c>
      <c r="CJ355" s="21" t="str">
        <f>IF([1]!BANCO10[[#This Row],[SOLUÇÃO]]=CJ$1,[1]!BANCO10[[#This Row],[STATUS DA ETAPA]],"")</f>
        <v/>
      </c>
      <c r="CK355" s="21" t="str">
        <f>IF([1]!BANCO10[[#This Row],[SOLUÇÃO]]=CK$1,[1]!BANCO10[[#This Row],[STATUS DA ETAPA]],"")</f>
        <v/>
      </c>
      <c r="CL355" s="21" t="str">
        <f>IF([1]!BANCO10[[#This Row],[SOLUÇÃO]]=CL$1,[1]!BANCO10[[#This Row],[STATUS DA ETAPA]],"")</f>
        <v/>
      </c>
      <c r="CM355" s="21" t="str">
        <f>IF([1]!BANCO10[[#This Row],[SOLUÇÃO]]=CM$1,[1]!BANCO10[[#This Row],[STATUS DA ETAPA]],"")</f>
        <v/>
      </c>
      <c r="CN355" s="21" t="str">
        <f>IF([1]!BANCO10[[#This Row],[SOLUÇÃO]]=CN$1,[1]!BANCO10[[#This Row],[STATUS DA ETAPA]],"")</f>
        <v/>
      </c>
      <c r="CO355" s="21" t="str">
        <f>IF([1]!BANCO10[[#This Row],[SOLUÇÃO]]=CO$1,[1]!BANCO10[[#This Row],[STATUS DA ETAPA]],"")</f>
        <v/>
      </c>
      <c r="CP355" s="21" t="str">
        <f>IF([1]!BANCO10[[#This Row],[SOLUÇÃO]]=CP$1,[1]!BANCO10[[#This Row],[STATUS DA ETAPA]],"")</f>
        <v/>
      </c>
      <c r="CQ355" s="21" t="str">
        <f>IF([1]!BANCO10[[#This Row],[SOLUÇÃO]]=CQ$1,[1]!BANCO10[[#This Row],[STATUS DA ETAPA]],"")</f>
        <v/>
      </c>
      <c r="CR355" s="21" t="str">
        <f>IF([1]!BANCO10[[#This Row],[SOLUÇÃO]]=CR$1,[1]!BANCO10[[#This Row],[STATUS DA ETAPA]],"")</f>
        <v/>
      </c>
      <c r="CS355" s="21" t="str">
        <f>IF([1]!BANCO10[[#This Row],[SOLUÇÃO]]=CS$1,[1]!BANCO10[[#This Row],[STATUS DA ETAPA]],"")</f>
        <v/>
      </c>
      <c r="CT355" s="21" t="str">
        <f>IF([1]!BANCO10[[#This Row],[SOLUÇÃO]]=CT$1,[1]!BANCO10[[#This Row],[STATUS DA ETAPA]],"")</f>
        <v/>
      </c>
      <c r="CU355" s="21" t="str">
        <f>IF([1]!BANCO10[[#This Row],[SOLUÇÃO]]=CU$1,[1]!BANCO10[[#This Row],[STATUS DA ETAPA]],"")</f>
        <v/>
      </c>
      <c r="CV355" s="21" t="str">
        <f>IF([1]!BANCO10[[#This Row],[SOLUÇÃO]]=CV$1,[1]!BANCO10[[#This Row],[STATUS DA ETAPA]],"")</f>
        <v/>
      </c>
    </row>
    <row r="356" spans="1:100">
      <c r="A356" s="44" t="s">
        <v>1</v>
      </c>
      <c r="B356" s="44"/>
      <c r="C356" s="44" t="s">
        <v>1</v>
      </c>
      <c r="D356" s="44"/>
      <c r="E356" s="44" t="s">
        <v>1</v>
      </c>
      <c r="F356" s="44"/>
      <c r="G356" s="44" t="s">
        <v>1</v>
      </c>
      <c r="H356" s="44"/>
      <c r="I356" s="45" t="s">
        <v>1</v>
      </c>
      <c r="J356" s="46"/>
      <c r="K356" s="45" t="s">
        <v>1</v>
      </c>
      <c r="L356" s="33"/>
      <c r="M356" s="45" t="s">
        <v>1</v>
      </c>
      <c r="N356" s="33"/>
      <c r="O356" s="44" t="s">
        <v>1</v>
      </c>
      <c r="P356" s="44"/>
      <c r="Q356" s="44" t="s">
        <v>1</v>
      </c>
      <c r="R356" s="44"/>
      <c r="S356" s="44" t="s">
        <v>1</v>
      </c>
      <c r="T356" s="44"/>
      <c r="U356" s="44" t="s">
        <v>1</v>
      </c>
      <c r="V356" s="44"/>
      <c r="W356" s="44" t="s">
        <v>1</v>
      </c>
      <c r="X356" s="44"/>
      <c r="Y356" s="44" t="s">
        <v>1</v>
      </c>
      <c r="Z356" s="44"/>
      <c r="AA356" s="44" t="s">
        <v>1</v>
      </c>
      <c r="AB356" s="44"/>
      <c r="AC356" s="51">
        <v>45963</v>
      </c>
      <c r="AD356" s="50">
        <v>45963</v>
      </c>
      <c r="AE356" s="40" t="s">
        <v>1</v>
      </c>
      <c r="AF356" s="40" t="s">
        <v>1</v>
      </c>
      <c r="AG356" s="40" t="s">
        <v>1</v>
      </c>
      <c r="AH356" s="36" t="s">
        <v>1</v>
      </c>
      <c r="AI356" s="49">
        <v>0</v>
      </c>
      <c r="AJ356" s="36" t="s">
        <v>1</v>
      </c>
      <c r="AK356" s="10" t="s">
        <v>1</v>
      </c>
      <c r="AL356" s="36" t="s">
        <v>1</v>
      </c>
      <c r="AM356" s="36" t="s">
        <v>1</v>
      </c>
      <c r="AN356" s="35" t="s">
        <v>1</v>
      </c>
      <c r="AO356" s="35" t="s">
        <v>1</v>
      </c>
      <c r="AP356" s="35" t="s">
        <v>1</v>
      </c>
      <c r="AQ356" s="35" t="s">
        <v>1</v>
      </c>
      <c r="AR356" s="34" t="s">
        <v>1</v>
      </c>
      <c r="AS356" s="63"/>
      <c r="AT356" s="32" t="s">
        <v>1</v>
      </c>
      <c r="AU356" s="31"/>
      <c r="AV356" s="32" t="s">
        <v>1</v>
      </c>
      <c r="AW356" s="31"/>
      <c r="AX356" s="32" t="s">
        <v>1</v>
      </c>
      <c r="AY356" s="31"/>
      <c r="AZ356" s="32" t="s">
        <v>1</v>
      </c>
      <c r="BA356" s="31"/>
      <c r="BB356" s="74" t="s">
        <v>538</v>
      </c>
      <c r="BC356" s="25"/>
      <c r="BD356" s="24" t="s">
        <v>19</v>
      </c>
      <c r="BE356" s="24" t="s">
        <v>19</v>
      </c>
      <c r="BF356" s="24" t="s">
        <v>51</v>
      </c>
      <c r="BG356" s="24" t="s">
        <v>11</v>
      </c>
      <c r="BH356" s="130" t="s">
        <v>19</v>
      </c>
      <c r="BI356" s="24"/>
      <c r="BJ356" s="24" t="s">
        <v>11</v>
      </c>
      <c r="BK356" s="24" t="s">
        <v>11</v>
      </c>
      <c r="BL356" s="24">
        <v>45412</v>
      </c>
      <c r="BM356" s="24"/>
      <c r="BN356" s="24" t="s">
        <v>11</v>
      </c>
      <c r="BO356" s="24"/>
      <c r="BP356" s="24" t="s">
        <v>538</v>
      </c>
      <c r="BQ356" s="22">
        <f>YEAR([1]!BANCO10[[#This Row],[DATA INÍCIO]])</f>
        <v>2025</v>
      </c>
      <c r="BR356" s="22">
        <f>MONTH([1]!BANCO10[[#This Row],[DATA INÍCIO]])</f>
        <v>11</v>
      </c>
      <c r="BS356" s="129" t="e">
        <f>CONCATENATE(#REF!,#REF!)</f>
        <v>#REF!</v>
      </c>
      <c r="BT356" s="22"/>
      <c r="BU356" s="21" t="s">
        <v>1</v>
      </c>
      <c r="BV356" s="21" t="str">
        <f>IF([1]!BANCO10[[#This Row],[SOLUÇÃO]]=BV$1,[1]!BANCO10[[#This Row],[STATUS DA ETAPA]],"")</f>
        <v/>
      </c>
      <c r="BW356" s="21" t="str">
        <f>IF([1]!BANCO10[[#This Row],[SOLUÇÃO]]=BW$1,[1]!BANCO10[[#This Row],[STATUS DA ETAPA]],"")</f>
        <v/>
      </c>
      <c r="BX356" s="21" t="str">
        <f>IF([1]!BANCO10[[#This Row],[SOLUÇÃO]]=BX$1,[1]!BANCO10[[#This Row],[STATUS DA ETAPA]],"")</f>
        <v/>
      </c>
      <c r="BY356" s="21" t="str">
        <f>IF([1]!BANCO10[[#This Row],[SOLUÇÃO]]=BY$1,[1]!BANCO10[[#This Row],[STATUS DA ETAPA]],"")</f>
        <v/>
      </c>
      <c r="BZ356" s="21" t="str">
        <f>IF([1]!BANCO10[[#This Row],[SOLUÇÃO]]=BZ$1,[1]!BANCO10[[#This Row],[STATUS DA ETAPA]],"")</f>
        <v/>
      </c>
      <c r="CA356" s="21" t="str">
        <f>IF([1]!BANCO10[[#This Row],[SOLUÇÃO]]=CA$1,[1]!BANCO10[[#This Row],[STATUS DA ETAPA]],"")</f>
        <v>CANCELADO</v>
      </c>
      <c r="CB356" s="21" t="str">
        <f>IF([1]!BANCO10[[#This Row],[SOLUÇÃO]]=CB$1,[1]!BANCO10[[#This Row],[STATUS DA ETAPA]],"")</f>
        <v/>
      </c>
      <c r="CC356" s="21" t="str">
        <f>IF([1]!BANCO10[[#This Row],[SOLUÇÃO]]=CC$1,[1]!BANCO10[[#This Row],[STATUS DA ETAPA]],"")</f>
        <v/>
      </c>
      <c r="CD356" s="21" t="str">
        <f>IF([1]!BANCO10[[#This Row],[SOLUÇÃO]]=CD$1,[1]!BANCO10[[#This Row],[STATUS DA ETAPA]],"")</f>
        <v/>
      </c>
      <c r="CE356" s="21" t="str">
        <f>IF([1]!BANCO10[[#This Row],[SOLUÇÃO]]=CE$1,[1]!BANCO10[[#This Row],[STATUS DA ETAPA]],"")</f>
        <v/>
      </c>
      <c r="CF356" s="21" t="str">
        <f>IF([1]!BANCO10[[#This Row],[SOLUÇÃO]]=CF$1,[1]!BANCO10[[#This Row],[STATUS DA ETAPA]],"")</f>
        <v/>
      </c>
      <c r="CG356" s="21" t="str">
        <f>IF([1]!BANCO10[[#This Row],[SOLUÇÃO]]=CG$1,[1]!BANCO10[[#This Row],[STATUS DA ETAPA]],"")</f>
        <v/>
      </c>
      <c r="CH356" s="21" t="str">
        <f>IF([1]!BANCO10[[#This Row],[SOLUÇÃO]]=CH$1,[1]!BANCO10[[#This Row],[STATUS DA ETAPA]],"")</f>
        <v/>
      </c>
      <c r="CI356" s="21" t="str">
        <f>IF([1]!BANCO10[[#This Row],[SOLUÇÃO]]=CI$1,[1]!BANCO10[[#This Row],[STATUS DA ETAPA]],"")</f>
        <v/>
      </c>
      <c r="CJ356" s="21" t="str">
        <f>IF([1]!BANCO10[[#This Row],[SOLUÇÃO]]=CJ$1,[1]!BANCO10[[#This Row],[STATUS DA ETAPA]],"")</f>
        <v/>
      </c>
      <c r="CK356" s="21" t="str">
        <f>IF([1]!BANCO10[[#This Row],[SOLUÇÃO]]=CK$1,[1]!BANCO10[[#This Row],[STATUS DA ETAPA]],"")</f>
        <v/>
      </c>
      <c r="CL356" s="21" t="str">
        <f>IF([1]!BANCO10[[#This Row],[SOLUÇÃO]]=CL$1,[1]!BANCO10[[#This Row],[STATUS DA ETAPA]],"")</f>
        <v/>
      </c>
      <c r="CM356" s="21" t="str">
        <f>IF([1]!BANCO10[[#This Row],[SOLUÇÃO]]=CM$1,[1]!BANCO10[[#This Row],[STATUS DA ETAPA]],"")</f>
        <v/>
      </c>
      <c r="CN356" s="21" t="str">
        <f>IF([1]!BANCO10[[#This Row],[SOLUÇÃO]]=CN$1,[1]!BANCO10[[#This Row],[STATUS DA ETAPA]],"")</f>
        <v/>
      </c>
      <c r="CO356" s="21" t="str">
        <f>IF([1]!BANCO10[[#This Row],[SOLUÇÃO]]=CO$1,[1]!BANCO10[[#This Row],[STATUS DA ETAPA]],"")</f>
        <v/>
      </c>
      <c r="CP356" s="21" t="str">
        <f>IF([1]!BANCO10[[#This Row],[SOLUÇÃO]]=CP$1,[1]!BANCO10[[#This Row],[STATUS DA ETAPA]],"")</f>
        <v/>
      </c>
      <c r="CQ356" s="21" t="str">
        <f>IF([1]!BANCO10[[#This Row],[SOLUÇÃO]]=CQ$1,[1]!BANCO10[[#This Row],[STATUS DA ETAPA]],"")</f>
        <v/>
      </c>
      <c r="CR356" s="21" t="str">
        <f>IF([1]!BANCO10[[#This Row],[SOLUÇÃO]]=CR$1,[1]!BANCO10[[#This Row],[STATUS DA ETAPA]],"")</f>
        <v/>
      </c>
      <c r="CS356" s="21" t="str">
        <f>IF([1]!BANCO10[[#This Row],[SOLUÇÃO]]=CS$1,[1]!BANCO10[[#This Row],[STATUS DA ETAPA]],"")</f>
        <v/>
      </c>
      <c r="CT356" s="21" t="str">
        <f>IF([1]!BANCO10[[#This Row],[SOLUÇÃO]]=CT$1,[1]!BANCO10[[#This Row],[STATUS DA ETAPA]],"")</f>
        <v/>
      </c>
      <c r="CU356" s="21" t="str">
        <f>IF([1]!BANCO10[[#This Row],[SOLUÇÃO]]=CU$1,[1]!BANCO10[[#This Row],[STATUS DA ETAPA]],"")</f>
        <v/>
      </c>
      <c r="CV356" s="21" t="str">
        <f>IF([1]!BANCO10[[#This Row],[SOLUÇÃO]]=CV$1,[1]!BANCO10[[#This Row],[STATUS DA ETAPA]],"")</f>
        <v/>
      </c>
    </row>
    <row r="357" spans="1:100">
      <c r="A357" s="44" t="s">
        <v>1</v>
      </c>
      <c r="B357" s="44"/>
      <c r="C357" s="44" t="s">
        <v>1</v>
      </c>
      <c r="D357" s="44"/>
      <c r="E357" s="44" t="s">
        <v>1</v>
      </c>
      <c r="F357" s="44"/>
      <c r="G357" s="44" t="s">
        <v>1</v>
      </c>
      <c r="H357" s="44"/>
      <c r="I357" s="45" t="s">
        <v>1</v>
      </c>
      <c r="J357" s="46"/>
      <c r="K357" s="45" t="s">
        <v>1</v>
      </c>
      <c r="L357" s="33"/>
      <c r="M357" s="45" t="s">
        <v>1</v>
      </c>
      <c r="N357" s="33"/>
      <c r="O357" s="44" t="s">
        <v>2</v>
      </c>
      <c r="P357" s="44">
        <v>44985</v>
      </c>
      <c r="Q357" s="44" t="s">
        <v>0</v>
      </c>
      <c r="R357" s="44"/>
      <c r="S357" s="44" t="s">
        <v>1</v>
      </c>
      <c r="T357" s="44"/>
      <c r="U357" s="44" t="s">
        <v>1</v>
      </c>
      <c r="V357" s="44"/>
      <c r="W357" s="44" t="s">
        <v>1</v>
      </c>
      <c r="X357" s="44"/>
      <c r="Y357" s="44" t="s">
        <v>1</v>
      </c>
      <c r="Z357" s="44"/>
      <c r="AA357" s="44" t="s">
        <v>1</v>
      </c>
      <c r="AB357" s="44"/>
      <c r="AC357" s="51">
        <v>44984</v>
      </c>
      <c r="AD357" s="50">
        <v>44984</v>
      </c>
      <c r="AE357" s="40" t="s">
        <v>1</v>
      </c>
      <c r="AF357" s="40" t="s">
        <v>1</v>
      </c>
      <c r="AG357" s="76" t="s">
        <v>5</v>
      </c>
      <c r="AH357" s="36" t="s">
        <v>1</v>
      </c>
      <c r="AI357" s="49">
        <v>0</v>
      </c>
      <c r="AJ357" s="36" t="s">
        <v>1</v>
      </c>
      <c r="AK357" s="10" t="s">
        <v>1</v>
      </c>
      <c r="AL357" s="36" t="s">
        <v>1</v>
      </c>
      <c r="AM357" s="36" t="s">
        <v>1</v>
      </c>
      <c r="AN357" s="35" t="s">
        <v>1</v>
      </c>
      <c r="AO357" s="35" t="s">
        <v>1</v>
      </c>
      <c r="AP357" s="35" t="s">
        <v>1</v>
      </c>
      <c r="AQ357" s="35" t="s">
        <v>1</v>
      </c>
      <c r="AR357" s="82" t="s">
        <v>1</v>
      </c>
      <c r="AS357" s="33"/>
      <c r="AT357" s="32" t="s">
        <v>1</v>
      </c>
      <c r="AU357" s="31"/>
      <c r="AV357" s="32" t="s">
        <v>1</v>
      </c>
      <c r="AW357" s="31"/>
      <c r="AX357" s="30" t="s">
        <v>1</v>
      </c>
      <c r="AY357" s="55"/>
      <c r="AZ357" s="30" t="s">
        <v>1</v>
      </c>
      <c r="BA357" s="55"/>
      <c r="BB357" s="74" t="s">
        <v>538</v>
      </c>
      <c r="BC357" s="25"/>
      <c r="BD357" s="24" t="s">
        <v>19</v>
      </c>
      <c r="BE357" s="24" t="s">
        <v>19</v>
      </c>
      <c r="BF357" s="24" t="s">
        <v>51</v>
      </c>
      <c r="BG357" s="24" t="s">
        <v>11</v>
      </c>
      <c r="BH357" s="130" t="s">
        <v>19</v>
      </c>
      <c r="BI357" s="24"/>
      <c r="BJ357" s="24" t="s">
        <v>11</v>
      </c>
      <c r="BK357" s="24" t="s">
        <v>11</v>
      </c>
      <c r="BL357" s="24" t="s">
        <v>11</v>
      </c>
      <c r="BM357" s="24" t="s">
        <v>11</v>
      </c>
      <c r="BN357" s="24" t="s">
        <v>11</v>
      </c>
      <c r="BO357" s="24" t="s">
        <v>11</v>
      </c>
      <c r="BP357" s="24" t="s">
        <v>11</v>
      </c>
      <c r="BQ357" s="22">
        <f>YEAR([1]!BANCO10[[#This Row],[DATA INÍCIO]])</f>
        <v>2023</v>
      </c>
      <c r="BR357" s="22">
        <f>MONTH([1]!BANCO10[[#This Row],[DATA INÍCIO]])</f>
        <v>2</v>
      </c>
      <c r="BS357" s="129" t="e">
        <f>CONCATENATE(#REF!,#REF!)</f>
        <v>#REF!</v>
      </c>
      <c r="BT357" s="22"/>
      <c r="BU357" s="21" t="s">
        <v>537</v>
      </c>
      <c r="BV357" s="21" t="str">
        <f>IF([1]!BANCO10[[#This Row],[SOLUÇÃO]]=BV$1,[1]!BANCO10[[#This Row],[STATUS DA ETAPA]],"")</f>
        <v>CONCLUÍDO</v>
      </c>
      <c r="BW357" s="21" t="str">
        <f>IF([1]!BANCO10[[#This Row],[SOLUÇÃO]]=BW$1,[1]!BANCO10[[#This Row],[STATUS DA ETAPA]],"")</f>
        <v/>
      </c>
      <c r="BX357" s="21" t="str">
        <f>IF([1]!BANCO10[[#This Row],[SOLUÇÃO]]=BX$1,[1]!BANCO10[[#This Row],[STATUS DA ETAPA]],"")</f>
        <v/>
      </c>
      <c r="BY357" s="21" t="str">
        <f>IF([1]!BANCO10[[#This Row],[SOLUÇÃO]]=BY$1,[1]!BANCO10[[#This Row],[STATUS DA ETAPA]],"")</f>
        <v/>
      </c>
      <c r="BZ357" s="21" t="str">
        <f>IF([1]!BANCO10[[#This Row],[SOLUÇÃO]]=BZ$1,[1]!BANCO10[[#This Row],[STATUS DA ETAPA]],"")</f>
        <v/>
      </c>
      <c r="CA357" s="21" t="str">
        <f>IF([1]!BANCO10[[#This Row],[SOLUÇÃO]]=CA$1,[1]!BANCO10[[#This Row],[STATUS DA ETAPA]],"")</f>
        <v/>
      </c>
      <c r="CB357" s="21" t="str">
        <f>IF([1]!BANCO10[[#This Row],[SOLUÇÃO]]=CB$1,[1]!BANCO10[[#This Row],[STATUS DA ETAPA]],"")</f>
        <v/>
      </c>
      <c r="CC357" s="21" t="str">
        <f>IF([1]!BANCO10[[#This Row],[SOLUÇÃO]]=CC$1,[1]!BANCO10[[#This Row],[STATUS DA ETAPA]],"")</f>
        <v/>
      </c>
      <c r="CD357" s="21" t="str">
        <f>IF([1]!BANCO10[[#This Row],[SOLUÇÃO]]=CD$1,[1]!BANCO10[[#This Row],[STATUS DA ETAPA]],"")</f>
        <v/>
      </c>
      <c r="CE357" s="21" t="str">
        <f>IF([1]!BANCO10[[#This Row],[SOLUÇÃO]]=CE$1,[1]!BANCO10[[#This Row],[STATUS DA ETAPA]],"")</f>
        <v/>
      </c>
      <c r="CF357" s="21" t="str">
        <f>IF([1]!BANCO10[[#This Row],[SOLUÇÃO]]=CF$1,[1]!BANCO10[[#This Row],[STATUS DA ETAPA]],"")</f>
        <v/>
      </c>
      <c r="CG357" s="21" t="str">
        <f>IF([1]!BANCO10[[#This Row],[SOLUÇÃO]]=CG$1,[1]!BANCO10[[#This Row],[STATUS DA ETAPA]],"")</f>
        <v/>
      </c>
      <c r="CH357" s="21" t="str">
        <f>IF([1]!BANCO10[[#This Row],[SOLUÇÃO]]=CH$1,[1]!BANCO10[[#This Row],[STATUS DA ETAPA]],"")</f>
        <v/>
      </c>
      <c r="CI357" s="21" t="str">
        <f>IF([1]!BANCO10[[#This Row],[SOLUÇÃO]]=CI$1,[1]!BANCO10[[#This Row],[STATUS DA ETAPA]],"")</f>
        <v/>
      </c>
      <c r="CJ357" s="21" t="str">
        <f>IF([1]!BANCO10[[#This Row],[SOLUÇÃO]]=CJ$1,[1]!BANCO10[[#This Row],[STATUS DA ETAPA]],"")</f>
        <v/>
      </c>
      <c r="CK357" s="21" t="str">
        <f>IF([1]!BANCO10[[#This Row],[SOLUÇÃO]]=CK$1,[1]!BANCO10[[#This Row],[STATUS DA ETAPA]],"")</f>
        <v/>
      </c>
      <c r="CL357" s="21" t="str">
        <f>IF([1]!BANCO10[[#This Row],[SOLUÇÃO]]=CL$1,[1]!BANCO10[[#This Row],[STATUS DA ETAPA]],"")</f>
        <v/>
      </c>
      <c r="CM357" s="21" t="str">
        <f>IF([1]!BANCO10[[#This Row],[SOLUÇÃO]]=CM$1,[1]!BANCO10[[#This Row],[STATUS DA ETAPA]],"")</f>
        <v/>
      </c>
      <c r="CN357" s="21" t="str">
        <f>IF([1]!BANCO10[[#This Row],[SOLUÇÃO]]=CN$1,[1]!BANCO10[[#This Row],[STATUS DA ETAPA]],"")</f>
        <v/>
      </c>
      <c r="CO357" s="21" t="str">
        <f>IF([1]!BANCO10[[#This Row],[SOLUÇÃO]]=CO$1,[1]!BANCO10[[#This Row],[STATUS DA ETAPA]],"")</f>
        <v/>
      </c>
      <c r="CP357" s="21" t="str">
        <f>IF([1]!BANCO10[[#This Row],[SOLUÇÃO]]=CP$1,[1]!BANCO10[[#This Row],[STATUS DA ETAPA]],"")</f>
        <v/>
      </c>
      <c r="CQ357" s="21" t="str">
        <f>IF([1]!BANCO10[[#This Row],[SOLUÇÃO]]=CQ$1,[1]!BANCO10[[#This Row],[STATUS DA ETAPA]],"")</f>
        <v/>
      </c>
      <c r="CR357" s="21" t="str">
        <f>IF([1]!BANCO10[[#This Row],[SOLUÇÃO]]=CR$1,[1]!BANCO10[[#This Row],[STATUS DA ETAPA]],"")</f>
        <v/>
      </c>
      <c r="CS357" s="21" t="str">
        <f>IF([1]!BANCO10[[#This Row],[SOLUÇÃO]]=CS$1,[1]!BANCO10[[#This Row],[STATUS DA ETAPA]],"")</f>
        <v/>
      </c>
      <c r="CT357" s="21" t="str">
        <f>IF([1]!BANCO10[[#This Row],[SOLUÇÃO]]=CT$1,[1]!BANCO10[[#This Row],[STATUS DA ETAPA]],"")</f>
        <v/>
      </c>
      <c r="CU357" s="21" t="str">
        <f>IF([1]!BANCO10[[#This Row],[SOLUÇÃO]]=CU$1,[1]!BANCO10[[#This Row],[STATUS DA ETAPA]],"")</f>
        <v/>
      </c>
      <c r="CV357" s="21" t="str">
        <f>IF([1]!BANCO10[[#This Row],[SOLUÇÃO]]=CV$1,[1]!BANCO10[[#This Row],[STATUS DA ETAPA]],"")</f>
        <v/>
      </c>
    </row>
    <row r="358" spans="1:100">
      <c r="A358" s="44" t="s">
        <v>1</v>
      </c>
      <c r="B358" s="44"/>
      <c r="C358" s="44" t="s">
        <v>1</v>
      </c>
      <c r="D358" s="44"/>
      <c r="E358" s="44" t="s">
        <v>1</v>
      </c>
      <c r="F358" s="44"/>
      <c r="G358" s="44" t="s">
        <v>1</v>
      </c>
      <c r="H358" s="44"/>
      <c r="I358" s="45" t="s">
        <v>1</v>
      </c>
      <c r="J358" s="46"/>
      <c r="K358" s="45" t="s">
        <v>1</v>
      </c>
      <c r="L358" s="33"/>
      <c r="M358" s="45" t="s">
        <v>1</v>
      </c>
      <c r="N358" s="33"/>
      <c r="O358" s="44" t="s">
        <v>2</v>
      </c>
      <c r="P358" s="44">
        <v>44956</v>
      </c>
      <c r="Q358" s="44" t="s">
        <v>0</v>
      </c>
      <c r="R358" s="44"/>
      <c r="S358" s="44" t="s">
        <v>1</v>
      </c>
      <c r="T358" s="44"/>
      <c r="U358" s="44" t="s">
        <v>1</v>
      </c>
      <c r="V358" s="44"/>
      <c r="W358" s="44" t="s">
        <v>1</v>
      </c>
      <c r="X358" s="44"/>
      <c r="Y358" s="44" t="s">
        <v>1</v>
      </c>
      <c r="Z358" s="44"/>
      <c r="AA358" s="44" t="s">
        <v>1</v>
      </c>
      <c r="AB358" s="44"/>
      <c r="AC358" s="84">
        <v>44956</v>
      </c>
      <c r="AD358" s="83">
        <v>44956</v>
      </c>
      <c r="AE358" s="40" t="s">
        <v>1</v>
      </c>
      <c r="AF358" s="40" t="s">
        <v>1</v>
      </c>
      <c r="AG358" s="76" t="s">
        <v>5</v>
      </c>
      <c r="AH358" s="36" t="s">
        <v>1</v>
      </c>
      <c r="AI358" s="49">
        <v>0</v>
      </c>
      <c r="AJ358" s="36" t="s">
        <v>1</v>
      </c>
      <c r="AK358" s="10" t="s">
        <v>1</v>
      </c>
      <c r="AL358" s="36" t="s">
        <v>1</v>
      </c>
      <c r="AM358" s="36" t="s">
        <v>1</v>
      </c>
      <c r="AN358" s="35" t="s">
        <v>1</v>
      </c>
      <c r="AO358" s="35" t="s">
        <v>1</v>
      </c>
      <c r="AP358" s="35" t="s">
        <v>1</v>
      </c>
      <c r="AQ358" s="35" t="s">
        <v>1</v>
      </c>
      <c r="AR358" s="82" t="s">
        <v>1</v>
      </c>
      <c r="AS358" s="33"/>
      <c r="AT358" s="32" t="s">
        <v>1</v>
      </c>
      <c r="AU358" s="31"/>
      <c r="AV358" s="32" t="s">
        <v>1</v>
      </c>
      <c r="AW358" s="31"/>
      <c r="AX358" s="30" t="s">
        <v>1</v>
      </c>
      <c r="AY358" s="55"/>
      <c r="AZ358" s="30" t="s">
        <v>1</v>
      </c>
      <c r="BA358" s="55"/>
      <c r="BB358" s="74" t="s">
        <v>534</v>
      </c>
      <c r="BC358" s="25"/>
      <c r="BD358" s="24" t="s">
        <v>19</v>
      </c>
      <c r="BE358" s="24" t="s">
        <v>19</v>
      </c>
      <c r="BF358" s="24" t="s">
        <v>51</v>
      </c>
      <c r="BG358" s="24" t="s">
        <v>11</v>
      </c>
      <c r="BH358" s="130" t="s">
        <v>19</v>
      </c>
      <c r="BI358" s="24"/>
      <c r="BJ358" s="24" t="s">
        <v>536</v>
      </c>
      <c r="BK358" s="24" t="s">
        <v>11</v>
      </c>
      <c r="BL358" s="24" t="s">
        <v>11</v>
      </c>
      <c r="BM358" s="24" t="s">
        <v>11</v>
      </c>
      <c r="BN358" s="24" t="s">
        <v>11</v>
      </c>
      <c r="BO358" s="24" t="s">
        <v>11</v>
      </c>
      <c r="BP358" s="24" t="s">
        <v>11</v>
      </c>
      <c r="BQ358" s="22">
        <f>YEAR([1]!BANCO10[[#This Row],[DATA INÍCIO]])</f>
        <v>2023</v>
      </c>
      <c r="BR358" s="22">
        <f>MONTH([1]!BANCO10[[#This Row],[DATA INÍCIO]])</f>
        <v>1</v>
      </c>
      <c r="BS358" s="129" t="e">
        <f>CONCATENATE(#REF!,#REF!)</f>
        <v>#REF!</v>
      </c>
      <c r="BT358" s="22"/>
      <c r="BU358" s="21" t="s">
        <v>535</v>
      </c>
      <c r="BV358" s="21" t="str">
        <f>IF([1]!BANCO10[[#This Row],[SOLUÇÃO]]=BV$1,[1]!BANCO10[[#This Row],[STATUS DA ETAPA]],"")</f>
        <v>CONCLUÍDO</v>
      </c>
      <c r="BW358" s="21" t="str">
        <f>IF([1]!BANCO10[[#This Row],[SOLUÇÃO]]=BW$1,[1]!BANCO10[[#This Row],[STATUS DA ETAPA]],"")</f>
        <v/>
      </c>
      <c r="BX358" s="21" t="str">
        <f>IF([1]!BANCO10[[#This Row],[SOLUÇÃO]]=BX$1,[1]!BANCO10[[#This Row],[STATUS DA ETAPA]],"")</f>
        <v/>
      </c>
      <c r="BY358" s="21" t="str">
        <f>IF([1]!BANCO10[[#This Row],[SOLUÇÃO]]=BY$1,[1]!BANCO10[[#This Row],[STATUS DA ETAPA]],"")</f>
        <v/>
      </c>
      <c r="BZ358" s="21" t="str">
        <f>IF([1]!BANCO10[[#This Row],[SOLUÇÃO]]=BZ$1,[1]!BANCO10[[#This Row],[STATUS DA ETAPA]],"")</f>
        <v/>
      </c>
      <c r="CA358" s="21" t="str">
        <f>IF([1]!BANCO10[[#This Row],[SOLUÇÃO]]=CA$1,[1]!BANCO10[[#This Row],[STATUS DA ETAPA]],"")</f>
        <v/>
      </c>
      <c r="CB358" s="21" t="str">
        <f>IF([1]!BANCO10[[#This Row],[SOLUÇÃO]]=CB$1,[1]!BANCO10[[#This Row],[STATUS DA ETAPA]],"")</f>
        <v/>
      </c>
      <c r="CC358" s="21" t="str">
        <f>IF([1]!BANCO10[[#This Row],[SOLUÇÃO]]=CC$1,[1]!BANCO10[[#This Row],[STATUS DA ETAPA]],"")</f>
        <v/>
      </c>
      <c r="CD358" s="21" t="str">
        <f>IF([1]!BANCO10[[#This Row],[SOLUÇÃO]]=CD$1,[1]!BANCO10[[#This Row],[STATUS DA ETAPA]],"")</f>
        <v/>
      </c>
      <c r="CE358" s="21" t="str">
        <f>IF([1]!BANCO10[[#This Row],[SOLUÇÃO]]=CE$1,[1]!BANCO10[[#This Row],[STATUS DA ETAPA]],"")</f>
        <v/>
      </c>
      <c r="CF358" s="21" t="str">
        <f>IF([1]!BANCO10[[#This Row],[SOLUÇÃO]]=CF$1,[1]!BANCO10[[#This Row],[STATUS DA ETAPA]],"")</f>
        <v/>
      </c>
      <c r="CG358" s="21" t="str">
        <f>IF([1]!BANCO10[[#This Row],[SOLUÇÃO]]=CG$1,[1]!BANCO10[[#This Row],[STATUS DA ETAPA]],"")</f>
        <v/>
      </c>
      <c r="CH358" s="21" t="str">
        <f>IF([1]!BANCO10[[#This Row],[SOLUÇÃO]]=CH$1,[1]!BANCO10[[#This Row],[STATUS DA ETAPA]],"")</f>
        <v/>
      </c>
      <c r="CI358" s="21" t="str">
        <f>IF([1]!BANCO10[[#This Row],[SOLUÇÃO]]=CI$1,[1]!BANCO10[[#This Row],[STATUS DA ETAPA]],"")</f>
        <v/>
      </c>
      <c r="CJ358" s="21" t="str">
        <f>IF([1]!BANCO10[[#This Row],[SOLUÇÃO]]=CJ$1,[1]!BANCO10[[#This Row],[STATUS DA ETAPA]],"")</f>
        <v/>
      </c>
      <c r="CK358" s="21" t="str">
        <f>IF([1]!BANCO10[[#This Row],[SOLUÇÃO]]=CK$1,[1]!BANCO10[[#This Row],[STATUS DA ETAPA]],"")</f>
        <v/>
      </c>
      <c r="CL358" s="21" t="str">
        <f>IF([1]!BANCO10[[#This Row],[SOLUÇÃO]]=CL$1,[1]!BANCO10[[#This Row],[STATUS DA ETAPA]],"")</f>
        <v/>
      </c>
      <c r="CM358" s="21" t="str">
        <f>IF([1]!BANCO10[[#This Row],[SOLUÇÃO]]=CM$1,[1]!BANCO10[[#This Row],[STATUS DA ETAPA]],"")</f>
        <v/>
      </c>
      <c r="CN358" s="21" t="str">
        <f>IF([1]!BANCO10[[#This Row],[SOLUÇÃO]]=CN$1,[1]!BANCO10[[#This Row],[STATUS DA ETAPA]],"")</f>
        <v/>
      </c>
      <c r="CO358" s="21" t="str">
        <f>IF([1]!BANCO10[[#This Row],[SOLUÇÃO]]=CO$1,[1]!BANCO10[[#This Row],[STATUS DA ETAPA]],"")</f>
        <v/>
      </c>
      <c r="CP358" s="21" t="str">
        <f>IF([1]!BANCO10[[#This Row],[SOLUÇÃO]]=CP$1,[1]!BANCO10[[#This Row],[STATUS DA ETAPA]],"")</f>
        <v/>
      </c>
      <c r="CQ358" s="21" t="str">
        <f>IF([1]!BANCO10[[#This Row],[SOLUÇÃO]]=CQ$1,[1]!BANCO10[[#This Row],[STATUS DA ETAPA]],"")</f>
        <v/>
      </c>
      <c r="CR358" s="21" t="str">
        <f>IF([1]!BANCO10[[#This Row],[SOLUÇÃO]]=CR$1,[1]!BANCO10[[#This Row],[STATUS DA ETAPA]],"")</f>
        <v/>
      </c>
      <c r="CS358" s="21" t="str">
        <f>IF([1]!BANCO10[[#This Row],[SOLUÇÃO]]=CS$1,[1]!BANCO10[[#This Row],[STATUS DA ETAPA]],"")</f>
        <v/>
      </c>
      <c r="CT358" s="21" t="str">
        <f>IF([1]!BANCO10[[#This Row],[SOLUÇÃO]]=CT$1,[1]!BANCO10[[#This Row],[STATUS DA ETAPA]],"")</f>
        <v/>
      </c>
      <c r="CU358" s="21" t="str">
        <f>IF([1]!BANCO10[[#This Row],[SOLUÇÃO]]=CU$1,[1]!BANCO10[[#This Row],[STATUS DA ETAPA]],"")</f>
        <v/>
      </c>
      <c r="CV358" s="21" t="str">
        <f>IF([1]!BANCO10[[#This Row],[SOLUÇÃO]]=CV$1,[1]!BANCO10[[#This Row],[STATUS DA ETAPA]],"")</f>
        <v/>
      </c>
    </row>
    <row r="359" spans="1:100">
      <c r="A359" s="44" t="s">
        <v>1</v>
      </c>
      <c r="B359" s="44"/>
      <c r="C359" s="44" t="s">
        <v>1</v>
      </c>
      <c r="D359" s="44"/>
      <c r="E359" s="44" t="s">
        <v>1</v>
      </c>
      <c r="F359" s="44"/>
      <c r="G359" s="44" t="s">
        <v>1</v>
      </c>
      <c r="H359" s="44"/>
      <c r="I359" s="45" t="s">
        <v>1</v>
      </c>
      <c r="J359" s="46"/>
      <c r="K359" s="45" t="s">
        <v>1</v>
      </c>
      <c r="L359" s="33"/>
      <c r="M359" s="45" t="s">
        <v>1</v>
      </c>
      <c r="N359" s="33"/>
      <c r="O359" s="44" t="s">
        <v>2</v>
      </c>
      <c r="P359" s="44">
        <v>44956</v>
      </c>
      <c r="Q359" s="44" t="s">
        <v>2</v>
      </c>
      <c r="R359" s="44">
        <v>45299</v>
      </c>
      <c r="S359" s="44"/>
      <c r="T359" s="44"/>
      <c r="U359" s="44"/>
      <c r="V359" s="44"/>
      <c r="W359" s="44"/>
      <c r="X359" s="44"/>
      <c r="Y359" s="44"/>
      <c r="Z359" s="44"/>
      <c r="AA359" s="44" t="s">
        <v>1</v>
      </c>
      <c r="AB359" s="44"/>
      <c r="AC359" s="51">
        <v>45963</v>
      </c>
      <c r="AD359" s="50">
        <v>45963</v>
      </c>
      <c r="AE359" s="41" t="s">
        <v>1</v>
      </c>
      <c r="AF359" s="41" t="s">
        <v>1</v>
      </c>
      <c r="AG359" s="76" t="s">
        <v>5</v>
      </c>
      <c r="AH359" s="36" t="s">
        <v>0</v>
      </c>
      <c r="AI359" s="49">
        <v>0</v>
      </c>
      <c r="AJ359" s="36"/>
      <c r="AK359" s="10" t="s">
        <v>30</v>
      </c>
      <c r="AL359" s="36" t="s">
        <v>30</v>
      </c>
      <c r="AM359" s="36" t="s">
        <v>30</v>
      </c>
      <c r="AN359" s="35" t="s">
        <v>1</v>
      </c>
      <c r="AO359" s="35" t="s">
        <v>1</v>
      </c>
      <c r="AP359" s="35"/>
      <c r="AQ359" s="35" t="s">
        <v>1</v>
      </c>
      <c r="AR359" s="34" t="s">
        <v>1</v>
      </c>
      <c r="AS359" s="33"/>
      <c r="AT359" s="32"/>
      <c r="AU359" s="31"/>
      <c r="AV359" s="32"/>
      <c r="AW359" s="31"/>
      <c r="AX359" s="30" t="s">
        <v>0</v>
      </c>
      <c r="AY359" s="29"/>
      <c r="AZ359" s="28" t="s">
        <v>0</v>
      </c>
      <c r="BA359" s="27"/>
      <c r="BB359" s="74" t="s">
        <v>534</v>
      </c>
      <c r="BC359" s="25"/>
      <c r="BD359" s="24" t="s">
        <v>19</v>
      </c>
      <c r="BE359" s="24" t="s">
        <v>19</v>
      </c>
      <c r="BF359" s="24" t="s">
        <v>51</v>
      </c>
      <c r="BG359" s="24" t="s">
        <v>11</v>
      </c>
      <c r="BH359" s="130" t="s">
        <v>19</v>
      </c>
      <c r="BI359" s="24"/>
      <c r="BJ359" s="24" t="s">
        <v>11</v>
      </c>
      <c r="BK359" s="24" t="s">
        <v>11</v>
      </c>
      <c r="BL359" s="24">
        <v>45392</v>
      </c>
      <c r="BM359" s="24"/>
      <c r="BN359" s="24" t="s">
        <v>11</v>
      </c>
      <c r="BO359" s="24"/>
      <c r="BP359" s="24" t="s">
        <v>188</v>
      </c>
      <c r="BQ359" s="22">
        <f>YEAR([1]!BANCO10[[#This Row],[DATA INÍCIO]])</f>
        <v>2025</v>
      </c>
      <c r="BR359" s="22">
        <f>MONTH([1]!BANCO10[[#This Row],[DATA INÍCIO]])</f>
        <v>11</v>
      </c>
      <c r="BS359" s="129" t="e">
        <f>CONCATENATE(#REF!,#REF!)</f>
        <v>#REF!</v>
      </c>
      <c r="BT359" s="22"/>
      <c r="BU359" s="21" t="s">
        <v>30</v>
      </c>
      <c r="BV359" s="21" t="str">
        <f>IF([1]!BANCO10[[#This Row],[SOLUÇÃO]]=BV$1,[1]!BANCO10[[#This Row],[STATUS DA ETAPA]],"")</f>
        <v/>
      </c>
      <c r="BW359" s="21" t="str">
        <f>IF([1]!BANCO10[[#This Row],[SOLUÇÃO]]=BW$1,[1]!BANCO10[[#This Row],[STATUS DA ETAPA]],"")</f>
        <v/>
      </c>
      <c r="BX359" s="21" t="str">
        <f>IF([1]!BANCO10[[#This Row],[SOLUÇÃO]]=BX$1,[1]!BANCO10[[#This Row],[STATUS DA ETAPA]],"")</f>
        <v/>
      </c>
      <c r="BY359" s="21" t="str">
        <f>IF([1]!BANCO10[[#This Row],[SOLUÇÃO]]=BY$1,[1]!BANCO10[[#This Row],[STATUS DA ETAPA]],"")</f>
        <v/>
      </c>
      <c r="BZ359" s="21" t="str">
        <f>IF([1]!BANCO10[[#This Row],[SOLUÇÃO]]=BZ$1,[1]!BANCO10[[#This Row],[STATUS DA ETAPA]],"")</f>
        <v/>
      </c>
      <c r="CA359" s="21" t="str">
        <f>IF([1]!BANCO10[[#This Row],[SOLUÇÃO]]=CA$1,[1]!BANCO10[[#This Row],[STATUS DA ETAPA]],"")</f>
        <v>PROSPECÇÃO</v>
      </c>
      <c r="CB359" s="21" t="str">
        <f>IF([1]!BANCO10[[#This Row],[SOLUÇÃO]]=CB$1,[1]!BANCO10[[#This Row],[STATUS DA ETAPA]],"")</f>
        <v/>
      </c>
      <c r="CC359" s="21" t="str">
        <f>IF([1]!BANCO10[[#This Row],[SOLUÇÃO]]=CC$1,[1]!BANCO10[[#This Row],[STATUS DA ETAPA]],"")</f>
        <v/>
      </c>
      <c r="CD359" s="21" t="str">
        <f>IF([1]!BANCO10[[#This Row],[SOLUÇÃO]]=CD$1,[1]!BANCO10[[#This Row],[STATUS DA ETAPA]],"")</f>
        <v/>
      </c>
      <c r="CE359" s="21" t="str">
        <f>IF([1]!BANCO10[[#This Row],[SOLUÇÃO]]=CE$1,[1]!BANCO10[[#This Row],[STATUS DA ETAPA]],"")</f>
        <v/>
      </c>
      <c r="CF359" s="21" t="str">
        <f>IF([1]!BANCO10[[#This Row],[SOLUÇÃO]]=CF$1,[1]!BANCO10[[#This Row],[STATUS DA ETAPA]],"")</f>
        <v/>
      </c>
      <c r="CG359" s="21" t="str">
        <f>IF([1]!BANCO10[[#This Row],[SOLUÇÃO]]=CG$1,[1]!BANCO10[[#This Row],[STATUS DA ETAPA]],"")</f>
        <v/>
      </c>
      <c r="CH359" s="21" t="str">
        <f>IF([1]!BANCO10[[#This Row],[SOLUÇÃO]]=CH$1,[1]!BANCO10[[#This Row],[STATUS DA ETAPA]],"")</f>
        <v/>
      </c>
      <c r="CI359" s="21" t="str">
        <f>IF([1]!BANCO10[[#This Row],[SOLUÇÃO]]=CI$1,[1]!BANCO10[[#This Row],[STATUS DA ETAPA]],"")</f>
        <v/>
      </c>
      <c r="CJ359" s="21" t="str">
        <f>IF([1]!BANCO10[[#This Row],[SOLUÇÃO]]=CJ$1,[1]!BANCO10[[#This Row],[STATUS DA ETAPA]],"")</f>
        <v/>
      </c>
      <c r="CK359" s="21" t="str">
        <f>IF([1]!BANCO10[[#This Row],[SOLUÇÃO]]=CK$1,[1]!BANCO10[[#This Row],[STATUS DA ETAPA]],"")</f>
        <v/>
      </c>
      <c r="CL359" s="21" t="str">
        <f>IF([1]!BANCO10[[#This Row],[SOLUÇÃO]]=CL$1,[1]!BANCO10[[#This Row],[STATUS DA ETAPA]],"")</f>
        <v/>
      </c>
      <c r="CM359" s="21" t="str">
        <f>IF([1]!BANCO10[[#This Row],[SOLUÇÃO]]=CM$1,[1]!BANCO10[[#This Row],[STATUS DA ETAPA]],"")</f>
        <v/>
      </c>
      <c r="CN359" s="21" t="str">
        <f>IF([1]!BANCO10[[#This Row],[SOLUÇÃO]]=CN$1,[1]!BANCO10[[#This Row],[STATUS DA ETAPA]],"")</f>
        <v/>
      </c>
      <c r="CO359" s="21" t="str">
        <f>IF([1]!BANCO10[[#This Row],[SOLUÇÃO]]=CO$1,[1]!BANCO10[[#This Row],[STATUS DA ETAPA]],"")</f>
        <v/>
      </c>
      <c r="CP359" s="21" t="str">
        <f>IF([1]!BANCO10[[#This Row],[SOLUÇÃO]]=CP$1,[1]!BANCO10[[#This Row],[STATUS DA ETAPA]],"")</f>
        <v/>
      </c>
      <c r="CQ359" s="21" t="str">
        <f>IF([1]!BANCO10[[#This Row],[SOLUÇÃO]]=CQ$1,[1]!BANCO10[[#This Row],[STATUS DA ETAPA]],"")</f>
        <v/>
      </c>
      <c r="CR359" s="21" t="str">
        <f>IF([1]!BANCO10[[#This Row],[SOLUÇÃO]]=CR$1,[1]!BANCO10[[#This Row],[STATUS DA ETAPA]],"")</f>
        <v/>
      </c>
      <c r="CS359" s="21" t="str">
        <f>IF([1]!BANCO10[[#This Row],[SOLUÇÃO]]=CS$1,[1]!BANCO10[[#This Row],[STATUS DA ETAPA]],"")</f>
        <v/>
      </c>
      <c r="CT359" s="21" t="str">
        <f>IF([1]!BANCO10[[#This Row],[SOLUÇÃO]]=CT$1,[1]!BANCO10[[#This Row],[STATUS DA ETAPA]],"")</f>
        <v/>
      </c>
      <c r="CU359" s="21" t="str">
        <f>IF([1]!BANCO10[[#This Row],[SOLUÇÃO]]=CU$1,[1]!BANCO10[[#This Row],[STATUS DA ETAPA]],"")</f>
        <v/>
      </c>
      <c r="CV359" s="21" t="str">
        <f>IF([1]!BANCO10[[#This Row],[SOLUÇÃO]]=CV$1,[1]!BANCO10[[#This Row],[STATUS DA ETAPA]],"")</f>
        <v/>
      </c>
    </row>
    <row r="360" spans="1:100">
      <c r="A360" s="44" t="s">
        <v>1</v>
      </c>
      <c r="B360" s="44"/>
      <c r="C360" s="44" t="s">
        <v>1</v>
      </c>
      <c r="D360" s="44"/>
      <c r="E360" s="44" t="s">
        <v>1</v>
      </c>
      <c r="F360" s="44"/>
      <c r="G360" s="44" t="s">
        <v>1</v>
      </c>
      <c r="H360" s="44"/>
      <c r="I360" s="45" t="s">
        <v>1</v>
      </c>
      <c r="J360" s="46"/>
      <c r="K360" s="45" t="s">
        <v>1</v>
      </c>
      <c r="L360" s="33"/>
      <c r="M360" s="45" t="s">
        <v>1</v>
      </c>
      <c r="N360" s="33"/>
      <c r="O360" s="44" t="s">
        <v>2</v>
      </c>
      <c r="P360" s="44">
        <v>44971</v>
      </c>
      <c r="Q360" s="44" t="s">
        <v>0</v>
      </c>
      <c r="R360" s="44"/>
      <c r="S360" s="44" t="s">
        <v>1</v>
      </c>
      <c r="T360" s="44"/>
      <c r="U360" s="44" t="s">
        <v>1</v>
      </c>
      <c r="V360" s="44"/>
      <c r="W360" s="44" t="s">
        <v>1</v>
      </c>
      <c r="X360" s="44"/>
      <c r="Y360" s="44" t="s">
        <v>1</v>
      </c>
      <c r="Z360" s="44"/>
      <c r="AA360" s="44" t="s">
        <v>1</v>
      </c>
      <c r="AB360" s="44"/>
      <c r="AC360" s="51">
        <v>44970</v>
      </c>
      <c r="AD360" s="50">
        <v>44970</v>
      </c>
      <c r="AE360" s="40" t="s">
        <v>1</v>
      </c>
      <c r="AF360" s="40" t="s">
        <v>1</v>
      </c>
      <c r="AG360" s="76" t="s">
        <v>5</v>
      </c>
      <c r="AH360" s="36" t="s">
        <v>1</v>
      </c>
      <c r="AI360" s="49">
        <v>0</v>
      </c>
      <c r="AJ360" s="36" t="s">
        <v>1</v>
      </c>
      <c r="AK360" s="10" t="s">
        <v>1</v>
      </c>
      <c r="AL360" s="36" t="s">
        <v>1</v>
      </c>
      <c r="AM360" s="36" t="s">
        <v>1</v>
      </c>
      <c r="AN360" s="35" t="s">
        <v>1</v>
      </c>
      <c r="AO360" s="35" t="s">
        <v>1</v>
      </c>
      <c r="AP360" s="35" t="s">
        <v>1</v>
      </c>
      <c r="AQ360" s="35" t="s">
        <v>1</v>
      </c>
      <c r="AR360" s="82" t="s">
        <v>1</v>
      </c>
      <c r="AS360" s="33"/>
      <c r="AT360" s="32" t="s">
        <v>1</v>
      </c>
      <c r="AU360" s="31"/>
      <c r="AV360" s="32" t="s">
        <v>1</v>
      </c>
      <c r="AW360" s="31"/>
      <c r="AX360" s="30" t="s">
        <v>1</v>
      </c>
      <c r="AY360" s="55"/>
      <c r="AZ360" s="30" t="s">
        <v>1</v>
      </c>
      <c r="BA360" s="55"/>
      <c r="BB360" s="74" t="s">
        <v>532</v>
      </c>
      <c r="BC360" s="25"/>
      <c r="BD360" s="24" t="s">
        <v>19</v>
      </c>
      <c r="BE360" s="24" t="s">
        <v>19</v>
      </c>
      <c r="BF360" s="24" t="s">
        <v>51</v>
      </c>
      <c r="BG360" s="24" t="s">
        <v>11</v>
      </c>
      <c r="BH360" s="130" t="s">
        <v>19</v>
      </c>
      <c r="BI360" s="24"/>
      <c r="BJ360" s="24" t="s">
        <v>11</v>
      </c>
      <c r="BK360" s="24" t="s">
        <v>11</v>
      </c>
      <c r="BL360" s="24" t="s">
        <v>11</v>
      </c>
      <c r="BM360" s="24" t="s">
        <v>11</v>
      </c>
      <c r="BN360" s="24" t="s">
        <v>11</v>
      </c>
      <c r="BO360" s="24" t="s">
        <v>11</v>
      </c>
      <c r="BP360" s="24" t="s">
        <v>11</v>
      </c>
      <c r="BQ360" s="22">
        <f>YEAR([1]!BANCO10[[#This Row],[DATA INÍCIO]])</f>
        <v>2023</v>
      </c>
      <c r="BR360" s="22">
        <f>MONTH([1]!BANCO10[[#This Row],[DATA INÍCIO]])</f>
        <v>2</v>
      </c>
      <c r="BS360" s="129" t="e">
        <f>CONCATENATE(#REF!,#REF!)</f>
        <v>#REF!</v>
      </c>
      <c r="BT360" s="22"/>
      <c r="BU360" s="21" t="s">
        <v>533</v>
      </c>
      <c r="BV360" s="21" t="str">
        <f>IF([1]!BANCO10[[#This Row],[SOLUÇÃO]]=BV$1,[1]!BANCO10[[#This Row],[STATUS DA ETAPA]],"")</f>
        <v>CONCLUÍDO</v>
      </c>
      <c r="BW360" s="21" t="str">
        <f>IF([1]!BANCO10[[#This Row],[SOLUÇÃO]]=BW$1,[1]!BANCO10[[#This Row],[STATUS DA ETAPA]],"")</f>
        <v/>
      </c>
      <c r="BX360" s="21" t="str">
        <f>IF([1]!BANCO10[[#This Row],[SOLUÇÃO]]=BX$1,[1]!BANCO10[[#This Row],[STATUS DA ETAPA]],"")</f>
        <v/>
      </c>
      <c r="BY360" s="21" t="str">
        <f>IF([1]!BANCO10[[#This Row],[SOLUÇÃO]]=BY$1,[1]!BANCO10[[#This Row],[STATUS DA ETAPA]],"")</f>
        <v/>
      </c>
      <c r="BZ360" s="21" t="str">
        <f>IF([1]!BANCO10[[#This Row],[SOLUÇÃO]]=BZ$1,[1]!BANCO10[[#This Row],[STATUS DA ETAPA]],"")</f>
        <v/>
      </c>
      <c r="CA360" s="21" t="str">
        <f>IF([1]!BANCO10[[#This Row],[SOLUÇÃO]]=CA$1,[1]!BANCO10[[#This Row],[STATUS DA ETAPA]],"")</f>
        <v/>
      </c>
      <c r="CB360" s="21" t="str">
        <f>IF([1]!BANCO10[[#This Row],[SOLUÇÃO]]=CB$1,[1]!BANCO10[[#This Row],[STATUS DA ETAPA]],"")</f>
        <v/>
      </c>
      <c r="CC360" s="21" t="str">
        <f>IF([1]!BANCO10[[#This Row],[SOLUÇÃO]]=CC$1,[1]!BANCO10[[#This Row],[STATUS DA ETAPA]],"")</f>
        <v/>
      </c>
      <c r="CD360" s="21" t="str">
        <f>IF([1]!BANCO10[[#This Row],[SOLUÇÃO]]=CD$1,[1]!BANCO10[[#This Row],[STATUS DA ETAPA]],"")</f>
        <v/>
      </c>
      <c r="CE360" s="21" t="str">
        <f>IF([1]!BANCO10[[#This Row],[SOLUÇÃO]]=CE$1,[1]!BANCO10[[#This Row],[STATUS DA ETAPA]],"")</f>
        <v/>
      </c>
      <c r="CF360" s="21" t="str">
        <f>IF([1]!BANCO10[[#This Row],[SOLUÇÃO]]=CF$1,[1]!BANCO10[[#This Row],[STATUS DA ETAPA]],"")</f>
        <v/>
      </c>
      <c r="CG360" s="21" t="str">
        <f>IF([1]!BANCO10[[#This Row],[SOLUÇÃO]]=CG$1,[1]!BANCO10[[#This Row],[STATUS DA ETAPA]],"")</f>
        <v/>
      </c>
      <c r="CH360" s="21" t="str">
        <f>IF([1]!BANCO10[[#This Row],[SOLUÇÃO]]=CH$1,[1]!BANCO10[[#This Row],[STATUS DA ETAPA]],"")</f>
        <v/>
      </c>
      <c r="CI360" s="21" t="str">
        <f>IF([1]!BANCO10[[#This Row],[SOLUÇÃO]]=CI$1,[1]!BANCO10[[#This Row],[STATUS DA ETAPA]],"")</f>
        <v/>
      </c>
      <c r="CJ360" s="21" t="str">
        <f>IF([1]!BANCO10[[#This Row],[SOLUÇÃO]]=CJ$1,[1]!BANCO10[[#This Row],[STATUS DA ETAPA]],"")</f>
        <v/>
      </c>
      <c r="CK360" s="21" t="str">
        <f>IF([1]!BANCO10[[#This Row],[SOLUÇÃO]]=CK$1,[1]!BANCO10[[#This Row],[STATUS DA ETAPA]],"")</f>
        <v/>
      </c>
      <c r="CL360" s="21" t="str">
        <f>IF([1]!BANCO10[[#This Row],[SOLUÇÃO]]=CL$1,[1]!BANCO10[[#This Row],[STATUS DA ETAPA]],"")</f>
        <v/>
      </c>
      <c r="CM360" s="21" t="str">
        <f>IF([1]!BANCO10[[#This Row],[SOLUÇÃO]]=CM$1,[1]!BANCO10[[#This Row],[STATUS DA ETAPA]],"")</f>
        <v/>
      </c>
      <c r="CN360" s="21" t="str">
        <f>IF([1]!BANCO10[[#This Row],[SOLUÇÃO]]=CN$1,[1]!BANCO10[[#This Row],[STATUS DA ETAPA]],"")</f>
        <v/>
      </c>
      <c r="CO360" s="21" t="str">
        <f>IF([1]!BANCO10[[#This Row],[SOLUÇÃO]]=CO$1,[1]!BANCO10[[#This Row],[STATUS DA ETAPA]],"")</f>
        <v/>
      </c>
      <c r="CP360" s="21" t="str">
        <f>IF([1]!BANCO10[[#This Row],[SOLUÇÃO]]=CP$1,[1]!BANCO10[[#This Row],[STATUS DA ETAPA]],"")</f>
        <v/>
      </c>
      <c r="CQ360" s="21" t="str">
        <f>IF([1]!BANCO10[[#This Row],[SOLUÇÃO]]=CQ$1,[1]!BANCO10[[#This Row],[STATUS DA ETAPA]],"")</f>
        <v/>
      </c>
      <c r="CR360" s="21" t="str">
        <f>IF([1]!BANCO10[[#This Row],[SOLUÇÃO]]=CR$1,[1]!BANCO10[[#This Row],[STATUS DA ETAPA]],"")</f>
        <v/>
      </c>
      <c r="CS360" s="21" t="str">
        <f>IF([1]!BANCO10[[#This Row],[SOLUÇÃO]]=CS$1,[1]!BANCO10[[#This Row],[STATUS DA ETAPA]],"")</f>
        <v/>
      </c>
      <c r="CT360" s="21" t="str">
        <f>IF([1]!BANCO10[[#This Row],[SOLUÇÃO]]=CT$1,[1]!BANCO10[[#This Row],[STATUS DA ETAPA]],"")</f>
        <v/>
      </c>
      <c r="CU360" s="21" t="str">
        <f>IF([1]!BANCO10[[#This Row],[SOLUÇÃO]]=CU$1,[1]!BANCO10[[#This Row],[STATUS DA ETAPA]],"")</f>
        <v/>
      </c>
      <c r="CV360" s="21" t="str">
        <f>IF([1]!BANCO10[[#This Row],[SOLUÇÃO]]=CV$1,[1]!BANCO10[[#This Row],[STATUS DA ETAPA]],"")</f>
        <v/>
      </c>
    </row>
    <row r="361" spans="1:100">
      <c r="A361" s="44" t="s">
        <v>1</v>
      </c>
      <c r="B361" s="44"/>
      <c r="C361" s="44" t="s">
        <v>1</v>
      </c>
      <c r="D361" s="44"/>
      <c r="E361" s="44" t="s">
        <v>1</v>
      </c>
      <c r="F361" s="44"/>
      <c r="G361" s="44" t="s">
        <v>1</v>
      </c>
      <c r="H361" s="44"/>
      <c r="I361" s="45" t="s">
        <v>1</v>
      </c>
      <c r="J361" s="46"/>
      <c r="K361" s="45" t="s">
        <v>1</v>
      </c>
      <c r="L361" s="33"/>
      <c r="M361" s="45" t="s">
        <v>1</v>
      </c>
      <c r="N361" s="33"/>
      <c r="O361" s="44" t="s">
        <v>2</v>
      </c>
      <c r="P361" s="44">
        <v>44971</v>
      </c>
      <c r="Q361" s="44" t="s">
        <v>2</v>
      </c>
      <c r="R361" s="44">
        <v>45260</v>
      </c>
      <c r="S361" s="44"/>
      <c r="T361" s="44"/>
      <c r="U361" s="44"/>
      <c r="V361" s="44"/>
      <c r="W361" s="44"/>
      <c r="X361" s="44"/>
      <c r="Y361" s="44"/>
      <c r="Z361" s="44"/>
      <c r="AA361" s="44" t="s">
        <v>1</v>
      </c>
      <c r="AB361" s="44"/>
      <c r="AC361" s="51">
        <v>45963</v>
      </c>
      <c r="AD361" s="50">
        <v>45963</v>
      </c>
      <c r="AE361" s="41" t="s">
        <v>1</v>
      </c>
      <c r="AF361" s="41" t="s">
        <v>1</v>
      </c>
      <c r="AG361" s="76" t="s">
        <v>5</v>
      </c>
      <c r="AH361" s="36" t="s">
        <v>0</v>
      </c>
      <c r="AI361" s="49">
        <v>0</v>
      </c>
      <c r="AJ361" s="36"/>
      <c r="AK361" s="10" t="s">
        <v>30</v>
      </c>
      <c r="AL361" s="36" t="s">
        <v>30</v>
      </c>
      <c r="AM361" s="36" t="s">
        <v>30</v>
      </c>
      <c r="AN361" s="35" t="s">
        <v>1</v>
      </c>
      <c r="AO361" s="35" t="s">
        <v>1</v>
      </c>
      <c r="AP361" s="35"/>
      <c r="AQ361" s="35" t="s">
        <v>1</v>
      </c>
      <c r="AR361" s="34" t="s">
        <v>1</v>
      </c>
      <c r="AS361" s="33"/>
      <c r="AT361" s="32"/>
      <c r="AU361" s="31"/>
      <c r="AV361" s="32"/>
      <c r="AW361" s="31"/>
      <c r="AX361" s="30" t="s">
        <v>0</v>
      </c>
      <c r="AY361" s="29"/>
      <c r="AZ361" s="28" t="s">
        <v>0</v>
      </c>
      <c r="BA361" s="27"/>
      <c r="BB361" s="74" t="s">
        <v>532</v>
      </c>
      <c r="BC361" s="25"/>
      <c r="BD361" s="24" t="s">
        <v>19</v>
      </c>
      <c r="BE361" s="24" t="s">
        <v>19</v>
      </c>
      <c r="BF361" s="24" t="s">
        <v>51</v>
      </c>
      <c r="BG361" s="24" t="s">
        <v>11</v>
      </c>
      <c r="BH361" s="130" t="s">
        <v>19</v>
      </c>
      <c r="BI361" s="24"/>
      <c r="BJ361" s="24" t="s">
        <v>11</v>
      </c>
      <c r="BK361" s="24" t="s">
        <v>11</v>
      </c>
      <c r="BL361" s="24">
        <v>45412</v>
      </c>
      <c r="BM361" s="24"/>
      <c r="BN361" s="24" t="s">
        <v>11</v>
      </c>
      <c r="BO361" s="24"/>
      <c r="BP361" s="24" t="s">
        <v>532</v>
      </c>
      <c r="BQ361" s="22">
        <f>YEAR([1]!BANCO10[[#This Row],[DATA INÍCIO]])</f>
        <v>2025</v>
      </c>
      <c r="BR361" s="22">
        <f>MONTH([1]!BANCO10[[#This Row],[DATA INÍCIO]])</f>
        <v>11</v>
      </c>
      <c r="BS361" s="129" t="e">
        <f>CONCATENATE(#REF!,#REF!)</f>
        <v>#REF!</v>
      </c>
      <c r="BT361" s="22"/>
      <c r="BU361" s="21" t="s">
        <v>30</v>
      </c>
      <c r="BV361" s="21" t="str">
        <f>IF([1]!BANCO10[[#This Row],[SOLUÇÃO]]=BV$1,[1]!BANCO10[[#This Row],[STATUS DA ETAPA]],"")</f>
        <v/>
      </c>
      <c r="BW361" s="21" t="str">
        <f>IF([1]!BANCO10[[#This Row],[SOLUÇÃO]]=BW$1,[1]!BANCO10[[#This Row],[STATUS DA ETAPA]],"")</f>
        <v/>
      </c>
      <c r="BX361" s="21" t="str">
        <f>IF([1]!BANCO10[[#This Row],[SOLUÇÃO]]=BX$1,[1]!BANCO10[[#This Row],[STATUS DA ETAPA]],"")</f>
        <v/>
      </c>
      <c r="BY361" s="21" t="str">
        <f>IF([1]!BANCO10[[#This Row],[SOLUÇÃO]]=BY$1,[1]!BANCO10[[#This Row],[STATUS DA ETAPA]],"")</f>
        <v/>
      </c>
      <c r="BZ361" s="21" t="str">
        <f>IF([1]!BANCO10[[#This Row],[SOLUÇÃO]]=BZ$1,[1]!BANCO10[[#This Row],[STATUS DA ETAPA]],"")</f>
        <v/>
      </c>
      <c r="CA361" s="21" t="str">
        <f>IF([1]!BANCO10[[#This Row],[SOLUÇÃO]]=CA$1,[1]!BANCO10[[#This Row],[STATUS DA ETAPA]],"")</f>
        <v>PROSPECÇÃO</v>
      </c>
      <c r="CB361" s="21" t="str">
        <f>IF([1]!BANCO10[[#This Row],[SOLUÇÃO]]=CB$1,[1]!BANCO10[[#This Row],[STATUS DA ETAPA]],"")</f>
        <v/>
      </c>
      <c r="CC361" s="21" t="str">
        <f>IF([1]!BANCO10[[#This Row],[SOLUÇÃO]]=CC$1,[1]!BANCO10[[#This Row],[STATUS DA ETAPA]],"")</f>
        <v/>
      </c>
      <c r="CD361" s="21" t="str">
        <f>IF([1]!BANCO10[[#This Row],[SOLUÇÃO]]=CD$1,[1]!BANCO10[[#This Row],[STATUS DA ETAPA]],"")</f>
        <v/>
      </c>
      <c r="CE361" s="21" t="str">
        <f>IF([1]!BANCO10[[#This Row],[SOLUÇÃO]]=CE$1,[1]!BANCO10[[#This Row],[STATUS DA ETAPA]],"")</f>
        <v/>
      </c>
      <c r="CF361" s="21" t="str">
        <f>IF([1]!BANCO10[[#This Row],[SOLUÇÃO]]=CF$1,[1]!BANCO10[[#This Row],[STATUS DA ETAPA]],"")</f>
        <v/>
      </c>
      <c r="CG361" s="21" t="str">
        <f>IF([1]!BANCO10[[#This Row],[SOLUÇÃO]]=CG$1,[1]!BANCO10[[#This Row],[STATUS DA ETAPA]],"")</f>
        <v/>
      </c>
      <c r="CH361" s="21" t="str">
        <f>IF([1]!BANCO10[[#This Row],[SOLUÇÃO]]=CH$1,[1]!BANCO10[[#This Row],[STATUS DA ETAPA]],"")</f>
        <v/>
      </c>
      <c r="CI361" s="21" t="str">
        <f>IF([1]!BANCO10[[#This Row],[SOLUÇÃO]]=CI$1,[1]!BANCO10[[#This Row],[STATUS DA ETAPA]],"")</f>
        <v/>
      </c>
      <c r="CJ361" s="21" t="str">
        <f>IF([1]!BANCO10[[#This Row],[SOLUÇÃO]]=CJ$1,[1]!BANCO10[[#This Row],[STATUS DA ETAPA]],"")</f>
        <v/>
      </c>
      <c r="CK361" s="21" t="str">
        <f>IF([1]!BANCO10[[#This Row],[SOLUÇÃO]]=CK$1,[1]!BANCO10[[#This Row],[STATUS DA ETAPA]],"")</f>
        <v/>
      </c>
      <c r="CL361" s="21" t="str">
        <f>IF([1]!BANCO10[[#This Row],[SOLUÇÃO]]=CL$1,[1]!BANCO10[[#This Row],[STATUS DA ETAPA]],"")</f>
        <v/>
      </c>
      <c r="CM361" s="21" t="str">
        <f>IF([1]!BANCO10[[#This Row],[SOLUÇÃO]]=CM$1,[1]!BANCO10[[#This Row],[STATUS DA ETAPA]],"")</f>
        <v/>
      </c>
      <c r="CN361" s="21" t="str">
        <f>IF([1]!BANCO10[[#This Row],[SOLUÇÃO]]=CN$1,[1]!BANCO10[[#This Row],[STATUS DA ETAPA]],"")</f>
        <v/>
      </c>
      <c r="CO361" s="21" t="str">
        <f>IF([1]!BANCO10[[#This Row],[SOLUÇÃO]]=CO$1,[1]!BANCO10[[#This Row],[STATUS DA ETAPA]],"")</f>
        <v/>
      </c>
      <c r="CP361" s="21" t="str">
        <f>IF([1]!BANCO10[[#This Row],[SOLUÇÃO]]=CP$1,[1]!BANCO10[[#This Row],[STATUS DA ETAPA]],"")</f>
        <v/>
      </c>
      <c r="CQ361" s="21" t="str">
        <f>IF([1]!BANCO10[[#This Row],[SOLUÇÃO]]=CQ$1,[1]!BANCO10[[#This Row],[STATUS DA ETAPA]],"")</f>
        <v/>
      </c>
      <c r="CR361" s="21" t="str">
        <f>IF([1]!BANCO10[[#This Row],[SOLUÇÃO]]=CR$1,[1]!BANCO10[[#This Row],[STATUS DA ETAPA]],"")</f>
        <v/>
      </c>
      <c r="CS361" s="21" t="str">
        <f>IF([1]!BANCO10[[#This Row],[SOLUÇÃO]]=CS$1,[1]!BANCO10[[#This Row],[STATUS DA ETAPA]],"")</f>
        <v/>
      </c>
      <c r="CT361" s="21" t="str">
        <f>IF([1]!BANCO10[[#This Row],[SOLUÇÃO]]=CT$1,[1]!BANCO10[[#This Row],[STATUS DA ETAPA]],"")</f>
        <v/>
      </c>
      <c r="CU361" s="21" t="str">
        <f>IF([1]!BANCO10[[#This Row],[SOLUÇÃO]]=CU$1,[1]!BANCO10[[#This Row],[STATUS DA ETAPA]],"")</f>
        <v/>
      </c>
      <c r="CV361" s="21" t="str">
        <f>IF([1]!BANCO10[[#This Row],[SOLUÇÃO]]=CV$1,[1]!BANCO10[[#This Row],[STATUS DA ETAPA]],"")</f>
        <v/>
      </c>
    </row>
    <row r="362" spans="1:100">
      <c r="A362" s="44" t="s">
        <v>2</v>
      </c>
      <c r="B362" s="44">
        <v>45757</v>
      </c>
      <c r="C362" s="44" t="s">
        <v>2</v>
      </c>
      <c r="D362" s="44">
        <v>45757</v>
      </c>
      <c r="E362" s="44" t="s">
        <v>2</v>
      </c>
      <c r="F362" s="44">
        <v>45757</v>
      </c>
      <c r="G362" s="44" t="s">
        <v>2</v>
      </c>
      <c r="H362" s="44">
        <v>45757</v>
      </c>
      <c r="I362" s="45" t="s">
        <v>2</v>
      </c>
      <c r="J362" s="46">
        <v>45736</v>
      </c>
      <c r="K362" s="45" t="s">
        <v>0</v>
      </c>
      <c r="L362" s="33"/>
      <c r="M362" s="45" t="s">
        <v>0</v>
      </c>
      <c r="N362" s="33"/>
      <c r="O362" s="44" t="s">
        <v>1</v>
      </c>
      <c r="P362" s="44"/>
      <c r="Q362" s="44" t="s">
        <v>1</v>
      </c>
      <c r="R362" s="44"/>
      <c r="S362" s="44" t="s">
        <v>2</v>
      </c>
      <c r="T362" s="44">
        <v>45708</v>
      </c>
      <c r="U362" s="44" t="s">
        <v>1</v>
      </c>
      <c r="V362" s="44"/>
      <c r="W362" s="44" t="s">
        <v>1</v>
      </c>
      <c r="X362" s="44"/>
      <c r="Y362" s="44" t="s">
        <v>1</v>
      </c>
      <c r="Z362" s="44"/>
      <c r="AA362" s="44" t="s">
        <v>1</v>
      </c>
      <c r="AB362" s="44"/>
      <c r="AC362" s="51">
        <v>46022</v>
      </c>
      <c r="AD362" s="50">
        <v>46022</v>
      </c>
      <c r="AE362" s="41" t="s">
        <v>0</v>
      </c>
      <c r="AF362" s="41" t="s">
        <v>0</v>
      </c>
      <c r="AG362" s="40" t="s">
        <v>5</v>
      </c>
      <c r="AH362" s="36" t="s">
        <v>0</v>
      </c>
      <c r="AI362" s="49">
        <v>20140</v>
      </c>
      <c r="AJ362" s="36" t="s">
        <v>3</v>
      </c>
      <c r="AK362" s="21">
        <v>678861</v>
      </c>
      <c r="AL362" s="36" t="s">
        <v>1</v>
      </c>
      <c r="AM362" s="36" t="s">
        <v>1</v>
      </c>
      <c r="AN362" s="52" t="s">
        <v>0</v>
      </c>
      <c r="AO362" s="52" t="s">
        <v>0</v>
      </c>
      <c r="AP362" s="52" t="s">
        <v>0</v>
      </c>
      <c r="AQ362" s="52" t="s">
        <v>0</v>
      </c>
      <c r="AR362" s="34" t="s">
        <v>0</v>
      </c>
      <c r="AS362" s="33"/>
      <c r="AT362" s="32" t="s">
        <v>0</v>
      </c>
      <c r="AU362" s="31"/>
      <c r="AV362" s="32" t="s">
        <v>0</v>
      </c>
      <c r="AW362" s="31"/>
      <c r="AX362" s="32" t="s">
        <v>0</v>
      </c>
      <c r="AY362" s="31"/>
      <c r="AZ362" s="32" t="s">
        <v>0</v>
      </c>
      <c r="BA362" s="31"/>
      <c r="BB362" s="26" t="s">
        <v>7</v>
      </c>
      <c r="BC362" s="25"/>
      <c r="BD362" s="24"/>
      <c r="BE362" s="24"/>
      <c r="BF362" s="24"/>
      <c r="BG362" s="24"/>
      <c r="BH362" s="24"/>
      <c r="BI362" s="24"/>
      <c r="BJ362" s="24"/>
      <c r="BK362" s="24"/>
      <c r="BL362" s="24"/>
      <c r="BM362" s="24"/>
      <c r="BN362" s="24"/>
      <c r="BO362" s="24"/>
      <c r="BP362" s="24"/>
      <c r="BQ362" s="22">
        <f>YEAR([1]!BANCO10[[#This Row],[DATA INÍCIO]])</f>
        <v>2025</v>
      </c>
      <c r="BR362" s="22">
        <f>MONTH([1]!BANCO10[[#This Row],[DATA INÍCIO]])</f>
        <v>12</v>
      </c>
      <c r="BS362" s="23" t="e">
        <f>CONCATENATE(#REF!,#REF!)</f>
        <v>#REF!</v>
      </c>
      <c r="BT362" s="22"/>
      <c r="BU362" s="22"/>
      <c r="BV362" s="21" t="str">
        <f>IF([1]!BANCO10[[#This Row],[SOLUÇÃO]]=BV$1,[1]!BANCO10[[#This Row],[STATUS DA ETAPA]],"")</f>
        <v/>
      </c>
      <c r="BW362" s="21" t="str">
        <f>IF([1]!BANCO10[[#This Row],[SOLUÇÃO]]=BW$1,[1]!BANCO10[[#This Row],[STATUS DA ETAPA]],"")</f>
        <v/>
      </c>
      <c r="BX362" s="21" t="str">
        <f>IF([1]!BANCO10[[#This Row],[SOLUÇÃO]]=BX$1,[1]!BANCO10[[#This Row],[STATUS DA ETAPA]],"")</f>
        <v/>
      </c>
      <c r="BY362" s="21" t="str">
        <f>IF([1]!BANCO10[[#This Row],[SOLUÇÃO]]=BY$1,[1]!BANCO10[[#This Row],[STATUS DA ETAPA]],"")</f>
        <v/>
      </c>
      <c r="BZ362" s="21" t="str">
        <f>IF([1]!BANCO10[[#This Row],[SOLUÇÃO]]=BZ$1,[1]!BANCO10[[#This Row],[STATUS DA ETAPA]],"")</f>
        <v/>
      </c>
      <c r="CA362" s="21" t="str">
        <f>IF([1]!BANCO10[[#This Row],[SOLUÇÃO]]=CA$1,[1]!BANCO10[[#This Row],[STATUS DA ETAPA]],"")</f>
        <v/>
      </c>
      <c r="CB362" s="21" t="str">
        <f>IF([1]!BANCO10[[#This Row],[SOLUÇÃO]]=CB$1,[1]!BANCO10[[#This Row],[STATUS DA ETAPA]],"")</f>
        <v>AGUARDANDO SALDO</v>
      </c>
      <c r="CC362" s="21" t="str">
        <f>IF([1]!BANCO10[[#This Row],[SOLUÇÃO]]=CC$1,[1]!BANCO10[[#This Row],[STATUS DA ETAPA]],"")</f>
        <v/>
      </c>
      <c r="CD362" s="21" t="str">
        <f>IF([1]!BANCO10[[#This Row],[SOLUÇÃO]]=CD$1,[1]!BANCO10[[#This Row],[STATUS DA ETAPA]],"")</f>
        <v/>
      </c>
      <c r="CE362" s="21" t="str">
        <f>IF([1]!BANCO10[[#This Row],[SOLUÇÃO]]=CE$1,[1]!BANCO10[[#This Row],[STATUS DA ETAPA]],"")</f>
        <v/>
      </c>
      <c r="CF362" s="21" t="str">
        <f>IF([1]!BANCO10[[#This Row],[SOLUÇÃO]]=CF$1,[1]!BANCO10[[#This Row],[STATUS DA ETAPA]],"")</f>
        <v/>
      </c>
      <c r="CG362" s="21" t="str">
        <f>IF([1]!BANCO10[[#This Row],[SOLUÇÃO]]=CG$1,[1]!BANCO10[[#This Row],[STATUS DA ETAPA]],"")</f>
        <v/>
      </c>
      <c r="CH362" s="21" t="str">
        <f>IF([1]!BANCO10[[#This Row],[SOLUÇÃO]]=CH$1,[1]!BANCO10[[#This Row],[STATUS DA ETAPA]],"")</f>
        <v/>
      </c>
      <c r="CI362" s="21" t="str">
        <f>IF([1]!BANCO10[[#This Row],[SOLUÇÃO]]=CI$1,[1]!BANCO10[[#This Row],[STATUS DA ETAPA]],"")</f>
        <v/>
      </c>
      <c r="CJ362" s="21" t="str">
        <f>IF([1]!BANCO10[[#This Row],[SOLUÇÃO]]=CJ$1,[1]!BANCO10[[#This Row],[STATUS DA ETAPA]],"")</f>
        <v/>
      </c>
      <c r="CK362" s="21" t="str">
        <f>IF([1]!BANCO10[[#This Row],[SOLUÇÃO]]=CK$1,[1]!BANCO10[[#This Row],[STATUS DA ETAPA]],"")</f>
        <v/>
      </c>
      <c r="CL362" s="21" t="str">
        <f>IF([1]!BANCO10[[#This Row],[SOLUÇÃO]]=CL$1,[1]!BANCO10[[#This Row],[STATUS DA ETAPA]],"")</f>
        <v/>
      </c>
      <c r="CM362" s="21" t="str">
        <f>IF([1]!BANCO10[[#This Row],[SOLUÇÃO]]=CM$1,[1]!BANCO10[[#This Row],[STATUS DA ETAPA]],"")</f>
        <v/>
      </c>
      <c r="CN362" s="21" t="str">
        <f>IF([1]!BANCO10[[#This Row],[SOLUÇÃO]]=CN$1,[1]!BANCO10[[#This Row],[STATUS DA ETAPA]],"")</f>
        <v/>
      </c>
      <c r="CO362" s="21" t="str">
        <f>IF([1]!BANCO10[[#This Row],[SOLUÇÃO]]=CO$1,[1]!BANCO10[[#This Row],[STATUS DA ETAPA]],"")</f>
        <v/>
      </c>
      <c r="CP362" s="21" t="str">
        <f>IF([1]!BANCO10[[#This Row],[SOLUÇÃO]]=CP$1,[1]!BANCO10[[#This Row],[STATUS DA ETAPA]],"")</f>
        <v/>
      </c>
      <c r="CQ362" s="21" t="str">
        <f>IF([1]!BANCO10[[#This Row],[SOLUÇÃO]]=CQ$1,[1]!BANCO10[[#This Row],[STATUS DA ETAPA]],"")</f>
        <v/>
      </c>
      <c r="CR362" s="21" t="str">
        <f>IF([1]!BANCO10[[#This Row],[SOLUÇÃO]]=CR$1,[1]!BANCO10[[#This Row],[STATUS DA ETAPA]],"")</f>
        <v/>
      </c>
      <c r="CS362" s="21" t="str">
        <f>IF([1]!BANCO10[[#This Row],[SOLUÇÃO]]=CS$1,[1]!BANCO10[[#This Row],[STATUS DA ETAPA]],"")</f>
        <v/>
      </c>
      <c r="CT362" s="21" t="str">
        <f>IF([1]!BANCO10[[#This Row],[SOLUÇÃO]]=CT$1,[1]!BANCO10[[#This Row],[STATUS DA ETAPA]],"")</f>
        <v/>
      </c>
      <c r="CU362" s="21" t="str">
        <f>IF([1]!BANCO10[[#This Row],[SOLUÇÃO]]=CU$1,[1]!BANCO10[[#This Row],[STATUS DA ETAPA]],"")</f>
        <v/>
      </c>
      <c r="CV362" s="21" t="str">
        <f>IF([1]!BANCO10[[#This Row],[SOLUÇÃO]]=CV$1,[1]!BANCO10[[#This Row],[STATUS DA ETAPA]],"")</f>
        <v/>
      </c>
    </row>
    <row r="363" spans="1:100">
      <c r="A363" s="44" t="s">
        <v>1</v>
      </c>
      <c r="B363" s="44"/>
      <c r="C363" s="44" t="s">
        <v>1</v>
      </c>
      <c r="D363" s="44"/>
      <c r="E363" s="44" t="s">
        <v>1</v>
      </c>
      <c r="F363" s="44"/>
      <c r="G363" s="44" t="s">
        <v>1</v>
      </c>
      <c r="H363" s="44"/>
      <c r="I363" s="45" t="s">
        <v>1</v>
      </c>
      <c r="J363" s="46"/>
      <c r="K363" s="45" t="s">
        <v>1</v>
      </c>
      <c r="L363" s="33"/>
      <c r="M363" s="45" t="s">
        <v>1</v>
      </c>
      <c r="N363" s="33"/>
      <c r="O363" s="44" t="s">
        <v>2</v>
      </c>
      <c r="P363" s="44">
        <v>44810</v>
      </c>
      <c r="Q363" s="44" t="s">
        <v>0</v>
      </c>
      <c r="R363" s="44"/>
      <c r="S363" s="44" t="s">
        <v>1</v>
      </c>
      <c r="T363" s="44"/>
      <c r="U363" s="44" t="s">
        <v>1</v>
      </c>
      <c r="V363" s="44"/>
      <c r="W363" s="44" t="s">
        <v>1</v>
      </c>
      <c r="X363" s="44"/>
      <c r="Y363" s="44" t="s">
        <v>1</v>
      </c>
      <c r="Z363" s="44"/>
      <c r="AA363" s="44" t="s">
        <v>1</v>
      </c>
      <c r="AB363" s="44"/>
      <c r="AC363" s="51">
        <v>44810</v>
      </c>
      <c r="AD363" s="50">
        <v>44810</v>
      </c>
      <c r="AE363" s="40" t="s">
        <v>1</v>
      </c>
      <c r="AF363" s="40" t="s">
        <v>1</v>
      </c>
      <c r="AG363" s="76" t="s">
        <v>5</v>
      </c>
      <c r="AH363" s="36" t="s">
        <v>1</v>
      </c>
      <c r="AI363" s="49">
        <v>0</v>
      </c>
      <c r="AJ363" s="36" t="s">
        <v>1</v>
      </c>
      <c r="AK363" s="10" t="s">
        <v>1</v>
      </c>
      <c r="AL363" s="36" t="s">
        <v>1</v>
      </c>
      <c r="AM363" s="36" t="s">
        <v>1</v>
      </c>
      <c r="AN363" s="35" t="s">
        <v>1</v>
      </c>
      <c r="AO363" s="35" t="s">
        <v>1</v>
      </c>
      <c r="AP363" s="35" t="s">
        <v>1</v>
      </c>
      <c r="AQ363" s="35" t="s">
        <v>1</v>
      </c>
      <c r="AR363" s="82" t="s">
        <v>1</v>
      </c>
      <c r="AS363" s="33"/>
      <c r="AT363" s="32" t="s">
        <v>1</v>
      </c>
      <c r="AU363" s="31"/>
      <c r="AV363" s="32" t="s">
        <v>1</v>
      </c>
      <c r="AW363" s="31"/>
      <c r="AX363" s="30" t="s">
        <v>1</v>
      </c>
      <c r="AY363" s="55"/>
      <c r="AZ363" s="30" t="s">
        <v>1</v>
      </c>
      <c r="BA363" s="55"/>
      <c r="BB363" s="74" t="s">
        <v>19</v>
      </c>
      <c r="BC363" s="25"/>
      <c r="BD363" s="24" t="s">
        <v>11</v>
      </c>
      <c r="BE363" s="24" t="s">
        <v>11</v>
      </c>
      <c r="BF363" s="24" t="s">
        <v>21</v>
      </c>
      <c r="BG363" s="24" t="s">
        <v>80</v>
      </c>
      <c r="BH363" s="130" t="s">
        <v>18</v>
      </c>
      <c r="BI363" s="24" t="s">
        <v>21</v>
      </c>
      <c r="BJ363" s="24" t="s">
        <v>11</v>
      </c>
      <c r="BK363" s="24" t="s">
        <v>11</v>
      </c>
      <c r="BL363" s="24" t="s">
        <v>11</v>
      </c>
      <c r="BM363" s="24" t="s">
        <v>11</v>
      </c>
      <c r="BN363" s="24" t="s">
        <v>11</v>
      </c>
      <c r="BO363" s="24" t="s">
        <v>11</v>
      </c>
      <c r="BP363" s="24" t="s">
        <v>11</v>
      </c>
      <c r="BQ363" s="22">
        <f>YEAR([1]!BANCO10[[#This Row],[DATA INÍCIO]])</f>
        <v>2022</v>
      </c>
      <c r="BR363" s="22">
        <f>MONTH([1]!BANCO10[[#This Row],[DATA INÍCIO]])</f>
        <v>9</v>
      </c>
      <c r="BS363" s="129" t="e">
        <f>CONCATENATE(#REF!,#REF!)</f>
        <v>#REF!</v>
      </c>
      <c r="BT363" s="22"/>
      <c r="BU363" s="21" t="s">
        <v>531</v>
      </c>
      <c r="BV363" s="21" t="str">
        <f>IF([1]!BANCO10[[#This Row],[SOLUÇÃO]]=BV$1,[1]!BANCO10[[#This Row],[STATUS DA ETAPA]],"")</f>
        <v>CONCLUÍDO</v>
      </c>
      <c r="BW363" s="21" t="str">
        <f>IF([1]!BANCO10[[#This Row],[SOLUÇÃO]]=BW$1,[1]!BANCO10[[#This Row],[STATUS DA ETAPA]],"")</f>
        <v/>
      </c>
      <c r="BX363" s="21" t="str">
        <f>IF([1]!BANCO10[[#This Row],[SOLUÇÃO]]=BX$1,[1]!BANCO10[[#This Row],[STATUS DA ETAPA]],"")</f>
        <v/>
      </c>
      <c r="BY363" s="21" t="str">
        <f>IF([1]!BANCO10[[#This Row],[SOLUÇÃO]]=BY$1,[1]!BANCO10[[#This Row],[STATUS DA ETAPA]],"")</f>
        <v/>
      </c>
      <c r="BZ363" s="21" t="str">
        <f>IF([1]!BANCO10[[#This Row],[SOLUÇÃO]]=BZ$1,[1]!BANCO10[[#This Row],[STATUS DA ETAPA]],"")</f>
        <v/>
      </c>
      <c r="CA363" s="21" t="str">
        <f>IF([1]!BANCO10[[#This Row],[SOLUÇÃO]]=CA$1,[1]!BANCO10[[#This Row],[STATUS DA ETAPA]],"")</f>
        <v/>
      </c>
      <c r="CB363" s="21" t="str">
        <f>IF([1]!BANCO10[[#This Row],[SOLUÇÃO]]=CB$1,[1]!BANCO10[[#This Row],[STATUS DA ETAPA]],"")</f>
        <v/>
      </c>
      <c r="CC363" s="21" t="str">
        <f>IF([1]!BANCO10[[#This Row],[SOLUÇÃO]]=CC$1,[1]!BANCO10[[#This Row],[STATUS DA ETAPA]],"")</f>
        <v/>
      </c>
      <c r="CD363" s="21" t="str">
        <f>IF([1]!BANCO10[[#This Row],[SOLUÇÃO]]=CD$1,[1]!BANCO10[[#This Row],[STATUS DA ETAPA]],"")</f>
        <v/>
      </c>
      <c r="CE363" s="21" t="str">
        <f>IF([1]!BANCO10[[#This Row],[SOLUÇÃO]]=CE$1,[1]!BANCO10[[#This Row],[STATUS DA ETAPA]],"")</f>
        <v/>
      </c>
      <c r="CF363" s="21" t="str">
        <f>IF([1]!BANCO10[[#This Row],[SOLUÇÃO]]=CF$1,[1]!BANCO10[[#This Row],[STATUS DA ETAPA]],"")</f>
        <v/>
      </c>
      <c r="CG363" s="21" t="str">
        <f>IF([1]!BANCO10[[#This Row],[SOLUÇÃO]]=CG$1,[1]!BANCO10[[#This Row],[STATUS DA ETAPA]],"")</f>
        <v/>
      </c>
      <c r="CH363" s="21" t="str">
        <f>IF([1]!BANCO10[[#This Row],[SOLUÇÃO]]=CH$1,[1]!BANCO10[[#This Row],[STATUS DA ETAPA]],"")</f>
        <v/>
      </c>
      <c r="CI363" s="21" t="str">
        <f>IF([1]!BANCO10[[#This Row],[SOLUÇÃO]]=CI$1,[1]!BANCO10[[#This Row],[STATUS DA ETAPA]],"")</f>
        <v/>
      </c>
      <c r="CJ363" s="21" t="str">
        <f>IF([1]!BANCO10[[#This Row],[SOLUÇÃO]]=CJ$1,[1]!BANCO10[[#This Row],[STATUS DA ETAPA]],"")</f>
        <v/>
      </c>
      <c r="CK363" s="21" t="str">
        <f>IF([1]!BANCO10[[#This Row],[SOLUÇÃO]]=CK$1,[1]!BANCO10[[#This Row],[STATUS DA ETAPA]],"")</f>
        <v/>
      </c>
      <c r="CL363" s="21" t="str">
        <f>IF([1]!BANCO10[[#This Row],[SOLUÇÃO]]=CL$1,[1]!BANCO10[[#This Row],[STATUS DA ETAPA]],"")</f>
        <v/>
      </c>
      <c r="CM363" s="21" t="str">
        <f>IF([1]!BANCO10[[#This Row],[SOLUÇÃO]]=CM$1,[1]!BANCO10[[#This Row],[STATUS DA ETAPA]],"")</f>
        <v/>
      </c>
      <c r="CN363" s="21" t="str">
        <f>IF([1]!BANCO10[[#This Row],[SOLUÇÃO]]=CN$1,[1]!BANCO10[[#This Row],[STATUS DA ETAPA]],"")</f>
        <v/>
      </c>
      <c r="CO363" s="21" t="str">
        <f>IF([1]!BANCO10[[#This Row],[SOLUÇÃO]]=CO$1,[1]!BANCO10[[#This Row],[STATUS DA ETAPA]],"")</f>
        <v/>
      </c>
      <c r="CP363" s="21" t="str">
        <f>IF([1]!BANCO10[[#This Row],[SOLUÇÃO]]=CP$1,[1]!BANCO10[[#This Row],[STATUS DA ETAPA]],"")</f>
        <v/>
      </c>
      <c r="CQ363" s="21" t="str">
        <f>IF([1]!BANCO10[[#This Row],[SOLUÇÃO]]=CQ$1,[1]!BANCO10[[#This Row],[STATUS DA ETAPA]],"")</f>
        <v/>
      </c>
      <c r="CR363" s="21" t="str">
        <f>IF([1]!BANCO10[[#This Row],[SOLUÇÃO]]=CR$1,[1]!BANCO10[[#This Row],[STATUS DA ETAPA]],"")</f>
        <v/>
      </c>
      <c r="CS363" s="21" t="str">
        <f>IF([1]!BANCO10[[#This Row],[SOLUÇÃO]]=CS$1,[1]!BANCO10[[#This Row],[STATUS DA ETAPA]],"")</f>
        <v/>
      </c>
      <c r="CT363" s="21" t="str">
        <f>IF([1]!BANCO10[[#This Row],[SOLUÇÃO]]=CT$1,[1]!BANCO10[[#This Row],[STATUS DA ETAPA]],"")</f>
        <v/>
      </c>
      <c r="CU363" s="21" t="str">
        <f>IF([1]!BANCO10[[#This Row],[SOLUÇÃO]]=CU$1,[1]!BANCO10[[#This Row],[STATUS DA ETAPA]],"")</f>
        <v/>
      </c>
      <c r="CV363" s="21" t="str">
        <f>IF([1]!BANCO10[[#This Row],[SOLUÇÃO]]=CV$1,[1]!BANCO10[[#This Row],[STATUS DA ETAPA]],"")</f>
        <v/>
      </c>
    </row>
    <row r="364" spans="1:100">
      <c r="A364" s="44" t="s">
        <v>1</v>
      </c>
      <c r="B364" s="44"/>
      <c r="C364" s="44" t="s">
        <v>1</v>
      </c>
      <c r="D364" s="44"/>
      <c r="E364" s="44" t="s">
        <v>1</v>
      </c>
      <c r="F364" s="44"/>
      <c r="G364" s="44" t="s">
        <v>1</v>
      </c>
      <c r="H364" s="44"/>
      <c r="I364" s="45" t="s">
        <v>1</v>
      </c>
      <c r="J364" s="46"/>
      <c r="K364" s="45" t="s">
        <v>1</v>
      </c>
      <c r="L364" s="33"/>
      <c r="M364" s="45" t="s">
        <v>1</v>
      </c>
      <c r="N364" s="33"/>
      <c r="O364" s="44" t="s">
        <v>2</v>
      </c>
      <c r="P364" s="44">
        <v>44810</v>
      </c>
      <c r="Q364" s="44" t="s">
        <v>2</v>
      </c>
      <c r="R364" s="44">
        <v>44810</v>
      </c>
      <c r="S364" s="44" t="s">
        <v>2</v>
      </c>
      <c r="T364" s="44">
        <v>44810</v>
      </c>
      <c r="U364" s="44"/>
      <c r="V364" s="44"/>
      <c r="W364" s="44" t="s">
        <v>2</v>
      </c>
      <c r="X364" s="44"/>
      <c r="Y364" s="44" t="s">
        <v>2</v>
      </c>
      <c r="Z364" s="44">
        <v>44810</v>
      </c>
      <c r="AA364" s="44" t="s">
        <v>2</v>
      </c>
      <c r="AB364" s="44"/>
      <c r="AC364" s="51">
        <v>44936</v>
      </c>
      <c r="AD364" s="50">
        <v>45027</v>
      </c>
      <c r="AE364" s="40" t="s">
        <v>2</v>
      </c>
      <c r="AF364" s="40" t="s">
        <v>2</v>
      </c>
      <c r="AG364" s="76" t="s">
        <v>5</v>
      </c>
      <c r="AH364" s="36" t="s">
        <v>0</v>
      </c>
      <c r="AI364" s="49">
        <v>0</v>
      </c>
      <c r="AJ364" s="36"/>
      <c r="AK364" s="10"/>
      <c r="AL364" s="36">
        <v>4731</v>
      </c>
      <c r="AM364" s="36" t="s">
        <v>1</v>
      </c>
      <c r="AN364" s="35" t="s">
        <v>1</v>
      </c>
      <c r="AO364" s="35" t="s">
        <v>1</v>
      </c>
      <c r="AP364" s="35" t="s">
        <v>2</v>
      </c>
      <c r="AQ364" s="35" t="s">
        <v>1</v>
      </c>
      <c r="AR364" s="34" t="s">
        <v>1</v>
      </c>
      <c r="AS364" s="33"/>
      <c r="AT364" s="32" t="s">
        <v>1</v>
      </c>
      <c r="AU364" s="31"/>
      <c r="AV364" s="32" t="s">
        <v>1</v>
      </c>
      <c r="AW364" s="31"/>
      <c r="AX364" s="30" t="s">
        <v>2</v>
      </c>
      <c r="AY364" s="55">
        <v>45062</v>
      </c>
      <c r="AZ364" s="30" t="s">
        <v>2</v>
      </c>
      <c r="BA364" s="55"/>
      <c r="BB364" s="74"/>
      <c r="BC364" s="25"/>
      <c r="BD364" s="24" t="s">
        <v>11</v>
      </c>
      <c r="BE364" s="24" t="s">
        <v>11</v>
      </c>
      <c r="BF364" s="24" t="s">
        <v>21</v>
      </c>
      <c r="BG364" s="24" t="s">
        <v>80</v>
      </c>
      <c r="BH364" s="130" t="s">
        <v>18</v>
      </c>
      <c r="BI364" s="24" t="s">
        <v>21</v>
      </c>
      <c r="BJ364" s="24" t="s">
        <v>37</v>
      </c>
      <c r="BK364" s="24" t="s">
        <v>19</v>
      </c>
      <c r="BL364" s="24">
        <v>45473</v>
      </c>
      <c r="BM364" s="24" t="s">
        <v>18</v>
      </c>
      <c r="BN364" s="24" t="s">
        <v>11</v>
      </c>
      <c r="BO364" s="24"/>
      <c r="BP364" s="24" t="s">
        <v>530</v>
      </c>
      <c r="BQ364" s="22">
        <f>YEAR([1]!BANCO10[[#This Row],[DATA INÍCIO]])</f>
        <v>2023</v>
      </c>
      <c r="BR364" s="22">
        <f>MONTH([1]!BANCO10[[#This Row],[DATA INÍCIO]])</f>
        <v>1</v>
      </c>
      <c r="BS364" s="129" t="e">
        <f>CONCATENATE(#REF!,#REF!)</f>
        <v>#REF!</v>
      </c>
      <c r="BT364" s="22"/>
      <c r="BU364" s="21" t="s">
        <v>529</v>
      </c>
      <c r="BV364" s="21" t="str">
        <f>IF([1]!BANCO10[[#This Row],[SOLUÇÃO]]=BV$1,[1]!BANCO10[[#This Row],[STATUS DA ETAPA]],"")</f>
        <v/>
      </c>
      <c r="BW364" s="21" t="str">
        <f>IF([1]!BANCO10[[#This Row],[SOLUÇÃO]]=BW$1,[1]!BANCO10[[#This Row],[STATUS DA ETAPA]],"")</f>
        <v/>
      </c>
      <c r="BX364" s="21" t="str">
        <f>IF([1]!BANCO10[[#This Row],[SOLUÇÃO]]=BX$1,[1]!BANCO10[[#This Row],[STATUS DA ETAPA]],"")</f>
        <v/>
      </c>
      <c r="BY364" s="21" t="str">
        <f>IF([1]!BANCO10[[#This Row],[SOLUÇÃO]]=BY$1,[1]!BANCO10[[#This Row],[STATUS DA ETAPA]],"")</f>
        <v/>
      </c>
      <c r="BZ364" s="21" t="str">
        <f>IF([1]!BANCO10[[#This Row],[SOLUÇÃO]]=BZ$1,[1]!BANCO10[[#This Row],[STATUS DA ETAPA]],"")</f>
        <v/>
      </c>
      <c r="CA364" s="21" t="str">
        <f>IF([1]!BANCO10[[#This Row],[SOLUÇÃO]]=CA$1,[1]!BANCO10[[#This Row],[STATUS DA ETAPA]],"")</f>
        <v>CONCLUÍDO</v>
      </c>
      <c r="CB364" s="21" t="str">
        <f>IF([1]!BANCO10[[#This Row],[SOLUÇÃO]]=CB$1,[1]!BANCO10[[#This Row],[STATUS DA ETAPA]],"")</f>
        <v/>
      </c>
      <c r="CC364" s="21" t="str">
        <f>IF([1]!BANCO10[[#This Row],[SOLUÇÃO]]=CC$1,[1]!BANCO10[[#This Row],[STATUS DA ETAPA]],"")</f>
        <v/>
      </c>
      <c r="CD364" s="21" t="str">
        <f>IF([1]!BANCO10[[#This Row],[SOLUÇÃO]]=CD$1,[1]!BANCO10[[#This Row],[STATUS DA ETAPA]],"")</f>
        <v/>
      </c>
      <c r="CE364" s="21" t="str">
        <f>IF([1]!BANCO10[[#This Row],[SOLUÇÃO]]=CE$1,[1]!BANCO10[[#This Row],[STATUS DA ETAPA]],"")</f>
        <v/>
      </c>
      <c r="CF364" s="21" t="str">
        <f>IF([1]!BANCO10[[#This Row],[SOLUÇÃO]]=CF$1,[1]!BANCO10[[#This Row],[STATUS DA ETAPA]],"")</f>
        <v/>
      </c>
      <c r="CG364" s="21" t="str">
        <f>IF([1]!BANCO10[[#This Row],[SOLUÇÃO]]=CG$1,[1]!BANCO10[[#This Row],[STATUS DA ETAPA]],"")</f>
        <v/>
      </c>
      <c r="CH364" s="21" t="str">
        <f>IF([1]!BANCO10[[#This Row],[SOLUÇÃO]]=CH$1,[1]!BANCO10[[#This Row],[STATUS DA ETAPA]],"")</f>
        <v/>
      </c>
      <c r="CI364" s="21" t="str">
        <f>IF([1]!BANCO10[[#This Row],[SOLUÇÃO]]=CI$1,[1]!BANCO10[[#This Row],[STATUS DA ETAPA]],"")</f>
        <v/>
      </c>
      <c r="CJ364" s="21" t="str">
        <f>IF([1]!BANCO10[[#This Row],[SOLUÇÃO]]=CJ$1,[1]!BANCO10[[#This Row],[STATUS DA ETAPA]],"")</f>
        <v/>
      </c>
      <c r="CK364" s="21" t="str">
        <f>IF([1]!BANCO10[[#This Row],[SOLUÇÃO]]=CK$1,[1]!BANCO10[[#This Row],[STATUS DA ETAPA]],"")</f>
        <v/>
      </c>
      <c r="CL364" s="21" t="str">
        <f>IF([1]!BANCO10[[#This Row],[SOLUÇÃO]]=CL$1,[1]!BANCO10[[#This Row],[STATUS DA ETAPA]],"")</f>
        <v/>
      </c>
      <c r="CM364" s="21" t="str">
        <f>IF([1]!BANCO10[[#This Row],[SOLUÇÃO]]=CM$1,[1]!BANCO10[[#This Row],[STATUS DA ETAPA]],"")</f>
        <v/>
      </c>
      <c r="CN364" s="21" t="str">
        <f>IF([1]!BANCO10[[#This Row],[SOLUÇÃO]]=CN$1,[1]!BANCO10[[#This Row],[STATUS DA ETAPA]],"")</f>
        <v/>
      </c>
      <c r="CO364" s="21" t="str">
        <f>IF([1]!BANCO10[[#This Row],[SOLUÇÃO]]=CO$1,[1]!BANCO10[[#This Row],[STATUS DA ETAPA]],"")</f>
        <v/>
      </c>
      <c r="CP364" s="21" t="str">
        <f>IF([1]!BANCO10[[#This Row],[SOLUÇÃO]]=CP$1,[1]!BANCO10[[#This Row],[STATUS DA ETAPA]],"")</f>
        <v/>
      </c>
      <c r="CQ364" s="21" t="str">
        <f>IF([1]!BANCO10[[#This Row],[SOLUÇÃO]]=CQ$1,[1]!BANCO10[[#This Row],[STATUS DA ETAPA]],"")</f>
        <v/>
      </c>
      <c r="CR364" s="21" t="str">
        <f>IF([1]!BANCO10[[#This Row],[SOLUÇÃO]]=CR$1,[1]!BANCO10[[#This Row],[STATUS DA ETAPA]],"")</f>
        <v/>
      </c>
      <c r="CS364" s="21" t="str">
        <f>IF([1]!BANCO10[[#This Row],[SOLUÇÃO]]=CS$1,[1]!BANCO10[[#This Row],[STATUS DA ETAPA]],"")</f>
        <v/>
      </c>
      <c r="CT364" s="21" t="str">
        <f>IF([1]!BANCO10[[#This Row],[SOLUÇÃO]]=CT$1,[1]!BANCO10[[#This Row],[STATUS DA ETAPA]],"")</f>
        <v/>
      </c>
      <c r="CU364" s="21" t="str">
        <f>IF([1]!BANCO10[[#This Row],[SOLUÇÃO]]=CU$1,[1]!BANCO10[[#This Row],[STATUS DA ETAPA]],"")</f>
        <v/>
      </c>
      <c r="CV364" s="21" t="str">
        <f>IF([1]!BANCO10[[#This Row],[SOLUÇÃO]]=CV$1,[1]!BANCO10[[#This Row],[STATUS DA ETAPA]],"")</f>
        <v/>
      </c>
    </row>
    <row r="365" spans="1:100">
      <c r="A365" s="44" t="s">
        <v>1</v>
      </c>
      <c r="B365" s="44"/>
      <c r="C365" s="44" t="s">
        <v>1</v>
      </c>
      <c r="D365" s="44"/>
      <c r="E365" s="44" t="s">
        <v>1</v>
      </c>
      <c r="F365" s="44"/>
      <c r="G365" s="44" t="s">
        <v>1</v>
      </c>
      <c r="H365" s="44"/>
      <c r="I365" s="45" t="s">
        <v>1</v>
      </c>
      <c r="J365" s="46"/>
      <c r="K365" s="45" t="s">
        <v>1</v>
      </c>
      <c r="L365" s="33"/>
      <c r="M365" s="45" t="s">
        <v>1</v>
      </c>
      <c r="N365" s="33"/>
      <c r="O365" s="44" t="s">
        <v>2</v>
      </c>
      <c r="P365" s="44">
        <v>45310</v>
      </c>
      <c r="Q365" s="44" t="s">
        <v>2</v>
      </c>
      <c r="R365" s="44"/>
      <c r="S365" s="44" t="s">
        <v>2</v>
      </c>
      <c r="T365" s="44"/>
      <c r="U365" s="44" t="s">
        <v>2</v>
      </c>
      <c r="V365" s="44"/>
      <c r="W365" s="44" t="s">
        <v>2</v>
      </c>
      <c r="X365" s="44"/>
      <c r="Y365" s="44" t="s">
        <v>2</v>
      </c>
      <c r="Z365" s="44"/>
      <c r="AA365" s="44" t="s">
        <v>2</v>
      </c>
      <c r="AB365" s="44"/>
      <c r="AC365" s="51">
        <v>45519</v>
      </c>
      <c r="AD365" s="50">
        <v>45615</v>
      </c>
      <c r="AE365" s="68" t="s">
        <v>2</v>
      </c>
      <c r="AF365" s="41" t="s">
        <v>2</v>
      </c>
      <c r="AG365" s="76" t="s">
        <v>5</v>
      </c>
      <c r="AH365" s="36" t="s">
        <v>0</v>
      </c>
      <c r="AI365" s="49">
        <v>0</v>
      </c>
      <c r="AJ365" s="36" t="s">
        <v>6</v>
      </c>
      <c r="AK365" s="10" t="s">
        <v>528</v>
      </c>
      <c r="AL365" s="36">
        <v>4742</v>
      </c>
      <c r="AM365" s="36"/>
      <c r="AN365" s="35" t="s">
        <v>1</v>
      </c>
      <c r="AO365" s="35" t="s">
        <v>1</v>
      </c>
      <c r="AP365" s="35" t="s">
        <v>2</v>
      </c>
      <c r="AQ365" s="35" t="s">
        <v>1</v>
      </c>
      <c r="AR365" s="34" t="s">
        <v>1</v>
      </c>
      <c r="AS365" s="33"/>
      <c r="AT365" s="32" t="s">
        <v>1</v>
      </c>
      <c r="AU365" s="31"/>
      <c r="AV365" s="32" t="s">
        <v>1</v>
      </c>
      <c r="AW365" s="31"/>
      <c r="AX365" s="30" t="s">
        <v>2</v>
      </c>
      <c r="AY365" s="31">
        <v>45615</v>
      </c>
      <c r="AZ365" s="30" t="s">
        <v>2</v>
      </c>
      <c r="BA365" s="55">
        <v>45622</v>
      </c>
      <c r="BB365" s="74" t="s">
        <v>527</v>
      </c>
      <c r="BC365" s="25"/>
      <c r="BD365" s="24"/>
      <c r="BE365" s="24"/>
      <c r="BF365" s="24"/>
      <c r="BG365" s="24"/>
      <c r="BH365" s="130"/>
      <c r="BI365" s="24"/>
      <c r="BJ365" s="24"/>
      <c r="BK365" s="24"/>
      <c r="BL365" s="24">
        <v>45514</v>
      </c>
      <c r="BM365" s="24" t="s">
        <v>18</v>
      </c>
      <c r="BN365" s="24" t="s">
        <v>11</v>
      </c>
      <c r="BO365" s="24"/>
      <c r="BP365" s="24" t="s">
        <v>343</v>
      </c>
      <c r="BQ365" s="22">
        <f>YEAR([1]!BANCO10[[#This Row],[DATA INÍCIO]])</f>
        <v>2024</v>
      </c>
      <c r="BR365" s="22">
        <f>MONTH([1]!BANCO10[[#This Row],[DATA INÍCIO]])</f>
        <v>8</v>
      </c>
      <c r="BS365" s="23" t="e">
        <f>CONCATENATE(#REF!,#REF!)</f>
        <v>#REF!</v>
      </c>
      <c r="BT365" s="22"/>
      <c r="BU365" s="97" t="s">
        <v>526</v>
      </c>
      <c r="BV365" s="21" t="str">
        <f>IF([1]!BANCO10[[#This Row],[SOLUÇÃO]]=BV$1,[1]!BANCO10[[#This Row],[STATUS DA ETAPA]],"")</f>
        <v/>
      </c>
      <c r="BW365" s="21" t="str">
        <f>IF([1]!BANCO10[[#This Row],[SOLUÇÃO]]=BW$1,[1]!BANCO10[[#This Row],[STATUS DA ETAPA]],"")</f>
        <v/>
      </c>
      <c r="BX365" s="21" t="str">
        <f>IF([1]!BANCO10[[#This Row],[SOLUÇÃO]]=BX$1,[1]!BANCO10[[#This Row],[STATUS DA ETAPA]],"")</f>
        <v/>
      </c>
      <c r="BY365" s="21" t="str">
        <f>IF([1]!BANCO10[[#This Row],[SOLUÇÃO]]=BY$1,[1]!BANCO10[[#This Row],[STATUS DA ETAPA]],"")</f>
        <v/>
      </c>
      <c r="BZ365" s="21" t="str">
        <f>IF([1]!BANCO10[[#This Row],[SOLUÇÃO]]=BZ$1,[1]!BANCO10[[#This Row],[STATUS DA ETAPA]],"")</f>
        <v/>
      </c>
      <c r="CA365" s="21" t="str">
        <f>IF([1]!BANCO10[[#This Row],[SOLUÇÃO]]=CA$1,[1]!BANCO10[[#This Row],[STATUS DA ETAPA]],"")</f>
        <v/>
      </c>
      <c r="CB365" s="21" t="str">
        <f>IF([1]!BANCO10[[#This Row],[SOLUÇÃO]]=CB$1,[1]!BANCO10[[#This Row],[STATUS DA ETAPA]],"")</f>
        <v/>
      </c>
      <c r="CC365" s="21" t="str">
        <f>IF([1]!BANCO10[[#This Row],[SOLUÇÃO]]=CC$1,[1]!BANCO10[[#This Row],[STATUS DA ETAPA]],"")</f>
        <v/>
      </c>
      <c r="CD365" s="21" t="str">
        <f>IF([1]!BANCO10[[#This Row],[SOLUÇÃO]]=CD$1,[1]!BANCO10[[#This Row],[STATUS DA ETAPA]],"")</f>
        <v/>
      </c>
      <c r="CE365" s="21" t="str">
        <f>IF([1]!BANCO10[[#This Row],[SOLUÇÃO]]=CE$1,[1]!BANCO10[[#This Row],[STATUS DA ETAPA]],"")</f>
        <v/>
      </c>
      <c r="CF365" s="21" t="str">
        <f>IF([1]!BANCO10[[#This Row],[SOLUÇÃO]]=CF$1,[1]!BANCO10[[#This Row],[STATUS DA ETAPA]],"")</f>
        <v/>
      </c>
      <c r="CG365" s="21" t="str">
        <f>IF([1]!BANCO10[[#This Row],[SOLUÇÃO]]=CG$1,[1]!BANCO10[[#This Row],[STATUS DA ETAPA]],"")</f>
        <v/>
      </c>
      <c r="CH365" s="21" t="str">
        <f>IF([1]!BANCO10[[#This Row],[SOLUÇÃO]]=CH$1,[1]!BANCO10[[#This Row],[STATUS DA ETAPA]],"")</f>
        <v/>
      </c>
      <c r="CI365" s="21" t="str">
        <f>IF([1]!BANCO10[[#This Row],[SOLUÇÃO]]=CI$1,[1]!BANCO10[[#This Row],[STATUS DA ETAPA]],"")</f>
        <v/>
      </c>
      <c r="CJ365" s="21" t="str">
        <f>IF([1]!BANCO10[[#This Row],[SOLUÇÃO]]=CJ$1,[1]!BANCO10[[#This Row],[STATUS DA ETAPA]],"")</f>
        <v/>
      </c>
      <c r="CK365" s="21" t="str">
        <f>IF([1]!BANCO10[[#This Row],[SOLUÇÃO]]=CK$1,[1]!BANCO10[[#This Row],[STATUS DA ETAPA]],"")</f>
        <v/>
      </c>
      <c r="CL365" s="21" t="str">
        <f>IF([1]!BANCO10[[#This Row],[SOLUÇÃO]]=CL$1,[1]!BANCO10[[#This Row],[STATUS DA ETAPA]],"")</f>
        <v>CONCLUÍDO</v>
      </c>
      <c r="CM365" s="21" t="str">
        <f>IF([1]!BANCO10[[#This Row],[SOLUÇÃO]]=CM$1,[1]!BANCO10[[#This Row],[STATUS DA ETAPA]],"")</f>
        <v/>
      </c>
      <c r="CN365" s="21" t="str">
        <f>IF([1]!BANCO10[[#This Row],[SOLUÇÃO]]=CN$1,[1]!BANCO10[[#This Row],[STATUS DA ETAPA]],"")</f>
        <v/>
      </c>
      <c r="CO365" s="21" t="str">
        <f>IF([1]!BANCO10[[#This Row],[SOLUÇÃO]]=CO$1,[1]!BANCO10[[#This Row],[STATUS DA ETAPA]],"")</f>
        <v/>
      </c>
      <c r="CP365" s="21" t="str">
        <f>IF([1]!BANCO10[[#This Row],[SOLUÇÃO]]=CP$1,[1]!BANCO10[[#This Row],[STATUS DA ETAPA]],"")</f>
        <v/>
      </c>
      <c r="CQ365" s="21" t="str">
        <f>IF([1]!BANCO10[[#This Row],[SOLUÇÃO]]=CQ$1,[1]!BANCO10[[#This Row],[STATUS DA ETAPA]],"")</f>
        <v/>
      </c>
      <c r="CR365" s="21" t="str">
        <f>IF([1]!BANCO10[[#This Row],[SOLUÇÃO]]=CR$1,[1]!BANCO10[[#This Row],[STATUS DA ETAPA]],"")</f>
        <v/>
      </c>
      <c r="CS365" s="21" t="str">
        <f>IF([1]!BANCO10[[#This Row],[SOLUÇÃO]]=CS$1,[1]!BANCO10[[#This Row],[STATUS DA ETAPA]],"")</f>
        <v/>
      </c>
      <c r="CT365" s="21" t="str">
        <f>IF([1]!BANCO10[[#This Row],[SOLUÇÃO]]=CT$1,[1]!BANCO10[[#This Row],[STATUS DA ETAPA]],"")</f>
        <v/>
      </c>
      <c r="CU365" s="21" t="str">
        <f>IF([1]!BANCO10[[#This Row],[SOLUÇÃO]]=CU$1,[1]!BANCO10[[#This Row],[STATUS DA ETAPA]],"")</f>
        <v/>
      </c>
      <c r="CV365" s="21" t="str">
        <f>IF([1]!BANCO10[[#This Row],[SOLUÇÃO]]=CV$1,[1]!BANCO10[[#This Row],[STATUS DA ETAPA]],"")</f>
        <v/>
      </c>
    </row>
    <row r="366" spans="1:100">
      <c r="A366" s="44" t="s">
        <v>1</v>
      </c>
      <c r="B366" s="44"/>
      <c r="C366" s="44" t="s">
        <v>1</v>
      </c>
      <c r="D366" s="44"/>
      <c r="E366" s="44" t="s">
        <v>1</v>
      </c>
      <c r="F366" s="44"/>
      <c r="G366" s="44" t="s">
        <v>1</v>
      </c>
      <c r="H366" s="44"/>
      <c r="I366" s="45" t="s">
        <v>1</v>
      </c>
      <c r="J366" s="46"/>
      <c r="K366" s="45" t="s">
        <v>1</v>
      </c>
      <c r="L366" s="33"/>
      <c r="M366" s="45" t="s">
        <v>1</v>
      </c>
      <c r="N366" s="33"/>
      <c r="O366" s="44" t="s">
        <v>2</v>
      </c>
      <c r="P366" s="44">
        <v>44785</v>
      </c>
      <c r="Q366" s="44" t="s">
        <v>0</v>
      </c>
      <c r="R366" s="44"/>
      <c r="S366" s="44" t="s">
        <v>1</v>
      </c>
      <c r="T366" s="44"/>
      <c r="U366" s="44" t="s">
        <v>1</v>
      </c>
      <c r="V366" s="44"/>
      <c r="W366" s="44" t="s">
        <v>1</v>
      </c>
      <c r="X366" s="44"/>
      <c r="Y366" s="44" t="s">
        <v>1</v>
      </c>
      <c r="Z366" s="44"/>
      <c r="AA366" s="44" t="s">
        <v>1</v>
      </c>
      <c r="AB366" s="44"/>
      <c r="AC366" s="51">
        <v>44785</v>
      </c>
      <c r="AD366" s="50">
        <v>44785</v>
      </c>
      <c r="AE366" s="40" t="s">
        <v>1</v>
      </c>
      <c r="AF366" s="40" t="s">
        <v>1</v>
      </c>
      <c r="AG366" s="76" t="s">
        <v>5</v>
      </c>
      <c r="AH366" s="36" t="s">
        <v>1</v>
      </c>
      <c r="AI366" s="49">
        <v>0</v>
      </c>
      <c r="AJ366" s="36" t="s">
        <v>1</v>
      </c>
      <c r="AK366" s="10" t="s">
        <v>1</v>
      </c>
      <c r="AL366" s="36" t="s">
        <v>1</v>
      </c>
      <c r="AM366" s="36" t="s">
        <v>1</v>
      </c>
      <c r="AN366" s="35" t="s">
        <v>1</v>
      </c>
      <c r="AO366" s="35" t="s">
        <v>1</v>
      </c>
      <c r="AP366" s="35" t="s">
        <v>1</v>
      </c>
      <c r="AQ366" s="35" t="s">
        <v>1</v>
      </c>
      <c r="AR366" s="82" t="s">
        <v>1</v>
      </c>
      <c r="AS366" s="33"/>
      <c r="AT366" s="32" t="s">
        <v>1</v>
      </c>
      <c r="AU366" s="31"/>
      <c r="AV366" s="32" t="s">
        <v>1</v>
      </c>
      <c r="AW366" s="31"/>
      <c r="AX366" s="30" t="s">
        <v>1</v>
      </c>
      <c r="AY366" s="55"/>
      <c r="AZ366" s="30" t="s">
        <v>1</v>
      </c>
      <c r="BA366" s="55"/>
      <c r="BB366" s="74"/>
      <c r="BC366" s="25"/>
      <c r="BD366" s="24" t="s">
        <v>11</v>
      </c>
      <c r="BE366" s="24" t="s">
        <v>11</v>
      </c>
      <c r="BF366" s="24" t="s">
        <v>21</v>
      </c>
      <c r="BG366" s="24" t="s">
        <v>136</v>
      </c>
      <c r="BH366" s="130" t="s">
        <v>18</v>
      </c>
      <c r="BI366" s="24" t="s">
        <v>21</v>
      </c>
      <c r="BJ366" s="24" t="s">
        <v>11</v>
      </c>
      <c r="BK366" s="24" t="s">
        <v>11</v>
      </c>
      <c r="BL366" s="24" t="s">
        <v>11</v>
      </c>
      <c r="BM366" s="24" t="s">
        <v>11</v>
      </c>
      <c r="BN366" s="24" t="s">
        <v>11</v>
      </c>
      <c r="BO366" s="24" t="s">
        <v>11</v>
      </c>
      <c r="BP366" s="24" t="s">
        <v>11</v>
      </c>
      <c r="BQ366" s="22">
        <f>YEAR([1]!BANCO10[[#This Row],[DATA INÍCIO]])</f>
        <v>2022</v>
      </c>
      <c r="BR366" s="22">
        <f>MONTH([1]!BANCO10[[#This Row],[DATA INÍCIO]])</f>
        <v>8</v>
      </c>
      <c r="BS366" s="129" t="e">
        <f>CONCATENATE(#REF!,#REF!)</f>
        <v>#REF!</v>
      </c>
      <c r="BT366" s="22"/>
      <c r="BU366" s="21" t="s">
        <v>525</v>
      </c>
      <c r="BV366" s="21" t="str">
        <f>IF([1]!BANCO10[[#This Row],[SOLUÇÃO]]=BV$1,[1]!BANCO10[[#This Row],[STATUS DA ETAPA]],"")</f>
        <v>CONCLUÍDO</v>
      </c>
      <c r="BW366" s="21" t="str">
        <f>IF([1]!BANCO10[[#This Row],[SOLUÇÃO]]=BW$1,[1]!BANCO10[[#This Row],[STATUS DA ETAPA]],"")</f>
        <v/>
      </c>
      <c r="BX366" s="21" t="str">
        <f>IF([1]!BANCO10[[#This Row],[SOLUÇÃO]]=BX$1,[1]!BANCO10[[#This Row],[STATUS DA ETAPA]],"")</f>
        <v/>
      </c>
      <c r="BY366" s="21" t="str">
        <f>IF([1]!BANCO10[[#This Row],[SOLUÇÃO]]=BY$1,[1]!BANCO10[[#This Row],[STATUS DA ETAPA]],"")</f>
        <v/>
      </c>
      <c r="BZ366" s="21" t="str">
        <f>IF([1]!BANCO10[[#This Row],[SOLUÇÃO]]=BZ$1,[1]!BANCO10[[#This Row],[STATUS DA ETAPA]],"")</f>
        <v/>
      </c>
      <c r="CA366" s="21" t="str">
        <f>IF([1]!BANCO10[[#This Row],[SOLUÇÃO]]=CA$1,[1]!BANCO10[[#This Row],[STATUS DA ETAPA]],"")</f>
        <v/>
      </c>
      <c r="CB366" s="21" t="str">
        <f>IF([1]!BANCO10[[#This Row],[SOLUÇÃO]]=CB$1,[1]!BANCO10[[#This Row],[STATUS DA ETAPA]],"")</f>
        <v/>
      </c>
      <c r="CC366" s="21" t="str">
        <f>IF([1]!BANCO10[[#This Row],[SOLUÇÃO]]=CC$1,[1]!BANCO10[[#This Row],[STATUS DA ETAPA]],"")</f>
        <v/>
      </c>
      <c r="CD366" s="21" t="str">
        <f>IF([1]!BANCO10[[#This Row],[SOLUÇÃO]]=CD$1,[1]!BANCO10[[#This Row],[STATUS DA ETAPA]],"")</f>
        <v/>
      </c>
      <c r="CE366" s="21" t="str">
        <f>IF([1]!BANCO10[[#This Row],[SOLUÇÃO]]=CE$1,[1]!BANCO10[[#This Row],[STATUS DA ETAPA]],"")</f>
        <v/>
      </c>
      <c r="CF366" s="21" t="str">
        <f>IF([1]!BANCO10[[#This Row],[SOLUÇÃO]]=CF$1,[1]!BANCO10[[#This Row],[STATUS DA ETAPA]],"")</f>
        <v/>
      </c>
      <c r="CG366" s="21" t="str">
        <f>IF([1]!BANCO10[[#This Row],[SOLUÇÃO]]=CG$1,[1]!BANCO10[[#This Row],[STATUS DA ETAPA]],"")</f>
        <v/>
      </c>
      <c r="CH366" s="21" t="str">
        <f>IF([1]!BANCO10[[#This Row],[SOLUÇÃO]]=CH$1,[1]!BANCO10[[#This Row],[STATUS DA ETAPA]],"")</f>
        <v/>
      </c>
      <c r="CI366" s="21" t="str">
        <f>IF([1]!BANCO10[[#This Row],[SOLUÇÃO]]=CI$1,[1]!BANCO10[[#This Row],[STATUS DA ETAPA]],"")</f>
        <v/>
      </c>
      <c r="CJ366" s="21" t="str">
        <f>IF([1]!BANCO10[[#This Row],[SOLUÇÃO]]=CJ$1,[1]!BANCO10[[#This Row],[STATUS DA ETAPA]],"")</f>
        <v/>
      </c>
      <c r="CK366" s="21" t="str">
        <f>IF([1]!BANCO10[[#This Row],[SOLUÇÃO]]=CK$1,[1]!BANCO10[[#This Row],[STATUS DA ETAPA]],"")</f>
        <v/>
      </c>
      <c r="CL366" s="21" t="str">
        <f>IF([1]!BANCO10[[#This Row],[SOLUÇÃO]]=CL$1,[1]!BANCO10[[#This Row],[STATUS DA ETAPA]],"")</f>
        <v/>
      </c>
      <c r="CM366" s="21" t="str">
        <f>IF([1]!BANCO10[[#This Row],[SOLUÇÃO]]=CM$1,[1]!BANCO10[[#This Row],[STATUS DA ETAPA]],"")</f>
        <v/>
      </c>
      <c r="CN366" s="21" t="str">
        <f>IF([1]!BANCO10[[#This Row],[SOLUÇÃO]]=CN$1,[1]!BANCO10[[#This Row],[STATUS DA ETAPA]],"")</f>
        <v/>
      </c>
      <c r="CO366" s="21" t="str">
        <f>IF([1]!BANCO10[[#This Row],[SOLUÇÃO]]=CO$1,[1]!BANCO10[[#This Row],[STATUS DA ETAPA]],"")</f>
        <v/>
      </c>
      <c r="CP366" s="21" t="str">
        <f>IF([1]!BANCO10[[#This Row],[SOLUÇÃO]]=CP$1,[1]!BANCO10[[#This Row],[STATUS DA ETAPA]],"")</f>
        <v/>
      </c>
      <c r="CQ366" s="21" t="str">
        <f>IF([1]!BANCO10[[#This Row],[SOLUÇÃO]]=CQ$1,[1]!BANCO10[[#This Row],[STATUS DA ETAPA]],"")</f>
        <v/>
      </c>
      <c r="CR366" s="21" t="str">
        <f>IF([1]!BANCO10[[#This Row],[SOLUÇÃO]]=CR$1,[1]!BANCO10[[#This Row],[STATUS DA ETAPA]],"")</f>
        <v/>
      </c>
      <c r="CS366" s="21" t="str">
        <f>IF([1]!BANCO10[[#This Row],[SOLUÇÃO]]=CS$1,[1]!BANCO10[[#This Row],[STATUS DA ETAPA]],"")</f>
        <v/>
      </c>
      <c r="CT366" s="21" t="str">
        <f>IF([1]!BANCO10[[#This Row],[SOLUÇÃO]]=CT$1,[1]!BANCO10[[#This Row],[STATUS DA ETAPA]],"")</f>
        <v/>
      </c>
      <c r="CU366" s="21" t="str">
        <f>IF([1]!BANCO10[[#This Row],[SOLUÇÃO]]=CU$1,[1]!BANCO10[[#This Row],[STATUS DA ETAPA]],"")</f>
        <v/>
      </c>
      <c r="CV366" s="21" t="str">
        <f>IF([1]!BANCO10[[#This Row],[SOLUÇÃO]]=CV$1,[1]!BANCO10[[#This Row],[STATUS DA ETAPA]],"")</f>
        <v/>
      </c>
    </row>
    <row r="367" spans="1:100">
      <c r="A367" s="44" t="s">
        <v>1</v>
      </c>
      <c r="B367" s="44"/>
      <c r="C367" s="44" t="s">
        <v>1</v>
      </c>
      <c r="D367" s="44"/>
      <c r="E367" s="44" t="s">
        <v>1</v>
      </c>
      <c r="F367" s="44"/>
      <c r="G367" s="44" t="s">
        <v>1</v>
      </c>
      <c r="H367" s="44"/>
      <c r="I367" s="45" t="s">
        <v>1</v>
      </c>
      <c r="J367" s="46"/>
      <c r="K367" s="45" t="s">
        <v>1</v>
      </c>
      <c r="L367" s="33"/>
      <c r="M367" s="45" t="s">
        <v>1</v>
      </c>
      <c r="N367" s="33"/>
      <c r="O367" s="44" t="s">
        <v>2</v>
      </c>
      <c r="P367" s="44">
        <v>44785</v>
      </c>
      <c r="Q367" s="44" t="s">
        <v>2</v>
      </c>
      <c r="R367" s="44">
        <v>44787</v>
      </c>
      <c r="S367" s="44" t="s">
        <v>1</v>
      </c>
      <c r="T367" s="44"/>
      <c r="U367" s="44"/>
      <c r="V367" s="44"/>
      <c r="W367" s="44" t="s">
        <v>1</v>
      </c>
      <c r="X367" s="44"/>
      <c r="Y367" s="44" t="s">
        <v>1</v>
      </c>
      <c r="Z367" s="44"/>
      <c r="AA367" s="44" t="s">
        <v>1</v>
      </c>
      <c r="AB367" s="44"/>
      <c r="AC367" s="51">
        <v>45196</v>
      </c>
      <c r="AD367" s="50">
        <v>45287</v>
      </c>
      <c r="AE367" s="40" t="s">
        <v>2</v>
      </c>
      <c r="AF367" s="40" t="s">
        <v>2</v>
      </c>
      <c r="AG367" s="76" t="s">
        <v>5</v>
      </c>
      <c r="AH367" s="36" t="s">
        <v>0</v>
      </c>
      <c r="AI367" s="49">
        <v>0</v>
      </c>
      <c r="AJ367" s="36" t="s">
        <v>1</v>
      </c>
      <c r="AK367" s="10"/>
      <c r="AL367" s="36" t="s">
        <v>1</v>
      </c>
      <c r="AM367" s="36" t="s">
        <v>1</v>
      </c>
      <c r="AN367" s="35" t="s">
        <v>1</v>
      </c>
      <c r="AO367" s="35" t="s">
        <v>1</v>
      </c>
      <c r="AP367" s="35" t="s">
        <v>2</v>
      </c>
      <c r="AQ367" s="35" t="s">
        <v>1</v>
      </c>
      <c r="AR367" s="34" t="s">
        <v>1</v>
      </c>
      <c r="AS367" s="33"/>
      <c r="AT367" s="32" t="s">
        <v>1</v>
      </c>
      <c r="AU367" s="31"/>
      <c r="AV367" s="32" t="s">
        <v>1</v>
      </c>
      <c r="AW367" s="31"/>
      <c r="AX367" s="30" t="s">
        <v>2</v>
      </c>
      <c r="AY367" s="55">
        <v>44922</v>
      </c>
      <c r="AZ367" s="30" t="s">
        <v>2</v>
      </c>
      <c r="BA367" s="55"/>
      <c r="BB367" s="74"/>
      <c r="BC367" s="25"/>
      <c r="BD367" s="24" t="s">
        <v>11</v>
      </c>
      <c r="BE367" s="24" t="s">
        <v>11</v>
      </c>
      <c r="BF367" s="24" t="s">
        <v>21</v>
      </c>
      <c r="BG367" s="24" t="s">
        <v>136</v>
      </c>
      <c r="BH367" s="130" t="s">
        <v>18</v>
      </c>
      <c r="BI367" s="24" t="s">
        <v>21</v>
      </c>
      <c r="BJ367" s="24" t="s">
        <v>11</v>
      </c>
      <c r="BK367" s="24" t="s">
        <v>11</v>
      </c>
      <c r="BL367" s="24" t="s">
        <v>11</v>
      </c>
      <c r="BM367" s="24" t="s">
        <v>11</v>
      </c>
      <c r="BN367" s="24" t="s">
        <v>11</v>
      </c>
      <c r="BO367" s="24" t="s">
        <v>11</v>
      </c>
      <c r="BP367" s="24" t="s">
        <v>11</v>
      </c>
      <c r="BQ367" s="22">
        <f>YEAR([1]!BANCO10[[#This Row],[DATA INÍCIO]])</f>
        <v>2023</v>
      </c>
      <c r="BR367" s="22">
        <f>MONTH([1]!BANCO10[[#This Row],[DATA INÍCIO]])</f>
        <v>9</v>
      </c>
      <c r="BS367" s="129" t="e">
        <f>CONCATENATE(#REF!,#REF!)</f>
        <v>#REF!</v>
      </c>
      <c r="BT367" s="22"/>
      <c r="BU367" s="21" t="s">
        <v>524</v>
      </c>
      <c r="BV367" s="21" t="str">
        <f>IF([1]!BANCO10[[#This Row],[SOLUÇÃO]]=BV$1,[1]!BANCO10[[#This Row],[STATUS DA ETAPA]],"")</f>
        <v/>
      </c>
      <c r="BW367" s="21" t="str">
        <f>IF([1]!BANCO10[[#This Row],[SOLUÇÃO]]=BW$1,[1]!BANCO10[[#This Row],[STATUS DA ETAPA]],"")</f>
        <v/>
      </c>
      <c r="BX367" s="21" t="str">
        <f>IF([1]!BANCO10[[#This Row],[SOLUÇÃO]]=BX$1,[1]!BANCO10[[#This Row],[STATUS DA ETAPA]],"")</f>
        <v/>
      </c>
      <c r="BY367" s="21" t="str">
        <f>IF([1]!BANCO10[[#This Row],[SOLUÇÃO]]=BY$1,[1]!BANCO10[[#This Row],[STATUS DA ETAPA]],"")</f>
        <v/>
      </c>
      <c r="BZ367" s="21" t="str">
        <f>IF([1]!BANCO10[[#This Row],[SOLUÇÃO]]=BZ$1,[1]!BANCO10[[#This Row],[STATUS DA ETAPA]],"")</f>
        <v/>
      </c>
      <c r="CA367" s="21" t="str">
        <f>IF([1]!BANCO10[[#This Row],[SOLUÇÃO]]=CA$1,[1]!BANCO10[[#This Row],[STATUS DA ETAPA]],"")</f>
        <v>CONCLUÍDO</v>
      </c>
      <c r="CB367" s="21" t="str">
        <f>IF([1]!BANCO10[[#This Row],[SOLUÇÃO]]=CB$1,[1]!BANCO10[[#This Row],[STATUS DA ETAPA]],"")</f>
        <v/>
      </c>
      <c r="CC367" s="21" t="str">
        <f>IF([1]!BANCO10[[#This Row],[SOLUÇÃO]]=CC$1,[1]!BANCO10[[#This Row],[STATUS DA ETAPA]],"")</f>
        <v/>
      </c>
      <c r="CD367" s="21" t="str">
        <f>IF([1]!BANCO10[[#This Row],[SOLUÇÃO]]=CD$1,[1]!BANCO10[[#This Row],[STATUS DA ETAPA]],"")</f>
        <v/>
      </c>
      <c r="CE367" s="21" t="str">
        <f>IF([1]!BANCO10[[#This Row],[SOLUÇÃO]]=CE$1,[1]!BANCO10[[#This Row],[STATUS DA ETAPA]],"")</f>
        <v/>
      </c>
      <c r="CF367" s="21" t="str">
        <f>IF([1]!BANCO10[[#This Row],[SOLUÇÃO]]=CF$1,[1]!BANCO10[[#This Row],[STATUS DA ETAPA]],"")</f>
        <v/>
      </c>
      <c r="CG367" s="21" t="str">
        <f>IF([1]!BANCO10[[#This Row],[SOLUÇÃO]]=CG$1,[1]!BANCO10[[#This Row],[STATUS DA ETAPA]],"")</f>
        <v/>
      </c>
      <c r="CH367" s="21" t="str">
        <f>IF([1]!BANCO10[[#This Row],[SOLUÇÃO]]=CH$1,[1]!BANCO10[[#This Row],[STATUS DA ETAPA]],"")</f>
        <v/>
      </c>
      <c r="CI367" s="21" t="str">
        <f>IF([1]!BANCO10[[#This Row],[SOLUÇÃO]]=CI$1,[1]!BANCO10[[#This Row],[STATUS DA ETAPA]],"")</f>
        <v/>
      </c>
      <c r="CJ367" s="21" t="str">
        <f>IF([1]!BANCO10[[#This Row],[SOLUÇÃO]]=CJ$1,[1]!BANCO10[[#This Row],[STATUS DA ETAPA]],"")</f>
        <v/>
      </c>
      <c r="CK367" s="21" t="str">
        <f>IF([1]!BANCO10[[#This Row],[SOLUÇÃO]]=CK$1,[1]!BANCO10[[#This Row],[STATUS DA ETAPA]],"")</f>
        <v/>
      </c>
      <c r="CL367" s="21" t="str">
        <f>IF([1]!BANCO10[[#This Row],[SOLUÇÃO]]=CL$1,[1]!BANCO10[[#This Row],[STATUS DA ETAPA]],"")</f>
        <v/>
      </c>
      <c r="CM367" s="21" t="str">
        <f>IF([1]!BANCO10[[#This Row],[SOLUÇÃO]]=CM$1,[1]!BANCO10[[#This Row],[STATUS DA ETAPA]],"")</f>
        <v/>
      </c>
      <c r="CN367" s="21" t="str">
        <f>IF([1]!BANCO10[[#This Row],[SOLUÇÃO]]=CN$1,[1]!BANCO10[[#This Row],[STATUS DA ETAPA]],"")</f>
        <v/>
      </c>
      <c r="CO367" s="21" t="str">
        <f>IF([1]!BANCO10[[#This Row],[SOLUÇÃO]]=CO$1,[1]!BANCO10[[#This Row],[STATUS DA ETAPA]],"")</f>
        <v/>
      </c>
      <c r="CP367" s="21" t="str">
        <f>IF([1]!BANCO10[[#This Row],[SOLUÇÃO]]=CP$1,[1]!BANCO10[[#This Row],[STATUS DA ETAPA]],"")</f>
        <v/>
      </c>
      <c r="CQ367" s="21" t="str">
        <f>IF([1]!BANCO10[[#This Row],[SOLUÇÃO]]=CQ$1,[1]!BANCO10[[#This Row],[STATUS DA ETAPA]],"")</f>
        <v/>
      </c>
      <c r="CR367" s="21" t="str">
        <f>IF([1]!BANCO10[[#This Row],[SOLUÇÃO]]=CR$1,[1]!BANCO10[[#This Row],[STATUS DA ETAPA]],"")</f>
        <v/>
      </c>
      <c r="CS367" s="21" t="str">
        <f>IF([1]!BANCO10[[#This Row],[SOLUÇÃO]]=CS$1,[1]!BANCO10[[#This Row],[STATUS DA ETAPA]],"")</f>
        <v/>
      </c>
      <c r="CT367" s="21" t="str">
        <f>IF([1]!BANCO10[[#This Row],[SOLUÇÃO]]=CT$1,[1]!BANCO10[[#This Row],[STATUS DA ETAPA]],"")</f>
        <v/>
      </c>
      <c r="CU367" s="21" t="str">
        <f>IF([1]!BANCO10[[#This Row],[SOLUÇÃO]]=CU$1,[1]!BANCO10[[#This Row],[STATUS DA ETAPA]],"")</f>
        <v/>
      </c>
      <c r="CV367" s="21" t="str">
        <f>IF([1]!BANCO10[[#This Row],[SOLUÇÃO]]=CV$1,[1]!BANCO10[[#This Row],[STATUS DA ETAPA]],"")</f>
        <v/>
      </c>
    </row>
    <row r="368" spans="1:100">
      <c r="A368" s="44" t="s">
        <v>1</v>
      </c>
      <c r="B368" s="44"/>
      <c r="C368" s="44" t="s">
        <v>1</v>
      </c>
      <c r="D368" s="44"/>
      <c r="E368" s="44" t="s">
        <v>1</v>
      </c>
      <c r="F368" s="44"/>
      <c r="G368" s="44" t="s">
        <v>1</v>
      </c>
      <c r="H368" s="44"/>
      <c r="I368" s="45" t="s">
        <v>1</v>
      </c>
      <c r="J368" s="46"/>
      <c r="K368" s="45" t="s">
        <v>1</v>
      </c>
      <c r="L368" s="33"/>
      <c r="M368" s="45" t="s">
        <v>1</v>
      </c>
      <c r="N368" s="33"/>
      <c r="O368" s="44" t="s">
        <v>2</v>
      </c>
      <c r="P368" s="44">
        <v>44785</v>
      </c>
      <c r="Q368" s="44" t="s">
        <v>2</v>
      </c>
      <c r="R368" s="44">
        <v>45371</v>
      </c>
      <c r="S368" s="44" t="s">
        <v>2</v>
      </c>
      <c r="T368" s="44">
        <v>45378</v>
      </c>
      <c r="U368" s="44" t="s">
        <v>2</v>
      </c>
      <c r="V368" s="44">
        <v>45379</v>
      </c>
      <c r="W368" s="44" t="s">
        <v>2</v>
      </c>
      <c r="X368" s="44"/>
      <c r="Y368" s="44" t="s">
        <v>2</v>
      </c>
      <c r="Z368" s="44">
        <v>45383</v>
      </c>
      <c r="AA368" s="44" t="s">
        <v>2</v>
      </c>
      <c r="AB368" s="44"/>
      <c r="AC368" s="51">
        <v>45426</v>
      </c>
      <c r="AD368" s="50">
        <v>45519</v>
      </c>
      <c r="AE368" s="40" t="s">
        <v>2</v>
      </c>
      <c r="AF368" s="40" t="s">
        <v>2</v>
      </c>
      <c r="AG368" s="76" t="s">
        <v>4</v>
      </c>
      <c r="AH368" s="36" t="s">
        <v>0</v>
      </c>
      <c r="AI368" s="49">
        <v>0</v>
      </c>
      <c r="AJ368" s="36" t="s">
        <v>6</v>
      </c>
      <c r="AK368" s="10">
        <v>2266</v>
      </c>
      <c r="AL368" s="36">
        <v>4697</v>
      </c>
      <c r="AM368" s="36">
        <v>0</v>
      </c>
      <c r="AN368" s="35" t="s">
        <v>1</v>
      </c>
      <c r="AO368" s="35" t="s">
        <v>1</v>
      </c>
      <c r="AP368" s="35" t="s">
        <v>2</v>
      </c>
      <c r="AQ368" s="35" t="s">
        <v>1</v>
      </c>
      <c r="AR368" s="34" t="s">
        <v>1</v>
      </c>
      <c r="AS368" s="33"/>
      <c r="AT368" s="32" t="s">
        <v>1</v>
      </c>
      <c r="AU368" s="31"/>
      <c r="AV368" s="32" t="s">
        <v>1</v>
      </c>
      <c r="AW368" s="31"/>
      <c r="AX368" s="30" t="s">
        <v>2</v>
      </c>
      <c r="AY368" s="55">
        <v>45575</v>
      </c>
      <c r="AZ368" s="30" t="s">
        <v>0</v>
      </c>
      <c r="BA368" s="55"/>
      <c r="BB368" s="74"/>
      <c r="BC368" s="25"/>
      <c r="BD368" s="24"/>
      <c r="BE368" s="24"/>
      <c r="BF368" s="24"/>
      <c r="BG368" s="24"/>
      <c r="BH368" s="130"/>
      <c r="BI368" s="24"/>
      <c r="BJ368" s="24"/>
      <c r="BK368" s="24"/>
      <c r="BL368" s="24">
        <v>45389</v>
      </c>
      <c r="BM368" s="24"/>
      <c r="BN368" s="24"/>
      <c r="BO368" s="24"/>
      <c r="BP368" s="24" t="s">
        <v>86</v>
      </c>
      <c r="BQ368" s="22">
        <f>YEAR([1]!BANCO10[[#This Row],[DATA INÍCIO]])</f>
        <v>2024</v>
      </c>
      <c r="BR368" s="22">
        <f>MONTH([1]!BANCO10[[#This Row],[DATA INÍCIO]])</f>
        <v>5</v>
      </c>
      <c r="BS368" s="129" t="e">
        <f>CONCATENATE(#REF!,#REF!)</f>
        <v>#REF!</v>
      </c>
      <c r="BT368" s="22"/>
      <c r="BU368" s="21" t="s">
        <v>523</v>
      </c>
      <c r="BV368" s="21" t="str">
        <f>IF([1]!BANCO10[[#This Row],[SOLUÇÃO]]=BV$1,[1]!BANCO10[[#This Row],[STATUS DA ETAPA]],"")</f>
        <v/>
      </c>
      <c r="BW368" s="21" t="str">
        <f>IF([1]!BANCO10[[#This Row],[SOLUÇÃO]]=BW$1,[1]!BANCO10[[#This Row],[STATUS DA ETAPA]],"")</f>
        <v/>
      </c>
      <c r="BX368" s="21" t="str">
        <f>IF([1]!BANCO10[[#This Row],[SOLUÇÃO]]=BX$1,[1]!BANCO10[[#This Row],[STATUS DA ETAPA]],"")</f>
        <v/>
      </c>
      <c r="BY368" s="21" t="str">
        <f>IF([1]!BANCO10[[#This Row],[SOLUÇÃO]]=BY$1,[1]!BANCO10[[#This Row],[STATUS DA ETAPA]],"")</f>
        <v/>
      </c>
      <c r="BZ368" s="21" t="str">
        <f>IF([1]!BANCO10[[#This Row],[SOLUÇÃO]]=BZ$1,[1]!BANCO10[[#This Row],[STATUS DA ETAPA]],"")</f>
        <v>CONCLUÍDO</v>
      </c>
      <c r="CA368" s="21" t="str">
        <f>IF([1]!BANCO10[[#This Row],[SOLUÇÃO]]=CA$1,[1]!BANCO10[[#This Row],[STATUS DA ETAPA]],"")</f>
        <v/>
      </c>
      <c r="CB368" s="21" t="str">
        <f>IF([1]!BANCO10[[#This Row],[SOLUÇÃO]]=CB$1,[1]!BANCO10[[#This Row],[STATUS DA ETAPA]],"")</f>
        <v/>
      </c>
      <c r="CC368" s="21" t="str">
        <f>IF([1]!BANCO10[[#This Row],[SOLUÇÃO]]=CC$1,[1]!BANCO10[[#This Row],[STATUS DA ETAPA]],"")</f>
        <v/>
      </c>
      <c r="CD368" s="21" t="str">
        <f>IF([1]!BANCO10[[#This Row],[SOLUÇÃO]]=CD$1,[1]!BANCO10[[#This Row],[STATUS DA ETAPA]],"")</f>
        <v/>
      </c>
      <c r="CE368" s="21" t="str">
        <f>IF([1]!BANCO10[[#This Row],[SOLUÇÃO]]=CE$1,[1]!BANCO10[[#This Row],[STATUS DA ETAPA]],"")</f>
        <v/>
      </c>
      <c r="CF368" s="21" t="str">
        <f>IF([1]!BANCO10[[#This Row],[SOLUÇÃO]]=CF$1,[1]!BANCO10[[#This Row],[STATUS DA ETAPA]],"")</f>
        <v/>
      </c>
      <c r="CG368" s="21" t="str">
        <f>IF([1]!BANCO10[[#This Row],[SOLUÇÃO]]=CG$1,[1]!BANCO10[[#This Row],[STATUS DA ETAPA]],"")</f>
        <v/>
      </c>
      <c r="CH368" s="21" t="str">
        <f>IF([1]!BANCO10[[#This Row],[SOLUÇÃO]]=CH$1,[1]!BANCO10[[#This Row],[STATUS DA ETAPA]],"")</f>
        <v/>
      </c>
      <c r="CI368" s="21" t="str">
        <f>IF([1]!BANCO10[[#This Row],[SOLUÇÃO]]=CI$1,[1]!BANCO10[[#This Row],[STATUS DA ETAPA]],"")</f>
        <v/>
      </c>
      <c r="CJ368" s="21" t="str">
        <f>IF([1]!BANCO10[[#This Row],[SOLUÇÃO]]=CJ$1,[1]!BANCO10[[#This Row],[STATUS DA ETAPA]],"")</f>
        <v/>
      </c>
      <c r="CK368" s="21" t="str">
        <f>IF([1]!BANCO10[[#This Row],[SOLUÇÃO]]=CK$1,[1]!BANCO10[[#This Row],[STATUS DA ETAPA]],"")</f>
        <v/>
      </c>
      <c r="CL368" s="21" t="str">
        <f>IF([1]!BANCO10[[#This Row],[SOLUÇÃO]]=CL$1,[1]!BANCO10[[#This Row],[STATUS DA ETAPA]],"")</f>
        <v/>
      </c>
      <c r="CM368" s="21" t="str">
        <f>IF([1]!BANCO10[[#This Row],[SOLUÇÃO]]=CM$1,[1]!BANCO10[[#This Row],[STATUS DA ETAPA]],"")</f>
        <v/>
      </c>
      <c r="CN368" s="21" t="str">
        <f>IF([1]!BANCO10[[#This Row],[SOLUÇÃO]]=CN$1,[1]!BANCO10[[#This Row],[STATUS DA ETAPA]],"")</f>
        <v/>
      </c>
      <c r="CO368" s="21" t="str">
        <f>IF([1]!BANCO10[[#This Row],[SOLUÇÃO]]=CO$1,[1]!BANCO10[[#This Row],[STATUS DA ETAPA]],"")</f>
        <v/>
      </c>
      <c r="CP368" s="21" t="str">
        <f>IF([1]!BANCO10[[#This Row],[SOLUÇÃO]]=CP$1,[1]!BANCO10[[#This Row],[STATUS DA ETAPA]],"")</f>
        <v/>
      </c>
      <c r="CQ368" s="21" t="str">
        <f>IF([1]!BANCO10[[#This Row],[SOLUÇÃO]]=CQ$1,[1]!BANCO10[[#This Row],[STATUS DA ETAPA]],"")</f>
        <v/>
      </c>
      <c r="CR368" s="21" t="str">
        <f>IF([1]!BANCO10[[#This Row],[SOLUÇÃO]]=CR$1,[1]!BANCO10[[#This Row],[STATUS DA ETAPA]],"")</f>
        <v/>
      </c>
      <c r="CS368" s="21" t="str">
        <f>IF([1]!BANCO10[[#This Row],[SOLUÇÃO]]=CS$1,[1]!BANCO10[[#This Row],[STATUS DA ETAPA]],"")</f>
        <v/>
      </c>
      <c r="CT368" s="21" t="str">
        <f>IF([1]!BANCO10[[#This Row],[SOLUÇÃO]]=CT$1,[1]!BANCO10[[#This Row],[STATUS DA ETAPA]],"")</f>
        <v/>
      </c>
      <c r="CU368" s="21" t="str">
        <f>IF([1]!BANCO10[[#This Row],[SOLUÇÃO]]=CU$1,[1]!BANCO10[[#This Row],[STATUS DA ETAPA]],"")</f>
        <v/>
      </c>
      <c r="CV368" s="21" t="str">
        <f>IF([1]!BANCO10[[#This Row],[SOLUÇÃO]]=CV$1,[1]!BANCO10[[#This Row],[STATUS DA ETAPA]],"")</f>
        <v/>
      </c>
    </row>
    <row r="369" spans="1:100">
      <c r="A369" s="44" t="s">
        <v>2</v>
      </c>
      <c r="B369" s="44">
        <v>45904</v>
      </c>
      <c r="C369" s="44" t="s">
        <v>2</v>
      </c>
      <c r="D369" s="44">
        <v>45905</v>
      </c>
      <c r="E369" s="44" t="s">
        <v>0</v>
      </c>
      <c r="F369" s="44"/>
      <c r="G369" s="44" t="s">
        <v>0</v>
      </c>
      <c r="H369" s="44"/>
      <c r="I369" s="45" t="s">
        <v>2</v>
      </c>
      <c r="J369" s="46">
        <v>45905</v>
      </c>
      <c r="K369" s="45" t="s">
        <v>0</v>
      </c>
      <c r="L369" s="33"/>
      <c r="M369" s="45" t="s">
        <v>0</v>
      </c>
      <c r="N369" s="33"/>
      <c r="O369" s="44" t="s">
        <v>0</v>
      </c>
      <c r="P369" s="44"/>
      <c r="Q369" s="44" t="s">
        <v>2</v>
      </c>
      <c r="R369" s="44">
        <v>45918</v>
      </c>
      <c r="S369" s="44" t="s">
        <v>0</v>
      </c>
      <c r="T369" s="44"/>
      <c r="U369" s="44" t="s">
        <v>0</v>
      </c>
      <c r="V369" s="44"/>
      <c r="W369" s="44" t="s">
        <v>0</v>
      </c>
      <c r="X369" s="44"/>
      <c r="Y369" s="44" t="s">
        <v>0</v>
      </c>
      <c r="Z369" s="44"/>
      <c r="AA369" s="44" t="s">
        <v>0</v>
      </c>
      <c r="AB369" s="44"/>
      <c r="AC369" s="51">
        <v>46022</v>
      </c>
      <c r="AD369" s="50">
        <v>46022</v>
      </c>
      <c r="AE369" s="41" t="s">
        <v>0</v>
      </c>
      <c r="AF369" s="41" t="s">
        <v>0</v>
      </c>
      <c r="AG369" s="40" t="s">
        <v>5</v>
      </c>
      <c r="AH369" s="36" t="s">
        <v>0</v>
      </c>
      <c r="AI369" s="49">
        <v>20140</v>
      </c>
      <c r="AJ369" s="36" t="s">
        <v>3</v>
      </c>
      <c r="AK369" s="10">
        <v>711179</v>
      </c>
      <c r="AL369" s="36" t="s">
        <v>1</v>
      </c>
      <c r="AM369" s="36" t="s">
        <v>1</v>
      </c>
      <c r="AN369" s="35" t="s">
        <v>0</v>
      </c>
      <c r="AO369" s="35" t="s">
        <v>0</v>
      </c>
      <c r="AP369" s="35" t="s">
        <v>0</v>
      </c>
      <c r="AQ369" s="35" t="s">
        <v>0</v>
      </c>
      <c r="AR369" s="34" t="s">
        <v>0</v>
      </c>
      <c r="AS369" s="33"/>
      <c r="AT369" s="32" t="s">
        <v>1</v>
      </c>
      <c r="AU369" s="31"/>
      <c r="AV369" s="32" t="s">
        <v>1</v>
      </c>
      <c r="AW369" s="31"/>
      <c r="AX369" s="30" t="s">
        <v>0</v>
      </c>
      <c r="AY369" s="29"/>
      <c r="AZ369" s="28" t="s">
        <v>0</v>
      </c>
      <c r="BA369" s="27"/>
      <c r="BB369" s="26"/>
      <c r="BC369" s="25"/>
      <c r="BD369" s="24"/>
      <c r="BE369" s="24"/>
      <c r="BF369" s="24"/>
      <c r="BG369" s="24"/>
      <c r="BH369" s="24"/>
      <c r="BI369" s="24"/>
      <c r="BJ369" s="24"/>
      <c r="BK369" s="24"/>
      <c r="BL369" s="24"/>
      <c r="BM369" s="24"/>
      <c r="BN369" s="24"/>
      <c r="BO369" s="24"/>
      <c r="BP369" s="24"/>
      <c r="BQ369" s="22">
        <f>YEAR([1]!BANCO10[[#This Row],[DATA INÍCIO]])</f>
        <v>2025</v>
      </c>
      <c r="BR369" s="22">
        <f>MONTH([1]!BANCO10[[#This Row],[DATA INÍCIO]])</f>
        <v>12</v>
      </c>
      <c r="BS369" s="23" t="e">
        <f>CONCATENATE(#REF!,#REF!)</f>
        <v>#REF!</v>
      </c>
      <c r="BT369" s="22"/>
      <c r="BU369" s="22"/>
      <c r="BV369" s="21" t="str">
        <f>IF([1]!BANCO10[[#This Row],[SOLUÇÃO]]=BV$1,[1]!BANCO10[[#This Row],[STATUS DA ETAPA]],"")</f>
        <v/>
      </c>
      <c r="BW369" s="21" t="str">
        <f>IF([1]!BANCO10[[#This Row],[SOLUÇÃO]]=BW$1,[1]!BANCO10[[#This Row],[STATUS DA ETAPA]],"")</f>
        <v/>
      </c>
      <c r="BX369" s="21" t="str">
        <f>IF([1]!BANCO10[[#This Row],[SOLUÇÃO]]=BX$1,[1]!BANCO10[[#This Row],[STATUS DA ETAPA]],"")</f>
        <v/>
      </c>
      <c r="BY369" s="21" t="str">
        <f>IF([1]!BANCO10[[#This Row],[SOLUÇÃO]]=BY$1,[1]!BANCO10[[#This Row],[STATUS DA ETAPA]],"")</f>
        <v/>
      </c>
      <c r="BZ369" s="21" t="str">
        <f>IF([1]!BANCO10[[#This Row],[SOLUÇÃO]]=BZ$1,[1]!BANCO10[[#This Row],[STATUS DA ETAPA]],"")</f>
        <v/>
      </c>
      <c r="CA369" s="21" t="str">
        <f>IF([1]!BANCO10[[#This Row],[SOLUÇÃO]]=CA$1,[1]!BANCO10[[#This Row],[STATUS DA ETAPA]],"")</f>
        <v/>
      </c>
      <c r="CB369" s="21" t="str">
        <f>IF([1]!BANCO10[[#This Row],[SOLUÇÃO]]=CB$1,[1]!BANCO10[[#This Row],[STATUS DA ETAPA]],"")</f>
        <v>AGUARDANDO SALDO</v>
      </c>
      <c r="CC369" s="21" t="str">
        <f>IF([1]!BANCO10[[#This Row],[SOLUÇÃO]]=CC$1,[1]!BANCO10[[#This Row],[STATUS DA ETAPA]],"")</f>
        <v/>
      </c>
      <c r="CD369" s="21" t="str">
        <f>IF([1]!BANCO10[[#This Row],[SOLUÇÃO]]=CD$1,[1]!BANCO10[[#This Row],[STATUS DA ETAPA]],"")</f>
        <v/>
      </c>
      <c r="CE369" s="21" t="str">
        <f>IF([1]!BANCO10[[#This Row],[SOLUÇÃO]]=CE$1,[1]!BANCO10[[#This Row],[STATUS DA ETAPA]],"")</f>
        <v/>
      </c>
      <c r="CF369" s="21" t="str">
        <f>IF([1]!BANCO10[[#This Row],[SOLUÇÃO]]=CF$1,[1]!BANCO10[[#This Row],[STATUS DA ETAPA]],"")</f>
        <v/>
      </c>
      <c r="CG369" s="21" t="str">
        <f>IF([1]!BANCO10[[#This Row],[SOLUÇÃO]]=CG$1,[1]!BANCO10[[#This Row],[STATUS DA ETAPA]],"")</f>
        <v/>
      </c>
      <c r="CH369" s="21" t="str">
        <f>IF([1]!BANCO10[[#This Row],[SOLUÇÃO]]=CH$1,[1]!BANCO10[[#This Row],[STATUS DA ETAPA]],"")</f>
        <v/>
      </c>
      <c r="CI369" s="21" t="str">
        <f>IF([1]!BANCO10[[#This Row],[SOLUÇÃO]]=CI$1,[1]!BANCO10[[#This Row],[STATUS DA ETAPA]],"")</f>
        <v/>
      </c>
      <c r="CJ369" s="21" t="str">
        <f>IF([1]!BANCO10[[#This Row],[SOLUÇÃO]]=CJ$1,[1]!BANCO10[[#This Row],[STATUS DA ETAPA]],"")</f>
        <v/>
      </c>
      <c r="CK369" s="21" t="str">
        <f>IF([1]!BANCO10[[#This Row],[SOLUÇÃO]]=CK$1,[1]!BANCO10[[#This Row],[STATUS DA ETAPA]],"")</f>
        <v/>
      </c>
      <c r="CL369" s="21" t="str">
        <f>IF([1]!BANCO10[[#This Row],[SOLUÇÃO]]=CL$1,[1]!BANCO10[[#This Row],[STATUS DA ETAPA]],"")</f>
        <v/>
      </c>
      <c r="CM369" s="21" t="str">
        <f>IF([1]!BANCO10[[#This Row],[SOLUÇÃO]]=CM$1,[1]!BANCO10[[#This Row],[STATUS DA ETAPA]],"")</f>
        <v/>
      </c>
      <c r="CN369" s="21" t="str">
        <f>IF([1]!BANCO10[[#This Row],[SOLUÇÃO]]=CN$1,[1]!BANCO10[[#This Row],[STATUS DA ETAPA]],"")</f>
        <v/>
      </c>
      <c r="CO369" s="21" t="str">
        <f>IF([1]!BANCO10[[#This Row],[SOLUÇÃO]]=CO$1,[1]!BANCO10[[#This Row],[STATUS DA ETAPA]],"")</f>
        <v/>
      </c>
      <c r="CP369" s="21" t="str">
        <f>IF([1]!BANCO10[[#This Row],[SOLUÇÃO]]=CP$1,[1]!BANCO10[[#This Row],[STATUS DA ETAPA]],"")</f>
        <v/>
      </c>
      <c r="CQ369" s="21" t="str">
        <f>IF([1]!BANCO10[[#This Row],[SOLUÇÃO]]=CQ$1,[1]!BANCO10[[#This Row],[STATUS DA ETAPA]],"")</f>
        <v/>
      </c>
      <c r="CR369" s="21" t="str">
        <f>IF([1]!BANCO10[[#This Row],[SOLUÇÃO]]=CR$1,[1]!BANCO10[[#This Row],[STATUS DA ETAPA]],"")</f>
        <v/>
      </c>
      <c r="CS369" s="21" t="str">
        <f>IF([1]!BANCO10[[#This Row],[SOLUÇÃO]]=CS$1,[1]!BANCO10[[#This Row],[STATUS DA ETAPA]],"")</f>
        <v/>
      </c>
      <c r="CT369" s="21" t="str">
        <f>IF([1]!BANCO10[[#This Row],[SOLUÇÃO]]=CT$1,[1]!BANCO10[[#This Row],[STATUS DA ETAPA]],"")</f>
        <v/>
      </c>
      <c r="CU369" s="21" t="str">
        <f>IF([1]!BANCO10[[#This Row],[SOLUÇÃO]]=CU$1,[1]!BANCO10[[#This Row],[STATUS DA ETAPA]],"")</f>
        <v/>
      </c>
      <c r="CV369" s="21" t="str">
        <f>IF([1]!BANCO10[[#This Row],[SOLUÇÃO]]=CV$1,[1]!BANCO10[[#This Row],[STATUS DA ETAPA]],"")</f>
        <v/>
      </c>
    </row>
    <row r="370" spans="1:100">
      <c r="A370" s="44" t="s">
        <v>1</v>
      </c>
      <c r="B370" s="44"/>
      <c r="C370" s="44" t="s">
        <v>1</v>
      </c>
      <c r="D370" s="44"/>
      <c r="E370" s="44" t="s">
        <v>1</v>
      </c>
      <c r="F370" s="44"/>
      <c r="G370" s="44" t="s">
        <v>1</v>
      </c>
      <c r="H370" s="44"/>
      <c r="I370" s="45" t="s">
        <v>1</v>
      </c>
      <c r="J370" s="46"/>
      <c r="K370" s="45" t="s">
        <v>1</v>
      </c>
      <c r="L370" s="33"/>
      <c r="M370" s="45" t="s">
        <v>1</v>
      </c>
      <c r="N370" s="33"/>
      <c r="O370" s="44" t="s">
        <v>2</v>
      </c>
      <c r="P370" s="44">
        <v>44830</v>
      </c>
      <c r="Q370" s="44" t="s">
        <v>0</v>
      </c>
      <c r="R370" s="44"/>
      <c r="S370" s="44" t="s">
        <v>1</v>
      </c>
      <c r="T370" s="44"/>
      <c r="U370" s="44" t="s">
        <v>1</v>
      </c>
      <c r="V370" s="44"/>
      <c r="W370" s="44" t="s">
        <v>1</v>
      </c>
      <c r="X370" s="44"/>
      <c r="Y370" s="44" t="s">
        <v>1</v>
      </c>
      <c r="Z370" s="44"/>
      <c r="AA370" s="44" t="s">
        <v>1</v>
      </c>
      <c r="AB370" s="44"/>
      <c r="AC370" s="84">
        <v>44830</v>
      </c>
      <c r="AD370" s="83">
        <v>44830</v>
      </c>
      <c r="AE370" s="40" t="s">
        <v>1</v>
      </c>
      <c r="AF370" s="40" t="s">
        <v>1</v>
      </c>
      <c r="AG370" s="76" t="s">
        <v>5</v>
      </c>
      <c r="AH370" s="36" t="s">
        <v>1</v>
      </c>
      <c r="AI370" s="49">
        <v>0</v>
      </c>
      <c r="AJ370" s="36" t="s">
        <v>1</v>
      </c>
      <c r="AK370" s="10" t="s">
        <v>1</v>
      </c>
      <c r="AL370" s="36" t="s">
        <v>1</v>
      </c>
      <c r="AM370" s="36" t="s">
        <v>1</v>
      </c>
      <c r="AN370" s="35" t="s">
        <v>1</v>
      </c>
      <c r="AO370" s="35" t="s">
        <v>1</v>
      </c>
      <c r="AP370" s="35" t="s">
        <v>1</v>
      </c>
      <c r="AQ370" s="35" t="s">
        <v>1</v>
      </c>
      <c r="AR370" s="48" t="s">
        <v>1</v>
      </c>
      <c r="AS370" s="33"/>
      <c r="AT370" s="32" t="s">
        <v>1</v>
      </c>
      <c r="AU370" s="31"/>
      <c r="AV370" s="32" t="s">
        <v>1</v>
      </c>
      <c r="AW370" s="31"/>
      <c r="AX370" s="30" t="s">
        <v>1</v>
      </c>
      <c r="AY370" s="55"/>
      <c r="AZ370" s="30" t="s">
        <v>1</v>
      </c>
      <c r="BA370" s="91"/>
      <c r="BB370" s="74" t="s">
        <v>521</v>
      </c>
      <c r="BC370" s="25"/>
      <c r="BD370" s="24" t="s">
        <v>19</v>
      </c>
      <c r="BE370" s="24" t="s">
        <v>19</v>
      </c>
      <c r="BF370" s="24" t="s">
        <v>51</v>
      </c>
      <c r="BG370" s="24" t="s">
        <v>11</v>
      </c>
      <c r="BH370" s="130" t="s">
        <v>19</v>
      </c>
      <c r="BI370" s="24"/>
      <c r="BJ370" s="24" t="s">
        <v>11</v>
      </c>
      <c r="BK370" s="24" t="s">
        <v>11</v>
      </c>
      <c r="BL370" s="24" t="s">
        <v>11</v>
      </c>
      <c r="BM370" s="24" t="s">
        <v>11</v>
      </c>
      <c r="BN370" s="24" t="s">
        <v>11</v>
      </c>
      <c r="BO370" s="24" t="s">
        <v>11</v>
      </c>
      <c r="BP370" s="24" t="s">
        <v>11</v>
      </c>
      <c r="BQ370" s="22">
        <f>YEAR([1]!BANCO10[[#This Row],[DATA INÍCIO]])</f>
        <v>2022</v>
      </c>
      <c r="BR370" s="22">
        <f>MONTH([1]!BANCO10[[#This Row],[DATA INÍCIO]])</f>
        <v>9</v>
      </c>
      <c r="BS370" s="129" t="e">
        <f>CONCATENATE(#REF!,#REF!)</f>
        <v>#REF!</v>
      </c>
      <c r="BT370" s="22"/>
      <c r="BU370" s="21" t="s">
        <v>522</v>
      </c>
      <c r="BV370" s="21" t="str">
        <f>IF([1]!BANCO10[[#This Row],[SOLUÇÃO]]=BV$1,[1]!BANCO10[[#This Row],[STATUS DA ETAPA]],"")</f>
        <v>CONCLUÍDO</v>
      </c>
      <c r="BW370" s="21" t="str">
        <f>IF([1]!BANCO10[[#This Row],[SOLUÇÃO]]=BW$1,[1]!BANCO10[[#This Row],[STATUS DA ETAPA]],"")</f>
        <v/>
      </c>
      <c r="BX370" s="21" t="str">
        <f>IF([1]!BANCO10[[#This Row],[SOLUÇÃO]]=BX$1,[1]!BANCO10[[#This Row],[STATUS DA ETAPA]],"")</f>
        <v/>
      </c>
      <c r="BY370" s="21" t="str">
        <f>IF([1]!BANCO10[[#This Row],[SOLUÇÃO]]=BY$1,[1]!BANCO10[[#This Row],[STATUS DA ETAPA]],"")</f>
        <v/>
      </c>
      <c r="BZ370" s="21" t="str">
        <f>IF([1]!BANCO10[[#This Row],[SOLUÇÃO]]=BZ$1,[1]!BANCO10[[#This Row],[STATUS DA ETAPA]],"")</f>
        <v/>
      </c>
      <c r="CA370" s="21" t="str">
        <f>IF([1]!BANCO10[[#This Row],[SOLUÇÃO]]=CA$1,[1]!BANCO10[[#This Row],[STATUS DA ETAPA]],"")</f>
        <v/>
      </c>
      <c r="CB370" s="21" t="str">
        <f>IF([1]!BANCO10[[#This Row],[SOLUÇÃO]]=CB$1,[1]!BANCO10[[#This Row],[STATUS DA ETAPA]],"")</f>
        <v/>
      </c>
      <c r="CC370" s="21" t="str">
        <f>IF([1]!BANCO10[[#This Row],[SOLUÇÃO]]=CC$1,[1]!BANCO10[[#This Row],[STATUS DA ETAPA]],"")</f>
        <v/>
      </c>
      <c r="CD370" s="21" t="str">
        <f>IF([1]!BANCO10[[#This Row],[SOLUÇÃO]]=CD$1,[1]!BANCO10[[#This Row],[STATUS DA ETAPA]],"")</f>
        <v/>
      </c>
      <c r="CE370" s="21" t="str">
        <f>IF([1]!BANCO10[[#This Row],[SOLUÇÃO]]=CE$1,[1]!BANCO10[[#This Row],[STATUS DA ETAPA]],"")</f>
        <v/>
      </c>
      <c r="CF370" s="21" t="str">
        <f>IF([1]!BANCO10[[#This Row],[SOLUÇÃO]]=CF$1,[1]!BANCO10[[#This Row],[STATUS DA ETAPA]],"")</f>
        <v/>
      </c>
      <c r="CG370" s="21" t="str">
        <f>IF([1]!BANCO10[[#This Row],[SOLUÇÃO]]=CG$1,[1]!BANCO10[[#This Row],[STATUS DA ETAPA]],"")</f>
        <v/>
      </c>
      <c r="CH370" s="21" t="str">
        <f>IF([1]!BANCO10[[#This Row],[SOLUÇÃO]]=CH$1,[1]!BANCO10[[#This Row],[STATUS DA ETAPA]],"")</f>
        <v/>
      </c>
      <c r="CI370" s="21" t="str">
        <f>IF([1]!BANCO10[[#This Row],[SOLUÇÃO]]=CI$1,[1]!BANCO10[[#This Row],[STATUS DA ETAPA]],"")</f>
        <v/>
      </c>
      <c r="CJ370" s="21" t="str">
        <f>IF([1]!BANCO10[[#This Row],[SOLUÇÃO]]=CJ$1,[1]!BANCO10[[#This Row],[STATUS DA ETAPA]],"")</f>
        <v/>
      </c>
      <c r="CK370" s="21" t="str">
        <f>IF([1]!BANCO10[[#This Row],[SOLUÇÃO]]=CK$1,[1]!BANCO10[[#This Row],[STATUS DA ETAPA]],"")</f>
        <v/>
      </c>
      <c r="CL370" s="21" t="str">
        <f>IF([1]!BANCO10[[#This Row],[SOLUÇÃO]]=CL$1,[1]!BANCO10[[#This Row],[STATUS DA ETAPA]],"")</f>
        <v/>
      </c>
      <c r="CM370" s="21" t="str">
        <f>IF([1]!BANCO10[[#This Row],[SOLUÇÃO]]=CM$1,[1]!BANCO10[[#This Row],[STATUS DA ETAPA]],"")</f>
        <v/>
      </c>
      <c r="CN370" s="21" t="str">
        <f>IF([1]!BANCO10[[#This Row],[SOLUÇÃO]]=CN$1,[1]!BANCO10[[#This Row],[STATUS DA ETAPA]],"")</f>
        <v/>
      </c>
      <c r="CO370" s="21" t="str">
        <f>IF([1]!BANCO10[[#This Row],[SOLUÇÃO]]=CO$1,[1]!BANCO10[[#This Row],[STATUS DA ETAPA]],"")</f>
        <v/>
      </c>
      <c r="CP370" s="21" t="str">
        <f>IF([1]!BANCO10[[#This Row],[SOLUÇÃO]]=CP$1,[1]!BANCO10[[#This Row],[STATUS DA ETAPA]],"")</f>
        <v/>
      </c>
      <c r="CQ370" s="21" t="str">
        <f>IF([1]!BANCO10[[#This Row],[SOLUÇÃO]]=CQ$1,[1]!BANCO10[[#This Row],[STATUS DA ETAPA]],"")</f>
        <v/>
      </c>
      <c r="CR370" s="21" t="str">
        <f>IF([1]!BANCO10[[#This Row],[SOLUÇÃO]]=CR$1,[1]!BANCO10[[#This Row],[STATUS DA ETAPA]],"")</f>
        <v/>
      </c>
      <c r="CS370" s="21" t="str">
        <f>IF([1]!BANCO10[[#This Row],[SOLUÇÃO]]=CS$1,[1]!BANCO10[[#This Row],[STATUS DA ETAPA]],"")</f>
        <v/>
      </c>
      <c r="CT370" s="21" t="str">
        <f>IF([1]!BANCO10[[#This Row],[SOLUÇÃO]]=CT$1,[1]!BANCO10[[#This Row],[STATUS DA ETAPA]],"")</f>
        <v/>
      </c>
      <c r="CU370" s="21" t="str">
        <f>IF([1]!BANCO10[[#This Row],[SOLUÇÃO]]=CU$1,[1]!BANCO10[[#This Row],[STATUS DA ETAPA]],"")</f>
        <v/>
      </c>
      <c r="CV370" s="21" t="str">
        <f>IF([1]!BANCO10[[#This Row],[SOLUÇÃO]]=CV$1,[1]!BANCO10[[#This Row],[STATUS DA ETAPA]],"")</f>
        <v/>
      </c>
    </row>
    <row r="371" spans="1:100">
      <c r="A371" s="44" t="s">
        <v>1</v>
      </c>
      <c r="B371" s="44"/>
      <c r="C371" s="44" t="s">
        <v>1</v>
      </c>
      <c r="D371" s="44"/>
      <c r="E371" s="44" t="s">
        <v>1</v>
      </c>
      <c r="F371" s="44"/>
      <c r="G371" s="44" t="s">
        <v>1</v>
      </c>
      <c r="H371" s="44"/>
      <c r="I371" s="45" t="s">
        <v>1</v>
      </c>
      <c r="J371" s="46"/>
      <c r="K371" s="45" t="s">
        <v>1</v>
      </c>
      <c r="L371" s="33"/>
      <c r="M371" s="45" t="s">
        <v>1</v>
      </c>
      <c r="N371" s="33"/>
      <c r="O371" s="44" t="s">
        <v>2</v>
      </c>
      <c r="P371" s="44">
        <v>44830</v>
      </c>
      <c r="Q371" s="44" t="s">
        <v>2</v>
      </c>
      <c r="R371" s="44">
        <v>45260</v>
      </c>
      <c r="S371" s="44"/>
      <c r="T371" s="44"/>
      <c r="U371" s="44"/>
      <c r="V371" s="44"/>
      <c r="W371" s="44"/>
      <c r="X371" s="44"/>
      <c r="Y371" s="44"/>
      <c r="Z371" s="44"/>
      <c r="AA371" s="44" t="s">
        <v>1</v>
      </c>
      <c r="AB371" s="44"/>
      <c r="AC371" s="51">
        <v>45963</v>
      </c>
      <c r="AD371" s="50">
        <v>45963</v>
      </c>
      <c r="AE371" s="41" t="s">
        <v>1</v>
      </c>
      <c r="AF371" s="41" t="s">
        <v>1</v>
      </c>
      <c r="AG371" s="76" t="s">
        <v>5</v>
      </c>
      <c r="AH371" s="36" t="s">
        <v>0</v>
      </c>
      <c r="AI371" s="49">
        <v>0</v>
      </c>
      <c r="AJ371" s="36"/>
      <c r="AK371" s="10" t="s">
        <v>30</v>
      </c>
      <c r="AL371" s="36" t="s">
        <v>30</v>
      </c>
      <c r="AM371" s="36" t="s">
        <v>30</v>
      </c>
      <c r="AN371" s="35" t="s">
        <v>1</v>
      </c>
      <c r="AO371" s="35" t="s">
        <v>1</v>
      </c>
      <c r="AP371" s="35"/>
      <c r="AQ371" s="35" t="s">
        <v>1</v>
      </c>
      <c r="AR371" s="34" t="s">
        <v>1</v>
      </c>
      <c r="AS371" s="33"/>
      <c r="AT371" s="32"/>
      <c r="AU371" s="31"/>
      <c r="AV371" s="32"/>
      <c r="AW371" s="31"/>
      <c r="AX371" s="30" t="s">
        <v>0</v>
      </c>
      <c r="AY371" s="29"/>
      <c r="AZ371" s="28" t="s">
        <v>0</v>
      </c>
      <c r="BA371" s="27"/>
      <c r="BB371" s="74" t="s">
        <v>521</v>
      </c>
      <c r="BC371" s="25"/>
      <c r="BD371" s="24" t="s">
        <v>19</v>
      </c>
      <c r="BE371" s="24" t="s">
        <v>19</v>
      </c>
      <c r="BF371" s="24" t="s">
        <v>51</v>
      </c>
      <c r="BG371" s="24" t="s">
        <v>11</v>
      </c>
      <c r="BH371" s="130" t="s">
        <v>19</v>
      </c>
      <c r="BI371" s="24"/>
      <c r="BJ371" s="24" t="s">
        <v>11</v>
      </c>
      <c r="BK371" s="24" t="s">
        <v>11</v>
      </c>
      <c r="BL371" s="24">
        <v>45393</v>
      </c>
      <c r="BM371" s="24"/>
      <c r="BN371" s="24" t="s">
        <v>11</v>
      </c>
      <c r="BO371" s="24"/>
      <c r="BP371" s="24" t="s">
        <v>520</v>
      </c>
      <c r="BQ371" s="22">
        <f>YEAR([1]!BANCO10[[#This Row],[DATA INÍCIO]])</f>
        <v>2025</v>
      </c>
      <c r="BR371" s="22">
        <f>MONTH([1]!BANCO10[[#This Row],[DATA INÍCIO]])</f>
        <v>11</v>
      </c>
      <c r="BS371" s="129" t="e">
        <f>CONCATENATE(#REF!,#REF!)</f>
        <v>#REF!</v>
      </c>
      <c r="BT371" s="22"/>
      <c r="BU371" s="21" t="s">
        <v>30</v>
      </c>
      <c r="BV371" s="21" t="str">
        <f>IF([1]!BANCO10[[#This Row],[SOLUÇÃO]]=BV$1,[1]!BANCO10[[#This Row],[STATUS DA ETAPA]],"")</f>
        <v/>
      </c>
      <c r="BW371" s="21" t="str">
        <f>IF([1]!BANCO10[[#This Row],[SOLUÇÃO]]=BW$1,[1]!BANCO10[[#This Row],[STATUS DA ETAPA]],"")</f>
        <v/>
      </c>
      <c r="BX371" s="21" t="str">
        <f>IF([1]!BANCO10[[#This Row],[SOLUÇÃO]]=BX$1,[1]!BANCO10[[#This Row],[STATUS DA ETAPA]],"")</f>
        <v/>
      </c>
      <c r="BY371" s="21" t="str">
        <f>IF([1]!BANCO10[[#This Row],[SOLUÇÃO]]=BY$1,[1]!BANCO10[[#This Row],[STATUS DA ETAPA]],"")</f>
        <v/>
      </c>
      <c r="BZ371" s="21" t="str">
        <f>IF([1]!BANCO10[[#This Row],[SOLUÇÃO]]=BZ$1,[1]!BANCO10[[#This Row],[STATUS DA ETAPA]],"")</f>
        <v/>
      </c>
      <c r="CA371" s="21" t="str">
        <f>IF([1]!BANCO10[[#This Row],[SOLUÇÃO]]=CA$1,[1]!BANCO10[[#This Row],[STATUS DA ETAPA]],"")</f>
        <v>PROSPECÇÃO</v>
      </c>
      <c r="CB371" s="21" t="str">
        <f>IF([1]!BANCO10[[#This Row],[SOLUÇÃO]]=CB$1,[1]!BANCO10[[#This Row],[STATUS DA ETAPA]],"")</f>
        <v/>
      </c>
      <c r="CC371" s="21" t="str">
        <f>IF([1]!BANCO10[[#This Row],[SOLUÇÃO]]=CC$1,[1]!BANCO10[[#This Row],[STATUS DA ETAPA]],"")</f>
        <v/>
      </c>
      <c r="CD371" s="21" t="str">
        <f>IF([1]!BANCO10[[#This Row],[SOLUÇÃO]]=CD$1,[1]!BANCO10[[#This Row],[STATUS DA ETAPA]],"")</f>
        <v/>
      </c>
      <c r="CE371" s="21" t="str">
        <f>IF([1]!BANCO10[[#This Row],[SOLUÇÃO]]=CE$1,[1]!BANCO10[[#This Row],[STATUS DA ETAPA]],"")</f>
        <v/>
      </c>
      <c r="CF371" s="21" t="str">
        <f>IF([1]!BANCO10[[#This Row],[SOLUÇÃO]]=CF$1,[1]!BANCO10[[#This Row],[STATUS DA ETAPA]],"")</f>
        <v/>
      </c>
      <c r="CG371" s="21" t="str">
        <f>IF([1]!BANCO10[[#This Row],[SOLUÇÃO]]=CG$1,[1]!BANCO10[[#This Row],[STATUS DA ETAPA]],"")</f>
        <v/>
      </c>
      <c r="CH371" s="21" t="str">
        <f>IF([1]!BANCO10[[#This Row],[SOLUÇÃO]]=CH$1,[1]!BANCO10[[#This Row],[STATUS DA ETAPA]],"")</f>
        <v/>
      </c>
      <c r="CI371" s="21" t="str">
        <f>IF([1]!BANCO10[[#This Row],[SOLUÇÃO]]=CI$1,[1]!BANCO10[[#This Row],[STATUS DA ETAPA]],"")</f>
        <v/>
      </c>
      <c r="CJ371" s="21" t="str">
        <f>IF([1]!BANCO10[[#This Row],[SOLUÇÃO]]=CJ$1,[1]!BANCO10[[#This Row],[STATUS DA ETAPA]],"")</f>
        <v/>
      </c>
      <c r="CK371" s="21" t="str">
        <f>IF([1]!BANCO10[[#This Row],[SOLUÇÃO]]=CK$1,[1]!BANCO10[[#This Row],[STATUS DA ETAPA]],"")</f>
        <v/>
      </c>
      <c r="CL371" s="21" t="str">
        <f>IF([1]!BANCO10[[#This Row],[SOLUÇÃO]]=CL$1,[1]!BANCO10[[#This Row],[STATUS DA ETAPA]],"")</f>
        <v/>
      </c>
      <c r="CM371" s="21" t="str">
        <f>IF([1]!BANCO10[[#This Row],[SOLUÇÃO]]=CM$1,[1]!BANCO10[[#This Row],[STATUS DA ETAPA]],"")</f>
        <v/>
      </c>
      <c r="CN371" s="21" t="str">
        <f>IF([1]!BANCO10[[#This Row],[SOLUÇÃO]]=CN$1,[1]!BANCO10[[#This Row],[STATUS DA ETAPA]],"")</f>
        <v/>
      </c>
      <c r="CO371" s="21" t="str">
        <f>IF([1]!BANCO10[[#This Row],[SOLUÇÃO]]=CO$1,[1]!BANCO10[[#This Row],[STATUS DA ETAPA]],"")</f>
        <v/>
      </c>
      <c r="CP371" s="21" t="str">
        <f>IF([1]!BANCO10[[#This Row],[SOLUÇÃO]]=CP$1,[1]!BANCO10[[#This Row],[STATUS DA ETAPA]],"")</f>
        <v/>
      </c>
      <c r="CQ371" s="21" t="str">
        <f>IF([1]!BANCO10[[#This Row],[SOLUÇÃO]]=CQ$1,[1]!BANCO10[[#This Row],[STATUS DA ETAPA]],"")</f>
        <v/>
      </c>
      <c r="CR371" s="21" t="str">
        <f>IF([1]!BANCO10[[#This Row],[SOLUÇÃO]]=CR$1,[1]!BANCO10[[#This Row],[STATUS DA ETAPA]],"")</f>
        <v/>
      </c>
      <c r="CS371" s="21" t="str">
        <f>IF([1]!BANCO10[[#This Row],[SOLUÇÃO]]=CS$1,[1]!BANCO10[[#This Row],[STATUS DA ETAPA]],"")</f>
        <v/>
      </c>
      <c r="CT371" s="21" t="str">
        <f>IF([1]!BANCO10[[#This Row],[SOLUÇÃO]]=CT$1,[1]!BANCO10[[#This Row],[STATUS DA ETAPA]],"")</f>
        <v/>
      </c>
      <c r="CU371" s="21" t="str">
        <f>IF([1]!BANCO10[[#This Row],[SOLUÇÃO]]=CU$1,[1]!BANCO10[[#This Row],[STATUS DA ETAPA]],"")</f>
        <v/>
      </c>
      <c r="CV371" s="21" t="str">
        <f>IF([1]!BANCO10[[#This Row],[SOLUÇÃO]]=CV$1,[1]!BANCO10[[#This Row],[STATUS DA ETAPA]],"")</f>
        <v/>
      </c>
    </row>
    <row r="372" spans="1:100">
      <c r="A372" s="44" t="s">
        <v>1</v>
      </c>
      <c r="B372" s="44"/>
      <c r="C372" s="44" t="s">
        <v>1</v>
      </c>
      <c r="D372" s="44"/>
      <c r="E372" s="44" t="s">
        <v>1</v>
      </c>
      <c r="F372" s="44"/>
      <c r="G372" s="44" t="s">
        <v>1</v>
      </c>
      <c r="H372" s="44"/>
      <c r="I372" s="45" t="s">
        <v>1</v>
      </c>
      <c r="J372" s="46"/>
      <c r="K372" s="45" t="s">
        <v>1</v>
      </c>
      <c r="L372" s="33"/>
      <c r="M372" s="45" t="s">
        <v>1</v>
      </c>
      <c r="N372" s="33"/>
      <c r="O372" s="44" t="s">
        <v>2</v>
      </c>
      <c r="P372" s="44">
        <v>44795</v>
      </c>
      <c r="Q372" s="44" t="s">
        <v>0</v>
      </c>
      <c r="R372" s="44"/>
      <c r="S372" s="44" t="s">
        <v>1</v>
      </c>
      <c r="T372" s="44"/>
      <c r="U372" s="44" t="s">
        <v>1</v>
      </c>
      <c r="V372" s="44"/>
      <c r="W372" s="44" t="s">
        <v>1</v>
      </c>
      <c r="X372" s="44"/>
      <c r="Y372" s="44" t="s">
        <v>1</v>
      </c>
      <c r="Z372" s="44"/>
      <c r="AA372" s="44" t="s">
        <v>1</v>
      </c>
      <c r="AB372" s="44"/>
      <c r="AC372" s="84">
        <v>44795</v>
      </c>
      <c r="AD372" s="83">
        <v>44795</v>
      </c>
      <c r="AE372" s="40" t="s">
        <v>1</v>
      </c>
      <c r="AF372" s="40" t="s">
        <v>1</v>
      </c>
      <c r="AG372" s="76" t="s">
        <v>5</v>
      </c>
      <c r="AH372" s="36" t="s">
        <v>1</v>
      </c>
      <c r="AI372" s="49">
        <v>0</v>
      </c>
      <c r="AJ372" s="36" t="s">
        <v>1</v>
      </c>
      <c r="AK372" s="10" t="s">
        <v>1</v>
      </c>
      <c r="AL372" s="36" t="s">
        <v>1</v>
      </c>
      <c r="AM372" s="36" t="s">
        <v>1</v>
      </c>
      <c r="AN372" s="35" t="s">
        <v>1</v>
      </c>
      <c r="AO372" s="35" t="s">
        <v>1</v>
      </c>
      <c r="AP372" s="35" t="s">
        <v>1</v>
      </c>
      <c r="AQ372" s="35" t="s">
        <v>1</v>
      </c>
      <c r="AR372" s="82" t="s">
        <v>1</v>
      </c>
      <c r="AS372" s="33"/>
      <c r="AT372" s="32" t="s">
        <v>1</v>
      </c>
      <c r="AU372" s="31"/>
      <c r="AV372" s="32" t="s">
        <v>1</v>
      </c>
      <c r="AW372" s="31"/>
      <c r="AX372" s="30" t="s">
        <v>1</v>
      </c>
      <c r="AY372" s="55"/>
      <c r="AZ372" s="30" t="s">
        <v>1</v>
      </c>
      <c r="BA372" s="55"/>
      <c r="BB372" s="74"/>
      <c r="BC372" s="25"/>
      <c r="BD372" s="24" t="s">
        <v>11</v>
      </c>
      <c r="BE372" s="24" t="s">
        <v>11</v>
      </c>
      <c r="BF372" s="24" t="s">
        <v>21</v>
      </c>
      <c r="BG372" s="24" t="s">
        <v>88</v>
      </c>
      <c r="BH372" s="130" t="s">
        <v>18</v>
      </c>
      <c r="BI372" s="24" t="s">
        <v>21</v>
      </c>
      <c r="BJ372" s="24" t="s">
        <v>11</v>
      </c>
      <c r="BK372" s="24" t="s">
        <v>11</v>
      </c>
      <c r="BL372" s="24" t="s">
        <v>11</v>
      </c>
      <c r="BM372" s="24" t="s">
        <v>11</v>
      </c>
      <c r="BN372" s="24" t="s">
        <v>11</v>
      </c>
      <c r="BO372" s="24" t="s">
        <v>11</v>
      </c>
      <c r="BP372" s="24" t="s">
        <v>11</v>
      </c>
      <c r="BQ372" s="22">
        <f>YEAR([1]!BANCO10[[#This Row],[DATA INÍCIO]])</f>
        <v>2022</v>
      </c>
      <c r="BR372" s="22">
        <f>MONTH([1]!BANCO10[[#This Row],[DATA INÍCIO]])</f>
        <v>8</v>
      </c>
      <c r="BS372" s="129" t="e">
        <f>CONCATENATE(#REF!,#REF!)</f>
        <v>#REF!</v>
      </c>
      <c r="BT372" s="22"/>
      <c r="BU372" s="21" t="s">
        <v>519</v>
      </c>
      <c r="BV372" s="21" t="str">
        <f>IF([1]!BANCO10[[#This Row],[SOLUÇÃO]]=BV$1,[1]!BANCO10[[#This Row],[STATUS DA ETAPA]],"")</f>
        <v>CONCLUÍDO</v>
      </c>
      <c r="BW372" s="21" t="str">
        <f>IF([1]!BANCO10[[#This Row],[SOLUÇÃO]]=BW$1,[1]!BANCO10[[#This Row],[STATUS DA ETAPA]],"")</f>
        <v/>
      </c>
      <c r="BX372" s="21" t="str">
        <f>IF([1]!BANCO10[[#This Row],[SOLUÇÃO]]=BX$1,[1]!BANCO10[[#This Row],[STATUS DA ETAPA]],"")</f>
        <v/>
      </c>
      <c r="BY372" s="21" t="str">
        <f>IF([1]!BANCO10[[#This Row],[SOLUÇÃO]]=BY$1,[1]!BANCO10[[#This Row],[STATUS DA ETAPA]],"")</f>
        <v/>
      </c>
      <c r="BZ372" s="21" t="str">
        <f>IF([1]!BANCO10[[#This Row],[SOLUÇÃO]]=BZ$1,[1]!BANCO10[[#This Row],[STATUS DA ETAPA]],"")</f>
        <v/>
      </c>
      <c r="CA372" s="21" t="str">
        <f>IF([1]!BANCO10[[#This Row],[SOLUÇÃO]]=CA$1,[1]!BANCO10[[#This Row],[STATUS DA ETAPA]],"")</f>
        <v/>
      </c>
      <c r="CB372" s="21" t="str">
        <f>IF([1]!BANCO10[[#This Row],[SOLUÇÃO]]=CB$1,[1]!BANCO10[[#This Row],[STATUS DA ETAPA]],"")</f>
        <v/>
      </c>
      <c r="CC372" s="21" t="str">
        <f>IF([1]!BANCO10[[#This Row],[SOLUÇÃO]]=CC$1,[1]!BANCO10[[#This Row],[STATUS DA ETAPA]],"")</f>
        <v/>
      </c>
      <c r="CD372" s="21" t="str">
        <f>IF([1]!BANCO10[[#This Row],[SOLUÇÃO]]=CD$1,[1]!BANCO10[[#This Row],[STATUS DA ETAPA]],"")</f>
        <v/>
      </c>
      <c r="CE372" s="21" t="str">
        <f>IF([1]!BANCO10[[#This Row],[SOLUÇÃO]]=CE$1,[1]!BANCO10[[#This Row],[STATUS DA ETAPA]],"")</f>
        <v/>
      </c>
      <c r="CF372" s="21" t="str">
        <f>IF([1]!BANCO10[[#This Row],[SOLUÇÃO]]=CF$1,[1]!BANCO10[[#This Row],[STATUS DA ETAPA]],"")</f>
        <v/>
      </c>
      <c r="CG372" s="21" t="str">
        <f>IF([1]!BANCO10[[#This Row],[SOLUÇÃO]]=CG$1,[1]!BANCO10[[#This Row],[STATUS DA ETAPA]],"")</f>
        <v/>
      </c>
      <c r="CH372" s="21" t="str">
        <f>IF([1]!BANCO10[[#This Row],[SOLUÇÃO]]=CH$1,[1]!BANCO10[[#This Row],[STATUS DA ETAPA]],"")</f>
        <v/>
      </c>
      <c r="CI372" s="21" t="str">
        <f>IF([1]!BANCO10[[#This Row],[SOLUÇÃO]]=CI$1,[1]!BANCO10[[#This Row],[STATUS DA ETAPA]],"")</f>
        <v/>
      </c>
      <c r="CJ372" s="21" t="str">
        <f>IF([1]!BANCO10[[#This Row],[SOLUÇÃO]]=CJ$1,[1]!BANCO10[[#This Row],[STATUS DA ETAPA]],"")</f>
        <v/>
      </c>
      <c r="CK372" s="21" t="str">
        <f>IF([1]!BANCO10[[#This Row],[SOLUÇÃO]]=CK$1,[1]!BANCO10[[#This Row],[STATUS DA ETAPA]],"")</f>
        <v/>
      </c>
      <c r="CL372" s="21" t="str">
        <f>IF([1]!BANCO10[[#This Row],[SOLUÇÃO]]=CL$1,[1]!BANCO10[[#This Row],[STATUS DA ETAPA]],"")</f>
        <v/>
      </c>
      <c r="CM372" s="21" t="str">
        <f>IF([1]!BANCO10[[#This Row],[SOLUÇÃO]]=CM$1,[1]!BANCO10[[#This Row],[STATUS DA ETAPA]],"")</f>
        <v/>
      </c>
      <c r="CN372" s="21" t="str">
        <f>IF([1]!BANCO10[[#This Row],[SOLUÇÃO]]=CN$1,[1]!BANCO10[[#This Row],[STATUS DA ETAPA]],"")</f>
        <v/>
      </c>
      <c r="CO372" s="21" t="str">
        <f>IF([1]!BANCO10[[#This Row],[SOLUÇÃO]]=CO$1,[1]!BANCO10[[#This Row],[STATUS DA ETAPA]],"")</f>
        <v/>
      </c>
      <c r="CP372" s="21" t="str">
        <f>IF([1]!BANCO10[[#This Row],[SOLUÇÃO]]=CP$1,[1]!BANCO10[[#This Row],[STATUS DA ETAPA]],"")</f>
        <v/>
      </c>
      <c r="CQ372" s="21" t="str">
        <f>IF([1]!BANCO10[[#This Row],[SOLUÇÃO]]=CQ$1,[1]!BANCO10[[#This Row],[STATUS DA ETAPA]],"")</f>
        <v/>
      </c>
      <c r="CR372" s="21" t="str">
        <f>IF([1]!BANCO10[[#This Row],[SOLUÇÃO]]=CR$1,[1]!BANCO10[[#This Row],[STATUS DA ETAPA]],"")</f>
        <v/>
      </c>
      <c r="CS372" s="21" t="str">
        <f>IF([1]!BANCO10[[#This Row],[SOLUÇÃO]]=CS$1,[1]!BANCO10[[#This Row],[STATUS DA ETAPA]],"")</f>
        <v/>
      </c>
      <c r="CT372" s="21" t="str">
        <f>IF([1]!BANCO10[[#This Row],[SOLUÇÃO]]=CT$1,[1]!BANCO10[[#This Row],[STATUS DA ETAPA]],"")</f>
        <v/>
      </c>
      <c r="CU372" s="21" t="str">
        <f>IF([1]!BANCO10[[#This Row],[SOLUÇÃO]]=CU$1,[1]!BANCO10[[#This Row],[STATUS DA ETAPA]],"")</f>
        <v/>
      </c>
      <c r="CV372" s="21" t="str">
        <f>IF([1]!BANCO10[[#This Row],[SOLUÇÃO]]=CV$1,[1]!BANCO10[[#This Row],[STATUS DA ETAPA]],"")</f>
        <v/>
      </c>
    </row>
    <row r="373" spans="1:100">
      <c r="A373" s="44" t="s">
        <v>1</v>
      </c>
      <c r="B373" s="44"/>
      <c r="C373" s="44" t="s">
        <v>1</v>
      </c>
      <c r="D373" s="44"/>
      <c r="E373" s="44" t="s">
        <v>1</v>
      </c>
      <c r="F373" s="44"/>
      <c r="G373" s="44" t="s">
        <v>1</v>
      </c>
      <c r="H373" s="44"/>
      <c r="I373" s="45" t="s">
        <v>1</v>
      </c>
      <c r="J373" s="46"/>
      <c r="K373" s="45" t="s">
        <v>1</v>
      </c>
      <c r="L373" s="33"/>
      <c r="M373" s="45" t="s">
        <v>1</v>
      </c>
      <c r="N373" s="33"/>
      <c r="O373" s="44" t="s">
        <v>2</v>
      </c>
      <c r="P373" s="44">
        <v>44795</v>
      </c>
      <c r="Q373" s="44" t="s">
        <v>2</v>
      </c>
      <c r="R373" s="44">
        <v>44797</v>
      </c>
      <c r="S373" s="44" t="s">
        <v>2</v>
      </c>
      <c r="T373" s="44">
        <v>44797</v>
      </c>
      <c r="U373" s="44"/>
      <c r="V373" s="44"/>
      <c r="W373" s="44" t="s">
        <v>2</v>
      </c>
      <c r="X373" s="44"/>
      <c r="Y373" s="44" t="s">
        <v>2</v>
      </c>
      <c r="Z373" s="44">
        <v>44803</v>
      </c>
      <c r="AA373" s="44" t="s">
        <v>2</v>
      </c>
      <c r="AB373" s="44"/>
      <c r="AC373" s="84">
        <v>44946</v>
      </c>
      <c r="AD373" s="83">
        <v>45002</v>
      </c>
      <c r="AE373" s="40" t="s">
        <v>2</v>
      </c>
      <c r="AF373" s="40" t="s">
        <v>2</v>
      </c>
      <c r="AG373" s="76" t="s">
        <v>5</v>
      </c>
      <c r="AH373" s="36" t="s">
        <v>0</v>
      </c>
      <c r="AI373" s="49">
        <v>0</v>
      </c>
      <c r="AJ373" s="36" t="s">
        <v>6</v>
      </c>
      <c r="AK373" s="10"/>
      <c r="AL373" s="36">
        <v>4728</v>
      </c>
      <c r="AM373" s="36"/>
      <c r="AN373" s="35" t="s">
        <v>1</v>
      </c>
      <c r="AO373" s="35" t="s">
        <v>1</v>
      </c>
      <c r="AP373" s="35" t="s">
        <v>2</v>
      </c>
      <c r="AQ373" s="35" t="s">
        <v>1</v>
      </c>
      <c r="AR373" s="34" t="s">
        <v>1</v>
      </c>
      <c r="AS373" s="33"/>
      <c r="AT373" s="32" t="s">
        <v>1</v>
      </c>
      <c r="AU373" s="31"/>
      <c r="AV373" s="32" t="s">
        <v>1</v>
      </c>
      <c r="AW373" s="31"/>
      <c r="AX373" s="30" t="s">
        <v>2</v>
      </c>
      <c r="AY373" s="55">
        <v>45048</v>
      </c>
      <c r="AZ373" s="30" t="s">
        <v>2</v>
      </c>
      <c r="BA373" s="55"/>
      <c r="BB373" s="74"/>
      <c r="BC373" s="25"/>
      <c r="BD373" s="24" t="s">
        <v>11</v>
      </c>
      <c r="BE373" s="24" t="s">
        <v>11</v>
      </c>
      <c r="BF373" s="24" t="s">
        <v>21</v>
      </c>
      <c r="BG373" s="24" t="s">
        <v>88</v>
      </c>
      <c r="BH373" s="130" t="s">
        <v>18</v>
      </c>
      <c r="BI373" s="24" t="s">
        <v>21</v>
      </c>
      <c r="BJ373" s="24" t="s">
        <v>11</v>
      </c>
      <c r="BK373" s="24" t="s">
        <v>11</v>
      </c>
      <c r="BL373" s="24" t="s">
        <v>11</v>
      </c>
      <c r="BM373" s="24" t="s">
        <v>11</v>
      </c>
      <c r="BN373" s="24" t="s">
        <v>11</v>
      </c>
      <c r="BO373" s="24" t="s">
        <v>11</v>
      </c>
      <c r="BP373" s="24" t="s">
        <v>11</v>
      </c>
      <c r="BQ373" s="22">
        <f>YEAR([1]!BANCO10[[#This Row],[DATA INÍCIO]])</f>
        <v>2023</v>
      </c>
      <c r="BR373" s="22">
        <f>MONTH([1]!BANCO10[[#This Row],[DATA INÍCIO]])</f>
        <v>1</v>
      </c>
      <c r="BS373" s="129" t="e">
        <f>CONCATENATE(#REF!,#REF!)</f>
        <v>#REF!</v>
      </c>
      <c r="BT373" s="22"/>
      <c r="BU373" s="21" t="s">
        <v>518</v>
      </c>
      <c r="BV373" s="21" t="str">
        <f>IF([1]!BANCO10[[#This Row],[SOLUÇÃO]]=BV$1,[1]!BANCO10[[#This Row],[STATUS DA ETAPA]],"")</f>
        <v/>
      </c>
      <c r="BW373" s="21" t="str">
        <f>IF([1]!BANCO10[[#This Row],[SOLUÇÃO]]=BW$1,[1]!BANCO10[[#This Row],[STATUS DA ETAPA]],"")</f>
        <v/>
      </c>
      <c r="BX373" s="21" t="str">
        <f>IF([1]!BANCO10[[#This Row],[SOLUÇÃO]]=BX$1,[1]!BANCO10[[#This Row],[STATUS DA ETAPA]],"")</f>
        <v/>
      </c>
      <c r="BY373" s="21" t="str">
        <f>IF([1]!BANCO10[[#This Row],[SOLUÇÃO]]=BY$1,[1]!BANCO10[[#This Row],[STATUS DA ETAPA]],"")</f>
        <v/>
      </c>
      <c r="BZ373" s="21" t="str">
        <f>IF([1]!BANCO10[[#This Row],[SOLUÇÃO]]=BZ$1,[1]!BANCO10[[#This Row],[STATUS DA ETAPA]],"")</f>
        <v/>
      </c>
      <c r="CA373" s="21" t="str">
        <f>IF([1]!BANCO10[[#This Row],[SOLUÇÃO]]=CA$1,[1]!BANCO10[[#This Row],[STATUS DA ETAPA]],"")</f>
        <v>CONCLUÍDO</v>
      </c>
      <c r="CB373" s="21" t="str">
        <f>IF([1]!BANCO10[[#This Row],[SOLUÇÃO]]=CB$1,[1]!BANCO10[[#This Row],[STATUS DA ETAPA]],"")</f>
        <v/>
      </c>
      <c r="CC373" s="21" t="str">
        <f>IF([1]!BANCO10[[#This Row],[SOLUÇÃO]]=CC$1,[1]!BANCO10[[#This Row],[STATUS DA ETAPA]],"")</f>
        <v/>
      </c>
      <c r="CD373" s="21" t="str">
        <f>IF([1]!BANCO10[[#This Row],[SOLUÇÃO]]=CD$1,[1]!BANCO10[[#This Row],[STATUS DA ETAPA]],"")</f>
        <v/>
      </c>
      <c r="CE373" s="21" t="str">
        <f>IF([1]!BANCO10[[#This Row],[SOLUÇÃO]]=CE$1,[1]!BANCO10[[#This Row],[STATUS DA ETAPA]],"")</f>
        <v/>
      </c>
      <c r="CF373" s="21" t="str">
        <f>IF([1]!BANCO10[[#This Row],[SOLUÇÃO]]=CF$1,[1]!BANCO10[[#This Row],[STATUS DA ETAPA]],"")</f>
        <v/>
      </c>
      <c r="CG373" s="21" t="str">
        <f>IF([1]!BANCO10[[#This Row],[SOLUÇÃO]]=CG$1,[1]!BANCO10[[#This Row],[STATUS DA ETAPA]],"")</f>
        <v/>
      </c>
      <c r="CH373" s="21" t="str">
        <f>IF([1]!BANCO10[[#This Row],[SOLUÇÃO]]=CH$1,[1]!BANCO10[[#This Row],[STATUS DA ETAPA]],"")</f>
        <v/>
      </c>
      <c r="CI373" s="21" t="str">
        <f>IF([1]!BANCO10[[#This Row],[SOLUÇÃO]]=CI$1,[1]!BANCO10[[#This Row],[STATUS DA ETAPA]],"")</f>
        <v/>
      </c>
      <c r="CJ373" s="21" t="str">
        <f>IF([1]!BANCO10[[#This Row],[SOLUÇÃO]]=CJ$1,[1]!BANCO10[[#This Row],[STATUS DA ETAPA]],"")</f>
        <v/>
      </c>
      <c r="CK373" s="21" t="str">
        <f>IF([1]!BANCO10[[#This Row],[SOLUÇÃO]]=CK$1,[1]!BANCO10[[#This Row],[STATUS DA ETAPA]],"")</f>
        <v/>
      </c>
      <c r="CL373" s="21" t="str">
        <f>IF([1]!BANCO10[[#This Row],[SOLUÇÃO]]=CL$1,[1]!BANCO10[[#This Row],[STATUS DA ETAPA]],"")</f>
        <v/>
      </c>
      <c r="CM373" s="21" t="str">
        <f>IF([1]!BANCO10[[#This Row],[SOLUÇÃO]]=CM$1,[1]!BANCO10[[#This Row],[STATUS DA ETAPA]],"")</f>
        <v/>
      </c>
      <c r="CN373" s="21" t="str">
        <f>IF([1]!BANCO10[[#This Row],[SOLUÇÃO]]=CN$1,[1]!BANCO10[[#This Row],[STATUS DA ETAPA]],"")</f>
        <v/>
      </c>
      <c r="CO373" s="21" t="str">
        <f>IF([1]!BANCO10[[#This Row],[SOLUÇÃO]]=CO$1,[1]!BANCO10[[#This Row],[STATUS DA ETAPA]],"")</f>
        <v/>
      </c>
      <c r="CP373" s="21" t="str">
        <f>IF([1]!BANCO10[[#This Row],[SOLUÇÃO]]=CP$1,[1]!BANCO10[[#This Row],[STATUS DA ETAPA]],"")</f>
        <v/>
      </c>
      <c r="CQ373" s="21" t="str">
        <f>IF([1]!BANCO10[[#This Row],[SOLUÇÃO]]=CQ$1,[1]!BANCO10[[#This Row],[STATUS DA ETAPA]],"")</f>
        <v/>
      </c>
      <c r="CR373" s="21" t="str">
        <f>IF([1]!BANCO10[[#This Row],[SOLUÇÃO]]=CR$1,[1]!BANCO10[[#This Row],[STATUS DA ETAPA]],"")</f>
        <v/>
      </c>
      <c r="CS373" s="21" t="str">
        <f>IF([1]!BANCO10[[#This Row],[SOLUÇÃO]]=CS$1,[1]!BANCO10[[#This Row],[STATUS DA ETAPA]],"")</f>
        <v/>
      </c>
      <c r="CT373" s="21" t="str">
        <f>IF([1]!BANCO10[[#This Row],[SOLUÇÃO]]=CT$1,[1]!BANCO10[[#This Row],[STATUS DA ETAPA]],"")</f>
        <v/>
      </c>
      <c r="CU373" s="21" t="str">
        <f>IF([1]!BANCO10[[#This Row],[SOLUÇÃO]]=CU$1,[1]!BANCO10[[#This Row],[STATUS DA ETAPA]],"")</f>
        <v/>
      </c>
      <c r="CV373" s="21" t="str">
        <f>IF([1]!BANCO10[[#This Row],[SOLUÇÃO]]=CV$1,[1]!BANCO10[[#This Row],[STATUS DA ETAPA]],"")</f>
        <v/>
      </c>
    </row>
    <row r="374" spans="1:100">
      <c r="A374" s="44" t="s">
        <v>1</v>
      </c>
      <c r="B374" s="44"/>
      <c r="C374" s="44" t="s">
        <v>1</v>
      </c>
      <c r="D374" s="44"/>
      <c r="E374" s="44" t="s">
        <v>1</v>
      </c>
      <c r="F374" s="44"/>
      <c r="G374" s="44" t="s">
        <v>1</v>
      </c>
      <c r="H374" s="44"/>
      <c r="I374" s="45" t="s">
        <v>1</v>
      </c>
      <c r="J374" s="46"/>
      <c r="K374" s="45" t="s">
        <v>1</v>
      </c>
      <c r="L374" s="33"/>
      <c r="M374" s="45" t="s">
        <v>1</v>
      </c>
      <c r="N374" s="33"/>
      <c r="O374" s="44" t="s">
        <v>2</v>
      </c>
      <c r="P374" s="44">
        <v>44795</v>
      </c>
      <c r="Q374" s="44" t="s">
        <v>2</v>
      </c>
      <c r="R374" s="44">
        <v>45371</v>
      </c>
      <c r="S374" s="44" t="s">
        <v>2</v>
      </c>
      <c r="T374" s="44">
        <v>45378</v>
      </c>
      <c r="U374" s="44" t="s">
        <v>2</v>
      </c>
      <c r="V374" s="44">
        <v>45378</v>
      </c>
      <c r="W374" s="44" t="s">
        <v>2</v>
      </c>
      <c r="X374" s="44"/>
      <c r="Y374" s="44" t="s">
        <v>2</v>
      </c>
      <c r="Z374" s="44">
        <v>45383</v>
      </c>
      <c r="AA374" s="44" t="s">
        <v>2</v>
      </c>
      <c r="AB374" s="44"/>
      <c r="AC374" s="51">
        <v>45419</v>
      </c>
      <c r="AD374" s="50">
        <v>45518</v>
      </c>
      <c r="AE374" s="40" t="s">
        <v>2</v>
      </c>
      <c r="AF374" s="40" t="s">
        <v>2</v>
      </c>
      <c r="AG374" s="76" t="s">
        <v>4</v>
      </c>
      <c r="AH374" s="36" t="s">
        <v>0</v>
      </c>
      <c r="AI374" s="49">
        <v>0</v>
      </c>
      <c r="AJ374" s="36" t="s">
        <v>6</v>
      </c>
      <c r="AK374" s="10">
        <v>0</v>
      </c>
      <c r="AL374" s="36">
        <v>4702</v>
      </c>
      <c r="AM374" s="36">
        <v>0</v>
      </c>
      <c r="AN374" s="35" t="s">
        <v>1</v>
      </c>
      <c r="AO374" s="35" t="s">
        <v>1</v>
      </c>
      <c r="AP374" s="35" t="s">
        <v>2</v>
      </c>
      <c r="AQ374" s="35" t="s">
        <v>1</v>
      </c>
      <c r="AR374" s="34" t="s">
        <v>1</v>
      </c>
      <c r="AS374" s="33"/>
      <c r="AT374" s="32" t="s">
        <v>1</v>
      </c>
      <c r="AU374" s="31"/>
      <c r="AV374" s="32" t="s">
        <v>1</v>
      </c>
      <c r="AW374" s="31"/>
      <c r="AX374" s="30" t="s">
        <v>2</v>
      </c>
      <c r="AY374" s="55">
        <v>45572</v>
      </c>
      <c r="AZ374" s="30" t="s">
        <v>0</v>
      </c>
      <c r="BA374" s="55"/>
      <c r="BB374" s="74"/>
      <c r="BC374" s="25"/>
      <c r="BD374" s="24" t="s">
        <v>11</v>
      </c>
      <c r="BE374" s="24" t="s">
        <v>11</v>
      </c>
      <c r="BF374" s="24" t="s">
        <v>21</v>
      </c>
      <c r="BG374" s="24" t="s">
        <v>88</v>
      </c>
      <c r="BH374" s="130" t="s">
        <v>18</v>
      </c>
      <c r="BI374" s="24" t="s">
        <v>21</v>
      </c>
      <c r="BJ374" s="24" t="s">
        <v>11</v>
      </c>
      <c r="BK374" s="24" t="s">
        <v>11</v>
      </c>
      <c r="BL374" s="24">
        <v>45389</v>
      </c>
      <c r="BM374" s="24" t="s">
        <v>18</v>
      </c>
      <c r="BN374" s="24" t="s">
        <v>11</v>
      </c>
      <c r="BO374" s="24"/>
      <c r="BP374" s="24" t="s">
        <v>86</v>
      </c>
      <c r="BQ374" s="22">
        <f>YEAR([1]!BANCO10[[#This Row],[DATA INÍCIO]])</f>
        <v>2024</v>
      </c>
      <c r="BR374" s="22">
        <f>MONTH([1]!BANCO10[[#This Row],[DATA INÍCIO]])</f>
        <v>5</v>
      </c>
      <c r="BS374" s="129" t="e">
        <f>CONCATENATE(#REF!,#REF!)</f>
        <v>#REF!</v>
      </c>
      <c r="BT374" s="22"/>
      <c r="BU374" s="21" t="s">
        <v>517</v>
      </c>
      <c r="BV374" s="21" t="str">
        <f>IF([1]!BANCO10[[#This Row],[SOLUÇÃO]]=BV$1,[1]!BANCO10[[#This Row],[STATUS DA ETAPA]],"")</f>
        <v/>
      </c>
      <c r="BW374" s="21" t="str">
        <f>IF([1]!BANCO10[[#This Row],[SOLUÇÃO]]=BW$1,[1]!BANCO10[[#This Row],[STATUS DA ETAPA]],"")</f>
        <v/>
      </c>
      <c r="BX374" s="21" t="str">
        <f>IF([1]!BANCO10[[#This Row],[SOLUÇÃO]]=BX$1,[1]!BANCO10[[#This Row],[STATUS DA ETAPA]],"")</f>
        <v>CONCLUÍDO</v>
      </c>
      <c r="BY374" s="21" t="str">
        <f>IF([1]!BANCO10[[#This Row],[SOLUÇÃO]]=BY$1,[1]!BANCO10[[#This Row],[STATUS DA ETAPA]],"")</f>
        <v/>
      </c>
      <c r="BZ374" s="21" t="str">
        <f>IF([1]!BANCO10[[#This Row],[SOLUÇÃO]]=BZ$1,[1]!BANCO10[[#This Row],[STATUS DA ETAPA]],"")</f>
        <v/>
      </c>
      <c r="CA374" s="21" t="str">
        <f>IF([1]!BANCO10[[#This Row],[SOLUÇÃO]]=CA$1,[1]!BANCO10[[#This Row],[STATUS DA ETAPA]],"")</f>
        <v/>
      </c>
      <c r="CB374" s="21" t="str">
        <f>IF([1]!BANCO10[[#This Row],[SOLUÇÃO]]=CB$1,[1]!BANCO10[[#This Row],[STATUS DA ETAPA]],"")</f>
        <v/>
      </c>
      <c r="CC374" s="21" t="str">
        <f>IF([1]!BANCO10[[#This Row],[SOLUÇÃO]]=CC$1,[1]!BANCO10[[#This Row],[STATUS DA ETAPA]],"")</f>
        <v/>
      </c>
      <c r="CD374" s="21" t="str">
        <f>IF([1]!BANCO10[[#This Row],[SOLUÇÃO]]=CD$1,[1]!BANCO10[[#This Row],[STATUS DA ETAPA]],"")</f>
        <v/>
      </c>
      <c r="CE374" s="21" t="str">
        <f>IF([1]!BANCO10[[#This Row],[SOLUÇÃO]]=CE$1,[1]!BANCO10[[#This Row],[STATUS DA ETAPA]],"")</f>
        <v/>
      </c>
      <c r="CF374" s="21" t="str">
        <f>IF([1]!BANCO10[[#This Row],[SOLUÇÃO]]=CF$1,[1]!BANCO10[[#This Row],[STATUS DA ETAPA]],"")</f>
        <v/>
      </c>
      <c r="CG374" s="21" t="str">
        <f>IF([1]!BANCO10[[#This Row],[SOLUÇÃO]]=CG$1,[1]!BANCO10[[#This Row],[STATUS DA ETAPA]],"")</f>
        <v/>
      </c>
      <c r="CH374" s="21" t="str">
        <f>IF([1]!BANCO10[[#This Row],[SOLUÇÃO]]=CH$1,[1]!BANCO10[[#This Row],[STATUS DA ETAPA]],"")</f>
        <v/>
      </c>
      <c r="CI374" s="21" t="str">
        <f>IF([1]!BANCO10[[#This Row],[SOLUÇÃO]]=CI$1,[1]!BANCO10[[#This Row],[STATUS DA ETAPA]],"")</f>
        <v/>
      </c>
      <c r="CJ374" s="21" t="str">
        <f>IF([1]!BANCO10[[#This Row],[SOLUÇÃO]]=CJ$1,[1]!BANCO10[[#This Row],[STATUS DA ETAPA]],"")</f>
        <v/>
      </c>
      <c r="CK374" s="21" t="str">
        <f>IF([1]!BANCO10[[#This Row],[SOLUÇÃO]]=CK$1,[1]!BANCO10[[#This Row],[STATUS DA ETAPA]],"")</f>
        <v/>
      </c>
      <c r="CL374" s="21" t="str">
        <f>IF([1]!BANCO10[[#This Row],[SOLUÇÃO]]=CL$1,[1]!BANCO10[[#This Row],[STATUS DA ETAPA]],"")</f>
        <v/>
      </c>
      <c r="CM374" s="21" t="str">
        <f>IF([1]!BANCO10[[#This Row],[SOLUÇÃO]]=CM$1,[1]!BANCO10[[#This Row],[STATUS DA ETAPA]],"")</f>
        <v/>
      </c>
      <c r="CN374" s="21" t="str">
        <f>IF([1]!BANCO10[[#This Row],[SOLUÇÃO]]=CN$1,[1]!BANCO10[[#This Row],[STATUS DA ETAPA]],"")</f>
        <v/>
      </c>
      <c r="CO374" s="21" t="str">
        <f>IF([1]!BANCO10[[#This Row],[SOLUÇÃO]]=CO$1,[1]!BANCO10[[#This Row],[STATUS DA ETAPA]],"")</f>
        <v/>
      </c>
      <c r="CP374" s="21" t="str">
        <f>IF([1]!BANCO10[[#This Row],[SOLUÇÃO]]=CP$1,[1]!BANCO10[[#This Row],[STATUS DA ETAPA]],"")</f>
        <v/>
      </c>
      <c r="CQ374" s="21" t="str">
        <f>IF([1]!BANCO10[[#This Row],[SOLUÇÃO]]=CQ$1,[1]!BANCO10[[#This Row],[STATUS DA ETAPA]],"")</f>
        <v/>
      </c>
      <c r="CR374" s="21" t="str">
        <f>IF([1]!BANCO10[[#This Row],[SOLUÇÃO]]=CR$1,[1]!BANCO10[[#This Row],[STATUS DA ETAPA]],"")</f>
        <v/>
      </c>
      <c r="CS374" s="21" t="str">
        <f>IF([1]!BANCO10[[#This Row],[SOLUÇÃO]]=CS$1,[1]!BANCO10[[#This Row],[STATUS DA ETAPA]],"")</f>
        <v/>
      </c>
      <c r="CT374" s="21" t="str">
        <f>IF([1]!BANCO10[[#This Row],[SOLUÇÃO]]=CT$1,[1]!BANCO10[[#This Row],[STATUS DA ETAPA]],"")</f>
        <v/>
      </c>
      <c r="CU374" s="21" t="str">
        <f>IF([1]!BANCO10[[#This Row],[SOLUÇÃO]]=CU$1,[1]!BANCO10[[#This Row],[STATUS DA ETAPA]],"")</f>
        <v/>
      </c>
      <c r="CV374" s="21" t="str">
        <f>IF([1]!BANCO10[[#This Row],[SOLUÇÃO]]=CV$1,[1]!BANCO10[[#This Row],[STATUS DA ETAPA]],"")</f>
        <v/>
      </c>
    </row>
    <row r="375" spans="1:100">
      <c r="A375" s="44" t="s">
        <v>2</v>
      </c>
      <c r="B375" s="44">
        <v>45383</v>
      </c>
      <c r="C375" s="44" t="s">
        <v>2</v>
      </c>
      <c r="D375" s="44">
        <v>45383</v>
      </c>
      <c r="E375" s="44" t="s">
        <v>2</v>
      </c>
      <c r="F375" s="44">
        <v>45383</v>
      </c>
      <c r="G375" s="44" t="s">
        <v>2</v>
      </c>
      <c r="H375" s="44">
        <v>45383</v>
      </c>
      <c r="I375" s="45" t="s">
        <v>2</v>
      </c>
      <c r="J375" s="46">
        <v>45536</v>
      </c>
      <c r="K375" s="45" t="s">
        <v>2</v>
      </c>
      <c r="L375" s="33">
        <v>45536</v>
      </c>
      <c r="M375" s="45" t="s">
        <v>2</v>
      </c>
      <c r="N375" s="33">
        <v>45536</v>
      </c>
      <c r="O375" s="44" t="s">
        <v>2</v>
      </c>
      <c r="P375" s="44">
        <v>45491</v>
      </c>
      <c r="Q375" s="44" t="s">
        <v>2</v>
      </c>
      <c r="R375" s="44">
        <v>45503</v>
      </c>
      <c r="S375" s="44" t="s">
        <v>2</v>
      </c>
      <c r="T375" s="44">
        <v>45536</v>
      </c>
      <c r="U375" s="44" t="s">
        <v>1</v>
      </c>
      <c r="V375" s="44"/>
      <c r="W375" s="44" t="s">
        <v>1</v>
      </c>
      <c r="X375" s="44"/>
      <c r="Y375" s="44" t="s">
        <v>1</v>
      </c>
      <c r="Z375" s="44"/>
      <c r="AA375" s="44" t="s">
        <v>1</v>
      </c>
      <c r="AB375" s="44"/>
      <c r="AC375" s="84">
        <v>45574</v>
      </c>
      <c r="AD375" s="83">
        <v>45726</v>
      </c>
      <c r="AE375" s="41" t="s">
        <v>2</v>
      </c>
      <c r="AF375" s="41" t="s">
        <v>2</v>
      </c>
      <c r="AG375" s="40" t="s">
        <v>5</v>
      </c>
      <c r="AH375" s="36" t="s">
        <v>0</v>
      </c>
      <c r="AI375" s="49">
        <v>20140</v>
      </c>
      <c r="AJ375" s="36" t="s">
        <v>6</v>
      </c>
      <c r="AK375" s="21">
        <v>566068</v>
      </c>
      <c r="AL375" s="36" t="s">
        <v>1</v>
      </c>
      <c r="AM375" s="36" t="s">
        <v>1</v>
      </c>
      <c r="AN375" s="35" t="s">
        <v>2</v>
      </c>
      <c r="AO375" s="35" t="s">
        <v>2</v>
      </c>
      <c r="AP375" s="35" t="s">
        <v>2</v>
      </c>
      <c r="AQ375" s="35" t="s">
        <v>2</v>
      </c>
      <c r="AR375" s="34" t="s">
        <v>2</v>
      </c>
      <c r="AS375" s="33">
        <v>45777</v>
      </c>
      <c r="AT375" s="32" t="s">
        <v>1</v>
      </c>
      <c r="AU375" s="31"/>
      <c r="AV375" s="32" t="s">
        <v>1</v>
      </c>
      <c r="AW375" s="31"/>
      <c r="AX375" s="30" t="s">
        <v>2</v>
      </c>
      <c r="AY375" s="31">
        <v>45777</v>
      </c>
      <c r="AZ375" s="28" t="s">
        <v>0</v>
      </c>
      <c r="BA375" s="27"/>
      <c r="BB375" s="74" t="s">
        <v>516</v>
      </c>
      <c r="BC375" s="25" t="s">
        <v>45</v>
      </c>
      <c r="BD375" s="24"/>
      <c r="BE375" s="24"/>
      <c r="BF375" s="24"/>
      <c r="BG375" s="24"/>
      <c r="BH375" s="130"/>
      <c r="BI375" s="24"/>
      <c r="BJ375" s="24"/>
      <c r="BK375" s="24"/>
      <c r="BL375" s="24"/>
      <c r="BM375" s="24"/>
      <c r="BN375" s="24"/>
      <c r="BO375" s="24"/>
      <c r="BP375" s="24" t="s">
        <v>284</v>
      </c>
      <c r="BQ375" s="22">
        <f>YEAR([1]!BANCO10[[#This Row],[DATA INÍCIO]])</f>
        <v>2024</v>
      </c>
      <c r="BR375" s="22">
        <f>MONTH([1]!BANCO10[[#This Row],[DATA INÍCIO]])</f>
        <v>10</v>
      </c>
      <c r="BS375" s="23" t="e">
        <f>CONCATENATE(#REF!,#REF!)</f>
        <v>#REF!</v>
      </c>
      <c r="BT375" s="22"/>
      <c r="BU375" s="97" t="s">
        <v>515</v>
      </c>
      <c r="BV375" s="21" t="str">
        <f>IF([1]!BANCO10[[#This Row],[SOLUÇÃO]]=BV$1,[1]!BANCO10[[#This Row],[STATUS DA ETAPA]],"")</f>
        <v/>
      </c>
      <c r="BW375" s="21" t="str">
        <f>IF([1]!BANCO10[[#This Row],[SOLUÇÃO]]=BW$1,[1]!BANCO10[[#This Row],[STATUS DA ETAPA]],"")</f>
        <v/>
      </c>
      <c r="BX375" s="21" t="str">
        <f>IF([1]!BANCO10[[#This Row],[SOLUÇÃO]]=BX$1,[1]!BANCO10[[#This Row],[STATUS DA ETAPA]],"")</f>
        <v/>
      </c>
      <c r="BY375" s="21" t="str">
        <f>IF([1]!BANCO10[[#This Row],[SOLUÇÃO]]=BY$1,[1]!BANCO10[[#This Row],[STATUS DA ETAPA]],"")</f>
        <v/>
      </c>
      <c r="BZ375" s="21" t="str">
        <f>IF([1]!BANCO10[[#This Row],[SOLUÇÃO]]=BZ$1,[1]!BANCO10[[#This Row],[STATUS DA ETAPA]],"")</f>
        <v/>
      </c>
      <c r="CA375" s="21" t="str">
        <f>IF([1]!BANCO10[[#This Row],[SOLUÇÃO]]=CA$1,[1]!BANCO10[[#This Row],[STATUS DA ETAPA]],"")</f>
        <v/>
      </c>
      <c r="CB375" s="21" t="str">
        <f>IF([1]!BANCO10[[#This Row],[SOLUÇÃO]]=CB$1,[1]!BANCO10[[#This Row],[STATUS DA ETAPA]],"")</f>
        <v>CONCLUÍDO</v>
      </c>
      <c r="CC375" s="21" t="str">
        <f>IF([1]!BANCO10[[#This Row],[SOLUÇÃO]]=CC$1,[1]!BANCO10[[#This Row],[STATUS DA ETAPA]],"")</f>
        <v/>
      </c>
      <c r="CD375" s="21" t="str">
        <f>IF([1]!BANCO10[[#This Row],[SOLUÇÃO]]=CD$1,[1]!BANCO10[[#This Row],[STATUS DA ETAPA]],"")</f>
        <v/>
      </c>
      <c r="CE375" s="21" t="str">
        <f>IF([1]!BANCO10[[#This Row],[SOLUÇÃO]]=CE$1,[1]!BANCO10[[#This Row],[STATUS DA ETAPA]],"")</f>
        <v/>
      </c>
      <c r="CF375" s="21" t="str">
        <f>IF([1]!BANCO10[[#This Row],[SOLUÇÃO]]=CF$1,[1]!BANCO10[[#This Row],[STATUS DA ETAPA]],"")</f>
        <v/>
      </c>
      <c r="CG375" s="21" t="str">
        <f>IF([1]!BANCO10[[#This Row],[SOLUÇÃO]]=CG$1,[1]!BANCO10[[#This Row],[STATUS DA ETAPA]],"")</f>
        <v/>
      </c>
      <c r="CH375" s="21" t="str">
        <f>IF([1]!BANCO10[[#This Row],[SOLUÇÃO]]=CH$1,[1]!BANCO10[[#This Row],[STATUS DA ETAPA]],"")</f>
        <v/>
      </c>
      <c r="CI375" s="21" t="str">
        <f>IF([1]!BANCO10[[#This Row],[SOLUÇÃO]]=CI$1,[1]!BANCO10[[#This Row],[STATUS DA ETAPA]],"")</f>
        <v/>
      </c>
      <c r="CJ375" s="21" t="str">
        <f>IF([1]!BANCO10[[#This Row],[SOLUÇÃO]]=CJ$1,[1]!BANCO10[[#This Row],[STATUS DA ETAPA]],"")</f>
        <v/>
      </c>
      <c r="CK375" s="21" t="str">
        <f>IF([1]!BANCO10[[#This Row],[SOLUÇÃO]]=CK$1,[1]!BANCO10[[#This Row],[STATUS DA ETAPA]],"")</f>
        <v/>
      </c>
      <c r="CL375" s="21" t="str">
        <f>IF([1]!BANCO10[[#This Row],[SOLUÇÃO]]=CL$1,[1]!BANCO10[[#This Row],[STATUS DA ETAPA]],"")</f>
        <v/>
      </c>
      <c r="CM375" s="21" t="str">
        <f>IF([1]!BANCO10[[#This Row],[SOLUÇÃO]]=CM$1,[1]!BANCO10[[#This Row],[STATUS DA ETAPA]],"")</f>
        <v/>
      </c>
      <c r="CN375" s="21" t="str">
        <f>IF([1]!BANCO10[[#This Row],[SOLUÇÃO]]=CN$1,[1]!BANCO10[[#This Row],[STATUS DA ETAPA]],"")</f>
        <v/>
      </c>
      <c r="CO375" s="21" t="str">
        <f>IF([1]!BANCO10[[#This Row],[SOLUÇÃO]]=CO$1,[1]!BANCO10[[#This Row],[STATUS DA ETAPA]],"")</f>
        <v/>
      </c>
      <c r="CP375" s="21" t="str">
        <f>IF([1]!BANCO10[[#This Row],[SOLUÇÃO]]=CP$1,[1]!BANCO10[[#This Row],[STATUS DA ETAPA]],"")</f>
        <v/>
      </c>
      <c r="CQ375" s="21" t="str">
        <f>IF([1]!BANCO10[[#This Row],[SOLUÇÃO]]=CQ$1,[1]!BANCO10[[#This Row],[STATUS DA ETAPA]],"")</f>
        <v/>
      </c>
      <c r="CR375" s="21" t="str">
        <f>IF([1]!BANCO10[[#This Row],[SOLUÇÃO]]=CR$1,[1]!BANCO10[[#This Row],[STATUS DA ETAPA]],"")</f>
        <v/>
      </c>
      <c r="CS375" s="21" t="str">
        <f>IF([1]!BANCO10[[#This Row],[SOLUÇÃO]]=CS$1,[1]!BANCO10[[#This Row],[STATUS DA ETAPA]],"")</f>
        <v/>
      </c>
      <c r="CT375" s="21" t="str">
        <f>IF([1]!BANCO10[[#This Row],[SOLUÇÃO]]=CT$1,[1]!BANCO10[[#This Row],[STATUS DA ETAPA]],"")</f>
        <v/>
      </c>
      <c r="CU375" s="21" t="str">
        <f>IF([1]!BANCO10[[#This Row],[SOLUÇÃO]]=CU$1,[1]!BANCO10[[#This Row],[STATUS DA ETAPA]],"")</f>
        <v/>
      </c>
      <c r="CV375" s="21" t="str">
        <f>IF([1]!BANCO10[[#This Row],[SOLUÇÃO]]=CV$1,[1]!BANCO10[[#This Row],[STATUS DA ETAPA]],"")</f>
        <v/>
      </c>
    </row>
    <row r="376" spans="1:100">
      <c r="A376" s="44" t="s">
        <v>1</v>
      </c>
      <c r="B376" s="44"/>
      <c r="C376" s="44" t="s">
        <v>1</v>
      </c>
      <c r="D376" s="44"/>
      <c r="E376" s="44" t="s">
        <v>1</v>
      </c>
      <c r="F376" s="44"/>
      <c r="G376" s="44" t="s">
        <v>1</v>
      </c>
      <c r="H376" s="44"/>
      <c r="I376" s="45" t="s">
        <v>1</v>
      </c>
      <c r="J376" s="46"/>
      <c r="K376" s="45" t="s">
        <v>1</v>
      </c>
      <c r="L376" s="33"/>
      <c r="M376" s="45" t="s">
        <v>1</v>
      </c>
      <c r="N376" s="33"/>
      <c r="O376" s="44" t="s">
        <v>1</v>
      </c>
      <c r="P376" s="44"/>
      <c r="Q376" s="44" t="s">
        <v>1</v>
      </c>
      <c r="R376" s="44" t="s">
        <v>1</v>
      </c>
      <c r="S376" s="44" t="s">
        <v>1</v>
      </c>
      <c r="T376" s="44"/>
      <c r="U376" s="44" t="s">
        <v>1</v>
      </c>
      <c r="V376" s="44"/>
      <c r="W376" s="44" t="s">
        <v>1</v>
      </c>
      <c r="X376" s="44"/>
      <c r="Y376" s="44" t="s">
        <v>1</v>
      </c>
      <c r="Z376" s="44"/>
      <c r="AA376" s="44" t="s">
        <v>1</v>
      </c>
      <c r="AB376" s="44"/>
      <c r="AC376" s="51">
        <v>45636</v>
      </c>
      <c r="AD376" s="50">
        <v>45636</v>
      </c>
      <c r="AE376" s="41" t="s">
        <v>1</v>
      </c>
      <c r="AF376" s="41" t="s">
        <v>1</v>
      </c>
      <c r="AG376" s="40" t="s">
        <v>4</v>
      </c>
      <c r="AH376" s="36" t="s">
        <v>0</v>
      </c>
      <c r="AI376" s="49">
        <v>0</v>
      </c>
      <c r="AJ376" s="36" t="s">
        <v>1</v>
      </c>
      <c r="AK376" s="10" t="s">
        <v>1</v>
      </c>
      <c r="AL376" s="36" t="s">
        <v>1</v>
      </c>
      <c r="AM376" s="36" t="s">
        <v>1</v>
      </c>
      <c r="AN376" s="35" t="s">
        <v>1</v>
      </c>
      <c r="AO376" s="35" t="s">
        <v>1</v>
      </c>
      <c r="AP376" s="35" t="s">
        <v>1</v>
      </c>
      <c r="AQ376" s="35" t="s">
        <v>2</v>
      </c>
      <c r="AR376" s="34" t="s">
        <v>0</v>
      </c>
      <c r="AS376" s="33"/>
      <c r="AT376" s="30" t="s">
        <v>0</v>
      </c>
      <c r="AU376" s="31"/>
      <c r="AV376" s="30" t="s">
        <v>0</v>
      </c>
      <c r="AW376" s="31"/>
      <c r="AX376" s="30" t="s">
        <v>0</v>
      </c>
      <c r="AY376" s="29"/>
      <c r="AZ376" s="28" t="s">
        <v>0</v>
      </c>
      <c r="BA376" s="27"/>
      <c r="BB376" s="26"/>
      <c r="BC376" s="25"/>
      <c r="BD376" s="24"/>
      <c r="BE376" s="24"/>
      <c r="BF376" s="24"/>
      <c r="BG376" s="24"/>
      <c r="BH376" s="24"/>
      <c r="BI376" s="24"/>
      <c r="BJ376" s="24"/>
      <c r="BK376" s="24"/>
      <c r="BL376" s="24"/>
      <c r="BM376" s="24"/>
      <c r="BN376" s="24"/>
      <c r="BO376" s="24"/>
      <c r="BP376" s="24"/>
      <c r="BQ376" s="22">
        <f>YEAR([1]!BANCO10[[#This Row],[DATA INÍCIO]])</f>
        <v>2024</v>
      </c>
      <c r="BR376" s="22">
        <f>MONTH([1]!BANCO10[[#This Row],[DATA INÍCIO]])</f>
        <v>12</v>
      </c>
      <c r="BS376" s="23" t="e">
        <f>CONCATENATE(#REF!,#REF!)</f>
        <v>#REF!</v>
      </c>
      <c r="BT376" s="22"/>
      <c r="BU376" s="22"/>
      <c r="BV376" s="21" t="str">
        <f>IF([1]!BANCO10[[#This Row],[SOLUÇÃO]]=BV$1,[1]!BANCO10[[#This Row],[STATUS DA ETAPA]],"")</f>
        <v/>
      </c>
      <c r="BW376" s="21" t="str">
        <f>IF([1]!BANCO10[[#This Row],[SOLUÇÃO]]=BW$1,[1]!BANCO10[[#This Row],[STATUS DA ETAPA]],"")</f>
        <v/>
      </c>
      <c r="BX376" s="21" t="str">
        <f>IF([1]!BANCO10[[#This Row],[SOLUÇÃO]]=BX$1,[1]!BANCO10[[#This Row],[STATUS DA ETAPA]],"")</f>
        <v/>
      </c>
      <c r="BY376" s="21" t="str">
        <f>IF([1]!BANCO10[[#This Row],[SOLUÇÃO]]=BY$1,[1]!BANCO10[[#This Row],[STATUS DA ETAPA]],"")</f>
        <v/>
      </c>
      <c r="BZ376" s="21" t="str">
        <f>IF([1]!BANCO10[[#This Row],[SOLUÇÃO]]=BZ$1,[1]!BANCO10[[#This Row],[STATUS DA ETAPA]],"")</f>
        <v/>
      </c>
      <c r="CA376" s="21" t="str">
        <f>IF([1]!BANCO10[[#This Row],[SOLUÇÃO]]=CA$1,[1]!BANCO10[[#This Row],[STATUS DA ETAPA]],"")</f>
        <v/>
      </c>
      <c r="CB376" s="21" t="str">
        <f>IF([1]!BANCO10[[#This Row],[SOLUÇÃO]]=CB$1,[1]!BANCO10[[#This Row],[STATUS DA ETAPA]],"")</f>
        <v/>
      </c>
      <c r="CC376" s="21" t="str">
        <f>IF([1]!BANCO10[[#This Row],[SOLUÇÃO]]=CC$1,[1]!BANCO10[[#This Row],[STATUS DA ETAPA]],"")</f>
        <v/>
      </c>
      <c r="CD376" s="21" t="str">
        <f>IF([1]!BANCO10[[#This Row],[SOLUÇÃO]]=CD$1,[1]!BANCO10[[#This Row],[STATUS DA ETAPA]],"")</f>
        <v/>
      </c>
      <c r="CE376" s="21" t="str">
        <f>IF([1]!BANCO10[[#This Row],[SOLUÇÃO]]=CE$1,[1]!BANCO10[[#This Row],[STATUS DA ETAPA]],"")</f>
        <v/>
      </c>
      <c r="CF376" s="21" t="str">
        <f>IF([1]!BANCO10[[#This Row],[SOLUÇÃO]]=CF$1,[1]!BANCO10[[#This Row],[STATUS DA ETAPA]],"")</f>
        <v/>
      </c>
      <c r="CG376" s="21" t="str">
        <f>IF([1]!BANCO10[[#This Row],[SOLUÇÃO]]=CG$1,[1]!BANCO10[[#This Row],[STATUS DA ETAPA]],"")</f>
        <v/>
      </c>
      <c r="CH376" s="21" t="str">
        <f>IF([1]!BANCO10[[#This Row],[SOLUÇÃO]]=CH$1,[1]!BANCO10[[#This Row],[STATUS DA ETAPA]],"")</f>
        <v/>
      </c>
      <c r="CI376" s="21" t="str">
        <f>IF([1]!BANCO10[[#This Row],[SOLUÇÃO]]=CI$1,[1]!BANCO10[[#This Row],[STATUS DA ETAPA]],"")</f>
        <v/>
      </c>
      <c r="CJ376" s="21" t="str">
        <f>IF([1]!BANCO10[[#This Row],[SOLUÇÃO]]=CJ$1,[1]!BANCO10[[#This Row],[STATUS DA ETAPA]],"")</f>
        <v/>
      </c>
      <c r="CK376" s="21" t="str">
        <f>IF([1]!BANCO10[[#This Row],[SOLUÇÃO]]=CK$1,[1]!BANCO10[[#This Row],[STATUS DA ETAPA]],"")</f>
        <v/>
      </c>
      <c r="CL376" s="21" t="str">
        <f>IF([1]!BANCO10[[#This Row],[SOLUÇÃO]]=CL$1,[1]!BANCO10[[#This Row],[STATUS DA ETAPA]],"")</f>
        <v/>
      </c>
      <c r="CM376" s="21" t="str">
        <f>IF([1]!BANCO10[[#This Row],[SOLUÇÃO]]=CM$1,[1]!BANCO10[[#This Row],[STATUS DA ETAPA]],"")</f>
        <v/>
      </c>
      <c r="CN376" s="21" t="str">
        <f>IF([1]!BANCO10[[#This Row],[SOLUÇÃO]]=CN$1,[1]!BANCO10[[#This Row],[STATUS DA ETAPA]],"")</f>
        <v/>
      </c>
      <c r="CO376" s="21" t="str">
        <f>IF([1]!BANCO10[[#This Row],[SOLUÇÃO]]=CO$1,[1]!BANCO10[[#This Row],[STATUS DA ETAPA]],"")</f>
        <v/>
      </c>
      <c r="CP376" s="21" t="str">
        <f>IF([1]!BANCO10[[#This Row],[SOLUÇÃO]]=CP$1,[1]!BANCO10[[#This Row],[STATUS DA ETAPA]],"")</f>
        <v/>
      </c>
      <c r="CQ376" s="21" t="str">
        <f>IF([1]!BANCO10[[#This Row],[SOLUÇÃO]]=CQ$1,[1]!BANCO10[[#This Row],[STATUS DA ETAPA]],"")</f>
        <v/>
      </c>
      <c r="CR376" s="21" t="str">
        <f>IF([1]!BANCO10[[#This Row],[SOLUÇÃO]]=CR$1,[1]!BANCO10[[#This Row],[STATUS DA ETAPA]],"")</f>
        <v/>
      </c>
      <c r="CS376" s="21" t="str">
        <f>IF([1]!BANCO10[[#This Row],[SOLUÇÃO]]=CS$1,[1]!BANCO10[[#This Row],[STATUS DA ETAPA]],"")</f>
        <v/>
      </c>
      <c r="CT376" s="21" t="str">
        <f>IF([1]!BANCO10[[#This Row],[SOLUÇÃO]]=CT$1,[1]!BANCO10[[#This Row],[STATUS DA ETAPA]],"")</f>
        <v/>
      </c>
      <c r="CU376" s="21" t="str">
        <f>IF([1]!BANCO10[[#This Row],[SOLUÇÃO]]=CU$1,[1]!BANCO10[[#This Row],[STATUS DA ETAPA]],"")</f>
        <v/>
      </c>
      <c r="CV376" s="21" t="str">
        <f>IF([1]!BANCO10[[#This Row],[SOLUÇÃO]]=CV$1,[1]!BANCO10[[#This Row],[STATUS DA ETAPA]],"")</f>
        <v/>
      </c>
    </row>
    <row r="377" spans="1:100">
      <c r="A377" s="44" t="s">
        <v>1</v>
      </c>
      <c r="B377" s="44"/>
      <c r="C377" s="44" t="s">
        <v>1</v>
      </c>
      <c r="D377" s="44"/>
      <c r="E377" s="44" t="s">
        <v>1</v>
      </c>
      <c r="F377" s="44"/>
      <c r="G377" s="44" t="s">
        <v>1</v>
      </c>
      <c r="H377" s="44"/>
      <c r="I377" s="45" t="s">
        <v>1</v>
      </c>
      <c r="J377" s="46"/>
      <c r="K377" s="45" t="s">
        <v>1</v>
      </c>
      <c r="L377" s="33"/>
      <c r="M377" s="45" t="s">
        <v>1</v>
      </c>
      <c r="N377" s="33"/>
      <c r="O377" s="44" t="s">
        <v>1</v>
      </c>
      <c r="P377" s="44"/>
      <c r="Q377" s="44" t="s">
        <v>1</v>
      </c>
      <c r="R377" s="44"/>
      <c r="S377" s="44" t="s">
        <v>1</v>
      </c>
      <c r="T377" s="44"/>
      <c r="U377" s="44" t="s">
        <v>1</v>
      </c>
      <c r="V377" s="44"/>
      <c r="W377" s="44" t="s">
        <v>1</v>
      </c>
      <c r="X377" s="44"/>
      <c r="Y377" s="44" t="s">
        <v>1</v>
      </c>
      <c r="Z377" s="44"/>
      <c r="AA377" s="44" t="s">
        <v>1</v>
      </c>
      <c r="AB377" s="44"/>
      <c r="AC377" s="51">
        <v>45413</v>
      </c>
      <c r="AD377" s="50">
        <v>45413</v>
      </c>
      <c r="AE377" s="40" t="s">
        <v>1</v>
      </c>
      <c r="AF377" s="40" t="s">
        <v>1</v>
      </c>
      <c r="AG377" s="76" t="s">
        <v>5</v>
      </c>
      <c r="AH377" s="36" t="s">
        <v>1</v>
      </c>
      <c r="AI377" s="49">
        <v>0</v>
      </c>
      <c r="AJ377" s="36" t="s">
        <v>1</v>
      </c>
      <c r="AK377" s="10" t="s">
        <v>1</v>
      </c>
      <c r="AL377" s="36" t="s">
        <v>1</v>
      </c>
      <c r="AM377" s="36" t="s">
        <v>1</v>
      </c>
      <c r="AN377" s="35" t="s">
        <v>1</v>
      </c>
      <c r="AO377" s="35" t="s">
        <v>1</v>
      </c>
      <c r="AP377" s="35" t="s">
        <v>1</v>
      </c>
      <c r="AQ377" s="35" t="s">
        <v>1</v>
      </c>
      <c r="AR377" s="82" t="s">
        <v>1</v>
      </c>
      <c r="AS377" s="33"/>
      <c r="AT377" s="32" t="s">
        <v>1</v>
      </c>
      <c r="AU377" s="31"/>
      <c r="AV377" s="32" t="s">
        <v>1</v>
      </c>
      <c r="AW377" s="31"/>
      <c r="AX377" s="30" t="s">
        <v>1</v>
      </c>
      <c r="AY377" s="55"/>
      <c r="AZ377" s="30" t="s">
        <v>1</v>
      </c>
      <c r="BA377" s="55"/>
      <c r="BB377" s="74"/>
      <c r="BC377" s="25"/>
      <c r="BD377" s="24"/>
      <c r="BE377" s="24"/>
      <c r="BF377" s="24"/>
      <c r="BG377" s="24"/>
      <c r="BH377" s="130"/>
      <c r="BI377" s="24"/>
      <c r="BJ377" s="24"/>
      <c r="BK377" s="24"/>
      <c r="BL377" s="24">
        <v>45390</v>
      </c>
      <c r="BM377" s="24"/>
      <c r="BN377" s="24" t="s">
        <v>11</v>
      </c>
      <c r="BO377" s="24"/>
      <c r="BP377" s="24" t="s">
        <v>44</v>
      </c>
      <c r="BQ377" s="22">
        <f>YEAR([1]!BANCO10[[#This Row],[DATA INÍCIO]])</f>
        <v>2024</v>
      </c>
      <c r="BR377" s="22">
        <f>MONTH([1]!BANCO10[[#This Row],[DATA INÍCIO]])</f>
        <v>5</v>
      </c>
      <c r="BS377" s="129" t="e">
        <f>CONCATENATE(#REF!,#REF!)</f>
        <v>#REF!</v>
      </c>
      <c r="BT377" s="22"/>
      <c r="BU377" s="21" t="s">
        <v>1</v>
      </c>
      <c r="BV377" s="21" t="str">
        <f>IF([1]!BANCO10[[#This Row],[SOLUÇÃO]]=BV$1,[1]!BANCO10[[#This Row],[STATUS DA ETAPA]],"")</f>
        <v>CONCLUÍDO</v>
      </c>
      <c r="BW377" s="21" t="str">
        <f>IF([1]!BANCO10[[#This Row],[SOLUÇÃO]]=BW$1,[1]!BANCO10[[#This Row],[STATUS DA ETAPA]],"")</f>
        <v/>
      </c>
      <c r="BX377" s="21" t="str">
        <f>IF([1]!BANCO10[[#This Row],[SOLUÇÃO]]=BX$1,[1]!BANCO10[[#This Row],[STATUS DA ETAPA]],"")</f>
        <v/>
      </c>
      <c r="BY377" s="21" t="str">
        <f>IF([1]!BANCO10[[#This Row],[SOLUÇÃO]]=BY$1,[1]!BANCO10[[#This Row],[STATUS DA ETAPA]],"")</f>
        <v/>
      </c>
      <c r="BZ377" s="21" t="str">
        <f>IF([1]!BANCO10[[#This Row],[SOLUÇÃO]]=BZ$1,[1]!BANCO10[[#This Row],[STATUS DA ETAPA]],"")</f>
        <v/>
      </c>
      <c r="CA377" s="21" t="str">
        <f>IF([1]!BANCO10[[#This Row],[SOLUÇÃO]]=CA$1,[1]!BANCO10[[#This Row],[STATUS DA ETAPA]],"")</f>
        <v/>
      </c>
      <c r="CB377" s="21" t="str">
        <f>IF([1]!BANCO10[[#This Row],[SOLUÇÃO]]=CB$1,[1]!BANCO10[[#This Row],[STATUS DA ETAPA]],"")</f>
        <v/>
      </c>
      <c r="CC377" s="21" t="str">
        <f>IF([1]!BANCO10[[#This Row],[SOLUÇÃO]]=CC$1,[1]!BANCO10[[#This Row],[STATUS DA ETAPA]],"")</f>
        <v/>
      </c>
      <c r="CD377" s="21" t="str">
        <f>IF([1]!BANCO10[[#This Row],[SOLUÇÃO]]=CD$1,[1]!BANCO10[[#This Row],[STATUS DA ETAPA]],"")</f>
        <v/>
      </c>
      <c r="CE377" s="21" t="str">
        <f>IF([1]!BANCO10[[#This Row],[SOLUÇÃO]]=CE$1,[1]!BANCO10[[#This Row],[STATUS DA ETAPA]],"")</f>
        <v/>
      </c>
      <c r="CF377" s="21" t="str">
        <f>IF([1]!BANCO10[[#This Row],[SOLUÇÃO]]=CF$1,[1]!BANCO10[[#This Row],[STATUS DA ETAPA]],"")</f>
        <v/>
      </c>
      <c r="CG377" s="21" t="str">
        <f>IF([1]!BANCO10[[#This Row],[SOLUÇÃO]]=CG$1,[1]!BANCO10[[#This Row],[STATUS DA ETAPA]],"")</f>
        <v/>
      </c>
      <c r="CH377" s="21" t="str">
        <f>IF([1]!BANCO10[[#This Row],[SOLUÇÃO]]=CH$1,[1]!BANCO10[[#This Row],[STATUS DA ETAPA]],"")</f>
        <v/>
      </c>
      <c r="CI377" s="21" t="str">
        <f>IF([1]!BANCO10[[#This Row],[SOLUÇÃO]]=CI$1,[1]!BANCO10[[#This Row],[STATUS DA ETAPA]],"")</f>
        <v/>
      </c>
      <c r="CJ377" s="21" t="str">
        <f>IF([1]!BANCO10[[#This Row],[SOLUÇÃO]]=CJ$1,[1]!BANCO10[[#This Row],[STATUS DA ETAPA]],"")</f>
        <v/>
      </c>
      <c r="CK377" s="21" t="str">
        <f>IF([1]!BANCO10[[#This Row],[SOLUÇÃO]]=CK$1,[1]!BANCO10[[#This Row],[STATUS DA ETAPA]],"")</f>
        <v/>
      </c>
      <c r="CL377" s="21" t="str">
        <f>IF([1]!BANCO10[[#This Row],[SOLUÇÃO]]=CL$1,[1]!BANCO10[[#This Row],[STATUS DA ETAPA]],"")</f>
        <v/>
      </c>
      <c r="CM377" s="21" t="str">
        <f>IF([1]!BANCO10[[#This Row],[SOLUÇÃO]]=CM$1,[1]!BANCO10[[#This Row],[STATUS DA ETAPA]],"")</f>
        <v/>
      </c>
      <c r="CN377" s="21" t="str">
        <f>IF([1]!BANCO10[[#This Row],[SOLUÇÃO]]=CN$1,[1]!BANCO10[[#This Row],[STATUS DA ETAPA]],"")</f>
        <v/>
      </c>
      <c r="CO377" s="21" t="str">
        <f>IF([1]!BANCO10[[#This Row],[SOLUÇÃO]]=CO$1,[1]!BANCO10[[#This Row],[STATUS DA ETAPA]],"")</f>
        <v/>
      </c>
      <c r="CP377" s="21" t="str">
        <f>IF([1]!BANCO10[[#This Row],[SOLUÇÃO]]=CP$1,[1]!BANCO10[[#This Row],[STATUS DA ETAPA]],"")</f>
        <v/>
      </c>
      <c r="CQ377" s="21" t="str">
        <f>IF([1]!BANCO10[[#This Row],[SOLUÇÃO]]=CQ$1,[1]!BANCO10[[#This Row],[STATUS DA ETAPA]],"")</f>
        <v/>
      </c>
      <c r="CR377" s="21" t="str">
        <f>IF([1]!BANCO10[[#This Row],[SOLUÇÃO]]=CR$1,[1]!BANCO10[[#This Row],[STATUS DA ETAPA]],"")</f>
        <v/>
      </c>
      <c r="CS377" s="21" t="str">
        <f>IF([1]!BANCO10[[#This Row],[SOLUÇÃO]]=CS$1,[1]!BANCO10[[#This Row],[STATUS DA ETAPA]],"")</f>
        <v/>
      </c>
      <c r="CT377" s="21" t="str">
        <f>IF([1]!BANCO10[[#This Row],[SOLUÇÃO]]=CT$1,[1]!BANCO10[[#This Row],[STATUS DA ETAPA]],"")</f>
        <v/>
      </c>
      <c r="CU377" s="21" t="str">
        <f>IF([1]!BANCO10[[#This Row],[SOLUÇÃO]]=CU$1,[1]!BANCO10[[#This Row],[STATUS DA ETAPA]],"")</f>
        <v/>
      </c>
      <c r="CV377" s="21" t="str">
        <f>IF([1]!BANCO10[[#This Row],[SOLUÇÃO]]=CV$1,[1]!BANCO10[[#This Row],[STATUS DA ETAPA]],"")</f>
        <v/>
      </c>
    </row>
    <row r="378" spans="1:100">
      <c r="A378" s="44" t="s">
        <v>1</v>
      </c>
      <c r="B378" s="44"/>
      <c r="C378" s="44" t="s">
        <v>1</v>
      </c>
      <c r="D378" s="44"/>
      <c r="E378" s="44" t="s">
        <v>1</v>
      </c>
      <c r="F378" s="44"/>
      <c r="G378" s="44" t="s">
        <v>1</v>
      </c>
      <c r="H378" s="44"/>
      <c r="I378" s="45" t="s">
        <v>1</v>
      </c>
      <c r="J378" s="46"/>
      <c r="K378" s="45" t="s">
        <v>1</v>
      </c>
      <c r="L378" s="33"/>
      <c r="M378" s="45" t="s">
        <v>1</v>
      </c>
      <c r="N378" s="33"/>
      <c r="O378" s="44" t="s">
        <v>1</v>
      </c>
      <c r="P378" s="44"/>
      <c r="Q378" s="44" t="s">
        <v>1</v>
      </c>
      <c r="R378" s="44"/>
      <c r="S378" s="44" t="s">
        <v>1</v>
      </c>
      <c r="T378" s="44"/>
      <c r="U378" s="44" t="s">
        <v>1</v>
      </c>
      <c r="V378" s="44"/>
      <c r="W378" s="44" t="s">
        <v>1</v>
      </c>
      <c r="X378" s="44"/>
      <c r="Y378" s="44" t="s">
        <v>1</v>
      </c>
      <c r="Z378" s="44"/>
      <c r="AA378" s="44" t="s">
        <v>1</v>
      </c>
      <c r="AB378" s="44"/>
      <c r="AC378" s="51">
        <v>45505</v>
      </c>
      <c r="AD378" s="50">
        <v>45505</v>
      </c>
      <c r="AE378" s="41" t="s">
        <v>1</v>
      </c>
      <c r="AF378" s="41" t="s">
        <v>1</v>
      </c>
      <c r="AG378" s="40" t="s">
        <v>5</v>
      </c>
      <c r="AH378" s="36" t="s">
        <v>1</v>
      </c>
      <c r="AI378" s="49">
        <v>0</v>
      </c>
      <c r="AJ378" s="36" t="s">
        <v>1</v>
      </c>
      <c r="AK378" s="10" t="s">
        <v>1</v>
      </c>
      <c r="AL378" s="36" t="s">
        <v>1</v>
      </c>
      <c r="AM378" s="36" t="s">
        <v>1</v>
      </c>
      <c r="AN378" s="35" t="s">
        <v>1</v>
      </c>
      <c r="AO378" s="35" t="s">
        <v>1</v>
      </c>
      <c r="AP378" s="35" t="s">
        <v>1</v>
      </c>
      <c r="AQ378" s="35" t="s">
        <v>1</v>
      </c>
      <c r="AR378" s="82" t="s">
        <v>1</v>
      </c>
      <c r="AS378" s="33"/>
      <c r="AT378" s="30"/>
      <c r="AU378" s="55"/>
      <c r="AV378" s="30"/>
      <c r="AW378" s="55"/>
      <c r="AX378" s="30" t="s">
        <v>1</v>
      </c>
      <c r="AY378" s="55"/>
      <c r="AZ378" s="30" t="s">
        <v>1</v>
      </c>
      <c r="BA378" s="55"/>
      <c r="BB378" s="74" t="s">
        <v>514</v>
      </c>
      <c r="BC378" s="25" t="s">
        <v>41</v>
      </c>
      <c r="BD378" s="24"/>
      <c r="BE378" s="24"/>
      <c r="BF378" s="24"/>
      <c r="BG378" s="24"/>
      <c r="BH378" s="130"/>
      <c r="BI378" s="24"/>
      <c r="BJ378" s="24"/>
      <c r="BK378" s="24"/>
      <c r="BL378" s="24"/>
      <c r="BM378" s="24"/>
      <c r="BN378" s="24"/>
      <c r="BO378" s="24"/>
      <c r="BP378" s="24"/>
      <c r="BQ378" s="22">
        <f>YEAR([1]!BANCO10[[#This Row],[DATA INÍCIO]])</f>
        <v>2024</v>
      </c>
      <c r="BR378" s="22">
        <f>MONTH([1]!BANCO10[[#This Row],[DATA INÍCIO]])</f>
        <v>8</v>
      </c>
      <c r="BS378" s="23" t="e">
        <f>CONCATENATE(#REF!,#REF!)</f>
        <v>#REF!</v>
      </c>
      <c r="BT378" s="22"/>
      <c r="BU378" s="97" t="s">
        <v>513</v>
      </c>
      <c r="BV378" s="21" t="str">
        <f>IF([1]!BANCO10[[#This Row],[SOLUÇÃO]]=BV$1,[1]!BANCO10[[#This Row],[STATUS DA ETAPA]],"")</f>
        <v>CONCLUÍDO</v>
      </c>
      <c r="BW378" s="21" t="str">
        <f>IF([1]!BANCO10[[#This Row],[SOLUÇÃO]]=BW$1,[1]!BANCO10[[#This Row],[STATUS DA ETAPA]],"")</f>
        <v/>
      </c>
      <c r="BX378" s="21" t="str">
        <f>IF([1]!BANCO10[[#This Row],[SOLUÇÃO]]=BX$1,[1]!BANCO10[[#This Row],[STATUS DA ETAPA]],"")</f>
        <v/>
      </c>
      <c r="BY378" s="21" t="str">
        <f>IF([1]!BANCO10[[#This Row],[SOLUÇÃO]]=BY$1,[1]!BANCO10[[#This Row],[STATUS DA ETAPA]],"")</f>
        <v/>
      </c>
      <c r="BZ378" s="21" t="str">
        <f>IF([1]!BANCO10[[#This Row],[SOLUÇÃO]]=BZ$1,[1]!BANCO10[[#This Row],[STATUS DA ETAPA]],"")</f>
        <v/>
      </c>
      <c r="CA378" s="21" t="str">
        <f>IF([1]!BANCO10[[#This Row],[SOLUÇÃO]]=CA$1,[1]!BANCO10[[#This Row],[STATUS DA ETAPA]],"")</f>
        <v/>
      </c>
      <c r="CB378" s="21" t="str">
        <f>IF([1]!BANCO10[[#This Row],[SOLUÇÃO]]=CB$1,[1]!BANCO10[[#This Row],[STATUS DA ETAPA]],"")</f>
        <v/>
      </c>
      <c r="CC378" s="21" t="str">
        <f>IF([1]!BANCO10[[#This Row],[SOLUÇÃO]]=CC$1,[1]!BANCO10[[#This Row],[STATUS DA ETAPA]],"")</f>
        <v/>
      </c>
      <c r="CD378" s="21" t="str">
        <f>IF([1]!BANCO10[[#This Row],[SOLUÇÃO]]=CD$1,[1]!BANCO10[[#This Row],[STATUS DA ETAPA]],"")</f>
        <v/>
      </c>
      <c r="CE378" s="21" t="str">
        <f>IF([1]!BANCO10[[#This Row],[SOLUÇÃO]]=CE$1,[1]!BANCO10[[#This Row],[STATUS DA ETAPA]],"")</f>
        <v/>
      </c>
      <c r="CF378" s="21" t="str">
        <f>IF([1]!BANCO10[[#This Row],[SOLUÇÃO]]=CF$1,[1]!BANCO10[[#This Row],[STATUS DA ETAPA]],"")</f>
        <v/>
      </c>
      <c r="CG378" s="21" t="str">
        <f>IF([1]!BANCO10[[#This Row],[SOLUÇÃO]]=CG$1,[1]!BANCO10[[#This Row],[STATUS DA ETAPA]],"")</f>
        <v/>
      </c>
      <c r="CH378" s="21" t="str">
        <f>IF([1]!BANCO10[[#This Row],[SOLUÇÃO]]=CH$1,[1]!BANCO10[[#This Row],[STATUS DA ETAPA]],"")</f>
        <v/>
      </c>
      <c r="CI378" s="21" t="str">
        <f>IF([1]!BANCO10[[#This Row],[SOLUÇÃO]]=CI$1,[1]!BANCO10[[#This Row],[STATUS DA ETAPA]],"")</f>
        <v/>
      </c>
      <c r="CJ378" s="21" t="str">
        <f>IF([1]!BANCO10[[#This Row],[SOLUÇÃO]]=CJ$1,[1]!BANCO10[[#This Row],[STATUS DA ETAPA]],"")</f>
        <v/>
      </c>
      <c r="CK378" s="21" t="str">
        <f>IF([1]!BANCO10[[#This Row],[SOLUÇÃO]]=CK$1,[1]!BANCO10[[#This Row],[STATUS DA ETAPA]],"")</f>
        <v/>
      </c>
      <c r="CL378" s="21" t="str">
        <f>IF([1]!BANCO10[[#This Row],[SOLUÇÃO]]=CL$1,[1]!BANCO10[[#This Row],[STATUS DA ETAPA]],"")</f>
        <v/>
      </c>
      <c r="CM378" s="21" t="str">
        <f>IF([1]!BANCO10[[#This Row],[SOLUÇÃO]]=CM$1,[1]!BANCO10[[#This Row],[STATUS DA ETAPA]],"")</f>
        <v/>
      </c>
      <c r="CN378" s="21" t="str">
        <f>IF([1]!BANCO10[[#This Row],[SOLUÇÃO]]=CN$1,[1]!BANCO10[[#This Row],[STATUS DA ETAPA]],"")</f>
        <v/>
      </c>
      <c r="CO378" s="21" t="str">
        <f>IF([1]!BANCO10[[#This Row],[SOLUÇÃO]]=CO$1,[1]!BANCO10[[#This Row],[STATUS DA ETAPA]],"")</f>
        <v/>
      </c>
      <c r="CP378" s="21" t="str">
        <f>IF([1]!BANCO10[[#This Row],[SOLUÇÃO]]=CP$1,[1]!BANCO10[[#This Row],[STATUS DA ETAPA]],"")</f>
        <v/>
      </c>
      <c r="CQ378" s="21" t="str">
        <f>IF([1]!BANCO10[[#This Row],[SOLUÇÃO]]=CQ$1,[1]!BANCO10[[#This Row],[STATUS DA ETAPA]],"")</f>
        <v/>
      </c>
      <c r="CR378" s="21" t="str">
        <f>IF([1]!BANCO10[[#This Row],[SOLUÇÃO]]=CR$1,[1]!BANCO10[[#This Row],[STATUS DA ETAPA]],"")</f>
        <v/>
      </c>
      <c r="CS378" s="21" t="str">
        <f>IF([1]!BANCO10[[#This Row],[SOLUÇÃO]]=CS$1,[1]!BANCO10[[#This Row],[STATUS DA ETAPA]],"")</f>
        <v/>
      </c>
      <c r="CT378" s="21" t="str">
        <f>IF([1]!BANCO10[[#This Row],[SOLUÇÃO]]=CT$1,[1]!BANCO10[[#This Row],[STATUS DA ETAPA]],"")</f>
        <v/>
      </c>
      <c r="CU378" s="21" t="str">
        <f>IF([1]!BANCO10[[#This Row],[SOLUÇÃO]]=CU$1,[1]!BANCO10[[#This Row],[STATUS DA ETAPA]],"")</f>
        <v/>
      </c>
      <c r="CV378" s="21" t="str">
        <f>IF([1]!BANCO10[[#This Row],[SOLUÇÃO]]=CV$1,[1]!BANCO10[[#This Row],[STATUS DA ETAPA]],"")</f>
        <v/>
      </c>
    </row>
    <row r="379" spans="1:100">
      <c r="A379" s="44" t="s">
        <v>1</v>
      </c>
      <c r="B379" s="44"/>
      <c r="C379" s="44" t="s">
        <v>1</v>
      </c>
      <c r="D379" s="44"/>
      <c r="E379" s="44" t="s">
        <v>1</v>
      </c>
      <c r="F379" s="44"/>
      <c r="G379" s="44" t="s">
        <v>1</v>
      </c>
      <c r="H379" s="44"/>
      <c r="I379" s="45" t="s">
        <v>1</v>
      </c>
      <c r="J379" s="46"/>
      <c r="K379" s="45" t="s">
        <v>1</v>
      </c>
      <c r="L379" s="33"/>
      <c r="M379" s="45" t="s">
        <v>1</v>
      </c>
      <c r="N379" s="33"/>
      <c r="O379" s="44" t="s">
        <v>2</v>
      </c>
      <c r="P379" s="44">
        <v>45273</v>
      </c>
      <c r="Q379" s="44" t="s">
        <v>1</v>
      </c>
      <c r="R379" s="44"/>
      <c r="S379" s="44" t="s">
        <v>1</v>
      </c>
      <c r="T379" s="44"/>
      <c r="U379" s="44" t="s">
        <v>1</v>
      </c>
      <c r="V379" s="44"/>
      <c r="W379" s="44" t="s">
        <v>1</v>
      </c>
      <c r="X379" s="44"/>
      <c r="Y379" s="44" t="s">
        <v>1</v>
      </c>
      <c r="Z379" s="44"/>
      <c r="AA379" s="44" t="s">
        <v>1</v>
      </c>
      <c r="AB379" s="44"/>
      <c r="AC379" s="51">
        <v>45307</v>
      </c>
      <c r="AD379" s="50">
        <v>45317</v>
      </c>
      <c r="AE379" s="40" t="s">
        <v>1</v>
      </c>
      <c r="AF379" s="40" t="s">
        <v>1</v>
      </c>
      <c r="AG379" s="76" t="s">
        <v>5</v>
      </c>
      <c r="AH379" s="36" t="s">
        <v>1</v>
      </c>
      <c r="AI379" s="49">
        <v>0</v>
      </c>
      <c r="AJ379" s="36" t="s">
        <v>1</v>
      </c>
      <c r="AK379" s="10" t="s">
        <v>1</v>
      </c>
      <c r="AL379" s="36" t="s">
        <v>1</v>
      </c>
      <c r="AM379" s="36" t="s">
        <v>1</v>
      </c>
      <c r="AN379" s="35" t="s">
        <v>1</v>
      </c>
      <c r="AO379" s="35" t="s">
        <v>1</v>
      </c>
      <c r="AP379" s="35" t="s">
        <v>1</v>
      </c>
      <c r="AQ379" s="35" t="s">
        <v>1</v>
      </c>
      <c r="AR379" s="82" t="s">
        <v>1</v>
      </c>
      <c r="AS379" s="33"/>
      <c r="AT379" s="32" t="s">
        <v>1</v>
      </c>
      <c r="AU379" s="31"/>
      <c r="AV379" s="32" t="s">
        <v>1</v>
      </c>
      <c r="AW379" s="31"/>
      <c r="AX379" s="30" t="s">
        <v>1</v>
      </c>
      <c r="AY379" s="55"/>
      <c r="AZ379" s="30" t="s">
        <v>1</v>
      </c>
      <c r="BA379" s="55"/>
      <c r="BB379" s="74" t="s">
        <v>512</v>
      </c>
      <c r="BC379" s="25"/>
      <c r="BD379" s="24" t="s">
        <v>19</v>
      </c>
      <c r="BE379" s="24" t="s">
        <v>19</v>
      </c>
      <c r="BF379" s="24" t="s">
        <v>51</v>
      </c>
      <c r="BG379" s="24" t="s">
        <v>11</v>
      </c>
      <c r="BH379" s="130" t="s">
        <v>19</v>
      </c>
      <c r="BI379" s="24"/>
      <c r="BJ379" s="24" t="s">
        <v>11</v>
      </c>
      <c r="BK379" s="24" t="s">
        <v>11</v>
      </c>
      <c r="BL379" s="24" t="s">
        <v>11</v>
      </c>
      <c r="BM379" s="24" t="s">
        <v>11</v>
      </c>
      <c r="BN379" s="24" t="s">
        <v>11</v>
      </c>
      <c r="BO379" s="24" t="s">
        <v>11</v>
      </c>
      <c r="BP379" s="24" t="s">
        <v>11</v>
      </c>
      <c r="BQ379" s="22">
        <f>YEAR([1]!BANCO10[[#This Row],[DATA INÍCIO]])</f>
        <v>2024</v>
      </c>
      <c r="BR379" s="22">
        <f>MONTH([1]!BANCO10[[#This Row],[DATA INÍCIO]])</f>
        <v>1</v>
      </c>
      <c r="BS379" s="129" t="e">
        <f>CONCATENATE(#REF!,#REF!)</f>
        <v>#REF!</v>
      </c>
      <c r="BT379" s="22"/>
      <c r="BU379" s="21" t="s">
        <v>511</v>
      </c>
      <c r="BV379" s="21" t="str">
        <f>IF([1]!BANCO10[[#This Row],[SOLUÇÃO]]=BV$1,[1]!BANCO10[[#This Row],[STATUS DA ETAPA]],"")</f>
        <v>CONCLUÍDO</v>
      </c>
      <c r="BW379" s="21" t="str">
        <f>IF([1]!BANCO10[[#This Row],[SOLUÇÃO]]=BW$1,[1]!BANCO10[[#This Row],[STATUS DA ETAPA]],"")</f>
        <v/>
      </c>
      <c r="BX379" s="21" t="str">
        <f>IF([1]!BANCO10[[#This Row],[SOLUÇÃO]]=BX$1,[1]!BANCO10[[#This Row],[STATUS DA ETAPA]],"")</f>
        <v/>
      </c>
      <c r="BY379" s="21" t="str">
        <f>IF([1]!BANCO10[[#This Row],[SOLUÇÃO]]=BY$1,[1]!BANCO10[[#This Row],[STATUS DA ETAPA]],"")</f>
        <v/>
      </c>
      <c r="BZ379" s="21" t="str">
        <f>IF([1]!BANCO10[[#This Row],[SOLUÇÃO]]=BZ$1,[1]!BANCO10[[#This Row],[STATUS DA ETAPA]],"")</f>
        <v/>
      </c>
      <c r="CA379" s="21" t="str">
        <f>IF([1]!BANCO10[[#This Row],[SOLUÇÃO]]=CA$1,[1]!BANCO10[[#This Row],[STATUS DA ETAPA]],"")</f>
        <v/>
      </c>
      <c r="CB379" s="21" t="str">
        <f>IF([1]!BANCO10[[#This Row],[SOLUÇÃO]]=CB$1,[1]!BANCO10[[#This Row],[STATUS DA ETAPA]],"")</f>
        <v/>
      </c>
      <c r="CC379" s="21" t="str">
        <f>IF([1]!BANCO10[[#This Row],[SOLUÇÃO]]=CC$1,[1]!BANCO10[[#This Row],[STATUS DA ETAPA]],"")</f>
        <v/>
      </c>
      <c r="CD379" s="21" t="str">
        <f>IF([1]!BANCO10[[#This Row],[SOLUÇÃO]]=CD$1,[1]!BANCO10[[#This Row],[STATUS DA ETAPA]],"")</f>
        <v/>
      </c>
      <c r="CE379" s="21" t="str">
        <f>IF([1]!BANCO10[[#This Row],[SOLUÇÃO]]=CE$1,[1]!BANCO10[[#This Row],[STATUS DA ETAPA]],"")</f>
        <v/>
      </c>
      <c r="CF379" s="21" t="str">
        <f>IF([1]!BANCO10[[#This Row],[SOLUÇÃO]]=CF$1,[1]!BANCO10[[#This Row],[STATUS DA ETAPA]],"")</f>
        <v/>
      </c>
      <c r="CG379" s="21" t="str">
        <f>IF([1]!BANCO10[[#This Row],[SOLUÇÃO]]=CG$1,[1]!BANCO10[[#This Row],[STATUS DA ETAPA]],"")</f>
        <v/>
      </c>
      <c r="CH379" s="21" t="str">
        <f>IF([1]!BANCO10[[#This Row],[SOLUÇÃO]]=CH$1,[1]!BANCO10[[#This Row],[STATUS DA ETAPA]],"")</f>
        <v/>
      </c>
      <c r="CI379" s="21" t="str">
        <f>IF([1]!BANCO10[[#This Row],[SOLUÇÃO]]=CI$1,[1]!BANCO10[[#This Row],[STATUS DA ETAPA]],"")</f>
        <v/>
      </c>
      <c r="CJ379" s="21" t="str">
        <f>IF([1]!BANCO10[[#This Row],[SOLUÇÃO]]=CJ$1,[1]!BANCO10[[#This Row],[STATUS DA ETAPA]],"")</f>
        <v/>
      </c>
      <c r="CK379" s="21" t="str">
        <f>IF([1]!BANCO10[[#This Row],[SOLUÇÃO]]=CK$1,[1]!BANCO10[[#This Row],[STATUS DA ETAPA]],"")</f>
        <v/>
      </c>
      <c r="CL379" s="21" t="str">
        <f>IF([1]!BANCO10[[#This Row],[SOLUÇÃO]]=CL$1,[1]!BANCO10[[#This Row],[STATUS DA ETAPA]],"")</f>
        <v/>
      </c>
      <c r="CM379" s="21" t="str">
        <f>IF([1]!BANCO10[[#This Row],[SOLUÇÃO]]=CM$1,[1]!BANCO10[[#This Row],[STATUS DA ETAPA]],"")</f>
        <v/>
      </c>
      <c r="CN379" s="21" t="str">
        <f>IF([1]!BANCO10[[#This Row],[SOLUÇÃO]]=CN$1,[1]!BANCO10[[#This Row],[STATUS DA ETAPA]],"")</f>
        <v/>
      </c>
      <c r="CO379" s="21" t="str">
        <f>IF([1]!BANCO10[[#This Row],[SOLUÇÃO]]=CO$1,[1]!BANCO10[[#This Row],[STATUS DA ETAPA]],"")</f>
        <v/>
      </c>
      <c r="CP379" s="21" t="str">
        <f>IF([1]!BANCO10[[#This Row],[SOLUÇÃO]]=CP$1,[1]!BANCO10[[#This Row],[STATUS DA ETAPA]],"")</f>
        <v/>
      </c>
      <c r="CQ379" s="21" t="str">
        <f>IF([1]!BANCO10[[#This Row],[SOLUÇÃO]]=CQ$1,[1]!BANCO10[[#This Row],[STATUS DA ETAPA]],"")</f>
        <v/>
      </c>
      <c r="CR379" s="21" t="str">
        <f>IF([1]!BANCO10[[#This Row],[SOLUÇÃO]]=CR$1,[1]!BANCO10[[#This Row],[STATUS DA ETAPA]],"")</f>
        <v/>
      </c>
      <c r="CS379" s="21" t="str">
        <f>IF([1]!BANCO10[[#This Row],[SOLUÇÃO]]=CS$1,[1]!BANCO10[[#This Row],[STATUS DA ETAPA]],"")</f>
        <v/>
      </c>
      <c r="CT379" s="21" t="str">
        <f>IF([1]!BANCO10[[#This Row],[SOLUÇÃO]]=CT$1,[1]!BANCO10[[#This Row],[STATUS DA ETAPA]],"")</f>
        <v/>
      </c>
      <c r="CU379" s="21" t="str">
        <f>IF([1]!BANCO10[[#This Row],[SOLUÇÃO]]=CU$1,[1]!BANCO10[[#This Row],[STATUS DA ETAPA]],"")</f>
        <v/>
      </c>
      <c r="CV379" s="21" t="str">
        <f>IF([1]!BANCO10[[#This Row],[SOLUÇÃO]]=CV$1,[1]!BANCO10[[#This Row],[STATUS DA ETAPA]],"")</f>
        <v/>
      </c>
    </row>
    <row r="380" spans="1:100">
      <c r="A380" s="44" t="s">
        <v>1</v>
      </c>
      <c r="B380" s="44"/>
      <c r="C380" s="44" t="s">
        <v>1</v>
      </c>
      <c r="D380" s="44"/>
      <c r="E380" s="44" t="s">
        <v>1</v>
      </c>
      <c r="F380" s="44"/>
      <c r="G380" s="44" t="s">
        <v>1</v>
      </c>
      <c r="H380" s="44"/>
      <c r="I380" s="45" t="s">
        <v>1</v>
      </c>
      <c r="J380" s="46"/>
      <c r="K380" s="45" t="s">
        <v>1</v>
      </c>
      <c r="L380" s="33"/>
      <c r="M380" s="45" t="s">
        <v>1</v>
      </c>
      <c r="N380" s="33"/>
      <c r="O380" s="44" t="s">
        <v>1</v>
      </c>
      <c r="P380" s="44"/>
      <c r="Q380" s="44" t="s">
        <v>1</v>
      </c>
      <c r="R380" s="44"/>
      <c r="S380" s="44" t="s">
        <v>1</v>
      </c>
      <c r="T380" s="44"/>
      <c r="U380" s="44" t="s">
        <v>1</v>
      </c>
      <c r="V380" s="44"/>
      <c r="W380" s="44" t="s">
        <v>1</v>
      </c>
      <c r="X380" s="44"/>
      <c r="Y380" s="44" t="s">
        <v>1</v>
      </c>
      <c r="Z380" s="44"/>
      <c r="AA380" s="44" t="s">
        <v>1</v>
      </c>
      <c r="AB380" s="44"/>
      <c r="AC380" s="51">
        <v>45408</v>
      </c>
      <c r="AD380" s="50">
        <v>45408</v>
      </c>
      <c r="AE380" s="41" t="s">
        <v>1</v>
      </c>
      <c r="AF380" s="41" t="s">
        <v>1</v>
      </c>
      <c r="AG380" s="40" t="s">
        <v>5</v>
      </c>
      <c r="AH380" s="36" t="s">
        <v>1</v>
      </c>
      <c r="AI380" s="49">
        <v>0</v>
      </c>
      <c r="AJ380" s="36" t="s">
        <v>1</v>
      </c>
      <c r="AK380" s="10" t="s">
        <v>1</v>
      </c>
      <c r="AL380" s="36" t="s">
        <v>1</v>
      </c>
      <c r="AM380" s="36" t="s">
        <v>1</v>
      </c>
      <c r="AN380" s="35" t="s">
        <v>1</v>
      </c>
      <c r="AO380" s="35" t="s">
        <v>1</v>
      </c>
      <c r="AP380" s="35" t="s">
        <v>1</v>
      </c>
      <c r="AQ380" s="35" t="s">
        <v>1</v>
      </c>
      <c r="AR380" s="82" t="s">
        <v>1</v>
      </c>
      <c r="AS380" s="33"/>
      <c r="AT380" s="30"/>
      <c r="AU380" s="55"/>
      <c r="AV380" s="30"/>
      <c r="AW380" s="55"/>
      <c r="AX380" s="30" t="s">
        <v>1</v>
      </c>
      <c r="AY380" s="55"/>
      <c r="AZ380" s="30" t="s">
        <v>1</v>
      </c>
      <c r="BA380" s="55"/>
      <c r="BB380" s="74"/>
      <c r="BC380" s="25" t="s">
        <v>41</v>
      </c>
      <c r="BD380" s="24"/>
      <c r="BE380" s="24"/>
      <c r="BF380" s="24"/>
      <c r="BG380" s="24"/>
      <c r="BH380" s="130"/>
      <c r="BI380" s="24"/>
      <c r="BJ380" s="24"/>
      <c r="BK380" s="24"/>
      <c r="BL380" s="24"/>
      <c r="BM380" s="24"/>
      <c r="BN380" s="24"/>
      <c r="BO380" s="24"/>
      <c r="BP380" s="24"/>
      <c r="BQ380" s="22">
        <f>YEAR([1]!BANCO10[[#This Row],[DATA INÍCIO]])</f>
        <v>2024</v>
      </c>
      <c r="BR380" s="22">
        <f>MONTH([1]!BANCO10[[#This Row],[DATA INÍCIO]])</f>
        <v>4</v>
      </c>
      <c r="BS380" s="129" t="e">
        <f>CONCATENATE(#REF!,#REF!)</f>
        <v>#REF!</v>
      </c>
      <c r="BT380" s="22"/>
      <c r="BU380" s="21" t="s">
        <v>510</v>
      </c>
      <c r="BV380" s="21" t="str">
        <f>IF([1]!BANCO10[[#This Row],[SOLUÇÃO]]=BV$1,[1]!BANCO10[[#This Row],[STATUS DA ETAPA]],"")</f>
        <v>CONCLUÍDO</v>
      </c>
      <c r="BW380" s="21" t="str">
        <f>IF([1]!BANCO10[[#This Row],[SOLUÇÃO]]=BW$1,[1]!BANCO10[[#This Row],[STATUS DA ETAPA]],"")</f>
        <v/>
      </c>
      <c r="BX380" s="21" t="str">
        <f>IF([1]!BANCO10[[#This Row],[SOLUÇÃO]]=BX$1,[1]!BANCO10[[#This Row],[STATUS DA ETAPA]],"")</f>
        <v/>
      </c>
      <c r="BY380" s="21" t="str">
        <f>IF([1]!BANCO10[[#This Row],[SOLUÇÃO]]=BY$1,[1]!BANCO10[[#This Row],[STATUS DA ETAPA]],"")</f>
        <v/>
      </c>
      <c r="BZ380" s="21" t="str">
        <f>IF([1]!BANCO10[[#This Row],[SOLUÇÃO]]=BZ$1,[1]!BANCO10[[#This Row],[STATUS DA ETAPA]],"")</f>
        <v/>
      </c>
      <c r="CA380" s="21" t="str">
        <f>IF([1]!BANCO10[[#This Row],[SOLUÇÃO]]=CA$1,[1]!BANCO10[[#This Row],[STATUS DA ETAPA]],"")</f>
        <v/>
      </c>
      <c r="CB380" s="21" t="str">
        <f>IF([1]!BANCO10[[#This Row],[SOLUÇÃO]]=CB$1,[1]!BANCO10[[#This Row],[STATUS DA ETAPA]],"")</f>
        <v/>
      </c>
      <c r="CC380" s="21" t="str">
        <f>IF([1]!BANCO10[[#This Row],[SOLUÇÃO]]=CC$1,[1]!BANCO10[[#This Row],[STATUS DA ETAPA]],"")</f>
        <v/>
      </c>
      <c r="CD380" s="21" t="str">
        <f>IF([1]!BANCO10[[#This Row],[SOLUÇÃO]]=CD$1,[1]!BANCO10[[#This Row],[STATUS DA ETAPA]],"")</f>
        <v/>
      </c>
      <c r="CE380" s="21" t="str">
        <f>IF([1]!BANCO10[[#This Row],[SOLUÇÃO]]=CE$1,[1]!BANCO10[[#This Row],[STATUS DA ETAPA]],"")</f>
        <v/>
      </c>
      <c r="CF380" s="21" t="str">
        <f>IF([1]!BANCO10[[#This Row],[SOLUÇÃO]]=CF$1,[1]!BANCO10[[#This Row],[STATUS DA ETAPA]],"")</f>
        <v/>
      </c>
      <c r="CG380" s="21" t="str">
        <f>IF([1]!BANCO10[[#This Row],[SOLUÇÃO]]=CG$1,[1]!BANCO10[[#This Row],[STATUS DA ETAPA]],"")</f>
        <v/>
      </c>
      <c r="CH380" s="21" t="str">
        <f>IF([1]!BANCO10[[#This Row],[SOLUÇÃO]]=CH$1,[1]!BANCO10[[#This Row],[STATUS DA ETAPA]],"")</f>
        <v/>
      </c>
      <c r="CI380" s="21" t="str">
        <f>IF([1]!BANCO10[[#This Row],[SOLUÇÃO]]=CI$1,[1]!BANCO10[[#This Row],[STATUS DA ETAPA]],"")</f>
        <v/>
      </c>
      <c r="CJ380" s="21" t="str">
        <f>IF([1]!BANCO10[[#This Row],[SOLUÇÃO]]=CJ$1,[1]!BANCO10[[#This Row],[STATUS DA ETAPA]],"")</f>
        <v/>
      </c>
      <c r="CK380" s="21" t="str">
        <f>IF([1]!BANCO10[[#This Row],[SOLUÇÃO]]=CK$1,[1]!BANCO10[[#This Row],[STATUS DA ETAPA]],"")</f>
        <v/>
      </c>
      <c r="CL380" s="21" t="str">
        <f>IF([1]!BANCO10[[#This Row],[SOLUÇÃO]]=CL$1,[1]!BANCO10[[#This Row],[STATUS DA ETAPA]],"")</f>
        <v/>
      </c>
      <c r="CM380" s="21" t="str">
        <f>IF([1]!BANCO10[[#This Row],[SOLUÇÃO]]=CM$1,[1]!BANCO10[[#This Row],[STATUS DA ETAPA]],"")</f>
        <v/>
      </c>
      <c r="CN380" s="21" t="str">
        <f>IF([1]!BANCO10[[#This Row],[SOLUÇÃO]]=CN$1,[1]!BANCO10[[#This Row],[STATUS DA ETAPA]],"")</f>
        <v/>
      </c>
      <c r="CO380" s="21" t="str">
        <f>IF([1]!BANCO10[[#This Row],[SOLUÇÃO]]=CO$1,[1]!BANCO10[[#This Row],[STATUS DA ETAPA]],"")</f>
        <v/>
      </c>
      <c r="CP380" s="21" t="str">
        <f>IF([1]!BANCO10[[#This Row],[SOLUÇÃO]]=CP$1,[1]!BANCO10[[#This Row],[STATUS DA ETAPA]],"")</f>
        <v/>
      </c>
      <c r="CQ380" s="21" t="str">
        <f>IF([1]!BANCO10[[#This Row],[SOLUÇÃO]]=CQ$1,[1]!BANCO10[[#This Row],[STATUS DA ETAPA]],"")</f>
        <v/>
      </c>
      <c r="CR380" s="21" t="str">
        <f>IF([1]!BANCO10[[#This Row],[SOLUÇÃO]]=CR$1,[1]!BANCO10[[#This Row],[STATUS DA ETAPA]],"")</f>
        <v/>
      </c>
      <c r="CS380" s="21" t="str">
        <f>IF([1]!BANCO10[[#This Row],[SOLUÇÃO]]=CS$1,[1]!BANCO10[[#This Row],[STATUS DA ETAPA]],"")</f>
        <v/>
      </c>
      <c r="CT380" s="21" t="str">
        <f>IF([1]!BANCO10[[#This Row],[SOLUÇÃO]]=CT$1,[1]!BANCO10[[#This Row],[STATUS DA ETAPA]],"")</f>
        <v/>
      </c>
      <c r="CU380" s="21" t="str">
        <f>IF([1]!BANCO10[[#This Row],[SOLUÇÃO]]=CU$1,[1]!BANCO10[[#This Row],[STATUS DA ETAPA]],"")</f>
        <v/>
      </c>
      <c r="CV380" s="21" t="str">
        <f>IF([1]!BANCO10[[#This Row],[SOLUÇÃO]]=CV$1,[1]!BANCO10[[#This Row],[STATUS DA ETAPA]],"")</f>
        <v/>
      </c>
    </row>
    <row r="381" spans="1:100">
      <c r="A381" s="44" t="s">
        <v>2</v>
      </c>
      <c r="B381" s="44">
        <v>45383</v>
      </c>
      <c r="C381" s="44" t="s">
        <v>2</v>
      </c>
      <c r="D381" s="44">
        <v>45383</v>
      </c>
      <c r="E381" s="44" t="s">
        <v>2</v>
      </c>
      <c r="F381" s="44">
        <v>45383</v>
      </c>
      <c r="G381" s="44" t="s">
        <v>2</v>
      </c>
      <c r="H381" s="44">
        <v>45383</v>
      </c>
      <c r="I381" s="45" t="s">
        <v>2</v>
      </c>
      <c r="J381" s="46">
        <v>45536</v>
      </c>
      <c r="K381" s="45" t="s">
        <v>2</v>
      </c>
      <c r="L381" s="33">
        <v>45536</v>
      </c>
      <c r="M381" s="45" t="s">
        <v>2</v>
      </c>
      <c r="N381" s="33">
        <v>45536</v>
      </c>
      <c r="O381" s="44" t="s">
        <v>2</v>
      </c>
      <c r="P381" s="44">
        <v>45491</v>
      </c>
      <c r="Q381" s="44" t="s">
        <v>2</v>
      </c>
      <c r="R381" s="44">
        <v>45503</v>
      </c>
      <c r="S381" s="44" t="s">
        <v>2</v>
      </c>
      <c r="T381" s="44">
        <v>45536</v>
      </c>
      <c r="U381" s="44" t="s">
        <v>1</v>
      </c>
      <c r="V381" s="44"/>
      <c r="W381" s="44" t="s">
        <v>1</v>
      </c>
      <c r="X381" s="44"/>
      <c r="Y381" s="44" t="s">
        <v>1</v>
      </c>
      <c r="Z381" s="44"/>
      <c r="AA381" s="44" t="s">
        <v>1</v>
      </c>
      <c r="AB381" s="44"/>
      <c r="AC381" s="51">
        <v>45447</v>
      </c>
      <c r="AD381" s="50">
        <v>45540</v>
      </c>
      <c r="AE381" s="41" t="s">
        <v>2</v>
      </c>
      <c r="AF381" s="41" t="s">
        <v>2</v>
      </c>
      <c r="AG381" s="40" t="s">
        <v>5</v>
      </c>
      <c r="AH381" s="36" t="s">
        <v>0</v>
      </c>
      <c r="AI381" s="49">
        <v>0</v>
      </c>
      <c r="AJ381" s="36" t="s">
        <v>6</v>
      </c>
      <c r="AK381" s="10">
        <v>549569</v>
      </c>
      <c r="AL381" s="36" t="s">
        <v>1</v>
      </c>
      <c r="AM381" s="36" t="s">
        <v>1</v>
      </c>
      <c r="AN381" s="35" t="s">
        <v>2</v>
      </c>
      <c r="AO381" s="35" t="s">
        <v>2</v>
      </c>
      <c r="AP381" s="35" t="s">
        <v>2</v>
      </c>
      <c r="AQ381" s="35" t="s">
        <v>2</v>
      </c>
      <c r="AR381" s="34" t="s">
        <v>2</v>
      </c>
      <c r="AS381" s="33">
        <v>45610</v>
      </c>
      <c r="AT381" s="30"/>
      <c r="AU381" s="31"/>
      <c r="AV381" s="30"/>
      <c r="AW381" s="31"/>
      <c r="AX381" s="30" t="s">
        <v>2</v>
      </c>
      <c r="AY381" s="31">
        <v>45609</v>
      </c>
      <c r="AZ381" s="30" t="s">
        <v>2</v>
      </c>
      <c r="BA381" s="55">
        <v>45622</v>
      </c>
      <c r="BB381" s="39" t="s">
        <v>509</v>
      </c>
      <c r="BC381" s="25" t="s">
        <v>41</v>
      </c>
      <c r="BD381" s="24"/>
      <c r="BE381" s="24"/>
      <c r="BF381" s="24"/>
      <c r="BG381" s="24"/>
      <c r="BH381" s="130"/>
      <c r="BI381" s="24"/>
      <c r="BJ381" s="24"/>
      <c r="BK381" s="24"/>
      <c r="BL381" s="24"/>
      <c r="BM381" s="24"/>
      <c r="BN381" s="24"/>
      <c r="BO381" s="24"/>
      <c r="BP381" s="24"/>
      <c r="BQ381" s="22">
        <f>YEAR([1]!BANCO10[[#This Row],[DATA INÍCIO]])</f>
        <v>2024</v>
      </c>
      <c r="BR381" s="22">
        <f>MONTH([1]!BANCO10[[#This Row],[DATA INÍCIO]])</f>
        <v>6</v>
      </c>
      <c r="BS381" s="23" t="e">
        <f>CONCATENATE(#REF!,#REF!)</f>
        <v>#REF!</v>
      </c>
      <c r="BT381" s="22"/>
      <c r="BU381" s="21" t="s">
        <v>508</v>
      </c>
      <c r="BV381" s="21" t="str">
        <f>IF([1]!BANCO10[[#This Row],[SOLUÇÃO]]=BV$1,[1]!BANCO10[[#This Row],[STATUS DA ETAPA]],"")</f>
        <v/>
      </c>
      <c r="BW381" s="21" t="str">
        <f>IF([1]!BANCO10[[#This Row],[SOLUÇÃO]]=BW$1,[1]!BANCO10[[#This Row],[STATUS DA ETAPA]],"")</f>
        <v/>
      </c>
      <c r="BX381" s="21" t="str">
        <f>IF([1]!BANCO10[[#This Row],[SOLUÇÃO]]=BX$1,[1]!BANCO10[[#This Row],[STATUS DA ETAPA]],"")</f>
        <v/>
      </c>
      <c r="BY381" s="21" t="str">
        <f>IF([1]!BANCO10[[#This Row],[SOLUÇÃO]]=BY$1,[1]!BANCO10[[#This Row],[STATUS DA ETAPA]],"")</f>
        <v/>
      </c>
      <c r="BZ381" s="21" t="str">
        <f>IF([1]!BANCO10[[#This Row],[SOLUÇÃO]]=BZ$1,[1]!BANCO10[[#This Row],[STATUS DA ETAPA]],"")</f>
        <v/>
      </c>
      <c r="CA381" s="21" t="str">
        <f>IF([1]!BANCO10[[#This Row],[SOLUÇÃO]]=CA$1,[1]!BANCO10[[#This Row],[STATUS DA ETAPA]],"")</f>
        <v/>
      </c>
      <c r="CB381" s="21" t="str">
        <f>IF([1]!BANCO10[[#This Row],[SOLUÇÃO]]=CB$1,[1]!BANCO10[[#This Row],[STATUS DA ETAPA]],"")</f>
        <v>CONCLUÍDO</v>
      </c>
      <c r="CC381" s="21" t="str">
        <f>IF([1]!BANCO10[[#This Row],[SOLUÇÃO]]=CC$1,[1]!BANCO10[[#This Row],[STATUS DA ETAPA]],"")</f>
        <v/>
      </c>
      <c r="CD381" s="21" t="str">
        <f>IF([1]!BANCO10[[#This Row],[SOLUÇÃO]]=CD$1,[1]!BANCO10[[#This Row],[STATUS DA ETAPA]],"")</f>
        <v/>
      </c>
      <c r="CE381" s="21" t="str">
        <f>IF([1]!BANCO10[[#This Row],[SOLUÇÃO]]=CE$1,[1]!BANCO10[[#This Row],[STATUS DA ETAPA]],"")</f>
        <v/>
      </c>
      <c r="CF381" s="21" t="str">
        <f>IF([1]!BANCO10[[#This Row],[SOLUÇÃO]]=CF$1,[1]!BANCO10[[#This Row],[STATUS DA ETAPA]],"")</f>
        <v/>
      </c>
      <c r="CG381" s="21" t="str">
        <f>IF([1]!BANCO10[[#This Row],[SOLUÇÃO]]=CG$1,[1]!BANCO10[[#This Row],[STATUS DA ETAPA]],"")</f>
        <v/>
      </c>
      <c r="CH381" s="21" t="str">
        <f>IF([1]!BANCO10[[#This Row],[SOLUÇÃO]]=CH$1,[1]!BANCO10[[#This Row],[STATUS DA ETAPA]],"")</f>
        <v/>
      </c>
      <c r="CI381" s="21" t="str">
        <f>IF([1]!BANCO10[[#This Row],[SOLUÇÃO]]=CI$1,[1]!BANCO10[[#This Row],[STATUS DA ETAPA]],"")</f>
        <v/>
      </c>
      <c r="CJ381" s="21" t="str">
        <f>IF([1]!BANCO10[[#This Row],[SOLUÇÃO]]=CJ$1,[1]!BANCO10[[#This Row],[STATUS DA ETAPA]],"")</f>
        <v/>
      </c>
      <c r="CK381" s="21" t="str">
        <f>IF([1]!BANCO10[[#This Row],[SOLUÇÃO]]=CK$1,[1]!BANCO10[[#This Row],[STATUS DA ETAPA]],"")</f>
        <v/>
      </c>
      <c r="CL381" s="21" t="str">
        <f>IF([1]!BANCO10[[#This Row],[SOLUÇÃO]]=CL$1,[1]!BANCO10[[#This Row],[STATUS DA ETAPA]],"")</f>
        <v/>
      </c>
      <c r="CM381" s="21" t="str">
        <f>IF([1]!BANCO10[[#This Row],[SOLUÇÃO]]=CM$1,[1]!BANCO10[[#This Row],[STATUS DA ETAPA]],"")</f>
        <v/>
      </c>
      <c r="CN381" s="21" t="str">
        <f>IF([1]!BANCO10[[#This Row],[SOLUÇÃO]]=CN$1,[1]!BANCO10[[#This Row],[STATUS DA ETAPA]],"")</f>
        <v/>
      </c>
      <c r="CO381" s="21" t="str">
        <f>IF([1]!BANCO10[[#This Row],[SOLUÇÃO]]=CO$1,[1]!BANCO10[[#This Row],[STATUS DA ETAPA]],"")</f>
        <v/>
      </c>
      <c r="CP381" s="21" t="str">
        <f>IF([1]!BANCO10[[#This Row],[SOLUÇÃO]]=CP$1,[1]!BANCO10[[#This Row],[STATUS DA ETAPA]],"")</f>
        <v/>
      </c>
      <c r="CQ381" s="21" t="str">
        <f>IF([1]!BANCO10[[#This Row],[SOLUÇÃO]]=CQ$1,[1]!BANCO10[[#This Row],[STATUS DA ETAPA]],"")</f>
        <v/>
      </c>
      <c r="CR381" s="21" t="str">
        <f>IF([1]!BANCO10[[#This Row],[SOLUÇÃO]]=CR$1,[1]!BANCO10[[#This Row],[STATUS DA ETAPA]],"")</f>
        <v/>
      </c>
      <c r="CS381" s="21" t="str">
        <f>IF([1]!BANCO10[[#This Row],[SOLUÇÃO]]=CS$1,[1]!BANCO10[[#This Row],[STATUS DA ETAPA]],"")</f>
        <v/>
      </c>
      <c r="CT381" s="21" t="str">
        <f>IF([1]!BANCO10[[#This Row],[SOLUÇÃO]]=CT$1,[1]!BANCO10[[#This Row],[STATUS DA ETAPA]],"")</f>
        <v/>
      </c>
      <c r="CU381" s="21" t="str">
        <f>IF([1]!BANCO10[[#This Row],[SOLUÇÃO]]=CU$1,[1]!BANCO10[[#This Row],[STATUS DA ETAPA]],"")</f>
        <v/>
      </c>
      <c r="CV381" s="21" t="str">
        <f>IF([1]!BANCO10[[#This Row],[SOLUÇÃO]]=CV$1,[1]!BANCO10[[#This Row],[STATUS DA ETAPA]],"")</f>
        <v/>
      </c>
    </row>
    <row r="382" spans="1:100">
      <c r="A382" s="44" t="s">
        <v>1</v>
      </c>
      <c r="B382" s="44"/>
      <c r="C382" s="44" t="s">
        <v>1</v>
      </c>
      <c r="D382" s="44"/>
      <c r="E382" s="44" t="s">
        <v>1</v>
      </c>
      <c r="F382" s="44"/>
      <c r="G382" s="44" t="s">
        <v>1</v>
      </c>
      <c r="H382" s="44"/>
      <c r="I382" s="45" t="s">
        <v>1</v>
      </c>
      <c r="J382" s="46"/>
      <c r="K382" s="45" t="s">
        <v>1</v>
      </c>
      <c r="L382" s="33"/>
      <c r="M382" s="45" t="s">
        <v>1</v>
      </c>
      <c r="N382" s="33"/>
      <c r="O382" s="44" t="s">
        <v>1</v>
      </c>
      <c r="P382" s="44"/>
      <c r="Q382" s="44" t="s">
        <v>1</v>
      </c>
      <c r="R382" s="44" t="s">
        <v>1</v>
      </c>
      <c r="S382" s="44" t="s">
        <v>1</v>
      </c>
      <c r="T382" s="44"/>
      <c r="U382" s="44" t="s">
        <v>1</v>
      </c>
      <c r="V382" s="44"/>
      <c r="W382" s="44" t="s">
        <v>1</v>
      </c>
      <c r="X382" s="44"/>
      <c r="Y382" s="44" t="s">
        <v>1</v>
      </c>
      <c r="Z382" s="44"/>
      <c r="AA382" s="44" t="s">
        <v>1</v>
      </c>
      <c r="AB382" s="44"/>
      <c r="AC382" s="51">
        <v>45636</v>
      </c>
      <c r="AD382" s="50">
        <v>45636</v>
      </c>
      <c r="AE382" s="41" t="s">
        <v>1</v>
      </c>
      <c r="AF382" s="41" t="s">
        <v>1</v>
      </c>
      <c r="AG382" s="40" t="s">
        <v>4</v>
      </c>
      <c r="AH382" s="36" t="s">
        <v>0</v>
      </c>
      <c r="AI382" s="49">
        <v>0</v>
      </c>
      <c r="AJ382" s="36" t="s">
        <v>1</v>
      </c>
      <c r="AK382" s="10" t="s">
        <v>1</v>
      </c>
      <c r="AL382" s="36" t="s">
        <v>1</v>
      </c>
      <c r="AM382" s="36" t="s">
        <v>1</v>
      </c>
      <c r="AN382" s="35" t="s">
        <v>1</v>
      </c>
      <c r="AO382" s="35" t="s">
        <v>1</v>
      </c>
      <c r="AP382" s="35" t="s">
        <v>1</v>
      </c>
      <c r="AQ382" s="35" t="s">
        <v>2</v>
      </c>
      <c r="AR382" s="34" t="s">
        <v>0</v>
      </c>
      <c r="AS382" s="33"/>
      <c r="AT382" s="30" t="s">
        <v>0</v>
      </c>
      <c r="AU382" s="31"/>
      <c r="AV382" s="30" t="s">
        <v>0</v>
      </c>
      <c r="AW382" s="31"/>
      <c r="AX382" s="30" t="s">
        <v>0</v>
      </c>
      <c r="AY382" s="29"/>
      <c r="AZ382" s="28" t="s">
        <v>0</v>
      </c>
      <c r="BA382" s="27"/>
      <c r="BB382" s="26"/>
      <c r="BC382" s="25"/>
      <c r="BD382" s="24"/>
      <c r="BE382" s="24"/>
      <c r="BF382" s="24"/>
      <c r="BG382" s="24"/>
      <c r="BH382" s="24"/>
      <c r="BI382" s="24"/>
      <c r="BJ382" s="24"/>
      <c r="BK382" s="24"/>
      <c r="BL382" s="24"/>
      <c r="BM382" s="24"/>
      <c r="BN382" s="24"/>
      <c r="BO382" s="24"/>
      <c r="BP382" s="24"/>
      <c r="BQ382" s="22">
        <f>YEAR([1]!BANCO10[[#This Row],[DATA INÍCIO]])</f>
        <v>2024</v>
      </c>
      <c r="BR382" s="22">
        <f>MONTH([1]!BANCO10[[#This Row],[DATA INÍCIO]])</f>
        <v>12</v>
      </c>
      <c r="BS382" s="23" t="e">
        <f>CONCATENATE(#REF!,#REF!)</f>
        <v>#REF!</v>
      </c>
      <c r="BT382" s="22"/>
      <c r="BU382" s="22"/>
      <c r="BV382" s="21" t="str">
        <f>IF([1]!BANCO10[[#This Row],[SOLUÇÃO]]=BV$1,[1]!BANCO10[[#This Row],[STATUS DA ETAPA]],"")</f>
        <v/>
      </c>
      <c r="BW382" s="21" t="str">
        <f>IF([1]!BANCO10[[#This Row],[SOLUÇÃO]]=BW$1,[1]!BANCO10[[#This Row],[STATUS DA ETAPA]],"")</f>
        <v/>
      </c>
      <c r="BX382" s="21" t="str">
        <f>IF([1]!BANCO10[[#This Row],[SOLUÇÃO]]=BX$1,[1]!BANCO10[[#This Row],[STATUS DA ETAPA]],"")</f>
        <v/>
      </c>
      <c r="BY382" s="21" t="str">
        <f>IF([1]!BANCO10[[#This Row],[SOLUÇÃO]]=BY$1,[1]!BANCO10[[#This Row],[STATUS DA ETAPA]],"")</f>
        <v/>
      </c>
      <c r="BZ382" s="21" t="str">
        <f>IF([1]!BANCO10[[#This Row],[SOLUÇÃO]]=BZ$1,[1]!BANCO10[[#This Row],[STATUS DA ETAPA]],"")</f>
        <v/>
      </c>
      <c r="CA382" s="21" t="str">
        <f>IF([1]!BANCO10[[#This Row],[SOLUÇÃO]]=CA$1,[1]!BANCO10[[#This Row],[STATUS DA ETAPA]],"")</f>
        <v/>
      </c>
      <c r="CB382" s="21" t="str">
        <f>IF([1]!BANCO10[[#This Row],[SOLUÇÃO]]=CB$1,[1]!BANCO10[[#This Row],[STATUS DA ETAPA]],"")</f>
        <v/>
      </c>
      <c r="CC382" s="21" t="str">
        <f>IF([1]!BANCO10[[#This Row],[SOLUÇÃO]]=CC$1,[1]!BANCO10[[#This Row],[STATUS DA ETAPA]],"")</f>
        <v/>
      </c>
      <c r="CD382" s="21" t="str">
        <f>IF([1]!BANCO10[[#This Row],[SOLUÇÃO]]=CD$1,[1]!BANCO10[[#This Row],[STATUS DA ETAPA]],"")</f>
        <v/>
      </c>
      <c r="CE382" s="21" t="str">
        <f>IF([1]!BANCO10[[#This Row],[SOLUÇÃO]]=CE$1,[1]!BANCO10[[#This Row],[STATUS DA ETAPA]],"")</f>
        <v/>
      </c>
      <c r="CF382" s="21" t="str">
        <f>IF([1]!BANCO10[[#This Row],[SOLUÇÃO]]=CF$1,[1]!BANCO10[[#This Row],[STATUS DA ETAPA]],"")</f>
        <v/>
      </c>
      <c r="CG382" s="21" t="str">
        <f>IF([1]!BANCO10[[#This Row],[SOLUÇÃO]]=CG$1,[1]!BANCO10[[#This Row],[STATUS DA ETAPA]],"")</f>
        <v/>
      </c>
      <c r="CH382" s="21" t="str">
        <f>IF([1]!BANCO10[[#This Row],[SOLUÇÃO]]=CH$1,[1]!BANCO10[[#This Row],[STATUS DA ETAPA]],"")</f>
        <v/>
      </c>
      <c r="CI382" s="21" t="str">
        <f>IF([1]!BANCO10[[#This Row],[SOLUÇÃO]]=CI$1,[1]!BANCO10[[#This Row],[STATUS DA ETAPA]],"")</f>
        <v/>
      </c>
      <c r="CJ382" s="21" t="str">
        <f>IF([1]!BANCO10[[#This Row],[SOLUÇÃO]]=CJ$1,[1]!BANCO10[[#This Row],[STATUS DA ETAPA]],"")</f>
        <v/>
      </c>
      <c r="CK382" s="21" t="str">
        <f>IF([1]!BANCO10[[#This Row],[SOLUÇÃO]]=CK$1,[1]!BANCO10[[#This Row],[STATUS DA ETAPA]],"")</f>
        <v/>
      </c>
      <c r="CL382" s="21" t="str">
        <f>IF([1]!BANCO10[[#This Row],[SOLUÇÃO]]=CL$1,[1]!BANCO10[[#This Row],[STATUS DA ETAPA]],"")</f>
        <v/>
      </c>
      <c r="CM382" s="21" t="str">
        <f>IF([1]!BANCO10[[#This Row],[SOLUÇÃO]]=CM$1,[1]!BANCO10[[#This Row],[STATUS DA ETAPA]],"")</f>
        <v/>
      </c>
      <c r="CN382" s="21" t="str">
        <f>IF([1]!BANCO10[[#This Row],[SOLUÇÃO]]=CN$1,[1]!BANCO10[[#This Row],[STATUS DA ETAPA]],"")</f>
        <v/>
      </c>
      <c r="CO382" s="21" t="str">
        <f>IF([1]!BANCO10[[#This Row],[SOLUÇÃO]]=CO$1,[1]!BANCO10[[#This Row],[STATUS DA ETAPA]],"")</f>
        <v/>
      </c>
      <c r="CP382" s="21" t="str">
        <f>IF([1]!BANCO10[[#This Row],[SOLUÇÃO]]=CP$1,[1]!BANCO10[[#This Row],[STATUS DA ETAPA]],"")</f>
        <v/>
      </c>
      <c r="CQ382" s="21" t="str">
        <f>IF([1]!BANCO10[[#This Row],[SOLUÇÃO]]=CQ$1,[1]!BANCO10[[#This Row],[STATUS DA ETAPA]],"")</f>
        <v/>
      </c>
      <c r="CR382" s="21" t="str">
        <f>IF([1]!BANCO10[[#This Row],[SOLUÇÃO]]=CR$1,[1]!BANCO10[[#This Row],[STATUS DA ETAPA]],"")</f>
        <v/>
      </c>
      <c r="CS382" s="21" t="str">
        <f>IF([1]!BANCO10[[#This Row],[SOLUÇÃO]]=CS$1,[1]!BANCO10[[#This Row],[STATUS DA ETAPA]],"")</f>
        <v/>
      </c>
      <c r="CT382" s="21" t="str">
        <f>IF([1]!BANCO10[[#This Row],[SOLUÇÃO]]=CT$1,[1]!BANCO10[[#This Row],[STATUS DA ETAPA]],"")</f>
        <v/>
      </c>
      <c r="CU382" s="21" t="str">
        <f>IF([1]!BANCO10[[#This Row],[SOLUÇÃO]]=CU$1,[1]!BANCO10[[#This Row],[STATUS DA ETAPA]],"")</f>
        <v/>
      </c>
      <c r="CV382" s="21" t="str">
        <f>IF([1]!BANCO10[[#This Row],[SOLUÇÃO]]=CV$1,[1]!BANCO10[[#This Row],[STATUS DA ETAPA]],"")</f>
        <v/>
      </c>
    </row>
    <row r="383" spans="1:100">
      <c r="A383" s="44" t="s">
        <v>1</v>
      </c>
      <c r="B383" s="44"/>
      <c r="C383" s="44" t="s">
        <v>1</v>
      </c>
      <c r="D383" s="44"/>
      <c r="E383" s="44" t="s">
        <v>1</v>
      </c>
      <c r="F383" s="44"/>
      <c r="G383" s="44" t="s">
        <v>1</v>
      </c>
      <c r="H383" s="44"/>
      <c r="I383" s="45" t="s">
        <v>1</v>
      </c>
      <c r="J383" s="46"/>
      <c r="K383" s="45" t="s">
        <v>1</v>
      </c>
      <c r="L383" s="33"/>
      <c r="M383" s="45" t="s">
        <v>1</v>
      </c>
      <c r="N383" s="33"/>
      <c r="O383" s="44" t="s">
        <v>2</v>
      </c>
      <c r="P383" s="44">
        <v>44810</v>
      </c>
      <c r="Q383" s="44" t="s">
        <v>0</v>
      </c>
      <c r="R383" s="44"/>
      <c r="S383" s="44" t="s">
        <v>1</v>
      </c>
      <c r="T383" s="44"/>
      <c r="U383" s="44" t="s">
        <v>1</v>
      </c>
      <c r="V383" s="44"/>
      <c r="W383" s="44" t="s">
        <v>1</v>
      </c>
      <c r="X383" s="44"/>
      <c r="Y383" s="44" t="s">
        <v>1</v>
      </c>
      <c r="Z383" s="44"/>
      <c r="AA383" s="44" t="s">
        <v>1</v>
      </c>
      <c r="AB383" s="44"/>
      <c r="AC383" s="51">
        <v>44926</v>
      </c>
      <c r="AD383" s="50">
        <v>44926</v>
      </c>
      <c r="AE383" s="40" t="s">
        <v>1</v>
      </c>
      <c r="AF383" s="40" t="s">
        <v>1</v>
      </c>
      <c r="AG383" s="76" t="s">
        <v>5</v>
      </c>
      <c r="AH383" s="36" t="s">
        <v>1</v>
      </c>
      <c r="AI383" s="49">
        <v>0</v>
      </c>
      <c r="AJ383" s="36" t="s">
        <v>1</v>
      </c>
      <c r="AK383" s="10" t="s">
        <v>1</v>
      </c>
      <c r="AL383" s="36" t="s">
        <v>1</v>
      </c>
      <c r="AM383" s="36" t="s">
        <v>1</v>
      </c>
      <c r="AN383" s="35" t="s">
        <v>1</v>
      </c>
      <c r="AO383" s="35" t="s">
        <v>1</v>
      </c>
      <c r="AP383" s="35" t="s">
        <v>1</v>
      </c>
      <c r="AQ383" s="35" t="s">
        <v>1</v>
      </c>
      <c r="AR383" s="82" t="s">
        <v>1</v>
      </c>
      <c r="AS383" s="33"/>
      <c r="AT383" s="32" t="s">
        <v>1</v>
      </c>
      <c r="AU383" s="31"/>
      <c r="AV383" s="32" t="s">
        <v>1</v>
      </c>
      <c r="AW383" s="31"/>
      <c r="AX383" s="30" t="s">
        <v>1</v>
      </c>
      <c r="AY383" s="55"/>
      <c r="AZ383" s="30" t="s">
        <v>1</v>
      </c>
      <c r="BA383" s="55"/>
      <c r="BB383" s="74" t="s">
        <v>506</v>
      </c>
      <c r="BC383" s="25"/>
      <c r="BD383" s="24" t="s">
        <v>11</v>
      </c>
      <c r="BE383" s="24" t="s">
        <v>11</v>
      </c>
      <c r="BF383" s="24" t="s">
        <v>11</v>
      </c>
      <c r="BG383" s="24" t="s">
        <v>11</v>
      </c>
      <c r="BH383" s="130" t="s">
        <v>0</v>
      </c>
      <c r="BI383" s="24"/>
      <c r="BJ383" s="24" t="s">
        <v>11</v>
      </c>
      <c r="BK383" s="24" t="s">
        <v>11</v>
      </c>
      <c r="BL383" s="24" t="s">
        <v>11</v>
      </c>
      <c r="BM383" s="24" t="s">
        <v>11</v>
      </c>
      <c r="BN383" s="24" t="s">
        <v>11</v>
      </c>
      <c r="BO383" s="24" t="s">
        <v>11</v>
      </c>
      <c r="BP383" s="24" t="s">
        <v>11</v>
      </c>
      <c r="BQ383" s="22">
        <f>YEAR([1]!BANCO10[[#This Row],[DATA INÍCIO]])</f>
        <v>2022</v>
      </c>
      <c r="BR383" s="22">
        <f>MONTH([1]!BANCO10[[#This Row],[DATA INÍCIO]])</f>
        <v>12</v>
      </c>
      <c r="BS383" s="129" t="e">
        <f>CONCATENATE(#REF!,#REF!)</f>
        <v>#REF!</v>
      </c>
      <c r="BT383" s="22"/>
      <c r="BU383" s="21" t="s">
        <v>507</v>
      </c>
      <c r="BV383" s="21" t="str">
        <f>IF([1]!BANCO10[[#This Row],[SOLUÇÃO]]=BV$1,[1]!BANCO10[[#This Row],[STATUS DA ETAPA]],"")</f>
        <v>CONCLUÍDO</v>
      </c>
      <c r="BW383" s="21" t="str">
        <f>IF([1]!BANCO10[[#This Row],[SOLUÇÃO]]=BW$1,[1]!BANCO10[[#This Row],[STATUS DA ETAPA]],"")</f>
        <v/>
      </c>
      <c r="BX383" s="21" t="str">
        <f>IF([1]!BANCO10[[#This Row],[SOLUÇÃO]]=BX$1,[1]!BANCO10[[#This Row],[STATUS DA ETAPA]],"")</f>
        <v/>
      </c>
      <c r="BY383" s="21" t="str">
        <f>IF([1]!BANCO10[[#This Row],[SOLUÇÃO]]=BY$1,[1]!BANCO10[[#This Row],[STATUS DA ETAPA]],"")</f>
        <v/>
      </c>
      <c r="BZ383" s="21" t="str">
        <f>IF([1]!BANCO10[[#This Row],[SOLUÇÃO]]=BZ$1,[1]!BANCO10[[#This Row],[STATUS DA ETAPA]],"")</f>
        <v/>
      </c>
      <c r="CA383" s="21" t="str">
        <f>IF([1]!BANCO10[[#This Row],[SOLUÇÃO]]=CA$1,[1]!BANCO10[[#This Row],[STATUS DA ETAPA]],"")</f>
        <v/>
      </c>
      <c r="CB383" s="21" t="str">
        <f>IF([1]!BANCO10[[#This Row],[SOLUÇÃO]]=CB$1,[1]!BANCO10[[#This Row],[STATUS DA ETAPA]],"")</f>
        <v/>
      </c>
      <c r="CC383" s="21" t="str">
        <f>IF([1]!BANCO10[[#This Row],[SOLUÇÃO]]=CC$1,[1]!BANCO10[[#This Row],[STATUS DA ETAPA]],"")</f>
        <v/>
      </c>
      <c r="CD383" s="21" t="str">
        <f>IF([1]!BANCO10[[#This Row],[SOLUÇÃO]]=CD$1,[1]!BANCO10[[#This Row],[STATUS DA ETAPA]],"")</f>
        <v/>
      </c>
      <c r="CE383" s="21" t="str">
        <f>IF([1]!BANCO10[[#This Row],[SOLUÇÃO]]=CE$1,[1]!BANCO10[[#This Row],[STATUS DA ETAPA]],"")</f>
        <v/>
      </c>
      <c r="CF383" s="21" t="str">
        <f>IF([1]!BANCO10[[#This Row],[SOLUÇÃO]]=CF$1,[1]!BANCO10[[#This Row],[STATUS DA ETAPA]],"")</f>
        <v/>
      </c>
      <c r="CG383" s="21" t="str">
        <f>IF([1]!BANCO10[[#This Row],[SOLUÇÃO]]=CG$1,[1]!BANCO10[[#This Row],[STATUS DA ETAPA]],"")</f>
        <v/>
      </c>
      <c r="CH383" s="21" t="str">
        <f>IF([1]!BANCO10[[#This Row],[SOLUÇÃO]]=CH$1,[1]!BANCO10[[#This Row],[STATUS DA ETAPA]],"")</f>
        <v/>
      </c>
      <c r="CI383" s="21" t="str">
        <f>IF([1]!BANCO10[[#This Row],[SOLUÇÃO]]=CI$1,[1]!BANCO10[[#This Row],[STATUS DA ETAPA]],"")</f>
        <v/>
      </c>
      <c r="CJ383" s="21" t="str">
        <f>IF([1]!BANCO10[[#This Row],[SOLUÇÃO]]=CJ$1,[1]!BANCO10[[#This Row],[STATUS DA ETAPA]],"")</f>
        <v/>
      </c>
      <c r="CK383" s="21" t="str">
        <f>IF([1]!BANCO10[[#This Row],[SOLUÇÃO]]=CK$1,[1]!BANCO10[[#This Row],[STATUS DA ETAPA]],"")</f>
        <v/>
      </c>
      <c r="CL383" s="21" t="str">
        <f>IF([1]!BANCO10[[#This Row],[SOLUÇÃO]]=CL$1,[1]!BANCO10[[#This Row],[STATUS DA ETAPA]],"")</f>
        <v/>
      </c>
      <c r="CM383" s="21" t="str">
        <f>IF([1]!BANCO10[[#This Row],[SOLUÇÃO]]=CM$1,[1]!BANCO10[[#This Row],[STATUS DA ETAPA]],"")</f>
        <v/>
      </c>
      <c r="CN383" s="21" t="str">
        <f>IF([1]!BANCO10[[#This Row],[SOLUÇÃO]]=CN$1,[1]!BANCO10[[#This Row],[STATUS DA ETAPA]],"")</f>
        <v/>
      </c>
      <c r="CO383" s="21" t="str">
        <f>IF([1]!BANCO10[[#This Row],[SOLUÇÃO]]=CO$1,[1]!BANCO10[[#This Row],[STATUS DA ETAPA]],"")</f>
        <v/>
      </c>
      <c r="CP383" s="21" t="str">
        <f>IF([1]!BANCO10[[#This Row],[SOLUÇÃO]]=CP$1,[1]!BANCO10[[#This Row],[STATUS DA ETAPA]],"")</f>
        <v/>
      </c>
      <c r="CQ383" s="21" t="str">
        <f>IF([1]!BANCO10[[#This Row],[SOLUÇÃO]]=CQ$1,[1]!BANCO10[[#This Row],[STATUS DA ETAPA]],"")</f>
        <v/>
      </c>
      <c r="CR383" s="21" t="str">
        <f>IF([1]!BANCO10[[#This Row],[SOLUÇÃO]]=CR$1,[1]!BANCO10[[#This Row],[STATUS DA ETAPA]],"")</f>
        <v/>
      </c>
      <c r="CS383" s="21" t="str">
        <f>IF([1]!BANCO10[[#This Row],[SOLUÇÃO]]=CS$1,[1]!BANCO10[[#This Row],[STATUS DA ETAPA]],"")</f>
        <v/>
      </c>
      <c r="CT383" s="21" t="str">
        <f>IF([1]!BANCO10[[#This Row],[SOLUÇÃO]]=CT$1,[1]!BANCO10[[#This Row],[STATUS DA ETAPA]],"")</f>
        <v/>
      </c>
      <c r="CU383" s="21" t="str">
        <f>IF([1]!BANCO10[[#This Row],[SOLUÇÃO]]=CU$1,[1]!BANCO10[[#This Row],[STATUS DA ETAPA]],"")</f>
        <v/>
      </c>
      <c r="CV383" s="21" t="str">
        <f>IF([1]!BANCO10[[#This Row],[SOLUÇÃO]]=CV$1,[1]!BANCO10[[#This Row],[STATUS DA ETAPA]],"")</f>
        <v/>
      </c>
    </row>
    <row r="384" spans="1:100">
      <c r="A384" s="44" t="s">
        <v>1</v>
      </c>
      <c r="B384" s="44"/>
      <c r="C384" s="44" t="s">
        <v>1</v>
      </c>
      <c r="D384" s="44"/>
      <c r="E384" s="44" t="s">
        <v>1</v>
      </c>
      <c r="F384" s="44"/>
      <c r="G384" s="44" t="s">
        <v>1</v>
      </c>
      <c r="H384" s="44"/>
      <c r="I384" s="45" t="s">
        <v>1</v>
      </c>
      <c r="J384" s="46"/>
      <c r="K384" s="45" t="s">
        <v>1</v>
      </c>
      <c r="L384" s="33"/>
      <c r="M384" s="45" t="s">
        <v>1</v>
      </c>
      <c r="N384" s="33"/>
      <c r="O384" s="44" t="s">
        <v>2</v>
      </c>
      <c r="P384" s="44">
        <v>44810</v>
      </c>
      <c r="Q384" s="44" t="s">
        <v>2</v>
      </c>
      <c r="R384" s="44">
        <v>44810</v>
      </c>
      <c r="S384" s="44" t="s">
        <v>2</v>
      </c>
      <c r="T384" s="44"/>
      <c r="U384" s="44" t="s">
        <v>2</v>
      </c>
      <c r="V384" s="44"/>
      <c r="W384" s="44"/>
      <c r="X384" s="44"/>
      <c r="Y384" s="44"/>
      <c r="Z384" s="44"/>
      <c r="AA384" s="44" t="s">
        <v>1</v>
      </c>
      <c r="AB384" s="44"/>
      <c r="AC384" s="51">
        <v>45963</v>
      </c>
      <c r="AD384" s="50">
        <v>45963</v>
      </c>
      <c r="AE384" s="41" t="s">
        <v>1</v>
      </c>
      <c r="AF384" s="41" t="s">
        <v>1</v>
      </c>
      <c r="AG384" s="76" t="s">
        <v>5</v>
      </c>
      <c r="AH384" s="36" t="s">
        <v>0</v>
      </c>
      <c r="AI384" s="49">
        <v>0</v>
      </c>
      <c r="AJ384" s="36"/>
      <c r="AK384" s="10" t="s">
        <v>30</v>
      </c>
      <c r="AL384" s="36" t="s">
        <v>30</v>
      </c>
      <c r="AM384" s="36" t="s">
        <v>30</v>
      </c>
      <c r="AN384" s="35" t="s">
        <v>1</v>
      </c>
      <c r="AO384" s="35" t="s">
        <v>1</v>
      </c>
      <c r="AP384" s="35"/>
      <c r="AQ384" s="35" t="s">
        <v>1</v>
      </c>
      <c r="AR384" s="34" t="s">
        <v>1</v>
      </c>
      <c r="AS384" s="33"/>
      <c r="AT384" s="32"/>
      <c r="AU384" s="31"/>
      <c r="AV384" s="32"/>
      <c r="AW384" s="31"/>
      <c r="AX384" s="30" t="s">
        <v>0</v>
      </c>
      <c r="AY384" s="29"/>
      <c r="AZ384" s="28" t="s">
        <v>0</v>
      </c>
      <c r="BA384" s="27"/>
      <c r="BB384" s="74" t="s">
        <v>506</v>
      </c>
      <c r="BC384" s="25"/>
      <c r="BD384" s="24" t="s">
        <v>11</v>
      </c>
      <c r="BE384" s="24" t="s">
        <v>11</v>
      </c>
      <c r="BF384" s="24" t="s">
        <v>11</v>
      </c>
      <c r="BG384" s="24" t="s">
        <v>11</v>
      </c>
      <c r="BH384" s="130" t="s">
        <v>0</v>
      </c>
      <c r="BI384" s="24"/>
      <c r="BJ384" s="24" t="s">
        <v>11</v>
      </c>
      <c r="BK384" s="24" t="s">
        <v>11</v>
      </c>
      <c r="BL384" s="24" t="s">
        <v>11</v>
      </c>
      <c r="BM384" s="24" t="s">
        <v>11</v>
      </c>
      <c r="BN384" s="24" t="s">
        <v>11</v>
      </c>
      <c r="BO384" s="24" t="s">
        <v>11</v>
      </c>
      <c r="BP384" s="24" t="s">
        <v>11</v>
      </c>
      <c r="BQ384" s="22">
        <f>YEAR([1]!BANCO10[[#This Row],[DATA INÍCIO]])</f>
        <v>2025</v>
      </c>
      <c r="BR384" s="22">
        <f>MONTH([1]!BANCO10[[#This Row],[DATA INÍCIO]])</f>
        <v>11</v>
      </c>
      <c r="BS384" s="129" t="e">
        <f>CONCATENATE(#REF!,#REF!)</f>
        <v>#REF!</v>
      </c>
      <c r="BT384" s="22"/>
      <c r="BU384" s="21" t="s">
        <v>30</v>
      </c>
      <c r="BV384" s="21" t="str">
        <f>IF([1]!BANCO10[[#This Row],[SOLUÇÃO]]=BV$1,[1]!BANCO10[[#This Row],[STATUS DA ETAPA]],"")</f>
        <v/>
      </c>
      <c r="BW384" s="21" t="str">
        <f>IF([1]!BANCO10[[#This Row],[SOLUÇÃO]]=BW$1,[1]!BANCO10[[#This Row],[STATUS DA ETAPA]],"")</f>
        <v/>
      </c>
      <c r="BX384" s="21" t="str">
        <f>IF([1]!BANCO10[[#This Row],[SOLUÇÃO]]=BX$1,[1]!BANCO10[[#This Row],[STATUS DA ETAPA]],"")</f>
        <v/>
      </c>
      <c r="BY384" s="21" t="str">
        <f>IF([1]!BANCO10[[#This Row],[SOLUÇÃO]]=BY$1,[1]!BANCO10[[#This Row],[STATUS DA ETAPA]],"")</f>
        <v/>
      </c>
      <c r="BZ384" s="21" t="str">
        <f>IF([1]!BANCO10[[#This Row],[SOLUÇÃO]]=BZ$1,[1]!BANCO10[[#This Row],[STATUS DA ETAPA]],"")</f>
        <v/>
      </c>
      <c r="CA384" s="21" t="str">
        <f>IF([1]!BANCO10[[#This Row],[SOLUÇÃO]]=CA$1,[1]!BANCO10[[#This Row],[STATUS DA ETAPA]],"")</f>
        <v>PROSPECÇÃO</v>
      </c>
      <c r="CB384" s="21" t="str">
        <f>IF([1]!BANCO10[[#This Row],[SOLUÇÃO]]=CB$1,[1]!BANCO10[[#This Row],[STATUS DA ETAPA]],"")</f>
        <v/>
      </c>
      <c r="CC384" s="21" t="str">
        <f>IF([1]!BANCO10[[#This Row],[SOLUÇÃO]]=CC$1,[1]!BANCO10[[#This Row],[STATUS DA ETAPA]],"")</f>
        <v/>
      </c>
      <c r="CD384" s="21" t="str">
        <f>IF([1]!BANCO10[[#This Row],[SOLUÇÃO]]=CD$1,[1]!BANCO10[[#This Row],[STATUS DA ETAPA]],"")</f>
        <v/>
      </c>
      <c r="CE384" s="21" t="str">
        <f>IF([1]!BANCO10[[#This Row],[SOLUÇÃO]]=CE$1,[1]!BANCO10[[#This Row],[STATUS DA ETAPA]],"")</f>
        <v/>
      </c>
      <c r="CF384" s="21" t="str">
        <f>IF([1]!BANCO10[[#This Row],[SOLUÇÃO]]=CF$1,[1]!BANCO10[[#This Row],[STATUS DA ETAPA]],"")</f>
        <v/>
      </c>
      <c r="CG384" s="21" t="str">
        <f>IF([1]!BANCO10[[#This Row],[SOLUÇÃO]]=CG$1,[1]!BANCO10[[#This Row],[STATUS DA ETAPA]],"")</f>
        <v/>
      </c>
      <c r="CH384" s="21" t="str">
        <f>IF([1]!BANCO10[[#This Row],[SOLUÇÃO]]=CH$1,[1]!BANCO10[[#This Row],[STATUS DA ETAPA]],"")</f>
        <v/>
      </c>
      <c r="CI384" s="21" t="str">
        <f>IF([1]!BANCO10[[#This Row],[SOLUÇÃO]]=CI$1,[1]!BANCO10[[#This Row],[STATUS DA ETAPA]],"")</f>
        <v/>
      </c>
      <c r="CJ384" s="21" t="str">
        <f>IF([1]!BANCO10[[#This Row],[SOLUÇÃO]]=CJ$1,[1]!BANCO10[[#This Row],[STATUS DA ETAPA]],"")</f>
        <v/>
      </c>
      <c r="CK384" s="21" t="str">
        <f>IF([1]!BANCO10[[#This Row],[SOLUÇÃO]]=CK$1,[1]!BANCO10[[#This Row],[STATUS DA ETAPA]],"")</f>
        <v/>
      </c>
      <c r="CL384" s="21" t="str">
        <f>IF([1]!BANCO10[[#This Row],[SOLUÇÃO]]=CL$1,[1]!BANCO10[[#This Row],[STATUS DA ETAPA]],"")</f>
        <v/>
      </c>
      <c r="CM384" s="21" t="str">
        <f>IF([1]!BANCO10[[#This Row],[SOLUÇÃO]]=CM$1,[1]!BANCO10[[#This Row],[STATUS DA ETAPA]],"")</f>
        <v/>
      </c>
      <c r="CN384" s="21" t="str">
        <f>IF([1]!BANCO10[[#This Row],[SOLUÇÃO]]=CN$1,[1]!BANCO10[[#This Row],[STATUS DA ETAPA]],"")</f>
        <v/>
      </c>
      <c r="CO384" s="21" t="str">
        <f>IF([1]!BANCO10[[#This Row],[SOLUÇÃO]]=CO$1,[1]!BANCO10[[#This Row],[STATUS DA ETAPA]],"")</f>
        <v/>
      </c>
      <c r="CP384" s="21" t="str">
        <f>IF([1]!BANCO10[[#This Row],[SOLUÇÃO]]=CP$1,[1]!BANCO10[[#This Row],[STATUS DA ETAPA]],"")</f>
        <v/>
      </c>
      <c r="CQ384" s="21" t="str">
        <f>IF([1]!BANCO10[[#This Row],[SOLUÇÃO]]=CQ$1,[1]!BANCO10[[#This Row],[STATUS DA ETAPA]],"")</f>
        <v/>
      </c>
      <c r="CR384" s="21" t="str">
        <f>IF([1]!BANCO10[[#This Row],[SOLUÇÃO]]=CR$1,[1]!BANCO10[[#This Row],[STATUS DA ETAPA]],"")</f>
        <v/>
      </c>
      <c r="CS384" s="21" t="str">
        <f>IF([1]!BANCO10[[#This Row],[SOLUÇÃO]]=CS$1,[1]!BANCO10[[#This Row],[STATUS DA ETAPA]],"")</f>
        <v/>
      </c>
      <c r="CT384" s="21" t="str">
        <f>IF([1]!BANCO10[[#This Row],[SOLUÇÃO]]=CT$1,[1]!BANCO10[[#This Row],[STATUS DA ETAPA]],"")</f>
        <v/>
      </c>
      <c r="CU384" s="21" t="str">
        <f>IF([1]!BANCO10[[#This Row],[SOLUÇÃO]]=CU$1,[1]!BANCO10[[#This Row],[STATUS DA ETAPA]],"")</f>
        <v/>
      </c>
      <c r="CV384" s="21" t="str">
        <f>IF([1]!BANCO10[[#This Row],[SOLUÇÃO]]=CV$1,[1]!BANCO10[[#This Row],[STATUS DA ETAPA]],"")</f>
        <v/>
      </c>
    </row>
    <row r="385" spans="1:100">
      <c r="A385" s="44" t="s">
        <v>1</v>
      </c>
      <c r="B385" s="44"/>
      <c r="C385" s="44" t="s">
        <v>1</v>
      </c>
      <c r="D385" s="44"/>
      <c r="E385" s="44" t="s">
        <v>1</v>
      </c>
      <c r="F385" s="44"/>
      <c r="G385" s="44" t="s">
        <v>1</v>
      </c>
      <c r="H385" s="44"/>
      <c r="I385" s="45" t="s">
        <v>1</v>
      </c>
      <c r="J385" s="46"/>
      <c r="K385" s="45" t="s">
        <v>1</v>
      </c>
      <c r="L385" s="33"/>
      <c r="M385" s="45" t="s">
        <v>1</v>
      </c>
      <c r="N385" s="33"/>
      <c r="O385" s="44" t="s">
        <v>1</v>
      </c>
      <c r="P385" s="44"/>
      <c r="Q385" s="44" t="s">
        <v>1</v>
      </c>
      <c r="R385" s="44"/>
      <c r="S385" s="44" t="s">
        <v>1</v>
      </c>
      <c r="T385" s="44"/>
      <c r="U385" s="44" t="s">
        <v>1</v>
      </c>
      <c r="V385" s="44"/>
      <c r="W385" s="44" t="s">
        <v>1</v>
      </c>
      <c r="X385" s="44"/>
      <c r="Y385" s="44" t="s">
        <v>1</v>
      </c>
      <c r="Z385" s="44"/>
      <c r="AA385" s="44" t="s">
        <v>1</v>
      </c>
      <c r="AB385" s="44"/>
      <c r="AC385" s="51">
        <v>45963</v>
      </c>
      <c r="AD385" s="50">
        <v>45963</v>
      </c>
      <c r="AE385" s="40" t="s">
        <v>1</v>
      </c>
      <c r="AF385" s="40" t="s">
        <v>1</v>
      </c>
      <c r="AG385" s="40" t="s">
        <v>1</v>
      </c>
      <c r="AH385" s="36" t="s">
        <v>1</v>
      </c>
      <c r="AI385" s="49">
        <v>0</v>
      </c>
      <c r="AJ385" s="36" t="s">
        <v>1</v>
      </c>
      <c r="AK385" s="10" t="s">
        <v>1</v>
      </c>
      <c r="AL385" s="36" t="s">
        <v>1</v>
      </c>
      <c r="AM385" s="36" t="s">
        <v>1</v>
      </c>
      <c r="AN385" s="35" t="s">
        <v>1</v>
      </c>
      <c r="AO385" s="35" t="s">
        <v>1</v>
      </c>
      <c r="AP385" s="35" t="s">
        <v>1</v>
      </c>
      <c r="AQ385" s="35" t="s">
        <v>1</v>
      </c>
      <c r="AR385" s="34" t="s">
        <v>1</v>
      </c>
      <c r="AS385" s="63"/>
      <c r="AT385" s="32" t="s">
        <v>1</v>
      </c>
      <c r="AU385" s="31"/>
      <c r="AV385" s="32" t="s">
        <v>1</v>
      </c>
      <c r="AW385" s="31"/>
      <c r="AX385" s="32" t="s">
        <v>1</v>
      </c>
      <c r="AY385" s="31"/>
      <c r="AZ385" s="32" t="s">
        <v>1</v>
      </c>
      <c r="BA385" s="31"/>
      <c r="BB385" s="74" t="s">
        <v>505</v>
      </c>
      <c r="BC385" s="25"/>
      <c r="BD385" s="24" t="s">
        <v>19</v>
      </c>
      <c r="BE385" s="24" t="s">
        <v>19</v>
      </c>
      <c r="BF385" s="24" t="s">
        <v>51</v>
      </c>
      <c r="BG385" s="24" t="s">
        <v>11</v>
      </c>
      <c r="BH385" s="130" t="s">
        <v>19</v>
      </c>
      <c r="BI385" s="24"/>
      <c r="BJ385" s="24" t="s">
        <v>11</v>
      </c>
      <c r="BK385" s="24" t="s">
        <v>11</v>
      </c>
      <c r="BL385" s="24">
        <v>45412</v>
      </c>
      <c r="BM385" s="24"/>
      <c r="BN385" s="24" t="s">
        <v>11</v>
      </c>
      <c r="BO385" s="24"/>
      <c r="BP385" s="24" t="s">
        <v>504</v>
      </c>
      <c r="BQ385" s="22">
        <f>YEAR([1]!BANCO10[[#This Row],[DATA INÍCIO]])</f>
        <v>2025</v>
      </c>
      <c r="BR385" s="22">
        <f>MONTH([1]!BANCO10[[#This Row],[DATA INÍCIO]])</f>
        <v>11</v>
      </c>
      <c r="BS385" s="129" t="e">
        <f>CONCATENATE(#REF!,#REF!)</f>
        <v>#REF!</v>
      </c>
      <c r="BT385" s="22"/>
      <c r="BU385" s="21" t="s">
        <v>1</v>
      </c>
      <c r="BV385" s="21" t="str">
        <f>IF([1]!BANCO10[[#This Row],[SOLUÇÃO]]=BV$1,[1]!BANCO10[[#This Row],[STATUS DA ETAPA]],"")</f>
        <v/>
      </c>
      <c r="BW385" s="21" t="str">
        <f>IF([1]!BANCO10[[#This Row],[SOLUÇÃO]]=BW$1,[1]!BANCO10[[#This Row],[STATUS DA ETAPA]],"")</f>
        <v/>
      </c>
      <c r="BX385" s="21" t="str">
        <f>IF([1]!BANCO10[[#This Row],[SOLUÇÃO]]=BX$1,[1]!BANCO10[[#This Row],[STATUS DA ETAPA]],"")</f>
        <v/>
      </c>
      <c r="BY385" s="21" t="str">
        <f>IF([1]!BANCO10[[#This Row],[SOLUÇÃO]]=BY$1,[1]!BANCO10[[#This Row],[STATUS DA ETAPA]],"")</f>
        <v/>
      </c>
      <c r="BZ385" s="21" t="str">
        <f>IF([1]!BANCO10[[#This Row],[SOLUÇÃO]]=BZ$1,[1]!BANCO10[[#This Row],[STATUS DA ETAPA]],"")</f>
        <v/>
      </c>
      <c r="CA385" s="21" t="str">
        <f>IF([1]!BANCO10[[#This Row],[SOLUÇÃO]]=CA$1,[1]!BANCO10[[#This Row],[STATUS DA ETAPA]],"")</f>
        <v>CANCELADO</v>
      </c>
      <c r="CB385" s="21" t="str">
        <f>IF([1]!BANCO10[[#This Row],[SOLUÇÃO]]=CB$1,[1]!BANCO10[[#This Row],[STATUS DA ETAPA]],"")</f>
        <v/>
      </c>
      <c r="CC385" s="21" t="str">
        <f>IF([1]!BANCO10[[#This Row],[SOLUÇÃO]]=CC$1,[1]!BANCO10[[#This Row],[STATUS DA ETAPA]],"")</f>
        <v/>
      </c>
      <c r="CD385" s="21" t="str">
        <f>IF([1]!BANCO10[[#This Row],[SOLUÇÃO]]=CD$1,[1]!BANCO10[[#This Row],[STATUS DA ETAPA]],"")</f>
        <v/>
      </c>
      <c r="CE385" s="21" t="str">
        <f>IF([1]!BANCO10[[#This Row],[SOLUÇÃO]]=CE$1,[1]!BANCO10[[#This Row],[STATUS DA ETAPA]],"")</f>
        <v/>
      </c>
      <c r="CF385" s="21" t="str">
        <f>IF([1]!BANCO10[[#This Row],[SOLUÇÃO]]=CF$1,[1]!BANCO10[[#This Row],[STATUS DA ETAPA]],"")</f>
        <v/>
      </c>
      <c r="CG385" s="21" t="str">
        <f>IF([1]!BANCO10[[#This Row],[SOLUÇÃO]]=CG$1,[1]!BANCO10[[#This Row],[STATUS DA ETAPA]],"")</f>
        <v/>
      </c>
      <c r="CH385" s="21" t="str">
        <f>IF([1]!BANCO10[[#This Row],[SOLUÇÃO]]=CH$1,[1]!BANCO10[[#This Row],[STATUS DA ETAPA]],"")</f>
        <v/>
      </c>
      <c r="CI385" s="21" t="str">
        <f>IF([1]!BANCO10[[#This Row],[SOLUÇÃO]]=CI$1,[1]!BANCO10[[#This Row],[STATUS DA ETAPA]],"")</f>
        <v/>
      </c>
      <c r="CJ385" s="21" t="str">
        <f>IF([1]!BANCO10[[#This Row],[SOLUÇÃO]]=CJ$1,[1]!BANCO10[[#This Row],[STATUS DA ETAPA]],"")</f>
        <v/>
      </c>
      <c r="CK385" s="21" t="str">
        <f>IF([1]!BANCO10[[#This Row],[SOLUÇÃO]]=CK$1,[1]!BANCO10[[#This Row],[STATUS DA ETAPA]],"")</f>
        <v/>
      </c>
      <c r="CL385" s="21" t="str">
        <f>IF([1]!BANCO10[[#This Row],[SOLUÇÃO]]=CL$1,[1]!BANCO10[[#This Row],[STATUS DA ETAPA]],"")</f>
        <v/>
      </c>
      <c r="CM385" s="21" t="str">
        <f>IF([1]!BANCO10[[#This Row],[SOLUÇÃO]]=CM$1,[1]!BANCO10[[#This Row],[STATUS DA ETAPA]],"")</f>
        <v/>
      </c>
      <c r="CN385" s="21" t="str">
        <f>IF([1]!BANCO10[[#This Row],[SOLUÇÃO]]=CN$1,[1]!BANCO10[[#This Row],[STATUS DA ETAPA]],"")</f>
        <v/>
      </c>
      <c r="CO385" s="21" t="str">
        <f>IF([1]!BANCO10[[#This Row],[SOLUÇÃO]]=CO$1,[1]!BANCO10[[#This Row],[STATUS DA ETAPA]],"")</f>
        <v/>
      </c>
      <c r="CP385" s="21" t="str">
        <f>IF([1]!BANCO10[[#This Row],[SOLUÇÃO]]=CP$1,[1]!BANCO10[[#This Row],[STATUS DA ETAPA]],"")</f>
        <v/>
      </c>
      <c r="CQ385" s="21" t="str">
        <f>IF([1]!BANCO10[[#This Row],[SOLUÇÃO]]=CQ$1,[1]!BANCO10[[#This Row],[STATUS DA ETAPA]],"")</f>
        <v/>
      </c>
      <c r="CR385" s="21" t="str">
        <f>IF([1]!BANCO10[[#This Row],[SOLUÇÃO]]=CR$1,[1]!BANCO10[[#This Row],[STATUS DA ETAPA]],"")</f>
        <v/>
      </c>
      <c r="CS385" s="21" t="str">
        <f>IF([1]!BANCO10[[#This Row],[SOLUÇÃO]]=CS$1,[1]!BANCO10[[#This Row],[STATUS DA ETAPA]],"")</f>
        <v/>
      </c>
      <c r="CT385" s="21" t="str">
        <f>IF([1]!BANCO10[[#This Row],[SOLUÇÃO]]=CT$1,[1]!BANCO10[[#This Row],[STATUS DA ETAPA]],"")</f>
        <v/>
      </c>
      <c r="CU385" s="21" t="str">
        <f>IF([1]!BANCO10[[#This Row],[SOLUÇÃO]]=CU$1,[1]!BANCO10[[#This Row],[STATUS DA ETAPA]],"")</f>
        <v/>
      </c>
      <c r="CV385" s="21" t="str">
        <f>IF([1]!BANCO10[[#This Row],[SOLUÇÃO]]=CV$1,[1]!BANCO10[[#This Row],[STATUS DA ETAPA]],"")</f>
        <v/>
      </c>
    </row>
    <row r="386" spans="1:100">
      <c r="A386" s="44" t="s">
        <v>1</v>
      </c>
      <c r="B386" s="44"/>
      <c r="C386" s="44" t="s">
        <v>1</v>
      </c>
      <c r="D386" s="44"/>
      <c r="E386" s="44" t="s">
        <v>1</v>
      </c>
      <c r="F386" s="44"/>
      <c r="G386" s="44" t="s">
        <v>1</v>
      </c>
      <c r="H386" s="44"/>
      <c r="I386" s="45" t="s">
        <v>1</v>
      </c>
      <c r="J386" s="46"/>
      <c r="K386" s="45" t="s">
        <v>1</v>
      </c>
      <c r="L386" s="33"/>
      <c r="M386" s="45" t="s">
        <v>1</v>
      </c>
      <c r="N386" s="33"/>
      <c r="O386" s="44" t="s">
        <v>2</v>
      </c>
      <c r="P386" s="44">
        <v>44707</v>
      </c>
      <c r="Q386" s="44" t="s">
        <v>0</v>
      </c>
      <c r="R386" s="44"/>
      <c r="S386" s="44" t="s">
        <v>1</v>
      </c>
      <c r="T386" s="44"/>
      <c r="U386" s="44" t="s">
        <v>1</v>
      </c>
      <c r="V386" s="44"/>
      <c r="W386" s="44" t="s">
        <v>1</v>
      </c>
      <c r="X386" s="44"/>
      <c r="Y386" s="44" t="s">
        <v>1</v>
      </c>
      <c r="Z386" s="44"/>
      <c r="AA386" s="44" t="s">
        <v>1</v>
      </c>
      <c r="AB386" s="44"/>
      <c r="AC386" s="51">
        <v>44705</v>
      </c>
      <c r="AD386" s="51">
        <v>44705</v>
      </c>
      <c r="AE386" s="40" t="s">
        <v>1</v>
      </c>
      <c r="AF386" s="40" t="s">
        <v>1</v>
      </c>
      <c r="AG386" s="76" t="s">
        <v>5</v>
      </c>
      <c r="AH386" s="36" t="s">
        <v>1</v>
      </c>
      <c r="AI386" s="49">
        <v>0</v>
      </c>
      <c r="AJ386" s="36" t="s">
        <v>1</v>
      </c>
      <c r="AK386" s="10" t="s">
        <v>1</v>
      </c>
      <c r="AL386" s="36" t="s">
        <v>1</v>
      </c>
      <c r="AM386" s="36" t="s">
        <v>1</v>
      </c>
      <c r="AN386" s="35" t="s">
        <v>1</v>
      </c>
      <c r="AO386" s="35" t="s">
        <v>1</v>
      </c>
      <c r="AP386" s="35" t="s">
        <v>1</v>
      </c>
      <c r="AQ386" s="35" t="s">
        <v>1</v>
      </c>
      <c r="AR386" s="82" t="s">
        <v>1</v>
      </c>
      <c r="AS386" s="33"/>
      <c r="AT386" s="32" t="s">
        <v>1</v>
      </c>
      <c r="AU386" s="31"/>
      <c r="AV386" s="32" t="s">
        <v>1</v>
      </c>
      <c r="AW386" s="31"/>
      <c r="AX386" s="30" t="s">
        <v>1</v>
      </c>
      <c r="AY386" s="55"/>
      <c r="AZ386" s="30" t="s">
        <v>1</v>
      </c>
      <c r="BA386" s="55"/>
      <c r="BB386" s="74" t="s">
        <v>503</v>
      </c>
      <c r="BC386" s="25"/>
      <c r="BD386" s="24" t="s">
        <v>19</v>
      </c>
      <c r="BE386" s="24" t="s">
        <v>19</v>
      </c>
      <c r="BF386" s="24" t="s">
        <v>51</v>
      </c>
      <c r="BG386" s="24" t="s">
        <v>11</v>
      </c>
      <c r="BH386" s="130" t="s">
        <v>19</v>
      </c>
      <c r="BI386" s="24"/>
      <c r="BJ386" s="24" t="s">
        <v>11</v>
      </c>
      <c r="BK386" s="24" t="s">
        <v>11</v>
      </c>
      <c r="BL386" s="24" t="s">
        <v>11</v>
      </c>
      <c r="BM386" s="24" t="s">
        <v>11</v>
      </c>
      <c r="BN386" s="24" t="s">
        <v>11</v>
      </c>
      <c r="BO386" s="24" t="s">
        <v>11</v>
      </c>
      <c r="BP386" s="24" t="s">
        <v>11</v>
      </c>
      <c r="BQ386" s="22">
        <f>YEAR([1]!BANCO10[[#This Row],[DATA INÍCIO]])</f>
        <v>2022</v>
      </c>
      <c r="BR386" s="22">
        <f>MONTH([1]!BANCO10[[#This Row],[DATA INÍCIO]])</f>
        <v>5</v>
      </c>
      <c r="BS386" s="129" t="e">
        <f>CONCATENATE(#REF!,#REF!)</f>
        <v>#REF!</v>
      </c>
      <c r="BT386" s="22"/>
      <c r="BU386" s="21" t="s">
        <v>502</v>
      </c>
      <c r="BV386" s="21" t="str">
        <f>IF([1]!BANCO10[[#This Row],[SOLUÇÃO]]=BV$1,[1]!BANCO10[[#This Row],[STATUS DA ETAPA]],"")</f>
        <v>CONCLUÍDO</v>
      </c>
      <c r="BW386" s="21" t="str">
        <f>IF([1]!BANCO10[[#This Row],[SOLUÇÃO]]=BW$1,[1]!BANCO10[[#This Row],[STATUS DA ETAPA]],"")</f>
        <v/>
      </c>
      <c r="BX386" s="21" t="str">
        <f>IF([1]!BANCO10[[#This Row],[SOLUÇÃO]]=BX$1,[1]!BANCO10[[#This Row],[STATUS DA ETAPA]],"")</f>
        <v/>
      </c>
      <c r="BY386" s="21" t="str">
        <f>IF([1]!BANCO10[[#This Row],[SOLUÇÃO]]=BY$1,[1]!BANCO10[[#This Row],[STATUS DA ETAPA]],"")</f>
        <v/>
      </c>
      <c r="BZ386" s="21" t="str">
        <f>IF([1]!BANCO10[[#This Row],[SOLUÇÃO]]=BZ$1,[1]!BANCO10[[#This Row],[STATUS DA ETAPA]],"")</f>
        <v/>
      </c>
      <c r="CA386" s="21" t="str">
        <f>IF([1]!BANCO10[[#This Row],[SOLUÇÃO]]=CA$1,[1]!BANCO10[[#This Row],[STATUS DA ETAPA]],"")</f>
        <v/>
      </c>
      <c r="CB386" s="21" t="str">
        <f>IF([1]!BANCO10[[#This Row],[SOLUÇÃO]]=CB$1,[1]!BANCO10[[#This Row],[STATUS DA ETAPA]],"")</f>
        <v/>
      </c>
      <c r="CC386" s="21" t="str">
        <f>IF([1]!BANCO10[[#This Row],[SOLUÇÃO]]=CC$1,[1]!BANCO10[[#This Row],[STATUS DA ETAPA]],"")</f>
        <v/>
      </c>
      <c r="CD386" s="21" t="str">
        <f>IF([1]!BANCO10[[#This Row],[SOLUÇÃO]]=CD$1,[1]!BANCO10[[#This Row],[STATUS DA ETAPA]],"")</f>
        <v/>
      </c>
      <c r="CE386" s="21" t="str">
        <f>IF([1]!BANCO10[[#This Row],[SOLUÇÃO]]=CE$1,[1]!BANCO10[[#This Row],[STATUS DA ETAPA]],"")</f>
        <v/>
      </c>
      <c r="CF386" s="21" t="str">
        <f>IF([1]!BANCO10[[#This Row],[SOLUÇÃO]]=CF$1,[1]!BANCO10[[#This Row],[STATUS DA ETAPA]],"")</f>
        <v/>
      </c>
      <c r="CG386" s="21" t="str">
        <f>IF([1]!BANCO10[[#This Row],[SOLUÇÃO]]=CG$1,[1]!BANCO10[[#This Row],[STATUS DA ETAPA]],"")</f>
        <v/>
      </c>
      <c r="CH386" s="21" t="str">
        <f>IF([1]!BANCO10[[#This Row],[SOLUÇÃO]]=CH$1,[1]!BANCO10[[#This Row],[STATUS DA ETAPA]],"")</f>
        <v/>
      </c>
      <c r="CI386" s="21" t="str">
        <f>IF([1]!BANCO10[[#This Row],[SOLUÇÃO]]=CI$1,[1]!BANCO10[[#This Row],[STATUS DA ETAPA]],"")</f>
        <v/>
      </c>
      <c r="CJ386" s="21" t="str">
        <f>IF([1]!BANCO10[[#This Row],[SOLUÇÃO]]=CJ$1,[1]!BANCO10[[#This Row],[STATUS DA ETAPA]],"")</f>
        <v/>
      </c>
      <c r="CK386" s="21" t="str">
        <f>IF([1]!BANCO10[[#This Row],[SOLUÇÃO]]=CK$1,[1]!BANCO10[[#This Row],[STATUS DA ETAPA]],"")</f>
        <v/>
      </c>
      <c r="CL386" s="21" t="str">
        <f>IF([1]!BANCO10[[#This Row],[SOLUÇÃO]]=CL$1,[1]!BANCO10[[#This Row],[STATUS DA ETAPA]],"")</f>
        <v/>
      </c>
      <c r="CM386" s="21" t="str">
        <f>IF([1]!BANCO10[[#This Row],[SOLUÇÃO]]=CM$1,[1]!BANCO10[[#This Row],[STATUS DA ETAPA]],"")</f>
        <v/>
      </c>
      <c r="CN386" s="21" t="str">
        <f>IF([1]!BANCO10[[#This Row],[SOLUÇÃO]]=CN$1,[1]!BANCO10[[#This Row],[STATUS DA ETAPA]],"")</f>
        <v/>
      </c>
      <c r="CO386" s="21" t="str">
        <f>IF([1]!BANCO10[[#This Row],[SOLUÇÃO]]=CO$1,[1]!BANCO10[[#This Row],[STATUS DA ETAPA]],"")</f>
        <v/>
      </c>
      <c r="CP386" s="21" t="str">
        <f>IF([1]!BANCO10[[#This Row],[SOLUÇÃO]]=CP$1,[1]!BANCO10[[#This Row],[STATUS DA ETAPA]],"")</f>
        <v/>
      </c>
      <c r="CQ386" s="21" t="str">
        <f>IF([1]!BANCO10[[#This Row],[SOLUÇÃO]]=CQ$1,[1]!BANCO10[[#This Row],[STATUS DA ETAPA]],"")</f>
        <v/>
      </c>
      <c r="CR386" s="21" t="str">
        <f>IF([1]!BANCO10[[#This Row],[SOLUÇÃO]]=CR$1,[1]!BANCO10[[#This Row],[STATUS DA ETAPA]],"")</f>
        <v/>
      </c>
      <c r="CS386" s="21" t="str">
        <f>IF([1]!BANCO10[[#This Row],[SOLUÇÃO]]=CS$1,[1]!BANCO10[[#This Row],[STATUS DA ETAPA]],"")</f>
        <v/>
      </c>
      <c r="CT386" s="21" t="str">
        <f>IF([1]!BANCO10[[#This Row],[SOLUÇÃO]]=CT$1,[1]!BANCO10[[#This Row],[STATUS DA ETAPA]],"")</f>
        <v/>
      </c>
      <c r="CU386" s="21" t="str">
        <f>IF([1]!BANCO10[[#This Row],[SOLUÇÃO]]=CU$1,[1]!BANCO10[[#This Row],[STATUS DA ETAPA]],"")</f>
        <v/>
      </c>
      <c r="CV386" s="21" t="str">
        <f>IF([1]!BANCO10[[#This Row],[SOLUÇÃO]]=CV$1,[1]!BANCO10[[#This Row],[STATUS DA ETAPA]],"")</f>
        <v/>
      </c>
    </row>
    <row r="387" spans="1:100">
      <c r="A387" s="44" t="s">
        <v>1</v>
      </c>
      <c r="B387" s="44"/>
      <c r="C387" s="44" t="s">
        <v>1</v>
      </c>
      <c r="D387" s="44"/>
      <c r="E387" s="44" t="s">
        <v>1</v>
      </c>
      <c r="F387" s="44"/>
      <c r="G387" s="44" t="s">
        <v>1</v>
      </c>
      <c r="H387" s="44"/>
      <c r="I387" s="45" t="s">
        <v>1</v>
      </c>
      <c r="J387" s="46"/>
      <c r="K387" s="45" t="s">
        <v>1</v>
      </c>
      <c r="L387" s="33"/>
      <c r="M387" s="45" t="s">
        <v>1</v>
      </c>
      <c r="N387" s="33"/>
      <c r="O387" s="44" t="s">
        <v>1</v>
      </c>
      <c r="P387" s="44"/>
      <c r="Q387" s="44" t="s">
        <v>1</v>
      </c>
      <c r="R387" s="44"/>
      <c r="S387" s="44" t="s">
        <v>1</v>
      </c>
      <c r="T387" s="44"/>
      <c r="U387" s="44" t="s">
        <v>1</v>
      </c>
      <c r="V387" s="44"/>
      <c r="W387" s="44" t="s">
        <v>1</v>
      </c>
      <c r="X387" s="44"/>
      <c r="Y387" s="44" t="s">
        <v>1</v>
      </c>
      <c r="Z387" s="44"/>
      <c r="AA387" s="44" t="s">
        <v>1</v>
      </c>
      <c r="AB387" s="44"/>
      <c r="AC387" s="51">
        <v>45313</v>
      </c>
      <c r="AD387" s="50">
        <v>45313</v>
      </c>
      <c r="AE387" s="40" t="s">
        <v>1</v>
      </c>
      <c r="AF387" s="40" t="s">
        <v>1</v>
      </c>
      <c r="AG387" s="76" t="s">
        <v>5</v>
      </c>
      <c r="AH387" s="36" t="s">
        <v>1</v>
      </c>
      <c r="AI387" s="49">
        <v>0</v>
      </c>
      <c r="AJ387" s="36" t="s">
        <v>1</v>
      </c>
      <c r="AK387" s="10" t="s">
        <v>1</v>
      </c>
      <c r="AL387" s="36" t="s">
        <v>1</v>
      </c>
      <c r="AM387" s="36" t="s">
        <v>1</v>
      </c>
      <c r="AN387" s="35" t="s">
        <v>1</v>
      </c>
      <c r="AO387" s="35" t="s">
        <v>1</v>
      </c>
      <c r="AP387" s="35" t="s">
        <v>1</v>
      </c>
      <c r="AQ387" s="35" t="s">
        <v>1</v>
      </c>
      <c r="AR387" s="82" t="s">
        <v>1</v>
      </c>
      <c r="AS387" s="33"/>
      <c r="AT387" s="32" t="s">
        <v>1</v>
      </c>
      <c r="AU387" s="31"/>
      <c r="AV387" s="32" t="s">
        <v>1</v>
      </c>
      <c r="AW387" s="31"/>
      <c r="AX387" s="30" t="s">
        <v>1</v>
      </c>
      <c r="AY387" s="55"/>
      <c r="AZ387" s="30" t="s">
        <v>1</v>
      </c>
      <c r="BA387" s="55"/>
      <c r="BB387" s="74" t="s">
        <v>15</v>
      </c>
      <c r="BC387" s="25" t="s">
        <v>14</v>
      </c>
      <c r="BD387" s="24"/>
      <c r="BE387" s="24"/>
      <c r="BF387" s="24"/>
      <c r="BG387" s="24"/>
      <c r="BH387" s="130" t="s">
        <v>0</v>
      </c>
      <c r="BI387" s="24"/>
      <c r="BJ387" s="24" t="s">
        <v>11</v>
      </c>
      <c r="BK387" s="24" t="s">
        <v>11</v>
      </c>
      <c r="BL387" s="24" t="s">
        <v>11</v>
      </c>
      <c r="BM387" s="24" t="s">
        <v>11</v>
      </c>
      <c r="BN387" s="24" t="s">
        <v>11</v>
      </c>
      <c r="BO387" s="24" t="s">
        <v>11</v>
      </c>
      <c r="BP387" s="24" t="s">
        <v>11</v>
      </c>
      <c r="BQ387" s="22">
        <f>YEAR([1]!BANCO10[[#This Row],[DATA INÍCIO]])</f>
        <v>2024</v>
      </c>
      <c r="BR387" s="22">
        <f>MONTH([1]!BANCO10[[#This Row],[DATA INÍCIO]])</f>
        <v>1</v>
      </c>
      <c r="BS387" s="129" t="e">
        <f>CONCATENATE(#REF!,#REF!)</f>
        <v>#REF!</v>
      </c>
      <c r="BT387" s="22"/>
      <c r="BU387" s="21" t="s">
        <v>501</v>
      </c>
      <c r="BV387" s="21" t="str">
        <f>IF([1]!BANCO10[[#This Row],[SOLUÇÃO]]=BV$1,[1]!BANCO10[[#This Row],[STATUS DA ETAPA]],"")</f>
        <v>CONCLUÍDO</v>
      </c>
      <c r="BW387" s="21" t="str">
        <f>IF([1]!BANCO10[[#This Row],[SOLUÇÃO]]=BW$1,[1]!BANCO10[[#This Row],[STATUS DA ETAPA]],"")</f>
        <v/>
      </c>
      <c r="BX387" s="21" t="str">
        <f>IF([1]!BANCO10[[#This Row],[SOLUÇÃO]]=BX$1,[1]!BANCO10[[#This Row],[STATUS DA ETAPA]],"")</f>
        <v/>
      </c>
      <c r="BY387" s="21" t="str">
        <f>IF([1]!BANCO10[[#This Row],[SOLUÇÃO]]=BY$1,[1]!BANCO10[[#This Row],[STATUS DA ETAPA]],"")</f>
        <v/>
      </c>
      <c r="BZ387" s="21" t="str">
        <f>IF([1]!BANCO10[[#This Row],[SOLUÇÃO]]=BZ$1,[1]!BANCO10[[#This Row],[STATUS DA ETAPA]],"")</f>
        <v/>
      </c>
      <c r="CA387" s="21" t="str">
        <f>IF([1]!BANCO10[[#This Row],[SOLUÇÃO]]=CA$1,[1]!BANCO10[[#This Row],[STATUS DA ETAPA]],"")</f>
        <v/>
      </c>
      <c r="CB387" s="21" t="str">
        <f>IF([1]!BANCO10[[#This Row],[SOLUÇÃO]]=CB$1,[1]!BANCO10[[#This Row],[STATUS DA ETAPA]],"")</f>
        <v/>
      </c>
      <c r="CC387" s="21" t="str">
        <f>IF([1]!BANCO10[[#This Row],[SOLUÇÃO]]=CC$1,[1]!BANCO10[[#This Row],[STATUS DA ETAPA]],"")</f>
        <v/>
      </c>
      <c r="CD387" s="21" t="str">
        <f>IF([1]!BANCO10[[#This Row],[SOLUÇÃO]]=CD$1,[1]!BANCO10[[#This Row],[STATUS DA ETAPA]],"")</f>
        <v/>
      </c>
      <c r="CE387" s="21" t="str">
        <f>IF([1]!BANCO10[[#This Row],[SOLUÇÃO]]=CE$1,[1]!BANCO10[[#This Row],[STATUS DA ETAPA]],"")</f>
        <v/>
      </c>
      <c r="CF387" s="21" t="str">
        <f>IF([1]!BANCO10[[#This Row],[SOLUÇÃO]]=CF$1,[1]!BANCO10[[#This Row],[STATUS DA ETAPA]],"")</f>
        <v/>
      </c>
      <c r="CG387" s="21" t="str">
        <f>IF([1]!BANCO10[[#This Row],[SOLUÇÃO]]=CG$1,[1]!BANCO10[[#This Row],[STATUS DA ETAPA]],"")</f>
        <v/>
      </c>
      <c r="CH387" s="21" t="str">
        <f>IF([1]!BANCO10[[#This Row],[SOLUÇÃO]]=CH$1,[1]!BANCO10[[#This Row],[STATUS DA ETAPA]],"")</f>
        <v/>
      </c>
      <c r="CI387" s="21" t="str">
        <f>IF([1]!BANCO10[[#This Row],[SOLUÇÃO]]=CI$1,[1]!BANCO10[[#This Row],[STATUS DA ETAPA]],"")</f>
        <v/>
      </c>
      <c r="CJ387" s="21" t="str">
        <f>IF([1]!BANCO10[[#This Row],[SOLUÇÃO]]=CJ$1,[1]!BANCO10[[#This Row],[STATUS DA ETAPA]],"")</f>
        <v/>
      </c>
      <c r="CK387" s="21" t="str">
        <f>IF([1]!BANCO10[[#This Row],[SOLUÇÃO]]=CK$1,[1]!BANCO10[[#This Row],[STATUS DA ETAPA]],"")</f>
        <v/>
      </c>
      <c r="CL387" s="21" t="str">
        <f>IF([1]!BANCO10[[#This Row],[SOLUÇÃO]]=CL$1,[1]!BANCO10[[#This Row],[STATUS DA ETAPA]],"")</f>
        <v/>
      </c>
      <c r="CM387" s="21" t="str">
        <f>IF([1]!BANCO10[[#This Row],[SOLUÇÃO]]=CM$1,[1]!BANCO10[[#This Row],[STATUS DA ETAPA]],"")</f>
        <v/>
      </c>
      <c r="CN387" s="21" t="str">
        <f>IF([1]!BANCO10[[#This Row],[SOLUÇÃO]]=CN$1,[1]!BANCO10[[#This Row],[STATUS DA ETAPA]],"")</f>
        <v/>
      </c>
      <c r="CO387" s="21" t="str">
        <f>IF([1]!BANCO10[[#This Row],[SOLUÇÃO]]=CO$1,[1]!BANCO10[[#This Row],[STATUS DA ETAPA]],"")</f>
        <v/>
      </c>
      <c r="CP387" s="21" t="str">
        <f>IF([1]!BANCO10[[#This Row],[SOLUÇÃO]]=CP$1,[1]!BANCO10[[#This Row],[STATUS DA ETAPA]],"")</f>
        <v/>
      </c>
      <c r="CQ387" s="21" t="str">
        <f>IF([1]!BANCO10[[#This Row],[SOLUÇÃO]]=CQ$1,[1]!BANCO10[[#This Row],[STATUS DA ETAPA]],"")</f>
        <v/>
      </c>
      <c r="CR387" s="21" t="str">
        <f>IF([1]!BANCO10[[#This Row],[SOLUÇÃO]]=CR$1,[1]!BANCO10[[#This Row],[STATUS DA ETAPA]],"")</f>
        <v/>
      </c>
      <c r="CS387" s="21" t="str">
        <f>IF([1]!BANCO10[[#This Row],[SOLUÇÃO]]=CS$1,[1]!BANCO10[[#This Row],[STATUS DA ETAPA]],"")</f>
        <v/>
      </c>
      <c r="CT387" s="21" t="str">
        <f>IF([1]!BANCO10[[#This Row],[SOLUÇÃO]]=CT$1,[1]!BANCO10[[#This Row],[STATUS DA ETAPA]],"")</f>
        <v/>
      </c>
      <c r="CU387" s="21" t="str">
        <f>IF([1]!BANCO10[[#This Row],[SOLUÇÃO]]=CU$1,[1]!BANCO10[[#This Row],[STATUS DA ETAPA]],"")</f>
        <v/>
      </c>
      <c r="CV387" s="21" t="str">
        <f>IF([1]!BANCO10[[#This Row],[SOLUÇÃO]]=CV$1,[1]!BANCO10[[#This Row],[STATUS DA ETAPA]],"")</f>
        <v/>
      </c>
    </row>
    <row r="388" spans="1:100">
      <c r="A388" s="44" t="s">
        <v>2</v>
      </c>
      <c r="B388" s="44">
        <v>45757</v>
      </c>
      <c r="C388" s="44" t="s">
        <v>2</v>
      </c>
      <c r="D388" s="44">
        <v>45757</v>
      </c>
      <c r="E388" s="44" t="s">
        <v>2</v>
      </c>
      <c r="F388" s="44">
        <v>45769</v>
      </c>
      <c r="G388" s="44" t="s">
        <v>2</v>
      </c>
      <c r="H388" s="44">
        <v>45769</v>
      </c>
      <c r="I388" s="45" t="s">
        <v>2</v>
      </c>
      <c r="J388" s="46">
        <v>45770</v>
      </c>
      <c r="K388" s="45" t="s">
        <v>0</v>
      </c>
      <c r="L388" s="33"/>
      <c r="M388" s="45" t="s">
        <v>0</v>
      </c>
      <c r="N388" s="33"/>
      <c r="O388" s="44" t="s">
        <v>1</v>
      </c>
      <c r="P388" s="44"/>
      <c r="Q388" s="44" t="s">
        <v>1</v>
      </c>
      <c r="R388" s="44"/>
      <c r="S388" s="44" t="s">
        <v>2</v>
      </c>
      <c r="T388" s="44">
        <v>45708</v>
      </c>
      <c r="U388" s="44" t="s">
        <v>1</v>
      </c>
      <c r="V388" s="44"/>
      <c r="W388" s="44" t="s">
        <v>1</v>
      </c>
      <c r="X388" s="44"/>
      <c r="Y388" s="44" t="s">
        <v>1</v>
      </c>
      <c r="Z388" s="44"/>
      <c r="AA388" s="44" t="s">
        <v>1</v>
      </c>
      <c r="AB388" s="44"/>
      <c r="AC388" s="51">
        <v>46022</v>
      </c>
      <c r="AD388" s="50">
        <v>46022</v>
      </c>
      <c r="AE388" s="41" t="s">
        <v>0</v>
      </c>
      <c r="AF388" s="41" t="s">
        <v>0</v>
      </c>
      <c r="AG388" s="40" t="s">
        <v>5</v>
      </c>
      <c r="AH388" s="36" t="s">
        <v>0</v>
      </c>
      <c r="AI388" s="49">
        <v>14440</v>
      </c>
      <c r="AJ388" s="36" t="s">
        <v>3</v>
      </c>
      <c r="AK388" s="10">
        <v>684038</v>
      </c>
      <c r="AL388" s="36" t="s">
        <v>1</v>
      </c>
      <c r="AM388" s="36" t="s">
        <v>1</v>
      </c>
      <c r="AN388" s="35" t="s">
        <v>0</v>
      </c>
      <c r="AO388" s="35" t="s">
        <v>0</v>
      </c>
      <c r="AP388" s="35" t="s">
        <v>0</v>
      </c>
      <c r="AQ388" s="35" t="s">
        <v>0</v>
      </c>
      <c r="AR388" s="34" t="s">
        <v>0</v>
      </c>
      <c r="AS388" s="33"/>
      <c r="AT388" s="32" t="s">
        <v>0</v>
      </c>
      <c r="AU388" s="31"/>
      <c r="AV388" s="32" t="s">
        <v>0</v>
      </c>
      <c r="AW388" s="31"/>
      <c r="AX388" s="32" t="s">
        <v>0</v>
      </c>
      <c r="AY388" s="31"/>
      <c r="AZ388" s="32" t="s">
        <v>0</v>
      </c>
      <c r="BA388" s="31"/>
      <c r="BB388" s="26" t="s">
        <v>7</v>
      </c>
      <c r="BC388" s="25" t="s">
        <v>500</v>
      </c>
      <c r="BD388" s="24"/>
      <c r="BE388" s="24"/>
      <c r="BF388" s="24"/>
      <c r="BG388" s="24"/>
      <c r="BH388" s="24"/>
      <c r="BI388" s="24"/>
      <c r="BJ388" s="24"/>
      <c r="BK388" s="24"/>
      <c r="BL388" s="24"/>
      <c r="BM388" s="24"/>
      <c r="BN388" s="24"/>
      <c r="BO388" s="24"/>
      <c r="BP388" s="24"/>
      <c r="BQ388" s="22">
        <f>YEAR([1]!BANCO10[[#This Row],[DATA INÍCIO]])</f>
        <v>2025</v>
      </c>
      <c r="BR388" s="22">
        <f>MONTH([1]!BANCO10[[#This Row],[DATA INÍCIO]])</f>
        <v>12</v>
      </c>
      <c r="BS388" s="23"/>
      <c r="BT388" s="22"/>
      <c r="BU388" s="22" t="str">
        <f>IF([1]!BANCO10[[#This Row],[SOLUÇÃO]]=BU$1,[1]!BANCO10[[#This Row],[STATUS DA ETAPA]],"")</f>
        <v/>
      </c>
      <c r="BV388" s="21" t="str">
        <f>IF([1]!BANCO10[[#This Row],[SOLUÇÃO]]=BV$1,[1]!BANCO10[[#This Row],[STATUS DA ETAPA]],"")</f>
        <v/>
      </c>
      <c r="BW388" s="21" t="str">
        <f>IF([1]!BANCO10[[#This Row],[SOLUÇÃO]]=BW$1,[1]!BANCO10[[#This Row],[STATUS DA ETAPA]],"")</f>
        <v/>
      </c>
      <c r="BX388" s="21" t="str">
        <f>IF([1]!BANCO10[[#This Row],[SOLUÇÃO]]=BX$1,[1]!BANCO10[[#This Row],[STATUS DA ETAPA]],"")</f>
        <v/>
      </c>
      <c r="BY388" s="21" t="str">
        <f>IF([1]!BANCO10[[#This Row],[SOLUÇÃO]]=BY$1,[1]!BANCO10[[#This Row],[STATUS DA ETAPA]],"")</f>
        <v/>
      </c>
      <c r="BZ388" s="21" t="str">
        <f>IF([1]!BANCO10[[#This Row],[SOLUÇÃO]]=BZ$1,[1]!BANCO10[[#This Row],[STATUS DA ETAPA]],"")</f>
        <v/>
      </c>
      <c r="CA388" s="21" t="str">
        <f>IF([1]!BANCO10[[#This Row],[SOLUÇÃO]]=CA$1,[1]!BANCO10[[#This Row],[STATUS DA ETAPA]],"")</f>
        <v/>
      </c>
      <c r="CB388" s="21" t="str">
        <f>IF([1]!BANCO10[[#This Row],[SOLUÇÃO]]=CB$1,[1]!BANCO10[[#This Row],[STATUS DA ETAPA]],"")</f>
        <v>AGUARDANDO SALDO</v>
      </c>
      <c r="CC388" s="21" t="str">
        <f>IF([1]!BANCO10[[#This Row],[SOLUÇÃO]]=CC$1,[1]!BANCO10[[#This Row],[STATUS DA ETAPA]],"")</f>
        <v/>
      </c>
      <c r="CD388" s="21" t="str">
        <f>IF([1]!BANCO10[[#This Row],[SOLUÇÃO]]=CD$1,[1]!BANCO10[[#This Row],[STATUS DA ETAPA]],"")</f>
        <v/>
      </c>
      <c r="CE388" s="21" t="str">
        <f>IF([1]!BANCO10[[#This Row],[SOLUÇÃO]]=CE$1,[1]!BANCO10[[#This Row],[STATUS DA ETAPA]],"")</f>
        <v/>
      </c>
      <c r="CF388" s="21" t="str">
        <f>IF([1]!BANCO10[[#This Row],[SOLUÇÃO]]=CF$1,[1]!BANCO10[[#This Row],[STATUS DA ETAPA]],"")</f>
        <v/>
      </c>
      <c r="CG388" s="21" t="str">
        <f>IF([1]!BANCO10[[#This Row],[SOLUÇÃO]]=CG$1,[1]!BANCO10[[#This Row],[STATUS DA ETAPA]],"")</f>
        <v/>
      </c>
      <c r="CH388" s="21" t="str">
        <f>IF([1]!BANCO10[[#This Row],[SOLUÇÃO]]=CH$1,[1]!BANCO10[[#This Row],[STATUS DA ETAPA]],"")</f>
        <v/>
      </c>
      <c r="CI388" s="21" t="str">
        <f>IF([1]!BANCO10[[#This Row],[SOLUÇÃO]]=CI$1,[1]!BANCO10[[#This Row],[STATUS DA ETAPA]],"")</f>
        <v/>
      </c>
      <c r="CJ388" s="21" t="str">
        <f>IF([1]!BANCO10[[#This Row],[SOLUÇÃO]]=CJ$1,[1]!BANCO10[[#This Row],[STATUS DA ETAPA]],"")</f>
        <v/>
      </c>
      <c r="CK388" s="21" t="str">
        <f>IF([1]!BANCO10[[#This Row],[SOLUÇÃO]]=CK$1,[1]!BANCO10[[#This Row],[STATUS DA ETAPA]],"")</f>
        <v/>
      </c>
      <c r="CL388" s="21" t="str">
        <f>IF([1]!BANCO10[[#This Row],[SOLUÇÃO]]=CL$1,[1]!BANCO10[[#This Row],[STATUS DA ETAPA]],"")</f>
        <v/>
      </c>
      <c r="CM388" s="21" t="str">
        <f>IF([1]!BANCO10[[#This Row],[SOLUÇÃO]]=CM$1,[1]!BANCO10[[#This Row],[STATUS DA ETAPA]],"")</f>
        <v/>
      </c>
      <c r="CN388" s="21" t="str">
        <f>IF([1]!BANCO10[[#This Row],[SOLUÇÃO]]=CN$1,[1]!BANCO10[[#This Row],[STATUS DA ETAPA]],"")</f>
        <v/>
      </c>
      <c r="CO388" s="21" t="str">
        <f>IF([1]!BANCO10[[#This Row],[SOLUÇÃO]]=CO$1,[1]!BANCO10[[#This Row],[STATUS DA ETAPA]],"")</f>
        <v/>
      </c>
      <c r="CP388" s="21" t="str">
        <f>IF([1]!BANCO10[[#This Row],[SOLUÇÃO]]=CP$1,[1]!BANCO10[[#This Row],[STATUS DA ETAPA]],"")</f>
        <v/>
      </c>
      <c r="CQ388" s="21" t="str">
        <f>IF([1]!BANCO10[[#This Row],[SOLUÇÃO]]=CQ$1,[1]!BANCO10[[#This Row],[STATUS DA ETAPA]],"")</f>
        <v/>
      </c>
      <c r="CR388" s="21" t="str">
        <f>IF([1]!BANCO10[[#This Row],[SOLUÇÃO]]=CR$1,[1]!BANCO10[[#This Row],[STATUS DA ETAPA]],"")</f>
        <v/>
      </c>
      <c r="CS388" s="21" t="str">
        <f>IF([1]!BANCO10[[#This Row],[SOLUÇÃO]]=CS$1,[1]!BANCO10[[#This Row],[STATUS DA ETAPA]],"")</f>
        <v/>
      </c>
      <c r="CT388" s="21" t="str">
        <f>IF([1]!BANCO10[[#This Row],[SOLUÇÃO]]=CT$1,[1]!BANCO10[[#This Row],[STATUS DA ETAPA]],"")</f>
        <v/>
      </c>
      <c r="CU388" s="21" t="str">
        <f>IF([1]!BANCO10[[#This Row],[SOLUÇÃO]]=CU$1,[1]!BANCO10[[#This Row],[STATUS DA ETAPA]],"")</f>
        <v/>
      </c>
      <c r="CV388" s="21" t="str">
        <f>IF([1]!BANCO10[[#This Row],[SOLUÇÃO]]=CV$1,[1]!BANCO10[[#This Row],[STATUS DA ETAPA]],"")</f>
        <v/>
      </c>
    </row>
    <row r="389" spans="1:100">
      <c r="A389" s="44" t="s">
        <v>1</v>
      </c>
      <c r="B389" s="44"/>
      <c r="C389" s="44" t="s">
        <v>1</v>
      </c>
      <c r="D389" s="44"/>
      <c r="E389" s="44" t="s">
        <v>1</v>
      </c>
      <c r="F389" s="44"/>
      <c r="G389" s="44" t="s">
        <v>1</v>
      </c>
      <c r="H389" s="44"/>
      <c r="I389" s="45" t="s">
        <v>1</v>
      </c>
      <c r="J389" s="46"/>
      <c r="K389" s="45" t="s">
        <v>1</v>
      </c>
      <c r="L389" s="33"/>
      <c r="M389" s="45" t="s">
        <v>1</v>
      </c>
      <c r="N389" s="33"/>
      <c r="O389" s="44" t="s">
        <v>1</v>
      </c>
      <c r="P389" s="44"/>
      <c r="Q389" s="44" t="s">
        <v>1</v>
      </c>
      <c r="R389" s="44"/>
      <c r="S389" s="44" t="s">
        <v>1</v>
      </c>
      <c r="T389" s="44"/>
      <c r="U389" s="44" t="s">
        <v>2</v>
      </c>
      <c r="V389" s="44">
        <v>45824</v>
      </c>
      <c r="W389" s="44" t="s">
        <v>2</v>
      </c>
      <c r="X389" s="44"/>
      <c r="Y389" s="44" t="s">
        <v>2</v>
      </c>
      <c r="Z389" s="44"/>
      <c r="AA389" s="44" t="s">
        <v>2</v>
      </c>
      <c r="AB389" s="44"/>
      <c r="AC389" s="51">
        <v>45874</v>
      </c>
      <c r="AD389" s="50">
        <v>45924</v>
      </c>
      <c r="AE389" s="68" t="s">
        <v>2</v>
      </c>
      <c r="AF389" s="68" t="s">
        <v>2</v>
      </c>
      <c r="AG389" s="76" t="s">
        <v>5</v>
      </c>
      <c r="AH389" s="36" t="s">
        <v>0</v>
      </c>
      <c r="AI389" s="49">
        <v>0</v>
      </c>
      <c r="AJ389" s="36" t="s">
        <v>6</v>
      </c>
      <c r="AK389" s="10" t="s">
        <v>499</v>
      </c>
      <c r="AL389" s="36">
        <v>4728</v>
      </c>
      <c r="AM389" s="36">
        <v>119677</v>
      </c>
      <c r="AN389" s="35" t="s">
        <v>1</v>
      </c>
      <c r="AO389" s="35" t="s">
        <v>1</v>
      </c>
      <c r="AP389" s="35" t="s">
        <v>2</v>
      </c>
      <c r="AQ389" s="35" t="s">
        <v>1</v>
      </c>
      <c r="AR389" s="34" t="s">
        <v>1</v>
      </c>
      <c r="AS389" s="33"/>
      <c r="AT389" s="30" t="s">
        <v>2</v>
      </c>
      <c r="AU389" s="96">
        <v>45926</v>
      </c>
      <c r="AV389" s="28" t="s">
        <v>0</v>
      </c>
      <c r="AW389" s="31"/>
      <c r="AX389" s="30" t="s">
        <v>0</v>
      </c>
      <c r="AY389" s="29"/>
      <c r="AZ389" s="28" t="s">
        <v>0</v>
      </c>
      <c r="BA389" s="27"/>
      <c r="BB389" s="39" t="s">
        <v>498</v>
      </c>
      <c r="BC389" s="25" t="s">
        <v>127</v>
      </c>
      <c r="BD389" s="24"/>
      <c r="BE389" s="24"/>
      <c r="BF389" s="24"/>
      <c r="BG389" s="24"/>
      <c r="BH389" s="24"/>
      <c r="BI389" s="24"/>
      <c r="BJ389" s="24"/>
      <c r="BK389" s="24"/>
      <c r="BL389" s="24"/>
      <c r="BM389" s="24"/>
      <c r="BN389" s="24"/>
      <c r="BO389" s="24"/>
      <c r="BP389" s="24"/>
      <c r="BQ389" s="22">
        <f>YEAR([1]!BANCO10[[#This Row],[DATA INÍCIO]])</f>
        <v>2025</v>
      </c>
      <c r="BR389" s="22">
        <f>MONTH([1]!BANCO10[[#This Row],[DATA INÍCIO]])</f>
        <v>8</v>
      </c>
      <c r="BS389" s="23" t="e">
        <f>CONCATENATE(#REF!,#REF!)</f>
        <v>#REF!</v>
      </c>
      <c r="BT389" s="22"/>
      <c r="BU389" s="22"/>
      <c r="BV389" s="21" t="str">
        <f>IF([1]!BANCO10[[#This Row],[SOLUÇÃO]]=BV$1,[1]!BANCO10[[#This Row],[STATUS DA ETAPA]],"")</f>
        <v/>
      </c>
      <c r="BW389" s="21" t="str">
        <f>IF([1]!BANCO10[[#This Row],[SOLUÇÃO]]=BW$1,[1]!BANCO10[[#This Row],[STATUS DA ETAPA]],"")</f>
        <v/>
      </c>
      <c r="BX389" s="21" t="str">
        <f>IF([1]!BANCO10[[#This Row],[SOLUÇÃO]]=BX$1,[1]!BANCO10[[#This Row],[STATUS DA ETAPA]],"")</f>
        <v/>
      </c>
      <c r="BY389" s="21" t="str">
        <f>IF([1]!BANCO10[[#This Row],[SOLUÇÃO]]=BY$1,[1]!BANCO10[[#This Row],[STATUS DA ETAPA]],"")</f>
        <v/>
      </c>
      <c r="BZ389" s="21" t="str">
        <f>IF([1]!BANCO10[[#This Row],[SOLUÇÃO]]=BZ$1,[1]!BANCO10[[#This Row],[STATUS DA ETAPA]],"")</f>
        <v/>
      </c>
      <c r="CA389" s="21" t="str">
        <f>IF([1]!BANCO10[[#This Row],[SOLUÇÃO]]=CA$1,[1]!BANCO10[[#This Row],[STATUS DA ETAPA]],"")</f>
        <v>CONCLUÍDO</v>
      </c>
      <c r="CB389" s="21" t="str">
        <f>IF([1]!BANCO10[[#This Row],[SOLUÇÃO]]=CB$1,[1]!BANCO10[[#This Row],[STATUS DA ETAPA]],"")</f>
        <v/>
      </c>
      <c r="CC389" s="21" t="str">
        <f>IF([1]!BANCO10[[#This Row],[SOLUÇÃO]]=CC$1,[1]!BANCO10[[#This Row],[STATUS DA ETAPA]],"")</f>
        <v/>
      </c>
      <c r="CD389" s="21" t="str">
        <f>IF([1]!BANCO10[[#This Row],[SOLUÇÃO]]=CD$1,[1]!BANCO10[[#This Row],[STATUS DA ETAPA]],"")</f>
        <v/>
      </c>
      <c r="CE389" s="21" t="str">
        <f>IF([1]!BANCO10[[#This Row],[SOLUÇÃO]]=CE$1,[1]!BANCO10[[#This Row],[STATUS DA ETAPA]],"")</f>
        <v/>
      </c>
      <c r="CF389" s="21" t="str">
        <f>IF([1]!BANCO10[[#This Row],[SOLUÇÃO]]=CF$1,[1]!BANCO10[[#This Row],[STATUS DA ETAPA]],"")</f>
        <v/>
      </c>
      <c r="CG389" s="21" t="str">
        <f>IF([1]!BANCO10[[#This Row],[SOLUÇÃO]]=CG$1,[1]!BANCO10[[#This Row],[STATUS DA ETAPA]],"")</f>
        <v/>
      </c>
      <c r="CH389" s="21" t="str">
        <f>IF([1]!BANCO10[[#This Row],[SOLUÇÃO]]=CH$1,[1]!BANCO10[[#This Row],[STATUS DA ETAPA]],"")</f>
        <v/>
      </c>
      <c r="CI389" s="21" t="str">
        <f>IF([1]!BANCO10[[#This Row],[SOLUÇÃO]]=CI$1,[1]!BANCO10[[#This Row],[STATUS DA ETAPA]],"")</f>
        <v/>
      </c>
      <c r="CJ389" s="21" t="str">
        <f>IF([1]!BANCO10[[#This Row],[SOLUÇÃO]]=CJ$1,[1]!BANCO10[[#This Row],[STATUS DA ETAPA]],"")</f>
        <v/>
      </c>
      <c r="CK389" s="21" t="str">
        <f>IF([1]!BANCO10[[#This Row],[SOLUÇÃO]]=CK$1,[1]!BANCO10[[#This Row],[STATUS DA ETAPA]],"")</f>
        <v/>
      </c>
      <c r="CL389" s="21" t="str">
        <f>IF([1]!BANCO10[[#This Row],[SOLUÇÃO]]=CL$1,[1]!BANCO10[[#This Row],[STATUS DA ETAPA]],"")</f>
        <v/>
      </c>
      <c r="CM389" s="21" t="str">
        <f>IF([1]!BANCO10[[#This Row],[SOLUÇÃO]]=CM$1,[1]!BANCO10[[#This Row],[STATUS DA ETAPA]],"")</f>
        <v/>
      </c>
      <c r="CN389" s="21" t="str">
        <f>IF([1]!BANCO10[[#This Row],[SOLUÇÃO]]=CN$1,[1]!BANCO10[[#This Row],[STATUS DA ETAPA]],"")</f>
        <v/>
      </c>
      <c r="CO389" s="21" t="str">
        <f>IF([1]!BANCO10[[#This Row],[SOLUÇÃO]]=CO$1,[1]!BANCO10[[#This Row],[STATUS DA ETAPA]],"")</f>
        <v/>
      </c>
      <c r="CP389" s="21" t="str">
        <f>IF([1]!BANCO10[[#This Row],[SOLUÇÃO]]=CP$1,[1]!BANCO10[[#This Row],[STATUS DA ETAPA]],"")</f>
        <v/>
      </c>
      <c r="CQ389" s="21" t="str">
        <f>IF([1]!BANCO10[[#This Row],[SOLUÇÃO]]=CQ$1,[1]!BANCO10[[#This Row],[STATUS DA ETAPA]],"")</f>
        <v/>
      </c>
      <c r="CR389" s="21" t="str">
        <f>IF([1]!BANCO10[[#This Row],[SOLUÇÃO]]=CR$1,[1]!BANCO10[[#This Row],[STATUS DA ETAPA]],"")</f>
        <v/>
      </c>
      <c r="CS389" s="21" t="str">
        <f>IF([1]!BANCO10[[#This Row],[SOLUÇÃO]]=CS$1,[1]!BANCO10[[#This Row],[STATUS DA ETAPA]],"")</f>
        <v/>
      </c>
      <c r="CT389" s="21" t="str">
        <f>IF([1]!BANCO10[[#This Row],[SOLUÇÃO]]=CT$1,[1]!BANCO10[[#This Row],[STATUS DA ETAPA]],"")</f>
        <v/>
      </c>
      <c r="CU389" s="21" t="str">
        <f>IF([1]!BANCO10[[#This Row],[SOLUÇÃO]]=CU$1,[1]!BANCO10[[#This Row],[STATUS DA ETAPA]],"")</f>
        <v/>
      </c>
      <c r="CV389" s="21" t="str">
        <f>IF([1]!BANCO10[[#This Row],[SOLUÇÃO]]=CV$1,[1]!BANCO10[[#This Row],[STATUS DA ETAPA]],"")</f>
        <v/>
      </c>
    </row>
    <row r="390" spans="1:100">
      <c r="A390" s="44" t="s">
        <v>1</v>
      </c>
      <c r="B390" s="44"/>
      <c r="C390" s="44" t="s">
        <v>1</v>
      </c>
      <c r="D390" s="44"/>
      <c r="E390" s="44" t="s">
        <v>1</v>
      </c>
      <c r="F390" s="44"/>
      <c r="G390" s="44" t="s">
        <v>1</v>
      </c>
      <c r="H390" s="44"/>
      <c r="I390" s="45" t="s">
        <v>1</v>
      </c>
      <c r="J390" s="46"/>
      <c r="K390" s="45" t="s">
        <v>1</v>
      </c>
      <c r="L390" s="33"/>
      <c r="M390" s="45" t="s">
        <v>1</v>
      </c>
      <c r="N390" s="33"/>
      <c r="O390" s="44" t="s">
        <v>1</v>
      </c>
      <c r="P390" s="44"/>
      <c r="Q390" s="44" t="s">
        <v>1</v>
      </c>
      <c r="R390" s="44"/>
      <c r="S390" s="44" t="s">
        <v>1</v>
      </c>
      <c r="T390" s="44"/>
      <c r="U390" s="44" t="s">
        <v>2</v>
      </c>
      <c r="V390" s="44">
        <v>45617</v>
      </c>
      <c r="W390" s="44" t="s">
        <v>2</v>
      </c>
      <c r="X390" s="44">
        <v>45617</v>
      </c>
      <c r="Y390" s="44" t="s">
        <v>2</v>
      </c>
      <c r="Z390" s="44">
        <v>45617</v>
      </c>
      <c r="AA390" s="44" t="s">
        <v>2</v>
      </c>
      <c r="AB390" s="44">
        <v>45589</v>
      </c>
      <c r="AC390" s="84">
        <v>45635</v>
      </c>
      <c r="AD390" s="83">
        <v>45786</v>
      </c>
      <c r="AE390" s="41" t="s">
        <v>2</v>
      </c>
      <c r="AF390" s="41" t="s">
        <v>2</v>
      </c>
      <c r="AG390" s="76" t="s">
        <v>4</v>
      </c>
      <c r="AH390" s="36" t="s">
        <v>0</v>
      </c>
      <c r="AI390" s="49">
        <v>0</v>
      </c>
      <c r="AJ390" s="36" t="s">
        <v>6</v>
      </c>
      <c r="AK390" s="10" t="s">
        <v>497</v>
      </c>
      <c r="AL390" s="36" t="s">
        <v>89</v>
      </c>
      <c r="AM390" s="36">
        <v>117196</v>
      </c>
      <c r="AN390" s="35" t="s">
        <v>1</v>
      </c>
      <c r="AO390" s="35" t="s">
        <v>1</v>
      </c>
      <c r="AP390" s="35" t="s">
        <v>2</v>
      </c>
      <c r="AQ390" s="35" t="s">
        <v>1</v>
      </c>
      <c r="AR390" s="34" t="s">
        <v>1</v>
      </c>
      <c r="AS390" s="33"/>
      <c r="AT390" s="30" t="s">
        <v>0</v>
      </c>
      <c r="AU390" s="31"/>
      <c r="AV390" s="32" t="s">
        <v>0</v>
      </c>
      <c r="AW390" s="31"/>
      <c r="AX390" s="32" t="s">
        <v>0</v>
      </c>
      <c r="AY390" s="31"/>
      <c r="AZ390" s="32" t="s">
        <v>0</v>
      </c>
      <c r="BA390" s="31"/>
      <c r="BB390" s="39"/>
      <c r="BC390" s="25" t="s">
        <v>162</v>
      </c>
      <c r="BD390" s="24"/>
      <c r="BE390" s="24"/>
      <c r="BF390" s="79"/>
      <c r="BG390" s="79"/>
      <c r="BH390" s="80"/>
      <c r="BI390" s="79"/>
      <c r="BJ390" s="54"/>
      <c r="BK390" s="78"/>
      <c r="BL390" s="69"/>
      <c r="BM390" s="78"/>
      <c r="BN390" s="78"/>
      <c r="BO390" s="78"/>
      <c r="BP390" s="78"/>
      <c r="BQ390" s="21">
        <f>YEAR([1]!BANCO10[[#This Row],[DATA INÍCIO]])</f>
        <v>2024</v>
      </c>
      <c r="BR390" s="21">
        <f>MONTH([1]!BANCO10[[#This Row],[DATA INÍCIO]])</f>
        <v>12</v>
      </c>
      <c r="BS390" s="21" t="e">
        <f>CONCATENATE(#REF!,#REF!)</f>
        <v>#REF!</v>
      </c>
      <c r="BT390" s="21"/>
      <c r="BU390" s="21"/>
      <c r="BV390" s="21" t="str">
        <f>IF([1]!BANCO10[[#This Row],[SOLUÇÃO]]=BV$1,[1]!BANCO10[[#This Row],[STATUS DA ETAPA]],"")</f>
        <v/>
      </c>
      <c r="BW390" s="21" t="str">
        <f>IF([1]!BANCO10[[#This Row],[SOLUÇÃO]]=BW$1,[1]!BANCO10[[#This Row],[STATUS DA ETAPA]],"")</f>
        <v/>
      </c>
      <c r="BX390" s="21" t="str">
        <f>IF([1]!BANCO10[[#This Row],[SOLUÇÃO]]=BX$1,[1]!BANCO10[[#This Row],[STATUS DA ETAPA]],"")</f>
        <v>CONCLUÍDO</v>
      </c>
      <c r="BY390" s="21" t="str">
        <f>IF([1]!BANCO10[[#This Row],[SOLUÇÃO]]=BY$1,[1]!BANCO10[[#This Row],[STATUS DA ETAPA]],"")</f>
        <v/>
      </c>
      <c r="BZ390" s="21" t="str">
        <f>IF([1]!BANCO10[[#This Row],[SOLUÇÃO]]=BZ$1,[1]!BANCO10[[#This Row],[STATUS DA ETAPA]],"")</f>
        <v/>
      </c>
      <c r="CA390" s="21" t="str">
        <f>IF([1]!BANCO10[[#This Row],[SOLUÇÃO]]=CA$1,[1]!BANCO10[[#This Row],[STATUS DA ETAPA]],"")</f>
        <v/>
      </c>
      <c r="CB390" s="21" t="str">
        <f>IF([1]!BANCO10[[#This Row],[SOLUÇÃO]]=CB$1,[1]!BANCO10[[#This Row],[STATUS DA ETAPA]],"")</f>
        <v/>
      </c>
      <c r="CC390" s="21" t="str">
        <f>IF([1]!BANCO10[[#This Row],[SOLUÇÃO]]=CC$1,[1]!BANCO10[[#This Row],[STATUS DA ETAPA]],"")</f>
        <v/>
      </c>
      <c r="CD390" s="21" t="str">
        <f>IF([1]!BANCO10[[#This Row],[SOLUÇÃO]]=CD$1,[1]!BANCO10[[#This Row],[STATUS DA ETAPA]],"")</f>
        <v/>
      </c>
      <c r="CE390" s="21" t="str">
        <f>IF([1]!BANCO10[[#This Row],[SOLUÇÃO]]=CE$1,[1]!BANCO10[[#This Row],[STATUS DA ETAPA]],"")</f>
        <v/>
      </c>
      <c r="CF390" s="21" t="str">
        <f>IF([1]!BANCO10[[#This Row],[SOLUÇÃO]]=CF$1,[1]!BANCO10[[#This Row],[STATUS DA ETAPA]],"")</f>
        <v/>
      </c>
      <c r="CG390" s="21" t="str">
        <f>IF([1]!BANCO10[[#This Row],[SOLUÇÃO]]=CG$1,[1]!BANCO10[[#This Row],[STATUS DA ETAPA]],"")</f>
        <v/>
      </c>
      <c r="CH390" s="21" t="str">
        <f>IF([1]!BANCO10[[#This Row],[SOLUÇÃO]]=CH$1,[1]!BANCO10[[#This Row],[STATUS DA ETAPA]],"")</f>
        <v/>
      </c>
      <c r="CI390" s="21" t="str">
        <f>IF([1]!BANCO10[[#This Row],[SOLUÇÃO]]=CI$1,[1]!BANCO10[[#This Row],[STATUS DA ETAPA]],"")</f>
        <v/>
      </c>
      <c r="CJ390" s="21" t="str">
        <f>IF([1]!BANCO10[[#This Row],[SOLUÇÃO]]=CJ$1,[1]!BANCO10[[#This Row],[STATUS DA ETAPA]],"")</f>
        <v/>
      </c>
      <c r="CK390" s="21" t="str">
        <f>IF([1]!BANCO10[[#This Row],[SOLUÇÃO]]=CK$1,[1]!BANCO10[[#This Row],[STATUS DA ETAPA]],"")</f>
        <v/>
      </c>
      <c r="CL390" s="22" t="str">
        <f>IF([1]!BANCO10[[#This Row],[SOLUÇÃO]]=CL$1,[1]!BANCO10[[#This Row],[STATUS DA ETAPA]],"")</f>
        <v/>
      </c>
      <c r="CM390" s="64" t="str">
        <f>IF([1]!BANCO10[[#This Row],[SOLUÇÃO]]=CM$1,[1]!BANCO10[[#This Row],[STATUS DA ETAPA]],"")</f>
        <v/>
      </c>
      <c r="CN390" s="64" t="str">
        <f>IF([1]!BANCO10[[#This Row],[SOLUÇÃO]]=CN$1,[1]!BANCO10[[#This Row],[STATUS DA ETAPA]],"")</f>
        <v/>
      </c>
      <c r="CO390" s="64" t="str">
        <f>IF([1]!BANCO10[[#This Row],[SOLUÇÃO]]=CO$1,[1]!BANCO10[[#This Row],[STATUS DA ETAPA]],"")</f>
        <v/>
      </c>
      <c r="CP390" s="64" t="str">
        <f>IF([1]!BANCO10[[#This Row],[SOLUÇÃO]]=CP$1,[1]!BANCO10[[#This Row],[STATUS DA ETAPA]],"")</f>
        <v/>
      </c>
      <c r="CQ390" s="64" t="str">
        <f>IF([1]!BANCO10[[#This Row],[SOLUÇÃO]]=CQ$1,[1]!BANCO10[[#This Row],[STATUS DA ETAPA]],"")</f>
        <v/>
      </c>
      <c r="CR390" s="64" t="str">
        <f>IF([1]!BANCO10[[#This Row],[SOLUÇÃO]]=CR$1,[1]!BANCO10[[#This Row],[STATUS DA ETAPA]],"")</f>
        <v/>
      </c>
      <c r="CS390" s="64" t="str">
        <f>IF([1]!BANCO10[[#This Row],[SOLUÇÃO]]=CS$1,[1]!BANCO10[[#This Row],[STATUS DA ETAPA]],"")</f>
        <v/>
      </c>
      <c r="CT390" s="64" t="str">
        <f>IF([1]!BANCO10[[#This Row],[SOLUÇÃO]]=CT$1,[1]!BANCO10[[#This Row],[STATUS DA ETAPA]],"")</f>
        <v/>
      </c>
      <c r="CU390" s="64" t="str">
        <f>IF([1]!BANCO10[[#This Row],[SOLUÇÃO]]=CU$1,[1]!BANCO10[[#This Row],[STATUS DA ETAPA]],"")</f>
        <v/>
      </c>
      <c r="CV390" s="64" t="str">
        <f>IF([1]!BANCO10[[#This Row],[SOLUÇÃO]]=CV$1,[1]!BANCO10[[#This Row],[STATUS DA ETAPA]],"")</f>
        <v/>
      </c>
    </row>
    <row r="391" spans="1:100">
      <c r="A391" s="44" t="s">
        <v>1</v>
      </c>
      <c r="B391" s="44"/>
      <c r="C391" s="44" t="s">
        <v>1</v>
      </c>
      <c r="D391" s="44"/>
      <c r="E391" s="44" t="s">
        <v>1</v>
      </c>
      <c r="F391" s="44"/>
      <c r="G391" s="44" t="s">
        <v>1</v>
      </c>
      <c r="H391" s="44"/>
      <c r="I391" s="45" t="s">
        <v>1</v>
      </c>
      <c r="J391" s="46"/>
      <c r="K391" s="45" t="s">
        <v>1</v>
      </c>
      <c r="L391" s="33"/>
      <c r="M391" s="45" t="s">
        <v>1</v>
      </c>
      <c r="N391" s="33"/>
      <c r="O391" s="44" t="s">
        <v>1</v>
      </c>
      <c r="P391" s="44"/>
      <c r="Q391" s="44" t="s">
        <v>1</v>
      </c>
      <c r="R391" s="44" t="s">
        <v>1</v>
      </c>
      <c r="S391" s="44" t="s">
        <v>1</v>
      </c>
      <c r="T391" s="44"/>
      <c r="U391" s="44" t="s">
        <v>1</v>
      </c>
      <c r="V391" s="44"/>
      <c r="W391" s="44" t="s">
        <v>1</v>
      </c>
      <c r="X391" s="44"/>
      <c r="Y391" s="44" t="s">
        <v>1</v>
      </c>
      <c r="Z391" s="44"/>
      <c r="AA391" s="44" t="s">
        <v>1</v>
      </c>
      <c r="AB391" s="44"/>
      <c r="AC391" s="51">
        <v>45636</v>
      </c>
      <c r="AD391" s="42">
        <v>45636</v>
      </c>
      <c r="AE391" s="41" t="s">
        <v>1</v>
      </c>
      <c r="AF391" s="41" t="s">
        <v>1</v>
      </c>
      <c r="AG391" s="40" t="s">
        <v>4</v>
      </c>
      <c r="AH391" s="36" t="s">
        <v>0</v>
      </c>
      <c r="AI391" s="49">
        <v>0</v>
      </c>
      <c r="AJ391" s="36" t="s">
        <v>1</v>
      </c>
      <c r="AK391" s="10" t="s">
        <v>1</v>
      </c>
      <c r="AL391" s="36" t="s">
        <v>1</v>
      </c>
      <c r="AM391" s="36" t="s">
        <v>1</v>
      </c>
      <c r="AN391" s="35" t="s">
        <v>1</v>
      </c>
      <c r="AO391" s="35" t="s">
        <v>1</v>
      </c>
      <c r="AP391" s="35" t="s">
        <v>1</v>
      </c>
      <c r="AQ391" s="35" t="s">
        <v>2</v>
      </c>
      <c r="AR391" s="34" t="s">
        <v>0</v>
      </c>
      <c r="AS391" s="33"/>
      <c r="AT391" s="30" t="s">
        <v>0</v>
      </c>
      <c r="AU391" s="31"/>
      <c r="AV391" s="30" t="s">
        <v>0</v>
      </c>
      <c r="AW391" s="31"/>
      <c r="AX391" s="30" t="s">
        <v>0</v>
      </c>
      <c r="AY391" s="29"/>
      <c r="AZ391" s="28" t="s">
        <v>0</v>
      </c>
      <c r="BA391" s="27"/>
      <c r="BB391" s="26"/>
      <c r="BC391" s="25"/>
      <c r="BD391" s="24"/>
      <c r="BE391" s="24"/>
      <c r="BF391" s="24"/>
      <c r="BG391" s="24"/>
      <c r="BH391" s="24"/>
      <c r="BI391" s="24"/>
      <c r="BJ391" s="24"/>
      <c r="BK391" s="24"/>
      <c r="BL391" s="24"/>
      <c r="BM391" s="24"/>
      <c r="BN391" s="24"/>
      <c r="BO391" s="24"/>
      <c r="BP391" s="24"/>
      <c r="BQ391" s="22">
        <f>YEAR([1]!BANCO10[[#This Row],[DATA INÍCIO]])</f>
        <v>2024</v>
      </c>
      <c r="BR391" s="22">
        <f>MONTH([1]!BANCO10[[#This Row],[DATA INÍCIO]])</f>
        <v>12</v>
      </c>
      <c r="BS391" s="23" t="e">
        <f>CONCATENATE(#REF!,#REF!)</f>
        <v>#REF!</v>
      </c>
      <c r="BT391" s="22"/>
      <c r="BU391" s="22"/>
      <c r="BV391" s="21" t="str">
        <f>IF([1]!BANCO10[[#This Row],[SOLUÇÃO]]=BV$1,[1]!BANCO10[[#This Row],[STATUS DA ETAPA]],"")</f>
        <v/>
      </c>
      <c r="BW391" s="21" t="str">
        <f>IF([1]!BANCO10[[#This Row],[SOLUÇÃO]]=BW$1,[1]!BANCO10[[#This Row],[STATUS DA ETAPA]],"")</f>
        <v/>
      </c>
      <c r="BX391" s="21" t="str">
        <f>IF([1]!BANCO10[[#This Row],[SOLUÇÃO]]=BX$1,[1]!BANCO10[[#This Row],[STATUS DA ETAPA]],"")</f>
        <v/>
      </c>
      <c r="BY391" s="21" t="str">
        <f>IF([1]!BANCO10[[#This Row],[SOLUÇÃO]]=BY$1,[1]!BANCO10[[#This Row],[STATUS DA ETAPA]],"")</f>
        <v/>
      </c>
      <c r="BZ391" s="21" t="str">
        <f>IF([1]!BANCO10[[#This Row],[SOLUÇÃO]]=BZ$1,[1]!BANCO10[[#This Row],[STATUS DA ETAPA]],"")</f>
        <v/>
      </c>
      <c r="CA391" s="21" t="str">
        <f>IF([1]!BANCO10[[#This Row],[SOLUÇÃO]]=CA$1,[1]!BANCO10[[#This Row],[STATUS DA ETAPA]],"")</f>
        <v/>
      </c>
      <c r="CB391" s="21" t="str">
        <f>IF([1]!BANCO10[[#This Row],[SOLUÇÃO]]=CB$1,[1]!BANCO10[[#This Row],[STATUS DA ETAPA]],"")</f>
        <v/>
      </c>
      <c r="CC391" s="21" t="str">
        <f>IF([1]!BANCO10[[#This Row],[SOLUÇÃO]]=CC$1,[1]!BANCO10[[#This Row],[STATUS DA ETAPA]],"")</f>
        <v/>
      </c>
      <c r="CD391" s="21" t="str">
        <f>IF([1]!BANCO10[[#This Row],[SOLUÇÃO]]=CD$1,[1]!BANCO10[[#This Row],[STATUS DA ETAPA]],"")</f>
        <v/>
      </c>
      <c r="CE391" s="21" t="str">
        <f>IF([1]!BANCO10[[#This Row],[SOLUÇÃO]]=CE$1,[1]!BANCO10[[#This Row],[STATUS DA ETAPA]],"")</f>
        <v/>
      </c>
      <c r="CF391" s="21" t="str">
        <f>IF([1]!BANCO10[[#This Row],[SOLUÇÃO]]=CF$1,[1]!BANCO10[[#This Row],[STATUS DA ETAPA]],"")</f>
        <v/>
      </c>
      <c r="CG391" s="21" t="str">
        <f>IF([1]!BANCO10[[#This Row],[SOLUÇÃO]]=CG$1,[1]!BANCO10[[#This Row],[STATUS DA ETAPA]],"")</f>
        <v/>
      </c>
      <c r="CH391" s="21" t="str">
        <f>IF([1]!BANCO10[[#This Row],[SOLUÇÃO]]=CH$1,[1]!BANCO10[[#This Row],[STATUS DA ETAPA]],"")</f>
        <v/>
      </c>
      <c r="CI391" s="21" t="str">
        <f>IF([1]!BANCO10[[#This Row],[SOLUÇÃO]]=CI$1,[1]!BANCO10[[#This Row],[STATUS DA ETAPA]],"")</f>
        <v/>
      </c>
      <c r="CJ391" s="21" t="str">
        <f>IF([1]!BANCO10[[#This Row],[SOLUÇÃO]]=CJ$1,[1]!BANCO10[[#This Row],[STATUS DA ETAPA]],"")</f>
        <v/>
      </c>
      <c r="CK391" s="21" t="str">
        <f>IF([1]!BANCO10[[#This Row],[SOLUÇÃO]]=CK$1,[1]!BANCO10[[#This Row],[STATUS DA ETAPA]],"")</f>
        <v/>
      </c>
      <c r="CL391" s="21" t="str">
        <f>IF([1]!BANCO10[[#This Row],[SOLUÇÃO]]=CL$1,[1]!BANCO10[[#This Row],[STATUS DA ETAPA]],"")</f>
        <v/>
      </c>
      <c r="CM391" s="21" t="str">
        <f>IF([1]!BANCO10[[#This Row],[SOLUÇÃO]]=CM$1,[1]!BANCO10[[#This Row],[STATUS DA ETAPA]],"")</f>
        <v/>
      </c>
      <c r="CN391" s="21" t="str">
        <f>IF([1]!BANCO10[[#This Row],[SOLUÇÃO]]=CN$1,[1]!BANCO10[[#This Row],[STATUS DA ETAPA]],"")</f>
        <v/>
      </c>
      <c r="CO391" s="21" t="str">
        <f>IF([1]!BANCO10[[#This Row],[SOLUÇÃO]]=CO$1,[1]!BANCO10[[#This Row],[STATUS DA ETAPA]],"")</f>
        <v/>
      </c>
      <c r="CP391" s="21" t="str">
        <f>IF([1]!BANCO10[[#This Row],[SOLUÇÃO]]=CP$1,[1]!BANCO10[[#This Row],[STATUS DA ETAPA]],"")</f>
        <v/>
      </c>
      <c r="CQ391" s="21" t="str">
        <f>IF([1]!BANCO10[[#This Row],[SOLUÇÃO]]=CQ$1,[1]!BANCO10[[#This Row],[STATUS DA ETAPA]],"")</f>
        <v/>
      </c>
      <c r="CR391" s="21" t="str">
        <f>IF([1]!BANCO10[[#This Row],[SOLUÇÃO]]=CR$1,[1]!BANCO10[[#This Row],[STATUS DA ETAPA]],"")</f>
        <v/>
      </c>
      <c r="CS391" s="21" t="str">
        <f>IF([1]!BANCO10[[#This Row],[SOLUÇÃO]]=CS$1,[1]!BANCO10[[#This Row],[STATUS DA ETAPA]],"")</f>
        <v/>
      </c>
      <c r="CT391" s="21" t="str">
        <f>IF([1]!BANCO10[[#This Row],[SOLUÇÃO]]=CT$1,[1]!BANCO10[[#This Row],[STATUS DA ETAPA]],"")</f>
        <v/>
      </c>
      <c r="CU391" s="21" t="str">
        <f>IF([1]!BANCO10[[#This Row],[SOLUÇÃO]]=CU$1,[1]!BANCO10[[#This Row],[STATUS DA ETAPA]],"")</f>
        <v/>
      </c>
      <c r="CV391" s="21" t="str">
        <f>IF([1]!BANCO10[[#This Row],[SOLUÇÃO]]=CV$1,[1]!BANCO10[[#This Row],[STATUS DA ETAPA]],"")</f>
        <v/>
      </c>
    </row>
    <row r="392" spans="1:100">
      <c r="A392" s="44" t="s">
        <v>1</v>
      </c>
      <c r="B392" s="44"/>
      <c r="C392" s="44" t="s">
        <v>1</v>
      </c>
      <c r="D392" s="44"/>
      <c r="E392" s="44" t="s">
        <v>1</v>
      </c>
      <c r="F392" s="44"/>
      <c r="G392" s="44" t="s">
        <v>1</v>
      </c>
      <c r="H392" s="44"/>
      <c r="I392" s="45" t="s">
        <v>1</v>
      </c>
      <c r="J392" s="46"/>
      <c r="K392" s="45" t="s">
        <v>1</v>
      </c>
      <c r="L392" s="33"/>
      <c r="M392" s="45" t="s">
        <v>1</v>
      </c>
      <c r="N392" s="33"/>
      <c r="O392" s="44" t="s">
        <v>2</v>
      </c>
      <c r="P392" s="44">
        <v>45139</v>
      </c>
      <c r="Q392" s="44" t="s">
        <v>0</v>
      </c>
      <c r="R392" s="44"/>
      <c r="S392" s="44" t="s">
        <v>1</v>
      </c>
      <c r="T392" s="44"/>
      <c r="U392" s="44" t="s">
        <v>1</v>
      </c>
      <c r="V392" s="44"/>
      <c r="W392" s="44" t="s">
        <v>1</v>
      </c>
      <c r="X392" s="44"/>
      <c r="Y392" s="44" t="s">
        <v>1</v>
      </c>
      <c r="Z392" s="44"/>
      <c r="AA392" s="44" t="s">
        <v>1</v>
      </c>
      <c r="AB392" s="44"/>
      <c r="AC392" s="51">
        <v>45138</v>
      </c>
      <c r="AD392" s="50">
        <v>45138</v>
      </c>
      <c r="AE392" s="40" t="s">
        <v>1</v>
      </c>
      <c r="AF392" s="40" t="s">
        <v>1</v>
      </c>
      <c r="AG392" s="76" t="s">
        <v>5</v>
      </c>
      <c r="AH392" s="36" t="s">
        <v>1</v>
      </c>
      <c r="AI392" s="49">
        <v>0</v>
      </c>
      <c r="AJ392" s="36" t="s">
        <v>1</v>
      </c>
      <c r="AK392" s="10" t="s">
        <v>1</v>
      </c>
      <c r="AL392" s="36" t="s">
        <v>1</v>
      </c>
      <c r="AM392" s="36" t="s">
        <v>1</v>
      </c>
      <c r="AN392" s="35" t="s">
        <v>1</v>
      </c>
      <c r="AO392" s="35" t="s">
        <v>1</v>
      </c>
      <c r="AP392" s="35" t="s">
        <v>1</v>
      </c>
      <c r="AQ392" s="35" t="s">
        <v>1</v>
      </c>
      <c r="AR392" s="82" t="s">
        <v>1</v>
      </c>
      <c r="AS392" s="33"/>
      <c r="AT392" s="32" t="s">
        <v>1</v>
      </c>
      <c r="AU392" s="31"/>
      <c r="AV392" s="32" t="s">
        <v>1</v>
      </c>
      <c r="AW392" s="31"/>
      <c r="AX392" s="30" t="s">
        <v>1</v>
      </c>
      <c r="AY392" s="55"/>
      <c r="AZ392" s="30" t="s">
        <v>1</v>
      </c>
      <c r="BA392" s="55"/>
      <c r="BB392" s="74" t="s">
        <v>496</v>
      </c>
      <c r="BC392" s="25"/>
      <c r="BD392" s="24" t="s">
        <v>72</v>
      </c>
      <c r="BE392" s="24" t="s">
        <v>11</v>
      </c>
      <c r="BF392" s="24" t="s">
        <v>51</v>
      </c>
      <c r="BG392" s="24" t="s">
        <v>11</v>
      </c>
      <c r="BH392" s="130">
        <v>45397</v>
      </c>
      <c r="BI392" s="24" t="s">
        <v>51</v>
      </c>
      <c r="BJ392" s="24" t="s">
        <v>11</v>
      </c>
      <c r="BK392" s="24" t="s">
        <v>11</v>
      </c>
      <c r="BL392" s="24" t="s">
        <v>11</v>
      </c>
      <c r="BM392" s="24" t="s">
        <v>11</v>
      </c>
      <c r="BN392" s="24" t="s">
        <v>11</v>
      </c>
      <c r="BO392" s="24" t="s">
        <v>11</v>
      </c>
      <c r="BP392" s="24" t="s">
        <v>11</v>
      </c>
      <c r="BQ392" s="22">
        <f>YEAR([1]!BANCO10[[#This Row],[DATA INÍCIO]])</f>
        <v>2023</v>
      </c>
      <c r="BR392" s="22">
        <f>MONTH([1]!BANCO10[[#This Row],[DATA INÍCIO]])</f>
        <v>7</v>
      </c>
      <c r="BS392" s="129" t="e">
        <f>CONCATENATE(#REF!,#REF!)</f>
        <v>#REF!</v>
      </c>
      <c r="BT392" s="22"/>
      <c r="BU392" s="21" t="s">
        <v>495</v>
      </c>
      <c r="BV392" s="21" t="str">
        <f>IF([1]!BANCO10[[#This Row],[SOLUÇÃO]]=BV$1,[1]!BANCO10[[#This Row],[STATUS DA ETAPA]],"")</f>
        <v>CONCLUÍDO</v>
      </c>
      <c r="BW392" s="21" t="str">
        <f>IF([1]!BANCO10[[#This Row],[SOLUÇÃO]]=BW$1,[1]!BANCO10[[#This Row],[STATUS DA ETAPA]],"")</f>
        <v/>
      </c>
      <c r="BX392" s="21" t="str">
        <f>IF([1]!BANCO10[[#This Row],[SOLUÇÃO]]=BX$1,[1]!BANCO10[[#This Row],[STATUS DA ETAPA]],"")</f>
        <v/>
      </c>
      <c r="BY392" s="21" t="str">
        <f>IF([1]!BANCO10[[#This Row],[SOLUÇÃO]]=BY$1,[1]!BANCO10[[#This Row],[STATUS DA ETAPA]],"")</f>
        <v/>
      </c>
      <c r="BZ392" s="21" t="str">
        <f>IF([1]!BANCO10[[#This Row],[SOLUÇÃO]]=BZ$1,[1]!BANCO10[[#This Row],[STATUS DA ETAPA]],"")</f>
        <v/>
      </c>
      <c r="CA392" s="21" t="str">
        <f>IF([1]!BANCO10[[#This Row],[SOLUÇÃO]]=CA$1,[1]!BANCO10[[#This Row],[STATUS DA ETAPA]],"")</f>
        <v/>
      </c>
      <c r="CB392" s="21" t="str">
        <f>IF([1]!BANCO10[[#This Row],[SOLUÇÃO]]=CB$1,[1]!BANCO10[[#This Row],[STATUS DA ETAPA]],"")</f>
        <v/>
      </c>
      <c r="CC392" s="21" t="str">
        <f>IF([1]!BANCO10[[#This Row],[SOLUÇÃO]]=CC$1,[1]!BANCO10[[#This Row],[STATUS DA ETAPA]],"")</f>
        <v/>
      </c>
      <c r="CD392" s="21" t="str">
        <f>IF([1]!BANCO10[[#This Row],[SOLUÇÃO]]=CD$1,[1]!BANCO10[[#This Row],[STATUS DA ETAPA]],"")</f>
        <v/>
      </c>
      <c r="CE392" s="21" t="str">
        <f>IF([1]!BANCO10[[#This Row],[SOLUÇÃO]]=CE$1,[1]!BANCO10[[#This Row],[STATUS DA ETAPA]],"")</f>
        <v/>
      </c>
      <c r="CF392" s="21" t="str">
        <f>IF([1]!BANCO10[[#This Row],[SOLUÇÃO]]=CF$1,[1]!BANCO10[[#This Row],[STATUS DA ETAPA]],"")</f>
        <v/>
      </c>
      <c r="CG392" s="21" t="str">
        <f>IF([1]!BANCO10[[#This Row],[SOLUÇÃO]]=CG$1,[1]!BANCO10[[#This Row],[STATUS DA ETAPA]],"")</f>
        <v/>
      </c>
      <c r="CH392" s="21" t="str">
        <f>IF([1]!BANCO10[[#This Row],[SOLUÇÃO]]=CH$1,[1]!BANCO10[[#This Row],[STATUS DA ETAPA]],"")</f>
        <v/>
      </c>
      <c r="CI392" s="21" t="str">
        <f>IF([1]!BANCO10[[#This Row],[SOLUÇÃO]]=CI$1,[1]!BANCO10[[#This Row],[STATUS DA ETAPA]],"")</f>
        <v/>
      </c>
      <c r="CJ392" s="21" t="str">
        <f>IF([1]!BANCO10[[#This Row],[SOLUÇÃO]]=CJ$1,[1]!BANCO10[[#This Row],[STATUS DA ETAPA]],"")</f>
        <v/>
      </c>
      <c r="CK392" s="21" t="str">
        <f>IF([1]!BANCO10[[#This Row],[SOLUÇÃO]]=CK$1,[1]!BANCO10[[#This Row],[STATUS DA ETAPA]],"")</f>
        <v/>
      </c>
      <c r="CL392" s="21" t="str">
        <f>IF([1]!BANCO10[[#This Row],[SOLUÇÃO]]=CL$1,[1]!BANCO10[[#This Row],[STATUS DA ETAPA]],"")</f>
        <v/>
      </c>
      <c r="CM392" s="21" t="str">
        <f>IF([1]!BANCO10[[#This Row],[SOLUÇÃO]]=CM$1,[1]!BANCO10[[#This Row],[STATUS DA ETAPA]],"")</f>
        <v/>
      </c>
      <c r="CN392" s="21" t="str">
        <f>IF([1]!BANCO10[[#This Row],[SOLUÇÃO]]=CN$1,[1]!BANCO10[[#This Row],[STATUS DA ETAPA]],"")</f>
        <v/>
      </c>
      <c r="CO392" s="21" t="str">
        <f>IF([1]!BANCO10[[#This Row],[SOLUÇÃO]]=CO$1,[1]!BANCO10[[#This Row],[STATUS DA ETAPA]],"")</f>
        <v/>
      </c>
      <c r="CP392" s="21" t="str">
        <f>IF([1]!BANCO10[[#This Row],[SOLUÇÃO]]=CP$1,[1]!BANCO10[[#This Row],[STATUS DA ETAPA]],"")</f>
        <v/>
      </c>
      <c r="CQ392" s="21" t="str">
        <f>IF([1]!BANCO10[[#This Row],[SOLUÇÃO]]=CQ$1,[1]!BANCO10[[#This Row],[STATUS DA ETAPA]],"")</f>
        <v/>
      </c>
      <c r="CR392" s="21" t="str">
        <f>IF([1]!BANCO10[[#This Row],[SOLUÇÃO]]=CR$1,[1]!BANCO10[[#This Row],[STATUS DA ETAPA]],"")</f>
        <v/>
      </c>
      <c r="CS392" s="21" t="str">
        <f>IF([1]!BANCO10[[#This Row],[SOLUÇÃO]]=CS$1,[1]!BANCO10[[#This Row],[STATUS DA ETAPA]],"")</f>
        <v/>
      </c>
      <c r="CT392" s="21" t="str">
        <f>IF([1]!BANCO10[[#This Row],[SOLUÇÃO]]=CT$1,[1]!BANCO10[[#This Row],[STATUS DA ETAPA]],"")</f>
        <v/>
      </c>
      <c r="CU392" s="21" t="str">
        <f>IF([1]!BANCO10[[#This Row],[SOLUÇÃO]]=CU$1,[1]!BANCO10[[#This Row],[STATUS DA ETAPA]],"")</f>
        <v/>
      </c>
      <c r="CV392" s="21" t="str">
        <f>IF([1]!BANCO10[[#This Row],[SOLUÇÃO]]=CV$1,[1]!BANCO10[[#This Row],[STATUS DA ETAPA]],"")</f>
        <v/>
      </c>
    </row>
    <row r="393" spans="1:100">
      <c r="A393" s="44" t="s">
        <v>1</v>
      </c>
      <c r="B393" s="44"/>
      <c r="C393" s="44" t="s">
        <v>1</v>
      </c>
      <c r="D393" s="44"/>
      <c r="E393" s="44" t="s">
        <v>1</v>
      </c>
      <c r="F393" s="44"/>
      <c r="G393" s="44" t="s">
        <v>1</v>
      </c>
      <c r="H393" s="44"/>
      <c r="I393" s="45" t="s">
        <v>1</v>
      </c>
      <c r="J393" s="46"/>
      <c r="K393" s="45" t="s">
        <v>1</v>
      </c>
      <c r="L393" s="33"/>
      <c r="M393" s="45" t="s">
        <v>1</v>
      </c>
      <c r="N393" s="33"/>
      <c r="O393" s="44" t="s">
        <v>1</v>
      </c>
      <c r="P393" s="44"/>
      <c r="Q393" s="44" t="s">
        <v>1</v>
      </c>
      <c r="R393" s="44"/>
      <c r="S393" s="44" t="s">
        <v>1</v>
      </c>
      <c r="T393" s="44"/>
      <c r="U393" s="44" t="s">
        <v>1</v>
      </c>
      <c r="V393" s="44"/>
      <c r="W393" s="44" t="s">
        <v>1</v>
      </c>
      <c r="X393" s="44"/>
      <c r="Y393" s="44" t="s">
        <v>1</v>
      </c>
      <c r="Z393" s="44"/>
      <c r="AA393" s="44" t="s">
        <v>1</v>
      </c>
      <c r="AB393" s="44"/>
      <c r="AC393" s="51">
        <v>45408</v>
      </c>
      <c r="AD393" s="50">
        <v>45408</v>
      </c>
      <c r="AE393" s="41" t="s">
        <v>1</v>
      </c>
      <c r="AF393" s="41" t="s">
        <v>1</v>
      </c>
      <c r="AG393" s="40" t="s">
        <v>5</v>
      </c>
      <c r="AH393" s="36" t="s">
        <v>1</v>
      </c>
      <c r="AI393" s="49">
        <v>0</v>
      </c>
      <c r="AJ393" s="36" t="s">
        <v>1</v>
      </c>
      <c r="AK393" s="10" t="s">
        <v>1</v>
      </c>
      <c r="AL393" s="36" t="s">
        <v>1</v>
      </c>
      <c r="AM393" s="36" t="s">
        <v>1</v>
      </c>
      <c r="AN393" s="35" t="s">
        <v>1</v>
      </c>
      <c r="AO393" s="35" t="s">
        <v>1</v>
      </c>
      <c r="AP393" s="35" t="s">
        <v>1</v>
      </c>
      <c r="AQ393" s="35" t="s">
        <v>1</v>
      </c>
      <c r="AR393" s="82" t="s">
        <v>1</v>
      </c>
      <c r="AS393" s="33"/>
      <c r="AT393" s="30"/>
      <c r="AU393" s="55"/>
      <c r="AV393" s="30"/>
      <c r="AW393" s="55"/>
      <c r="AX393" s="30" t="s">
        <v>1</v>
      </c>
      <c r="AY393" s="55"/>
      <c r="AZ393" s="30" t="s">
        <v>1</v>
      </c>
      <c r="BA393" s="55"/>
      <c r="BB393" s="74"/>
      <c r="BC393" s="25" t="s">
        <v>41</v>
      </c>
      <c r="BD393" s="24"/>
      <c r="BE393" s="24"/>
      <c r="BF393" s="24"/>
      <c r="BG393" s="24"/>
      <c r="BH393" s="130"/>
      <c r="BI393" s="24"/>
      <c r="BJ393" s="24"/>
      <c r="BK393" s="24"/>
      <c r="BL393" s="24"/>
      <c r="BM393" s="24"/>
      <c r="BN393" s="24"/>
      <c r="BO393" s="24"/>
      <c r="BP393" s="24"/>
      <c r="BQ393" s="22">
        <f>YEAR([1]!BANCO10[[#This Row],[DATA INÍCIO]])</f>
        <v>2024</v>
      </c>
      <c r="BR393" s="22">
        <f>MONTH([1]!BANCO10[[#This Row],[DATA INÍCIO]])</f>
        <v>4</v>
      </c>
      <c r="BS393" s="129" t="e">
        <f>CONCATENATE(#REF!,#REF!)</f>
        <v>#REF!</v>
      </c>
      <c r="BT393" s="22"/>
      <c r="BU393" s="21" t="s">
        <v>494</v>
      </c>
      <c r="BV393" s="21" t="str">
        <f>IF([1]!BANCO10[[#This Row],[SOLUÇÃO]]=BV$1,[1]!BANCO10[[#This Row],[STATUS DA ETAPA]],"")</f>
        <v>CONCLUÍDO</v>
      </c>
      <c r="BW393" s="21" t="str">
        <f>IF([1]!BANCO10[[#This Row],[SOLUÇÃO]]=BW$1,[1]!BANCO10[[#This Row],[STATUS DA ETAPA]],"")</f>
        <v/>
      </c>
      <c r="BX393" s="21" t="str">
        <f>IF([1]!BANCO10[[#This Row],[SOLUÇÃO]]=BX$1,[1]!BANCO10[[#This Row],[STATUS DA ETAPA]],"")</f>
        <v/>
      </c>
      <c r="BY393" s="21" t="str">
        <f>IF([1]!BANCO10[[#This Row],[SOLUÇÃO]]=BY$1,[1]!BANCO10[[#This Row],[STATUS DA ETAPA]],"")</f>
        <v/>
      </c>
      <c r="BZ393" s="21" t="str">
        <f>IF([1]!BANCO10[[#This Row],[SOLUÇÃO]]=BZ$1,[1]!BANCO10[[#This Row],[STATUS DA ETAPA]],"")</f>
        <v/>
      </c>
      <c r="CA393" s="21" t="str">
        <f>IF([1]!BANCO10[[#This Row],[SOLUÇÃO]]=CA$1,[1]!BANCO10[[#This Row],[STATUS DA ETAPA]],"")</f>
        <v/>
      </c>
      <c r="CB393" s="21" t="str">
        <f>IF([1]!BANCO10[[#This Row],[SOLUÇÃO]]=CB$1,[1]!BANCO10[[#This Row],[STATUS DA ETAPA]],"")</f>
        <v/>
      </c>
      <c r="CC393" s="21" t="str">
        <f>IF([1]!BANCO10[[#This Row],[SOLUÇÃO]]=CC$1,[1]!BANCO10[[#This Row],[STATUS DA ETAPA]],"")</f>
        <v/>
      </c>
      <c r="CD393" s="21" t="str">
        <f>IF([1]!BANCO10[[#This Row],[SOLUÇÃO]]=CD$1,[1]!BANCO10[[#This Row],[STATUS DA ETAPA]],"")</f>
        <v/>
      </c>
      <c r="CE393" s="21" t="str">
        <f>IF([1]!BANCO10[[#This Row],[SOLUÇÃO]]=CE$1,[1]!BANCO10[[#This Row],[STATUS DA ETAPA]],"")</f>
        <v/>
      </c>
      <c r="CF393" s="21" t="str">
        <f>IF([1]!BANCO10[[#This Row],[SOLUÇÃO]]=CF$1,[1]!BANCO10[[#This Row],[STATUS DA ETAPA]],"")</f>
        <v/>
      </c>
      <c r="CG393" s="21" t="str">
        <f>IF([1]!BANCO10[[#This Row],[SOLUÇÃO]]=CG$1,[1]!BANCO10[[#This Row],[STATUS DA ETAPA]],"")</f>
        <v/>
      </c>
      <c r="CH393" s="21" t="str">
        <f>IF([1]!BANCO10[[#This Row],[SOLUÇÃO]]=CH$1,[1]!BANCO10[[#This Row],[STATUS DA ETAPA]],"")</f>
        <v/>
      </c>
      <c r="CI393" s="21" t="str">
        <f>IF([1]!BANCO10[[#This Row],[SOLUÇÃO]]=CI$1,[1]!BANCO10[[#This Row],[STATUS DA ETAPA]],"")</f>
        <v/>
      </c>
      <c r="CJ393" s="21" t="str">
        <f>IF([1]!BANCO10[[#This Row],[SOLUÇÃO]]=CJ$1,[1]!BANCO10[[#This Row],[STATUS DA ETAPA]],"")</f>
        <v/>
      </c>
      <c r="CK393" s="21" t="str">
        <f>IF([1]!BANCO10[[#This Row],[SOLUÇÃO]]=CK$1,[1]!BANCO10[[#This Row],[STATUS DA ETAPA]],"")</f>
        <v/>
      </c>
      <c r="CL393" s="21" t="str">
        <f>IF([1]!BANCO10[[#This Row],[SOLUÇÃO]]=CL$1,[1]!BANCO10[[#This Row],[STATUS DA ETAPA]],"")</f>
        <v/>
      </c>
      <c r="CM393" s="21" t="str">
        <f>IF([1]!BANCO10[[#This Row],[SOLUÇÃO]]=CM$1,[1]!BANCO10[[#This Row],[STATUS DA ETAPA]],"")</f>
        <v/>
      </c>
      <c r="CN393" s="21" t="str">
        <f>IF([1]!BANCO10[[#This Row],[SOLUÇÃO]]=CN$1,[1]!BANCO10[[#This Row],[STATUS DA ETAPA]],"")</f>
        <v/>
      </c>
      <c r="CO393" s="21" t="str">
        <f>IF([1]!BANCO10[[#This Row],[SOLUÇÃO]]=CO$1,[1]!BANCO10[[#This Row],[STATUS DA ETAPA]],"")</f>
        <v/>
      </c>
      <c r="CP393" s="21" t="str">
        <f>IF([1]!BANCO10[[#This Row],[SOLUÇÃO]]=CP$1,[1]!BANCO10[[#This Row],[STATUS DA ETAPA]],"")</f>
        <v/>
      </c>
      <c r="CQ393" s="21" t="str">
        <f>IF([1]!BANCO10[[#This Row],[SOLUÇÃO]]=CQ$1,[1]!BANCO10[[#This Row],[STATUS DA ETAPA]],"")</f>
        <v/>
      </c>
      <c r="CR393" s="21" t="str">
        <f>IF([1]!BANCO10[[#This Row],[SOLUÇÃO]]=CR$1,[1]!BANCO10[[#This Row],[STATUS DA ETAPA]],"")</f>
        <v/>
      </c>
      <c r="CS393" s="21" t="str">
        <f>IF([1]!BANCO10[[#This Row],[SOLUÇÃO]]=CS$1,[1]!BANCO10[[#This Row],[STATUS DA ETAPA]],"")</f>
        <v/>
      </c>
      <c r="CT393" s="21" t="str">
        <f>IF([1]!BANCO10[[#This Row],[SOLUÇÃO]]=CT$1,[1]!BANCO10[[#This Row],[STATUS DA ETAPA]],"")</f>
        <v/>
      </c>
      <c r="CU393" s="21" t="str">
        <f>IF([1]!BANCO10[[#This Row],[SOLUÇÃO]]=CU$1,[1]!BANCO10[[#This Row],[STATUS DA ETAPA]],"")</f>
        <v/>
      </c>
      <c r="CV393" s="21" t="str">
        <f>IF([1]!BANCO10[[#This Row],[SOLUÇÃO]]=CV$1,[1]!BANCO10[[#This Row],[STATUS DA ETAPA]],"")</f>
        <v/>
      </c>
    </row>
    <row r="394" spans="1:100">
      <c r="A394" s="44" t="s">
        <v>2</v>
      </c>
      <c r="B394" s="44">
        <v>45383</v>
      </c>
      <c r="C394" s="44" t="s">
        <v>2</v>
      </c>
      <c r="D394" s="44">
        <v>45383</v>
      </c>
      <c r="E394" s="44" t="s">
        <v>2</v>
      </c>
      <c r="F394" s="44">
        <v>45383</v>
      </c>
      <c r="G394" s="44" t="s">
        <v>2</v>
      </c>
      <c r="H394" s="44">
        <v>45383</v>
      </c>
      <c r="I394" s="45" t="s">
        <v>2</v>
      </c>
      <c r="J394" s="46">
        <v>45536</v>
      </c>
      <c r="K394" s="45" t="s">
        <v>2</v>
      </c>
      <c r="L394" s="33">
        <v>45536</v>
      </c>
      <c r="M394" s="45" t="s">
        <v>2</v>
      </c>
      <c r="N394" s="33">
        <v>45536</v>
      </c>
      <c r="O394" s="44" t="s">
        <v>2</v>
      </c>
      <c r="P394" s="44">
        <v>45491</v>
      </c>
      <c r="Q394" s="44" t="s">
        <v>2</v>
      </c>
      <c r="R394" s="44">
        <v>45503</v>
      </c>
      <c r="S394" s="44" t="s">
        <v>2</v>
      </c>
      <c r="T394" s="44">
        <v>45536</v>
      </c>
      <c r="U394" s="44" t="s">
        <v>1</v>
      </c>
      <c r="V394" s="44"/>
      <c r="W394" s="44" t="s">
        <v>1</v>
      </c>
      <c r="X394" s="44"/>
      <c r="Y394" s="44" t="s">
        <v>1</v>
      </c>
      <c r="Z394" s="44"/>
      <c r="AA394" s="44" t="s">
        <v>1</v>
      </c>
      <c r="AB394" s="44"/>
      <c r="AC394" s="51">
        <v>45453</v>
      </c>
      <c r="AD394" s="51">
        <v>45565</v>
      </c>
      <c r="AE394" s="41" t="s">
        <v>2</v>
      </c>
      <c r="AF394" s="41" t="s">
        <v>2</v>
      </c>
      <c r="AG394" s="40" t="s">
        <v>5</v>
      </c>
      <c r="AH394" s="36" t="s">
        <v>0</v>
      </c>
      <c r="AI394" s="49">
        <v>0</v>
      </c>
      <c r="AJ394" s="36" t="s">
        <v>6</v>
      </c>
      <c r="AK394" s="10">
        <v>550470</v>
      </c>
      <c r="AL394" s="36" t="s">
        <v>1</v>
      </c>
      <c r="AM394" s="36" t="s">
        <v>1</v>
      </c>
      <c r="AN394" s="35" t="s">
        <v>2</v>
      </c>
      <c r="AO394" s="35" t="s">
        <v>2</v>
      </c>
      <c r="AP394" s="35" t="s">
        <v>2</v>
      </c>
      <c r="AQ394" s="35" t="s">
        <v>2</v>
      </c>
      <c r="AR394" s="34" t="s">
        <v>2</v>
      </c>
      <c r="AS394" s="33">
        <v>45614</v>
      </c>
      <c r="AT394" s="30" t="s">
        <v>1</v>
      </c>
      <c r="AU394" s="31"/>
      <c r="AV394" s="30" t="s">
        <v>1</v>
      </c>
      <c r="AW394" s="31"/>
      <c r="AX394" s="30" t="s">
        <v>2</v>
      </c>
      <c r="AY394" s="31">
        <v>45614</v>
      </c>
      <c r="AZ394" s="30" t="s">
        <v>0</v>
      </c>
      <c r="BA394" s="55"/>
      <c r="BB394" s="74" t="s">
        <v>493</v>
      </c>
      <c r="BC394" s="25" t="s">
        <v>45</v>
      </c>
      <c r="BD394" s="24"/>
      <c r="BE394" s="24"/>
      <c r="BF394" s="24"/>
      <c r="BG394" s="24"/>
      <c r="BH394" s="130"/>
      <c r="BI394" s="24"/>
      <c r="BJ394" s="24"/>
      <c r="BK394" s="24"/>
      <c r="BL394" s="24"/>
      <c r="BM394" s="24"/>
      <c r="BN394" s="24"/>
      <c r="BO394" s="24"/>
      <c r="BP394" s="24"/>
      <c r="BQ394" s="22">
        <f>YEAR([1]!BANCO10[[#This Row],[DATA INÍCIO]])</f>
        <v>2024</v>
      </c>
      <c r="BR394" s="22">
        <f>MONTH([1]!BANCO10[[#This Row],[DATA INÍCIO]])</f>
        <v>6</v>
      </c>
      <c r="BS394" s="23" t="e">
        <f>CONCATENATE(#REF!,#REF!)</f>
        <v>#REF!</v>
      </c>
      <c r="BT394" s="22"/>
      <c r="BU394" s="21" t="s">
        <v>492</v>
      </c>
      <c r="BV394" s="21" t="str">
        <f>IF([1]!BANCO10[[#This Row],[SOLUÇÃO]]=BV$1,[1]!BANCO10[[#This Row],[STATUS DA ETAPA]],"")</f>
        <v/>
      </c>
      <c r="BW394" s="21" t="str">
        <f>IF([1]!BANCO10[[#This Row],[SOLUÇÃO]]=BW$1,[1]!BANCO10[[#This Row],[STATUS DA ETAPA]],"")</f>
        <v/>
      </c>
      <c r="BX394" s="21" t="str">
        <f>IF([1]!BANCO10[[#This Row],[SOLUÇÃO]]=BX$1,[1]!BANCO10[[#This Row],[STATUS DA ETAPA]],"")</f>
        <v/>
      </c>
      <c r="BY394" s="21" t="str">
        <f>IF([1]!BANCO10[[#This Row],[SOLUÇÃO]]=BY$1,[1]!BANCO10[[#This Row],[STATUS DA ETAPA]],"")</f>
        <v/>
      </c>
      <c r="BZ394" s="21" t="str">
        <f>IF([1]!BANCO10[[#This Row],[SOLUÇÃO]]=BZ$1,[1]!BANCO10[[#This Row],[STATUS DA ETAPA]],"")</f>
        <v/>
      </c>
      <c r="CA394" s="21" t="str">
        <f>IF([1]!BANCO10[[#This Row],[SOLUÇÃO]]=CA$1,[1]!BANCO10[[#This Row],[STATUS DA ETAPA]],"")</f>
        <v/>
      </c>
      <c r="CB394" s="21" t="str">
        <f>IF([1]!BANCO10[[#This Row],[SOLUÇÃO]]=CB$1,[1]!BANCO10[[#This Row],[STATUS DA ETAPA]],"")</f>
        <v>CONCLUÍDO</v>
      </c>
      <c r="CC394" s="21" t="str">
        <f>IF([1]!BANCO10[[#This Row],[SOLUÇÃO]]=CC$1,[1]!BANCO10[[#This Row],[STATUS DA ETAPA]],"")</f>
        <v/>
      </c>
      <c r="CD394" s="21" t="str">
        <f>IF([1]!BANCO10[[#This Row],[SOLUÇÃO]]=CD$1,[1]!BANCO10[[#This Row],[STATUS DA ETAPA]],"")</f>
        <v/>
      </c>
      <c r="CE394" s="21" t="str">
        <f>IF([1]!BANCO10[[#This Row],[SOLUÇÃO]]=CE$1,[1]!BANCO10[[#This Row],[STATUS DA ETAPA]],"")</f>
        <v/>
      </c>
      <c r="CF394" s="21" t="str">
        <f>IF([1]!BANCO10[[#This Row],[SOLUÇÃO]]=CF$1,[1]!BANCO10[[#This Row],[STATUS DA ETAPA]],"")</f>
        <v/>
      </c>
      <c r="CG394" s="21" t="str">
        <f>IF([1]!BANCO10[[#This Row],[SOLUÇÃO]]=CG$1,[1]!BANCO10[[#This Row],[STATUS DA ETAPA]],"")</f>
        <v/>
      </c>
      <c r="CH394" s="21" t="str">
        <f>IF([1]!BANCO10[[#This Row],[SOLUÇÃO]]=CH$1,[1]!BANCO10[[#This Row],[STATUS DA ETAPA]],"")</f>
        <v/>
      </c>
      <c r="CI394" s="21" t="str">
        <f>IF([1]!BANCO10[[#This Row],[SOLUÇÃO]]=CI$1,[1]!BANCO10[[#This Row],[STATUS DA ETAPA]],"")</f>
        <v/>
      </c>
      <c r="CJ394" s="21" t="str">
        <f>IF([1]!BANCO10[[#This Row],[SOLUÇÃO]]=CJ$1,[1]!BANCO10[[#This Row],[STATUS DA ETAPA]],"")</f>
        <v/>
      </c>
      <c r="CK394" s="21" t="str">
        <f>IF([1]!BANCO10[[#This Row],[SOLUÇÃO]]=CK$1,[1]!BANCO10[[#This Row],[STATUS DA ETAPA]],"")</f>
        <v/>
      </c>
      <c r="CL394" s="21" t="str">
        <f>IF([1]!BANCO10[[#This Row],[SOLUÇÃO]]=CL$1,[1]!BANCO10[[#This Row],[STATUS DA ETAPA]],"")</f>
        <v/>
      </c>
      <c r="CM394" s="21" t="str">
        <f>IF([1]!BANCO10[[#This Row],[SOLUÇÃO]]=CM$1,[1]!BANCO10[[#This Row],[STATUS DA ETAPA]],"")</f>
        <v/>
      </c>
      <c r="CN394" s="21" t="str">
        <f>IF([1]!BANCO10[[#This Row],[SOLUÇÃO]]=CN$1,[1]!BANCO10[[#This Row],[STATUS DA ETAPA]],"")</f>
        <v/>
      </c>
      <c r="CO394" s="21" t="str">
        <f>IF([1]!BANCO10[[#This Row],[SOLUÇÃO]]=CO$1,[1]!BANCO10[[#This Row],[STATUS DA ETAPA]],"")</f>
        <v/>
      </c>
      <c r="CP394" s="21" t="str">
        <f>IF([1]!BANCO10[[#This Row],[SOLUÇÃO]]=CP$1,[1]!BANCO10[[#This Row],[STATUS DA ETAPA]],"")</f>
        <v/>
      </c>
      <c r="CQ394" s="21" t="str">
        <f>IF([1]!BANCO10[[#This Row],[SOLUÇÃO]]=CQ$1,[1]!BANCO10[[#This Row],[STATUS DA ETAPA]],"")</f>
        <v/>
      </c>
      <c r="CR394" s="21" t="str">
        <f>IF([1]!BANCO10[[#This Row],[SOLUÇÃO]]=CR$1,[1]!BANCO10[[#This Row],[STATUS DA ETAPA]],"")</f>
        <v/>
      </c>
      <c r="CS394" s="21" t="str">
        <f>IF([1]!BANCO10[[#This Row],[SOLUÇÃO]]=CS$1,[1]!BANCO10[[#This Row],[STATUS DA ETAPA]],"")</f>
        <v/>
      </c>
      <c r="CT394" s="21" t="str">
        <f>IF([1]!BANCO10[[#This Row],[SOLUÇÃO]]=CT$1,[1]!BANCO10[[#This Row],[STATUS DA ETAPA]],"")</f>
        <v/>
      </c>
      <c r="CU394" s="21" t="str">
        <f>IF([1]!BANCO10[[#This Row],[SOLUÇÃO]]=CU$1,[1]!BANCO10[[#This Row],[STATUS DA ETAPA]],"")</f>
        <v/>
      </c>
      <c r="CV394" s="21" t="str">
        <f>IF([1]!BANCO10[[#This Row],[SOLUÇÃO]]=CV$1,[1]!BANCO10[[#This Row],[STATUS DA ETAPA]],"")</f>
        <v/>
      </c>
    </row>
    <row r="395" spans="1:100">
      <c r="A395" s="44" t="s">
        <v>0</v>
      </c>
      <c r="B395" s="44"/>
      <c r="C395" s="44" t="s">
        <v>0</v>
      </c>
      <c r="D395" s="44"/>
      <c r="E395" s="44" t="s">
        <v>0</v>
      </c>
      <c r="F395" s="44"/>
      <c r="G395" s="44" t="s">
        <v>0</v>
      </c>
      <c r="H395" s="44"/>
      <c r="I395" s="45" t="s">
        <v>0</v>
      </c>
      <c r="J395" s="46"/>
      <c r="K395" s="45" t="s">
        <v>0</v>
      </c>
      <c r="L395" s="33"/>
      <c r="M395" s="45" t="s">
        <v>0</v>
      </c>
      <c r="N395" s="33"/>
      <c r="O395" s="44" t="s">
        <v>0</v>
      </c>
      <c r="P395" s="44"/>
      <c r="Q395" s="44" t="s">
        <v>2</v>
      </c>
      <c r="R395" s="44">
        <v>45918</v>
      </c>
      <c r="S395" s="44" t="s">
        <v>2</v>
      </c>
      <c r="T395" s="44">
        <v>45708</v>
      </c>
      <c r="U395" s="44" t="s">
        <v>1</v>
      </c>
      <c r="V395" s="44"/>
      <c r="W395" s="44" t="s">
        <v>1</v>
      </c>
      <c r="X395" s="44"/>
      <c r="Y395" s="44" t="s">
        <v>1</v>
      </c>
      <c r="Z395" s="44"/>
      <c r="AA395" s="44" t="s">
        <v>1</v>
      </c>
      <c r="AB395" s="44"/>
      <c r="AC395" s="51">
        <v>45931</v>
      </c>
      <c r="AD395" s="50">
        <v>46022</v>
      </c>
      <c r="AE395" s="41" t="s">
        <v>0</v>
      </c>
      <c r="AF395" s="41" t="s">
        <v>0</v>
      </c>
      <c r="AG395" s="40" t="s">
        <v>5</v>
      </c>
      <c r="AH395" s="36" t="s">
        <v>0</v>
      </c>
      <c r="AI395" s="49">
        <v>14440</v>
      </c>
      <c r="AJ395" s="36"/>
      <c r="AK395" s="10" t="s">
        <v>1</v>
      </c>
      <c r="AL395" s="36" t="s">
        <v>1</v>
      </c>
      <c r="AM395" s="36" t="s">
        <v>1</v>
      </c>
      <c r="AN395" s="35" t="s">
        <v>0</v>
      </c>
      <c r="AO395" s="35" t="s">
        <v>0</v>
      </c>
      <c r="AP395" s="35" t="s">
        <v>0</v>
      </c>
      <c r="AQ395" s="35" t="s">
        <v>0</v>
      </c>
      <c r="AR395" s="34" t="s">
        <v>0</v>
      </c>
      <c r="AS395" s="33"/>
      <c r="AT395" s="32" t="s">
        <v>0</v>
      </c>
      <c r="AU395" s="31"/>
      <c r="AV395" s="32" t="s">
        <v>0</v>
      </c>
      <c r="AW395" s="31"/>
      <c r="AX395" s="32" t="s">
        <v>0</v>
      </c>
      <c r="AY395" s="31"/>
      <c r="AZ395" s="32" t="s">
        <v>0</v>
      </c>
      <c r="BA395" s="31"/>
      <c r="BB395" s="26" t="s">
        <v>491</v>
      </c>
      <c r="BC395" s="25" t="s">
        <v>84</v>
      </c>
      <c r="BD395" s="24"/>
      <c r="BE395" s="24"/>
      <c r="BF395" s="24"/>
      <c r="BG395" s="24"/>
      <c r="BH395" s="24"/>
      <c r="BI395" s="24"/>
      <c r="BJ395" s="24"/>
      <c r="BK395" s="24"/>
      <c r="BL395" s="24"/>
      <c r="BM395" s="24"/>
      <c r="BN395" s="24"/>
      <c r="BO395" s="24"/>
      <c r="BP395" s="24"/>
      <c r="BQ395" s="22">
        <f>YEAR([1]!BANCO10[[#This Row],[DATA INÍCIO]])</f>
        <v>2025</v>
      </c>
      <c r="BR395" s="22">
        <f>MONTH([1]!BANCO10[[#This Row],[DATA INÍCIO]])</f>
        <v>10</v>
      </c>
      <c r="BS395" s="23" t="e">
        <f>CONCATENATE(#REF!,#REF!)</f>
        <v>#REF!</v>
      </c>
      <c r="BT395" s="22"/>
      <c r="BU395" s="22"/>
      <c r="BV395" s="21" t="str">
        <f>IF([1]!BANCO10[[#This Row],[SOLUÇÃO]]=BV$1,[1]!BANCO10[[#This Row],[STATUS DA ETAPA]],"")</f>
        <v/>
      </c>
      <c r="BW395" s="21" t="str">
        <f>IF([1]!BANCO10[[#This Row],[SOLUÇÃO]]=BW$1,[1]!BANCO10[[#This Row],[STATUS DA ETAPA]],"")</f>
        <v/>
      </c>
      <c r="BX395" s="21" t="str">
        <f>IF([1]!BANCO10[[#This Row],[SOLUÇÃO]]=BX$1,[1]!BANCO10[[#This Row],[STATUS DA ETAPA]],"")</f>
        <v/>
      </c>
      <c r="BY395" s="21" t="str">
        <f>IF([1]!BANCO10[[#This Row],[SOLUÇÃO]]=BY$1,[1]!BANCO10[[#This Row],[STATUS DA ETAPA]],"")</f>
        <v/>
      </c>
      <c r="BZ395" s="21" t="str">
        <f>IF([1]!BANCO10[[#This Row],[SOLUÇÃO]]=BZ$1,[1]!BANCO10[[#This Row],[STATUS DA ETAPA]],"")</f>
        <v/>
      </c>
      <c r="CA395" s="21" t="str">
        <f>IF([1]!BANCO10[[#This Row],[SOLUÇÃO]]=CA$1,[1]!BANCO10[[#This Row],[STATUS DA ETAPA]],"")</f>
        <v/>
      </c>
      <c r="CB395" s="21" t="str">
        <f>IF([1]!BANCO10[[#This Row],[SOLUÇÃO]]=CB$1,[1]!BANCO10[[#This Row],[STATUS DA ETAPA]],"")</f>
        <v>AGUARDANDO ACEITE</v>
      </c>
      <c r="CC395" s="21" t="str">
        <f>IF([1]!BANCO10[[#This Row],[SOLUÇÃO]]=CC$1,[1]!BANCO10[[#This Row],[STATUS DA ETAPA]],"")</f>
        <v/>
      </c>
      <c r="CD395" s="21" t="str">
        <f>IF([1]!BANCO10[[#This Row],[SOLUÇÃO]]=CD$1,[1]!BANCO10[[#This Row],[STATUS DA ETAPA]],"")</f>
        <v/>
      </c>
      <c r="CE395" s="21" t="str">
        <f>IF([1]!BANCO10[[#This Row],[SOLUÇÃO]]=CE$1,[1]!BANCO10[[#This Row],[STATUS DA ETAPA]],"")</f>
        <v/>
      </c>
      <c r="CF395" s="21" t="str">
        <f>IF([1]!BANCO10[[#This Row],[SOLUÇÃO]]=CF$1,[1]!BANCO10[[#This Row],[STATUS DA ETAPA]],"")</f>
        <v/>
      </c>
      <c r="CG395" s="21" t="str">
        <f>IF([1]!BANCO10[[#This Row],[SOLUÇÃO]]=CG$1,[1]!BANCO10[[#This Row],[STATUS DA ETAPA]],"")</f>
        <v/>
      </c>
      <c r="CH395" s="21" t="str">
        <f>IF([1]!BANCO10[[#This Row],[SOLUÇÃO]]=CH$1,[1]!BANCO10[[#This Row],[STATUS DA ETAPA]],"")</f>
        <v/>
      </c>
      <c r="CI395" s="21" t="str">
        <f>IF([1]!BANCO10[[#This Row],[SOLUÇÃO]]=CI$1,[1]!BANCO10[[#This Row],[STATUS DA ETAPA]],"")</f>
        <v/>
      </c>
      <c r="CJ395" s="21" t="str">
        <f>IF([1]!BANCO10[[#This Row],[SOLUÇÃO]]=CJ$1,[1]!BANCO10[[#This Row],[STATUS DA ETAPA]],"")</f>
        <v/>
      </c>
      <c r="CK395" s="21" t="str">
        <f>IF([1]!BANCO10[[#This Row],[SOLUÇÃO]]=CK$1,[1]!BANCO10[[#This Row],[STATUS DA ETAPA]],"")</f>
        <v/>
      </c>
      <c r="CL395" s="21" t="str">
        <f>IF([1]!BANCO10[[#This Row],[SOLUÇÃO]]=CL$1,[1]!BANCO10[[#This Row],[STATUS DA ETAPA]],"")</f>
        <v/>
      </c>
      <c r="CM395" s="21" t="str">
        <f>IF([1]!BANCO10[[#This Row],[SOLUÇÃO]]=CM$1,[1]!BANCO10[[#This Row],[STATUS DA ETAPA]],"")</f>
        <v/>
      </c>
      <c r="CN395" s="21" t="str">
        <f>IF([1]!BANCO10[[#This Row],[SOLUÇÃO]]=CN$1,[1]!BANCO10[[#This Row],[STATUS DA ETAPA]],"")</f>
        <v/>
      </c>
      <c r="CO395" s="21" t="str">
        <f>IF([1]!BANCO10[[#This Row],[SOLUÇÃO]]=CO$1,[1]!BANCO10[[#This Row],[STATUS DA ETAPA]],"")</f>
        <v/>
      </c>
      <c r="CP395" s="21" t="str">
        <f>IF([1]!BANCO10[[#This Row],[SOLUÇÃO]]=CP$1,[1]!BANCO10[[#This Row],[STATUS DA ETAPA]],"")</f>
        <v/>
      </c>
      <c r="CQ395" s="21" t="str">
        <f>IF([1]!BANCO10[[#This Row],[SOLUÇÃO]]=CQ$1,[1]!BANCO10[[#This Row],[STATUS DA ETAPA]],"")</f>
        <v/>
      </c>
      <c r="CR395" s="21" t="str">
        <f>IF([1]!BANCO10[[#This Row],[SOLUÇÃO]]=CR$1,[1]!BANCO10[[#This Row],[STATUS DA ETAPA]],"")</f>
        <v/>
      </c>
      <c r="CS395" s="21" t="str">
        <f>IF([1]!BANCO10[[#This Row],[SOLUÇÃO]]=CS$1,[1]!BANCO10[[#This Row],[STATUS DA ETAPA]],"")</f>
        <v/>
      </c>
      <c r="CT395" s="21" t="str">
        <f>IF([1]!BANCO10[[#This Row],[SOLUÇÃO]]=CT$1,[1]!BANCO10[[#This Row],[STATUS DA ETAPA]],"")</f>
        <v/>
      </c>
      <c r="CU395" s="21" t="str">
        <f>IF([1]!BANCO10[[#This Row],[SOLUÇÃO]]=CU$1,[1]!BANCO10[[#This Row],[STATUS DA ETAPA]],"")</f>
        <v/>
      </c>
      <c r="CV395" s="21" t="str">
        <f>IF([1]!BANCO10[[#This Row],[SOLUÇÃO]]=CV$1,[1]!BANCO10[[#This Row],[STATUS DA ETAPA]],"")</f>
        <v/>
      </c>
    </row>
    <row r="396" spans="1:100">
      <c r="A396" s="44" t="s">
        <v>1</v>
      </c>
      <c r="B396" s="44"/>
      <c r="C396" s="44" t="s">
        <v>1</v>
      </c>
      <c r="D396" s="44"/>
      <c r="E396" s="44" t="s">
        <v>1</v>
      </c>
      <c r="F396" s="44"/>
      <c r="G396" s="44" t="s">
        <v>1</v>
      </c>
      <c r="H396" s="44"/>
      <c r="I396" s="45" t="s">
        <v>1</v>
      </c>
      <c r="J396" s="46"/>
      <c r="K396" s="45" t="s">
        <v>1</v>
      </c>
      <c r="L396" s="33"/>
      <c r="M396" s="45" t="s">
        <v>1</v>
      </c>
      <c r="N396" s="33"/>
      <c r="O396" s="44" t="s">
        <v>2</v>
      </c>
      <c r="P396" s="44">
        <v>44980</v>
      </c>
      <c r="Q396" s="44" t="s">
        <v>0</v>
      </c>
      <c r="R396" s="44"/>
      <c r="S396" s="44" t="s">
        <v>1</v>
      </c>
      <c r="T396" s="44"/>
      <c r="U396" s="44" t="s">
        <v>1</v>
      </c>
      <c r="V396" s="44"/>
      <c r="W396" s="44" t="s">
        <v>1</v>
      </c>
      <c r="X396" s="44"/>
      <c r="Y396" s="44" t="s">
        <v>1</v>
      </c>
      <c r="Z396" s="44"/>
      <c r="AA396" s="44" t="s">
        <v>1</v>
      </c>
      <c r="AB396" s="44"/>
      <c r="AC396" s="51">
        <v>44980</v>
      </c>
      <c r="AD396" s="50">
        <v>44980</v>
      </c>
      <c r="AE396" s="40" t="s">
        <v>1</v>
      </c>
      <c r="AF396" s="40" t="s">
        <v>1</v>
      </c>
      <c r="AG396" s="76" t="s">
        <v>5</v>
      </c>
      <c r="AH396" s="36" t="s">
        <v>1</v>
      </c>
      <c r="AI396" s="49">
        <v>0</v>
      </c>
      <c r="AJ396" s="36" t="s">
        <v>1</v>
      </c>
      <c r="AK396" s="10" t="s">
        <v>1</v>
      </c>
      <c r="AL396" s="36" t="s">
        <v>1</v>
      </c>
      <c r="AM396" s="36" t="s">
        <v>1</v>
      </c>
      <c r="AN396" s="35" t="s">
        <v>1</v>
      </c>
      <c r="AO396" s="35" t="s">
        <v>1</v>
      </c>
      <c r="AP396" s="35" t="s">
        <v>1</v>
      </c>
      <c r="AQ396" s="35" t="s">
        <v>1</v>
      </c>
      <c r="AR396" s="82" t="s">
        <v>1</v>
      </c>
      <c r="AS396" s="33"/>
      <c r="AT396" s="32" t="s">
        <v>1</v>
      </c>
      <c r="AU396" s="31"/>
      <c r="AV396" s="32" t="s">
        <v>1</v>
      </c>
      <c r="AW396" s="31"/>
      <c r="AX396" s="30" t="s">
        <v>1</v>
      </c>
      <c r="AY396" s="55"/>
      <c r="AZ396" s="30" t="s">
        <v>1</v>
      </c>
      <c r="BA396" s="55"/>
      <c r="BB396" s="74"/>
      <c r="BC396" s="25"/>
      <c r="BD396" s="24" t="s">
        <v>11</v>
      </c>
      <c r="BE396" s="24" t="s">
        <v>11</v>
      </c>
      <c r="BF396" s="24" t="s">
        <v>21</v>
      </c>
      <c r="BG396" s="24" t="s">
        <v>136</v>
      </c>
      <c r="BH396" s="130" t="s">
        <v>18</v>
      </c>
      <c r="BI396" s="24" t="s">
        <v>243</v>
      </c>
      <c r="BJ396" s="24" t="s">
        <v>11</v>
      </c>
      <c r="BK396" s="24" t="s">
        <v>11</v>
      </c>
      <c r="BL396" s="24" t="s">
        <v>11</v>
      </c>
      <c r="BM396" s="24" t="s">
        <v>11</v>
      </c>
      <c r="BN396" s="24" t="s">
        <v>11</v>
      </c>
      <c r="BO396" s="24" t="s">
        <v>11</v>
      </c>
      <c r="BP396" s="24" t="s">
        <v>11</v>
      </c>
      <c r="BQ396" s="22">
        <f>YEAR([1]!BANCO10[[#This Row],[DATA INÍCIO]])</f>
        <v>2023</v>
      </c>
      <c r="BR396" s="22">
        <f>MONTH([1]!BANCO10[[#This Row],[DATA INÍCIO]])</f>
        <v>2</v>
      </c>
      <c r="BS396" s="129" t="e">
        <f>CONCATENATE(#REF!,#REF!)</f>
        <v>#REF!</v>
      </c>
      <c r="BT396" s="22"/>
      <c r="BU396" s="21" t="s">
        <v>490</v>
      </c>
      <c r="BV396" s="21" t="str">
        <f>IF([1]!BANCO10[[#This Row],[SOLUÇÃO]]=BV$1,[1]!BANCO10[[#This Row],[STATUS DA ETAPA]],"")</f>
        <v>CONCLUÍDO</v>
      </c>
      <c r="BW396" s="21" t="str">
        <f>IF([1]!BANCO10[[#This Row],[SOLUÇÃO]]=BW$1,[1]!BANCO10[[#This Row],[STATUS DA ETAPA]],"")</f>
        <v/>
      </c>
      <c r="BX396" s="21" t="str">
        <f>IF([1]!BANCO10[[#This Row],[SOLUÇÃO]]=BX$1,[1]!BANCO10[[#This Row],[STATUS DA ETAPA]],"")</f>
        <v/>
      </c>
      <c r="BY396" s="21" t="str">
        <f>IF([1]!BANCO10[[#This Row],[SOLUÇÃO]]=BY$1,[1]!BANCO10[[#This Row],[STATUS DA ETAPA]],"")</f>
        <v/>
      </c>
      <c r="BZ396" s="21" t="str">
        <f>IF([1]!BANCO10[[#This Row],[SOLUÇÃO]]=BZ$1,[1]!BANCO10[[#This Row],[STATUS DA ETAPA]],"")</f>
        <v/>
      </c>
      <c r="CA396" s="21" t="str">
        <f>IF([1]!BANCO10[[#This Row],[SOLUÇÃO]]=CA$1,[1]!BANCO10[[#This Row],[STATUS DA ETAPA]],"")</f>
        <v/>
      </c>
      <c r="CB396" s="21" t="str">
        <f>IF([1]!BANCO10[[#This Row],[SOLUÇÃO]]=CB$1,[1]!BANCO10[[#This Row],[STATUS DA ETAPA]],"")</f>
        <v/>
      </c>
      <c r="CC396" s="21" t="str">
        <f>IF([1]!BANCO10[[#This Row],[SOLUÇÃO]]=CC$1,[1]!BANCO10[[#This Row],[STATUS DA ETAPA]],"")</f>
        <v/>
      </c>
      <c r="CD396" s="21" t="str">
        <f>IF([1]!BANCO10[[#This Row],[SOLUÇÃO]]=CD$1,[1]!BANCO10[[#This Row],[STATUS DA ETAPA]],"")</f>
        <v/>
      </c>
      <c r="CE396" s="21" t="str">
        <f>IF([1]!BANCO10[[#This Row],[SOLUÇÃO]]=CE$1,[1]!BANCO10[[#This Row],[STATUS DA ETAPA]],"")</f>
        <v/>
      </c>
      <c r="CF396" s="21" t="str">
        <f>IF([1]!BANCO10[[#This Row],[SOLUÇÃO]]=CF$1,[1]!BANCO10[[#This Row],[STATUS DA ETAPA]],"")</f>
        <v/>
      </c>
      <c r="CG396" s="21" t="str">
        <f>IF([1]!BANCO10[[#This Row],[SOLUÇÃO]]=CG$1,[1]!BANCO10[[#This Row],[STATUS DA ETAPA]],"")</f>
        <v/>
      </c>
      <c r="CH396" s="21" t="str">
        <f>IF([1]!BANCO10[[#This Row],[SOLUÇÃO]]=CH$1,[1]!BANCO10[[#This Row],[STATUS DA ETAPA]],"")</f>
        <v/>
      </c>
      <c r="CI396" s="21" t="str">
        <f>IF([1]!BANCO10[[#This Row],[SOLUÇÃO]]=CI$1,[1]!BANCO10[[#This Row],[STATUS DA ETAPA]],"")</f>
        <v/>
      </c>
      <c r="CJ396" s="21" t="str">
        <f>IF([1]!BANCO10[[#This Row],[SOLUÇÃO]]=CJ$1,[1]!BANCO10[[#This Row],[STATUS DA ETAPA]],"")</f>
        <v/>
      </c>
      <c r="CK396" s="21" t="str">
        <f>IF([1]!BANCO10[[#This Row],[SOLUÇÃO]]=CK$1,[1]!BANCO10[[#This Row],[STATUS DA ETAPA]],"")</f>
        <v/>
      </c>
      <c r="CL396" s="21" t="str">
        <f>IF([1]!BANCO10[[#This Row],[SOLUÇÃO]]=CL$1,[1]!BANCO10[[#This Row],[STATUS DA ETAPA]],"")</f>
        <v/>
      </c>
      <c r="CM396" s="21" t="str">
        <f>IF([1]!BANCO10[[#This Row],[SOLUÇÃO]]=CM$1,[1]!BANCO10[[#This Row],[STATUS DA ETAPA]],"")</f>
        <v/>
      </c>
      <c r="CN396" s="21" t="str">
        <f>IF([1]!BANCO10[[#This Row],[SOLUÇÃO]]=CN$1,[1]!BANCO10[[#This Row],[STATUS DA ETAPA]],"")</f>
        <v/>
      </c>
      <c r="CO396" s="21" t="str">
        <f>IF([1]!BANCO10[[#This Row],[SOLUÇÃO]]=CO$1,[1]!BANCO10[[#This Row],[STATUS DA ETAPA]],"")</f>
        <v/>
      </c>
      <c r="CP396" s="21" t="str">
        <f>IF([1]!BANCO10[[#This Row],[SOLUÇÃO]]=CP$1,[1]!BANCO10[[#This Row],[STATUS DA ETAPA]],"")</f>
        <v/>
      </c>
      <c r="CQ396" s="21" t="str">
        <f>IF([1]!BANCO10[[#This Row],[SOLUÇÃO]]=CQ$1,[1]!BANCO10[[#This Row],[STATUS DA ETAPA]],"")</f>
        <v/>
      </c>
      <c r="CR396" s="21" t="str">
        <f>IF([1]!BANCO10[[#This Row],[SOLUÇÃO]]=CR$1,[1]!BANCO10[[#This Row],[STATUS DA ETAPA]],"")</f>
        <v/>
      </c>
      <c r="CS396" s="21" t="str">
        <f>IF([1]!BANCO10[[#This Row],[SOLUÇÃO]]=CS$1,[1]!BANCO10[[#This Row],[STATUS DA ETAPA]],"")</f>
        <v/>
      </c>
      <c r="CT396" s="21" t="str">
        <f>IF([1]!BANCO10[[#This Row],[SOLUÇÃO]]=CT$1,[1]!BANCO10[[#This Row],[STATUS DA ETAPA]],"")</f>
        <v/>
      </c>
      <c r="CU396" s="21" t="str">
        <f>IF([1]!BANCO10[[#This Row],[SOLUÇÃO]]=CU$1,[1]!BANCO10[[#This Row],[STATUS DA ETAPA]],"")</f>
        <v/>
      </c>
      <c r="CV396" s="21" t="str">
        <f>IF([1]!BANCO10[[#This Row],[SOLUÇÃO]]=CV$1,[1]!BANCO10[[#This Row],[STATUS DA ETAPA]],"")</f>
        <v/>
      </c>
    </row>
    <row r="397" spans="1:100">
      <c r="A397" s="44" t="s">
        <v>1</v>
      </c>
      <c r="B397" s="44"/>
      <c r="C397" s="44" t="s">
        <v>1</v>
      </c>
      <c r="D397" s="44"/>
      <c r="E397" s="44" t="s">
        <v>1</v>
      </c>
      <c r="F397" s="44"/>
      <c r="G397" s="44" t="s">
        <v>1</v>
      </c>
      <c r="H397" s="44"/>
      <c r="I397" s="45" t="s">
        <v>1</v>
      </c>
      <c r="J397" s="46"/>
      <c r="K397" s="45" t="s">
        <v>1</v>
      </c>
      <c r="L397" s="33"/>
      <c r="M397" s="45" t="s">
        <v>1</v>
      </c>
      <c r="N397" s="33"/>
      <c r="O397" s="44" t="s">
        <v>2</v>
      </c>
      <c r="P397" s="44">
        <v>44980</v>
      </c>
      <c r="Q397" s="44" t="s">
        <v>2</v>
      </c>
      <c r="R397" s="44">
        <v>45004</v>
      </c>
      <c r="S397" s="44" t="s">
        <v>2</v>
      </c>
      <c r="T397" s="44">
        <v>45009</v>
      </c>
      <c r="U397" s="44"/>
      <c r="V397" s="44"/>
      <c r="W397" s="44" t="s">
        <v>2</v>
      </c>
      <c r="X397" s="44"/>
      <c r="Y397" s="44" t="s">
        <v>2</v>
      </c>
      <c r="Z397" s="44">
        <v>45007</v>
      </c>
      <c r="AA397" s="44" t="s">
        <v>2</v>
      </c>
      <c r="AB397" s="44"/>
      <c r="AC397" s="51">
        <v>45044</v>
      </c>
      <c r="AD397" s="50">
        <v>45159</v>
      </c>
      <c r="AE397" s="40" t="s">
        <v>2</v>
      </c>
      <c r="AF397" s="41" t="s">
        <v>2</v>
      </c>
      <c r="AG397" s="76" t="s">
        <v>5</v>
      </c>
      <c r="AH397" s="36" t="s">
        <v>0</v>
      </c>
      <c r="AI397" s="49">
        <v>0</v>
      </c>
      <c r="AJ397" s="36" t="s">
        <v>6</v>
      </c>
      <c r="AK397" s="10"/>
      <c r="AL397" s="36" t="s">
        <v>22</v>
      </c>
      <c r="AM397" s="36"/>
      <c r="AN397" s="35" t="s">
        <v>1</v>
      </c>
      <c r="AO397" s="35" t="s">
        <v>1</v>
      </c>
      <c r="AP397" s="35" t="s">
        <v>2</v>
      </c>
      <c r="AQ397" s="35" t="s">
        <v>1</v>
      </c>
      <c r="AR397" s="34" t="s">
        <v>1</v>
      </c>
      <c r="AS397" s="33"/>
      <c r="AT397" s="32" t="s">
        <v>1</v>
      </c>
      <c r="AU397" s="31"/>
      <c r="AV397" s="32" t="s">
        <v>1</v>
      </c>
      <c r="AW397" s="31"/>
      <c r="AX397" s="30" t="s">
        <v>2</v>
      </c>
      <c r="AY397" s="55">
        <v>45159</v>
      </c>
      <c r="AZ397" s="30" t="s">
        <v>2</v>
      </c>
      <c r="BA397" s="55"/>
      <c r="BB397" s="74"/>
      <c r="BC397" s="25"/>
      <c r="BD397" s="24" t="s">
        <v>11</v>
      </c>
      <c r="BE397" s="24" t="s">
        <v>11</v>
      </c>
      <c r="BF397" s="24" t="s">
        <v>21</v>
      </c>
      <c r="BG397" s="24" t="s">
        <v>136</v>
      </c>
      <c r="BH397" s="130" t="s">
        <v>18</v>
      </c>
      <c r="BI397" s="24" t="s">
        <v>243</v>
      </c>
      <c r="BJ397" s="24" t="s">
        <v>37</v>
      </c>
      <c r="BK397" s="24" t="s">
        <v>489</v>
      </c>
      <c r="BL397" s="24">
        <v>45412</v>
      </c>
      <c r="BM397" s="24" t="s">
        <v>18</v>
      </c>
      <c r="BN397" s="24" t="s">
        <v>11</v>
      </c>
      <c r="BO397" s="24"/>
      <c r="BP397" s="24" t="s">
        <v>488</v>
      </c>
      <c r="BQ397" s="22">
        <f>YEAR([1]!BANCO10[[#This Row],[DATA INÍCIO]])</f>
        <v>2023</v>
      </c>
      <c r="BR397" s="22">
        <f>MONTH([1]!BANCO10[[#This Row],[DATA INÍCIO]])</f>
        <v>4</v>
      </c>
      <c r="BS397" s="129" t="e">
        <f>CONCATENATE(#REF!,#REF!)</f>
        <v>#REF!</v>
      </c>
      <c r="BT397" s="22"/>
      <c r="BU397" s="21" t="s">
        <v>487</v>
      </c>
      <c r="BV397" s="21" t="str">
        <f>IF([1]!BANCO10[[#This Row],[SOLUÇÃO]]=BV$1,[1]!BANCO10[[#This Row],[STATUS DA ETAPA]],"")</f>
        <v/>
      </c>
      <c r="BW397" s="21" t="str">
        <f>IF([1]!BANCO10[[#This Row],[SOLUÇÃO]]=BW$1,[1]!BANCO10[[#This Row],[STATUS DA ETAPA]],"")</f>
        <v/>
      </c>
      <c r="BX397" s="21" t="str">
        <f>IF([1]!BANCO10[[#This Row],[SOLUÇÃO]]=BX$1,[1]!BANCO10[[#This Row],[STATUS DA ETAPA]],"")</f>
        <v/>
      </c>
      <c r="BY397" s="21" t="str">
        <f>IF([1]!BANCO10[[#This Row],[SOLUÇÃO]]=BY$1,[1]!BANCO10[[#This Row],[STATUS DA ETAPA]],"")</f>
        <v/>
      </c>
      <c r="BZ397" s="21" t="str">
        <f>IF([1]!BANCO10[[#This Row],[SOLUÇÃO]]=BZ$1,[1]!BANCO10[[#This Row],[STATUS DA ETAPA]],"")</f>
        <v/>
      </c>
      <c r="CA397" s="21" t="str">
        <f>IF([1]!BANCO10[[#This Row],[SOLUÇÃO]]=CA$1,[1]!BANCO10[[#This Row],[STATUS DA ETAPA]],"")</f>
        <v>CONCLUÍDO</v>
      </c>
      <c r="CB397" s="21" t="str">
        <f>IF([1]!BANCO10[[#This Row],[SOLUÇÃO]]=CB$1,[1]!BANCO10[[#This Row],[STATUS DA ETAPA]],"")</f>
        <v/>
      </c>
      <c r="CC397" s="21" t="str">
        <f>IF([1]!BANCO10[[#This Row],[SOLUÇÃO]]=CC$1,[1]!BANCO10[[#This Row],[STATUS DA ETAPA]],"")</f>
        <v/>
      </c>
      <c r="CD397" s="21" t="str">
        <f>IF([1]!BANCO10[[#This Row],[SOLUÇÃO]]=CD$1,[1]!BANCO10[[#This Row],[STATUS DA ETAPA]],"")</f>
        <v/>
      </c>
      <c r="CE397" s="21" t="str">
        <f>IF([1]!BANCO10[[#This Row],[SOLUÇÃO]]=CE$1,[1]!BANCO10[[#This Row],[STATUS DA ETAPA]],"")</f>
        <v/>
      </c>
      <c r="CF397" s="21" t="str">
        <f>IF([1]!BANCO10[[#This Row],[SOLUÇÃO]]=CF$1,[1]!BANCO10[[#This Row],[STATUS DA ETAPA]],"")</f>
        <v/>
      </c>
      <c r="CG397" s="21" t="str">
        <f>IF([1]!BANCO10[[#This Row],[SOLUÇÃO]]=CG$1,[1]!BANCO10[[#This Row],[STATUS DA ETAPA]],"")</f>
        <v/>
      </c>
      <c r="CH397" s="21" t="str">
        <f>IF([1]!BANCO10[[#This Row],[SOLUÇÃO]]=CH$1,[1]!BANCO10[[#This Row],[STATUS DA ETAPA]],"")</f>
        <v/>
      </c>
      <c r="CI397" s="21" t="str">
        <f>IF([1]!BANCO10[[#This Row],[SOLUÇÃO]]=CI$1,[1]!BANCO10[[#This Row],[STATUS DA ETAPA]],"")</f>
        <v/>
      </c>
      <c r="CJ397" s="21" t="str">
        <f>IF([1]!BANCO10[[#This Row],[SOLUÇÃO]]=CJ$1,[1]!BANCO10[[#This Row],[STATUS DA ETAPA]],"")</f>
        <v/>
      </c>
      <c r="CK397" s="21" t="str">
        <f>IF([1]!BANCO10[[#This Row],[SOLUÇÃO]]=CK$1,[1]!BANCO10[[#This Row],[STATUS DA ETAPA]],"")</f>
        <v/>
      </c>
      <c r="CL397" s="21" t="str">
        <f>IF([1]!BANCO10[[#This Row],[SOLUÇÃO]]=CL$1,[1]!BANCO10[[#This Row],[STATUS DA ETAPA]],"")</f>
        <v/>
      </c>
      <c r="CM397" s="21" t="str">
        <f>IF([1]!BANCO10[[#This Row],[SOLUÇÃO]]=CM$1,[1]!BANCO10[[#This Row],[STATUS DA ETAPA]],"")</f>
        <v/>
      </c>
      <c r="CN397" s="21" t="str">
        <f>IF([1]!BANCO10[[#This Row],[SOLUÇÃO]]=CN$1,[1]!BANCO10[[#This Row],[STATUS DA ETAPA]],"")</f>
        <v/>
      </c>
      <c r="CO397" s="21" t="str">
        <f>IF([1]!BANCO10[[#This Row],[SOLUÇÃO]]=CO$1,[1]!BANCO10[[#This Row],[STATUS DA ETAPA]],"")</f>
        <v/>
      </c>
      <c r="CP397" s="21" t="str">
        <f>IF([1]!BANCO10[[#This Row],[SOLUÇÃO]]=CP$1,[1]!BANCO10[[#This Row],[STATUS DA ETAPA]],"")</f>
        <v/>
      </c>
      <c r="CQ397" s="21" t="str">
        <f>IF([1]!BANCO10[[#This Row],[SOLUÇÃO]]=CQ$1,[1]!BANCO10[[#This Row],[STATUS DA ETAPA]],"")</f>
        <v/>
      </c>
      <c r="CR397" s="21" t="str">
        <f>IF([1]!BANCO10[[#This Row],[SOLUÇÃO]]=CR$1,[1]!BANCO10[[#This Row],[STATUS DA ETAPA]],"")</f>
        <v/>
      </c>
      <c r="CS397" s="21" t="str">
        <f>IF([1]!BANCO10[[#This Row],[SOLUÇÃO]]=CS$1,[1]!BANCO10[[#This Row],[STATUS DA ETAPA]],"")</f>
        <v/>
      </c>
      <c r="CT397" s="21" t="str">
        <f>IF([1]!BANCO10[[#This Row],[SOLUÇÃO]]=CT$1,[1]!BANCO10[[#This Row],[STATUS DA ETAPA]],"")</f>
        <v/>
      </c>
      <c r="CU397" s="21" t="str">
        <f>IF([1]!BANCO10[[#This Row],[SOLUÇÃO]]=CU$1,[1]!BANCO10[[#This Row],[STATUS DA ETAPA]],"")</f>
        <v/>
      </c>
      <c r="CV397" s="21" t="str">
        <f>IF([1]!BANCO10[[#This Row],[SOLUÇÃO]]=CV$1,[1]!BANCO10[[#This Row],[STATUS DA ETAPA]],"")</f>
        <v/>
      </c>
    </row>
    <row r="398" spans="1:100">
      <c r="A398" s="44" t="s">
        <v>1</v>
      </c>
      <c r="B398" s="44"/>
      <c r="C398" s="44" t="s">
        <v>1</v>
      </c>
      <c r="D398" s="44"/>
      <c r="E398" s="44" t="s">
        <v>1</v>
      </c>
      <c r="F398" s="44"/>
      <c r="G398" s="44" t="s">
        <v>1</v>
      </c>
      <c r="H398" s="44"/>
      <c r="I398" s="45" t="s">
        <v>1</v>
      </c>
      <c r="J398" s="46"/>
      <c r="K398" s="45" t="s">
        <v>1</v>
      </c>
      <c r="L398" s="33"/>
      <c r="M398" s="45" t="s">
        <v>1</v>
      </c>
      <c r="N398" s="33"/>
      <c r="O398" s="44" t="s">
        <v>1</v>
      </c>
      <c r="P398" s="44"/>
      <c r="Q398" s="44" t="s">
        <v>1</v>
      </c>
      <c r="R398" s="44"/>
      <c r="S398" s="44" t="s">
        <v>1</v>
      </c>
      <c r="T398" s="44"/>
      <c r="U398" s="44" t="s">
        <v>2</v>
      </c>
      <c r="V398" s="44"/>
      <c r="W398" s="44" t="s">
        <v>2</v>
      </c>
      <c r="X398" s="44"/>
      <c r="Y398" s="44" t="s">
        <v>2</v>
      </c>
      <c r="Z398" s="44"/>
      <c r="AA398" s="44" t="s">
        <v>2</v>
      </c>
      <c r="AB398" s="44"/>
      <c r="AC398" s="51">
        <v>45875</v>
      </c>
      <c r="AD398" s="50">
        <v>45929</v>
      </c>
      <c r="AE398" s="68" t="s">
        <v>2</v>
      </c>
      <c r="AF398" s="68" t="s">
        <v>2</v>
      </c>
      <c r="AG398" s="76" t="s">
        <v>5</v>
      </c>
      <c r="AH398" s="36" t="s">
        <v>0</v>
      </c>
      <c r="AI398" s="49">
        <v>0</v>
      </c>
      <c r="AJ398" s="36" t="s">
        <v>6</v>
      </c>
      <c r="AK398" s="10" t="s">
        <v>486</v>
      </c>
      <c r="AL398" s="36">
        <v>0</v>
      </c>
      <c r="AM398" s="36">
        <v>0</v>
      </c>
      <c r="AN398" s="35" t="s">
        <v>1</v>
      </c>
      <c r="AO398" s="35" t="s">
        <v>1</v>
      </c>
      <c r="AP398" s="35" t="s">
        <v>2</v>
      </c>
      <c r="AQ398" s="35" t="s">
        <v>1</v>
      </c>
      <c r="AR398" s="34" t="s">
        <v>1</v>
      </c>
      <c r="AS398" s="33"/>
      <c r="AT398" s="32" t="s">
        <v>2</v>
      </c>
      <c r="AU398" s="31">
        <v>45915</v>
      </c>
      <c r="AV398" s="32" t="s">
        <v>2</v>
      </c>
      <c r="AW398" s="31">
        <v>45926</v>
      </c>
      <c r="AX398" s="32" t="s">
        <v>2</v>
      </c>
      <c r="AY398" s="29">
        <v>45943</v>
      </c>
      <c r="AZ398" s="28" t="s">
        <v>0</v>
      </c>
      <c r="BA398" s="27"/>
      <c r="BB398" s="39">
        <v>45835</v>
      </c>
      <c r="BC398" s="25" t="s">
        <v>133</v>
      </c>
      <c r="BD398" s="24"/>
      <c r="BE398" s="24"/>
      <c r="BF398" s="24"/>
      <c r="BG398" s="24"/>
      <c r="BH398" s="24"/>
      <c r="BI398" s="24"/>
      <c r="BJ398" s="24"/>
      <c r="BK398" s="24"/>
      <c r="BL398" s="24"/>
      <c r="BM398" s="24"/>
      <c r="BN398" s="24"/>
      <c r="BO398" s="24"/>
      <c r="BP398" s="24"/>
      <c r="BQ398" s="22">
        <f>YEAR([1]!BANCO10[[#This Row],[DATA INÍCIO]])</f>
        <v>2025</v>
      </c>
      <c r="BR398" s="22">
        <f>MONTH([1]!BANCO10[[#This Row],[DATA INÍCIO]])</f>
        <v>8</v>
      </c>
      <c r="BS398" s="23" t="e">
        <f>CONCATENATE(#REF!,#REF!)</f>
        <v>#REF!</v>
      </c>
      <c r="BT398" s="22"/>
      <c r="BU398" s="22"/>
      <c r="BV398" s="21" t="str">
        <f>IF([1]!BANCO10[[#This Row],[SOLUÇÃO]]=BV$1,[1]!BANCO10[[#This Row],[STATUS DA ETAPA]],"")</f>
        <v/>
      </c>
      <c r="BW398" s="21" t="str">
        <f>IF([1]!BANCO10[[#This Row],[SOLUÇÃO]]=BW$1,[1]!BANCO10[[#This Row],[STATUS DA ETAPA]],"")</f>
        <v/>
      </c>
      <c r="BX398" s="21" t="str">
        <f>IF([1]!BANCO10[[#This Row],[SOLUÇÃO]]=BX$1,[1]!BANCO10[[#This Row],[STATUS DA ETAPA]],"")</f>
        <v/>
      </c>
      <c r="BY398" s="21" t="str">
        <f>IF([1]!BANCO10[[#This Row],[SOLUÇÃO]]=BY$1,[1]!BANCO10[[#This Row],[STATUS DA ETAPA]],"")</f>
        <v/>
      </c>
      <c r="BZ398" s="21" t="str">
        <f>IF([1]!BANCO10[[#This Row],[SOLUÇÃO]]=BZ$1,[1]!BANCO10[[#This Row],[STATUS DA ETAPA]],"")</f>
        <v/>
      </c>
      <c r="CA398" s="21" t="str">
        <f>IF([1]!BANCO10[[#This Row],[SOLUÇÃO]]=CA$1,[1]!BANCO10[[#This Row],[STATUS DA ETAPA]],"")</f>
        <v/>
      </c>
      <c r="CB398" s="21" t="str">
        <f>IF([1]!BANCO10[[#This Row],[SOLUÇÃO]]=CB$1,[1]!BANCO10[[#This Row],[STATUS DA ETAPA]],"")</f>
        <v/>
      </c>
      <c r="CC398" s="21" t="str">
        <f>IF([1]!BANCO10[[#This Row],[SOLUÇÃO]]=CC$1,[1]!BANCO10[[#This Row],[STATUS DA ETAPA]],"")</f>
        <v/>
      </c>
      <c r="CD398" s="21" t="str">
        <f>IF([1]!BANCO10[[#This Row],[SOLUÇÃO]]=CD$1,[1]!BANCO10[[#This Row],[STATUS DA ETAPA]],"")</f>
        <v/>
      </c>
      <c r="CE398" s="21" t="str">
        <f>IF([1]!BANCO10[[#This Row],[SOLUÇÃO]]=CE$1,[1]!BANCO10[[#This Row],[STATUS DA ETAPA]],"")</f>
        <v/>
      </c>
      <c r="CF398" s="21" t="str">
        <f>IF([1]!BANCO10[[#This Row],[SOLUÇÃO]]=CF$1,[1]!BANCO10[[#This Row],[STATUS DA ETAPA]],"")</f>
        <v/>
      </c>
      <c r="CG398" s="21" t="str">
        <f>IF([1]!BANCO10[[#This Row],[SOLUÇÃO]]=CG$1,[1]!BANCO10[[#This Row],[STATUS DA ETAPA]],"")</f>
        <v/>
      </c>
      <c r="CH398" s="21" t="str">
        <f>IF([1]!BANCO10[[#This Row],[SOLUÇÃO]]=CH$1,[1]!BANCO10[[#This Row],[STATUS DA ETAPA]],"")</f>
        <v/>
      </c>
      <c r="CI398" s="21" t="str">
        <f>IF([1]!BANCO10[[#This Row],[SOLUÇÃO]]=CI$1,[1]!BANCO10[[#This Row],[STATUS DA ETAPA]],"")</f>
        <v/>
      </c>
      <c r="CJ398" s="21" t="str">
        <f>IF([1]!BANCO10[[#This Row],[SOLUÇÃO]]=CJ$1,[1]!BANCO10[[#This Row],[STATUS DA ETAPA]],"")</f>
        <v/>
      </c>
      <c r="CK398" s="21" t="str">
        <f>IF([1]!BANCO10[[#This Row],[SOLUÇÃO]]=CK$1,[1]!BANCO10[[#This Row],[STATUS DA ETAPA]],"")</f>
        <v/>
      </c>
      <c r="CL398" s="21" t="str">
        <f>IF([1]!BANCO10[[#This Row],[SOLUÇÃO]]=CL$1,[1]!BANCO10[[#This Row],[STATUS DA ETAPA]],"")</f>
        <v>CONCLUÍDO</v>
      </c>
      <c r="CM398" s="21" t="str">
        <f>IF([1]!BANCO10[[#This Row],[SOLUÇÃO]]=CM$1,[1]!BANCO10[[#This Row],[STATUS DA ETAPA]],"")</f>
        <v/>
      </c>
      <c r="CN398" s="21" t="str">
        <f>IF([1]!BANCO10[[#This Row],[SOLUÇÃO]]=CN$1,[1]!BANCO10[[#This Row],[STATUS DA ETAPA]],"")</f>
        <v/>
      </c>
      <c r="CO398" s="21" t="str">
        <f>IF([1]!BANCO10[[#This Row],[SOLUÇÃO]]=CO$1,[1]!BANCO10[[#This Row],[STATUS DA ETAPA]],"")</f>
        <v/>
      </c>
      <c r="CP398" s="21" t="str">
        <f>IF([1]!BANCO10[[#This Row],[SOLUÇÃO]]=CP$1,[1]!BANCO10[[#This Row],[STATUS DA ETAPA]],"")</f>
        <v/>
      </c>
      <c r="CQ398" s="21" t="str">
        <f>IF([1]!BANCO10[[#This Row],[SOLUÇÃO]]=CQ$1,[1]!BANCO10[[#This Row],[STATUS DA ETAPA]],"")</f>
        <v/>
      </c>
      <c r="CR398" s="21" t="str">
        <f>IF([1]!BANCO10[[#This Row],[SOLUÇÃO]]=CR$1,[1]!BANCO10[[#This Row],[STATUS DA ETAPA]],"")</f>
        <v/>
      </c>
      <c r="CS398" s="21" t="str">
        <f>IF([1]!BANCO10[[#This Row],[SOLUÇÃO]]=CS$1,[1]!BANCO10[[#This Row],[STATUS DA ETAPA]],"")</f>
        <v/>
      </c>
      <c r="CT398" s="21" t="str">
        <f>IF([1]!BANCO10[[#This Row],[SOLUÇÃO]]=CT$1,[1]!BANCO10[[#This Row],[STATUS DA ETAPA]],"")</f>
        <v/>
      </c>
      <c r="CU398" s="21" t="str">
        <f>IF([1]!BANCO10[[#This Row],[SOLUÇÃO]]=CU$1,[1]!BANCO10[[#This Row],[STATUS DA ETAPA]],"")</f>
        <v/>
      </c>
      <c r="CV398" s="21" t="str">
        <f>IF([1]!BANCO10[[#This Row],[SOLUÇÃO]]=CV$1,[1]!BANCO10[[#This Row],[STATUS DA ETAPA]],"")</f>
        <v/>
      </c>
    </row>
    <row r="399" spans="1:100">
      <c r="A399" s="44" t="s">
        <v>1</v>
      </c>
      <c r="B399" s="44"/>
      <c r="C399" s="44" t="s">
        <v>1</v>
      </c>
      <c r="D399" s="44"/>
      <c r="E399" s="44" t="s">
        <v>1</v>
      </c>
      <c r="F399" s="44"/>
      <c r="G399" s="44" t="s">
        <v>1</v>
      </c>
      <c r="H399" s="44"/>
      <c r="I399" s="45" t="s">
        <v>1</v>
      </c>
      <c r="J399" s="46"/>
      <c r="K399" s="45" t="s">
        <v>1</v>
      </c>
      <c r="L399" s="33"/>
      <c r="M399" s="45" t="s">
        <v>1</v>
      </c>
      <c r="N399" s="33"/>
      <c r="O399" s="44" t="s">
        <v>2</v>
      </c>
      <c r="P399" s="44">
        <v>44957</v>
      </c>
      <c r="Q399" s="44" t="s">
        <v>0</v>
      </c>
      <c r="R399" s="44"/>
      <c r="S399" s="44" t="s">
        <v>1</v>
      </c>
      <c r="T399" s="44"/>
      <c r="U399" s="44" t="s">
        <v>1</v>
      </c>
      <c r="V399" s="44"/>
      <c r="W399" s="44" t="s">
        <v>1</v>
      </c>
      <c r="X399" s="44"/>
      <c r="Y399" s="44" t="s">
        <v>1</v>
      </c>
      <c r="Z399" s="44"/>
      <c r="AA399" s="44" t="s">
        <v>1</v>
      </c>
      <c r="AB399" s="44"/>
      <c r="AC399" s="51">
        <v>44956</v>
      </c>
      <c r="AD399" s="51">
        <v>44956</v>
      </c>
      <c r="AE399" s="40" t="s">
        <v>1</v>
      </c>
      <c r="AF399" s="40" t="s">
        <v>1</v>
      </c>
      <c r="AG399" s="76" t="s">
        <v>5</v>
      </c>
      <c r="AH399" s="36" t="s">
        <v>1</v>
      </c>
      <c r="AI399" s="49">
        <v>0</v>
      </c>
      <c r="AJ399" s="36" t="s">
        <v>1</v>
      </c>
      <c r="AK399" s="10" t="s">
        <v>1</v>
      </c>
      <c r="AL399" s="36" t="s">
        <v>1</v>
      </c>
      <c r="AM399" s="36" t="s">
        <v>1</v>
      </c>
      <c r="AN399" s="35" t="s">
        <v>1</v>
      </c>
      <c r="AO399" s="35" t="s">
        <v>1</v>
      </c>
      <c r="AP399" s="35" t="s">
        <v>1</v>
      </c>
      <c r="AQ399" s="35" t="s">
        <v>1</v>
      </c>
      <c r="AR399" s="82" t="s">
        <v>1</v>
      </c>
      <c r="AS399" s="33"/>
      <c r="AT399" s="32" t="s">
        <v>1</v>
      </c>
      <c r="AU399" s="31"/>
      <c r="AV399" s="32" t="s">
        <v>1</v>
      </c>
      <c r="AW399" s="31"/>
      <c r="AX399" s="30" t="s">
        <v>1</v>
      </c>
      <c r="AY399" s="55"/>
      <c r="AZ399" s="30" t="s">
        <v>1</v>
      </c>
      <c r="BA399" s="55"/>
      <c r="BB399" s="74"/>
      <c r="BC399" s="25"/>
      <c r="BD399" s="24" t="s">
        <v>11</v>
      </c>
      <c r="BE399" s="24" t="s">
        <v>11</v>
      </c>
      <c r="BF399" s="24" t="s">
        <v>21</v>
      </c>
      <c r="BG399" s="24" t="s">
        <v>11</v>
      </c>
      <c r="BH399" s="130" t="s">
        <v>18</v>
      </c>
      <c r="BI399" s="24" t="s">
        <v>21</v>
      </c>
      <c r="BJ399" s="24" t="s">
        <v>11</v>
      </c>
      <c r="BK399" s="24" t="s">
        <v>11</v>
      </c>
      <c r="BL399" s="24" t="s">
        <v>11</v>
      </c>
      <c r="BM399" s="24" t="s">
        <v>11</v>
      </c>
      <c r="BN399" s="24" t="s">
        <v>11</v>
      </c>
      <c r="BO399" s="24" t="s">
        <v>11</v>
      </c>
      <c r="BP399" s="24" t="s">
        <v>11</v>
      </c>
      <c r="BQ399" s="22">
        <f>YEAR([1]!BANCO10[[#This Row],[DATA INÍCIO]])</f>
        <v>2023</v>
      </c>
      <c r="BR399" s="22">
        <f>MONTH([1]!BANCO10[[#This Row],[DATA INÍCIO]])</f>
        <v>1</v>
      </c>
      <c r="BS399" s="129" t="e">
        <f>CONCATENATE(#REF!,#REF!)</f>
        <v>#REF!</v>
      </c>
      <c r="BT399" s="22"/>
      <c r="BU399" s="21" t="s">
        <v>485</v>
      </c>
      <c r="BV399" s="21" t="str">
        <f>IF([1]!BANCO10[[#This Row],[SOLUÇÃO]]=BV$1,[1]!BANCO10[[#This Row],[STATUS DA ETAPA]],"")</f>
        <v>CONCLUÍDO</v>
      </c>
      <c r="BW399" s="21" t="str">
        <f>IF([1]!BANCO10[[#This Row],[SOLUÇÃO]]=BW$1,[1]!BANCO10[[#This Row],[STATUS DA ETAPA]],"")</f>
        <v/>
      </c>
      <c r="BX399" s="21" t="str">
        <f>IF([1]!BANCO10[[#This Row],[SOLUÇÃO]]=BX$1,[1]!BANCO10[[#This Row],[STATUS DA ETAPA]],"")</f>
        <v/>
      </c>
      <c r="BY399" s="21" t="str">
        <f>IF([1]!BANCO10[[#This Row],[SOLUÇÃO]]=BY$1,[1]!BANCO10[[#This Row],[STATUS DA ETAPA]],"")</f>
        <v/>
      </c>
      <c r="BZ399" s="21" t="str">
        <f>IF([1]!BANCO10[[#This Row],[SOLUÇÃO]]=BZ$1,[1]!BANCO10[[#This Row],[STATUS DA ETAPA]],"")</f>
        <v/>
      </c>
      <c r="CA399" s="21" t="str">
        <f>IF([1]!BANCO10[[#This Row],[SOLUÇÃO]]=CA$1,[1]!BANCO10[[#This Row],[STATUS DA ETAPA]],"")</f>
        <v/>
      </c>
      <c r="CB399" s="21" t="str">
        <f>IF([1]!BANCO10[[#This Row],[SOLUÇÃO]]=CB$1,[1]!BANCO10[[#This Row],[STATUS DA ETAPA]],"")</f>
        <v/>
      </c>
      <c r="CC399" s="21" t="str">
        <f>IF([1]!BANCO10[[#This Row],[SOLUÇÃO]]=CC$1,[1]!BANCO10[[#This Row],[STATUS DA ETAPA]],"")</f>
        <v/>
      </c>
      <c r="CD399" s="21" t="str">
        <f>IF([1]!BANCO10[[#This Row],[SOLUÇÃO]]=CD$1,[1]!BANCO10[[#This Row],[STATUS DA ETAPA]],"")</f>
        <v/>
      </c>
      <c r="CE399" s="21" t="str">
        <f>IF([1]!BANCO10[[#This Row],[SOLUÇÃO]]=CE$1,[1]!BANCO10[[#This Row],[STATUS DA ETAPA]],"")</f>
        <v/>
      </c>
      <c r="CF399" s="21" t="str">
        <f>IF([1]!BANCO10[[#This Row],[SOLUÇÃO]]=CF$1,[1]!BANCO10[[#This Row],[STATUS DA ETAPA]],"")</f>
        <v/>
      </c>
      <c r="CG399" s="21" t="str">
        <f>IF([1]!BANCO10[[#This Row],[SOLUÇÃO]]=CG$1,[1]!BANCO10[[#This Row],[STATUS DA ETAPA]],"")</f>
        <v/>
      </c>
      <c r="CH399" s="21" t="str">
        <f>IF([1]!BANCO10[[#This Row],[SOLUÇÃO]]=CH$1,[1]!BANCO10[[#This Row],[STATUS DA ETAPA]],"")</f>
        <v/>
      </c>
      <c r="CI399" s="21" t="str">
        <f>IF([1]!BANCO10[[#This Row],[SOLUÇÃO]]=CI$1,[1]!BANCO10[[#This Row],[STATUS DA ETAPA]],"")</f>
        <v/>
      </c>
      <c r="CJ399" s="21" t="str">
        <f>IF([1]!BANCO10[[#This Row],[SOLUÇÃO]]=CJ$1,[1]!BANCO10[[#This Row],[STATUS DA ETAPA]],"")</f>
        <v/>
      </c>
      <c r="CK399" s="21" t="str">
        <f>IF([1]!BANCO10[[#This Row],[SOLUÇÃO]]=CK$1,[1]!BANCO10[[#This Row],[STATUS DA ETAPA]],"")</f>
        <v/>
      </c>
      <c r="CL399" s="21" t="str">
        <f>IF([1]!BANCO10[[#This Row],[SOLUÇÃO]]=CL$1,[1]!BANCO10[[#This Row],[STATUS DA ETAPA]],"")</f>
        <v/>
      </c>
      <c r="CM399" s="21" t="str">
        <f>IF([1]!BANCO10[[#This Row],[SOLUÇÃO]]=CM$1,[1]!BANCO10[[#This Row],[STATUS DA ETAPA]],"")</f>
        <v/>
      </c>
      <c r="CN399" s="21" t="str">
        <f>IF([1]!BANCO10[[#This Row],[SOLUÇÃO]]=CN$1,[1]!BANCO10[[#This Row],[STATUS DA ETAPA]],"")</f>
        <v/>
      </c>
      <c r="CO399" s="21" t="str">
        <f>IF([1]!BANCO10[[#This Row],[SOLUÇÃO]]=CO$1,[1]!BANCO10[[#This Row],[STATUS DA ETAPA]],"")</f>
        <v/>
      </c>
      <c r="CP399" s="21" t="str">
        <f>IF([1]!BANCO10[[#This Row],[SOLUÇÃO]]=CP$1,[1]!BANCO10[[#This Row],[STATUS DA ETAPA]],"")</f>
        <v/>
      </c>
      <c r="CQ399" s="21" t="str">
        <f>IF([1]!BANCO10[[#This Row],[SOLUÇÃO]]=CQ$1,[1]!BANCO10[[#This Row],[STATUS DA ETAPA]],"")</f>
        <v/>
      </c>
      <c r="CR399" s="21" t="str">
        <f>IF([1]!BANCO10[[#This Row],[SOLUÇÃO]]=CR$1,[1]!BANCO10[[#This Row],[STATUS DA ETAPA]],"")</f>
        <v/>
      </c>
      <c r="CS399" s="21" t="str">
        <f>IF([1]!BANCO10[[#This Row],[SOLUÇÃO]]=CS$1,[1]!BANCO10[[#This Row],[STATUS DA ETAPA]],"")</f>
        <v/>
      </c>
      <c r="CT399" s="21" t="str">
        <f>IF([1]!BANCO10[[#This Row],[SOLUÇÃO]]=CT$1,[1]!BANCO10[[#This Row],[STATUS DA ETAPA]],"")</f>
        <v/>
      </c>
      <c r="CU399" s="21" t="str">
        <f>IF([1]!BANCO10[[#This Row],[SOLUÇÃO]]=CU$1,[1]!BANCO10[[#This Row],[STATUS DA ETAPA]],"")</f>
        <v/>
      </c>
      <c r="CV399" s="21" t="str">
        <f>IF([1]!BANCO10[[#This Row],[SOLUÇÃO]]=CV$1,[1]!BANCO10[[#This Row],[STATUS DA ETAPA]],"")</f>
        <v/>
      </c>
    </row>
    <row r="400" spans="1:100">
      <c r="A400" s="44" t="s">
        <v>1</v>
      </c>
      <c r="B400" s="44"/>
      <c r="C400" s="44" t="s">
        <v>1</v>
      </c>
      <c r="D400" s="44"/>
      <c r="E400" s="44" t="s">
        <v>1</v>
      </c>
      <c r="F400" s="44"/>
      <c r="G400" s="44" t="s">
        <v>1</v>
      </c>
      <c r="H400" s="44"/>
      <c r="I400" s="45" t="s">
        <v>1</v>
      </c>
      <c r="J400" s="46"/>
      <c r="K400" s="45" t="s">
        <v>1</v>
      </c>
      <c r="L400" s="33"/>
      <c r="M400" s="45" t="s">
        <v>1</v>
      </c>
      <c r="N400" s="33"/>
      <c r="O400" s="44" t="s">
        <v>2</v>
      </c>
      <c r="P400" s="44">
        <v>44957</v>
      </c>
      <c r="Q400" s="44" t="s">
        <v>2</v>
      </c>
      <c r="R400" s="44">
        <v>45002</v>
      </c>
      <c r="S400" s="44" t="s">
        <v>1</v>
      </c>
      <c r="T400" s="44"/>
      <c r="U400" s="44"/>
      <c r="V400" s="44"/>
      <c r="W400" s="44" t="s">
        <v>2</v>
      </c>
      <c r="X400" s="44"/>
      <c r="Y400" s="44" t="s">
        <v>2</v>
      </c>
      <c r="Z400" s="44">
        <v>45005</v>
      </c>
      <c r="AA400" s="44" t="s">
        <v>2</v>
      </c>
      <c r="AB400" s="44"/>
      <c r="AC400" s="84">
        <v>45055</v>
      </c>
      <c r="AD400" s="83">
        <v>45110</v>
      </c>
      <c r="AE400" s="40" t="s">
        <v>2</v>
      </c>
      <c r="AF400" s="40" t="s">
        <v>2</v>
      </c>
      <c r="AG400" s="76" t="s">
        <v>5</v>
      </c>
      <c r="AH400" s="36" t="s">
        <v>0</v>
      </c>
      <c r="AI400" s="49">
        <v>0</v>
      </c>
      <c r="AJ400" s="36" t="s">
        <v>6</v>
      </c>
      <c r="AK400" s="10"/>
      <c r="AL400" s="36" t="s">
        <v>61</v>
      </c>
      <c r="AM400" s="36"/>
      <c r="AN400" s="35" t="s">
        <v>1</v>
      </c>
      <c r="AO400" s="35" t="s">
        <v>1</v>
      </c>
      <c r="AP400" s="35" t="s">
        <v>2</v>
      </c>
      <c r="AQ400" s="35" t="s">
        <v>1</v>
      </c>
      <c r="AR400" s="34" t="s">
        <v>1</v>
      </c>
      <c r="AS400" s="33"/>
      <c r="AT400" s="32" t="s">
        <v>1</v>
      </c>
      <c r="AU400" s="31"/>
      <c r="AV400" s="32" t="s">
        <v>1</v>
      </c>
      <c r="AW400" s="31"/>
      <c r="AX400" s="30" t="s">
        <v>2</v>
      </c>
      <c r="AY400" s="55">
        <v>45124</v>
      </c>
      <c r="AZ400" s="30" t="s">
        <v>2</v>
      </c>
      <c r="BA400" s="55"/>
      <c r="BB400" s="74"/>
      <c r="BC400" s="25"/>
      <c r="BD400" s="24" t="s">
        <v>11</v>
      </c>
      <c r="BE400" s="24" t="s">
        <v>11</v>
      </c>
      <c r="BF400" s="24" t="s">
        <v>21</v>
      </c>
      <c r="BG400" s="24" t="s">
        <v>11</v>
      </c>
      <c r="BH400" s="130" t="s">
        <v>18</v>
      </c>
      <c r="BI400" s="24" t="s">
        <v>21</v>
      </c>
      <c r="BJ400" s="24" t="s">
        <v>11</v>
      </c>
      <c r="BK400" s="24" t="s">
        <v>11</v>
      </c>
      <c r="BL400" s="24" t="s">
        <v>11</v>
      </c>
      <c r="BM400" s="24" t="s">
        <v>11</v>
      </c>
      <c r="BN400" s="24" t="s">
        <v>11</v>
      </c>
      <c r="BO400" s="24" t="s">
        <v>11</v>
      </c>
      <c r="BP400" s="24" t="s">
        <v>11</v>
      </c>
      <c r="BQ400" s="22">
        <f>YEAR([1]!BANCO10[[#This Row],[DATA INÍCIO]])</f>
        <v>2023</v>
      </c>
      <c r="BR400" s="22">
        <f>MONTH([1]!BANCO10[[#This Row],[DATA INÍCIO]])</f>
        <v>5</v>
      </c>
      <c r="BS400" s="129" t="e">
        <f>CONCATENATE(#REF!,#REF!)</f>
        <v>#REF!</v>
      </c>
      <c r="BT400" s="22"/>
      <c r="BU400" s="21" t="s">
        <v>484</v>
      </c>
      <c r="BV400" s="21" t="str">
        <f>IF([1]!BANCO10[[#This Row],[SOLUÇÃO]]=BV$1,[1]!BANCO10[[#This Row],[STATUS DA ETAPA]],"")</f>
        <v/>
      </c>
      <c r="BW400" s="21" t="str">
        <f>IF([1]!BANCO10[[#This Row],[SOLUÇÃO]]=BW$1,[1]!BANCO10[[#This Row],[STATUS DA ETAPA]],"")</f>
        <v/>
      </c>
      <c r="BX400" s="21" t="str">
        <f>IF([1]!BANCO10[[#This Row],[SOLUÇÃO]]=BX$1,[1]!BANCO10[[#This Row],[STATUS DA ETAPA]],"")</f>
        <v/>
      </c>
      <c r="BY400" s="21" t="str">
        <f>IF([1]!BANCO10[[#This Row],[SOLUÇÃO]]=BY$1,[1]!BANCO10[[#This Row],[STATUS DA ETAPA]],"")</f>
        <v/>
      </c>
      <c r="BZ400" s="21" t="str">
        <f>IF([1]!BANCO10[[#This Row],[SOLUÇÃO]]=BZ$1,[1]!BANCO10[[#This Row],[STATUS DA ETAPA]],"")</f>
        <v/>
      </c>
      <c r="CA400" s="21" t="str">
        <f>IF([1]!BANCO10[[#This Row],[SOLUÇÃO]]=CA$1,[1]!BANCO10[[#This Row],[STATUS DA ETAPA]],"")</f>
        <v>CONCLUÍDO</v>
      </c>
      <c r="CB400" s="21" t="str">
        <f>IF([1]!BANCO10[[#This Row],[SOLUÇÃO]]=CB$1,[1]!BANCO10[[#This Row],[STATUS DA ETAPA]],"")</f>
        <v/>
      </c>
      <c r="CC400" s="21" t="str">
        <f>IF([1]!BANCO10[[#This Row],[SOLUÇÃO]]=CC$1,[1]!BANCO10[[#This Row],[STATUS DA ETAPA]],"")</f>
        <v/>
      </c>
      <c r="CD400" s="21" t="str">
        <f>IF([1]!BANCO10[[#This Row],[SOLUÇÃO]]=CD$1,[1]!BANCO10[[#This Row],[STATUS DA ETAPA]],"")</f>
        <v/>
      </c>
      <c r="CE400" s="21" t="str">
        <f>IF([1]!BANCO10[[#This Row],[SOLUÇÃO]]=CE$1,[1]!BANCO10[[#This Row],[STATUS DA ETAPA]],"")</f>
        <v/>
      </c>
      <c r="CF400" s="21" t="str">
        <f>IF([1]!BANCO10[[#This Row],[SOLUÇÃO]]=CF$1,[1]!BANCO10[[#This Row],[STATUS DA ETAPA]],"")</f>
        <v/>
      </c>
      <c r="CG400" s="21" t="str">
        <f>IF([1]!BANCO10[[#This Row],[SOLUÇÃO]]=CG$1,[1]!BANCO10[[#This Row],[STATUS DA ETAPA]],"")</f>
        <v/>
      </c>
      <c r="CH400" s="21" t="str">
        <f>IF([1]!BANCO10[[#This Row],[SOLUÇÃO]]=CH$1,[1]!BANCO10[[#This Row],[STATUS DA ETAPA]],"")</f>
        <v/>
      </c>
      <c r="CI400" s="21" t="str">
        <f>IF([1]!BANCO10[[#This Row],[SOLUÇÃO]]=CI$1,[1]!BANCO10[[#This Row],[STATUS DA ETAPA]],"")</f>
        <v/>
      </c>
      <c r="CJ400" s="21" t="str">
        <f>IF([1]!BANCO10[[#This Row],[SOLUÇÃO]]=CJ$1,[1]!BANCO10[[#This Row],[STATUS DA ETAPA]],"")</f>
        <v/>
      </c>
      <c r="CK400" s="21" t="str">
        <f>IF([1]!BANCO10[[#This Row],[SOLUÇÃO]]=CK$1,[1]!BANCO10[[#This Row],[STATUS DA ETAPA]],"")</f>
        <v/>
      </c>
      <c r="CL400" s="21" t="str">
        <f>IF([1]!BANCO10[[#This Row],[SOLUÇÃO]]=CL$1,[1]!BANCO10[[#This Row],[STATUS DA ETAPA]],"")</f>
        <v/>
      </c>
      <c r="CM400" s="21" t="str">
        <f>IF([1]!BANCO10[[#This Row],[SOLUÇÃO]]=CM$1,[1]!BANCO10[[#This Row],[STATUS DA ETAPA]],"")</f>
        <v/>
      </c>
      <c r="CN400" s="21" t="str">
        <f>IF([1]!BANCO10[[#This Row],[SOLUÇÃO]]=CN$1,[1]!BANCO10[[#This Row],[STATUS DA ETAPA]],"")</f>
        <v/>
      </c>
      <c r="CO400" s="21" t="str">
        <f>IF([1]!BANCO10[[#This Row],[SOLUÇÃO]]=CO$1,[1]!BANCO10[[#This Row],[STATUS DA ETAPA]],"")</f>
        <v/>
      </c>
      <c r="CP400" s="21" t="str">
        <f>IF([1]!BANCO10[[#This Row],[SOLUÇÃO]]=CP$1,[1]!BANCO10[[#This Row],[STATUS DA ETAPA]],"")</f>
        <v/>
      </c>
      <c r="CQ400" s="21" t="str">
        <f>IF([1]!BANCO10[[#This Row],[SOLUÇÃO]]=CQ$1,[1]!BANCO10[[#This Row],[STATUS DA ETAPA]],"")</f>
        <v/>
      </c>
      <c r="CR400" s="21" t="str">
        <f>IF([1]!BANCO10[[#This Row],[SOLUÇÃO]]=CR$1,[1]!BANCO10[[#This Row],[STATUS DA ETAPA]],"")</f>
        <v/>
      </c>
      <c r="CS400" s="21" t="str">
        <f>IF([1]!BANCO10[[#This Row],[SOLUÇÃO]]=CS$1,[1]!BANCO10[[#This Row],[STATUS DA ETAPA]],"")</f>
        <v/>
      </c>
      <c r="CT400" s="21" t="str">
        <f>IF([1]!BANCO10[[#This Row],[SOLUÇÃO]]=CT$1,[1]!BANCO10[[#This Row],[STATUS DA ETAPA]],"")</f>
        <v/>
      </c>
      <c r="CU400" s="21" t="str">
        <f>IF([1]!BANCO10[[#This Row],[SOLUÇÃO]]=CU$1,[1]!BANCO10[[#This Row],[STATUS DA ETAPA]],"")</f>
        <v/>
      </c>
      <c r="CV400" s="21" t="str">
        <f>IF([1]!BANCO10[[#This Row],[SOLUÇÃO]]=CV$1,[1]!BANCO10[[#This Row],[STATUS DA ETAPA]],"")</f>
        <v/>
      </c>
    </row>
    <row r="401" spans="1:100">
      <c r="A401" s="44" t="s">
        <v>1</v>
      </c>
      <c r="B401" s="44"/>
      <c r="C401" s="44" t="s">
        <v>1</v>
      </c>
      <c r="D401" s="44"/>
      <c r="E401" s="44" t="s">
        <v>1</v>
      </c>
      <c r="F401" s="44"/>
      <c r="G401" s="44" t="s">
        <v>1</v>
      </c>
      <c r="H401" s="44"/>
      <c r="I401" s="45" t="s">
        <v>1</v>
      </c>
      <c r="J401" s="46"/>
      <c r="K401" s="45" t="s">
        <v>1</v>
      </c>
      <c r="L401" s="33"/>
      <c r="M401" s="45" t="s">
        <v>1</v>
      </c>
      <c r="N401" s="33"/>
      <c r="O401" s="44" t="s">
        <v>2</v>
      </c>
      <c r="P401" s="44">
        <v>44957</v>
      </c>
      <c r="Q401" s="44" t="s">
        <v>2</v>
      </c>
      <c r="R401" s="44">
        <v>45378</v>
      </c>
      <c r="S401" s="44" t="s">
        <v>2</v>
      </c>
      <c r="T401" s="44">
        <v>45378</v>
      </c>
      <c r="U401" s="44" t="s">
        <v>2</v>
      </c>
      <c r="V401" s="44">
        <v>45379</v>
      </c>
      <c r="W401" s="44" t="s">
        <v>2</v>
      </c>
      <c r="X401" s="44"/>
      <c r="Y401" s="44"/>
      <c r="Z401" s="44"/>
      <c r="AA401" s="44" t="s">
        <v>2</v>
      </c>
      <c r="AB401" s="44"/>
      <c r="AC401" s="84">
        <v>45429</v>
      </c>
      <c r="AD401" s="83">
        <v>45513</v>
      </c>
      <c r="AE401" s="40" t="s">
        <v>2</v>
      </c>
      <c r="AF401" s="40" t="s">
        <v>2</v>
      </c>
      <c r="AG401" s="76" t="s">
        <v>5</v>
      </c>
      <c r="AH401" s="36" t="s">
        <v>0</v>
      </c>
      <c r="AI401" s="49">
        <v>0</v>
      </c>
      <c r="AJ401" s="36" t="s">
        <v>6</v>
      </c>
      <c r="AK401" s="10">
        <v>0</v>
      </c>
      <c r="AL401" s="36">
        <v>4744</v>
      </c>
      <c r="AM401" s="36">
        <v>0</v>
      </c>
      <c r="AN401" s="35" t="s">
        <v>1</v>
      </c>
      <c r="AO401" s="35" t="s">
        <v>1</v>
      </c>
      <c r="AP401" s="35" t="s">
        <v>2</v>
      </c>
      <c r="AQ401" s="35" t="s">
        <v>1</v>
      </c>
      <c r="AR401" s="34" t="s">
        <v>1</v>
      </c>
      <c r="AS401" s="33"/>
      <c r="AT401" s="32" t="s">
        <v>1</v>
      </c>
      <c r="AU401" s="31"/>
      <c r="AV401" s="32" t="s">
        <v>1</v>
      </c>
      <c r="AW401" s="31"/>
      <c r="AX401" s="30" t="s">
        <v>2</v>
      </c>
      <c r="AY401" s="55">
        <v>45513</v>
      </c>
      <c r="AZ401" s="28" t="s">
        <v>2</v>
      </c>
      <c r="BA401" s="55">
        <v>45520</v>
      </c>
      <c r="BB401" s="74"/>
      <c r="BC401" s="25"/>
      <c r="BD401" s="24"/>
      <c r="BE401" s="24"/>
      <c r="BF401" s="24"/>
      <c r="BG401" s="24"/>
      <c r="BH401" s="130" t="s">
        <v>18</v>
      </c>
      <c r="BI401" s="24" t="s">
        <v>21</v>
      </c>
      <c r="BJ401" s="24" t="s">
        <v>11</v>
      </c>
      <c r="BK401" s="24" t="s">
        <v>11</v>
      </c>
      <c r="BL401" s="24">
        <v>45389</v>
      </c>
      <c r="BM401" s="24" t="s">
        <v>18</v>
      </c>
      <c r="BN401" s="24" t="s">
        <v>11</v>
      </c>
      <c r="BO401" s="24"/>
      <c r="BP401" s="24" t="s">
        <v>483</v>
      </c>
      <c r="BQ401" s="22">
        <f>YEAR([1]!BANCO10[[#This Row],[DATA INÍCIO]])</f>
        <v>2024</v>
      </c>
      <c r="BR401" s="22">
        <f>MONTH([1]!BANCO10[[#This Row],[DATA INÍCIO]])</f>
        <v>5</v>
      </c>
      <c r="BS401" s="129" t="e">
        <f>CONCATENATE(#REF!,#REF!)</f>
        <v>#REF!</v>
      </c>
      <c r="BT401" s="22"/>
      <c r="BU401" s="21" t="s">
        <v>482</v>
      </c>
      <c r="BV401" s="21" t="str">
        <f>IF([1]!BANCO10[[#This Row],[SOLUÇÃO]]=BV$1,[1]!BANCO10[[#This Row],[STATUS DA ETAPA]],"")</f>
        <v/>
      </c>
      <c r="BW401" s="21" t="str">
        <f>IF([1]!BANCO10[[#This Row],[SOLUÇÃO]]=BW$1,[1]!BANCO10[[#This Row],[STATUS DA ETAPA]],"")</f>
        <v/>
      </c>
      <c r="BX401" s="21" t="str">
        <f>IF([1]!BANCO10[[#This Row],[SOLUÇÃO]]=BX$1,[1]!BANCO10[[#This Row],[STATUS DA ETAPA]],"")</f>
        <v/>
      </c>
      <c r="BY401" s="21" t="str">
        <f>IF([1]!BANCO10[[#This Row],[SOLUÇÃO]]=BY$1,[1]!BANCO10[[#This Row],[STATUS DA ETAPA]],"")</f>
        <v/>
      </c>
      <c r="BZ401" s="21" t="str">
        <f>IF([1]!BANCO10[[#This Row],[SOLUÇÃO]]=BZ$1,[1]!BANCO10[[#This Row],[STATUS DA ETAPA]],"")</f>
        <v/>
      </c>
      <c r="CA401" s="21" t="str">
        <f>IF([1]!BANCO10[[#This Row],[SOLUÇÃO]]=CA$1,[1]!BANCO10[[#This Row],[STATUS DA ETAPA]],"")</f>
        <v/>
      </c>
      <c r="CB401" s="21" t="str">
        <f>IF([1]!BANCO10[[#This Row],[SOLUÇÃO]]=CB$1,[1]!BANCO10[[#This Row],[STATUS DA ETAPA]],"")</f>
        <v/>
      </c>
      <c r="CC401" s="21" t="str">
        <f>IF([1]!BANCO10[[#This Row],[SOLUÇÃO]]=CC$1,[1]!BANCO10[[#This Row],[STATUS DA ETAPA]],"")</f>
        <v>CONCLUÍDO</v>
      </c>
      <c r="CD401" s="21" t="str">
        <f>IF([1]!BANCO10[[#This Row],[SOLUÇÃO]]=CD$1,[1]!BANCO10[[#This Row],[STATUS DA ETAPA]],"")</f>
        <v/>
      </c>
      <c r="CE401" s="21" t="str">
        <f>IF([1]!BANCO10[[#This Row],[SOLUÇÃO]]=CE$1,[1]!BANCO10[[#This Row],[STATUS DA ETAPA]],"")</f>
        <v/>
      </c>
      <c r="CF401" s="21" t="str">
        <f>IF([1]!BANCO10[[#This Row],[SOLUÇÃO]]=CF$1,[1]!BANCO10[[#This Row],[STATUS DA ETAPA]],"")</f>
        <v/>
      </c>
      <c r="CG401" s="21" t="str">
        <f>IF([1]!BANCO10[[#This Row],[SOLUÇÃO]]=CG$1,[1]!BANCO10[[#This Row],[STATUS DA ETAPA]],"")</f>
        <v/>
      </c>
      <c r="CH401" s="21" t="str">
        <f>IF([1]!BANCO10[[#This Row],[SOLUÇÃO]]=CH$1,[1]!BANCO10[[#This Row],[STATUS DA ETAPA]],"")</f>
        <v/>
      </c>
      <c r="CI401" s="21" t="str">
        <f>IF([1]!BANCO10[[#This Row],[SOLUÇÃO]]=CI$1,[1]!BANCO10[[#This Row],[STATUS DA ETAPA]],"")</f>
        <v/>
      </c>
      <c r="CJ401" s="21" t="str">
        <f>IF([1]!BANCO10[[#This Row],[SOLUÇÃO]]=CJ$1,[1]!BANCO10[[#This Row],[STATUS DA ETAPA]],"")</f>
        <v/>
      </c>
      <c r="CK401" s="21" t="str">
        <f>IF([1]!BANCO10[[#This Row],[SOLUÇÃO]]=CK$1,[1]!BANCO10[[#This Row],[STATUS DA ETAPA]],"")</f>
        <v/>
      </c>
      <c r="CL401" s="21" t="str">
        <f>IF([1]!BANCO10[[#This Row],[SOLUÇÃO]]=CL$1,[1]!BANCO10[[#This Row],[STATUS DA ETAPA]],"")</f>
        <v/>
      </c>
      <c r="CM401" s="21" t="str">
        <f>IF([1]!BANCO10[[#This Row],[SOLUÇÃO]]=CM$1,[1]!BANCO10[[#This Row],[STATUS DA ETAPA]],"")</f>
        <v/>
      </c>
      <c r="CN401" s="21" t="str">
        <f>IF([1]!BANCO10[[#This Row],[SOLUÇÃO]]=CN$1,[1]!BANCO10[[#This Row],[STATUS DA ETAPA]],"")</f>
        <v/>
      </c>
      <c r="CO401" s="21" t="str">
        <f>IF([1]!BANCO10[[#This Row],[SOLUÇÃO]]=CO$1,[1]!BANCO10[[#This Row],[STATUS DA ETAPA]],"")</f>
        <v/>
      </c>
      <c r="CP401" s="21" t="str">
        <f>IF([1]!BANCO10[[#This Row],[SOLUÇÃO]]=CP$1,[1]!BANCO10[[#This Row],[STATUS DA ETAPA]],"")</f>
        <v/>
      </c>
      <c r="CQ401" s="21" t="str">
        <f>IF([1]!BANCO10[[#This Row],[SOLUÇÃO]]=CQ$1,[1]!BANCO10[[#This Row],[STATUS DA ETAPA]],"")</f>
        <v/>
      </c>
      <c r="CR401" s="21" t="str">
        <f>IF([1]!BANCO10[[#This Row],[SOLUÇÃO]]=CR$1,[1]!BANCO10[[#This Row],[STATUS DA ETAPA]],"")</f>
        <v/>
      </c>
      <c r="CS401" s="21" t="str">
        <f>IF([1]!BANCO10[[#This Row],[SOLUÇÃO]]=CS$1,[1]!BANCO10[[#This Row],[STATUS DA ETAPA]],"")</f>
        <v/>
      </c>
      <c r="CT401" s="21" t="str">
        <f>IF([1]!BANCO10[[#This Row],[SOLUÇÃO]]=CT$1,[1]!BANCO10[[#This Row],[STATUS DA ETAPA]],"")</f>
        <v/>
      </c>
      <c r="CU401" s="21" t="str">
        <f>IF([1]!BANCO10[[#This Row],[SOLUÇÃO]]=CU$1,[1]!BANCO10[[#This Row],[STATUS DA ETAPA]],"")</f>
        <v/>
      </c>
      <c r="CV401" s="21" t="str">
        <f>IF([1]!BANCO10[[#This Row],[SOLUÇÃO]]=CV$1,[1]!BANCO10[[#This Row],[STATUS DA ETAPA]],"")</f>
        <v/>
      </c>
    </row>
    <row r="402" spans="1:100">
      <c r="A402" s="44" t="s">
        <v>0</v>
      </c>
      <c r="B402" s="44"/>
      <c r="C402" s="44" t="s">
        <v>0</v>
      </c>
      <c r="D402" s="44"/>
      <c r="E402" s="44" t="s">
        <v>0</v>
      </c>
      <c r="F402" s="44"/>
      <c r="G402" s="44" t="s">
        <v>0</v>
      </c>
      <c r="H402" s="44"/>
      <c r="I402" s="45" t="s">
        <v>0</v>
      </c>
      <c r="J402" s="46"/>
      <c r="K402" s="45" t="s">
        <v>0</v>
      </c>
      <c r="L402" s="33"/>
      <c r="M402" s="45" t="s">
        <v>0</v>
      </c>
      <c r="N402" s="33"/>
      <c r="O402" s="44" t="s">
        <v>0</v>
      </c>
      <c r="P402" s="44"/>
      <c r="Q402" s="44" t="s">
        <v>2</v>
      </c>
      <c r="R402" s="44">
        <v>45918</v>
      </c>
      <c r="S402" s="44" t="s">
        <v>0</v>
      </c>
      <c r="T402" s="44"/>
      <c r="U402" s="44" t="s">
        <v>1</v>
      </c>
      <c r="V402" s="44"/>
      <c r="W402" s="44" t="s">
        <v>1</v>
      </c>
      <c r="X402" s="44"/>
      <c r="Y402" s="44" t="s">
        <v>1</v>
      </c>
      <c r="Z402" s="44"/>
      <c r="AA402" s="44" t="s">
        <v>1</v>
      </c>
      <c r="AB402" s="44"/>
      <c r="AC402" s="51">
        <v>46022</v>
      </c>
      <c r="AD402" s="50">
        <v>46022</v>
      </c>
      <c r="AE402" s="41" t="s">
        <v>0</v>
      </c>
      <c r="AF402" s="41" t="s">
        <v>0</v>
      </c>
      <c r="AG402" s="40" t="s">
        <v>5</v>
      </c>
      <c r="AH402" s="36" t="s">
        <v>0</v>
      </c>
      <c r="AI402" s="49">
        <v>20140</v>
      </c>
      <c r="AJ402" s="36"/>
      <c r="AK402" s="21" t="s">
        <v>1</v>
      </c>
      <c r="AL402" s="36" t="s">
        <v>1</v>
      </c>
      <c r="AM402" s="36" t="s">
        <v>1</v>
      </c>
      <c r="AN402" s="35" t="s">
        <v>0</v>
      </c>
      <c r="AO402" s="35" t="s">
        <v>0</v>
      </c>
      <c r="AP402" s="35" t="s">
        <v>0</v>
      </c>
      <c r="AQ402" s="35" t="s">
        <v>0</v>
      </c>
      <c r="AR402" s="33" t="s">
        <v>0</v>
      </c>
      <c r="AS402" s="33"/>
      <c r="AT402" s="32" t="s">
        <v>0</v>
      </c>
      <c r="AU402" s="31"/>
      <c r="AV402" s="32" t="s">
        <v>0</v>
      </c>
      <c r="AW402" s="31"/>
      <c r="AX402" s="32" t="s">
        <v>0</v>
      </c>
      <c r="AY402" s="31"/>
      <c r="AZ402" s="32" t="s">
        <v>0</v>
      </c>
      <c r="BA402" s="47"/>
      <c r="BB402" s="26"/>
      <c r="BC402" s="25"/>
      <c r="BD402" s="24"/>
      <c r="BE402" s="24"/>
      <c r="BF402" s="24"/>
      <c r="BG402" s="24"/>
      <c r="BH402" s="24"/>
      <c r="BI402" s="24"/>
      <c r="BJ402" s="24"/>
      <c r="BK402" s="24"/>
      <c r="BL402" s="24"/>
      <c r="BM402" s="24"/>
      <c r="BN402" s="24"/>
      <c r="BO402" s="24"/>
      <c r="BP402" s="24"/>
      <c r="BQ402" s="22">
        <f>YEAR([1]!BANCO10[[#This Row],[DATA INÍCIO]])</f>
        <v>2025</v>
      </c>
      <c r="BR402" s="22">
        <f>MONTH([1]!BANCO10[[#This Row],[DATA INÍCIO]])</f>
        <v>12</v>
      </c>
      <c r="BS402" s="23" t="e">
        <f>CONCATENATE(#REF!,#REF!)</f>
        <v>#REF!</v>
      </c>
      <c r="BT402" s="22"/>
      <c r="BU402" s="22"/>
      <c r="BV402" s="21" t="str">
        <f>IF([1]!BANCO10[[#This Row],[SOLUÇÃO]]=BV$1,[1]!BANCO10[[#This Row],[STATUS DA ETAPA]],"")</f>
        <v/>
      </c>
      <c r="BW402" s="21" t="str">
        <f>IF([1]!BANCO10[[#This Row],[SOLUÇÃO]]=BW$1,[1]!BANCO10[[#This Row],[STATUS DA ETAPA]],"")</f>
        <v/>
      </c>
      <c r="BX402" s="21" t="str">
        <f>IF([1]!BANCO10[[#This Row],[SOLUÇÃO]]=BX$1,[1]!BANCO10[[#This Row],[STATUS DA ETAPA]],"")</f>
        <v/>
      </c>
      <c r="BY402" s="21" t="str">
        <f>IF([1]!BANCO10[[#This Row],[SOLUÇÃO]]=BY$1,[1]!BANCO10[[#This Row],[STATUS DA ETAPA]],"")</f>
        <v/>
      </c>
      <c r="BZ402" s="21" t="str">
        <f>IF([1]!BANCO10[[#This Row],[SOLUÇÃO]]=BZ$1,[1]!BANCO10[[#This Row],[STATUS DA ETAPA]],"")</f>
        <v/>
      </c>
      <c r="CA402" s="21" t="str">
        <f>IF([1]!BANCO10[[#This Row],[SOLUÇÃO]]=CA$1,[1]!BANCO10[[#This Row],[STATUS DA ETAPA]],"")</f>
        <v/>
      </c>
      <c r="CB402" s="21" t="str">
        <f>IF([1]!BANCO10[[#This Row],[SOLUÇÃO]]=CB$1,[1]!BANCO10[[#This Row],[STATUS DA ETAPA]],"")</f>
        <v/>
      </c>
      <c r="CC402" s="21" t="str">
        <f>IF([1]!BANCO10[[#This Row],[SOLUÇÃO]]=CC$1,[1]!BANCO10[[#This Row],[STATUS DA ETAPA]],"")</f>
        <v/>
      </c>
      <c r="CD402" s="21" t="str">
        <f>IF([1]!BANCO10[[#This Row],[SOLUÇÃO]]=CD$1,[1]!BANCO10[[#This Row],[STATUS DA ETAPA]],"")</f>
        <v/>
      </c>
      <c r="CE402" s="21" t="str">
        <f>IF([1]!BANCO10[[#This Row],[SOLUÇÃO]]=CE$1,[1]!BANCO10[[#This Row],[STATUS DA ETAPA]],"")</f>
        <v/>
      </c>
      <c r="CF402" s="21" t="str">
        <f>IF([1]!BANCO10[[#This Row],[SOLUÇÃO]]=CF$1,[1]!BANCO10[[#This Row],[STATUS DA ETAPA]],"")</f>
        <v/>
      </c>
      <c r="CG402" s="21" t="str">
        <f>IF([1]!BANCO10[[#This Row],[SOLUÇÃO]]=CG$1,[1]!BANCO10[[#This Row],[STATUS DA ETAPA]],"")</f>
        <v/>
      </c>
      <c r="CH402" s="21" t="str">
        <f>IF([1]!BANCO10[[#This Row],[SOLUÇÃO]]=CH$1,[1]!BANCO10[[#This Row],[STATUS DA ETAPA]],"")</f>
        <v/>
      </c>
      <c r="CI402" s="21" t="str">
        <f>IF([1]!BANCO10[[#This Row],[SOLUÇÃO]]=CI$1,[1]!BANCO10[[#This Row],[STATUS DA ETAPA]],"")</f>
        <v/>
      </c>
      <c r="CJ402" s="21" t="str">
        <f>IF([1]!BANCO10[[#This Row],[SOLUÇÃO]]=CJ$1,[1]!BANCO10[[#This Row],[STATUS DA ETAPA]],"")</f>
        <v/>
      </c>
      <c r="CK402" s="21" t="str">
        <f>IF([1]!BANCO10[[#This Row],[SOLUÇÃO]]=CK$1,[1]!BANCO10[[#This Row],[STATUS DA ETAPA]],"")</f>
        <v/>
      </c>
      <c r="CL402" s="21" t="str">
        <f>IF([1]!BANCO10[[#This Row],[SOLUÇÃO]]=CL$1,[1]!BANCO10[[#This Row],[STATUS DA ETAPA]],"")</f>
        <v/>
      </c>
      <c r="CM402" s="21" t="str">
        <f>IF([1]!BANCO10[[#This Row],[SOLUÇÃO]]=CM$1,[1]!BANCO10[[#This Row],[STATUS DA ETAPA]],"")</f>
        <v/>
      </c>
      <c r="CN402" s="21" t="str">
        <f>IF([1]!BANCO10[[#This Row],[SOLUÇÃO]]=CN$1,[1]!BANCO10[[#This Row],[STATUS DA ETAPA]],"")</f>
        <v/>
      </c>
      <c r="CO402" s="21" t="str">
        <f>IF([1]!BANCO10[[#This Row],[SOLUÇÃO]]=CO$1,[1]!BANCO10[[#This Row],[STATUS DA ETAPA]],"")</f>
        <v/>
      </c>
      <c r="CP402" s="21" t="str">
        <f>IF([1]!BANCO10[[#This Row],[SOLUÇÃO]]=CP$1,[1]!BANCO10[[#This Row],[STATUS DA ETAPA]],"")</f>
        <v/>
      </c>
      <c r="CQ402" s="21" t="str">
        <f>IF([1]!BANCO10[[#This Row],[SOLUÇÃO]]=CQ$1,[1]!BANCO10[[#This Row],[STATUS DA ETAPA]],"")</f>
        <v/>
      </c>
      <c r="CR402" s="21" t="str">
        <f>IF([1]!BANCO10[[#This Row],[SOLUÇÃO]]=CR$1,[1]!BANCO10[[#This Row],[STATUS DA ETAPA]],"")</f>
        <v/>
      </c>
      <c r="CS402" s="21" t="str">
        <f>IF([1]!BANCO10[[#This Row],[SOLUÇÃO]]=CS$1,[1]!BANCO10[[#This Row],[STATUS DA ETAPA]],"")</f>
        <v/>
      </c>
      <c r="CT402" s="21" t="str">
        <f>IF([1]!BANCO10[[#This Row],[SOLUÇÃO]]=CT$1,[1]!BANCO10[[#This Row],[STATUS DA ETAPA]],"")</f>
        <v/>
      </c>
      <c r="CU402" s="21" t="str">
        <f>IF([1]!BANCO10[[#This Row],[SOLUÇÃO]]=CU$1,[1]!BANCO10[[#This Row],[STATUS DA ETAPA]],"")</f>
        <v/>
      </c>
      <c r="CV402" s="21" t="str">
        <f>IF([1]!BANCO10[[#This Row],[SOLUÇÃO]]=CV$1,[1]!BANCO10[[#This Row],[STATUS DA ETAPA]],"")</f>
        <v/>
      </c>
    </row>
    <row r="403" spans="1:100">
      <c r="A403" s="44" t="s">
        <v>2</v>
      </c>
      <c r="B403" s="44">
        <v>45681</v>
      </c>
      <c r="C403" s="44" t="s">
        <v>2</v>
      </c>
      <c r="D403" s="44">
        <v>45681</v>
      </c>
      <c r="E403" s="44" t="s">
        <v>2</v>
      </c>
      <c r="F403" s="44">
        <v>45694</v>
      </c>
      <c r="G403" s="44" t="s">
        <v>2</v>
      </c>
      <c r="H403" s="44">
        <v>45694</v>
      </c>
      <c r="I403" s="45" t="s">
        <v>2</v>
      </c>
      <c r="J403" s="46">
        <v>45681</v>
      </c>
      <c r="K403" s="45" t="s">
        <v>2</v>
      </c>
      <c r="L403" s="33">
        <v>45694</v>
      </c>
      <c r="M403" s="45" t="s">
        <v>2</v>
      </c>
      <c r="N403" s="33">
        <v>45695</v>
      </c>
      <c r="O403" s="44" t="s">
        <v>1</v>
      </c>
      <c r="P403" s="44"/>
      <c r="Q403" s="44" t="s">
        <v>2</v>
      </c>
      <c r="R403" s="44"/>
      <c r="S403" s="44" t="s">
        <v>2</v>
      </c>
      <c r="T403" s="44">
        <v>45708</v>
      </c>
      <c r="U403" s="44" t="s">
        <v>1</v>
      </c>
      <c r="V403" s="44"/>
      <c r="W403" s="44" t="s">
        <v>1</v>
      </c>
      <c r="X403" s="44"/>
      <c r="Y403" s="44" t="s">
        <v>1</v>
      </c>
      <c r="Z403" s="44"/>
      <c r="AA403" s="44" t="s">
        <v>1</v>
      </c>
      <c r="AB403" s="44"/>
      <c r="AC403" s="51">
        <v>45791</v>
      </c>
      <c r="AD403" s="50">
        <v>45869</v>
      </c>
      <c r="AE403" s="41" t="s">
        <v>2</v>
      </c>
      <c r="AF403" s="41" t="s">
        <v>2</v>
      </c>
      <c r="AG403" s="40" t="s">
        <v>5</v>
      </c>
      <c r="AH403" s="36" t="s">
        <v>0</v>
      </c>
      <c r="AI403" s="49">
        <v>20140</v>
      </c>
      <c r="AJ403" s="36" t="s">
        <v>6</v>
      </c>
      <c r="AK403" s="10">
        <v>594934</v>
      </c>
      <c r="AL403" s="36" t="s">
        <v>1</v>
      </c>
      <c r="AM403" s="36" t="s">
        <v>1</v>
      </c>
      <c r="AN403" s="35" t="s">
        <v>2</v>
      </c>
      <c r="AO403" s="35" t="s">
        <v>2</v>
      </c>
      <c r="AP403" s="35" t="s">
        <v>2</v>
      </c>
      <c r="AQ403" s="35" t="s">
        <v>2</v>
      </c>
      <c r="AR403" s="34" t="s">
        <v>2</v>
      </c>
      <c r="AS403" s="33">
        <v>45895</v>
      </c>
      <c r="AT403" s="32" t="s">
        <v>1</v>
      </c>
      <c r="AU403" s="31"/>
      <c r="AV403" s="32" t="s">
        <v>1</v>
      </c>
      <c r="AW403" s="31"/>
      <c r="AX403" s="32" t="s">
        <v>0</v>
      </c>
      <c r="AY403" s="31">
        <v>45895</v>
      </c>
      <c r="AZ403" s="32" t="s">
        <v>0</v>
      </c>
      <c r="BA403" s="31"/>
      <c r="BB403" s="109" t="s">
        <v>481</v>
      </c>
      <c r="BC403" s="22" t="s">
        <v>480</v>
      </c>
      <c r="BD403" s="24"/>
      <c r="BE403" s="24"/>
      <c r="BF403" s="24"/>
      <c r="BG403" s="24"/>
      <c r="BH403" s="24"/>
      <c r="BI403" s="24"/>
      <c r="BJ403" s="24"/>
      <c r="BK403" s="24"/>
      <c r="BL403" s="24"/>
      <c r="BM403" s="24"/>
      <c r="BN403" s="24"/>
      <c r="BO403" s="24"/>
      <c r="BP403" s="24"/>
      <c r="BQ403" s="22">
        <f>YEAR([1]!BANCO10[[#This Row],[DATA INÍCIO]])</f>
        <v>2025</v>
      </c>
      <c r="BR403" s="22">
        <f>MONTH([1]!BANCO10[[#This Row],[DATA INÍCIO]])</f>
        <v>5</v>
      </c>
      <c r="BS403" s="23" t="e">
        <f>CONCATENATE(#REF!,#REF!)</f>
        <v>#REF!</v>
      </c>
      <c r="BT403" s="22"/>
      <c r="BU403" s="22"/>
      <c r="BV403" s="21" t="str">
        <f>IF([1]!BANCO10[[#This Row],[SOLUÇÃO]]=BV$1,[1]!BANCO10[[#This Row],[STATUS DA ETAPA]],"")</f>
        <v/>
      </c>
      <c r="BW403" s="21" t="str">
        <f>IF([1]!BANCO10[[#This Row],[SOLUÇÃO]]=BW$1,[1]!BANCO10[[#This Row],[STATUS DA ETAPA]],"")</f>
        <v/>
      </c>
      <c r="BX403" s="21" t="str">
        <f>IF([1]!BANCO10[[#This Row],[SOLUÇÃO]]=BX$1,[1]!BANCO10[[#This Row],[STATUS DA ETAPA]],"")</f>
        <v/>
      </c>
      <c r="BY403" s="21" t="str">
        <f>IF([1]!BANCO10[[#This Row],[SOLUÇÃO]]=BY$1,[1]!BANCO10[[#This Row],[STATUS DA ETAPA]],"")</f>
        <v/>
      </c>
      <c r="BZ403" s="21" t="str">
        <f>IF([1]!BANCO10[[#This Row],[SOLUÇÃO]]=BZ$1,[1]!BANCO10[[#This Row],[STATUS DA ETAPA]],"")</f>
        <v/>
      </c>
      <c r="CA403" s="21" t="str">
        <f>IF([1]!BANCO10[[#This Row],[SOLUÇÃO]]=CA$1,[1]!BANCO10[[#This Row],[STATUS DA ETAPA]],"")</f>
        <v/>
      </c>
      <c r="CB403" s="21" t="str">
        <f>IF([1]!BANCO10[[#This Row],[SOLUÇÃO]]=CB$1,[1]!BANCO10[[#This Row],[STATUS DA ETAPA]],"")</f>
        <v>CONCLUÍDO</v>
      </c>
      <c r="CC403" s="21" t="str">
        <f>IF([1]!BANCO10[[#This Row],[SOLUÇÃO]]=CC$1,[1]!BANCO10[[#This Row],[STATUS DA ETAPA]],"")</f>
        <v/>
      </c>
      <c r="CD403" s="21" t="str">
        <f>IF([1]!BANCO10[[#This Row],[SOLUÇÃO]]=CD$1,[1]!BANCO10[[#This Row],[STATUS DA ETAPA]],"")</f>
        <v/>
      </c>
      <c r="CE403" s="21" t="str">
        <f>IF([1]!BANCO10[[#This Row],[SOLUÇÃO]]=CE$1,[1]!BANCO10[[#This Row],[STATUS DA ETAPA]],"")</f>
        <v/>
      </c>
      <c r="CF403" s="21" t="str">
        <f>IF([1]!BANCO10[[#This Row],[SOLUÇÃO]]=CF$1,[1]!BANCO10[[#This Row],[STATUS DA ETAPA]],"")</f>
        <v/>
      </c>
      <c r="CG403" s="21" t="str">
        <f>IF([1]!BANCO10[[#This Row],[SOLUÇÃO]]=CG$1,[1]!BANCO10[[#This Row],[STATUS DA ETAPA]],"")</f>
        <v/>
      </c>
      <c r="CH403" s="21" t="str">
        <f>IF([1]!BANCO10[[#This Row],[SOLUÇÃO]]=CH$1,[1]!BANCO10[[#This Row],[STATUS DA ETAPA]],"")</f>
        <v/>
      </c>
      <c r="CI403" s="21" t="str">
        <f>IF([1]!BANCO10[[#This Row],[SOLUÇÃO]]=CI$1,[1]!BANCO10[[#This Row],[STATUS DA ETAPA]],"")</f>
        <v/>
      </c>
      <c r="CJ403" s="21" t="str">
        <f>IF([1]!BANCO10[[#This Row],[SOLUÇÃO]]=CJ$1,[1]!BANCO10[[#This Row],[STATUS DA ETAPA]],"")</f>
        <v/>
      </c>
      <c r="CK403" s="21" t="str">
        <f>IF([1]!BANCO10[[#This Row],[SOLUÇÃO]]=CK$1,[1]!BANCO10[[#This Row],[STATUS DA ETAPA]],"")</f>
        <v/>
      </c>
      <c r="CL403" s="21" t="str">
        <f>IF([1]!BANCO10[[#This Row],[SOLUÇÃO]]=CL$1,[1]!BANCO10[[#This Row],[STATUS DA ETAPA]],"")</f>
        <v/>
      </c>
      <c r="CM403" s="21" t="str">
        <f>IF([1]!BANCO10[[#This Row],[SOLUÇÃO]]=CM$1,[1]!BANCO10[[#This Row],[STATUS DA ETAPA]],"")</f>
        <v/>
      </c>
      <c r="CN403" s="21" t="str">
        <f>IF([1]!BANCO10[[#This Row],[SOLUÇÃO]]=CN$1,[1]!BANCO10[[#This Row],[STATUS DA ETAPA]],"")</f>
        <v/>
      </c>
      <c r="CO403" s="21" t="str">
        <f>IF([1]!BANCO10[[#This Row],[SOLUÇÃO]]=CO$1,[1]!BANCO10[[#This Row],[STATUS DA ETAPA]],"")</f>
        <v/>
      </c>
      <c r="CP403" s="21" t="str">
        <f>IF([1]!BANCO10[[#This Row],[SOLUÇÃO]]=CP$1,[1]!BANCO10[[#This Row],[STATUS DA ETAPA]],"")</f>
        <v/>
      </c>
      <c r="CQ403" s="21" t="str">
        <f>IF([1]!BANCO10[[#This Row],[SOLUÇÃO]]=CQ$1,[1]!BANCO10[[#This Row],[STATUS DA ETAPA]],"")</f>
        <v/>
      </c>
      <c r="CR403" s="21" t="str">
        <f>IF([1]!BANCO10[[#This Row],[SOLUÇÃO]]=CR$1,[1]!BANCO10[[#This Row],[STATUS DA ETAPA]],"")</f>
        <v/>
      </c>
      <c r="CS403" s="21" t="str">
        <f>IF([1]!BANCO10[[#This Row],[SOLUÇÃO]]=CS$1,[1]!BANCO10[[#This Row],[STATUS DA ETAPA]],"")</f>
        <v/>
      </c>
      <c r="CT403" s="21" t="str">
        <f>IF([1]!BANCO10[[#This Row],[SOLUÇÃO]]=CT$1,[1]!BANCO10[[#This Row],[STATUS DA ETAPA]],"")</f>
        <v/>
      </c>
      <c r="CU403" s="21" t="str">
        <f>IF([1]!BANCO10[[#This Row],[SOLUÇÃO]]=CU$1,[1]!BANCO10[[#This Row],[STATUS DA ETAPA]],"")</f>
        <v/>
      </c>
      <c r="CV403" s="21" t="str">
        <f>IF([1]!BANCO10[[#This Row],[SOLUÇÃO]]=CV$1,[1]!BANCO10[[#This Row],[STATUS DA ETAPA]],"")</f>
        <v/>
      </c>
    </row>
    <row r="404" spans="1:100">
      <c r="A404" s="44" t="s">
        <v>1</v>
      </c>
      <c r="B404" s="44"/>
      <c r="C404" s="44" t="s">
        <v>1</v>
      </c>
      <c r="D404" s="44"/>
      <c r="E404" s="44" t="s">
        <v>1</v>
      </c>
      <c r="F404" s="44"/>
      <c r="G404" s="44" t="s">
        <v>1</v>
      </c>
      <c r="H404" s="44"/>
      <c r="I404" s="45" t="s">
        <v>1</v>
      </c>
      <c r="J404" s="46"/>
      <c r="K404" s="45" t="s">
        <v>1</v>
      </c>
      <c r="L404" s="33"/>
      <c r="M404" s="45" t="s">
        <v>1</v>
      </c>
      <c r="N404" s="33"/>
      <c r="O404" s="44" t="s">
        <v>1</v>
      </c>
      <c r="P404" s="44"/>
      <c r="Q404" s="44" t="s">
        <v>1</v>
      </c>
      <c r="R404" s="44"/>
      <c r="S404" s="44" t="s">
        <v>1</v>
      </c>
      <c r="T404" s="44"/>
      <c r="U404" s="44" t="s">
        <v>1</v>
      </c>
      <c r="V404" s="44"/>
      <c r="W404" s="44" t="s">
        <v>1</v>
      </c>
      <c r="X404" s="44"/>
      <c r="Y404" s="44" t="s">
        <v>1</v>
      </c>
      <c r="Z404" s="44"/>
      <c r="AA404" s="44" t="s">
        <v>1</v>
      </c>
      <c r="AB404" s="44"/>
      <c r="AC404" s="51">
        <v>45713</v>
      </c>
      <c r="AD404" s="50">
        <v>45713</v>
      </c>
      <c r="AE404" s="41" t="s">
        <v>1</v>
      </c>
      <c r="AF404" s="41" t="s">
        <v>1</v>
      </c>
      <c r="AG404" s="40" t="s">
        <v>5</v>
      </c>
      <c r="AH404" s="36" t="s">
        <v>1</v>
      </c>
      <c r="AI404" s="49">
        <v>0</v>
      </c>
      <c r="AJ404" s="36" t="s">
        <v>1</v>
      </c>
      <c r="AK404" s="10" t="s">
        <v>1</v>
      </c>
      <c r="AL404" s="36" t="s">
        <v>1</v>
      </c>
      <c r="AM404" s="36" t="s">
        <v>1</v>
      </c>
      <c r="AN404" s="35" t="s">
        <v>1</v>
      </c>
      <c r="AO404" s="35" t="s">
        <v>1</v>
      </c>
      <c r="AP404" s="35" t="s">
        <v>1</v>
      </c>
      <c r="AQ404" s="35" t="s">
        <v>1</v>
      </c>
      <c r="AR404" s="82" t="s">
        <v>1</v>
      </c>
      <c r="AS404" s="33"/>
      <c r="AT404" s="32" t="s">
        <v>1</v>
      </c>
      <c r="AU404" s="31"/>
      <c r="AV404" s="32" t="s">
        <v>1</v>
      </c>
      <c r="AW404" s="31"/>
      <c r="AX404" s="32" t="s">
        <v>1</v>
      </c>
      <c r="AY404" s="31"/>
      <c r="AZ404" s="32" t="s">
        <v>0</v>
      </c>
      <c r="BA404" s="31"/>
      <c r="BB404" s="74" t="s">
        <v>479</v>
      </c>
      <c r="BC404" s="25"/>
      <c r="BD404" s="24"/>
      <c r="BE404" s="24"/>
      <c r="BF404" s="24"/>
      <c r="BG404" s="24"/>
      <c r="BH404" s="24"/>
      <c r="BI404" s="24"/>
      <c r="BJ404" s="24"/>
      <c r="BK404" s="24"/>
      <c r="BL404" s="24"/>
      <c r="BM404" s="24"/>
      <c r="BN404" s="24"/>
      <c r="BO404" s="24"/>
      <c r="BP404" s="24"/>
      <c r="BQ404" s="22">
        <f>YEAR([1]!BANCO10[[#This Row],[DATA INÍCIO]])</f>
        <v>2025</v>
      </c>
      <c r="BR404" s="22">
        <f>MONTH([1]!BANCO10[[#This Row],[DATA INÍCIO]])</f>
        <v>2</v>
      </c>
      <c r="BS404" s="23" t="e">
        <f>CONCATENATE(#REF!,#REF!)</f>
        <v>#REF!</v>
      </c>
      <c r="BT404" s="22"/>
      <c r="BU404" s="22"/>
      <c r="BV404" s="21" t="str">
        <f>IF([1]!BANCO10[[#This Row],[SOLUÇÃO]]=BV$1,[1]!BANCO10[[#This Row],[STATUS DA ETAPA]],"")</f>
        <v>CONCLUÍDO</v>
      </c>
      <c r="BW404" s="21" t="str">
        <f>IF([1]!BANCO10[[#This Row],[SOLUÇÃO]]=BW$1,[1]!BANCO10[[#This Row],[STATUS DA ETAPA]],"")</f>
        <v/>
      </c>
      <c r="BX404" s="21" t="str">
        <f>IF([1]!BANCO10[[#This Row],[SOLUÇÃO]]=BX$1,[1]!BANCO10[[#This Row],[STATUS DA ETAPA]],"")</f>
        <v/>
      </c>
      <c r="BY404" s="21" t="str">
        <f>IF([1]!BANCO10[[#This Row],[SOLUÇÃO]]=BY$1,[1]!BANCO10[[#This Row],[STATUS DA ETAPA]],"")</f>
        <v/>
      </c>
      <c r="BZ404" s="21" t="str">
        <f>IF([1]!BANCO10[[#This Row],[SOLUÇÃO]]=BZ$1,[1]!BANCO10[[#This Row],[STATUS DA ETAPA]],"")</f>
        <v/>
      </c>
      <c r="CA404" s="21" t="str">
        <f>IF([1]!BANCO10[[#This Row],[SOLUÇÃO]]=CA$1,[1]!BANCO10[[#This Row],[STATUS DA ETAPA]],"")</f>
        <v/>
      </c>
      <c r="CB404" s="21" t="str">
        <f>IF([1]!BANCO10[[#This Row],[SOLUÇÃO]]=CB$1,[1]!BANCO10[[#This Row],[STATUS DA ETAPA]],"")</f>
        <v/>
      </c>
      <c r="CC404" s="21" t="str">
        <f>IF([1]!BANCO10[[#This Row],[SOLUÇÃO]]=CC$1,[1]!BANCO10[[#This Row],[STATUS DA ETAPA]],"")</f>
        <v/>
      </c>
      <c r="CD404" s="21" t="str">
        <f>IF([1]!BANCO10[[#This Row],[SOLUÇÃO]]=CD$1,[1]!BANCO10[[#This Row],[STATUS DA ETAPA]],"")</f>
        <v/>
      </c>
      <c r="CE404" s="21" t="str">
        <f>IF([1]!BANCO10[[#This Row],[SOLUÇÃO]]=CE$1,[1]!BANCO10[[#This Row],[STATUS DA ETAPA]],"")</f>
        <v/>
      </c>
      <c r="CF404" s="21" t="str">
        <f>IF([1]!BANCO10[[#This Row],[SOLUÇÃO]]=CF$1,[1]!BANCO10[[#This Row],[STATUS DA ETAPA]],"")</f>
        <v/>
      </c>
      <c r="CG404" s="21" t="str">
        <f>IF([1]!BANCO10[[#This Row],[SOLUÇÃO]]=CG$1,[1]!BANCO10[[#This Row],[STATUS DA ETAPA]],"")</f>
        <v/>
      </c>
      <c r="CH404" s="21" t="str">
        <f>IF([1]!BANCO10[[#This Row],[SOLUÇÃO]]=CH$1,[1]!BANCO10[[#This Row],[STATUS DA ETAPA]],"")</f>
        <v/>
      </c>
      <c r="CI404" s="21" t="str">
        <f>IF([1]!BANCO10[[#This Row],[SOLUÇÃO]]=CI$1,[1]!BANCO10[[#This Row],[STATUS DA ETAPA]],"")</f>
        <v/>
      </c>
      <c r="CJ404" s="21" t="str">
        <f>IF([1]!BANCO10[[#This Row],[SOLUÇÃO]]=CJ$1,[1]!BANCO10[[#This Row],[STATUS DA ETAPA]],"")</f>
        <v/>
      </c>
      <c r="CK404" s="21" t="str">
        <f>IF([1]!BANCO10[[#This Row],[SOLUÇÃO]]=CK$1,[1]!BANCO10[[#This Row],[STATUS DA ETAPA]],"")</f>
        <v/>
      </c>
      <c r="CL404" s="21" t="str">
        <f>IF([1]!BANCO10[[#This Row],[SOLUÇÃO]]=CL$1,[1]!BANCO10[[#This Row],[STATUS DA ETAPA]],"")</f>
        <v/>
      </c>
      <c r="CM404" s="21" t="str">
        <f>IF([1]!BANCO10[[#This Row],[SOLUÇÃO]]=CM$1,[1]!BANCO10[[#This Row],[STATUS DA ETAPA]],"")</f>
        <v/>
      </c>
      <c r="CN404" s="21" t="str">
        <f>IF([1]!BANCO10[[#This Row],[SOLUÇÃO]]=CN$1,[1]!BANCO10[[#This Row],[STATUS DA ETAPA]],"")</f>
        <v/>
      </c>
      <c r="CO404" s="21" t="str">
        <f>IF([1]!BANCO10[[#This Row],[SOLUÇÃO]]=CO$1,[1]!BANCO10[[#This Row],[STATUS DA ETAPA]],"")</f>
        <v/>
      </c>
      <c r="CP404" s="21" t="str">
        <f>IF([1]!BANCO10[[#This Row],[SOLUÇÃO]]=CP$1,[1]!BANCO10[[#This Row],[STATUS DA ETAPA]],"")</f>
        <v/>
      </c>
      <c r="CQ404" s="21" t="str">
        <f>IF([1]!BANCO10[[#This Row],[SOLUÇÃO]]=CQ$1,[1]!BANCO10[[#This Row],[STATUS DA ETAPA]],"")</f>
        <v/>
      </c>
      <c r="CR404" s="21" t="str">
        <f>IF([1]!BANCO10[[#This Row],[SOLUÇÃO]]=CR$1,[1]!BANCO10[[#This Row],[STATUS DA ETAPA]],"")</f>
        <v/>
      </c>
      <c r="CS404" s="21" t="str">
        <f>IF([1]!BANCO10[[#This Row],[SOLUÇÃO]]=CS$1,[1]!BANCO10[[#This Row],[STATUS DA ETAPA]],"")</f>
        <v/>
      </c>
      <c r="CT404" s="21" t="str">
        <f>IF([1]!BANCO10[[#This Row],[SOLUÇÃO]]=CT$1,[1]!BANCO10[[#This Row],[STATUS DA ETAPA]],"")</f>
        <v/>
      </c>
      <c r="CU404" s="21" t="str">
        <f>IF([1]!BANCO10[[#This Row],[SOLUÇÃO]]=CU$1,[1]!BANCO10[[#This Row],[STATUS DA ETAPA]],"")</f>
        <v/>
      </c>
      <c r="CV404" s="21" t="str">
        <f>IF([1]!BANCO10[[#This Row],[SOLUÇÃO]]=CV$1,[1]!BANCO10[[#This Row],[STATUS DA ETAPA]],"")</f>
        <v/>
      </c>
    </row>
    <row r="405" spans="1:100">
      <c r="A405" s="44" t="s">
        <v>2</v>
      </c>
      <c r="B405" s="44">
        <v>45875</v>
      </c>
      <c r="C405" s="44" t="s">
        <v>2</v>
      </c>
      <c r="D405" s="44">
        <v>45875</v>
      </c>
      <c r="E405" s="44" t="s">
        <v>2</v>
      </c>
      <c r="F405" s="44">
        <v>45895</v>
      </c>
      <c r="G405" s="44" t="s">
        <v>2</v>
      </c>
      <c r="H405" s="44">
        <v>45895</v>
      </c>
      <c r="I405" s="45" t="s">
        <v>2</v>
      </c>
      <c r="J405" s="46">
        <v>45880</v>
      </c>
      <c r="K405" s="45" t="s">
        <v>0</v>
      </c>
      <c r="L405" s="33"/>
      <c r="M405" s="45" t="s">
        <v>0</v>
      </c>
      <c r="N405" s="33"/>
      <c r="O405" s="44" t="s">
        <v>1</v>
      </c>
      <c r="P405" s="44"/>
      <c r="Q405" s="44" t="s">
        <v>1</v>
      </c>
      <c r="R405" s="44"/>
      <c r="S405" s="44"/>
      <c r="T405" s="44"/>
      <c r="U405" s="44" t="s">
        <v>1</v>
      </c>
      <c r="V405" s="44"/>
      <c r="W405" s="44" t="s">
        <v>1</v>
      </c>
      <c r="X405" s="44"/>
      <c r="Y405" s="44" t="s">
        <v>1</v>
      </c>
      <c r="Z405" s="44"/>
      <c r="AA405" s="44" t="s">
        <v>1</v>
      </c>
      <c r="AB405" s="44"/>
      <c r="AC405" s="51">
        <v>46022</v>
      </c>
      <c r="AD405" s="50">
        <v>46022</v>
      </c>
      <c r="AE405" s="41" t="s">
        <v>0</v>
      </c>
      <c r="AF405" s="41" t="s">
        <v>0</v>
      </c>
      <c r="AG405" s="40" t="s">
        <v>5</v>
      </c>
      <c r="AH405" s="36" t="s">
        <v>0</v>
      </c>
      <c r="AI405" s="49">
        <v>20140</v>
      </c>
      <c r="AJ405" s="36" t="s">
        <v>3</v>
      </c>
      <c r="AK405" s="21">
        <v>706068</v>
      </c>
      <c r="AL405" s="36" t="s">
        <v>1</v>
      </c>
      <c r="AM405" s="36" t="s">
        <v>1</v>
      </c>
      <c r="AN405" s="35" t="s">
        <v>0</v>
      </c>
      <c r="AO405" s="35" t="s">
        <v>0</v>
      </c>
      <c r="AP405" s="35" t="s">
        <v>0</v>
      </c>
      <c r="AQ405" s="35" t="s">
        <v>0</v>
      </c>
      <c r="AR405" s="34" t="s">
        <v>0</v>
      </c>
      <c r="AS405" s="33"/>
      <c r="AT405" s="32" t="s">
        <v>0</v>
      </c>
      <c r="AU405" s="31"/>
      <c r="AV405" s="32" t="s">
        <v>0</v>
      </c>
      <c r="AW405" s="31"/>
      <c r="AX405" s="32" t="s">
        <v>0</v>
      </c>
      <c r="AY405" s="31"/>
      <c r="AZ405" s="32" t="s">
        <v>0</v>
      </c>
      <c r="BA405" s="31"/>
      <c r="BB405" s="74" t="s">
        <v>7</v>
      </c>
      <c r="BC405" s="25"/>
      <c r="BD405" s="24"/>
      <c r="BE405" s="24"/>
      <c r="BF405" s="24"/>
      <c r="BG405" s="24"/>
      <c r="BH405" s="24"/>
      <c r="BI405" s="24"/>
      <c r="BJ405" s="24"/>
      <c r="BK405" s="24"/>
      <c r="BL405" s="24"/>
      <c r="BM405" s="24"/>
      <c r="BN405" s="24"/>
      <c r="BO405" s="24"/>
      <c r="BP405" s="24"/>
      <c r="BQ405" s="22">
        <f>YEAR([1]!BANCO10[[#This Row],[DATA INÍCIO]])</f>
        <v>2025</v>
      </c>
      <c r="BR405" s="22">
        <f>MONTH([1]!BANCO10[[#This Row],[DATA INÍCIO]])</f>
        <v>12</v>
      </c>
      <c r="BS405" s="23" t="e">
        <f>CONCATENATE(#REF!,#REF!)</f>
        <v>#REF!</v>
      </c>
      <c r="BT405" s="22"/>
      <c r="BU405" s="22"/>
      <c r="BV405" s="21" t="str">
        <f>IF([1]!BANCO10[[#This Row],[SOLUÇÃO]]=BV$1,[1]!BANCO10[[#This Row],[STATUS DA ETAPA]],"")</f>
        <v/>
      </c>
      <c r="BW405" s="21" t="str">
        <f>IF([1]!BANCO10[[#This Row],[SOLUÇÃO]]=BW$1,[1]!BANCO10[[#This Row],[STATUS DA ETAPA]],"")</f>
        <v/>
      </c>
      <c r="BX405" s="21" t="str">
        <f>IF([1]!BANCO10[[#This Row],[SOLUÇÃO]]=BX$1,[1]!BANCO10[[#This Row],[STATUS DA ETAPA]],"")</f>
        <v/>
      </c>
      <c r="BY405" s="21" t="str">
        <f>IF([1]!BANCO10[[#This Row],[SOLUÇÃO]]=BY$1,[1]!BANCO10[[#This Row],[STATUS DA ETAPA]],"")</f>
        <v/>
      </c>
      <c r="BZ405" s="21" t="str">
        <f>IF([1]!BANCO10[[#This Row],[SOLUÇÃO]]=BZ$1,[1]!BANCO10[[#This Row],[STATUS DA ETAPA]],"")</f>
        <v/>
      </c>
      <c r="CA405" s="21" t="str">
        <f>IF([1]!BANCO10[[#This Row],[SOLUÇÃO]]=CA$1,[1]!BANCO10[[#This Row],[STATUS DA ETAPA]],"")</f>
        <v/>
      </c>
      <c r="CB405" s="21" t="str">
        <f>IF([1]!BANCO10[[#This Row],[SOLUÇÃO]]=CB$1,[1]!BANCO10[[#This Row],[STATUS DA ETAPA]],"")</f>
        <v>AGUARDANDO SALDO</v>
      </c>
      <c r="CC405" s="21" t="str">
        <f>IF([1]!BANCO10[[#This Row],[SOLUÇÃO]]=CC$1,[1]!BANCO10[[#This Row],[STATUS DA ETAPA]],"")</f>
        <v/>
      </c>
      <c r="CD405" s="21" t="str">
        <f>IF([1]!BANCO10[[#This Row],[SOLUÇÃO]]=CD$1,[1]!BANCO10[[#This Row],[STATUS DA ETAPA]],"")</f>
        <v/>
      </c>
      <c r="CE405" s="21" t="str">
        <f>IF([1]!BANCO10[[#This Row],[SOLUÇÃO]]=CE$1,[1]!BANCO10[[#This Row],[STATUS DA ETAPA]],"")</f>
        <v/>
      </c>
      <c r="CF405" s="21" t="str">
        <f>IF([1]!BANCO10[[#This Row],[SOLUÇÃO]]=CF$1,[1]!BANCO10[[#This Row],[STATUS DA ETAPA]],"")</f>
        <v/>
      </c>
      <c r="CG405" s="21" t="str">
        <f>IF([1]!BANCO10[[#This Row],[SOLUÇÃO]]=CG$1,[1]!BANCO10[[#This Row],[STATUS DA ETAPA]],"")</f>
        <v/>
      </c>
      <c r="CH405" s="21" t="str">
        <f>IF([1]!BANCO10[[#This Row],[SOLUÇÃO]]=CH$1,[1]!BANCO10[[#This Row],[STATUS DA ETAPA]],"")</f>
        <v/>
      </c>
      <c r="CI405" s="21" t="str">
        <f>IF([1]!BANCO10[[#This Row],[SOLUÇÃO]]=CI$1,[1]!BANCO10[[#This Row],[STATUS DA ETAPA]],"")</f>
        <v/>
      </c>
      <c r="CJ405" s="21" t="str">
        <f>IF([1]!BANCO10[[#This Row],[SOLUÇÃO]]=CJ$1,[1]!BANCO10[[#This Row],[STATUS DA ETAPA]],"")</f>
        <v/>
      </c>
      <c r="CK405" s="21" t="str">
        <f>IF([1]!BANCO10[[#This Row],[SOLUÇÃO]]=CK$1,[1]!BANCO10[[#This Row],[STATUS DA ETAPA]],"")</f>
        <v/>
      </c>
      <c r="CL405" s="21" t="str">
        <f>IF([1]!BANCO10[[#This Row],[SOLUÇÃO]]=CL$1,[1]!BANCO10[[#This Row],[STATUS DA ETAPA]],"")</f>
        <v/>
      </c>
      <c r="CM405" s="21" t="str">
        <f>IF([1]!BANCO10[[#This Row],[SOLUÇÃO]]=CM$1,[1]!BANCO10[[#This Row],[STATUS DA ETAPA]],"")</f>
        <v/>
      </c>
      <c r="CN405" s="21" t="str">
        <f>IF([1]!BANCO10[[#This Row],[SOLUÇÃO]]=CN$1,[1]!BANCO10[[#This Row],[STATUS DA ETAPA]],"")</f>
        <v/>
      </c>
      <c r="CO405" s="21" t="str">
        <f>IF([1]!BANCO10[[#This Row],[SOLUÇÃO]]=CO$1,[1]!BANCO10[[#This Row],[STATUS DA ETAPA]],"")</f>
        <v/>
      </c>
      <c r="CP405" s="21" t="str">
        <f>IF([1]!BANCO10[[#This Row],[SOLUÇÃO]]=CP$1,[1]!BANCO10[[#This Row],[STATUS DA ETAPA]],"")</f>
        <v/>
      </c>
      <c r="CQ405" s="21" t="str">
        <f>IF([1]!BANCO10[[#This Row],[SOLUÇÃO]]=CQ$1,[1]!BANCO10[[#This Row],[STATUS DA ETAPA]],"")</f>
        <v/>
      </c>
      <c r="CR405" s="21" t="str">
        <f>IF([1]!BANCO10[[#This Row],[SOLUÇÃO]]=CR$1,[1]!BANCO10[[#This Row],[STATUS DA ETAPA]],"")</f>
        <v/>
      </c>
      <c r="CS405" s="21" t="str">
        <f>IF([1]!BANCO10[[#This Row],[SOLUÇÃO]]=CS$1,[1]!BANCO10[[#This Row],[STATUS DA ETAPA]],"")</f>
        <v/>
      </c>
      <c r="CT405" s="21" t="str">
        <f>IF([1]!BANCO10[[#This Row],[SOLUÇÃO]]=CT$1,[1]!BANCO10[[#This Row],[STATUS DA ETAPA]],"")</f>
        <v/>
      </c>
      <c r="CU405" s="21" t="str">
        <f>IF([1]!BANCO10[[#This Row],[SOLUÇÃO]]=CU$1,[1]!BANCO10[[#This Row],[STATUS DA ETAPA]],"")</f>
        <v/>
      </c>
      <c r="CV405" s="21" t="str">
        <f>IF([1]!BANCO10[[#This Row],[SOLUÇÃO]]=CV$1,[1]!BANCO10[[#This Row],[STATUS DA ETAPA]],"")</f>
        <v/>
      </c>
    </row>
    <row r="406" spans="1:100">
      <c r="A406" s="44" t="s">
        <v>1</v>
      </c>
      <c r="B406" s="44"/>
      <c r="C406" s="44" t="s">
        <v>1</v>
      </c>
      <c r="D406" s="44"/>
      <c r="E406" s="44" t="s">
        <v>1</v>
      </c>
      <c r="F406" s="44"/>
      <c r="G406" s="44" t="s">
        <v>1</v>
      </c>
      <c r="H406" s="44"/>
      <c r="I406" s="45" t="s">
        <v>1</v>
      </c>
      <c r="J406" s="46"/>
      <c r="K406" s="45" t="s">
        <v>1</v>
      </c>
      <c r="L406" s="33"/>
      <c r="M406" s="45" t="s">
        <v>1</v>
      </c>
      <c r="N406" s="33"/>
      <c r="O406" s="44" t="s">
        <v>1</v>
      </c>
      <c r="P406" s="44"/>
      <c r="Q406" s="44" t="s">
        <v>1</v>
      </c>
      <c r="R406" s="44"/>
      <c r="S406" s="44" t="s">
        <v>1</v>
      </c>
      <c r="T406" s="44"/>
      <c r="U406" s="44" t="s">
        <v>1</v>
      </c>
      <c r="V406" s="44"/>
      <c r="W406" s="44" t="s">
        <v>1</v>
      </c>
      <c r="X406" s="44"/>
      <c r="Y406" s="44" t="s">
        <v>1</v>
      </c>
      <c r="Z406" s="44"/>
      <c r="AA406" s="44" t="s">
        <v>1</v>
      </c>
      <c r="AB406" s="44"/>
      <c r="AC406" s="51">
        <v>45963</v>
      </c>
      <c r="AD406" s="50">
        <v>45963</v>
      </c>
      <c r="AE406" s="41" t="s">
        <v>1</v>
      </c>
      <c r="AF406" s="41" t="s">
        <v>1</v>
      </c>
      <c r="AG406" s="40" t="s">
        <v>5</v>
      </c>
      <c r="AH406" s="36" t="s">
        <v>1</v>
      </c>
      <c r="AI406" s="49">
        <v>0</v>
      </c>
      <c r="AJ406" s="36" t="s">
        <v>1</v>
      </c>
      <c r="AK406" s="9" t="s">
        <v>1</v>
      </c>
      <c r="AL406" s="36" t="s">
        <v>1</v>
      </c>
      <c r="AM406" s="36" t="s">
        <v>1</v>
      </c>
      <c r="AN406" s="35" t="s">
        <v>1</v>
      </c>
      <c r="AO406" s="35" t="s">
        <v>1</v>
      </c>
      <c r="AP406" s="35" t="s">
        <v>1</v>
      </c>
      <c r="AQ406" s="35" t="s">
        <v>1</v>
      </c>
      <c r="AR406" s="34" t="s">
        <v>1</v>
      </c>
      <c r="AS406" s="63"/>
      <c r="AT406" s="32" t="s">
        <v>1</v>
      </c>
      <c r="AU406" s="31"/>
      <c r="AV406" s="32" t="s">
        <v>1</v>
      </c>
      <c r="AW406" s="31"/>
      <c r="AX406" s="32" t="s">
        <v>1</v>
      </c>
      <c r="AY406" s="31"/>
      <c r="AZ406" s="32" t="s">
        <v>1</v>
      </c>
      <c r="BA406" s="31"/>
      <c r="BB406" s="39" t="s">
        <v>478</v>
      </c>
      <c r="BC406" s="25"/>
      <c r="BD406" s="25"/>
      <c r="BE406" s="25"/>
      <c r="BF406" s="25"/>
      <c r="BG406" s="25"/>
      <c r="BH406" s="25"/>
      <c r="BI406" s="25"/>
      <c r="BJ406" s="25"/>
      <c r="BK406" s="25"/>
      <c r="BL406" s="25"/>
      <c r="BM406" s="25"/>
      <c r="BN406" s="25"/>
      <c r="BO406" s="25"/>
      <c r="BP406" s="25"/>
      <c r="BQ406" s="25">
        <f>YEAR([1]!BANCO10[[#This Row],[DATA INÍCIO]])</f>
        <v>2025</v>
      </c>
      <c r="BR406" s="25">
        <f>MONTH([1]!BANCO10[[#This Row],[DATA INÍCIO]])</f>
        <v>11</v>
      </c>
      <c r="BS406" s="25" t="e">
        <f>CONCATENATE(#REF!,#REF!)</f>
        <v>#REF!</v>
      </c>
      <c r="BT406" s="25"/>
      <c r="BU406" s="25"/>
      <c r="BV406" s="25" t="str">
        <f>IF([1]!BANCO10[[#This Row],[SOLUÇÃO]]=BV$1,[1]!BANCO10[[#This Row],[STATUS DA ETAPA]],"")</f>
        <v/>
      </c>
      <c r="BW406" s="25" t="str">
        <f>IF([1]!BANCO10[[#This Row],[SOLUÇÃO]]=BW$1,[1]!BANCO10[[#This Row],[STATUS DA ETAPA]],"")</f>
        <v/>
      </c>
      <c r="BX406" s="25" t="str">
        <f>IF([1]!BANCO10[[#This Row],[SOLUÇÃO]]=BX$1,[1]!BANCO10[[#This Row],[STATUS DA ETAPA]],"")</f>
        <v/>
      </c>
      <c r="BY406" s="25" t="str">
        <f>IF([1]!BANCO10[[#This Row],[SOLUÇÃO]]=BY$1,[1]!BANCO10[[#This Row],[STATUS DA ETAPA]],"")</f>
        <v/>
      </c>
      <c r="BZ406" s="25" t="str">
        <f>IF([1]!BANCO10[[#This Row],[SOLUÇÃO]]=BZ$1,[1]!BANCO10[[#This Row],[STATUS DA ETAPA]],"")</f>
        <v/>
      </c>
      <c r="CA406" s="25" t="str">
        <f>IF([1]!BANCO10[[#This Row],[SOLUÇÃO]]=CA$1,[1]!BANCO10[[#This Row],[STATUS DA ETAPA]],"")</f>
        <v/>
      </c>
      <c r="CB406" s="25" t="str">
        <f>IF([1]!BANCO10[[#This Row],[SOLUÇÃO]]=CB$1,[1]!BANCO10[[#This Row],[STATUS DA ETAPA]],"")</f>
        <v>CANCELADO</v>
      </c>
      <c r="CC406" s="25" t="str">
        <f>IF([1]!BANCO10[[#This Row],[SOLUÇÃO]]=CC$1,[1]!BANCO10[[#This Row],[STATUS DA ETAPA]],"")</f>
        <v/>
      </c>
      <c r="CD406" s="25" t="str">
        <f>IF([1]!BANCO10[[#This Row],[SOLUÇÃO]]=CD$1,[1]!BANCO10[[#This Row],[STATUS DA ETAPA]],"")</f>
        <v/>
      </c>
      <c r="CE406" s="25" t="str">
        <f>IF([1]!BANCO10[[#This Row],[SOLUÇÃO]]=CE$1,[1]!BANCO10[[#This Row],[STATUS DA ETAPA]],"")</f>
        <v/>
      </c>
      <c r="CF406" s="25" t="str">
        <f>IF([1]!BANCO10[[#This Row],[SOLUÇÃO]]=CF$1,[1]!BANCO10[[#This Row],[STATUS DA ETAPA]],"")</f>
        <v/>
      </c>
      <c r="CG406" s="25" t="str">
        <f>IF([1]!BANCO10[[#This Row],[SOLUÇÃO]]=CG$1,[1]!BANCO10[[#This Row],[STATUS DA ETAPA]],"")</f>
        <v/>
      </c>
      <c r="CH406" s="25" t="str">
        <f>IF([1]!BANCO10[[#This Row],[SOLUÇÃO]]=CH$1,[1]!BANCO10[[#This Row],[STATUS DA ETAPA]],"")</f>
        <v/>
      </c>
      <c r="CI406" s="25" t="str">
        <f>IF([1]!BANCO10[[#This Row],[SOLUÇÃO]]=CI$1,[1]!BANCO10[[#This Row],[STATUS DA ETAPA]],"")</f>
        <v/>
      </c>
      <c r="CJ406" s="25" t="str">
        <f>IF([1]!BANCO10[[#This Row],[SOLUÇÃO]]=CJ$1,[1]!BANCO10[[#This Row],[STATUS DA ETAPA]],"")</f>
        <v/>
      </c>
      <c r="CK406" s="25" t="str">
        <f>IF([1]!BANCO10[[#This Row],[SOLUÇÃO]]=CK$1,[1]!BANCO10[[#This Row],[STATUS DA ETAPA]],"")</f>
        <v/>
      </c>
      <c r="CL406" s="25" t="str">
        <f>IF([1]!BANCO10[[#This Row],[SOLUÇÃO]]=CL$1,[1]!BANCO10[[#This Row],[STATUS DA ETAPA]],"")</f>
        <v/>
      </c>
      <c r="CM406" s="25" t="str">
        <f>IF([1]!BANCO10[[#This Row],[SOLUÇÃO]]=CM$1,[1]!BANCO10[[#This Row],[STATUS DA ETAPA]],"")</f>
        <v/>
      </c>
      <c r="CN406" s="25" t="str">
        <f>IF([1]!BANCO10[[#This Row],[SOLUÇÃO]]=CN$1,[1]!BANCO10[[#This Row],[STATUS DA ETAPA]],"")</f>
        <v/>
      </c>
      <c r="CO406" s="25" t="str">
        <f>IF([1]!BANCO10[[#This Row],[SOLUÇÃO]]=CO$1,[1]!BANCO10[[#This Row],[STATUS DA ETAPA]],"")</f>
        <v/>
      </c>
      <c r="CP406" s="25" t="str">
        <f>IF([1]!BANCO10[[#This Row],[SOLUÇÃO]]=CP$1,[1]!BANCO10[[#This Row],[STATUS DA ETAPA]],"")</f>
        <v/>
      </c>
      <c r="CQ406" s="25" t="str">
        <f>IF([1]!BANCO10[[#This Row],[SOLUÇÃO]]=CQ$1,[1]!BANCO10[[#This Row],[STATUS DA ETAPA]],"")</f>
        <v/>
      </c>
      <c r="CR406" s="25" t="str">
        <f>IF([1]!BANCO10[[#This Row],[SOLUÇÃO]]=CR$1,[1]!BANCO10[[#This Row],[STATUS DA ETAPA]],"")</f>
        <v/>
      </c>
      <c r="CS406" s="25" t="str">
        <f>IF([1]!BANCO10[[#This Row],[SOLUÇÃO]]=CS$1,[1]!BANCO10[[#This Row],[STATUS DA ETAPA]],"")</f>
        <v/>
      </c>
      <c r="CT406" s="25" t="str">
        <f>IF([1]!BANCO10[[#This Row],[SOLUÇÃO]]=CT$1,[1]!BANCO10[[#This Row],[STATUS DA ETAPA]],"")</f>
        <v/>
      </c>
      <c r="CU406" s="25" t="str">
        <f>IF([1]!BANCO10[[#This Row],[SOLUÇÃO]]=CU$1,[1]!BANCO10[[#This Row],[STATUS DA ETAPA]],"")</f>
        <v/>
      </c>
      <c r="CV406" s="25" t="str">
        <f>IF([1]!BANCO10[[#This Row],[SOLUÇÃO]]=CV$1,[1]!BANCO10[[#This Row],[STATUS DA ETAPA]],"")</f>
        <v/>
      </c>
    </row>
    <row r="407" spans="1:100">
      <c r="A407" s="44" t="s">
        <v>2</v>
      </c>
      <c r="B407" s="44">
        <v>45756</v>
      </c>
      <c r="C407" s="44" t="s">
        <v>2</v>
      </c>
      <c r="D407" s="44">
        <v>45757</v>
      </c>
      <c r="E407" s="44" t="s">
        <v>2</v>
      </c>
      <c r="F407" s="44">
        <v>45769</v>
      </c>
      <c r="G407" s="44" t="s">
        <v>2</v>
      </c>
      <c r="H407" s="44">
        <v>45769</v>
      </c>
      <c r="I407" s="45" t="s">
        <v>2</v>
      </c>
      <c r="J407" s="46">
        <v>45769</v>
      </c>
      <c r="K407" s="45" t="s">
        <v>2</v>
      </c>
      <c r="L407" s="33">
        <v>45770</v>
      </c>
      <c r="M407" s="45" t="s">
        <v>0</v>
      </c>
      <c r="N407" s="33"/>
      <c r="O407" s="44" t="s">
        <v>1</v>
      </c>
      <c r="P407" s="44"/>
      <c r="Q407" s="44" t="s">
        <v>2</v>
      </c>
      <c r="R407" s="44">
        <v>45755</v>
      </c>
      <c r="S407" s="44" t="s">
        <v>0</v>
      </c>
      <c r="T407" s="44"/>
      <c r="U407" s="44" t="s">
        <v>1</v>
      </c>
      <c r="V407" s="44"/>
      <c r="W407" s="44" t="s">
        <v>1</v>
      </c>
      <c r="X407" s="44"/>
      <c r="Y407" s="44" t="s">
        <v>1</v>
      </c>
      <c r="Z407" s="44"/>
      <c r="AA407" s="44" t="s">
        <v>1</v>
      </c>
      <c r="AB407" s="44"/>
      <c r="AC407" s="51">
        <v>46022</v>
      </c>
      <c r="AD407" s="50">
        <v>46022</v>
      </c>
      <c r="AE407" s="41" t="s">
        <v>0</v>
      </c>
      <c r="AF407" s="41" t="s">
        <v>0</v>
      </c>
      <c r="AG407" s="40" t="s">
        <v>5</v>
      </c>
      <c r="AH407" s="36" t="s">
        <v>0</v>
      </c>
      <c r="AI407" s="49">
        <v>20140</v>
      </c>
      <c r="AJ407" s="36" t="s">
        <v>3</v>
      </c>
      <c r="AK407" s="21">
        <v>684041</v>
      </c>
      <c r="AL407" s="36" t="s">
        <v>1</v>
      </c>
      <c r="AM407" s="36" t="s">
        <v>1</v>
      </c>
      <c r="AN407" s="52" t="s">
        <v>0</v>
      </c>
      <c r="AO407" s="52" t="s">
        <v>0</v>
      </c>
      <c r="AP407" s="52" t="s">
        <v>0</v>
      </c>
      <c r="AQ407" s="52" t="s">
        <v>0</v>
      </c>
      <c r="AR407" s="34" t="s">
        <v>0</v>
      </c>
      <c r="AS407" s="33"/>
      <c r="AT407" s="32" t="s">
        <v>0</v>
      </c>
      <c r="AU407" s="31"/>
      <c r="AV407" s="32" t="s">
        <v>0</v>
      </c>
      <c r="AW407" s="31"/>
      <c r="AX407" s="32" t="s">
        <v>0</v>
      </c>
      <c r="AY407" s="31"/>
      <c r="AZ407" s="32" t="s">
        <v>0</v>
      </c>
      <c r="BA407" s="31"/>
      <c r="BB407" s="26" t="s">
        <v>7</v>
      </c>
      <c r="BC407" s="22"/>
      <c r="BD407" s="24"/>
      <c r="BE407" s="24"/>
      <c r="BF407" s="24"/>
      <c r="BG407" s="24"/>
      <c r="BH407" s="24"/>
      <c r="BI407" s="24"/>
      <c r="BJ407" s="24"/>
      <c r="BK407" s="24"/>
      <c r="BL407" s="24"/>
      <c r="BM407" s="24"/>
      <c r="BN407" s="24"/>
      <c r="BO407" s="24"/>
      <c r="BP407" s="24"/>
      <c r="BQ407" s="22">
        <f>YEAR([1]!BANCO10[[#This Row],[DATA INÍCIO]])</f>
        <v>2025</v>
      </c>
      <c r="BR407" s="22">
        <f>MONTH([1]!BANCO10[[#This Row],[DATA INÍCIO]])</f>
        <v>12</v>
      </c>
      <c r="BS407" s="23" t="e">
        <f>CONCATENATE(#REF!,#REF!)</f>
        <v>#REF!</v>
      </c>
      <c r="BT407" s="22"/>
      <c r="BU407" s="22"/>
      <c r="BV407" s="21" t="str">
        <f>IF([1]!BANCO10[[#This Row],[SOLUÇÃO]]=BV$1,[1]!BANCO10[[#This Row],[STATUS DA ETAPA]],"")</f>
        <v/>
      </c>
      <c r="BW407" s="21" t="str">
        <f>IF([1]!BANCO10[[#This Row],[SOLUÇÃO]]=BW$1,[1]!BANCO10[[#This Row],[STATUS DA ETAPA]],"")</f>
        <v/>
      </c>
      <c r="BX407" s="21" t="str">
        <f>IF([1]!BANCO10[[#This Row],[SOLUÇÃO]]=BX$1,[1]!BANCO10[[#This Row],[STATUS DA ETAPA]],"")</f>
        <v/>
      </c>
      <c r="BY407" s="21" t="str">
        <f>IF([1]!BANCO10[[#This Row],[SOLUÇÃO]]=BY$1,[1]!BANCO10[[#This Row],[STATUS DA ETAPA]],"")</f>
        <v/>
      </c>
      <c r="BZ407" s="21" t="str">
        <f>IF([1]!BANCO10[[#This Row],[SOLUÇÃO]]=BZ$1,[1]!BANCO10[[#This Row],[STATUS DA ETAPA]],"")</f>
        <v/>
      </c>
      <c r="CA407" s="21" t="str">
        <f>IF([1]!BANCO10[[#This Row],[SOLUÇÃO]]=CA$1,[1]!BANCO10[[#This Row],[STATUS DA ETAPA]],"")</f>
        <v/>
      </c>
      <c r="CB407" s="21" t="str">
        <f>IF([1]!BANCO10[[#This Row],[SOLUÇÃO]]=CB$1,[1]!BANCO10[[#This Row],[STATUS DA ETAPA]],"")</f>
        <v>AGUARDANDO SALDO</v>
      </c>
      <c r="CC407" s="21" t="str">
        <f>IF([1]!BANCO10[[#This Row],[SOLUÇÃO]]=CC$1,[1]!BANCO10[[#This Row],[STATUS DA ETAPA]],"")</f>
        <v/>
      </c>
      <c r="CD407" s="21" t="str">
        <f>IF([1]!BANCO10[[#This Row],[SOLUÇÃO]]=CD$1,[1]!BANCO10[[#This Row],[STATUS DA ETAPA]],"")</f>
        <v/>
      </c>
      <c r="CE407" s="21" t="str">
        <f>IF([1]!BANCO10[[#This Row],[SOLUÇÃO]]=CE$1,[1]!BANCO10[[#This Row],[STATUS DA ETAPA]],"")</f>
        <v/>
      </c>
      <c r="CF407" s="21" t="str">
        <f>IF([1]!BANCO10[[#This Row],[SOLUÇÃO]]=CF$1,[1]!BANCO10[[#This Row],[STATUS DA ETAPA]],"")</f>
        <v/>
      </c>
      <c r="CG407" s="21" t="str">
        <f>IF([1]!BANCO10[[#This Row],[SOLUÇÃO]]=CG$1,[1]!BANCO10[[#This Row],[STATUS DA ETAPA]],"")</f>
        <v/>
      </c>
      <c r="CH407" s="21" t="str">
        <f>IF([1]!BANCO10[[#This Row],[SOLUÇÃO]]=CH$1,[1]!BANCO10[[#This Row],[STATUS DA ETAPA]],"")</f>
        <v/>
      </c>
      <c r="CI407" s="21" t="str">
        <f>IF([1]!BANCO10[[#This Row],[SOLUÇÃO]]=CI$1,[1]!BANCO10[[#This Row],[STATUS DA ETAPA]],"")</f>
        <v/>
      </c>
      <c r="CJ407" s="21" t="str">
        <f>IF([1]!BANCO10[[#This Row],[SOLUÇÃO]]=CJ$1,[1]!BANCO10[[#This Row],[STATUS DA ETAPA]],"")</f>
        <v/>
      </c>
      <c r="CK407" s="21" t="str">
        <f>IF([1]!BANCO10[[#This Row],[SOLUÇÃO]]=CK$1,[1]!BANCO10[[#This Row],[STATUS DA ETAPA]],"")</f>
        <v/>
      </c>
      <c r="CL407" s="21" t="str">
        <f>IF([1]!BANCO10[[#This Row],[SOLUÇÃO]]=CL$1,[1]!BANCO10[[#This Row],[STATUS DA ETAPA]],"")</f>
        <v/>
      </c>
      <c r="CM407" s="21" t="str">
        <f>IF([1]!BANCO10[[#This Row],[SOLUÇÃO]]=CM$1,[1]!BANCO10[[#This Row],[STATUS DA ETAPA]],"")</f>
        <v/>
      </c>
      <c r="CN407" s="21" t="str">
        <f>IF([1]!BANCO10[[#This Row],[SOLUÇÃO]]=CN$1,[1]!BANCO10[[#This Row],[STATUS DA ETAPA]],"")</f>
        <v/>
      </c>
      <c r="CO407" s="21" t="str">
        <f>IF([1]!BANCO10[[#This Row],[SOLUÇÃO]]=CO$1,[1]!BANCO10[[#This Row],[STATUS DA ETAPA]],"")</f>
        <v/>
      </c>
      <c r="CP407" s="21" t="str">
        <f>IF([1]!BANCO10[[#This Row],[SOLUÇÃO]]=CP$1,[1]!BANCO10[[#This Row],[STATUS DA ETAPA]],"")</f>
        <v/>
      </c>
      <c r="CQ407" s="21" t="str">
        <f>IF([1]!BANCO10[[#This Row],[SOLUÇÃO]]=CQ$1,[1]!BANCO10[[#This Row],[STATUS DA ETAPA]],"")</f>
        <v/>
      </c>
      <c r="CR407" s="21" t="str">
        <f>IF([1]!BANCO10[[#This Row],[SOLUÇÃO]]=CR$1,[1]!BANCO10[[#This Row],[STATUS DA ETAPA]],"")</f>
        <v/>
      </c>
      <c r="CS407" s="21" t="str">
        <f>IF([1]!BANCO10[[#This Row],[SOLUÇÃO]]=CS$1,[1]!BANCO10[[#This Row],[STATUS DA ETAPA]],"")</f>
        <v/>
      </c>
      <c r="CT407" s="21" t="str">
        <f>IF([1]!BANCO10[[#This Row],[SOLUÇÃO]]=CT$1,[1]!BANCO10[[#This Row],[STATUS DA ETAPA]],"")</f>
        <v/>
      </c>
      <c r="CU407" s="21" t="str">
        <f>IF([1]!BANCO10[[#This Row],[SOLUÇÃO]]=CU$1,[1]!BANCO10[[#This Row],[STATUS DA ETAPA]],"")</f>
        <v/>
      </c>
      <c r="CV407" s="21" t="str">
        <f>IF([1]!BANCO10[[#This Row],[SOLUÇÃO]]=CV$1,[1]!BANCO10[[#This Row],[STATUS DA ETAPA]],"")</f>
        <v/>
      </c>
    </row>
    <row r="408" spans="1:100">
      <c r="A408" s="44" t="s">
        <v>1</v>
      </c>
      <c r="B408" s="44"/>
      <c r="C408" s="44" t="s">
        <v>1</v>
      </c>
      <c r="D408" s="44"/>
      <c r="E408" s="44" t="s">
        <v>1</v>
      </c>
      <c r="F408" s="44"/>
      <c r="G408" s="44" t="s">
        <v>1</v>
      </c>
      <c r="H408" s="44"/>
      <c r="I408" s="45" t="s">
        <v>1</v>
      </c>
      <c r="J408" s="46"/>
      <c r="K408" s="45" t="s">
        <v>1</v>
      </c>
      <c r="L408" s="33"/>
      <c r="M408" s="45" t="s">
        <v>1</v>
      </c>
      <c r="N408" s="33"/>
      <c r="O408" s="44" t="s">
        <v>1</v>
      </c>
      <c r="P408" s="44"/>
      <c r="Q408" s="44" t="s">
        <v>1</v>
      </c>
      <c r="R408" s="44"/>
      <c r="S408" s="44" t="s">
        <v>1</v>
      </c>
      <c r="T408" s="44"/>
      <c r="U408" s="44" t="s">
        <v>1</v>
      </c>
      <c r="V408" s="44"/>
      <c r="W408" s="44" t="s">
        <v>1</v>
      </c>
      <c r="X408" s="44"/>
      <c r="Y408" s="44" t="s">
        <v>1</v>
      </c>
      <c r="Z408" s="44"/>
      <c r="AA408" s="44" t="s">
        <v>1</v>
      </c>
      <c r="AB408" s="44"/>
      <c r="AC408" s="51">
        <v>45577</v>
      </c>
      <c r="AD408" s="50">
        <v>45577</v>
      </c>
      <c r="AE408" s="41" t="s">
        <v>1</v>
      </c>
      <c r="AF408" s="41" t="s">
        <v>1</v>
      </c>
      <c r="AG408" s="40" t="s">
        <v>5</v>
      </c>
      <c r="AH408" s="36" t="s">
        <v>1</v>
      </c>
      <c r="AI408" s="49">
        <v>0</v>
      </c>
      <c r="AJ408" s="36" t="s">
        <v>1</v>
      </c>
      <c r="AK408" s="10" t="s">
        <v>1</v>
      </c>
      <c r="AL408" s="36" t="s">
        <v>1</v>
      </c>
      <c r="AM408" s="36" t="s">
        <v>1</v>
      </c>
      <c r="AN408" s="35" t="s">
        <v>1</v>
      </c>
      <c r="AO408" s="35" t="s">
        <v>1</v>
      </c>
      <c r="AP408" s="35" t="s">
        <v>1</v>
      </c>
      <c r="AQ408" s="35" t="s">
        <v>1</v>
      </c>
      <c r="AR408" s="90" t="s">
        <v>1</v>
      </c>
      <c r="AS408" s="89"/>
      <c r="AT408" s="88"/>
      <c r="AU408" s="25"/>
      <c r="AV408" s="88"/>
      <c r="AW408" s="25"/>
      <c r="AX408" s="88" t="s">
        <v>1</v>
      </c>
      <c r="AY408" s="25"/>
      <c r="AZ408" s="88" t="s">
        <v>1</v>
      </c>
      <c r="BA408" s="25"/>
      <c r="BB408" s="39" t="s">
        <v>477</v>
      </c>
      <c r="BC408" s="25"/>
      <c r="BD408" s="24"/>
      <c r="BE408" s="24"/>
      <c r="BF408" s="79"/>
      <c r="BG408" s="79"/>
      <c r="BH408" s="80"/>
      <c r="BI408" s="79"/>
      <c r="BJ408" s="54"/>
      <c r="BK408" s="78"/>
      <c r="BL408" s="69"/>
      <c r="BM408" s="78"/>
      <c r="BN408" s="78"/>
      <c r="BO408" s="78"/>
      <c r="BP408" s="78"/>
      <c r="BQ408" s="21">
        <f>YEAR([1]!BANCO10[[#This Row],[DATA INÍCIO]])</f>
        <v>2024</v>
      </c>
      <c r="BR408" s="21">
        <f>MONTH([1]!BANCO10[[#This Row],[DATA INÍCIO]])</f>
        <v>10</v>
      </c>
      <c r="BS408" s="21" t="e">
        <f>CONCATENATE(#REF!,#REF!)</f>
        <v>#REF!</v>
      </c>
      <c r="BT408" s="21"/>
      <c r="BU408" s="21"/>
      <c r="BV408" s="21" t="str">
        <f>IF([1]!BANCO10[[#This Row],[SOLUÇÃO]]=BV$1,[1]!BANCO10[[#This Row],[STATUS DA ETAPA]],"")</f>
        <v>CONCLUÍDO</v>
      </c>
      <c r="BW408" s="21" t="str">
        <f>IF([1]!BANCO10[[#This Row],[SOLUÇÃO]]=BW$1,[1]!BANCO10[[#This Row],[STATUS DA ETAPA]],"")</f>
        <v/>
      </c>
      <c r="BX408" s="21" t="str">
        <f>IF([1]!BANCO10[[#This Row],[SOLUÇÃO]]=BX$1,[1]!BANCO10[[#This Row],[STATUS DA ETAPA]],"")</f>
        <v/>
      </c>
      <c r="BY408" s="21" t="str">
        <f>IF([1]!BANCO10[[#This Row],[SOLUÇÃO]]=BY$1,[1]!BANCO10[[#This Row],[STATUS DA ETAPA]],"")</f>
        <v/>
      </c>
      <c r="BZ408" s="21" t="str">
        <f>IF([1]!BANCO10[[#This Row],[SOLUÇÃO]]=BZ$1,[1]!BANCO10[[#This Row],[STATUS DA ETAPA]],"")</f>
        <v/>
      </c>
      <c r="CA408" s="21" t="str">
        <f>IF([1]!BANCO10[[#This Row],[SOLUÇÃO]]=CA$1,[1]!BANCO10[[#This Row],[STATUS DA ETAPA]],"")</f>
        <v/>
      </c>
      <c r="CB408" s="21" t="str">
        <f>IF([1]!BANCO10[[#This Row],[SOLUÇÃO]]=CB$1,[1]!BANCO10[[#This Row],[STATUS DA ETAPA]],"")</f>
        <v/>
      </c>
      <c r="CC408" s="21" t="str">
        <f>IF([1]!BANCO10[[#This Row],[SOLUÇÃO]]=CC$1,[1]!BANCO10[[#This Row],[STATUS DA ETAPA]],"")</f>
        <v/>
      </c>
      <c r="CD408" s="21" t="str">
        <f>IF([1]!BANCO10[[#This Row],[SOLUÇÃO]]=CD$1,[1]!BANCO10[[#This Row],[STATUS DA ETAPA]],"")</f>
        <v/>
      </c>
      <c r="CE408" s="21" t="str">
        <f>IF([1]!BANCO10[[#This Row],[SOLUÇÃO]]=CE$1,[1]!BANCO10[[#This Row],[STATUS DA ETAPA]],"")</f>
        <v/>
      </c>
      <c r="CF408" s="21" t="str">
        <f>IF([1]!BANCO10[[#This Row],[SOLUÇÃO]]=CF$1,[1]!BANCO10[[#This Row],[STATUS DA ETAPA]],"")</f>
        <v/>
      </c>
      <c r="CG408" s="21" t="str">
        <f>IF([1]!BANCO10[[#This Row],[SOLUÇÃO]]=CG$1,[1]!BANCO10[[#This Row],[STATUS DA ETAPA]],"")</f>
        <v/>
      </c>
      <c r="CH408" s="21" t="str">
        <f>IF([1]!BANCO10[[#This Row],[SOLUÇÃO]]=CH$1,[1]!BANCO10[[#This Row],[STATUS DA ETAPA]],"")</f>
        <v/>
      </c>
      <c r="CI408" s="21" t="str">
        <f>IF([1]!BANCO10[[#This Row],[SOLUÇÃO]]=CI$1,[1]!BANCO10[[#This Row],[STATUS DA ETAPA]],"")</f>
        <v/>
      </c>
      <c r="CJ408" s="21" t="str">
        <f>IF([1]!BANCO10[[#This Row],[SOLUÇÃO]]=CJ$1,[1]!BANCO10[[#This Row],[STATUS DA ETAPA]],"")</f>
        <v/>
      </c>
      <c r="CK408" s="21" t="str">
        <f>IF([1]!BANCO10[[#This Row],[SOLUÇÃO]]=CK$1,[1]!BANCO10[[#This Row],[STATUS DA ETAPA]],"")</f>
        <v/>
      </c>
      <c r="CL408" s="22" t="str">
        <f>IF([1]!BANCO10[[#This Row],[SOLUÇÃO]]=CL$1,[1]!BANCO10[[#This Row],[STATUS DA ETAPA]],"")</f>
        <v/>
      </c>
      <c r="CM408" s="64" t="str">
        <f>IF([1]!BANCO10[[#This Row],[SOLUÇÃO]]=CM$1,[1]!BANCO10[[#This Row],[STATUS DA ETAPA]],"")</f>
        <v/>
      </c>
      <c r="CN408" s="64" t="str">
        <f>IF([1]!BANCO10[[#This Row],[SOLUÇÃO]]=CN$1,[1]!BANCO10[[#This Row],[STATUS DA ETAPA]],"")</f>
        <v/>
      </c>
      <c r="CO408" s="64" t="str">
        <f>IF([1]!BANCO10[[#This Row],[SOLUÇÃO]]=CO$1,[1]!BANCO10[[#This Row],[STATUS DA ETAPA]],"")</f>
        <v/>
      </c>
      <c r="CP408" s="64" t="str">
        <f>IF([1]!BANCO10[[#This Row],[SOLUÇÃO]]=CP$1,[1]!BANCO10[[#This Row],[STATUS DA ETAPA]],"")</f>
        <v/>
      </c>
      <c r="CQ408" s="64" t="str">
        <f>IF([1]!BANCO10[[#This Row],[SOLUÇÃO]]=CQ$1,[1]!BANCO10[[#This Row],[STATUS DA ETAPA]],"")</f>
        <v/>
      </c>
      <c r="CR408" s="64" t="str">
        <f>IF([1]!BANCO10[[#This Row],[SOLUÇÃO]]=CR$1,[1]!BANCO10[[#This Row],[STATUS DA ETAPA]],"")</f>
        <v/>
      </c>
      <c r="CS408" s="64" t="str">
        <f>IF([1]!BANCO10[[#This Row],[SOLUÇÃO]]=CS$1,[1]!BANCO10[[#This Row],[STATUS DA ETAPA]],"")</f>
        <v/>
      </c>
      <c r="CT408" s="64" t="str">
        <f>IF([1]!BANCO10[[#This Row],[SOLUÇÃO]]=CT$1,[1]!BANCO10[[#This Row],[STATUS DA ETAPA]],"")</f>
        <v/>
      </c>
      <c r="CU408" s="64" t="str">
        <f>IF([1]!BANCO10[[#This Row],[SOLUÇÃO]]=CU$1,[1]!BANCO10[[#This Row],[STATUS DA ETAPA]],"")</f>
        <v/>
      </c>
      <c r="CV408" s="64" t="str">
        <f>IF([1]!BANCO10[[#This Row],[SOLUÇÃO]]=CV$1,[1]!BANCO10[[#This Row],[STATUS DA ETAPA]],"")</f>
        <v/>
      </c>
    </row>
    <row r="409" spans="1:100">
      <c r="A409" s="44" t="s">
        <v>1</v>
      </c>
      <c r="B409" s="44"/>
      <c r="C409" s="44" t="s">
        <v>1</v>
      </c>
      <c r="D409" s="44"/>
      <c r="E409" s="44" t="s">
        <v>1</v>
      </c>
      <c r="F409" s="44"/>
      <c r="G409" s="44" t="s">
        <v>1</v>
      </c>
      <c r="H409" s="44"/>
      <c r="I409" s="45" t="s">
        <v>1</v>
      </c>
      <c r="J409" s="46"/>
      <c r="K409" s="45" t="s">
        <v>1</v>
      </c>
      <c r="L409" s="33"/>
      <c r="M409" s="45" t="s">
        <v>1</v>
      </c>
      <c r="N409" s="33"/>
      <c r="O409" s="44" t="s">
        <v>2</v>
      </c>
      <c r="P409" s="44">
        <v>45536</v>
      </c>
      <c r="Q409" s="44" t="s">
        <v>2</v>
      </c>
      <c r="R409" s="44">
        <v>45583</v>
      </c>
      <c r="S409" s="44" t="s">
        <v>2</v>
      </c>
      <c r="T409" s="44">
        <v>45594</v>
      </c>
      <c r="U409" s="44" t="s">
        <v>1</v>
      </c>
      <c r="V409" s="44"/>
      <c r="W409" s="44" t="s">
        <v>1</v>
      </c>
      <c r="X409" s="44"/>
      <c r="Y409" s="44" t="s">
        <v>1</v>
      </c>
      <c r="Z409" s="44"/>
      <c r="AA409" s="44" t="s">
        <v>1</v>
      </c>
      <c r="AB409" s="44"/>
      <c r="AC409" s="51">
        <v>45679</v>
      </c>
      <c r="AD409" s="50">
        <v>45812</v>
      </c>
      <c r="AE409" s="41" t="s">
        <v>2</v>
      </c>
      <c r="AF409" s="41" t="s">
        <v>2</v>
      </c>
      <c r="AG409" s="40" t="s">
        <v>5</v>
      </c>
      <c r="AH409" s="36" t="s">
        <v>0</v>
      </c>
      <c r="AI409" s="49">
        <v>0</v>
      </c>
      <c r="AJ409" s="36" t="s">
        <v>6</v>
      </c>
      <c r="AK409" s="10">
        <v>579252</v>
      </c>
      <c r="AL409" s="36" t="s">
        <v>1</v>
      </c>
      <c r="AM409" s="36" t="s">
        <v>1</v>
      </c>
      <c r="AN409" s="35" t="s">
        <v>2</v>
      </c>
      <c r="AO409" s="35" t="s">
        <v>2</v>
      </c>
      <c r="AP409" s="35" t="s">
        <v>2</v>
      </c>
      <c r="AQ409" s="35" t="s">
        <v>2</v>
      </c>
      <c r="AR409" s="34" t="s">
        <v>2</v>
      </c>
      <c r="AS409" s="33">
        <v>45804</v>
      </c>
      <c r="AT409" s="32" t="s">
        <v>1</v>
      </c>
      <c r="AU409" s="31"/>
      <c r="AV409" s="32" t="s">
        <v>1</v>
      </c>
      <c r="AW409" s="31"/>
      <c r="AX409" s="30" t="s">
        <v>2</v>
      </c>
      <c r="AY409" s="29">
        <v>45804</v>
      </c>
      <c r="AZ409" s="28" t="s">
        <v>0</v>
      </c>
      <c r="BA409" s="27"/>
      <c r="BB409" s="95" t="s">
        <v>143</v>
      </c>
      <c r="BC409" s="22">
        <v>0</v>
      </c>
      <c r="BD409" s="24"/>
      <c r="BE409" s="24"/>
      <c r="BF409" s="79"/>
      <c r="BG409" s="79"/>
      <c r="BH409" s="80"/>
      <c r="BI409" s="79"/>
      <c r="BJ409" s="54"/>
      <c r="BK409" s="78"/>
      <c r="BL409" s="69"/>
      <c r="BM409" s="78"/>
      <c r="BN409" s="78"/>
      <c r="BO409" s="78"/>
      <c r="BP409" s="78"/>
      <c r="BQ409" s="21">
        <f>YEAR([1]!BANCO10[[#This Row],[DATA INÍCIO]])</f>
        <v>2025</v>
      </c>
      <c r="BR409" s="21">
        <f>MONTH([1]!BANCO10[[#This Row],[DATA INÍCIO]])</f>
        <v>1</v>
      </c>
      <c r="BS409" s="21" t="e">
        <f>CONCATENATE(#REF!,#REF!)</f>
        <v>#REF!</v>
      </c>
      <c r="BT409" s="21"/>
      <c r="BU409" s="21"/>
      <c r="BV409" s="21" t="str">
        <f>IF([1]!BANCO10[[#This Row],[SOLUÇÃO]]=BV$1,[1]!BANCO10[[#This Row],[STATUS DA ETAPA]],"")</f>
        <v/>
      </c>
      <c r="BW409" s="21" t="str">
        <f>IF([1]!BANCO10[[#This Row],[SOLUÇÃO]]=BW$1,[1]!BANCO10[[#This Row],[STATUS DA ETAPA]],"")</f>
        <v/>
      </c>
      <c r="BX409" s="21" t="str">
        <f>IF([1]!BANCO10[[#This Row],[SOLUÇÃO]]=BX$1,[1]!BANCO10[[#This Row],[STATUS DA ETAPA]],"")</f>
        <v/>
      </c>
      <c r="BY409" s="21" t="str">
        <f>IF([1]!BANCO10[[#This Row],[SOLUÇÃO]]=BY$1,[1]!BANCO10[[#This Row],[STATUS DA ETAPA]],"")</f>
        <v/>
      </c>
      <c r="BZ409" s="21" t="str">
        <f>IF([1]!BANCO10[[#This Row],[SOLUÇÃO]]=BZ$1,[1]!BANCO10[[#This Row],[STATUS DA ETAPA]],"")</f>
        <v/>
      </c>
      <c r="CA409" s="21" t="str">
        <f>IF([1]!BANCO10[[#This Row],[SOLUÇÃO]]=CA$1,[1]!BANCO10[[#This Row],[STATUS DA ETAPA]],"")</f>
        <v/>
      </c>
      <c r="CB409" s="21" t="str">
        <f>IF([1]!BANCO10[[#This Row],[SOLUÇÃO]]=CB$1,[1]!BANCO10[[#This Row],[STATUS DA ETAPA]],"")</f>
        <v>CONCLUÍDO</v>
      </c>
      <c r="CC409" s="21" t="str">
        <f>IF([1]!BANCO10[[#This Row],[SOLUÇÃO]]=CC$1,[1]!BANCO10[[#This Row],[STATUS DA ETAPA]],"")</f>
        <v/>
      </c>
      <c r="CD409" s="21" t="str">
        <f>IF([1]!BANCO10[[#This Row],[SOLUÇÃO]]=CD$1,[1]!BANCO10[[#This Row],[STATUS DA ETAPA]],"")</f>
        <v/>
      </c>
      <c r="CE409" s="21" t="str">
        <f>IF([1]!BANCO10[[#This Row],[SOLUÇÃO]]=CE$1,[1]!BANCO10[[#This Row],[STATUS DA ETAPA]],"")</f>
        <v/>
      </c>
      <c r="CF409" s="21" t="str">
        <f>IF([1]!BANCO10[[#This Row],[SOLUÇÃO]]=CF$1,[1]!BANCO10[[#This Row],[STATUS DA ETAPA]],"")</f>
        <v/>
      </c>
      <c r="CG409" s="21" t="str">
        <f>IF([1]!BANCO10[[#This Row],[SOLUÇÃO]]=CG$1,[1]!BANCO10[[#This Row],[STATUS DA ETAPA]],"")</f>
        <v/>
      </c>
      <c r="CH409" s="21" t="str">
        <f>IF([1]!BANCO10[[#This Row],[SOLUÇÃO]]=CH$1,[1]!BANCO10[[#This Row],[STATUS DA ETAPA]],"")</f>
        <v/>
      </c>
      <c r="CI409" s="21" t="str">
        <f>IF([1]!BANCO10[[#This Row],[SOLUÇÃO]]=CI$1,[1]!BANCO10[[#This Row],[STATUS DA ETAPA]],"")</f>
        <v/>
      </c>
      <c r="CJ409" s="21" t="str">
        <f>IF([1]!BANCO10[[#This Row],[SOLUÇÃO]]=CJ$1,[1]!BANCO10[[#This Row],[STATUS DA ETAPA]],"")</f>
        <v/>
      </c>
      <c r="CK409" s="21" t="str">
        <f>IF([1]!BANCO10[[#This Row],[SOLUÇÃO]]=CK$1,[1]!BANCO10[[#This Row],[STATUS DA ETAPA]],"")</f>
        <v/>
      </c>
      <c r="CL409" s="22" t="str">
        <f>IF([1]!BANCO10[[#This Row],[SOLUÇÃO]]=CL$1,[1]!BANCO10[[#This Row],[STATUS DA ETAPA]],"")</f>
        <v/>
      </c>
      <c r="CM409" s="64" t="str">
        <f>IF([1]!BANCO10[[#This Row],[SOLUÇÃO]]=CM$1,[1]!BANCO10[[#This Row],[STATUS DA ETAPA]],"")</f>
        <v/>
      </c>
      <c r="CN409" s="64" t="str">
        <f>IF([1]!BANCO10[[#This Row],[SOLUÇÃO]]=CN$1,[1]!BANCO10[[#This Row],[STATUS DA ETAPA]],"")</f>
        <v/>
      </c>
      <c r="CO409" s="64" t="str">
        <f>IF([1]!BANCO10[[#This Row],[SOLUÇÃO]]=CO$1,[1]!BANCO10[[#This Row],[STATUS DA ETAPA]],"")</f>
        <v/>
      </c>
      <c r="CP409" s="64" t="str">
        <f>IF([1]!BANCO10[[#This Row],[SOLUÇÃO]]=CP$1,[1]!BANCO10[[#This Row],[STATUS DA ETAPA]],"")</f>
        <v/>
      </c>
      <c r="CQ409" s="64" t="str">
        <f>IF([1]!BANCO10[[#This Row],[SOLUÇÃO]]=CQ$1,[1]!BANCO10[[#This Row],[STATUS DA ETAPA]],"")</f>
        <v/>
      </c>
      <c r="CR409" s="64" t="str">
        <f>IF([1]!BANCO10[[#This Row],[SOLUÇÃO]]=CR$1,[1]!BANCO10[[#This Row],[STATUS DA ETAPA]],"")</f>
        <v/>
      </c>
      <c r="CS409" s="64" t="str">
        <f>IF([1]!BANCO10[[#This Row],[SOLUÇÃO]]=CS$1,[1]!BANCO10[[#This Row],[STATUS DA ETAPA]],"")</f>
        <v/>
      </c>
      <c r="CT409" s="64" t="str">
        <f>IF([1]!BANCO10[[#This Row],[SOLUÇÃO]]=CT$1,[1]!BANCO10[[#This Row],[STATUS DA ETAPA]],"")</f>
        <v/>
      </c>
      <c r="CU409" s="64" t="str">
        <f>IF([1]!BANCO10[[#This Row],[SOLUÇÃO]]=CU$1,[1]!BANCO10[[#This Row],[STATUS DA ETAPA]],"")</f>
        <v/>
      </c>
      <c r="CV409" s="64" t="str">
        <f>IF([1]!BANCO10[[#This Row],[SOLUÇÃO]]=CV$1,[1]!BANCO10[[#This Row],[STATUS DA ETAPA]],"")</f>
        <v/>
      </c>
    </row>
    <row r="410" spans="1:100">
      <c r="A410" s="44" t="s">
        <v>1</v>
      </c>
      <c r="B410" s="44"/>
      <c r="C410" s="44" t="s">
        <v>1</v>
      </c>
      <c r="D410" s="44"/>
      <c r="E410" s="44" t="s">
        <v>1</v>
      </c>
      <c r="F410" s="44"/>
      <c r="G410" s="44" t="s">
        <v>1</v>
      </c>
      <c r="H410" s="44"/>
      <c r="I410" s="45" t="s">
        <v>1</v>
      </c>
      <c r="J410" s="46"/>
      <c r="K410" s="45" t="s">
        <v>1</v>
      </c>
      <c r="L410" s="33"/>
      <c r="M410" s="45" t="s">
        <v>1</v>
      </c>
      <c r="N410" s="33"/>
      <c r="O410" s="44" t="s">
        <v>1</v>
      </c>
      <c r="P410" s="44"/>
      <c r="Q410" s="44" t="s">
        <v>1</v>
      </c>
      <c r="R410" s="44"/>
      <c r="S410" s="44" t="s">
        <v>1</v>
      </c>
      <c r="T410" s="44"/>
      <c r="U410" s="44" t="s">
        <v>1</v>
      </c>
      <c r="V410" s="44"/>
      <c r="W410" s="44" t="s">
        <v>1</v>
      </c>
      <c r="X410" s="44"/>
      <c r="Y410" s="44" t="s">
        <v>1</v>
      </c>
      <c r="Z410" s="44"/>
      <c r="AA410" s="44" t="s">
        <v>1</v>
      </c>
      <c r="AB410" s="44"/>
      <c r="AC410" s="51">
        <v>45807</v>
      </c>
      <c r="AD410" s="50">
        <v>45807</v>
      </c>
      <c r="AE410" s="41" t="s">
        <v>0</v>
      </c>
      <c r="AF410" s="41" t="s">
        <v>0</v>
      </c>
      <c r="AG410" s="40" t="s">
        <v>0</v>
      </c>
      <c r="AH410" s="36" t="s">
        <v>1</v>
      </c>
      <c r="AI410" s="49">
        <v>0</v>
      </c>
      <c r="AJ410" s="36" t="s">
        <v>1</v>
      </c>
      <c r="AK410" s="10" t="s">
        <v>1</v>
      </c>
      <c r="AL410" s="36" t="s">
        <v>1</v>
      </c>
      <c r="AM410" s="36" t="s">
        <v>1</v>
      </c>
      <c r="AN410" s="35" t="s">
        <v>0</v>
      </c>
      <c r="AO410" s="35" t="s">
        <v>0</v>
      </c>
      <c r="AP410" s="35" t="s">
        <v>0</v>
      </c>
      <c r="AQ410" s="35" t="s">
        <v>0</v>
      </c>
      <c r="AR410" s="34" t="s">
        <v>0</v>
      </c>
      <c r="AS410" s="33"/>
      <c r="AT410" s="32" t="s">
        <v>1</v>
      </c>
      <c r="AU410" s="31"/>
      <c r="AV410" s="32" t="s">
        <v>1</v>
      </c>
      <c r="AW410" s="31"/>
      <c r="AX410" s="32" t="s">
        <v>0</v>
      </c>
      <c r="AY410" s="31"/>
      <c r="AZ410" s="32" t="s">
        <v>0</v>
      </c>
      <c r="BA410" s="31"/>
      <c r="BB410" s="26"/>
      <c r="BC410" s="25"/>
      <c r="BD410" s="24"/>
      <c r="BE410" s="24"/>
      <c r="BF410" s="24"/>
      <c r="BG410" s="24"/>
      <c r="BH410" s="24"/>
      <c r="BI410" s="24"/>
      <c r="BJ410" s="24"/>
      <c r="BK410" s="24"/>
      <c r="BL410" s="24"/>
      <c r="BM410" s="24"/>
      <c r="BN410" s="24"/>
      <c r="BO410" s="24"/>
      <c r="BP410" s="24"/>
      <c r="BQ410" s="22">
        <f>YEAR([1]!BANCO10[[#This Row],[DATA INÍCIO]])</f>
        <v>2025</v>
      </c>
      <c r="BR410" s="22">
        <f>MONTH([1]!BANCO10[[#This Row],[DATA INÍCIO]])</f>
        <v>5</v>
      </c>
      <c r="BS410" s="23" t="e">
        <f>CONCATENATE(#REF!,#REF!)</f>
        <v>#REF!</v>
      </c>
      <c r="BT410" s="22"/>
      <c r="BU410" s="22"/>
      <c r="BV410" s="21" t="str">
        <f>IF([1]!BANCO10[[#This Row],[SOLUÇÃO]]=BV$1,[1]!BANCO10[[#This Row],[STATUS DA ETAPA]],"")</f>
        <v/>
      </c>
      <c r="BW410" s="21" t="str">
        <f>IF([1]!BANCO10[[#This Row],[SOLUÇÃO]]=BW$1,[1]!BANCO10[[#This Row],[STATUS DA ETAPA]],"")</f>
        <v/>
      </c>
      <c r="BX410" s="21" t="str">
        <f>IF([1]!BANCO10[[#This Row],[SOLUÇÃO]]=BX$1,[1]!BANCO10[[#This Row],[STATUS DA ETAPA]],"")</f>
        <v/>
      </c>
      <c r="BY410" s="21" t="str">
        <f>IF([1]!BANCO10[[#This Row],[SOLUÇÃO]]=BY$1,[1]!BANCO10[[#This Row],[STATUS DA ETAPA]],"")</f>
        <v/>
      </c>
      <c r="BZ410" s="21" t="str">
        <f>IF([1]!BANCO10[[#This Row],[SOLUÇÃO]]=BZ$1,[1]!BANCO10[[#This Row],[STATUS DA ETAPA]],"")</f>
        <v/>
      </c>
      <c r="CA410" s="21" t="str">
        <f>IF([1]!BANCO10[[#This Row],[SOLUÇÃO]]=CA$1,[1]!BANCO10[[#This Row],[STATUS DA ETAPA]],"")</f>
        <v/>
      </c>
      <c r="CB410" s="21" t="str">
        <f>IF([1]!BANCO10[[#This Row],[SOLUÇÃO]]=CB$1,[1]!BANCO10[[#This Row],[STATUS DA ETAPA]],"")</f>
        <v/>
      </c>
      <c r="CC410" s="21" t="str">
        <f>IF([1]!BANCO10[[#This Row],[SOLUÇÃO]]=CC$1,[1]!BANCO10[[#This Row],[STATUS DA ETAPA]],"")</f>
        <v/>
      </c>
      <c r="CD410" s="21" t="str">
        <f>IF([1]!BANCO10[[#This Row],[SOLUÇÃO]]=CD$1,[1]!BANCO10[[#This Row],[STATUS DA ETAPA]],"")</f>
        <v/>
      </c>
      <c r="CE410" s="21" t="str">
        <f>IF([1]!BANCO10[[#This Row],[SOLUÇÃO]]=CE$1,[1]!BANCO10[[#This Row],[STATUS DA ETAPA]],"")</f>
        <v/>
      </c>
      <c r="CF410" s="21" t="str">
        <f>IF([1]!BANCO10[[#This Row],[SOLUÇÃO]]=CF$1,[1]!BANCO10[[#This Row],[STATUS DA ETAPA]],"")</f>
        <v/>
      </c>
      <c r="CG410" s="21" t="str">
        <f>IF([1]!BANCO10[[#This Row],[SOLUÇÃO]]=CG$1,[1]!BANCO10[[#This Row],[STATUS DA ETAPA]],"")</f>
        <v/>
      </c>
      <c r="CH410" s="21" t="str">
        <f>IF([1]!BANCO10[[#This Row],[SOLUÇÃO]]=CH$1,[1]!BANCO10[[#This Row],[STATUS DA ETAPA]],"")</f>
        <v/>
      </c>
      <c r="CI410" s="21" t="str">
        <f>IF([1]!BANCO10[[#This Row],[SOLUÇÃO]]=CI$1,[1]!BANCO10[[#This Row],[STATUS DA ETAPA]],"")</f>
        <v/>
      </c>
      <c r="CJ410" s="21" t="str">
        <f>IF([1]!BANCO10[[#This Row],[SOLUÇÃO]]=CJ$1,[1]!BANCO10[[#This Row],[STATUS DA ETAPA]],"")</f>
        <v/>
      </c>
      <c r="CK410" s="21" t="str">
        <f>IF([1]!BANCO10[[#This Row],[SOLUÇÃO]]=CK$1,[1]!BANCO10[[#This Row],[STATUS DA ETAPA]],"")</f>
        <v/>
      </c>
      <c r="CL410" s="21" t="str">
        <f>IF([1]!BANCO10[[#This Row],[SOLUÇÃO]]=CL$1,[1]!BANCO10[[#This Row],[STATUS DA ETAPA]],"")</f>
        <v/>
      </c>
      <c r="CM410" s="21" t="str">
        <f>IF([1]!BANCO10[[#This Row],[SOLUÇÃO]]=CM$1,[1]!BANCO10[[#This Row],[STATUS DA ETAPA]],"")</f>
        <v/>
      </c>
      <c r="CN410" s="21" t="str">
        <f>IF([1]!BANCO10[[#This Row],[SOLUÇÃO]]=CN$1,[1]!BANCO10[[#This Row],[STATUS DA ETAPA]],"")</f>
        <v/>
      </c>
      <c r="CO410" s="21" t="str">
        <f>IF([1]!BANCO10[[#This Row],[SOLUÇÃO]]=CO$1,[1]!BANCO10[[#This Row],[STATUS DA ETAPA]],"")</f>
        <v/>
      </c>
      <c r="CP410" s="21" t="str">
        <f>IF([1]!BANCO10[[#This Row],[SOLUÇÃO]]=CP$1,[1]!BANCO10[[#This Row],[STATUS DA ETAPA]],"")</f>
        <v/>
      </c>
      <c r="CQ410" s="21" t="str">
        <f>IF([1]!BANCO10[[#This Row],[SOLUÇÃO]]=CQ$1,[1]!BANCO10[[#This Row],[STATUS DA ETAPA]],"")</f>
        <v/>
      </c>
      <c r="CR410" s="21" t="str">
        <f>IF([1]!BANCO10[[#This Row],[SOLUÇÃO]]=CR$1,[1]!BANCO10[[#This Row],[STATUS DA ETAPA]],"")</f>
        <v/>
      </c>
      <c r="CS410" s="21" t="str">
        <f>IF([1]!BANCO10[[#This Row],[SOLUÇÃO]]=CS$1,[1]!BANCO10[[#This Row],[STATUS DA ETAPA]],"")</f>
        <v/>
      </c>
      <c r="CT410" s="21" t="str">
        <f>IF([1]!BANCO10[[#This Row],[SOLUÇÃO]]=CT$1,[1]!BANCO10[[#This Row],[STATUS DA ETAPA]],"")</f>
        <v/>
      </c>
      <c r="CU410" s="21" t="str">
        <f>IF([1]!BANCO10[[#This Row],[SOLUÇÃO]]=CU$1,[1]!BANCO10[[#This Row],[STATUS DA ETAPA]],"")</f>
        <v/>
      </c>
      <c r="CV410" s="21" t="str">
        <f>IF([1]!BANCO10[[#This Row],[SOLUÇÃO]]=CV$1,[1]!BANCO10[[#This Row],[STATUS DA ETAPA]],"")</f>
        <v/>
      </c>
    </row>
    <row r="411" spans="1:100">
      <c r="A411" s="44" t="s">
        <v>1</v>
      </c>
      <c r="B411" s="44"/>
      <c r="C411" s="44" t="s">
        <v>1</v>
      </c>
      <c r="D411" s="44"/>
      <c r="E411" s="44" t="s">
        <v>1</v>
      </c>
      <c r="F411" s="44"/>
      <c r="G411" s="44" t="s">
        <v>1</v>
      </c>
      <c r="H411" s="44"/>
      <c r="I411" s="45" t="s">
        <v>1</v>
      </c>
      <c r="J411" s="46"/>
      <c r="K411" s="45" t="s">
        <v>1</v>
      </c>
      <c r="L411" s="33"/>
      <c r="M411" s="45" t="s">
        <v>1</v>
      </c>
      <c r="N411" s="33"/>
      <c r="O411" s="44"/>
      <c r="P411" s="44"/>
      <c r="Q411" s="44"/>
      <c r="R411" s="44"/>
      <c r="S411" s="44"/>
      <c r="T411" s="44"/>
      <c r="U411" s="44"/>
      <c r="V411" s="44"/>
      <c r="W411" s="44"/>
      <c r="X411" s="44"/>
      <c r="Y411" s="44"/>
      <c r="Z411" s="44"/>
      <c r="AA411" s="44"/>
      <c r="AB411" s="44"/>
      <c r="AC411" s="51">
        <v>45963</v>
      </c>
      <c r="AD411" s="50">
        <v>45963</v>
      </c>
      <c r="AE411" s="41" t="s">
        <v>1</v>
      </c>
      <c r="AF411" s="41" t="s">
        <v>1</v>
      </c>
      <c r="AG411" s="40" t="s">
        <v>1</v>
      </c>
      <c r="AH411" s="36" t="s">
        <v>1</v>
      </c>
      <c r="AI411" s="49">
        <v>0</v>
      </c>
      <c r="AJ411" s="36" t="s">
        <v>1</v>
      </c>
      <c r="AK411" s="10" t="s">
        <v>1</v>
      </c>
      <c r="AL411" s="36" t="s">
        <v>1</v>
      </c>
      <c r="AM411" s="36" t="s">
        <v>1</v>
      </c>
      <c r="AN411" s="35" t="s">
        <v>1</v>
      </c>
      <c r="AO411" s="35" t="s">
        <v>1</v>
      </c>
      <c r="AP411" s="35" t="s">
        <v>1</v>
      </c>
      <c r="AQ411" s="35" t="s">
        <v>1</v>
      </c>
      <c r="AR411" s="34" t="s">
        <v>1</v>
      </c>
      <c r="AS411" s="33"/>
      <c r="AT411" s="32" t="s">
        <v>1</v>
      </c>
      <c r="AU411" s="31"/>
      <c r="AV411" s="32" t="s">
        <v>1</v>
      </c>
      <c r="AW411" s="31"/>
      <c r="AX411" s="30" t="s">
        <v>1</v>
      </c>
      <c r="AY411" s="29"/>
      <c r="AZ411" s="28" t="s">
        <v>1</v>
      </c>
      <c r="BA411" s="27"/>
      <c r="BB411" s="39" t="s">
        <v>476</v>
      </c>
      <c r="BC411" s="25"/>
      <c r="BD411" s="24"/>
      <c r="BE411" s="24"/>
      <c r="BF411" s="24"/>
      <c r="BG411" s="24"/>
      <c r="BH411" s="24"/>
      <c r="BI411" s="24"/>
      <c r="BJ411" s="24"/>
      <c r="BK411" s="24"/>
      <c r="BL411" s="24"/>
      <c r="BM411" s="24"/>
      <c r="BN411" s="24"/>
      <c r="BO411" s="24"/>
      <c r="BP411" s="24"/>
      <c r="BQ411" s="22">
        <f>YEAR([1]!BANCO10[[#This Row],[DATA INÍCIO]])</f>
        <v>2025</v>
      </c>
      <c r="BR411" s="22">
        <f>MONTH([1]!BANCO10[[#This Row],[DATA INÍCIO]])</f>
        <v>11</v>
      </c>
      <c r="BS411" s="23" t="e">
        <f>CONCATENATE(#REF!,#REF!)</f>
        <v>#REF!</v>
      </c>
      <c r="BT411" s="22"/>
      <c r="BU411" s="22"/>
      <c r="BV411" s="21" t="str">
        <f>IF([1]!BANCO10[[#This Row],[SOLUÇÃO]]=BV$1,[1]!BANCO10[[#This Row],[STATUS DA ETAPA]],"")</f>
        <v/>
      </c>
      <c r="BW411" s="21" t="str">
        <f>IF([1]!BANCO10[[#This Row],[SOLUÇÃO]]=BW$1,[1]!BANCO10[[#This Row],[STATUS DA ETAPA]],"")</f>
        <v>CANCELADO</v>
      </c>
      <c r="BX411" s="21" t="str">
        <f>IF([1]!BANCO10[[#This Row],[SOLUÇÃO]]=BX$1,[1]!BANCO10[[#This Row],[STATUS DA ETAPA]],"")</f>
        <v/>
      </c>
      <c r="BY411" s="21" t="str">
        <f>IF([1]!BANCO10[[#This Row],[SOLUÇÃO]]=BY$1,[1]!BANCO10[[#This Row],[STATUS DA ETAPA]],"")</f>
        <v/>
      </c>
      <c r="BZ411" s="21" t="str">
        <f>IF([1]!BANCO10[[#This Row],[SOLUÇÃO]]=BZ$1,[1]!BANCO10[[#This Row],[STATUS DA ETAPA]],"")</f>
        <v/>
      </c>
      <c r="CA411" s="21" t="str">
        <f>IF([1]!BANCO10[[#This Row],[SOLUÇÃO]]=CA$1,[1]!BANCO10[[#This Row],[STATUS DA ETAPA]],"")</f>
        <v/>
      </c>
      <c r="CB411" s="21" t="str">
        <f>IF([1]!BANCO10[[#This Row],[SOLUÇÃO]]=CB$1,[1]!BANCO10[[#This Row],[STATUS DA ETAPA]],"")</f>
        <v/>
      </c>
      <c r="CC411" s="21" t="str">
        <f>IF([1]!BANCO10[[#This Row],[SOLUÇÃO]]=CC$1,[1]!BANCO10[[#This Row],[STATUS DA ETAPA]],"")</f>
        <v/>
      </c>
      <c r="CD411" s="21" t="str">
        <f>IF([1]!BANCO10[[#This Row],[SOLUÇÃO]]=CD$1,[1]!BANCO10[[#This Row],[STATUS DA ETAPA]],"")</f>
        <v/>
      </c>
      <c r="CE411" s="21" t="str">
        <f>IF([1]!BANCO10[[#This Row],[SOLUÇÃO]]=CE$1,[1]!BANCO10[[#This Row],[STATUS DA ETAPA]],"")</f>
        <v/>
      </c>
      <c r="CF411" s="21" t="str">
        <f>IF([1]!BANCO10[[#This Row],[SOLUÇÃO]]=CF$1,[1]!BANCO10[[#This Row],[STATUS DA ETAPA]],"")</f>
        <v/>
      </c>
      <c r="CG411" s="21" t="str">
        <f>IF([1]!BANCO10[[#This Row],[SOLUÇÃO]]=CG$1,[1]!BANCO10[[#This Row],[STATUS DA ETAPA]],"")</f>
        <v/>
      </c>
      <c r="CH411" s="21" t="str">
        <f>IF([1]!BANCO10[[#This Row],[SOLUÇÃO]]=CH$1,[1]!BANCO10[[#This Row],[STATUS DA ETAPA]],"")</f>
        <v/>
      </c>
      <c r="CI411" s="21" t="str">
        <f>IF([1]!BANCO10[[#This Row],[SOLUÇÃO]]=CI$1,[1]!BANCO10[[#This Row],[STATUS DA ETAPA]],"")</f>
        <v/>
      </c>
      <c r="CJ411" s="21" t="str">
        <f>IF([1]!BANCO10[[#This Row],[SOLUÇÃO]]=CJ$1,[1]!BANCO10[[#This Row],[STATUS DA ETAPA]],"")</f>
        <v/>
      </c>
      <c r="CK411" s="21" t="str">
        <f>IF([1]!BANCO10[[#This Row],[SOLUÇÃO]]=CK$1,[1]!BANCO10[[#This Row],[STATUS DA ETAPA]],"")</f>
        <v/>
      </c>
      <c r="CL411" s="21" t="str">
        <f>IF([1]!BANCO10[[#This Row],[SOLUÇÃO]]=CL$1,[1]!BANCO10[[#This Row],[STATUS DA ETAPA]],"")</f>
        <v/>
      </c>
      <c r="CM411" s="21" t="str">
        <f>IF([1]!BANCO10[[#This Row],[SOLUÇÃO]]=CM$1,[1]!BANCO10[[#This Row],[STATUS DA ETAPA]],"")</f>
        <v/>
      </c>
      <c r="CN411" s="21" t="str">
        <f>IF([1]!BANCO10[[#This Row],[SOLUÇÃO]]=CN$1,[1]!BANCO10[[#This Row],[STATUS DA ETAPA]],"")</f>
        <v/>
      </c>
      <c r="CO411" s="21" t="str">
        <f>IF([1]!BANCO10[[#This Row],[SOLUÇÃO]]=CO$1,[1]!BANCO10[[#This Row],[STATUS DA ETAPA]],"")</f>
        <v/>
      </c>
      <c r="CP411" s="21" t="str">
        <f>IF([1]!BANCO10[[#This Row],[SOLUÇÃO]]=CP$1,[1]!BANCO10[[#This Row],[STATUS DA ETAPA]],"")</f>
        <v/>
      </c>
      <c r="CQ411" s="21" t="str">
        <f>IF([1]!BANCO10[[#This Row],[SOLUÇÃO]]=CQ$1,[1]!BANCO10[[#This Row],[STATUS DA ETAPA]],"")</f>
        <v/>
      </c>
      <c r="CR411" s="21" t="str">
        <f>IF([1]!BANCO10[[#This Row],[SOLUÇÃO]]=CR$1,[1]!BANCO10[[#This Row],[STATUS DA ETAPA]],"")</f>
        <v/>
      </c>
      <c r="CS411" s="21" t="str">
        <f>IF([1]!BANCO10[[#This Row],[SOLUÇÃO]]=CS$1,[1]!BANCO10[[#This Row],[STATUS DA ETAPA]],"")</f>
        <v/>
      </c>
      <c r="CT411" s="21" t="str">
        <f>IF([1]!BANCO10[[#This Row],[SOLUÇÃO]]=CT$1,[1]!BANCO10[[#This Row],[STATUS DA ETAPA]],"")</f>
        <v/>
      </c>
      <c r="CU411" s="21" t="str">
        <f>IF([1]!BANCO10[[#This Row],[SOLUÇÃO]]=CU$1,[1]!BANCO10[[#This Row],[STATUS DA ETAPA]],"")</f>
        <v/>
      </c>
      <c r="CV411" s="21" t="str">
        <f>IF([1]!BANCO10[[#This Row],[SOLUÇÃO]]=CV$1,[1]!BANCO10[[#This Row],[STATUS DA ETAPA]],"")</f>
        <v/>
      </c>
    </row>
    <row r="412" spans="1:100">
      <c r="A412" s="44" t="s">
        <v>1</v>
      </c>
      <c r="B412" s="44"/>
      <c r="C412" s="44" t="s">
        <v>1</v>
      </c>
      <c r="D412" s="44"/>
      <c r="E412" s="44" t="s">
        <v>1</v>
      </c>
      <c r="F412" s="44"/>
      <c r="G412" s="44" t="s">
        <v>1</v>
      </c>
      <c r="H412" s="44"/>
      <c r="I412" s="45" t="s">
        <v>1</v>
      </c>
      <c r="J412" s="46"/>
      <c r="K412" s="45" t="s">
        <v>1</v>
      </c>
      <c r="L412" s="33"/>
      <c r="M412" s="45" t="s">
        <v>1</v>
      </c>
      <c r="N412" s="33"/>
      <c r="O412" s="44" t="s">
        <v>1</v>
      </c>
      <c r="P412" s="44"/>
      <c r="Q412" s="44" t="s">
        <v>1</v>
      </c>
      <c r="R412" s="44"/>
      <c r="S412" s="44" t="s">
        <v>1</v>
      </c>
      <c r="T412" s="44"/>
      <c r="U412" s="44"/>
      <c r="V412" s="44"/>
      <c r="W412" s="44"/>
      <c r="X412" s="44"/>
      <c r="Y412" s="44"/>
      <c r="Z412" s="44"/>
      <c r="AA412" s="44"/>
      <c r="AB412" s="44"/>
      <c r="AC412" s="51">
        <v>45963</v>
      </c>
      <c r="AD412" s="50">
        <v>45963</v>
      </c>
      <c r="AE412" s="41" t="s">
        <v>1</v>
      </c>
      <c r="AF412" s="41" t="s">
        <v>1</v>
      </c>
      <c r="AG412" s="40" t="s">
        <v>1</v>
      </c>
      <c r="AH412" s="36" t="s">
        <v>1</v>
      </c>
      <c r="AI412" s="49">
        <v>0</v>
      </c>
      <c r="AJ412" s="36" t="s">
        <v>1</v>
      </c>
      <c r="AK412" s="10" t="s">
        <v>1</v>
      </c>
      <c r="AL412" s="36" t="s">
        <v>1</v>
      </c>
      <c r="AM412" s="36" t="s">
        <v>1</v>
      </c>
      <c r="AN412" s="35" t="s">
        <v>1</v>
      </c>
      <c r="AO412" s="35" t="s">
        <v>1</v>
      </c>
      <c r="AP412" s="35" t="s">
        <v>1</v>
      </c>
      <c r="AQ412" s="35" t="s">
        <v>1</v>
      </c>
      <c r="AR412" s="34" t="s">
        <v>1</v>
      </c>
      <c r="AS412" s="33"/>
      <c r="AT412" s="32" t="s">
        <v>1</v>
      </c>
      <c r="AU412" s="31"/>
      <c r="AV412" s="32" t="s">
        <v>1</v>
      </c>
      <c r="AW412" s="31"/>
      <c r="AX412" s="30" t="s">
        <v>1</v>
      </c>
      <c r="AY412" s="29"/>
      <c r="AZ412" s="28" t="s">
        <v>1</v>
      </c>
      <c r="BA412" s="27"/>
      <c r="BB412" s="39">
        <v>45834</v>
      </c>
      <c r="BC412" s="25" t="s">
        <v>475</v>
      </c>
      <c r="BD412" s="24"/>
      <c r="BE412" s="24"/>
      <c r="BF412" s="24"/>
      <c r="BG412" s="24"/>
      <c r="BH412" s="24"/>
      <c r="BI412" s="24"/>
      <c r="BJ412" s="24"/>
      <c r="BK412" s="24"/>
      <c r="BL412" s="24"/>
      <c r="BM412" s="24"/>
      <c r="BN412" s="24"/>
      <c r="BO412" s="24"/>
      <c r="BP412" s="24"/>
      <c r="BQ412" s="22">
        <f>YEAR([1]!BANCO10[[#This Row],[DATA INÍCIO]])</f>
        <v>2025</v>
      </c>
      <c r="BR412" s="22">
        <f>MONTH([1]!BANCO10[[#This Row],[DATA INÍCIO]])</f>
        <v>11</v>
      </c>
      <c r="BS412" s="23" t="e">
        <f>CONCATENATE(#REF!,#REF!)</f>
        <v>#REF!</v>
      </c>
      <c r="BT412" s="22"/>
      <c r="BU412" s="22"/>
      <c r="BV412" s="21" t="str">
        <f>IF([1]!BANCO10[[#This Row],[SOLUÇÃO]]=BV$1,[1]!BANCO10[[#This Row],[STATUS DA ETAPA]],"")</f>
        <v/>
      </c>
      <c r="BW412" s="21" t="str">
        <f>IF([1]!BANCO10[[#This Row],[SOLUÇÃO]]=BW$1,[1]!BANCO10[[#This Row],[STATUS DA ETAPA]],"")</f>
        <v/>
      </c>
      <c r="BX412" s="21" t="str">
        <f>IF([1]!BANCO10[[#This Row],[SOLUÇÃO]]=BX$1,[1]!BANCO10[[#This Row],[STATUS DA ETAPA]],"")</f>
        <v>CANCELADO</v>
      </c>
      <c r="BY412" s="21" t="str">
        <f>IF([1]!BANCO10[[#This Row],[SOLUÇÃO]]=BY$1,[1]!BANCO10[[#This Row],[STATUS DA ETAPA]],"")</f>
        <v/>
      </c>
      <c r="BZ412" s="21" t="str">
        <f>IF([1]!BANCO10[[#This Row],[SOLUÇÃO]]=BZ$1,[1]!BANCO10[[#This Row],[STATUS DA ETAPA]],"")</f>
        <v/>
      </c>
      <c r="CA412" s="21" t="str">
        <f>IF([1]!BANCO10[[#This Row],[SOLUÇÃO]]=CA$1,[1]!BANCO10[[#This Row],[STATUS DA ETAPA]],"")</f>
        <v/>
      </c>
      <c r="CB412" s="21" t="str">
        <f>IF([1]!BANCO10[[#This Row],[SOLUÇÃO]]=CB$1,[1]!BANCO10[[#This Row],[STATUS DA ETAPA]],"")</f>
        <v/>
      </c>
      <c r="CC412" s="21" t="str">
        <f>IF([1]!BANCO10[[#This Row],[SOLUÇÃO]]=CC$1,[1]!BANCO10[[#This Row],[STATUS DA ETAPA]],"")</f>
        <v/>
      </c>
      <c r="CD412" s="21" t="str">
        <f>IF([1]!BANCO10[[#This Row],[SOLUÇÃO]]=CD$1,[1]!BANCO10[[#This Row],[STATUS DA ETAPA]],"")</f>
        <v/>
      </c>
      <c r="CE412" s="21" t="str">
        <f>IF([1]!BANCO10[[#This Row],[SOLUÇÃO]]=CE$1,[1]!BANCO10[[#This Row],[STATUS DA ETAPA]],"")</f>
        <v/>
      </c>
      <c r="CF412" s="21" t="str">
        <f>IF([1]!BANCO10[[#This Row],[SOLUÇÃO]]=CF$1,[1]!BANCO10[[#This Row],[STATUS DA ETAPA]],"")</f>
        <v/>
      </c>
      <c r="CG412" s="21" t="str">
        <f>IF([1]!BANCO10[[#This Row],[SOLUÇÃO]]=CG$1,[1]!BANCO10[[#This Row],[STATUS DA ETAPA]],"")</f>
        <v/>
      </c>
      <c r="CH412" s="21" t="str">
        <f>IF([1]!BANCO10[[#This Row],[SOLUÇÃO]]=CH$1,[1]!BANCO10[[#This Row],[STATUS DA ETAPA]],"")</f>
        <v/>
      </c>
      <c r="CI412" s="21" t="str">
        <f>IF([1]!BANCO10[[#This Row],[SOLUÇÃO]]=CI$1,[1]!BANCO10[[#This Row],[STATUS DA ETAPA]],"")</f>
        <v/>
      </c>
      <c r="CJ412" s="21" t="str">
        <f>IF([1]!BANCO10[[#This Row],[SOLUÇÃO]]=CJ$1,[1]!BANCO10[[#This Row],[STATUS DA ETAPA]],"")</f>
        <v/>
      </c>
      <c r="CK412" s="21" t="str">
        <f>IF([1]!BANCO10[[#This Row],[SOLUÇÃO]]=CK$1,[1]!BANCO10[[#This Row],[STATUS DA ETAPA]],"")</f>
        <v/>
      </c>
      <c r="CL412" s="21" t="str">
        <f>IF([1]!BANCO10[[#This Row],[SOLUÇÃO]]=CL$1,[1]!BANCO10[[#This Row],[STATUS DA ETAPA]],"")</f>
        <v/>
      </c>
      <c r="CM412" s="21" t="str">
        <f>IF([1]!BANCO10[[#This Row],[SOLUÇÃO]]=CM$1,[1]!BANCO10[[#This Row],[STATUS DA ETAPA]],"")</f>
        <v/>
      </c>
      <c r="CN412" s="21" t="str">
        <f>IF([1]!BANCO10[[#This Row],[SOLUÇÃO]]=CN$1,[1]!BANCO10[[#This Row],[STATUS DA ETAPA]],"")</f>
        <v/>
      </c>
      <c r="CO412" s="21" t="str">
        <f>IF([1]!BANCO10[[#This Row],[SOLUÇÃO]]=CO$1,[1]!BANCO10[[#This Row],[STATUS DA ETAPA]],"")</f>
        <v/>
      </c>
      <c r="CP412" s="21" t="str">
        <f>IF([1]!BANCO10[[#This Row],[SOLUÇÃO]]=CP$1,[1]!BANCO10[[#This Row],[STATUS DA ETAPA]],"")</f>
        <v/>
      </c>
      <c r="CQ412" s="21" t="str">
        <f>IF([1]!BANCO10[[#This Row],[SOLUÇÃO]]=CQ$1,[1]!BANCO10[[#This Row],[STATUS DA ETAPA]],"")</f>
        <v/>
      </c>
      <c r="CR412" s="21" t="str">
        <f>IF([1]!BANCO10[[#This Row],[SOLUÇÃO]]=CR$1,[1]!BANCO10[[#This Row],[STATUS DA ETAPA]],"")</f>
        <v/>
      </c>
      <c r="CS412" s="21" t="str">
        <f>IF([1]!BANCO10[[#This Row],[SOLUÇÃO]]=CS$1,[1]!BANCO10[[#This Row],[STATUS DA ETAPA]],"")</f>
        <v/>
      </c>
      <c r="CT412" s="21" t="str">
        <f>IF([1]!BANCO10[[#This Row],[SOLUÇÃO]]=CT$1,[1]!BANCO10[[#This Row],[STATUS DA ETAPA]],"")</f>
        <v/>
      </c>
      <c r="CU412" s="21" t="str">
        <f>IF([1]!BANCO10[[#This Row],[SOLUÇÃO]]=CU$1,[1]!BANCO10[[#This Row],[STATUS DA ETAPA]],"")</f>
        <v/>
      </c>
      <c r="CV412" s="21" t="str">
        <f>IF([1]!BANCO10[[#This Row],[SOLUÇÃO]]=CV$1,[1]!BANCO10[[#This Row],[STATUS DA ETAPA]],"")</f>
        <v/>
      </c>
    </row>
    <row r="413" spans="1:100">
      <c r="A413" s="44" t="s">
        <v>1</v>
      </c>
      <c r="B413" s="44"/>
      <c r="C413" s="44" t="s">
        <v>1</v>
      </c>
      <c r="D413" s="44"/>
      <c r="E413" s="44" t="s">
        <v>1</v>
      </c>
      <c r="F413" s="44"/>
      <c r="G413" s="44" t="s">
        <v>1</v>
      </c>
      <c r="H413" s="44"/>
      <c r="I413" s="45" t="s">
        <v>1</v>
      </c>
      <c r="J413" s="46"/>
      <c r="K413" s="45" t="s">
        <v>1</v>
      </c>
      <c r="L413" s="33"/>
      <c r="M413" s="45" t="s">
        <v>1</v>
      </c>
      <c r="N413" s="33"/>
      <c r="O413" s="44" t="s">
        <v>2</v>
      </c>
      <c r="P413" s="44">
        <v>44927</v>
      </c>
      <c r="Q413" s="44" t="s">
        <v>2</v>
      </c>
      <c r="R413" s="44">
        <v>44927</v>
      </c>
      <c r="S413" s="44" t="s">
        <v>2</v>
      </c>
      <c r="T413" s="44"/>
      <c r="U413" s="44" t="s">
        <v>2</v>
      </c>
      <c r="V413" s="44">
        <v>44927</v>
      </c>
      <c r="W413" s="44" t="s">
        <v>2</v>
      </c>
      <c r="X413" s="44">
        <v>44927</v>
      </c>
      <c r="Y413" s="44" t="s">
        <v>2</v>
      </c>
      <c r="Z413" s="44">
        <v>44927</v>
      </c>
      <c r="AA413" s="44" t="s">
        <v>1</v>
      </c>
      <c r="AB413" s="44"/>
      <c r="AC413" s="51">
        <v>45963</v>
      </c>
      <c r="AD413" s="50">
        <v>45963</v>
      </c>
      <c r="AE413" s="41" t="s">
        <v>1</v>
      </c>
      <c r="AF413" s="41" t="s">
        <v>1</v>
      </c>
      <c r="AG413" s="76" t="s">
        <v>5</v>
      </c>
      <c r="AH413" s="36" t="s">
        <v>0</v>
      </c>
      <c r="AI413" s="49">
        <v>0</v>
      </c>
      <c r="AJ413" s="36"/>
      <c r="AK413" s="10" t="s">
        <v>30</v>
      </c>
      <c r="AL413" s="36" t="s">
        <v>30</v>
      </c>
      <c r="AM413" s="36" t="s">
        <v>30</v>
      </c>
      <c r="AN413" s="35" t="s">
        <v>1</v>
      </c>
      <c r="AO413" s="35" t="s">
        <v>1</v>
      </c>
      <c r="AP413" s="35"/>
      <c r="AQ413" s="35" t="s">
        <v>1</v>
      </c>
      <c r="AR413" s="34" t="s">
        <v>1</v>
      </c>
      <c r="AS413" s="33"/>
      <c r="AT413" s="32"/>
      <c r="AU413" s="31"/>
      <c r="AV413" s="32"/>
      <c r="AW413" s="31"/>
      <c r="AX413" s="30" t="s">
        <v>0</v>
      </c>
      <c r="AY413" s="29"/>
      <c r="AZ413" s="28" t="s">
        <v>0</v>
      </c>
      <c r="BA413" s="27"/>
      <c r="BB413" s="74"/>
      <c r="BC413" s="25"/>
      <c r="BD413" s="24"/>
      <c r="BE413" s="24"/>
      <c r="BF413" s="24"/>
      <c r="BG413" s="24"/>
      <c r="BH413" s="130"/>
      <c r="BI413" s="24"/>
      <c r="BJ413" s="24"/>
      <c r="BK413" s="24"/>
      <c r="BL413" s="24"/>
      <c r="BM413" s="24"/>
      <c r="BN413" s="24"/>
      <c r="BO413" s="24"/>
      <c r="BP413" s="24"/>
      <c r="BQ413" s="22">
        <f>YEAR([1]!BANCO10[[#This Row],[DATA INÍCIO]])</f>
        <v>2025</v>
      </c>
      <c r="BR413" s="22">
        <f>MONTH([1]!BANCO10[[#This Row],[DATA INÍCIO]])</f>
        <v>11</v>
      </c>
      <c r="BS413" s="129" t="e">
        <f>CONCATENATE(#REF!,#REF!)</f>
        <v>#REF!</v>
      </c>
      <c r="BT413" s="22"/>
      <c r="BU413" s="21" t="s">
        <v>30</v>
      </c>
      <c r="BV413" s="21" t="str">
        <f>IF([1]!BANCO10[[#This Row],[SOLUÇÃO]]=BV$1,[1]!BANCO10[[#This Row],[STATUS DA ETAPA]],"")</f>
        <v>PROSPECÇÃO</v>
      </c>
      <c r="BW413" s="21" t="str">
        <f>IF([1]!BANCO10[[#This Row],[SOLUÇÃO]]=BW$1,[1]!BANCO10[[#This Row],[STATUS DA ETAPA]],"")</f>
        <v/>
      </c>
      <c r="BX413" s="21" t="str">
        <f>IF([1]!BANCO10[[#This Row],[SOLUÇÃO]]=BX$1,[1]!BANCO10[[#This Row],[STATUS DA ETAPA]],"")</f>
        <v/>
      </c>
      <c r="BY413" s="21" t="str">
        <f>IF([1]!BANCO10[[#This Row],[SOLUÇÃO]]=BY$1,[1]!BANCO10[[#This Row],[STATUS DA ETAPA]],"")</f>
        <v/>
      </c>
      <c r="BZ413" s="21" t="str">
        <f>IF([1]!BANCO10[[#This Row],[SOLUÇÃO]]=BZ$1,[1]!BANCO10[[#This Row],[STATUS DA ETAPA]],"")</f>
        <v/>
      </c>
      <c r="CA413" s="21" t="str">
        <f>IF([1]!BANCO10[[#This Row],[SOLUÇÃO]]=CA$1,[1]!BANCO10[[#This Row],[STATUS DA ETAPA]],"")</f>
        <v/>
      </c>
      <c r="CB413" s="21" t="str">
        <f>IF([1]!BANCO10[[#This Row],[SOLUÇÃO]]=CB$1,[1]!BANCO10[[#This Row],[STATUS DA ETAPA]],"")</f>
        <v/>
      </c>
      <c r="CC413" s="21" t="str">
        <f>IF([1]!BANCO10[[#This Row],[SOLUÇÃO]]=CC$1,[1]!BANCO10[[#This Row],[STATUS DA ETAPA]],"")</f>
        <v/>
      </c>
      <c r="CD413" s="21" t="str">
        <f>IF([1]!BANCO10[[#This Row],[SOLUÇÃO]]=CD$1,[1]!BANCO10[[#This Row],[STATUS DA ETAPA]],"")</f>
        <v/>
      </c>
      <c r="CE413" s="21" t="str">
        <f>IF([1]!BANCO10[[#This Row],[SOLUÇÃO]]=CE$1,[1]!BANCO10[[#This Row],[STATUS DA ETAPA]],"")</f>
        <v/>
      </c>
      <c r="CF413" s="21" t="str">
        <f>IF([1]!BANCO10[[#This Row],[SOLUÇÃO]]=CF$1,[1]!BANCO10[[#This Row],[STATUS DA ETAPA]],"")</f>
        <v/>
      </c>
      <c r="CG413" s="21" t="str">
        <f>IF([1]!BANCO10[[#This Row],[SOLUÇÃO]]=CG$1,[1]!BANCO10[[#This Row],[STATUS DA ETAPA]],"")</f>
        <v/>
      </c>
      <c r="CH413" s="21" t="str">
        <f>IF([1]!BANCO10[[#This Row],[SOLUÇÃO]]=CH$1,[1]!BANCO10[[#This Row],[STATUS DA ETAPA]],"")</f>
        <v/>
      </c>
      <c r="CI413" s="21" t="str">
        <f>IF([1]!BANCO10[[#This Row],[SOLUÇÃO]]=CI$1,[1]!BANCO10[[#This Row],[STATUS DA ETAPA]],"")</f>
        <v/>
      </c>
      <c r="CJ413" s="21" t="str">
        <f>IF([1]!BANCO10[[#This Row],[SOLUÇÃO]]=CJ$1,[1]!BANCO10[[#This Row],[STATUS DA ETAPA]],"")</f>
        <v/>
      </c>
      <c r="CK413" s="21" t="str">
        <f>IF([1]!BANCO10[[#This Row],[SOLUÇÃO]]=CK$1,[1]!BANCO10[[#This Row],[STATUS DA ETAPA]],"")</f>
        <v/>
      </c>
      <c r="CL413" s="21" t="str">
        <f>IF([1]!BANCO10[[#This Row],[SOLUÇÃO]]=CL$1,[1]!BANCO10[[#This Row],[STATUS DA ETAPA]],"")</f>
        <v/>
      </c>
      <c r="CM413" s="21" t="str">
        <f>IF([1]!BANCO10[[#This Row],[SOLUÇÃO]]=CM$1,[1]!BANCO10[[#This Row],[STATUS DA ETAPA]],"")</f>
        <v/>
      </c>
      <c r="CN413" s="21" t="str">
        <f>IF([1]!BANCO10[[#This Row],[SOLUÇÃO]]=CN$1,[1]!BANCO10[[#This Row],[STATUS DA ETAPA]],"")</f>
        <v/>
      </c>
      <c r="CO413" s="21" t="str">
        <f>IF([1]!BANCO10[[#This Row],[SOLUÇÃO]]=CO$1,[1]!BANCO10[[#This Row],[STATUS DA ETAPA]],"")</f>
        <v/>
      </c>
      <c r="CP413" s="21" t="str">
        <f>IF([1]!BANCO10[[#This Row],[SOLUÇÃO]]=CP$1,[1]!BANCO10[[#This Row],[STATUS DA ETAPA]],"")</f>
        <v/>
      </c>
      <c r="CQ413" s="21" t="str">
        <f>IF([1]!BANCO10[[#This Row],[SOLUÇÃO]]=CQ$1,[1]!BANCO10[[#This Row],[STATUS DA ETAPA]],"")</f>
        <v/>
      </c>
      <c r="CR413" s="21" t="str">
        <f>IF([1]!BANCO10[[#This Row],[SOLUÇÃO]]=CR$1,[1]!BANCO10[[#This Row],[STATUS DA ETAPA]],"")</f>
        <v/>
      </c>
      <c r="CS413" s="21" t="str">
        <f>IF([1]!BANCO10[[#This Row],[SOLUÇÃO]]=CS$1,[1]!BANCO10[[#This Row],[STATUS DA ETAPA]],"")</f>
        <v/>
      </c>
      <c r="CT413" s="21" t="str">
        <f>IF([1]!BANCO10[[#This Row],[SOLUÇÃO]]=CT$1,[1]!BANCO10[[#This Row],[STATUS DA ETAPA]],"")</f>
        <v/>
      </c>
      <c r="CU413" s="21" t="str">
        <f>IF([1]!BANCO10[[#This Row],[SOLUÇÃO]]=CU$1,[1]!BANCO10[[#This Row],[STATUS DA ETAPA]],"")</f>
        <v/>
      </c>
      <c r="CV413" s="21" t="str">
        <f>IF([1]!BANCO10[[#This Row],[SOLUÇÃO]]=CV$1,[1]!BANCO10[[#This Row],[STATUS DA ETAPA]],"")</f>
        <v/>
      </c>
    </row>
    <row r="414" spans="1:100">
      <c r="A414" s="44" t="s">
        <v>1</v>
      </c>
      <c r="B414" s="44"/>
      <c r="C414" s="44" t="s">
        <v>1</v>
      </c>
      <c r="D414" s="44"/>
      <c r="E414" s="44" t="s">
        <v>1</v>
      </c>
      <c r="F414" s="44"/>
      <c r="G414" s="44" t="s">
        <v>1</v>
      </c>
      <c r="H414" s="44"/>
      <c r="I414" s="45" t="s">
        <v>1</v>
      </c>
      <c r="J414" s="46"/>
      <c r="K414" s="45" t="s">
        <v>1</v>
      </c>
      <c r="L414" s="33"/>
      <c r="M414" s="45" t="s">
        <v>1</v>
      </c>
      <c r="N414" s="33"/>
      <c r="O414" s="44" t="s">
        <v>1</v>
      </c>
      <c r="P414" s="44"/>
      <c r="Q414" s="44" t="s">
        <v>1</v>
      </c>
      <c r="R414" s="44"/>
      <c r="S414" s="44" t="s">
        <v>1</v>
      </c>
      <c r="T414" s="44"/>
      <c r="U414" s="44" t="s">
        <v>1</v>
      </c>
      <c r="V414" s="44"/>
      <c r="W414" s="44" t="s">
        <v>1</v>
      </c>
      <c r="X414" s="44"/>
      <c r="Y414" s="44" t="s">
        <v>1</v>
      </c>
      <c r="Z414" s="44"/>
      <c r="AA414" s="44" t="s">
        <v>1</v>
      </c>
      <c r="AB414" s="44"/>
      <c r="AC414" s="84">
        <v>45327</v>
      </c>
      <c r="AD414" s="83">
        <v>45327</v>
      </c>
      <c r="AE414" s="41" t="s">
        <v>0</v>
      </c>
      <c r="AF414" s="41" t="s">
        <v>0</v>
      </c>
      <c r="AG414" s="76" t="s">
        <v>5</v>
      </c>
      <c r="AH414" s="36" t="s">
        <v>1</v>
      </c>
      <c r="AI414" s="49">
        <v>0</v>
      </c>
      <c r="AJ414" s="36" t="s">
        <v>1</v>
      </c>
      <c r="AK414" s="10" t="s">
        <v>1</v>
      </c>
      <c r="AL414" s="36" t="s">
        <v>1</v>
      </c>
      <c r="AM414" s="36" t="s">
        <v>1</v>
      </c>
      <c r="AN414" s="35" t="s">
        <v>1</v>
      </c>
      <c r="AO414" s="35" t="s">
        <v>1</v>
      </c>
      <c r="AP414" s="35" t="s">
        <v>1</v>
      </c>
      <c r="AQ414" s="35" t="s">
        <v>1</v>
      </c>
      <c r="AR414" s="48" t="s">
        <v>1</v>
      </c>
      <c r="AS414" s="33"/>
      <c r="AT414" s="30"/>
      <c r="AU414" s="55"/>
      <c r="AV414" s="30"/>
      <c r="AW414" s="55"/>
      <c r="AX414" s="30" t="s">
        <v>1</v>
      </c>
      <c r="AY414" s="55"/>
      <c r="AZ414" s="30" t="s">
        <v>1</v>
      </c>
      <c r="BA414" s="91"/>
      <c r="BB414" s="74"/>
      <c r="BC414" s="25"/>
      <c r="BD414" s="24"/>
      <c r="BE414" s="24"/>
      <c r="BF414" s="24"/>
      <c r="BG414" s="24"/>
      <c r="BH414" s="130"/>
      <c r="BI414" s="24"/>
      <c r="BJ414" s="24" t="s">
        <v>11</v>
      </c>
      <c r="BK414" s="24" t="s">
        <v>11</v>
      </c>
      <c r="BL414" s="24" t="s">
        <v>11</v>
      </c>
      <c r="BM414" s="24" t="s">
        <v>11</v>
      </c>
      <c r="BN414" s="24" t="s">
        <v>11</v>
      </c>
      <c r="BO414" s="24" t="s">
        <v>11</v>
      </c>
      <c r="BP414" s="24" t="s">
        <v>11</v>
      </c>
      <c r="BQ414" s="22">
        <f>YEAR([1]!BANCO10[[#This Row],[DATA INÍCIO]])</f>
        <v>2024</v>
      </c>
      <c r="BR414" s="22">
        <f>MONTH([1]!BANCO10[[#This Row],[DATA INÍCIO]])</f>
        <v>2</v>
      </c>
      <c r="BS414" s="129" t="e">
        <f>CONCATENATE(#REF!,#REF!)</f>
        <v>#REF!</v>
      </c>
      <c r="BT414" s="22"/>
      <c r="BU414" s="21" t="s">
        <v>474</v>
      </c>
      <c r="BV414" s="21" t="str">
        <f>IF([1]!BANCO10[[#This Row],[SOLUÇÃO]]=BV$1,[1]!BANCO10[[#This Row],[STATUS DA ETAPA]],"")</f>
        <v>CONCLUÍDO</v>
      </c>
      <c r="BW414" s="21" t="str">
        <f>IF([1]!BANCO10[[#This Row],[SOLUÇÃO]]=BW$1,[1]!BANCO10[[#This Row],[STATUS DA ETAPA]],"")</f>
        <v/>
      </c>
      <c r="BX414" s="21" t="str">
        <f>IF([1]!BANCO10[[#This Row],[SOLUÇÃO]]=BX$1,[1]!BANCO10[[#This Row],[STATUS DA ETAPA]],"")</f>
        <v/>
      </c>
      <c r="BY414" s="21" t="str">
        <f>IF([1]!BANCO10[[#This Row],[SOLUÇÃO]]=BY$1,[1]!BANCO10[[#This Row],[STATUS DA ETAPA]],"")</f>
        <v/>
      </c>
      <c r="BZ414" s="21" t="str">
        <f>IF([1]!BANCO10[[#This Row],[SOLUÇÃO]]=BZ$1,[1]!BANCO10[[#This Row],[STATUS DA ETAPA]],"")</f>
        <v/>
      </c>
      <c r="CA414" s="21" t="str">
        <f>IF([1]!BANCO10[[#This Row],[SOLUÇÃO]]=CA$1,[1]!BANCO10[[#This Row],[STATUS DA ETAPA]],"")</f>
        <v/>
      </c>
      <c r="CB414" s="21" t="str">
        <f>IF([1]!BANCO10[[#This Row],[SOLUÇÃO]]=CB$1,[1]!BANCO10[[#This Row],[STATUS DA ETAPA]],"")</f>
        <v/>
      </c>
      <c r="CC414" s="21" t="str">
        <f>IF([1]!BANCO10[[#This Row],[SOLUÇÃO]]=CC$1,[1]!BANCO10[[#This Row],[STATUS DA ETAPA]],"")</f>
        <v/>
      </c>
      <c r="CD414" s="21" t="str">
        <f>IF([1]!BANCO10[[#This Row],[SOLUÇÃO]]=CD$1,[1]!BANCO10[[#This Row],[STATUS DA ETAPA]],"")</f>
        <v/>
      </c>
      <c r="CE414" s="21" t="str">
        <f>IF([1]!BANCO10[[#This Row],[SOLUÇÃO]]=CE$1,[1]!BANCO10[[#This Row],[STATUS DA ETAPA]],"")</f>
        <v/>
      </c>
      <c r="CF414" s="21" t="str">
        <f>IF([1]!BANCO10[[#This Row],[SOLUÇÃO]]=CF$1,[1]!BANCO10[[#This Row],[STATUS DA ETAPA]],"")</f>
        <v/>
      </c>
      <c r="CG414" s="21" t="str">
        <f>IF([1]!BANCO10[[#This Row],[SOLUÇÃO]]=CG$1,[1]!BANCO10[[#This Row],[STATUS DA ETAPA]],"")</f>
        <v/>
      </c>
      <c r="CH414" s="21" t="str">
        <f>IF([1]!BANCO10[[#This Row],[SOLUÇÃO]]=CH$1,[1]!BANCO10[[#This Row],[STATUS DA ETAPA]],"")</f>
        <v/>
      </c>
      <c r="CI414" s="21" t="str">
        <f>IF([1]!BANCO10[[#This Row],[SOLUÇÃO]]=CI$1,[1]!BANCO10[[#This Row],[STATUS DA ETAPA]],"")</f>
        <v/>
      </c>
      <c r="CJ414" s="21" t="str">
        <f>IF([1]!BANCO10[[#This Row],[SOLUÇÃO]]=CJ$1,[1]!BANCO10[[#This Row],[STATUS DA ETAPA]],"")</f>
        <v/>
      </c>
      <c r="CK414" s="21" t="str">
        <f>IF([1]!BANCO10[[#This Row],[SOLUÇÃO]]=CK$1,[1]!BANCO10[[#This Row],[STATUS DA ETAPA]],"")</f>
        <v/>
      </c>
      <c r="CL414" s="21" t="str">
        <f>IF([1]!BANCO10[[#This Row],[SOLUÇÃO]]=CL$1,[1]!BANCO10[[#This Row],[STATUS DA ETAPA]],"")</f>
        <v/>
      </c>
      <c r="CM414" s="21" t="str">
        <f>IF([1]!BANCO10[[#This Row],[SOLUÇÃO]]=CM$1,[1]!BANCO10[[#This Row],[STATUS DA ETAPA]],"")</f>
        <v/>
      </c>
      <c r="CN414" s="21" t="str">
        <f>IF([1]!BANCO10[[#This Row],[SOLUÇÃO]]=CN$1,[1]!BANCO10[[#This Row],[STATUS DA ETAPA]],"")</f>
        <v/>
      </c>
      <c r="CO414" s="21" t="str">
        <f>IF([1]!BANCO10[[#This Row],[SOLUÇÃO]]=CO$1,[1]!BANCO10[[#This Row],[STATUS DA ETAPA]],"")</f>
        <v/>
      </c>
      <c r="CP414" s="21" t="str">
        <f>IF([1]!BANCO10[[#This Row],[SOLUÇÃO]]=CP$1,[1]!BANCO10[[#This Row],[STATUS DA ETAPA]],"")</f>
        <v/>
      </c>
      <c r="CQ414" s="21" t="str">
        <f>IF([1]!BANCO10[[#This Row],[SOLUÇÃO]]=CQ$1,[1]!BANCO10[[#This Row],[STATUS DA ETAPA]],"")</f>
        <v/>
      </c>
      <c r="CR414" s="21" t="str">
        <f>IF([1]!BANCO10[[#This Row],[SOLUÇÃO]]=CR$1,[1]!BANCO10[[#This Row],[STATUS DA ETAPA]],"")</f>
        <v/>
      </c>
      <c r="CS414" s="21" t="str">
        <f>IF([1]!BANCO10[[#This Row],[SOLUÇÃO]]=CS$1,[1]!BANCO10[[#This Row],[STATUS DA ETAPA]],"")</f>
        <v/>
      </c>
      <c r="CT414" s="21" t="str">
        <f>IF([1]!BANCO10[[#This Row],[SOLUÇÃO]]=CT$1,[1]!BANCO10[[#This Row],[STATUS DA ETAPA]],"")</f>
        <v/>
      </c>
      <c r="CU414" s="21" t="str">
        <f>IF([1]!BANCO10[[#This Row],[SOLUÇÃO]]=CU$1,[1]!BANCO10[[#This Row],[STATUS DA ETAPA]],"")</f>
        <v/>
      </c>
      <c r="CV414" s="21" t="str">
        <f>IF([1]!BANCO10[[#This Row],[SOLUÇÃO]]=CV$1,[1]!BANCO10[[#This Row],[STATUS DA ETAPA]],"")</f>
        <v/>
      </c>
    </row>
    <row r="415" spans="1:100">
      <c r="A415" s="44" t="s">
        <v>1</v>
      </c>
      <c r="B415" s="44"/>
      <c r="C415" s="44" t="s">
        <v>1</v>
      </c>
      <c r="D415" s="44"/>
      <c r="E415" s="44" t="s">
        <v>1</v>
      </c>
      <c r="F415" s="44"/>
      <c r="G415" s="44" t="s">
        <v>1</v>
      </c>
      <c r="H415" s="44"/>
      <c r="I415" s="45" t="s">
        <v>1</v>
      </c>
      <c r="J415" s="46"/>
      <c r="K415" s="45" t="s">
        <v>1</v>
      </c>
      <c r="L415" s="33"/>
      <c r="M415" s="45" t="s">
        <v>1</v>
      </c>
      <c r="N415" s="33"/>
      <c r="O415" s="44" t="s">
        <v>2</v>
      </c>
      <c r="P415" s="44">
        <v>44967</v>
      </c>
      <c r="Q415" s="44" t="s">
        <v>0</v>
      </c>
      <c r="R415" s="44"/>
      <c r="S415" s="44" t="s">
        <v>1</v>
      </c>
      <c r="T415" s="44"/>
      <c r="U415" s="44" t="s">
        <v>1</v>
      </c>
      <c r="V415" s="44"/>
      <c r="W415" s="44" t="s">
        <v>1</v>
      </c>
      <c r="X415" s="44"/>
      <c r="Y415" s="44" t="s">
        <v>1</v>
      </c>
      <c r="Z415" s="44"/>
      <c r="AA415" s="44" t="s">
        <v>1</v>
      </c>
      <c r="AB415" s="44"/>
      <c r="AC415" s="51">
        <v>44966</v>
      </c>
      <c r="AD415" s="50">
        <v>44966</v>
      </c>
      <c r="AE415" s="40" t="s">
        <v>1</v>
      </c>
      <c r="AF415" s="40" t="s">
        <v>1</v>
      </c>
      <c r="AG415" s="76" t="s">
        <v>5</v>
      </c>
      <c r="AH415" s="36" t="s">
        <v>1</v>
      </c>
      <c r="AI415" s="49">
        <v>0</v>
      </c>
      <c r="AJ415" s="36" t="s">
        <v>1</v>
      </c>
      <c r="AK415" s="10" t="s">
        <v>1</v>
      </c>
      <c r="AL415" s="36" t="s">
        <v>1</v>
      </c>
      <c r="AM415" s="36" t="s">
        <v>1</v>
      </c>
      <c r="AN415" s="35" t="s">
        <v>1</v>
      </c>
      <c r="AO415" s="35" t="s">
        <v>1</v>
      </c>
      <c r="AP415" s="35" t="s">
        <v>1</v>
      </c>
      <c r="AQ415" s="35" t="s">
        <v>1</v>
      </c>
      <c r="AR415" s="82" t="s">
        <v>1</v>
      </c>
      <c r="AS415" s="33"/>
      <c r="AT415" s="32" t="s">
        <v>1</v>
      </c>
      <c r="AU415" s="31"/>
      <c r="AV415" s="32" t="s">
        <v>1</v>
      </c>
      <c r="AW415" s="31"/>
      <c r="AX415" s="30" t="s">
        <v>1</v>
      </c>
      <c r="AY415" s="55"/>
      <c r="AZ415" s="30" t="s">
        <v>1</v>
      </c>
      <c r="BA415" s="55"/>
      <c r="BB415" s="74"/>
      <c r="BC415" s="25"/>
      <c r="BD415" s="24" t="s">
        <v>11</v>
      </c>
      <c r="BE415" s="24" t="s">
        <v>11</v>
      </c>
      <c r="BF415" s="24" t="s">
        <v>21</v>
      </c>
      <c r="BG415" s="24" t="s">
        <v>80</v>
      </c>
      <c r="BH415" s="130" t="s">
        <v>63</v>
      </c>
      <c r="BI415" s="24"/>
      <c r="BJ415" s="24" t="s">
        <v>11</v>
      </c>
      <c r="BK415" s="24" t="s">
        <v>11</v>
      </c>
      <c r="BL415" s="24" t="s">
        <v>11</v>
      </c>
      <c r="BM415" s="24" t="s">
        <v>11</v>
      </c>
      <c r="BN415" s="24" t="s">
        <v>11</v>
      </c>
      <c r="BO415" s="24" t="s">
        <v>11</v>
      </c>
      <c r="BP415" s="24" t="s">
        <v>11</v>
      </c>
      <c r="BQ415" s="22">
        <f>YEAR([1]!BANCO10[[#This Row],[DATA INÍCIO]])</f>
        <v>2023</v>
      </c>
      <c r="BR415" s="22">
        <f>MONTH([1]!BANCO10[[#This Row],[DATA INÍCIO]])</f>
        <v>2</v>
      </c>
      <c r="BS415" s="129" t="e">
        <f>CONCATENATE(#REF!,#REF!)</f>
        <v>#REF!</v>
      </c>
      <c r="BT415" s="22"/>
      <c r="BU415" s="21" t="s">
        <v>473</v>
      </c>
      <c r="BV415" s="21" t="str">
        <f>IF([1]!BANCO10[[#This Row],[SOLUÇÃO]]=BV$1,[1]!BANCO10[[#This Row],[STATUS DA ETAPA]],"")</f>
        <v>CONCLUÍDO</v>
      </c>
      <c r="BW415" s="21" t="str">
        <f>IF([1]!BANCO10[[#This Row],[SOLUÇÃO]]=BW$1,[1]!BANCO10[[#This Row],[STATUS DA ETAPA]],"")</f>
        <v/>
      </c>
      <c r="BX415" s="21" t="str">
        <f>IF([1]!BANCO10[[#This Row],[SOLUÇÃO]]=BX$1,[1]!BANCO10[[#This Row],[STATUS DA ETAPA]],"")</f>
        <v/>
      </c>
      <c r="BY415" s="21" t="str">
        <f>IF([1]!BANCO10[[#This Row],[SOLUÇÃO]]=BY$1,[1]!BANCO10[[#This Row],[STATUS DA ETAPA]],"")</f>
        <v/>
      </c>
      <c r="BZ415" s="21" t="str">
        <f>IF([1]!BANCO10[[#This Row],[SOLUÇÃO]]=BZ$1,[1]!BANCO10[[#This Row],[STATUS DA ETAPA]],"")</f>
        <v/>
      </c>
      <c r="CA415" s="21" t="str">
        <f>IF([1]!BANCO10[[#This Row],[SOLUÇÃO]]=CA$1,[1]!BANCO10[[#This Row],[STATUS DA ETAPA]],"")</f>
        <v/>
      </c>
      <c r="CB415" s="21" t="str">
        <f>IF([1]!BANCO10[[#This Row],[SOLUÇÃO]]=CB$1,[1]!BANCO10[[#This Row],[STATUS DA ETAPA]],"")</f>
        <v/>
      </c>
      <c r="CC415" s="21" t="str">
        <f>IF([1]!BANCO10[[#This Row],[SOLUÇÃO]]=CC$1,[1]!BANCO10[[#This Row],[STATUS DA ETAPA]],"")</f>
        <v/>
      </c>
      <c r="CD415" s="21" t="str">
        <f>IF([1]!BANCO10[[#This Row],[SOLUÇÃO]]=CD$1,[1]!BANCO10[[#This Row],[STATUS DA ETAPA]],"")</f>
        <v/>
      </c>
      <c r="CE415" s="21" t="str">
        <f>IF([1]!BANCO10[[#This Row],[SOLUÇÃO]]=CE$1,[1]!BANCO10[[#This Row],[STATUS DA ETAPA]],"")</f>
        <v/>
      </c>
      <c r="CF415" s="21" t="str">
        <f>IF([1]!BANCO10[[#This Row],[SOLUÇÃO]]=CF$1,[1]!BANCO10[[#This Row],[STATUS DA ETAPA]],"")</f>
        <v/>
      </c>
      <c r="CG415" s="21" t="str">
        <f>IF([1]!BANCO10[[#This Row],[SOLUÇÃO]]=CG$1,[1]!BANCO10[[#This Row],[STATUS DA ETAPA]],"")</f>
        <v/>
      </c>
      <c r="CH415" s="21" t="str">
        <f>IF([1]!BANCO10[[#This Row],[SOLUÇÃO]]=CH$1,[1]!BANCO10[[#This Row],[STATUS DA ETAPA]],"")</f>
        <v/>
      </c>
      <c r="CI415" s="21" t="str">
        <f>IF([1]!BANCO10[[#This Row],[SOLUÇÃO]]=CI$1,[1]!BANCO10[[#This Row],[STATUS DA ETAPA]],"")</f>
        <v/>
      </c>
      <c r="CJ415" s="21" t="str">
        <f>IF([1]!BANCO10[[#This Row],[SOLUÇÃO]]=CJ$1,[1]!BANCO10[[#This Row],[STATUS DA ETAPA]],"")</f>
        <v/>
      </c>
      <c r="CK415" s="21" t="str">
        <f>IF([1]!BANCO10[[#This Row],[SOLUÇÃO]]=CK$1,[1]!BANCO10[[#This Row],[STATUS DA ETAPA]],"")</f>
        <v/>
      </c>
      <c r="CL415" s="21" t="str">
        <f>IF([1]!BANCO10[[#This Row],[SOLUÇÃO]]=CL$1,[1]!BANCO10[[#This Row],[STATUS DA ETAPA]],"")</f>
        <v/>
      </c>
      <c r="CM415" s="21" t="str">
        <f>IF([1]!BANCO10[[#This Row],[SOLUÇÃO]]=CM$1,[1]!BANCO10[[#This Row],[STATUS DA ETAPA]],"")</f>
        <v/>
      </c>
      <c r="CN415" s="21" t="str">
        <f>IF([1]!BANCO10[[#This Row],[SOLUÇÃO]]=CN$1,[1]!BANCO10[[#This Row],[STATUS DA ETAPA]],"")</f>
        <v/>
      </c>
      <c r="CO415" s="21" t="str">
        <f>IF([1]!BANCO10[[#This Row],[SOLUÇÃO]]=CO$1,[1]!BANCO10[[#This Row],[STATUS DA ETAPA]],"")</f>
        <v/>
      </c>
      <c r="CP415" s="21" t="str">
        <f>IF([1]!BANCO10[[#This Row],[SOLUÇÃO]]=CP$1,[1]!BANCO10[[#This Row],[STATUS DA ETAPA]],"")</f>
        <v/>
      </c>
      <c r="CQ415" s="21" t="str">
        <f>IF([1]!BANCO10[[#This Row],[SOLUÇÃO]]=CQ$1,[1]!BANCO10[[#This Row],[STATUS DA ETAPA]],"")</f>
        <v/>
      </c>
      <c r="CR415" s="21" t="str">
        <f>IF([1]!BANCO10[[#This Row],[SOLUÇÃO]]=CR$1,[1]!BANCO10[[#This Row],[STATUS DA ETAPA]],"")</f>
        <v/>
      </c>
      <c r="CS415" s="21" t="str">
        <f>IF([1]!BANCO10[[#This Row],[SOLUÇÃO]]=CS$1,[1]!BANCO10[[#This Row],[STATUS DA ETAPA]],"")</f>
        <v/>
      </c>
      <c r="CT415" s="21" t="str">
        <f>IF([1]!BANCO10[[#This Row],[SOLUÇÃO]]=CT$1,[1]!BANCO10[[#This Row],[STATUS DA ETAPA]],"")</f>
        <v/>
      </c>
      <c r="CU415" s="21" t="str">
        <f>IF([1]!BANCO10[[#This Row],[SOLUÇÃO]]=CU$1,[1]!BANCO10[[#This Row],[STATUS DA ETAPA]],"")</f>
        <v/>
      </c>
      <c r="CV415" s="21" t="str">
        <f>IF([1]!BANCO10[[#This Row],[SOLUÇÃO]]=CV$1,[1]!BANCO10[[#This Row],[STATUS DA ETAPA]],"")</f>
        <v/>
      </c>
    </row>
    <row r="416" spans="1:100">
      <c r="A416" s="44" t="s">
        <v>1</v>
      </c>
      <c r="B416" s="44"/>
      <c r="C416" s="44" t="s">
        <v>1</v>
      </c>
      <c r="D416" s="44"/>
      <c r="E416" s="44" t="s">
        <v>1</v>
      </c>
      <c r="F416" s="44"/>
      <c r="G416" s="44" t="s">
        <v>1</v>
      </c>
      <c r="H416" s="44"/>
      <c r="I416" s="45" t="s">
        <v>1</v>
      </c>
      <c r="J416" s="46"/>
      <c r="K416" s="45" t="s">
        <v>1</v>
      </c>
      <c r="L416" s="33"/>
      <c r="M416" s="45" t="s">
        <v>1</v>
      </c>
      <c r="N416" s="33"/>
      <c r="O416" s="44" t="s">
        <v>2</v>
      </c>
      <c r="P416" s="44">
        <v>44967</v>
      </c>
      <c r="Q416" s="44" t="s">
        <v>2</v>
      </c>
      <c r="R416" s="44">
        <v>44985</v>
      </c>
      <c r="S416" s="44" t="s">
        <v>2</v>
      </c>
      <c r="T416" s="44">
        <v>44985</v>
      </c>
      <c r="U416" s="44"/>
      <c r="V416" s="44"/>
      <c r="W416" s="44" t="s">
        <v>2</v>
      </c>
      <c r="X416" s="44"/>
      <c r="Y416" s="44" t="s">
        <v>2</v>
      </c>
      <c r="Z416" s="44">
        <v>44985</v>
      </c>
      <c r="AA416" s="44" t="s">
        <v>2</v>
      </c>
      <c r="AB416" s="44"/>
      <c r="AC416" s="51">
        <v>45035</v>
      </c>
      <c r="AD416" s="50">
        <v>45139</v>
      </c>
      <c r="AE416" s="40" t="s">
        <v>2</v>
      </c>
      <c r="AF416" s="41" t="s">
        <v>2</v>
      </c>
      <c r="AG416" s="76" t="s">
        <v>5</v>
      </c>
      <c r="AH416" s="36" t="s">
        <v>0</v>
      </c>
      <c r="AI416" s="49">
        <v>0</v>
      </c>
      <c r="AJ416" s="36" t="s">
        <v>6</v>
      </c>
      <c r="AK416" s="10"/>
      <c r="AL416" s="36" t="s">
        <v>61</v>
      </c>
      <c r="AM416" s="36"/>
      <c r="AN416" s="35" t="s">
        <v>1</v>
      </c>
      <c r="AO416" s="35" t="s">
        <v>1</v>
      </c>
      <c r="AP416" s="35" t="s">
        <v>2</v>
      </c>
      <c r="AQ416" s="35" t="s">
        <v>1</v>
      </c>
      <c r="AR416" s="34" t="s">
        <v>1</v>
      </c>
      <c r="AS416" s="33"/>
      <c r="AT416" s="32" t="s">
        <v>1</v>
      </c>
      <c r="AU416" s="31"/>
      <c r="AV416" s="32" t="s">
        <v>1</v>
      </c>
      <c r="AW416" s="31"/>
      <c r="AX416" s="30" t="s">
        <v>2</v>
      </c>
      <c r="AY416" s="55">
        <v>45139</v>
      </c>
      <c r="AZ416" s="30" t="s">
        <v>2</v>
      </c>
      <c r="BA416" s="55"/>
      <c r="BB416" s="74"/>
      <c r="BC416" s="25" t="s">
        <v>338</v>
      </c>
      <c r="BD416" s="24" t="s">
        <v>11</v>
      </c>
      <c r="BE416" s="24" t="s">
        <v>11</v>
      </c>
      <c r="BF416" s="24" t="s">
        <v>21</v>
      </c>
      <c r="BG416" s="24" t="s">
        <v>80</v>
      </c>
      <c r="BH416" s="130" t="s">
        <v>63</v>
      </c>
      <c r="BI416" s="24"/>
      <c r="BJ416" s="24" t="s">
        <v>11</v>
      </c>
      <c r="BK416" s="24" t="s">
        <v>11</v>
      </c>
      <c r="BL416" s="24">
        <v>45392</v>
      </c>
      <c r="BM416" s="24" t="s">
        <v>18</v>
      </c>
      <c r="BN416" s="24" t="s">
        <v>11</v>
      </c>
      <c r="BO416" s="24"/>
      <c r="BP416" s="24" t="s">
        <v>472</v>
      </c>
      <c r="BQ416" s="22">
        <f>YEAR([1]!BANCO10[[#This Row],[DATA INÍCIO]])</f>
        <v>2023</v>
      </c>
      <c r="BR416" s="22">
        <f>MONTH([1]!BANCO10[[#This Row],[DATA INÍCIO]])</f>
        <v>4</v>
      </c>
      <c r="BS416" s="129" t="e">
        <f>CONCATENATE(#REF!,#REF!)</f>
        <v>#REF!</v>
      </c>
      <c r="BT416" s="22"/>
      <c r="BU416" s="21" t="s">
        <v>471</v>
      </c>
      <c r="BV416" s="21" t="str">
        <f>IF([1]!BANCO10[[#This Row],[SOLUÇÃO]]=BV$1,[1]!BANCO10[[#This Row],[STATUS DA ETAPA]],"")</f>
        <v/>
      </c>
      <c r="BW416" s="21" t="str">
        <f>IF([1]!BANCO10[[#This Row],[SOLUÇÃO]]=BW$1,[1]!BANCO10[[#This Row],[STATUS DA ETAPA]],"")</f>
        <v/>
      </c>
      <c r="BX416" s="21" t="str">
        <f>IF([1]!BANCO10[[#This Row],[SOLUÇÃO]]=BX$1,[1]!BANCO10[[#This Row],[STATUS DA ETAPA]],"")</f>
        <v/>
      </c>
      <c r="BY416" s="21" t="str">
        <f>IF([1]!BANCO10[[#This Row],[SOLUÇÃO]]=BY$1,[1]!BANCO10[[#This Row],[STATUS DA ETAPA]],"")</f>
        <v/>
      </c>
      <c r="BZ416" s="21" t="str">
        <f>IF([1]!BANCO10[[#This Row],[SOLUÇÃO]]=BZ$1,[1]!BANCO10[[#This Row],[STATUS DA ETAPA]],"")</f>
        <v/>
      </c>
      <c r="CA416" s="21" t="str">
        <f>IF([1]!BANCO10[[#This Row],[SOLUÇÃO]]=CA$1,[1]!BANCO10[[#This Row],[STATUS DA ETAPA]],"")</f>
        <v>CONCLUÍDO</v>
      </c>
      <c r="CB416" s="21" t="str">
        <f>IF([1]!BANCO10[[#This Row],[SOLUÇÃO]]=CB$1,[1]!BANCO10[[#This Row],[STATUS DA ETAPA]],"")</f>
        <v/>
      </c>
      <c r="CC416" s="21" t="str">
        <f>IF([1]!BANCO10[[#This Row],[SOLUÇÃO]]=CC$1,[1]!BANCO10[[#This Row],[STATUS DA ETAPA]],"")</f>
        <v/>
      </c>
      <c r="CD416" s="21" t="str">
        <f>IF([1]!BANCO10[[#This Row],[SOLUÇÃO]]=CD$1,[1]!BANCO10[[#This Row],[STATUS DA ETAPA]],"")</f>
        <v/>
      </c>
      <c r="CE416" s="21" t="str">
        <f>IF([1]!BANCO10[[#This Row],[SOLUÇÃO]]=CE$1,[1]!BANCO10[[#This Row],[STATUS DA ETAPA]],"")</f>
        <v/>
      </c>
      <c r="CF416" s="21" t="str">
        <f>IF([1]!BANCO10[[#This Row],[SOLUÇÃO]]=CF$1,[1]!BANCO10[[#This Row],[STATUS DA ETAPA]],"")</f>
        <v/>
      </c>
      <c r="CG416" s="21" t="str">
        <f>IF([1]!BANCO10[[#This Row],[SOLUÇÃO]]=CG$1,[1]!BANCO10[[#This Row],[STATUS DA ETAPA]],"")</f>
        <v/>
      </c>
      <c r="CH416" s="21" t="str">
        <f>IF([1]!BANCO10[[#This Row],[SOLUÇÃO]]=CH$1,[1]!BANCO10[[#This Row],[STATUS DA ETAPA]],"")</f>
        <v/>
      </c>
      <c r="CI416" s="21" t="str">
        <f>IF([1]!BANCO10[[#This Row],[SOLUÇÃO]]=CI$1,[1]!BANCO10[[#This Row],[STATUS DA ETAPA]],"")</f>
        <v/>
      </c>
      <c r="CJ416" s="21" t="str">
        <f>IF([1]!BANCO10[[#This Row],[SOLUÇÃO]]=CJ$1,[1]!BANCO10[[#This Row],[STATUS DA ETAPA]],"")</f>
        <v/>
      </c>
      <c r="CK416" s="21" t="str">
        <f>IF([1]!BANCO10[[#This Row],[SOLUÇÃO]]=CK$1,[1]!BANCO10[[#This Row],[STATUS DA ETAPA]],"")</f>
        <v/>
      </c>
      <c r="CL416" s="21" t="str">
        <f>IF([1]!BANCO10[[#This Row],[SOLUÇÃO]]=CL$1,[1]!BANCO10[[#This Row],[STATUS DA ETAPA]],"")</f>
        <v/>
      </c>
      <c r="CM416" s="21" t="str">
        <f>IF([1]!BANCO10[[#This Row],[SOLUÇÃO]]=CM$1,[1]!BANCO10[[#This Row],[STATUS DA ETAPA]],"")</f>
        <v/>
      </c>
      <c r="CN416" s="21" t="str">
        <f>IF([1]!BANCO10[[#This Row],[SOLUÇÃO]]=CN$1,[1]!BANCO10[[#This Row],[STATUS DA ETAPA]],"")</f>
        <v/>
      </c>
      <c r="CO416" s="21" t="str">
        <f>IF([1]!BANCO10[[#This Row],[SOLUÇÃO]]=CO$1,[1]!BANCO10[[#This Row],[STATUS DA ETAPA]],"")</f>
        <v/>
      </c>
      <c r="CP416" s="21" t="str">
        <f>IF([1]!BANCO10[[#This Row],[SOLUÇÃO]]=CP$1,[1]!BANCO10[[#This Row],[STATUS DA ETAPA]],"")</f>
        <v/>
      </c>
      <c r="CQ416" s="21" t="str">
        <f>IF([1]!BANCO10[[#This Row],[SOLUÇÃO]]=CQ$1,[1]!BANCO10[[#This Row],[STATUS DA ETAPA]],"")</f>
        <v/>
      </c>
      <c r="CR416" s="21" t="str">
        <f>IF([1]!BANCO10[[#This Row],[SOLUÇÃO]]=CR$1,[1]!BANCO10[[#This Row],[STATUS DA ETAPA]],"")</f>
        <v/>
      </c>
      <c r="CS416" s="21" t="str">
        <f>IF([1]!BANCO10[[#This Row],[SOLUÇÃO]]=CS$1,[1]!BANCO10[[#This Row],[STATUS DA ETAPA]],"")</f>
        <v/>
      </c>
      <c r="CT416" s="21" t="str">
        <f>IF([1]!BANCO10[[#This Row],[SOLUÇÃO]]=CT$1,[1]!BANCO10[[#This Row],[STATUS DA ETAPA]],"")</f>
        <v/>
      </c>
      <c r="CU416" s="21" t="str">
        <f>IF([1]!BANCO10[[#This Row],[SOLUÇÃO]]=CU$1,[1]!BANCO10[[#This Row],[STATUS DA ETAPA]],"")</f>
        <v/>
      </c>
      <c r="CV416" s="21" t="str">
        <f>IF([1]!BANCO10[[#This Row],[SOLUÇÃO]]=CV$1,[1]!BANCO10[[#This Row],[STATUS DA ETAPA]],"")</f>
        <v/>
      </c>
    </row>
    <row r="417" spans="1:100">
      <c r="A417" s="44" t="s">
        <v>1</v>
      </c>
      <c r="B417" s="44"/>
      <c r="C417" s="44" t="s">
        <v>1</v>
      </c>
      <c r="D417" s="44"/>
      <c r="E417" s="44" t="s">
        <v>1</v>
      </c>
      <c r="F417" s="44"/>
      <c r="G417" s="44" t="s">
        <v>1</v>
      </c>
      <c r="H417" s="44"/>
      <c r="I417" s="45" t="s">
        <v>1</v>
      </c>
      <c r="J417" s="46"/>
      <c r="K417" s="45" t="s">
        <v>1</v>
      </c>
      <c r="L417" s="33"/>
      <c r="M417" s="45" t="s">
        <v>1</v>
      </c>
      <c r="N417" s="33"/>
      <c r="O417" s="44" t="s">
        <v>2</v>
      </c>
      <c r="P417" s="44">
        <v>44967</v>
      </c>
      <c r="Q417" s="44" t="s">
        <v>2</v>
      </c>
      <c r="R417" s="44">
        <v>44985</v>
      </c>
      <c r="S417" s="44" t="s">
        <v>2</v>
      </c>
      <c r="T417" s="44">
        <v>44985</v>
      </c>
      <c r="U417" s="44"/>
      <c r="V417" s="44"/>
      <c r="W417" s="44" t="s">
        <v>2</v>
      </c>
      <c r="X417" s="44"/>
      <c r="Y417" s="44" t="s">
        <v>2</v>
      </c>
      <c r="Z417" s="44">
        <v>44985</v>
      </c>
      <c r="AA417" s="44" t="s">
        <v>2</v>
      </c>
      <c r="AB417" s="44"/>
      <c r="AC417" s="51">
        <v>45439</v>
      </c>
      <c r="AD417" s="50">
        <v>45644</v>
      </c>
      <c r="AE417" s="40" t="s">
        <v>2</v>
      </c>
      <c r="AF417" s="41" t="s">
        <v>2</v>
      </c>
      <c r="AG417" s="76" t="s">
        <v>4</v>
      </c>
      <c r="AH417" s="36" t="s">
        <v>0</v>
      </c>
      <c r="AI417" s="49">
        <v>0</v>
      </c>
      <c r="AJ417" s="36" t="s">
        <v>6</v>
      </c>
      <c r="AK417" s="10" t="s">
        <v>30</v>
      </c>
      <c r="AL417" s="36">
        <v>4702</v>
      </c>
      <c r="AM417" s="36" t="s">
        <v>30</v>
      </c>
      <c r="AN417" s="35" t="s">
        <v>1</v>
      </c>
      <c r="AO417" s="35" t="s">
        <v>1</v>
      </c>
      <c r="AP417" s="35" t="s">
        <v>2</v>
      </c>
      <c r="AQ417" s="35" t="s">
        <v>1</v>
      </c>
      <c r="AR417" s="34" t="s">
        <v>1</v>
      </c>
      <c r="AS417" s="33"/>
      <c r="AT417" s="32" t="s">
        <v>1</v>
      </c>
      <c r="AU417" s="31"/>
      <c r="AV417" s="32" t="s">
        <v>1</v>
      </c>
      <c r="AW417" s="31"/>
      <c r="AX417" s="28" t="s">
        <v>2</v>
      </c>
      <c r="AY417" s="55">
        <v>45646</v>
      </c>
      <c r="AZ417" s="30" t="s">
        <v>0</v>
      </c>
      <c r="BA417" s="55"/>
      <c r="BB417" s="39" t="s">
        <v>32</v>
      </c>
      <c r="BC417" s="25" t="s">
        <v>31</v>
      </c>
      <c r="BD417" s="24" t="s">
        <v>11</v>
      </c>
      <c r="BE417" s="24" t="s">
        <v>11</v>
      </c>
      <c r="BF417" s="24"/>
      <c r="BG417" s="24"/>
      <c r="BH417" s="130"/>
      <c r="BI417" s="24"/>
      <c r="BJ417" s="24" t="s">
        <v>11</v>
      </c>
      <c r="BK417" s="24" t="s">
        <v>11</v>
      </c>
      <c r="BL417" s="24"/>
      <c r="BM417" s="24"/>
      <c r="BN417" s="24" t="s">
        <v>11</v>
      </c>
      <c r="BO417" s="24"/>
      <c r="BP417" s="24"/>
      <c r="BQ417" s="22"/>
      <c r="BR417" s="22"/>
      <c r="BS417" s="129" t="e">
        <f>CONCATENATE(#REF!,#REF!)</f>
        <v>#REF!</v>
      </c>
      <c r="BT417" s="22"/>
      <c r="BU417" s="21" t="s">
        <v>470</v>
      </c>
      <c r="BV417" s="21" t="str">
        <f>IF([1]!BANCO10[[#This Row],[SOLUÇÃO]]=BV$1,[1]!BANCO10[[#This Row],[STATUS DA ETAPA]],"")</f>
        <v/>
      </c>
      <c r="BW417" s="21" t="str">
        <f>IF([1]!BANCO10[[#This Row],[SOLUÇÃO]]=BW$1,[1]!BANCO10[[#This Row],[STATUS DA ETAPA]],"")</f>
        <v/>
      </c>
      <c r="BX417" s="21" t="str">
        <f>IF([1]!BANCO10[[#This Row],[SOLUÇÃO]]=BX$1,[1]!BANCO10[[#This Row],[STATUS DA ETAPA]],"")</f>
        <v>CONCLUÍDO</v>
      </c>
      <c r="BY417" s="21" t="str">
        <f>IF([1]!BANCO10[[#This Row],[SOLUÇÃO]]=BY$1,[1]!BANCO10[[#This Row],[STATUS DA ETAPA]],"")</f>
        <v/>
      </c>
      <c r="BZ417" s="21" t="str">
        <f>IF([1]!BANCO10[[#This Row],[SOLUÇÃO]]=BZ$1,[1]!BANCO10[[#This Row],[STATUS DA ETAPA]],"")</f>
        <v/>
      </c>
      <c r="CA417" s="21" t="str">
        <f>IF([1]!BANCO10[[#This Row],[SOLUÇÃO]]=CA$1,[1]!BANCO10[[#This Row],[STATUS DA ETAPA]],"")</f>
        <v/>
      </c>
      <c r="CB417" s="21" t="str">
        <f>IF([1]!BANCO10[[#This Row],[SOLUÇÃO]]=CB$1,[1]!BANCO10[[#This Row],[STATUS DA ETAPA]],"")</f>
        <v/>
      </c>
      <c r="CC417" s="21" t="str">
        <f>IF([1]!BANCO10[[#This Row],[SOLUÇÃO]]=CC$1,[1]!BANCO10[[#This Row],[STATUS DA ETAPA]],"")</f>
        <v/>
      </c>
      <c r="CD417" s="21" t="str">
        <f>IF([1]!BANCO10[[#This Row],[SOLUÇÃO]]=CD$1,[1]!BANCO10[[#This Row],[STATUS DA ETAPA]],"")</f>
        <v/>
      </c>
      <c r="CE417" s="21" t="str">
        <f>IF([1]!BANCO10[[#This Row],[SOLUÇÃO]]=CE$1,[1]!BANCO10[[#This Row],[STATUS DA ETAPA]],"")</f>
        <v/>
      </c>
      <c r="CF417" s="21" t="str">
        <f>IF([1]!BANCO10[[#This Row],[SOLUÇÃO]]=CF$1,[1]!BANCO10[[#This Row],[STATUS DA ETAPA]],"")</f>
        <v/>
      </c>
      <c r="CG417" s="21" t="str">
        <f>IF([1]!BANCO10[[#This Row],[SOLUÇÃO]]=CG$1,[1]!BANCO10[[#This Row],[STATUS DA ETAPA]],"")</f>
        <v/>
      </c>
      <c r="CH417" s="21" t="str">
        <f>IF([1]!BANCO10[[#This Row],[SOLUÇÃO]]=CH$1,[1]!BANCO10[[#This Row],[STATUS DA ETAPA]],"")</f>
        <v/>
      </c>
      <c r="CI417" s="21" t="str">
        <f>IF([1]!BANCO10[[#This Row],[SOLUÇÃO]]=CI$1,[1]!BANCO10[[#This Row],[STATUS DA ETAPA]],"")</f>
        <v/>
      </c>
      <c r="CJ417" s="21" t="str">
        <f>IF([1]!BANCO10[[#This Row],[SOLUÇÃO]]=CJ$1,[1]!BANCO10[[#This Row],[STATUS DA ETAPA]],"")</f>
        <v/>
      </c>
      <c r="CK417" s="21" t="str">
        <f>IF([1]!BANCO10[[#This Row],[SOLUÇÃO]]=CK$1,[1]!BANCO10[[#This Row],[STATUS DA ETAPA]],"")</f>
        <v/>
      </c>
      <c r="CL417" s="21" t="str">
        <f>IF([1]!BANCO10[[#This Row],[SOLUÇÃO]]=CL$1,[1]!BANCO10[[#This Row],[STATUS DA ETAPA]],"")</f>
        <v/>
      </c>
      <c r="CM417" s="21" t="str">
        <f>IF([1]!BANCO10[[#This Row],[SOLUÇÃO]]=CM$1,[1]!BANCO10[[#This Row],[STATUS DA ETAPA]],"")</f>
        <v/>
      </c>
      <c r="CN417" s="21" t="str">
        <f>IF([1]!BANCO10[[#This Row],[SOLUÇÃO]]=CN$1,[1]!BANCO10[[#This Row],[STATUS DA ETAPA]],"")</f>
        <v/>
      </c>
      <c r="CO417" s="21" t="str">
        <f>IF([1]!BANCO10[[#This Row],[SOLUÇÃO]]=CO$1,[1]!BANCO10[[#This Row],[STATUS DA ETAPA]],"")</f>
        <v/>
      </c>
      <c r="CP417" s="21" t="str">
        <f>IF([1]!BANCO10[[#This Row],[SOLUÇÃO]]=CP$1,[1]!BANCO10[[#This Row],[STATUS DA ETAPA]],"")</f>
        <v/>
      </c>
      <c r="CQ417" s="21" t="str">
        <f>IF([1]!BANCO10[[#This Row],[SOLUÇÃO]]=CQ$1,[1]!BANCO10[[#This Row],[STATUS DA ETAPA]],"")</f>
        <v/>
      </c>
      <c r="CR417" s="21" t="str">
        <f>IF([1]!BANCO10[[#This Row],[SOLUÇÃO]]=CR$1,[1]!BANCO10[[#This Row],[STATUS DA ETAPA]],"")</f>
        <v/>
      </c>
      <c r="CS417" s="21" t="str">
        <f>IF([1]!BANCO10[[#This Row],[SOLUÇÃO]]=CS$1,[1]!BANCO10[[#This Row],[STATUS DA ETAPA]],"")</f>
        <v/>
      </c>
      <c r="CT417" s="21" t="str">
        <f>IF([1]!BANCO10[[#This Row],[SOLUÇÃO]]=CT$1,[1]!BANCO10[[#This Row],[STATUS DA ETAPA]],"")</f>
        <v/>
      </c>
      <c r="CU417" s="21" t="str">
        <f>IF([1]!BANCO10[[#This Row],[SOLUÇÃO]]=CU$1,[1]!BANCO10[[#This Row],[STATUS DA ETAPA]],"")</f>
        <v/>
      </c>
      <c r="CV417" s="21" t="str">
        <f>IF([1]!BANCO10[[#This Row],[SOLUÇÃO]]=CV$1,[1]!BANCO10[[#This Row],[STATUS DA ETAPA]],"")</f>
        <v/>
      </c>
    </row>
    <row r="418" spans="1:100">
      <c r="A418" s="44" t="s">
        <v>1</v>
      </c>
      <c r="B418" s="44"/>
      <c r="C418" s="44" t="s">
        <v>1</v>
      </c>
      <c r="D418" s="44"/>
      <c r="E418" s="44" t="s">
        <v>1</v>
      </c>
      <c r="F418" s="44"/>
      <c r="G418" s="44" t="s">
        <v>1</v>
      </c>
      <c r="H418" s="44"/>
      <c r="I418" s="45" t="s">
        <v>1</v>
      </c>
      <c r="J418" s="46"/>
      <c r="K418" s="45" t="s">
        <v>1</v>
      </c>
      <c r="L418" s="33"/>
      <c r="M418" s="45" t="s">
        <v>1</v>
      </c>
      <c r="N418" s="33"/>
      <c r="O418" s="44" t="s">
        <v>1</v>
      </c>
      <c r="P418" s="44"/>
      <c r="Q418" s="44" t="s">
        <v>0</v>
      </c>
      <c r="R418" s="44"/>
      <c r="S418" s="44" t="s">
        <v>1</v>
      </c>
      <c r="T418" s="44"/>
      <c r="U418" s="44" t="s">
        <v>1</v>
      </c>
      <c r="V418" s="44"/>
      <c r="W418" s="44" t="s">
        <v>1</v>
      </c>
      <c r="X418" s="44"/>
      <c r="Y418" s="44" t="s">
        <v>1</v>
      </c>
      <c r="Z418" s="44"/>
      <c r="AA418" s="44" t="s">
        <v>1</v>
      </c>
      <c r="AB418" s="44"/>
      <c r="AC418" s="51">
        <v>45963</v>
      </c>
      <c r="AD418" s="50">
        <v>45963</v>
      </c>
      <c r="AE418" s="40" t="s">
        <v>1</v>
      </c>
      <c r="AF418" s="40" t="s">
        <v>1</v>
      </c>
      <c r="AG418" s="40" t="s">
        <v>1</v>
      </c>
      <c r="AH418" s="36" t="s">
        <v>1</v>
      </c>
      <c r="AI418" s="49">
        <v>0</v>
      </c>
      <c r="AJ418" s="36" t="s">
        <v>1</v>
      </c>
      <c r="AK418" s="10" t="s">
        <v>1</v>
      </c>
      <c r="AL418" s="36" t="s">
        <v>1</v>
      </c>
      <c r="AM418" s="36" t="s">
        <v>1</v>
      </c>
      <c r="AN418" s="35" t="s">
        <v>1</v>
      </c>
      <c r="AO418" s="35" t="s">
        <v>1</v>
      </c>
      <c r="AP418" s="35" t="s">
        <v>1</v>
      </c>
      <c r="AQ418" s="35" t="s">
        <v>1</v>
      </c>
      <c r="AR418" s="82" t="s">
        <v>1</v>
      </c>
      <c r="AS418" s="63"/>
      <c r="AT418" s="32" t="s">
        <v>1</v>
      </c>
      <c r="AU418" s="31"/>
      <c r="AV418" s="32" t="s">
        <v>1</v>
      </c>
      <c r="AW418" s="31"/>
      <c r="AX418" s="32" t="s">
        <v>1</v>
      </c>
      <c r="AY418" s="31"/>
      <c r="AZ418" s="32" t="s">
        <v>1</v>
      </c>
      <c r="BA418" s="31"/>
      <c r="BB418" s="74" t="s">
        <v>15</v>
      </c>
      <c r="BC418" s="25" t="s">
        <v>14</v>
      </c>
      <c r="BD418" s="24"/>
      <c r="BE418" s="24"/>
      <c r="BF418" s="24"/>
      <c r="BG418" s="24"/>
      <c r="BH418" s="130"/>
      <c r="BI418" s="24"/>
      <c r="BJ418" s="24" t="s">
        <v>11</v>
      </c>
      <c r="BK418" s="24" t="s">
        <v>11</v>
      </c>
      <c r="BL418" s="24" t="s">
        <v>11</v>
      </c>
      <c r="BM418" s="24" t="s">
        <v>11</v>
      </c>
      <c r="BN418" s="24" t="s">
        <v>11</v>
      </c>
      <c r="BO418" s="24" t="s">
        <v>11</v>
      </c>
      <c r="BP418" s="24" t="s">
        <v>11</v>
      </c>
      <c r="BQ418" s="22">
        <f>YEAR([1]!BANCO10[[#This Row],[DATA INÍCIO]])</f>
        <v>2025</v>
      </c>
      <c r="BR418" s="22">
        <f>MONTH([1]!BANCO10[[#This Row],[DATA INÍCIO]])</f>
        <v>11</v>
      </c>
      <c r="BS418" s="129" t="e">
        <f>CONCATENATE(#REF!,#REF!)</f>
        <v>#REF!</v>
      </c>
      <c r="BT418" s="22"/>
      <c r="BU418" s="21" t="s">
        <v>469</v>
      </c>
      <c r="BV418" s="21" t="str">
        <f>IF([1]!BANCO10[[#This Row],[SOLUÇÃO]]=BV$1,[1]!BANCO10[[#This Row],[STATUS DA ETAPA]],"")</f>
        <v>CANCELADO</v>
      </c>
      <c r="BW418" s="21" t="str">
        <f>IF([1]!BANCO10[[#This Row],[SOLUÇÃO]]=BW$1,[1]!BANCO10[[#This Row],[STATUS DA ETAPA]],"")</f>
        <v/>
      </c>
      <c r="BX418" s="21" t="str">
        <f>IF([1]!BANCO10[[#This Row],[SOLUÇÃO]]=BX$1,[1]!BANCO10[[#This Row],[STATUS DA ETAPA]],"")</f>
        <v/>
      </c>
      <c r="BY418" s="21" t="str">
        <f>IF([1]!BANCO10[[#This Row],[SOLUÇÃO]]=BY$1,[1]!BANCO10[[#This Row],[STATUS DA ETAPA]],"")</f>
        <v/>
      </c>
      <c r="BZ418" s="21" t="str">
        <f>IF([1]!BANCO10[[#This Row],[SOLUÇÃO]]=BZ$1,[1]!BANCO10[[#This Row],[STATUS DA ETAPA]],"")</f>
        <v/>
      </c>
      <c r="CA418" s="21" t="str">
        <f>IF([1]!BANCO10[[#This Row],[SOLUÇÃO]]=CA$1,[1]!BANCO10[[#This Row],[STATUS DA ETAPA]],"")</f>
        <v/>
      </c>
      <c r="CB418" s="21" t="str">
        <f>IF([1]!BANCO10[[#This Row],[SOLUÇÃO]]=CB$1,[1]!BANCO10[[#This Row],[STATUS DA ETAPA]],"")</f>
        <v/>
      </c>
      <c r="CC418" s="21" t="str">
        <f>IF([1]!BANCO10[[#This Row],[SOLUÇÃO]]=CC$1,[1]!BANCO10[[#This Row],[STATUS DA ETAPA]],"")</f>
        <v/>
      </c>
      <c r="CD418" s="21" t="str">
        <f>IF([1]!BANCO10[[#This Row],[SOLUÇÃO]]=CD$1,[1]!BANCO10[[#This Row],[STATUS DA ETAPA]],"")</f>
        <v/>
      </c>
      <c r="CE418" s="21" t="str">
        <f>IF([1]!BANCO10[[#This Row],[SOLUÇÃO]]=CE$1,[1]!BANCO10[[#This Row],[STATUS DA ETAPA]],"")</f>
        <v/>
      </c>
      <c r="CF418" s="21" t="str">
        <f>IF([1]!BANCO10[[#This Row],[SOLUÇÃO]]=CF$1,[1]!BANCO10[[#This Row],[STATUS DA ETAPA]],"")</f>
        <v/>
      </c>
      <c r="CG418" s="21" t="str">
        <f>IF([1]!BANCO10[[#This Row],[SOLUÇÃO]]=CG$1,[1]!BANCO10[[#This Row],[STATUS DA ETAPA]],"")</f>
        <v/>
      </c>
      <c r="CH418" s="21" t="str">
        <f>IF([1]!BANCO10[[#This Row],[SOLUÇÃO]]=CH$1,[1]!BANCO10[[#This Row],[STATUS DA ETAPA]],"")</f>
        <v/>
      </c>
      <c r="CI418" s="21" t="str">
        <f>IF([1]!BANCO10[[#This Row],[SOLUÇÃO]]=CI$1,[1]!BANCO10[[#This Row],[STATUS DA ETAPA]],"")</f>
        <v/>
      </c>
      <c r="CJ418" s="21" t="str">
        <f>IF([1]!BANCO10[[#This Row],[SOLUÇÃO]]=CJ$1,[1]!BANCO10[[#This Row],[STATUS DA ETAPA]],"")</f>
        <v/>
      </c>
      <c r="CK418" s="21" t="str">
        <f>IF([1]!BANCO10[[#This Row],[SOLUÇÃO]]=CK$1,[1]!BANCO10[[#This Row],[STATUS DA ETAPA]],"")</f>
        <v/>
      </c>
      <c r="CL418" s="21" t="str">
        <f>IF([1]!BANCO10[[#This Row],[SOLUÇÃO]]=CL$1,[1]!BANCO10[[#This Row],[STATUS DA ETAPA]],"")</f>
        <v/>
      </c>
      <c r="CM418" s="21" t="str">
        <f>IF([1]!BANCO10[[#This Row],[SOLUÇÃO]]=CM$1,[1]!BANCO10[[#This Row],[STATUS DA ETAPA]],"")</f>
        <v/>
      </c>
      <c r="CN418" s="21" t="str">
        <f>IF([1]!BANCO10[[#This Row],[SOLUÇÃO]]=CN$1,[1]!BANCO10[[#This Row],[STATUS DA ETAPA]],"")</f>
        <v/>
      </c>
      <c r="CO418" s="21" t="str">
        <f>IF([1]!BANCO10[[#This Row],[SOLUÇÃO]]=CO$1,[1]!BANCO10[[#This Row],[STATUS DA ETAPA]],"")</f>
        <v/>
      </c>
      <c r="CP418" s="21" t="str">
        <f>IF([1]!BANCO10[[#This Row],[SOLUÇÃO]]=CP$1,[1]!BANCO10[[#This Row],[STATUS DA ETAPA]],"")</f>
        <v/>
      </c>
      <c r="CQ418" s="21" t="str">
        <f>IF([1]!BANCO10[[#This Row],[SOLUÇÃO]]=CQ$1,[1]!BANCO10[[#This Row],[STATUS DA ETAPA]],"")</f>
        <v/>
      </c>
      <c r="CR418" s="21" t="str">
        <f>IF([1]!BANCO10[[#This Row],[SOLUÇÃO]]=CR$1,[1]!BANCO10[[#This Row],[STATUS DA ETAPA]],"")</f>
        <v/>
      </c>
      <c r="CS418" s="21" t="str">
        <f>IF([1]!BANCO10[[#This Row],[SOLUÇÃO]]=CS$1,[1]!BANCO10[[#This Row],[STATUS DA ETAPA]],"")</f>
        <v/>
      </c>
      <c r="CT418" s="21" t="str">
        <f>IF([1]!BANCO10[[#This Row],[SOLUÇÃO]]=CT$1,[1]!BANCO10[[#This Row],[STATUS DA ETAPA]],"")</f>
        <v/>
      </c>
      <c r="CU418" s="21" t="str">
        <f>IF([1]!BANCO10[[#This Row],[SOLUÇÃO]]=CU$1,[1]!BANCO10[[#This Row],[STATUS DA ETAPA]],"")</f>
        <v/>
      </c>
      <c r="CV418" s="21" t="str">
        <f>IF([1]!BANCO10[[#This Row],[SOLUÇÃO]]=CV$1,[1]!BANCO10[[#This Row],[STATUS DA ETAPA]],"")</f>
        <v/>
      </c>
    </row>
    <row r="419" spans="1:100">
      <c r="A419" s="44" t="s">
        <v>1</v>
      </c>
      <c r="B419" s="44"/>
      <c r="C419" s="44" t="s">
        <v>1</v>
      </c>
      <c r="D419" s="44"/>
      <c r="E419" s="44" t="s">
        <v>1</v>
      </c>
      <c r="F419" s="44"/>
      <c r="G419" s="44" t="s">
        <v>1</v>
      </c>
      <c r="H419" s="44"/>
      <c r="I419" s="45" t="s">
        <v>1</v>
      </c>
      <c r="J419" s="46"/>
      <c r="K419" s="45" t="s">
        <v>1</v>
      </c>
      <c r="L419" s="33"/>
      <c r="M419" s="45" t="s">
        <v>1</v>
      </c>
      <c r="N419" s="33"/>
      <c r="O419" s="44" t="s">
        <v>1</v>
      </c>
      <c r="P419" s="44"/>
      <c r="Q419" s="44" t="s">
        <v>1</v>
      </c>
      <c r="R419" s="44"/>
      <c r="S419" s="44" t="s">
        <v>1</v>
      </c>
      <c r="T419" s="44"/>
      <c r="U419" s="44" t="s">
        <v>1</v>
      </c>
      <c r="V419" s="44"/>
      <c r="W419" s="44" t="s">
        <v>1</v>
      </c>
      <c r="X419" s="44"/>
      <c r="Y419" s="44" t="s">
        <v>1</v>
      </c>
      <c r="Z419" s="44"/>
      <c r="AA419" s="44" t="s">
        <v>1</v>
      </c>
      <c r="AB419" s="44"/>
      <c r="AC419" s="51">
        <v>45963</v>
      </c>
      <c r="AD419" s="50">
        <v>45963</v>
      </c>
      <c r="AE419" s="40" t="s">
        <v>1</v>
      </c>
      <c r="AF419" s="40" t="s">
        <v>1</v>
      </c>
      <c r="AG419" s="40" t="s">
        <v>1</v>
      </c>
      <c r="AH419" s="36" t="s">
        <v>1</v>
      </c>
      <c r="AI419" s="49">
        <v>0</v>
      </c>
      <c r="AJ419" s="36" t="s">
        <v>1</v>
      </c>
      <c r="AK419" s="10" t="s">
        <v>1</v>
      </c>
      <c r="AL419" s="36" t="s">
        <v>1</v>
      </c>
      <c r="AM419" s="36" t="s">
        <v>1</v>
      </c>
      <c r="AN419" s="35" t="s">
        <v>1</v>
      </c>
      <c r="AO419" s="35" t="s">
        <v>1</v>
      </c>
      <c r="AP419" s="35" t="s">
        <v>1</v>
      </c>
      <c r="AQ419" s="35" t="s">
        <v>1</v>
      </c>
      <c r="AR419" s="33" t="s">
        <v>1</v>
      </c>
      <c r="AS419" s="63"/>
      <c r="AT419" s="32" t="s">
        <v>1</v>
      </c>
      <c r="AU419" s="31"/>
      <c r="AV419" s="32" t="s">
        <v>1</v>
      </c>
      <c r="AW419" s="31"/>
      <c r="AX419" s="32" t="s">
        <v>1</v>
      </c>
      <c r="AY419" s="31"/>
      <c r="AZ419" s="32" t="s">
        <v>1</v>
      </c>
      <c r="BA419" s="31"/>
      <c r="BB419" s="74" t="s">
        <v>467</v>
      </c>
      <c r="BC419" s="25"/>
      <c r="BD419" s="24" t="s">
        <v>18</v>
      </c>
      <c r="BE419" s="24" t="s">
        <v>11</v>
      </c>
      <c r="BF419" s="24" t="s">
        <v>51</v>
      </c>
      <c r="BG419" s="24" t="s">
        <v>11</v>
      </c>
      <c r="BH419" s="130" t="s">
        <v>19</v>
      </c>
      <c r="BI419" s="24"/>
      <c r="BJ419" s="24" t="s">
        <v>11</v>
      </c>
      <c r="BK419" s="24" t="s">
        <v>11</v>
      </c>
      <c r="BL419" s="24">
        <v>45402</v>
      </c>
      <c r="BM419" s="24"/>
      <c r="BN419" s="24" t="s">
        <v>11</v>
      </c>
      <c r="BO419" s="24"/>
      <c r="BP419" s="24" t="s">
        <v>468</v>
      </c>
      <c r="BQ419" s="22">
        <f>YEAR([1]!BANCO10[[#This Row],[DATA INÍCIO]])</f>
        <v>2025</v>
      </c>
      <c r="BR419" s="22">
        <f>MONTH([1]!BANCO10[[#This Row],[DATA INÍCIO]])</f>
        <v>11</v>
      </c>
      <c r="BS419" s="129" t="e">
        <f>CONCATENATE(#REF!,#REF!)</f>
        <v>#REF!</v>
      </c>
      <c r="BT419" s="22"/>
      <c r="BU419" s="21" t="s">
        <v>1</v>
      </c>
      <c r="BV419" s="21" t="str">
        <f>IF([1]!BANCO10[[#This Row],[SOLUÇÃO]]=BV$1,[1]!BANCO10[[#This Row],[STATUS DA ETAPA]],"")</f>
        <v/>
      </c>
      <c r="BW419" s="21" t="str">
        <f>IF([1]!BANCO10[[#This Row],[SOLUÇÃO]]=BW$1,[1]!BANCO10[[#This Row],[STATUS DA ETAPA]],"")</f>
        <v/>
      </c>
      <c r="BX419" s="21" t="str">
        <f>IF([1]!BANCO10[[#This Row],[SOLUÇÃO]]=BX$1,[1]!BANCO10[[#This Row],[STATUS DA ETAPA]],"")</f>
        <v/>
      </c>
      <c r="BY419" s="21" t="str">
        <f>IF([1]!BANCO10[[#This Row],[SOLUÇÃO]]=BY$1,[1]!BANCO10[[#This Row],[STATUS DA ETAPA]],"")</f>
        <v/>
      </c>
      <c r="BZ419" s="21" t="str">
        <f>IF([1]!BANCO10[[#This Row],[SOLUÇÃO]]=BZ$1,[1]!BANCO10[[#This Row],[STATUS DA ETAPA]],"")</f>
        <v/>
      </c>
      <c r="CA419" s="21" t="str">
        <f>IF([1]!BANCO10[[#This Row],[SOLUÇÃO]]=CA$1,[1]!BANCO10[[#This Row],[STATUS DA ETAPA]],"")</f>
        <v>CANCELADO</v>
      </c>
      <c r="CB419" s="21" t="str">
        <f>IF([1]!BANCO10[[#This Row],[SOLUÇÃO]]=CB$1,[1]!BANCO10[[#This Row],[STATUS DA ETAPA]],"")</f>
        <v/>
      </c>
      <c r="CC419" s="21" t="str">
        <f>IF([1]!BANCO10[[#This Row],[SOLUÇÃO]]=CC$1,[1]!BANCO10[[#This Row],[STATUS DA ETAPA]],"")</f>
        <v/>
      </c>
      <c r="CD419" s="21" t="str">
        <f>IF([1]!BANCO10[[#This Row],[SOLUÇÃO]]=CD$1,[1]!BANCO10[[#This Row],[STATUS DA ETAPA]],"")</f>
        <v/>
      </c>
      <c r="CE419" s="21" t="str">
        <f>IF([1]!BANCO10[[#This Row],[SOLUÇÃO]]=CE$1,[1]!BANCO10[[#This Row],[STATUS DA ETAPA]],"")</f>
        <v/>
      </c>
      <c r="CF419" s="21" t="str">
        <f>IF([1]!BANCO10[[#This Row],[SOLUÇÃO]]=CF$1,[1]!BANCO10[[#This Row],[STATUS DA ETAPA]],"")</f>
        <v/>
      </c>
      <c r="CG419" s="21" t="str">
        <f>IF([1]!BANCO10[[#This Row],[SOLUÇÃO]]=CG$1,[1]!BANCO10[[#This Row],[STATUS DA ETAPA]],"")</f>
        <v/>
      </c>
      <c r="CH419" s="21" t="str">
        <f>IF([1]!BANCO10[[#This Row],[SOLUÇÃO]]=CH$1,[1]!BANCO10[[#This Row],[STATUS DA ETAPA]],"")</f>
        <v/>
      </c>
      <c r="CI419" s="21" t="str">
        <f>IF([1]!BANCO10[[#This Row],[SOLUÇÃO]]=CI$1,[1]!BANCO10[[#This Row],[STATUS DA ETAPA]],"")</f>
        <v/>
      </c>
      <c r="CJ419" s="21" t="str">
        <f>IF([1]!BANCO10[[#This Row],[SOLUÇÃO]]=CJ$1,[1]!BANCO10[[#This Row],[STATUS DA ETAPA]],"")</f>
        <v/>
      </c>
      <c r="CK419" s="21" t="str">
        <f>IF([1]!BANCO10[[#This Row],[SOLUÇÃO]]=CK$1,[1]!BANCO10[[#This Row],[STATUS DA ETAPA]],"")</f>
        <v/>
      </c>
      <c r="CL419" s="21" t="str">
        <f>IF([1]!BANCO10[[#This Row],[SOLUÇÃO]]=CL$1,[1]!BANCO10[[#This Row],[STATUS DA ETAPA]],"")</f>
        <v/>
      </c>
      <c r="CM419" s="21" t="str">
        <f>IF([1]!BANCO10[[#This Row],[SOLUÇÃO]]=CM$1,[1]!BANCO10[[#This Row],[STATUS DA ETAPA]],"")</f>
        <v/>
      </c>
      <c r="CN419" s="21" t="str">
        <f>IF([1]!BANCO10[[#This Row],[SOLUÇÃO]]=CN$1,[1]!BANCO10[[#This Row],[STATUS DA ETAPA]],"")</f>
        <v/>
      </c>
      <c r="CO419" s="21" t="str">
        <f>IF([1]!BANCO10[[#This Row],[SOLUÇÃO]]=CO$1,[1]!BANCO10[[#This Row],[STATUS DA ETAPA]],"")</f>
        <v/>
      </c>
      <c r="CP419" s="21" t="str">
        <f>IF([1]!BANCO10[[#This Row],[SOLUÇÃO]]=CP$1,[1]!BANCO10[[#This Row],[STATUS DA ETAPA]],"")</f>
        <v/>
      </c>
      <c r="CQ419" s="21" t="str">
        <f>IF([1]!BANCO10[[#This Row],[SOLUÇÃO]]=CQ$1,[1]!BANCO10[[#This Row],[STATUS DA ETAPA]],"")</f>
        <v/>
      </c>
      <c r="CR419" s="21" t="str">
        <f>IF([1]!BANCO10[[#This Row],[SOLUÇÃO]]=CR$1,[1]!BANCO10[[#This Row],[STATUS DA ETAPA]],"")</f>
        <v/>
      </c>
      <c r="CS419" s="21" t="str">
        <f>IF([1]!BANCO10[[#This Row],[SOLUÇÃO]]=CS$1,[1]!BANCO10[[#This Row],[STATUS DA ETAPA]],"")</f>
        <v/>
      </c>
      <c r="CT419" s="21" t="str">
        <f>IF([1]!BANCO10[[#This Row],[SOLUÇÃO]]=CT$1,[1]!BANCO10[[#This Row],[STATUS DA ETAPA]],"")</f>
        <v/>
      </c>
      <c r="CU419" s="21" t="str">
        <f>IF([1]!BANCO10[[#This Row],[SOLUÇÃO]]=CU$1,[1]!BANCO10[[#This Row],[STATUS DA ETAPA]],"")</f>
        <v/>
      </c>
      <c r="CV419" s="21" t="str">
        <f>IF([1]!BANCO10[[#This Row],[SOLUÇÃO]]=CV$1,[1]!BANCO10[[#This Row],[STATUS DA ETAPA]],"")</f>
        <v/>
      </c>
    </row>
    <row r="420" spans="1:100">
      <c r="A420" s="44" t="s">
        <v>1</v>
      </c>
      <c r="B420" s="44"/>
      <c r="C420" s="44" t="s">
        <v>1</v>
      </c>
      <c r="D420" s="44"/>
      <c r="E420" s="44" t="s">
        <v>1</v>
      </c>
      <c r="F420" s="44"/>
      <c r="G420" s="44" t="s">
        <v>1</v>
      </c>
      <c r="H420" s="44"/>
      <c r="I420" s="45" t="s">
        <v>1</v>
      </c>
      <c r="J420" s="46"/>
      <c r="K420" s="45" t="s">
        <v>1</v>
      </c>
      <c r="L420" s="33"/>
      <c r="M420" s="45" t="s">
        <v>1</v>
      </c>
      <c r="N420" s="33"/>
      <c r="O420" s="44" t="s">
        <v>2</v>
      </c>
      <c r="P420" s="44">
        <v>44712</v>
      </c>
      <c r="Q420" s="44" t="s">
        <v>0</v>
      </c>
      <c r="R420" s="44"/>
      <c r="S420" s="44" t="s">
        <v>1</v>
      </c>
      <c r="T420" s="44"/>
      <c r="U420" s="44" t="s">
        <v>1</v>
      </c>
      <c r="V420" s="44"/>
      <c r="W420" s="44" t="s">
        <v>1</v>
      </c>
      <c r="X420" s="44"/>
      <c r="Y420" s="44" t="s">
        <v>1</v>
      </c>
      <c r="Z420" s="44"/>
      <c r="AA420" s="44" t="s">
        <v>1</v>
      </c>
      <c r="AB420" s="44"/>
      <c r="AC420" s="51">
        <v>44705</v>
      </c>
      <c r="AD420" s="50">
        <v>44705</v>
      </c>
      <c r="AE420" s="40" t="s">
        <v>1</v>
      </c>
      <c r="AF420" s="40" t="s">
        <v>1</v>
      </c>
      <c r="AG420" s="76" t="s">
        <v>5</v>
      </c>
      <c r="AH420" s="36" t="s">
        <v>1</v>
      </c>
      <c r="AI420" s="49">
        <v>0</v>
      </c>
      <c r="AJ420" s="36" t="s">
        <v>1</v>
      </c>
      <c r="AK420" s="10" t="s">
        <v>1</v>
      </c>
      <c r="AL420" s="36" t="s">
        <v>1</v>
      </c>
      <c r="AM420" s="36" t="s">
        <v>1</v>
      </c>
      <c r="AN420" s="35" t="s">
        <v>1</v>
      </c>
      <c r="AO420" s="35" t="s">
        <v>1</v>
      </c>
      <c r="AP420" s="35" t="s">
        <v>1</v>
      </c>
      <c r="AQ420" s="35" t="s">
        <v>1</v>
      </c>
      <c r="AR420" s="82" t="s">
        <v>1</v>
      </c>
      <c r="AS420" s="33"/>
      <c r="AT420" s="32" t="s">
        <v>1</v>
      </c>
      <c r="AU420" s="31"/>
      <c r="AV420" s="32" t="s">
        <v>1</v>
      </c>
      <c r="AW420" s="31"/>
      <c r="AX420" s="30" t="s">
        <v>1</v>
      </c>
      <c r="AY420" s="55"/>
      <c r="AZ420" s="30" t="s">
        <v>1</v>
      </c>
      <c r="BA420" s="55"/>
      <c r="BB420" s="74" t="s">
        <v>467</v>
      </c>
      <c r="BC420" s="25"/>
      <c r="BD420" s="24" t="s">
        <v>18</v>
      </c>
      <c r="BE420" s="24" t="s">
        <v>11</v>
      </c>
      <c r="BF420" s="24" t="s">
        <v>51</v>
      </c>
      <c r="BG420" s="24" t="s">
        <v>11</v>
      </c>
      <c r="BH420" s="130" t="s">
        <v>19</v>
      </c>
      <c r="BI420" s="24"/>
      <c r="BJ420" s="24" t="s">
        <v>11</v>
      </c>
      <c r="BK420" s="24" t="s">
        <v>11</v>
      </c>
      <c r="BL420" s="24" t="s">
        <v>11</v>
      </c>
      <c r="BM420" s="24" t="s">
        <v>11</v>
      </c>
      <c r="BN420" s="24" t="s">
        <v>11</v>
      </c>
      <c r="BO420" s="24" t="s">
        <v>11</v>
      </c>
      <c r="BP420" s="24" t="s">
        <v>11</v>
      </c>
      <c r="BQ420" s="22">
        <f>YEAR([1]!BANCO10[[#This Row],[DATA INÍCIO]])</f>
        <v>2022</v>
      </c>
      <c r="BR420" s="22">
        <f>MONTH([1]!BANCO10[[#This Row],[DATA INÍCIO]])</f>
        <v>5</v>
      </c>
      <c r="BS420" s="129" t="e">
        <f>CONCATENATE(#REF!,#REF!)</f>
        <v>#REF!</v>
      </c>
      <c r="BT420" s="22"/>
      <c r="BU420" s="21" t="s">
        <v>466</v>
      </c>
      <c r="BV420" s="21" t="str">
        <f>IF([1]!BANCO10[[#This Row],[SOLUÇÃO]]=BV$1,[1]!BANCO10[[#This Row],[STATUS DA ETAPA]],"")</f>
        <v>CONCLUÍDO</v>
      </c>
      <c r="BW420" s="21" t="str">
        <f>IF([1]!BANCO10[[#This Row],[SOLUÇÃO]]=BW$1,[1]!BANCO10[[#This Row],[STATUS DA ETAPA]],"")</f>
        <v/>
      </c>
      <c r="BX420" s="21" t="str">
        <f>IF([1]!BANCO10[[#This Row],[SOLUÇÃO]]=BX$1,[1]!BANCO10[[#This Row],[STATUS DA ETAPA]],"")</f>
        <v/>
      </c>
      <c r="BY420" s="21" t="str">
        <f>IF([1]!BANCO10[[#This Row],[SOLUÇÃO]]=BY$1,[1]!BANCO10[[#This Row],[STATUS DA ETAPA]],"")</f>
        <v/>
      </c>
      <c r="BZ420" s="21" t="str">
        <f>IF([1]!BANCO10[[#This Row],[SOLUÇÃO]]=BZ$1,[1]!BANCO10[[#This Row],[STATUS DA ETAPA]],"")</f>
        <v/>
      </c>
      <c r="CA420" s="21" t="str">
        <f>IF([1]!BANCO10[[#This Row],[SOLUÇÃO]]=CA$1,[1]!BANCO10[[#This Row],[STATUS DA ETAPA]],"")</f>
        <v/>
      </c>
      <c r="CB420" s="21" t="str">
        <f>IF([1]!BANCO10[[#This Row],[SOLUÇÃO]]=CB$1,[1]!BANCO10[[#This Row],[STATUS DA ETAPA]],"")</f>
        <v/>
      </c>
      <c r="CC420" s="21" t="str">
        <f>IF([1]!BANCO10[[#This Row],[SOLUÇÃO]]=CC$1,[1]!BANCO10[[#This Row],[STATUS DA ETAPA]],"")</f>
        <v/>
      </c>
      <c r="CD420" s="21" t="str">
        <f>IF([1]!BANCO10[[#This Row],[SOLUÇÃO]]=CD$1,[1]!BANCO10[[#This Row],[STATUS DA ETAPA]],"")</f>
        <v/>
      </c>
      <c r="CE420" s="21" t="str">
        <f>IF([1]!BANCO10[[#This Row],[SOLUÇÃO]]=CE$1,[1]!BANCO10[[#This Row],[STATUS DA ETAPA]],"")</f>
        <v/>
      </c>
      <c r="CF420" s="21" t="str">
        <f>IF([1]!BANCO10[[#This Row],[SOLUÇÃO]]=CF$1,[1]!BANCO10[[#This Row],[STATUS DA ETAPA]],"")</f>
        <v/>
      </c>
      <c r="CG420" s="21" t="str">
        <f>IF([1]!BANCO10[[#This Row],[SOLUÇÃO]]=CG$1,[1]!BANCO10[[#This Row],[STATUS DA ETAPA]],"")</f>
        <v/>
      </c>
      <c r="CH420" s="21" t="str">
        <f>IF([1]!BANCO10[[#This Row],[SOLUÇÃO]]=CH$1,[1]!BANCO10[[#This Row],[STATUS DA ETAPA]],"")</f>
        <v/>
      </c>
      <c r="CI420" s="21" t="str">
        <f>IF([1]!BANCO10[[#This Row],[SOLUÇÃO]]=CI$1,[1]!BANCO10[[#This Row],[STATUS DA ETAPA]],"")</f>
        <v/>
      </c>
      <c r="CJ420" s="21" t="str">
        <f>IF([1]!BANCO10[[#This Row],[SOLUÇÃO]]=CJ$1,[1]!BANCO10[[#This Row],[STATUS DA ETAPA]],"")</f>
        <v/>
      </c>
      <c r="CK420" s="21" t="str">
        <f>IF([1]!BANCO10[[#This Row],[SOLUÇÃO]]=CK$1,[1]!BANCO10[[#This Row],[STATUS DA ETAPA]],"")</f>
        <v/>
      </c>
      <c r="CL420" s="21" t="str">
        <f>IF([1]!BANCO10[[#This Row],[SOLUÇÃO]]=CL$1,[1]!BANCO10[[#This Row],[STATUS DA ETAPA]],"")</f>
        <v/>
      </c>
      <c r="CM420" s="21" t="str">
        <f>IF([1]!BANCO10[[#This Row],[SOLUÇÃO]]=CM$1,[1]!BANCO10[[#This Row],[STATUS DA ETAPA]],"")</f>
        <v/>
      </c>
      <c r="CN420" s="21" t="str">
        <f>IF([1]!BANCO10[[#This Row],[SOLUÇÃO]]=CN$1,[1]!BANCO10[[#This Row],[STATUS DA ETAPA]],"")</f>
        <v/>
      </c>
      <c r="CO420" s="21" t="str">
        <f>IF([1]!BANCO10[[#This Row],[SOLUÇÃO]]=CO$1,[1]!BANCO10[[#This Row],[STATUS DA ETAPA]],"")</f>
        <v/>
      </c>
      <c r="CP420" s="21" t="str">
        <f>IF([1]!BANCO10[[#This Row],[SOLUÇÃO]]=CP$1,[1]!BANCO10[[#This Row],[STATUS DA ETAPA]],"")</f>
        <v/>
      </c>
      <c r="CQ420" s="21" t="str">
        <f>IF([1]!BANCO10[[#This Row],[SOLUÇÃO]]=CQ$1,[1]!BANCO10[[#This Row],[STATUS DA ETAPA]],"")</f>
        <v/>
      </c>
      <c r="CR420" s="21" t="str">
        <f>IF([1]!BANCO10[[#This Row],[SOLUÇÃO]]=CR$1,[1]!BANCO10[[#This Row],[STATUS DA ETAPA]],"")</f>
        <v/>
      </c>
      <c r="CS420" s="21" t="str">
        <f>IF([1]!BANCO10[[#This Row],[SOLUÇÃO]]=CS$1,[1]!BANCO10[[#This Row],[STATUS DA ETAPA]],"")</f>
        <v/>
      </c>
      <c r="CT420" s="21" t="str">
        <f>IF([1]!BANCO10[[#This Row],[SOLUÇÃO]]=CT$1,[1]!BANCO10[[#This Row],[STATUS DA ETAPA]],"")</f>
        <v/>
      </c>
      <c r="CU420" s="21" t="str">
        <f>IF([1]!BANCO10[[#This Row],[SOLUÇÃO]]=CU$1,[1]!BANCO10[[#This Row],[STATUS DA ETAPA]],"")</f>
        <v/>
      </c>
      <c r="CV420" s="21" t="str">
        <f>IF([1]!BANCO10[[#This Row],[SOLUÇÃO]]=CV$1,[1]!BANCO10[[#This Row],[STATUS DA ETAPA]],"")</f>
        <v/>
      </c>
    </row>
    <row r="421" spans="1:100">
      <c r="A421" s="44" t="s">
        <v>1</v>
      </c>
      <c r="B421" s="44"/>
      <c r="C421" s="44" t="s">
        <v>1</v>
      </c>
      <c r="D421" s="44"/>
      <c r="E421" s="44" t="s">
        <v>1</v>
      </c>
      <c r="F421" s="44"/>
      <c r="G421" s="44" t="s">
        <v>1</v>
      </c>
      <c r="H421" s="44"/>
      <c r="I421" s="45" t="s">
        <v>1</v>
      </c>
      <c r="J421" s="46"/>
      <c r="K421" s="45" t="s">
        <v>1</v>
      </c>
      <c r="L421" s="33"/>
      <c r="M421" s="45" t="s">
        <v>1</v>
      </c>
      <c r="N421" s="33"/>
      <c r="O421" s="44" t="s">
        <v>2</v>
      </c>
      <c r="P421" s="44">
        <v>44824</v>
      </c>
      <c r="Q421" s="44" t="s">
        <v>0</v>
      </c>
      <c r="R421" s="44"/>
      <c r="S421" s="44" t="s">
        <v>1</v>
      </c>
      <c r="T421" s="44"/>
      <c r="U421" s="44" t="s">
        <v>1</v>
      </c>
      <c r="V421" s="44"/>
      <c r="W421" s="44" t="s">
        <v>1</v>
      </c>
      <c r="X421" s="44"/>
      <c r="Y421" s="44" t="s">
        <v>1</v>
      </c>
      <c r="Z421" s="44"/>
      <c r="AA421" s="44" t="s">
        <v>1</v>
      </c>
      <c r="AB421" s="44"/>
      <c r="AC421" s="51">
        <v>44823</v>
      </c>
      <c r="AD421" s="50">
        <v>44823</v>
      </c>
      <c r="AE421" s="40" t="s">
        <v>1</v>
      </c>
      <c r="AF421" s="40" t="s">
        <v>1</v>
      </c>
      <c r="AG421" s="76" t="s">
        <v>5</v>
      </c>
      <c r="AH421" s="36" t="s">
        <v>1</v>
      </c>
      <c r="AI421" s="49">
        <v>0</v>
      </c>
      <c r="AJ421" s="36" t="s">
        <v>1</v>
      </c>
      <c r="AK421" s="10" t="s">
        <v>1</v>
      </c>
      <c r="AL421" s="36" t="s">
        <v>1</v>
      </c>
      <c r="AM421" s="36" t="s">
        <v>1</v>
      </c>
      <c r="AN421" s="35" t="s">
        <v>1</v>
      </c>
      <c r="AO421" s="35" t="s">
        <v>1</v>
      </c>
      <c r="AP421" s="35" t="s">
        <v>1</v>
      </c>
      <c r="AQ421" s="35" t="s">
        <v>1</v>
      </c>
      <c r="AR421" s="82" t="s">
        <v>1</v>
      </c>
      <c r="AS421" s="33"/>
      <c r="AT421" s="32" t="s">
        <v>1</v>
      </c>
      <c r="AU421" s="31"/>
      <c r="AV421" s="32" t="s">
        <v>1</v>
      </c>
      <c r="AW421" s="31"/>
      <c r="AX421" s="30" t="s">
        <v>1</v>
      </c>
      <c r="AY421" s="55"/>
      <c r="AZ421" s="30" t="s">
        <v>1</v>
      </c>
      <c r="BA421" s="55"/>
      <c r="BB421" s="74"/>
      <c r="BC421" s="25"/>
      <c r="BD421" s="24" t="s">
        <v>11</v>
      </c>
      <c r="BE421" s="24" t="s">
        <v>11</v>
      </c>
      <c r="BF421" s="24" t="s">
        <v>21</v>
      </c>
      <c r="BG421" s="24" t="s">
        <v>11</v>
      </c>
      <c r="BH421" s="130" t="s">
        <v>18</v>
      </c>
      <c r="BI421" s="24" t="s">
        <v>21</v>
      </c>
      <c r="BJ421" s="24" t="s">
        <v>11</v>
      </c>
      <c r="BK421" s="24" t="s">
        <v>11</v>
      </c>
      <c r="BL421" s="24" t="s">
        <v>11</v>
      </c>
      <c r="BM421" s="24" t="s">
        <v>11</v>
      </c>
      <c r="BN421" s="24" t="s">
        <v>11</v>
      </c>
      <c r="BO421" s="24" t="s">
        <v>11</v>
      </c>
      <c r="BP421" s="24" t="s">
        <v>11</v>
      </c>
      <c r="BQ421" s="22">
        <f>YEAR([1]!BANCO10[[#This Row],[DATA INÍCIO]])</f>
        <v>2022</v>
      </c>
      <c r="BR421" s="22">
        <f>MONTH([1]!BANCO10[[#This Row],[DATA INÍCIO]])</f>
        <v>9</v>
      </c>
      <c r="BS421" s="129" t="e">
        <f>CONCATENATE(#REF!,#REF!)</f>
        <v>#REF!</v>
      </c>
      <c r="BT421" s="22"/>
      <c r="BU421" s="21" t="s">
        <v>465</v>
      </c>
      <c r="BV421" s="21" t="str">
        <f>IF([1]!BANCO10[[#This Row],[SOLUÇÃO]]=BV$1,[1]!BANCO10[[#This Row],[STATUS DA ETAPA]],"")</f>
        <v>CONCLUÍDO</v>
      </c>
      <c r="BW421" s="21" t="str">
        <f>IF([1]!BANCO10[[#This Row],[SOLUÇÃO]]=BW$1,[1]!BANCO10[[#This Row],[STATUS DA ETAPA]],"")</f>
        <v/>
      </c>
      <c r="BX421" s="21" t="str">
        <f>IF([1]!BANCO10[[#This Row],[SOLUÇÃO]]=BX$1,[1]!BANCO10[[#This Row],[STATUS DA ETAPA]],"")</f>
        <v/>
      </c>
      <c r="BY421" s="21" t="str">
        <f>IF([1]!BANCO10[[#This Row],[SOLUÇÃO]]=BY$1,[1]!BANCO10[[#This Row],[STATUS DA ETAPA]],"")</f>
        <v/>
      </c>
      <c r="BZ421" s="21" t="str">
        <f>IF([1]!BANCO10[[#This Row],[SOLUÇÃO]]=BZ$1,[1]!BANCO10[[#This Row],[STATUS DA ETAPA]],"")</f>
        <v/>
      </c>
      <c r="CA421" s="21" t="str">
        <f>IF([1]!BANCO10[[#This Row],[SOLUÇÃO]]=CA$1,[1]!BANCO10[[#This Row],[STATUS DA ETAPA]],"")</f>
        <v/>
      </c>
      <c r="CB421" s="21" t="str">
        <f>IF([1]!BANCO10[[#This Row],[SOLUÇÃO]]=CB$1,[1]!BANCO10[[#This Row],[STATUS DA ETAPA]],"")</f>
        <v/>
      </c>
      <c r="CC421" s="21" t="str">
        <f>IF([1]!BANCO10[[#This Row],[SOLUÇÃO]]=CC$1,[1]!BANCO10[[#This Row],[STATUS DA ETAPA]],"")</f>
        <v/>
      </c>
      <c r="CD421" s="21" t="str">
        <f>IF([1]!BANCO10[[#This Row],[SOLUÇÃO]]=CD$1,[1]!BANCO10[[#This Row],[STATUS DA ETAPA]],"")</f>
        <v/>
      </c>
      <c r="CE421" s="21" t="str">
        <f>IF([1]!BANCO10[[#This Row],[SOLUÇÃO]]=CE$1,[1]!BANCO10[[#This Row],[STATUS DA ETAPA]],"")</f>
        <v/>
      </c>
      <c r="CF421" s="21" t="str">
        <f>IF([1]!BANCO10[[#This Row],[SOLUÇÃO]]=CF$1,[1]!BANCO10[[#This Row],[STATUS DA ETAPA]],"")</f>
        <v/>
      </c>
      <c r="CG421" s="21" t="str">
        <f>IF([1]!BANCO10[[#This Row],[SOLUÇÃO]]=CG$1,[1]!BANCO10[[#This Row],[STATUS DA ETAPA]],"")</f>
        <v/>
      </c>
      <c r="CH421" s="21" t="str">
        <f>IF([1]!BANCO10[[#This Row],[SOLUÇÃO]]=CH$1,[1]!BANCO10[[#This Row],[STATUS DA ETAPA]],"")</f>
        <v/>
      </c>
      <c r="CI421" s="21" t="str">
        <f>IF([1]!BANCO10[[#This Row],[SOLUÇÃO]]=CI$1,[1]!BANCO10[[#This Row],[STATUS DA ETAPA]],"")</f>
        <v/>
      </c>
      <c r="CJ421" s="21" t="str">
        <f>IF([1]!BANCO10[[#This Row],[SOLUÇÃO]]=CJ$1,[1]!BANCO10[[#This Row],[STATUS DA ETAPA]],"")</f>
        <v/>
      </c>
      <c r="CK421" s="21" t="str">
        <f>IF([1]!BANCO10[[#This Row],[SOLUÇÃO]]=CK$1,[1]!BANCO10[[#This Row],[STATUS DA ETAPA]],"")</f>
        <v/>
      </c>
      <c r="CL421" s="21" t="str">
        <f>IF([1]!BANCO10[[#This Row],[SOLUÇÃO]]=CL$1,[1]!BANCO10[[#This Row],[STATUS DA ETAPA]],"")</f>
        <v/>
      </c>
      <c r="CM421" s="21" t="str">
        <f>IF([1]!BANCO10[[#This Row],[SOLUÇÃO]]=CM$1,[1]!BANCO10[[#This Row],[STATUS DA ETAPA]],"")</f>
        <v/>
      </c>
      <c r="CN421" s="21" t="str">
        <f>IF([1]!BANCO10[[#This Row],[SOLUÇÃO]]=CN$1,[1]!BANCO10[[#This Row],[STATUS DA ETAPA]],"")</f>
        <v/>
      </c>
      <c r="CO421" s="21" t="str">
        <f>IF([1]!BANCO10[[#This Row],[SOLUÇÃO]]=CO$1,[1]!BANCO10[[#This Row],[STATUS DA ETAPA]],"")</f>
        <v/>
      </c>
      <c r="CP421" s="21" t="str">
        <f>IF([1]!BANCO10[[#This Row],[SOLUÇÃO]]=CP$1,[1]!BANCO10[[#This Row],[STATUS DA ETAPA]],"")</f>
        <v/>
      </c>
      <c r="CQ421" s="21" t="str">
        <f>IF([1]!BANCO10[[#This Row],[SOLUÇÃO]]=CQ$1,[1]!BANCO10[[#This Row],[STATUS DA ETAPA]],"")</f>
        <v/>
      </c>
      <c r="CR421" s="21" t="str">
        <f>IF([1]!BANCO10[[#This Row],[SOLUÇÃO]]=CR$1,[1]!BANCO10[[#This Row],[STATUS DA ETAPA]],"")</f>
        <v/>
      </c>
      <c r="CS421" s="21" t="str">
        <f>IF([1]!BANCO10[[#This Row],[SOLUÇÃO]]=CS$1,[1]!BANCO10[[#This Row],[STATUS DA ETAPA]],"")</f>
        <v/>
      </c>
      <c r="CT421" s="21" t="str">
        <f>IF([1]!BANCO10[[#This Row],[SOLUÇÃO]]=CT$1,[1]!BANCO10[[#This Row],[STATUS DA ETAPA]],"")</f>
        <v/>
      </c>
      <c r="CU421" s="21" t="str">
        <f>IF([1]!BANCO10[[#This Row],[SOLUÇÃO]]=CU$1,[1]!BANCO10[[#This Row],[STATUS DA ETAPA]],"")</f>
        <v/>
      </c>
      <c r="CV421" s="21" t="str">
        <f>IF([1]!BANCO10[[#This Row],[SOLUÇÃO]]=CV$1,[1]!BANCO10[[#This Row],[STATUS DA ETAPA]],"")</f>
        <v/>
      </c>
    </row>
    <row r="422" spans="1:100">
      <c r="A422" s="44" t="s">
        <v>1</v>
      </c>
      <c r="B422" s="44"/>
      <c r="C422" s="44" t="s">
        <v>1</v>
      </c>
      <c r="D422" s="44"/>
      <c r="E422" s="44" t="s">
        <v>1</v>
      </c>
      <c r="F422" s="44"/>
      <c r="G422" s="44" t="s">
        <v>1</v>
      </c>
      <c r="H422" s="44"/>
      <c r="I422" s="45" t="s">
        <v>1</v>
      </c>
      <c r="J422" s="46"/>
      <c r="K422" s="45" t="s">
        <v>1</v>
      </c>
      <c r="L422" s="33"/>
      <c r="M422" s="45" t="s">
        <v>1</v>
      </c>
      <c r="N422" s="33"/>
      <c r="O422" s="44" t="s">
        <v>2</v>
      </c>
      <c r="P422" s="44">
        <v>44824</v>
      </c>
      <c r="Q422" s="44" t="s">
        <v>2</v>
      </c>
      <c r="R422" s="44">
        <v>44825</v>
      </c>
      <c r="S422" s="44" t="s">
        <v>2</v>
      </c>
      <c r="T422" s="44">
        <v>44825</v>
      </c>
      <c r="U422" s="44"/>
      <c r="V422" s="44"/>
      <c r="W422" s="44" t="s">
        <v>2</v>
      </c>
      <c r="X422" s="44"/>
      <c r="Y422" s="44" t="s">
        <v>2</v>
      </c>
      <c r="Z422" s="44">
        <v>45187</v>
      </c>
      <c r="AA422" s="44" t="s">
        <v>2</v>
      </c>
      <c r="AB422" s="44"/>
      <c r="AC422" s="84">
        <v>44938</v>
      </c>
      <c r="AD422" s="83">
        <v>45022</v>
      </c>
      <c r="AE422" s="40" t="s">
        <v>2</v>
      </c>
      <c r="AF422" s="40" t="s">
        <v>2</v>
      </c>
      <c r="AG422" s="76" t="s">
        <v>5</v>
      </c>
      <c r="AH422" s="36" t="s">
        <v>0</v>
      </c>
      <c r="AI422" s="49">
        <v>0</v>
      </c>
      <c r="AJ422" s="36"/>
      <c r="AK422" s="10"/>
      <c r="AL422" s="36">
        <v>4731</v>
      </c>
      <c r="AM422" s="36" t="s">
        <v>1</v>
      </c>
      <c r="AN422" s="35" t="s">
        <v>1</v>
      </c>
      <c r="AO422" s="35" t="s">
        <v>1</v>
      </c>
      <c r="AP422" s="35" t="s">
        <v>2</v>
      </c>
      <c r="AQ422" s="35" t="s">
        <v>1</v>
      </c>
      <c r="AR422" s="33" t="s">
        <v>1</v>
      </c>
      <c r="AS422" s="33"/>
      <c r="AT422" s="32" t="s">
        <v>1</v>
      </c>
      <c r="AU422" s="31"/>
      <c r="AV422" s="32" t="s">
        <v>1</v>
      </c>
      <c r="AW422" s="31"/>
      <c r="AX422" s="30" t="s">
        <v>2</v>
      </c>
      <c r="AY422" s="55">
        <v>45056</v>
      </c>
      <c r="AZ422" s="30" t="s">
        <v>2</v>
      </c>
      <c r="BA422" s="91"/>
      <c r="BB422" s="74"/>
      <c r="BC422" s="25"/>
      <c r="BD422" s="24" t="s">
        <v>11</v>
      </c>
      <c r="BE422" s="24" t="s">
        <v>11</v>
      </c>
      <c r="BF422" s="24" t="s">
        <v>21</v>
      </c>
      <c r="BG422" s="24" t="s">
        <v>11</v>
      </c>
      <c r="BH422" s="130" t="s">
        <v>18</v>
      </c>
      <c r="BI422" s="24" t="s">
        <v>21</v>
      </c>
      <c r="BJ422" s="24" t="s">
        <v>37</v>
      </c>
      <c r="BK422" s="24" t="s">
        <v>19</v>
      </c>
      <c r="BL422" s="24">
        <v>45402</v>
      </c>
      <c r="BM422" s="24" t="s">
        <v>18</v>
      </c>
      <c r="BN422" s="24" t="s">
        <v>11</v>
      </c>
      <c r="BO422" s="24"/>
      <c r="BP422" s="24" t="s">
        <v>286</v>
      </c>
      <c r="BQ422" s="22">
        <f>YEAR([1]!BANCO10[[#This Row],[DATA INÍCIO]])</f>
        <v>2023</v>
      </c>
      <c r="BR422" s="22">
        <f>MONTH([1]!BANCO10[[#This Row],[DATA INÍCIO]])</f>
        <v>1</v>
      </c>
      <c r="BS422" s="129" t="e">
        <f>CONCATENATE(#REF!,#REF!)</f>
        <v>#REF!</v>
      </c>
      <c r="BT422" s="22"/>
      <c r="BU422" s="21" t="s">
        <v>464</v>
      </c>
      <c r="BV422" s="21" t="str">
        <f>IF([1]!BANCO10[[#This Row],[SOLUÇÃO]]=BV$1,[1]!BANCO10[[#This Row],[STATUS DA ETAPA]],"")</f>
        <v/>
      </c>
      <c r="BW422" s="21" t="str">
        <f>IF([1]!BANCO10[[#This Row],[SOLUÇÃO]]=BW$1,[1]!BANCO10[[#This Row],[STATUS DA ETAPA]],"")</f>
        <v/>
      </c>
      <c r="BX422" s="21" t="str">
        <f>IF([1]!BANCO10[[#This Row],[SOLUÇÃO]]=BX$1,[1]!BANCO10[[#This Row],[STATUS DA ETAPA]],"")</f>
        <v/>
      </c>
      <c r="BY422" s="21" t="str">
        <f>IF([1]!BANCO10[[#This Row],[SOLUÇÃO]]=BY$1,[1]!BANCO10[[#This Row],[STATUS DA ETAPA]],"")</f>
        <v/>
      </c>
      <c r="BZ422" s="21" t="str">
        <f>IF([1]!BANCO10[[#This Row],[SOLUÇÃO]]=BZ$1,[1]!BANCO10[[#This Row],[STATUS DA ETAPA]],"")</f>
        <v/>
      </c>
      <c r="CA422" s="21" t="str">
        <f>IF([1]!BANCO10[[#This Row],[SOLUÇÃO]]=CA$1,[1]!BANCO10[[#This Row],[STATUS DA ETAPA]],"")</f>
        <v>CONCLUÍDO</v>
      </c>
      <c r="CB422" s="21" t="str">
        <f>IF([1]!BANCO10[[#This Row],[SOLUÇÃO]]=CB$1,[1]!BANCO10[[#This Row],[STATUS DA ETAPA]],"")</f>
        <v/>
      </c>
      <c r="CC422" s="21" t="str">
        <f>IF([1]!BANCO10[[#This Row],[SOLUÇÃO]]=CC$1,[1]!BANCO10[[#This Row],[STATUS DA ETAPA]],"")</f>
        <v/>
      </c>
      <c r="CD422" s="21" t="str">
        <f>IF([1]!BANCO10[[#This Row],[SOLUÇÃO]]=CD$1,[1]!BANCO10[[#This Row],[STATUS DA ETAPA]],"")</f>
        <v/>
      </c>
      <c r="CE422" s="21" t="str">
        <f>IF([1]!BANCO10[[#This Row],[SOLUÇÃO]]=CE$1,[1]!BANCO10[[#This Row],[STATUS DA ETAPA]],"")</f>
        <v/>
      </c>
      <c r="CF422" s="21" t="str">
        <f>IF([1]!BANCO10[[#This Row],[SOLUÇÃO]]=CF$1,[1]!BANCO10[[#This Row],[STATUS DA ETAPA]],"")</f>
        <v/>
      </c>
      <c r="CG422" s="21" t="str">
        <f>IF([1]!BANCO10[[#This Row],[SOLUÇÃO]]=CG$1,[1]!BANCO10[[#This Row],[STATUS DA ETAPA]],"")</f>
        <v/>
      </c>
      <c r="CH422" s="21" t="str">
        <f>IF([1]!BANCO10[[#This Row],[SOLUÇÃO]]=CH$1,[1]!BANCO10[[#This Row],[STATUS DA ETAPA]],"")</f>
        <v/>
      </c>
      <c r="CI422" s="21" t="str">
        <f>IF([1]!BANCO10[[#This Row],[SOLUÇÃO]]=CI$1,[1]!BANCO10[[#This Row],[STATUS DA ETAPA]],"")</f>
        <v/>
      </c>
      <c r="CJ422" s="21" t="str">
        <f>IF([1]!BANCO10[[#This Row],[SOLUÇÃO]]=CJ$1,[1]!BANCO10[[#This Row],[STATUS DA ETAPA]],"")</f>
        <v/>
      </c>
      <c r="CK422" s="21" t="str">
        <f>IF([1]!BANCO10[[#This Row],[SOLUÇÃO]]=CK$1,[1]!BANCO10[[#This Row],[STATUS DA ETAPA]],"")</f>
        <v/>
      </c>
      <c r="CL422" s="21" t="str">
        <f>IF([1]!BANCO10[[#This Row],[SOLUÇÃO]]=CL$1,[1]!BANCO10[[#This Row],[STATUS DA ETAPA]],"")</f>
        <v/>
      </c>
      <c r="CM422" s="21" t="str">
        <f>IF([1]!BANCO10[[#This Row],[SOLUÇÃO]]=CM$1,[1]!BANCO10[[#This Row],[STATUS DA ETAPA]],"")</f>
        <v/>
      </c>
      <c r="CN422" s="21" t="str">
        <f>IF([1]!BANCO10[[#This Row],[SOLUÇÃO]]=CN$1,[1]!BANCO10[[#This Row],[STATUS DA ETAPA]],"")</f>
        <v/>
      </c>
      <c r="CO422" s="21" t="str">
        <f>IF([1]!BANCO10[[#This Row],[SOLUÇÃO]]=CO$1,[1]!BANCO10[[#This Row],[STATUS DA ETAPA]],"")</f>
        <v/>
      </c>
      <c r="CP422" s="21" t="str">
        <f>IF([1]!BANCO10[[#This Row],[SOLUÇÃO]]=CP$1,[1]!BANCO10[[#This Row],[STATUS DA ETAPA]],"")</f>
        <v/>
      </c>
      <c r="CQ422" s="21" t="str">
        <f>IF([1]!BANCO10[[#This Row],[SOLUÇÃO]]=CQ$1,[1]!BANCO10[[#This Row],[STATUS DA ETAPA]],"")</f>
        <v/>
      </c>
      <c r="CR422" s="21" t="str">
        <f>IF([1]!BANCO10[[#This Row],[SOLUÇÃO]]=CR$1,[1]!BANCO10[[#This Row],[STATUS DA ETAPA]],"")</f>
        <v/>
      </c>
      <c r="CS422" s="21" t="str">
        <f>IF([1]!BANCO10[[#This Row],[SOLUÇÃO]]=CS$1,[1]!BANCO10[[#This Row],[STATUS DA ETAPA]],"")</f>
        <v/>
      </c>
      <c r="CT422" s="21" t="str">
        <f>IF([1]!BANCO10[[#This Row],[SOLUÇÃO]]=CT$1,[1]!BANCO10[[#This Row],[STATUS DA ETAPA]],"")</f>
        <v/>
      </c>
      <c r="CU422" s="21" t="str">
        <f>IF([1]!BANCO10[[#This Row],[SOLUÇÃO]]=CU$1,[1]!BANCO10[[#This Row],[STATUS DA ETAPA]],"")</f>
        <v/>
      </c>
      <c r="CV422" s="21" t="str">
        <f>IF([1]!BANCO10[[#This Row],[SOLUÇÃO]]=CV$1,[1]!BANCO10[[#This Row],[STATUS DA ETAPA]],"")</f>
        <v/>
      </c>
    </row>
    <row r="423" spans="1:100">
      <c r="A423" s="44" t="s">
        <v>1</v>
      </c>
      <c r="B423" s="44"/>
      <c r="C423" s="44" t="s">
        <v>1</v>
      </c>
      <c r="D423" s="44"/>
      <c r="E423" s="44" t="s">
        <v>1</v>
      </c>
      <c r="F423" s="44"/>
      <c r="G423" s="44" t="s">
        <v>1</v>
      </c>
      <c r="H423" s="44"/>
      <c r="I423" s="45" t="s">
        <v>1</v>
      </c>
      <c r="J423" s="46"/>
      <c r="K423" s="45" t="s">
        <v>1</v>
      </c>
      <c r="L423" s="33"/>
      <c r="M423" s="45" t="s">
        <v>1</v>
      </c>
      <c r="N423" s="33"/>
      <c r="O423" s="44" t="s">
        <v>1</v>
      </c>
      <c r="P423" s="44"/>
      <c r="Q423" s="44" t="s">
        <v>1</v>
      </c>
      <c r="R423" s="44"/>
      <c r="S423" s="44" t="s">
        <v>1</v>
      </c>
      <c r="T423" s="44"/>
      <c r="U423" s="44" t="s">
        <v>2</v>
      </c>
      <c r="V423" s="44">
        <v>45617</v>
      </c>
      <c r="W423" s="44" t="s">
        <v>2</v>
      </c>
      <c r="X423" s="44">
        <v>45617</v>
      </c>
      <c r="Y423" s="44" t="s">
        <v>2</v>
      </c>
      <c r="Z423" s="44">
        <v>45617</v>
      </c>
      <c r="AA423" s="44" t="s">
        <v>2</v>
      </c>
      <c r="AB423" s="44">
        <v>45589</v>
      </c>
      <c r="AC423" s="84">
        <v>44938</v>
      </c>
      <c r="AD423" s="83">
        <v>45761</v>
      </c>
      <c r="AE423" s="41" t="s">
        <v>2</v>
      </c>
      <c r="AF423" s="41" t="s">
        <v>2</v>
      </c>
      <c r="AG423" s="76" t="s">
        <v>5</v>
      </c>
      <c r="AH423" s="36" t="s">
        <v>0</v>
      </c>
      <c r="AI423" s="49">
        <v>0</v>
      </c>
      <c r="AJ423" s="36" t="s">
        <v>6</v>
      </c>
      <c r="AK423" s="10" t="s">
        <v>463</v>
      </c>
      <c r="AL423" s="36">
        <v>4746</v>
      </c>
      <c r="AM423" s="36">
        <v>117261</v>
      </c>
      <c r="AN423" s="35" t="s">
        <v>1</v>
      </c>
      <c r="AO423" s="35" t="s">
        <v>1</v>
      </c>
      <c r="AP423" s="35" t="s">
        <v>2</v>
      </c>
      <c r="AQ423" s="35" t="s">
        <v>1</v>
      </c>
      <c r="AR423" s="34" t="s">
        <v>1</v>
      </c>
      <c r="AS423" s="33"/>
      <c r="AT423" s="32" t="s">
        <v>2</v>
      </c>
      <c r="AU423" s="31">
        <v>45789</v>
      </c>
      <c r="AV423" s="32" t="s">
        <v>0</v>
      </c>
      <c r="AW423" s="31"/>
      <c r="AX423" s="32" t="s">
        <v>0</v>
      </c>
      <c r="AY423" s="31"/>
      <c r="AZ423" s="32" t="s">
        <v>0</v>
      </c>
      <c r="BA423" s="47"/>
      <c r="BB423" s="95"/>
      <c r="BC423" s="133" t="s">
        <v>162</v>
      </c>
      <c r="BD423" s="24"/>
      <c r="BE423" s="24"/>
      <c r="BF423" s="79"/>
      <c r="BG423" s="79"/>
      <c r="BH423" s="80"/>
      <c r="BI423" s="79"/>
      <c r="BJ423" s="54"/>
      <c r="BK423" s="78"/>
      <c r="BL423" s="69"/>
      <c r="BM423" s="78"/>
      <c r="BN423" s="78"/>
      <c r="BO423" s="78"/>
      <c r="BP423" s="78"/>
      <c r="BQ423" s="21">
        <f>YEAR([1]!BANCO10[[#This Row],[DATA INÍCIO]])</f>
        <v>2023</v>
      </c>
      <c r="BR423" s="21">
        <f>MONTH([1]!BANCO10[[#This Row],[DATA INÍCIO]])</f>
        <v>1</v>
      </c>
      <c r="BS423" s="21" t="e">
        <f>CONCATENATE(#REF!,#REF!)</f>
        <v>#REF!</v>
      </c>
      <c r="BT423" s="21"/>
      <c r="BU423" s="21"/>
      <c r="BV423" s="21" t="str">
        <f>IF([1]!BANCO10[[#This Row],[SOLUÇÃO]]=BV$1,[1]!BANCO10[[#This Row],[STATUS DA ETAPA]],"")</f>
        <v/>
      </c>
      <c r="BW423" s="21" t="str">
        <f>IF([1]!BANCO10[[#This Row],[SOLUÇÃO]]=BW$1,[1]!BANCO10[[#This Row],[STATUS DA ETAPA]],"")</f>
        <v/>
      </c>
      <c r="BX423" s="21" t="str">
        <f>IF([1]!BANCO10[[#This Row],[SOLUÇÃO]]=BX$1,[1]!BANCO10[[#This Row],[STATUS DA ETAPA]],"")</f>
        <v/>
      </c>
      <c r="BY423" s="21" t="str">
        <f>IF([1]!BANCO10[[#This Row],[SOLUÇÃO]]=BY$1,[1]!BANCO10[[#This Row],[STATUS DA ETAPA]],"")</f>
        <v/>
      </c>
      <c r="BZ423" s="21" t="str">
        <f>IF([1]!BANCO10[[#This Row],[SOLUÇÃO]]=BZ$1,[1]!BANCO10[[#This Row],[STATUS DA ETAPA]],"")</f>
        <v/>
      </c>
      <c r="CA423" s="21" t="str">
        <f>IF([1]!BANCO10[[#This Row],[SOLUÇÃO]]=CA$1,[1]!BANCO10[[#This Row],[STATUS DA ETAPA]],"")</f>
        <v/>
      </c>
      <c r="CB423" s="21" t="str">
        <f>IF([1]!BANCO10[[#This Row],[SOLUÇÃO]]=CB$1,[1]!BANCO10[[#This Row],[STATUS DA ETAPA]],"")</f>
        <v/>
      </c>
      <c r="CC423" s="21" t="str">
        <f>IF([1]!BANCO10[[#This Row],[SOLUÇÃO]]=CC$1,[1]!BANCO10[[#This Row],[STATUS DA ETAPA]],"")</f>
        <v>CONCLUÍDO</v>
      </c>
      <c r="CD423" s="21" t="str">
        <f>IF([1]!BANCO10[[#This Row],[SOLUÇÃO]]=CD$1,[1]!BANCO10[[#This Row],[STATUS DA ETAPA]],"")</f>
        <v/>
      </c>
      <c r="CE423" s="21" t="str">
        <f>IF([1]!BANCO10[[#This Row],[SOLUÇÃO]]=CE$1,[1]!BANCO10[[#This Row],[STATUS DA ETAPA]],"")</f>
        <v/>
      </c>
      <c r="CF423" s="21" t="str">
        <f>IF([1]!BANCO10[[#This Row],[SOLUÇÃO]]=CF$1,[1]!BANCO10[[#This Row],[STATUS DA ETAPA]],"")</f>
        <v/>
      </c>
      <c r="CG423" s="21" t="str">
        <f>IF([1]!BANCO10[[#This Row],[SOLUÇÃO]]=CG$1,[1]!BANCO10[[#This Row],[STATUS DA ETAPA]],"")</f>
        <v/>
      </c>
      <c r="CH423" s="21" t="str">
        <f>IF([1]!BANCO10[[#This Row],[SOLUÇÃO]]=CH$1,[1]!BANCO10[[#This Row],[STATUS DA ETAPA]],"")</f>
        <v/>
      </c>
      <c r="CI423" s="21" t="str">
        <f>IF([1]!BANCO10[[#This Row],[SOLUÇÃO]]=CI$1,[1]!BANCO10[[#This Row],[STATUS DA ETAPA]],"")</f>
        <v/>
      </c>
      <c r="CJ423" s="21" t="str">
        <f>IF([1]!BANCO10[[#This Row],[SOLUÇÃO]]=CJ$1,[1]!BANCO10[[#This Row],[STATUS DA ETAPA]],"")</f>
        <v/>
      </c>
      <c r="CK423" s="21" t="str">
        <f>IF([1]!BANCO10[[#This Row],[SOLUÇÃO]]=CK$1,[1]!BANCO10[[#This Row],[STATUS DA ETAPA]],"")</f>
        <v/>
      </c>
      <c r="CL423" s="21" t="str">
        <f>IF([1]!BANCO10[[#This Row],[SOLUÇÃO]]=CL$1,[1]!BANCO10[[#This Row],[STATUS DA ETAPA]],"")</f>
        <v/>
      </c>
      <c r="CM423" s="139" t="str">
        <f>IF([1]!BANCO10[[#This Row],[SOLUÇÃO]]=CM$1,[1]!BANCO10[[#This Row],[STATUS DA ETAPA]],"")</f>
        <v/>
      </c>
      <c r="CN423" s="139" t="str">
        <f>IF([1]!BANCO10[[#This Row],[SOLUÇÃO]]=CN$1,[1]!BANCO10[[#This Row],[STATUS DA ETAPA]],"")</f>
        <v/>
      </c>
      <c r="CO423" s="139" t="str">
        <f>IF([1]!BANCO10[[#This Row],[SOLUÇÃO]]=CO$1,[1]!BANCO10[[#This Row],[STATUS DA ETAPA]],"")</f>
        <v/>
      </c>
      <c r="CP423" s="139" t="str">
        <f>IF([1]!BANCO10[[#This Row],[SOLUÇÃO]]=CP$1,[1]!BANCO10[[#This Row],[STATUS DA ETAPA]],"")</f>
        <v/>
      </c>
      <c r="CQ423" s="139" t="str">
        <f>IF([1]!BANCO10[[#This Row],[SOLUÇÃO]]=CQ$1,[1]!BANCO10[[#This Row],[STATUS DA ETAPA]],"")</f>
        <v/>
      </c>
      <c r="CR423" s="139" t="str">
        <f>IF([1]!BANCO10[[#This Row],[SOLUÇÃO]]=CR$1,[1]!BANCO10[[#This Row],[STATUS DA ETAPA]],"")</f>
        <v/>
      </c>
      <c r="CS423" s="139" t="str">
        <f>IF([1]!BANCO10[[#This Row],[SOLUÇÃO]]=CS$1,[1]!BANCO10[[#This Row],[STATUS DA ETAPA]],"")</f>
        <v/>
      </c>
      <c r="CT423" s="139" t="str">
        <f>IF([1]!BANCO10[[#This Row],[SOLUÇÃO]]=CT$1,[1]!BANCO10[[#This Row],[STATUS DA ETAPA]],"")</f>
        <v/>
      </c>
      <c r="CU423" s="139" t="str">
        <f>IF([1]!BANCO10[[#This Row],[SOLUÇÃO]]=CU$1,[1]!BANCO10[[#This Row],[STATUS DA ETAPA]],"")</f>
        <v/>
      </c>
      <c r="CV423" s="139" t="str">
        <f>IF([1]!BANCO10[[#This Row],[SOLUÇÃO]]=CV$1,[1]!BANCO10[[#This Row],[STATUS DA ETAPA]],"")</f>
        <v/>
      </c>
    </row>
    <row r="424" spans="1:100">
      <c r="A424" s="44"/>
      <c r="B424" s="44"/>
      <c r="C424" s="44"/>
      <c r="D424" s="44"/>
      <c r="E424" s="44"/>
      <c r="F424" s="44"/>
      <c r="G424" s="44"/>
      <c r="H424" s="44"/>
      <c r="I424" s="45"/>
      <c r="J424" s="46"/>
      <c r="K424" s="45"/>
      <c r="L424" s="33"/>
      <c r="M424" s="45"/>
      <c r="N424" s="33"/>
      <c r="O424" s="60"/>
      <c r="P424" s="72"/>
      <c r="Q424" s="138"/>
      <c r="R424" s="72"/>
      <c r="S424" s="58"/>
      <c r="T424" s="71"/>
      <c r="U424" s="137"/>
      <c r="V424" s="71"/>
      <c r="W424" s="44"/>
      <c r="X424" s="71"/>
      <c r="Y424" s="44"/>
      <c r="Z424" s="70"/>
      <c r="AA424" s="44"/>
      <c r="AB424" s="70"/>
      <c r="AC424" s="51"/>
      <c r="AD424" s="50"/>
      <c r="AE424" s="68"/>
      <c r="AF424" s="68"/>
      <c r="AG424" s="76"/>
      <c r="AH424" s="39"/>
      <c r="AI424" s="49">
        <v>0</v>
      </c>
      <c r="AJ424" s="67"/>
      <c r="AK424" s="21" t="s">
        <v>1</v>
      </c>
      <c r="AL424" s="136"/>
      <c r="AM424" s="136"/>
      <c r="AN424" s="52"/>
      <c r="AO424" s="52"/>
      <c r="AP424" s="52"/>
      <c r="AQ424" s="52"/>
      <c r="AR424" s="75"/>
      <c r="AT424" s="135"/>
      <c r="AU424" s="134"/>
      <c r="AV424" s="135"/>
      <c r="AW424" s="134"/>
      <c r="AX424" s="28"/>
      <c r="AY424" s="133"/>
      <c r="AZ424" s="32"/>
      <c r="BA424" s="31"/>
      <c r="BB424" s="26"/>
      <c r="BC424" s="25"/>
      <c r="BD424" s="24"/>
      <c r="BE424" s="24"/>
      <c r="BF424" s="24"/>
      <c r="BG424" s="24"/>
      <c r="BH424" s="24"/>
      <c r="BI424" s="24"/>
      <c r="BJ424" s="24"/>
      <c r="BK424" s="24"/>
      <c r="BL424" s="24"/>
      <c r="BM424" s="24"/>
      <c r="BN424" s="24"/>
      <c r="BO424" s="24"/>
      <c r="BP424" s="24"/>
      <c r="BQ424" s="22">
        <f>YEAR([1]!BANCO10[[#This Row],[DATA INÍCIO]])</f>
        <v>1900</v>
      </c>
      <c r="BR424" s="22">
        <f>MONTH([1]!BANCO10[[#This Row],[DATA INÍCIO]])</f>
        <v>1</v>
      </c>
      <c r="BS424" s="23" t="e">
        <f>CONCATENATE(#REF!,#REF!)</f>
        <v>#REF!</v>
      </c>
      <c r="BT424" s="22"/>
      <c r="BU424" s="22"/>
      <c r="BV424" s="21" t="str">
        <f>IF([1]!BANCO10[[#This Row],[SOLUÇÃO]]=BV$1,[1]!BANCO10[[#This Row],[STATUS DA ETAPA]],"")</f>
        <v/>
      </c>
      <c r="BW424" s="21" t="str">
        <f>IF([1]!BANCO10[[#This Row],[SOLUÇÃO]]=BW$1,[1]!BANCO10[[#This Row],[STATUS DA ETAPA]],"")</f>
        <v/>
      </c>
      <c r="BX424" s="21" t="str">
        <f>IF([1]!BANCO10[[#This Row],[SOLUÇÃO]]=BX$1,[1]!BANCO10[[#This Row],[STATUS DA ETAPA]],"")</f>
        <v/>
      </c>
      <c r="BY424" s="21" t="str">
        <f>IF([1]!BANCO10[[#This Row],[SOLUÇÃO]]=BY$1,[1]!BANCO10[[#This Row],[STATUS DA ETAPA]],"")</f>
        <v/>
      </c>
      <c r="BZ424" s="21" t="str">
        <f>IF([1]!BANCO10[[#This Row],[SOLUÇÃO]]=BZ$1,[1]!BANCO10[[#This Row],[STATUS DA ETAPA]],"")</f>
        <v/>
      </c>
      <c r="CA424" s="21" t="str">
        <f>IF([1]!BANCO10[[#This Row],[SOLUÇÃO]]=CA$1,[1]!BANCO10[[#This Row],[STATUS DA ETAPA]],"")</f>
        <v/>
      </c>
      <c r="CB424" s="21" t="str">
        <f>IF([1]!BANCO10[[#This Row],[SOLUÇÃO]]=CB$1,[1]!BANCO10[[#This Row],[STATUS DA ETAPA]],"")</f>
        <v/>
      </c>
      <c r="CC424" s="21" t="str">
        <f>IF([1]!BANCO10[[#This Row],[SOLUÇÃO]]=CC$1,[1]!BANCO10[[#This Row],[STATUS DA ETAPA]],"")</f>
        <v/>
      </c>
      <c r="CD424" s="21" t="str">
        <f>IF([1]!BANCO10[[#This Row],[SOLUÇÃO]]=CD$1,[1]!BANCO10[[#This Row],[STATUS DA ETAPA]],"")</f>
        <v/>
      </c>
      <c r="CE424" s="21" t="str">
        <f>IF([1]!BANCO10[[#This Row],[SOLUÇÃO]]=CE$1,[1]!BANCO10[[#This Row],[STATUS DA ETAPA]],"")</f>
        <v/>
      </c>
      <c r="CF424" s="21" t="str">
        <f>IF([1]!BANCO10[[#This Row],[SOLUÇÃO]]=CF$1,[1]!BANCO10[[#This Row],[STATUS DA ETAPA]],"")</f>
        <v/>
      </c>
      <c r="CG424" s="21" t="str">
        <f>IF([1]!BANCO10[[#This Row],[SOLUÇÃO]]=CG$1,[1]!BANCO10[[#This Row],[STATUS DA ETAPA]],"")</f>
        <v/>
      </c>
      <c r="CH424" s="21" t="str">
        <f>IF([1]!BANCO10[[#This Row],[SOLUÇÃO]]=CH$1,[1]!BANCO10[[#This Row],[STATUS DA ETAPA]],"")</f>
        <v/>
      </c>
      <c r="CI424" s="21" t="str">
        <f>IF([1]!BANCO10[[#This Row],[SOLUÇÃO]]=CI$1,[1]!BANCO10[[#This Row],[STATUS DA ETAPA]],"")</f>
        <v/>
      </c>
      <c r="CJ424" s="21" t="str">
        <f>IF([1]!BANCO10[[#This Row],[SOLUÇÃO]]=CJ$1,[1]!BANCO10[[#This Row],[STATUS DA ETAPA]],"")</f>
        <v/>
      </c>
      <c r="CK424" s="21" t="str">
        <f>IF([1]!BANCO10[[#This Row],[SOLUÇÃO]]=CK$1,[1]!BANCO10[[#This Row],[STATUS DA ETAPA]],"")</f>
        <v/>
      </c>
      <c r="CL424" s="21" t="str">
        <f>IF([1]!BANCO10[[#This Row],[SOLUÇÃO]]=CL$1,[1]!BANCO10[[#This Row],[STATUS DA ETAPA]],"")</f>
        <v/>
      </c>
      <c r="CM424" s="21" t="str">
        <f>IF([1]!BANCO10[[#This Row],[SOLUÇÃO]]=CM$1,[1]!BANCO10[[#This Row],[STATUS DA ETAPA]],"")</f>
        <v/>
      </c>
      <c r="CN424" s="21" t="str">
        <f>IF([1]!BANCO10[[#This Row],[SOLUÇÃO]]=CN$1,[1]!BANCO10[[#This Row],[STATUS DA ETAPA]],"")</f>
        <v/>
      </c>
      <c r="CO424" s="21" t="str">
        <f>IF([1]!BANCO10[[#This Row],[SOLUÇÃO]]=CO$1,[1]!BANCO10[[#This Row],[STATUS DA ETAPA]],"")</f>
        <v/>
      </c>
      <c r="CP424" s="21" t="str">
        <f>IF([1]!BANCO10[[#This Row],[SOLUÇÃO]]=CP$1,[1]!BANCO10[[#This Row],[STATUS DA ETAPA]],"")</f>
        <v/>
      </c>
      <c r="CQ424" s="21" t="str">
        <f>IF([1]!BANCO10[[#This Row],[SOLUÇÃO]]=CQ$1,[1]!BANCO10[[#This Row],[STATUS DA ETAPA]],"")</f>
        <v/>
      </c>
      <c r="CR424" s="21" t="str">
        <f>IF([1]!BANCO10[[#This Row],[SOLUÇÃO]]=CR$1,[1]!BANCO10[[#This Row],[STATUS DA ETAPA]],"")</f>
        <v/>
      </c>
      <c r="CS424" s="21" t="str">
        <f>IF([1]!BANCO10[[#This Row],[SOLUÇÃO]]=CS$1,[1]!BANCO10[[#This Row],[STATUS DA ETAPA]],"")</f>
        <v/>
      </c>
      <c r="CT424" s="21" t="str">
        <f>IF([1]!BANCO10[[#This Row],[SOLUÇÃO]]=CT$1,[1]!BANCO10[[#This Row],[STATUS DA ETAPA]],"")</f>
        <v/>
      </c>
      <c r="CU424" s="21" t="str">
        <f>IF([1]!BANCO10[[#This Row],[SOLUÇÃO]]=CU$1,[1]!BANCO10[[#This Row],[STATUS DA ETAPA]],"")</f>
        <v/>
      </c>
      <c r="CV424" s="21" t="str">
        <f>IF([1]!BANCO10[[#This Row],[SOLUÇÃO]]=CV$1,[1]!BANCO10[[#This Row],[STATUS DA ETAPA]],"")</f>
        <v/>
      </c>
    </row>
    <row r="425" spans="1:100">
      <c r="A425" s="44" t="s">
        <v>1</v>
      </c>
      <c r="B425" s="44"/>
      <c r="C425" s="44" t="s">
        <v>1</v>
      </c>
      <c r="D425" s="44"/>
      <c r="E425" s="44" t="s">
        <v>1</v>
      </c>
      <c r="F425" s="44"/>
      <c r="G425" s="44" t="s">
        <v>1</v>
      </c>
      <c r="H425" s="44"/>
      <c r="I425" s="45" t="s">
        <v>1</v>
      </c>
      <c r="J425" s="46"/>
      <c r="K425" s="45" t="s">
        <v>1</v>
      </c>
      <c r="L425" s="33"/>
      <c r="M425" s="45" t="s">
        <v>1</v>
      </c>
      <c r="N425" s="33"/>
      <c r="O425" s="44" t="s">
        <v>2</v>
      </c>
      <c r="P425" s="44">
        <v>45082</v>
      </c>
      <c r="Q425" s="44" t="s">
        <v>0</v>
      </c>
      <c r="R425" s="44"/>
      <c r="S425" s="44" t="s">
        <v>1</v>
      </c>
      <c r="T425" s="44"/>
      <c r="U425" s="44" t="s">
        <v>1</v>
      </c>
      <c r="V425" s="44"/>
      <c r="W425" s="44" t="s">
        <v>1</v>
      </c>
      <c r="X425" s="44"/>
      <c r="Y425" s="44" t="s">
        <v>1</v>
      </c>
      <c r="Z425" s="44"/>
      <c r="AA425" s="44" t="s">
        <v>1</v>
      </c>
      <c r="AB425" s="44"/>
      <c r="AC425" s="51">
        <v>44868</v>
      </c>
      <c r="AD425" s="50">
        <v>45233</v>
      </c>
      <c r="AE425" s="40" t="s">
        <v>1</v>
      </c>
      <c r="AF425" s="40" t="s">
        <v>1</v>
      </c>
      <c r="AG425" s="76" t="s">
        <v>5</v>
      </c>
      <c r="AH425" s="36" t="s">
        <v>1</v>
      </c>
      <c r="AI425" s="49">
        <v>0</v>
      </c>
      <c r="AJ425" s="36" t="s">
        <v>1</v>
      </c>
      <c r="AK425" s="10" t="s">
        <v>1</v>
      </c>
      <c r="AL425" s="36" t="s">
        <v>1</v>
      </c>
      <c r="AM425" s="36" t="s">
        <v>1</v>
      </c>
      <c r="AN425" s="35" t="s">
        <v>1</v>
      </c>
      <c r="AO425" s="35" t="s">
        <v>1</v>
      </c>
      <c r="AP425" s="35" t="s">
        <v>1</v>
      </c>
      <c r="AQ425" s="35" t="s">
        <v>1</v>
      </c>
      <c r="AR425" s="82" t="s">
        <v>1</v>
      </c>
      <c r="AS425" s="33"/>
      <c r="AT425" s="32" t="s">
        <v>1</v>
      </c>
      <c r="AU425" s="31"/>
      <c r="AV425" s="32" t="s">
        <v>1</v>
      </c>
      <c r="AW425" s="31"/>
      <c r="AX425" s="30" t="s">
        <v>1</v>
      </c>
      <c r="AY425" s="55"/>
      <c r="AZ425" s="30" t="s">
        <v>1</v>
      </c>
      <c r="BA425" s="55"/>
      <c r="BB425" s="74"/>
      <c r="BC425" s="25"/>
      <c r="BD425" s="24" t="s">
        <v>11</v>
      </c>
      <c r="BE425" s="24" t="s">
        <v>11</v>
      </c>
      <c r="BF425" s="24" t="s">
        <v>21</v>
      </c>
      <c r="BG425" s="24" t="s">
        <v>11</v>
      </c>
      <c r="BH425" s="130" t="s">
        <v>63</v>
      </c>
      <c r="BI425" s="24"/>
      <c r="BJ425" s="24" t="s">
        <v>11</v>
      </c>
      <c r="BK425" s="24" t="s">
        <v>11</v>
      </c>
      <c r="BL425" s="24" t="s">
        <v>11</v>
      </c>
      <c r="BM425" s="24" t="s">
        <v>11</v>
      </c>
      <c r="BN425" s="24" t="s">
        <v>11</v>
      </c>
      <c r="BO425" s="24" t="s">
        <v>11</v>
      </c>
      <c r="BP425" s="24" t="s">
        <v>11</v>
      </c>
      <c r="BQ425" s="22">
        <f>YEAR([1]!BANCO10[[#This Row],[DATA INÍCIO]])</f>
        <v>2022</v>
      </c>
      <c r="BR425" s="22">
        <f>MONTH([1]!BANCO10[[#This Row],[DATA INÍCIO]])</f>
        <v>11</v>
      </c>
      <c r="BS425" s="129" t="e">
        <f>CONCATENATE(#REF!,#REF!)</f>
        <v>#REF!</v>
      </c>
      <c r="BT425" s="22"/>
      <c r="BU425" s="21" t="s">
        <v>462</v>
      </c>
      <c r="BV425" s="21" t="str">
        <f>IF([1]!BANCO10[[#This Row],[SOLUÇÃO]]=BV$1,[1]!BANCO10[[#This Row],[STATUS DA ETAPA]],"")</f>
        <v>CONCLUÍDO</v>
      </c>
      <c r="BW425" s="21" t="str">
        <f>IF([1]!BANCO10[[#This Row],[SOLUÇÃO]]=BW$1,[1]!BANCO10[[#This Row],[STATUS DA ETAPA]],"")</f>
        <v/>
      </c>
      <c r="BX425" s="21" t="str">
        <f>IF([1]!BANCO10[[#This Row],[SOLUÇÃO]]=BX$1,[1]!BANCO10[[#This Row],[STATUS DA ETAPA]],"")</f>
        <v/>
      </c>
      <c r="BY425" s="21" t="str">
        <f>IF([1]!BANCO10[[#This Row],[SOLUÇÃO]]=BY$1,[1]!BANCO10[[#This Row],[STATUS DA ETAPA]],"")</f>
        <v/>
      </c>
      <c r="BZ425" s="21" t="str">
        <f>IF([1]!BANCO10[[#This Row],[SOLUÇÃO]]=BZ$1,[1]!BANCO10[[#This Row],[STATUS DA ETAPA]],"")</f>
        <v/>
      </c>
      <c r="CA425" s="21" t="str">
        <f>IF([1]!BANCO10[[#This Row],[SOLUÇÃO]]=CA$1,[1]!BANCO10[[#This Row],[STATUS DA ETAPA]],"")</f>
        <v/>
      </c>
      <c r="CB425" s="21" t="str">
        <f>IF([1]!BANCO10[[#This Row],[SOLUÇÃO]]=CB$1,[1]!BANCO10[[#This Row],[STATUS DA ETAPA]],"")</f>
        <v/>
      </c>
      <c r="CC425" s="21" t="str">
        <f>IF([1]!BANCO10[[#This Row],[SOLUÇÃO]]=CC$1,[1]!BANCO10[[#This Row],[STATUS DA ETAPA]],"")</f>
        <v/>
      </c>
      <c r="CD425" s="21" t="str">
        <f>IF([1]!BANCO10[[#This Row],[SOLUÇÃO]]=CD$1,[1]!BANCO10[[#This Row],[STATUS DA ETAPA]],"")</f>
        <v/>
      </c>
      <c r="CE425" s="21" t="str">
        <f>IF([1]!BANCO10[[#This Row],[SOLUÇÃO]]=CE$1,[1]!BANCO10[[#This Row],[STATUS DA ETAPA]],"")</f>
        <v/>
      </c>
      <c r="CF425" s="21" t="str">
        <f>IF([1]!BANCO10[[#This Row],[SOLUÇÃO]]=CF$1,[1]!BANCO10[[#This Row],[STATUS DA ETAPA]],"")</f>
        <v/>
      </c>
      <c r="CG425" s="21" t="str">
        <f>IF([1]!BANCO10[[#This Row],[SOLUÇÃO]]=CG$1,[1]!BANCO10[[#This Row],[STATUS DA ETAPA]],"")</f>
        <v/>
      </c>
      <c r="CH425" s="21" t="str">
        <f>IF([1]!BANCO10[[#This Row],[SOLUÇÃO]]=CH$1,[1]!BANCO10[[#This Row],[STATUS DA ETAPA]],"")</f>
        <v/>
      </c>
      <c r="CI425" s="21" t="str">
        <f>IF([1]!BANCO10[[#This Row],[SOLUÇÃO]]=CI$1,[1]!BANCO10[[#This Row],[STATUS DA ETAPA]],"")</f>
        <v/>
      </c>
      <c r="CJ425" s="21" t="str">
        <f>IF([1]!BANCO10[[#This Row],[SOLUÇÃO]]=CJ$1,[1]!BANCO10[[#This Row],[STATUS DA ETAPA]],"")</f>
        <v/>
      </c>
      <c r="CK425" s="21" t="str">
        <f>IF([1]!BANCO10[[#This Row],[SOLUÇÃO]]=CK$1,[1]!BANCO10[[#This Row],[STATUS DA ETAPA]],"")</f>
        <v/>
      </c>
      <c r="CL425" s="21" t="str">
        <f>IF([1]!BANCO10[[#This Row],[SOLUÇÃO]]=CL$1,[1]!BANCO10[[#This Row],[STATUS DA ETAPA]],"")</f>
        <v/>
      </c>
      <c r="CM425" s="21" t="str">
        <f>IF([1]!BANCO10[[#This Row],[SOLUÇÃO]]=CM$1,[1]!BANCO10[[#This Row],[STATUS DA ETAPA]],"")</f>
        <v/>
      </c>
      <c r="CN425" s="21" t="str">
        <f>IF([1]!BANCO10[[#This Row],[SOLUÇÃO]]=CN$1,[1]!BANCO10[[#This Row],[STATUS DA ETAPA]],"")</f>
        <v/>
      </c>
      <c r="CO425" s="21" t="str">
        <f>IF([1]!BANCO10[[#This Row],[SOLUÇÃO]]=CO$1,[1]!BANCO10[[#This Row],[STATUS DA ETAPA]],"")</f>
        <v/>
      </c>
      <c r="CP425" s="21" t="str">
        <f>IF([1]!BANCO10[[#This Row],[SOLUÇÃO]]=CP$1,[1]!BANCO10[[#This Row],[STATUS DA ETAPA]],"")</f>
        <v/>
      </c>
      <c r="CQ425" s="21" t="str">
        <f>IF([1]!BANCO10[[#This Row],[SOLUÇÃO]]=CQ$1,[1]!BANCO10[[#This Row],[STATUS DA ETAPA]],"")</f>
        <v/>
      </c>
      <c r="CR425" s="21" t="str">
        <f>IF([1]!BANCO10[[#This Row],[SOLUÇÃO]]=CR$1,[1]!BANCO10[[#This Row],[STATUS DA ETAPA]],"")</f>
        <v/>
      </c>
      <c r="CS425" s="21" t="str">
        <f>IF([1]!BANCO10[[#This Row],[SOLUÇÃO]]=CS$1,[1]!BANCO10[[#This Row],[STATUS DA ETAPA]],"")</f>
        <v/>
      </c>
      <c r="CT425" s="21" t="str">
        <f>IF([1]!BANCO10[[#This Row],[SOLUÇÃO]]=CT$1,[1]!BANCO10[[#This Row],[STATUS DA ETAPA]],"")</f>
        <v/>
      </c>
      <c r="CU425" s="21" t="str">
        <f>IF([1]!BANCO10[[#This Row],[SOLUÇÃO]]=CU$1,[1]!BANCO10[[#This Row],[STATUS DA ETAPA]],"")</f>
        <v/>
      </c>
      <c r="CV425" s="21" t="str">
        <f>IF([1]!BANCO10[[#This Row],[SOLUÇÃO]]=CV$1,[1]!BANCO10[[#This Row],[STATUS DA ETAPA]],"")</f>
        <v/>
      </c>
    </row>
    <row r="426" spans="1:100">
      <c r="A426" s="44" t="s">
        <v>1</v>
      </c>
      <c r="B426" s="44"/>
      <c r="C426" s="44" t="s">
        <v>1</v>
      </c>
      <c r="D426" s="44"/>
      <c r="E426" s="44" t="s">
        <v>1</v>
      </c>
      <c r="F426" s="44"/>
      <c r="G426" s="44" t="s">
        <v>1</v>
      </c>
      <c r="H426" s="44"/>
      <c r="I426" s="45" t="s">
        <v>1</v>
      </c>
      <c r="J426" s="46"/>
      <c r="K426" s="45" t="s">
        <v>1</v>
      </c>
      <c r="L426" s="33"/>
      <c r="M426" s="45" t="s">
        <v>1</v>
      </c>
      <c r="N426" s="33"/>
      <c r="O426" s="44" t="s">
        <v>2</v>
      </c>
      <c r="P426" s="44">
        <v>45082</v>
      </c>
      <c r="Q426" s="44" t="s">
        <v>2</v>
      </c>
      <c r="R426" s="44">
        <v>45082</v>
      </c>
      <c r="S426" s="44" t="s">
        <v>2</v>
      </c>
      <c r="T426" s="44">
        <v>45082</v>
      </c>
      <c r="U426" s="44" t="s">
        <v>2</v>
      </c>
      <c r="V426" s="44">
        <v>45082</v>
      </c>
      <c r="W426" s="44" t="s">
        <v>2</v>
      </c>
      <c r="X426" s="44"/>
      <c r="Y426" s="44" t="s">
        <v>2</v>
      </c>
      <c r="Z426" s="44">
        <v>45082</v>
      </c>
      <c r="AA426" s="44" t="s">
        <v>2</v>
      </c>
      <c r="AB426" s="44"/>
      <c r="AC426" s="51">
        <v>45091</v>
      </c>
      <c r="AD426" s="50">
        <v>45259</v>
      </c>
      <c r="AE426" s="40" t="s">
        <v>2</v>
      </c>
      <c r="AF426" s="40" t="s">
        <v>2</v>
      </c>
      <c r="AG426" s="76" t="s">
        <v>5</v>
      </c>
      <c r="AH426" s="36" t="s">
        <v>0</v>
      </c>
      <c r="AI426" s="49">
        <v>0</v>
      </c>
      <c r="AJ426" s="36"/>
      <c r="AK426" s="10"/>
      <c r="AL426" s="36">
        <v>4731</v>
      </c>
      <c r="AM426" s="36" t="s">
        <v>1</v>
      </c>
      <c r="AN426" s="35" t="s">
        <v>1</v>
      </c>
      <c r="AO426" s="35" t="s">
        <v>1</v>
      </c>
      <c r="AP426" s="35" t="s">
        <v>2</v>
      </c>
      <c r="AQ426" s="35" t="s">
        <v>1</v>
      </c>
      <c r="AR426" s="34" t="s">
        <v>1</v>
      </c>
      <c r="AS426" s="33"/>
      <c r="AT426" s="32" t="s">
        <v>1</v>
      </c>
      <c r="AU426" s="31"/>
      <c r="AV426" s="32" t="s">
        <v>1</v>
      </c>
      <c r="AW426" s="31"/>
      <c r="AX426" s="30" t="s">
        <v>2</v>
      </c>
      <c r="AY426" s="55">
        <v>45259</v>
      </c>
      <c r="AZ426" s="30" t="s">
        <v>2</v>
      </c>
      <c r="BA426" s="55"/>
      <c r="BB426" s="74"/>
      <c r="BC426" s="25"/>
      <c r="BD426" s="24" t="s">
        <v>11</v>
      </c>
      <c r="BE426" s="24" t="s">
        <v>11</v>
      </c>
      <c r="BF426" s="24" t="s">
        <v>21</v>
      </c>
      <c r="BG426" s="24" t="s">
        <v>11</v>
      </c>
      <c r="BH426" s="130" t="s">
        <v>63</v>
      </c>
      <c r="BI426" s="24"/>
      <c r="BJ426" s="24" t="s">
        <v>37</v>
      </c>
      <c r="BK426" s="24" t="s">
        <v>19</v>
      </c>
      <c r="BL426" s="24">
        <v>45402</v>
      </c>
      <c r="BM426" s="24" t="s">
        <v>18</v>
      </c>
      <c r="BN426" s="24" t="s">
        <v>11</v>
      </c>
      <c r="BO426" s="24"/>
      <c r="BP426" s="24" t="s">
        <v>286</v>
      </c>
      <c r="BQ426" s="22">
        <f>YEAR([1]!BANCO10[[#This Row],[DATA INÍCIO]])</f>
        <v>2023</v>
      </c>
      <c r="BR426" s="22">
        <f>MONTH([1]!BANCO10[[#This Row],[DATA INÍCIO]])</f>
        <v>6</v>
      </c>
      <c r="BS426" s="129" t="e">
        <f>CONCATENATE(#REF!,#REF!)</f>
        <v>#REF!</v>
      </c>
      <c r="BT426" s="22"/>
      <c r="BU426" s="21" t="s">
        <v>461</v>
      </c>
      <c r="BV426" s="21" t="str">
        <f>IF([1]!BANCO10[[#This Row],[SOLUÇÃO]]=BV$1,[1]!BANCO10[[#This Row],[STATUS DA ETAPA]],"")</f>
        <v/>
      </c>
      <c r="BW426" s="21" t="str">
        <f>IF([1]!BANCO10[[#This Row],[SOLUÇÃO]]=BW$1,[1]!BANCO10[[#This Row],[STATUS DA ETAPA]],"")</f>
        <v/>
      </c>
      <c r="BX426" s="21" t="str">
        <f>IF([1]!BANCO10[[#This Row],[SOLUÇÃO]]=BX$1,[1]!BANCO10[[#This Row],[STATUS DA ETAPA]],"")</f>
        <v/>
      </c>
      <c r="BY426" s="21" t="str">
        <f>IF([1]!BANCO10[[#This Row],[SOLUÇÃO]]=BY$1,[1]!BANCO10[[#This Row],[STATUS DA ETAPA]],"")</f>
        <v/>
      </c>
      <c r="BZ426" s="21" t="str">
        <f>IF([1]!BANCO10[[#This Row],[SOLUÇÃO]]=BZ$1,[1]!BANCO10[[#This Row],[STATUS DA ETAPA]],"")</f>
        <v/>
      </c>
      <c r="CA426" s="21" t="str">
        <f>IF([1]!BANCO10[[#This Row],[SOLUÇÃO]]=CA$1,[1]!BANCO10[[#This Row],[STATUS DA ETAPA]],"")</f>
        <v>CONCLUÍDO</v>
      </c>
      <c r="CB426" s="21" t="str">
        <f>IF([1]!BANCO10[[#This Row],[SOLUÇÃO]]=CB$1,[1]!BANCO10[[#This Row],[STATUS DA ETAPA]],"")</f>
        <v/>
      </c>
      <c r="CC426" s="21" t="str">
        <f>IF([1]!BANCO10[[#This Row],[SOLUÇÃO]]=CC$1,[1]!BANCO10[[#This Row],[STATUS DA ETAPA]],"")</f>
        <v/>
      </c>
      <c r="CD426" s="21" t="str">
        <f>IF([1]!BANCO10[[#This Row],[SOLUÇÃO]]=CD$1,[1]!BANCO10[[#This Row],[STATUS DA ETAPA]],"")</f>
        <v/>
      </c>
      <c r="CE426" s="21" t="str">
        <f>IF([1]!BANCO10[[#This Row],[SOLUÇÃO]]=CE$1,[1]!BANCO10[[#This Row],[STATUS DA ETAPA]],"")</f>
        <v/>
      </c>
      <c r="CF426" s="21" t="str">
        <f>IF([1]!BANCO10[[#This Row],[SOLUÇÃO]]=CF$1,[1]!BANCO10[[#This Row],[STATUS DA ETAPA]],"")</f>
        <v/>
      </c>
      <c r="CG426" s="21" t="str">
        <f>IF([1]!BANCO10[[#This Row],[SOLUÇÃO]]=CG$1,[1]!BANCO10[[#This Row],[STATUS DA ETAPA]],"")</f>
        <v/>
      </c>
      <c r="CH426" s="21" t="str">
        <f>IF([1]!BANCO10[[#This Row],[SOLUÇÃO]]=CH$1,[1]!BANCO10[[#This Row],[STATUS DA ETAPA]],"")</f>
        <v/>
      </c>
      <c r="CI426" s="21" t="str">
        <f>IF([1]!BANCO10[[#This Row],[SOLUÇÃO]]=CI$1,[1]!BANCO10[[#This Row],[STATUS DA ETAPA]],"")</f>
        <v/>
      </c>
      <c r="CJ426" s="21" t="str">
        <f>IF([1]!BANCO10[[#This Row],[SOLUÇÃO]]=CJ$1,[1]!BANCO10[[#This Row],[STATUS DA ETAPA]],"")</f>
        <v/>
      </c>
      <c r="CK426" s="21" t="str">
        <f>IF([1]!BANCO10[[#This Row],[SOLUÇÃO]]=CK$1,[1]!BANCO10[[#This Row],[STATUS DA ETAPA]],"")</f>
        <v/>
      </c>
      <c r="CL426" s="21" t="str">
        <f>IF([1]!BANCO10[[#This Row],[SOLUÇÃO]]=CL$1,[1]!BANCO10[[#This Row],[STATUS DA ETAPA]],"")</f>
        <v/>
      </c>
      <c r="CM426" s="21" t="str">
        <f>IF([1]!BANCO10[[#This Row],[SOLUÇÃO]]=CM$1,[1]!BANCO10[[#This Row],[STATUS DA ETAPA]],"")</f>
        <v/>
      </c>
      <c r="CN426" s="21" t="str">
        <f>IF([1]!BANCO10[[#This Row],[SOLUÇÃO]]=CN$1,[1]!BANCO10[[#This Row],[STATUS DA ETAPA]],"")</f>
        <v/>
      </c>
      <c r="CO426" s="21" t="str">
        <f>IF([1]!BANCO10[[#This Row],[SOLUÇÃO]]=CO$1,[1]!BANCO10[[#This Row],[STATUS DA ETAPA]],"")</f>
        <v/>
      </c>
      <c r="CP426" s="21" t="str">
        <f>IF([1]!BANCO10[[#This Row],[SOLUÇÃO]]=CP$1,[1]!BANCO10[[#This Row],[STATUS DA ETAPA]],"")</f>
        <v/>
      </c>
      <c r="CQ426" s="21" t="str">
        <f>IF([1]!BANCO10[[#This Row],[SOLUÇÃO]]=CQ$1,[1]!BANCO10[[#This Row],[STATUS DA ETAPA]],"")</f>
        <v/>
      </c>
      <c r="CR426" s="21" t="str">
        <f>IF([1]!BANCO10[[#This Row],[SOLUÇÃO]]=CR$1,[1]!BANCO10[[#This Row],[STATUS DA ETAPA]],"")</f>
        <v/>
      </c>
      <c r="CS426" s="21" t="str">
        <f>IF([1]!BANCO10[[#This Row],[SOLUÇÃO]]=CS$1,[1]!BANCO10[[#This Row],[STATUS DA ETAPA]],"")</f>
        <v/>
      </c>
      <c r="CT426" s="21" t="str">
        <f>IF([1]!BANCO10[[#This Row],[SOLUÇÃO]]=CT$1,[1]!BANCO10[[#This Row],[STATUS DA ETAPA]],"")</f>
        <v/>
      </c>
      <c r="CU426" s="21" t="str">
        <f>IF([1]!BANCO10[[#This Row],[SOLUÇÃO]]=CU$1,[1]!BANCO10[[#This Row],[STATUS DA ETAPA]],"")</f>
        <v/>
      </c>
      <c r="CV426" s="21" t="str">
        <f>IF([1]!BANCO10[[#This Row],[SOLUÇÃO]]=CV$1,[1]!BANCO10[[#This Row],[STATUS DA ETAPA]],"")</f>
        <v/>
      </c>
    </row>
    <row r="427" spans="1:100">
      <c r="A427" s="44" t="s">
        <v>0</v>
      </c>
      <c r="B427" s="44"/>
      <c r="C427" s="44" t="s">
        <v>0</v>
      </c>
      <c r="D427" s="44"/>
      <c r="E427" s="44" t="s">
        <v>0</v>
      </c>
      <c r="F427" s="44"/>
      <c r="G427" s="44" t="s">
        <v>0</v>
      </c>
      <c r="H427" s="44"/>
      <c r="I427" s="45" t="s">
        <v>0</v>
      </c>
      <c r="J427" s="46"/>
      <c r="K427" s="45" t="s">
        <v>0</v>
      </c>
      <c r="L427" s="33"/>
      <c r="M427" s="45" t="s">
        <v>0</v>
      </c>
      <c r="N427" s="33"/>
      <c r="O427" s="44" t="s">
        <v>0</v>
      </c>
      <c r="P427" s="44"/>
      <c r="Q427" s="44" t="s">
        <v>2</v>
      </c>
      <c r="R427" s="44">
        <v>45918</v>
      </c>
      <c r="S427" s="44" t="s">
        <v>0</v>
      </c>
      <c r="T427" s="44"/>
      <c r="U427" s="44" t="s">
        <v>1</v>
      </c>
      <c r="V427" s="44"/>
      <c r="W427" s="44" t="s">
        <v>1</v>
      </c>
      <c r="X427" s="44"/>
      <c r="Y427" s="44" t="s">
        <v>1</v>
      </c>
      <c r="Z427" s="44"/>
      <c r="AA427" s="44" t="s">
        <v>1</v>
      </c>
      <c r="AB427" s="44"/>
      <c r="AC427" s="51">
        <v>46022</v>
      </c>
      <c r="AD427" s="50">
        <v>46022</v>
      </c>
      <c r="AE427" s="41" t="s">
        <v>0</v>
      </c>
      <c r="AF427" s="41" t="s">
        <v>0</v>
      </c>
      <c r="AG427" s="40" t="s">
        <v>5</v>
      </c>
      <c r="AH427" s="36" t="s">
        <v>0</v>
      </c>
      <c r="AI427" s="49">
        <v>14440</v>
      </c>
      <c r="AJ427" s="36"/>
      <c r="AK427" s="21" t="s">
        <v>1</v>
      </c>
      <c r="AL427" s="36" t="s">
        <v>1</v>
      </c>
      <c r="AM427" s="36" t="s">
        <v>1</v>
      </c>
      <c r="AN427" s="35" t="s">
        <v>0</v>
      </c>
      <c r="AO427" s="35" t="s">
        <v>0</v>
      </c>
      <c r="AP427" s="35" t="s">
        <v>0</v>
      </c>
      <c r="AQ427" s="35" t="s">
        <v>0</v>
      </c>
      <c r="AR427" s="34" t="s">
        <v>0</v>
      </c>
      <c r="AS427" s="33"/>
      <c r="AT427" s="32" t="s">
        <v>0</v>
      </c>
      <c r="AU427" s="31"/>
      <c r="AV427" s="32" t="s">
        <v>0</v>
      </c>
      <c r="AW427" s="31"/>
      <c r="AX427" s="32" t="s">
        <v>0</v>
      </c>
      <c r="AY427" s="31"/>
      <c r="AZ427" s="32" t="s">
        <v>0</v>
      </c>
      <c r="BA427" s="31"/>
      <c r="BB427" s="26"/>
      <c r="BC427" s="25"/>
      <c r="BD427" s="24"/>
      <c r="BE427" s="24"/>
      <c r="BF427" s="24"/>
      <c r="BG427" s="24"/>
      <c r="BH427" s="24"/>
      <c r="BI427" s="24"/>
      <c r="BJ427" s="24"/>
      <c r="BK427" s="24"/>
      <c r="BL427" s="24"/>
      <c r="BM427" s="24"/>
      <c r="BN427" s="24"/>
      <c r="BO427" s="24"/>
      <c r="BP427" s="24"/>
      <c r="BQ427" s="22">
        <f>YEAR([1]!BANCO10[[#This Row],[DATA INÍCIO]])</f>
        <v>2025</v>
      </c>
      <c r="BR427" s="22">
        <f>MONTH([1]!BANCO10[[#This Row],[DATA INÍCIO]])</f>
        <v>12</v>
      </c>
      <c r="BS427" s="23" t="e">
        <f>CONCATENATE(#REF!,#REF!)</f>
        <v>#REF!</v>
      </c>
      <c r="BT427" s="22"/>
      <c r="BU427" s="22"/>
      <c r="BV427" s="21" t="str">
        <f>IF([1]!BANCO10[[#This Row],[SOLUÇÃO]]=BV$1,[1]!BANCO10[[#This Row],[STATUS DA ETAPA]],"")</f>
        <v/>
      </c>
      <c r="BW427" s="21" t="str">
        <f>IF([1]!BANCO10[[#This Row],[SOLUÇÃO]]=BW$1,[1]!BANCO10[[#This Row],[STATUS DA ETAPA]],"")</f>
        <v/>
      </c>
      <c r="BX427" s="21" t="str">
        <f>IF([1]!BANCO10[[#This Row],[SOLUÇÃO]]=BX$1,[1]!BANCO10[[#This Row],[STATUS DA ETAPA]],"")</f>
        <v/>
      </c>
      <c r="BY427" s="21" t="str">
        <f>IF([1]!BANCO10[[#This Row],[SOLUÇÃO]]=BY$1,[1]!BANCO10[[#This Row],[STATUS DA ETAPA]],"")</f>
        <v/>
      </c>
      <c r="BZ427" s="21" t="str">
        <f>IF([1]!BANCO10[[#This Row],[SOLUÇÃO]]=BZ$1,[1]!BANCO10[[#This Row],[STATUS DA ETAPA]],"")</f>
        <v/>
      </c>
      <c r="CA427" s="21" t="str">
        <f>IF([1]!BANCO10[[#This Row],[SOLUÇÃO]]=CA$1,[1]!BANCO10[[#This Row],[STATUS DA ETAPA]],"")</f>
        <v/>
      </c>
      <c r="CB427" s="21" t="str">
        <f>IF([1]!BANCO10[[#This Row],[SOLUÇÃO]]=CB$1,[1]!BANCO10[[#This Row],[STATUS DA ETAPA]],"")</f>
        <v/>
      </c>
      <c r="CC427" s="21" t="str">
        <f>IF([1]!BANCO10[[#This Row],[SOLUÇÃO]]=CC$1,[1]!BANCO10[[#This Row],[STATUS DA ETAPA]],"")</f>
        <v/>
      </c>
      <c r="CD427" s="21" t="str">
        <f>IF([1]!BANCO10[[#This Row],[SOLUÇÃO]]=CD$1,[1]!BANCO10[[#This Row],[STATUS DA ETAPA]],"")</f>
        <v/>
      </c>
      <c r="CE427" s="21" t="str">
        <f>IF([1]!BANCO10[[#This Row],[SOLUÇÃO]]=CE$1,[1]!BANCO10[[#This Row],[STATUS DA ETAPA]],"")</f>
        <v/>
      </c>
      <c r="CF427" s="21" t="str">
        <f>IF([1]!BANCO10[[#This Row],[SOLUÇÃO]]=CF$1,[1]!BANCO10[[#This Row],[STATUS DA ETAPA]],"")</f>
        <v/>
      </c>
      <c r="CG427" s="21" t="str">
        <f>IF([1]!BANCO10[[#This Row],[SOLUÇÃO]]=CG$1,[1]!BANCO10[[#This Row],[STATUS DA ETAPA]],"")</f>
        <v/>
      </c>
      <c r="CH427" s="21" t="str">
        <f>IF([1]!BANCO10[[#This Row],[SOLUÇÃO]]=CH$1,[1]!BANCO10[[#This Row],[STATUS DA ETAPA]],"")</f>
        <v/>
      </c>
      <c r="CI427" s="21" t="str">
        <f>IF([1]!BANCO10[[#This Row],[SOLUÇÃO]]=CI$1,[1]!BANCO10[[#This Row],[STATUS DA ETAPA]],"")</f>
        <v/>
      </c>
      <c r="CJ427" s="21" t="str">
        <f>IF([1]!BANCO10[[#This Row],[SOLUÇÃO]]=CJ$1,[1]!BANCO10[[#This Row],[STATUS DA ETAPA]],"")</f>
        <v/>
      </c>
      <c r="CK427" s="21" t="str">
        <f>IF([1]!BANCO10[[#This Row],[SOLUÇÃO]]=CK$1,[1]!BANCO10[[#This Row],[STATUS DA ETAPA]],"")</f>
        <v/>
      </c>
      <c r="CL427" s="21" t="str">
        <f>IF([1]!BANCO10[[#This Row],[SOLUÇÃO]]=CL$1,[1]!BANCO10[[#This Row],[STATUS DA ETAPA]],"")</f>
        <v/>
      </c>
      <c r="CM427" s="21" t="str">
        <f>IF([1]!BANCO10[[#This Row],[SOLUÇÃO]]=CM$1,[1]!BANCO10[[#This Row],[STATUS DA ETAPA]],"")</f>
        <v/>
      </c>
      <c r="CN427" s="21" t="str">
        <f>IF([1]!BANCO10[[#This Row],[SOLUÇÃO]]=CN$1,[1]!BANCO10[[#This Row],[STATUS DA ETAPA]],"")</f>
        <v/>
      </c>
      <c r="CO427" s="21" t="str">
        <f>IF([1]!BANCO10[[#This Row],[SOLUÇÃO]]=CO$1,[1]!BANCO10[[#This Row],[STATUS DA ETAPA]],"")</f>
        <v/>
      </c>
      <c r="CP427" s="21" t="str">
        <f>IF([1]!BANCO10[[#This Row],[SOLUÇÃO]]=CP$1,[1]!BANCO10[[#This Row],[STATUS DA ETAPA]],"")</f>
        <v/>
      </c>
      <c r="CQ427" s="21" t="str">
        <f>IF([1]!BANCO10[[#This Row],[SOLUÇÃO]]=CQ$1,[1]!BANCO10[[#This Row],[STATUS DA ETAPA]],"")</f>
        <v/>
      </c>
      <c r="CR427" s="21" t="str">
        <f>IF([1]!BANCO10[[#This Row],[SOLUÇÃO]]=CR$1,[1]!BANCO10[[#This Row],[STATUS DA ETAPA]],"")</f>
        <v/>
      </c>
      <c r="CS427" s="21" t="str">
        <f>IF([1]!BANCO10[[#This Row],[SOLUÇÃO]]=CS$1,[1]!BANCO10[[#This Row],[STATUS DA ETAPA]],"")</f>
        <v/>
      </c>
      <c r="CT427" s="21" t="str">
        <f>IF([1]!BANCO10[[#This Row],[SOLUÇÃO]]=CT$1,[1]!BANCO10[[#This Row],[STATUS DA ETAPA]],"")</f>
        <v/>
      </c>
      <c r="CU427" s="21" t="str">
        <f>IF([1]!BANCO10[[#This Row],[SOLUÇÃO]]=CU$1,[1]!BANCO10[[#This Row],[STATUS DA ETAPA]],"")</f>
        <v/>
      </c>
      <c r="CV427" s="21" t="str">
        <f>IF([1]!BANCO10[[#This Row],[SOLUÇÃO]]=CV$1,[1]!BANCO10[[#This Row],[STATUS DA ETAPA]],"")</f>
        <v/>
      </c>
    </row>
    <row r="428" spans="1:100">
      <c r="A428" s="44" t="s">
        <v>1</v>
      </c>
      <c r="B428" s="44"/>
      <c r="C428" s="44" t="s">
        <v>1</v>
      </c>
      <c r="D428" s="44"/>
      <c r="E428" s="44" t="s">
        <v>1</v>
      </c>
      <c r="F428" s="44"/>
      <c r="G428" s="44" t="s">
        <v>1</v>
      </c>
      <c r="H428" s="44"/>
      <c r="I428" s="45" t="s">
        <v>1</v>
      </c>
      <c r="J428" s="46"/>
      <c r="K428" s="45" t="s">
        <v>1</v>
      </c>
      <c r="L428" s="33"/>
      <c r="M428" s="45" t="s">
        <v>1</v>
      </c>
      <c r="N428" s="33"/>
      <c r="O428" s="44" t="s">
        <v>2</v>
      </c>
      <c r="P428" s="44">
        <v>45580</v>
      </c>
      <c r="Q428" s="44" t="s">
        <v>2</v>
      </c>
      <c r="R428" s="44">
        <v>45581</v>
      </c>
      <c r="S428" s="44" t="s">
        <v>2</v>
      </c>
      <c r="T428" s="44"/>
      <c r="U428" s="44" t="s">
        <v>2</v>
      </c>
      <c r="V428" s="44">
        <v>45582</v>
      </c>
      <c r="W428" s="44" t="s">
        <v>2</v>
      </c>
      <c r="X428" s="44"/>
      <c r="Y428" s="44" t="s">
        <v>2</v>
      </c>
      <c r="Z428" s="44"/>
      <c r="AA428" s="44" t="s">
        <v>2</v>
      </c>
      <c r="AB428" s="44">
        <v>45589</v>
      </c>
      <c r="AC428" s="51">
        <v>45637</v>
      </c>
      <c r="AD428" s="50">
        <v>45775</v>
      </c>
      <c r="AE428" s="41" t="s">
        <v>2</v>
      </c>
      <c r="AF428" s="41" t="s">
        <v>2</v>
      </c>
      <c r="AG428" s="76" t="s">
        <v>5</v>
      </c>
      <c r="AH428" s="36" t="s">
        <v>0</v>
      </c>
      <c r="AI428" s="49">
        <v>0</v>
      </c>
      <c r="AJ428" s="36" t="s">
        <v>6</v>
      </c>
      <c r="AK428" s="10" t="s">
        <v>460</v>
      </c>
      <c r="AL428" s="36" t="s">
        <v>459</v>
      </c>
      <c r="AM428" s="36" t="s">
        <v>458</v>
      </c>
      <c r="AN428" s="35" t="s">
        <v>1</v>
      </c>
      <c r="AO428" s="35" t="s">
        <v>1</v>
      </c>
      <c r="AP428" s="35" t="s">
        <v>2</v>
      </c>
      <c r="AQ428" s="35" t="s">
        <v>1</v>
      </c>
      <c r="AR428" s="34" t="s">
        <v>1</v>
      </c>
      <c r="AS428" s="33"/>
      <c r="AT428" s="32" t="s">
        <v>2</v>
      </c>
      <c r="AU428" s="31">
        <v>45775</v>
      </c>
      <c r="AV428" s="32" t="s">
        <v>2</v>
      </c>
      <c r="AW428" s="31">
        <v>45775</v>
      </c>
      <c r="AX428" s="32" t="s">
        <v>2</v>
      </c>
      <c r="AY428" s="31">
        <v>45775</v>
      </c>
      <c r="AZ428" s="32" t="s">
        <v>0</v>
      </c>
      <c r="BA428" s="31"/>
      <c r="BB428" s="39"/>
      <c r="BC428" s="25" t="s">
        <v>162</v>
      </c>
      <c r="BD428" s="24"/>
      <c r="BE428" s="24"/>
      <c r="BF428" s="79"/>
      <c r="BG428" s="79"/>
      <c r="BH428" s="80"/>
      <c r="BI428" s="79"/>
      <c r="BJ428" s="54"/>
      <c r="BK428" s="78"/>
      <c r="BL428" s="69"/>
      <c r="BM428" s="78"/>
      <c r="BN428" s="78"/>
      <c r="BO428" s="78"/>
      <c r="BP428" s="78"/>
      <c r="BQ428" s="21">
        <f>YEAR([1]!BANCO10[[#This Row],[DATA INÍCIO]])</f>
        <v>2024</v>
      </c>
      <c r="BR428" s="21">
        <f>MONTH([1]!BANCO10[[#This Row],[DATA INÍCIO]])</f>
        <v>12</v>
      </c>
      <c r="BS428" s="21" t="e">
        <f>CONCATENATE(#REF!,#REF!)</f>
        <v>#REF!</v>
      </c>
      <c r="BT428" s="21"/>
      <c r="BU428" s="21"/>
      <c r="BV428" s="21" t="str">
        <f>IF([1]!BANCO10[[#This Row],[SOLUÇÃO]]=BV$1,[1]!BANCO10[[#This Row],[STATUS DA ETAPA]],"")</f>
        <v/>
      </c>
      <c r="BW428" s="21" t="str">
        <f>IF([1]!BANCO10[[#This Row],[SOLUÇÃO]]=BW$1,[1]!BANCO10[[#This Row],[STATUS DA ETAPA]],"")</f>
        <v>CONCLUÍDO</v>
      </c>
      <c r="BX428" s="21" t="str">
        <f>IF([1]!BANCO10[[#This Row],[SOLUÇÃO]]=BX$1,[1]!BANCO10[[#This Row],[STATUS DA ETAPA]],"")</f>
        <v/>
      </c>
      <c r="BY428" s="21" t="str">
        <f>IF([1]!BANCO10[[#This Row],[SOLUÇÃO]]=BY$1,[1]!BANCO10[[#This Row],[STATUS DA ETAPA]],"")</f>
        <v/>
      </c>
      <c r="BZ428" s="21" t="str">
        <f>IF([1]!BANCO10[[#This Row],[SOLUÇÃO]]=BZ$1,[1]!BANCO10[[#This Row],[STATUS DA ETAPA]],"")</f>
        <v/>
      </c>
      <c r="CA428" s="21" t="str">
        <f>IF([1]!BANCO10[[#This Row],[SOLUÇÃO]]=CA$1,[1]!BANCO10[[#This Row],[STATUS DA ETAPA]],"")</f>
        <v/>
      </c>
      <c r="CB428" s="21" t="str">
        <f>IF([1]!BANCO10[[#This Row],[SOLUÇÃO]]=CB$1,[1]!BANCO10[[#This Row],[STATUS DA ETAPA]],"")</f>
        <v/>
      </c>
      <c r="CC428" s="21" t="str">
        <f>IF([1]!BANCO10[[#This Row],[SOLUÇÃO]]=CC$1,[1]!BANCO10[[#This Row],[STATUS DA ETAPA]],"")</f>
        <v/>
      </c>
      <c r="CD428" s="21" t="str">
        <f>IF([1]!BANCO10[[#This Row],[SOLUÇÃO]]=CD$1,[1]!BANCO10[[#This Row],[STATUS DA ETAPA]],"")</f>
        <v/>
      </c>
      <c r="CE428" s="21" t="str">
        <f>IF([1]!BANCO10[[#This Row],[SOLUÇÃO]]=CE$1,[1]!BANCO10[[#This Row],[STATUS DA ETAPA]],"")</f>
        <v/>
      </c>
      <c r="CF428" s="21" t="str">
        <f>IF([1]!BANCO10[[#This Row],[SOLUÇÃO]]=CF$1,[1]!BANCO10[[#This Row],[STATUS DA ETAPA]],"")</f>
        <v/>
      </c>
      <c r="CG428" s="21" t="str">
        <f>IF([1]!BANCO10[[#This Row],[SOLUÇÃO]]=CG$1,[1]!BANCO10[[#This Row],[STATUS DA ETAPA]],"")</f>
        <v/>
      </c>
      <c r="CH428" s="21" t="str">
        <f>IF([1]!BANCO10[[#This Row],[SOLUÇÃO]]=CH$1,[1]!BANCO10[[#This Row],[STATUS DA ETAPA]],"")</f>
        <v/>
      </c>
      <c r="CI428" s="21" t="str">
        <f>IF([1]!BANCO10[[#This Row],[SOLUÇÃO]]=CI$1,[1]!BANCO10[[#This Row],[STATUS DA ETAPA]],"")</f>
        <v/>
      </c>
      <c r="CJ428" s="21" t="str">
        <f>IF([1]!BANCO10[[#This Row],[SOLUÇÃO]]=CJ$1,[1]!BANCO10[[#This Row],[STATUS DA ETAPA]],"")</f>
        <v/>
      </c>
      <c r="CK428" s="21" t="str">
        <f>IF([1]!BANCO10[[#This Row],[SOLUÇÃO]]=CK$1,[1]!BANCO10[[#This Row],[STATUS DA ETAPA]],"")</f>
        <v/>
      </c>
      <c r="CL428" s="22" t="str">
        <f>IF([1]!BANCO10[[#This Row],[SOLUÇÃO]]=CL$1,[1]!BANCO10[[#This Row],[STATUS DA ETAPA]],"")</f>
        <v/>
      </c>
      <c r="CM428" s="64" t="str">
        <f>IF([1]!BANCO10[[#This Row],[SOLUÇÃO]]=CM$1,[1]!BANCO10[[#This Row],[STATUS DA ETAPA]],"")</f>
        <v/>
      </c>
      <c r="CN428" s="64" t="str">
        <f>IF([1]!BANCO10[[#This Row],[SOLUÇÃO]]=CN$1,[1]!BANCO10[[#This Row],[STATUS DA ETAPA]],"")</f>
        <v/>
      </c>
      <c r="CO428" s="64" t="str">
        <f>IF([1]!BANCO10[[#This Row],[SOLUÇÃO]]=CO$1,[1]!BANCO10[[#This Row],[STATUS DA ETAPA]],"")</f>
        <v/>
      </c>
      <c r="CP428" s="64" t="str">
        <f>IF([1]!BANCO10[[#This Row],[SOLUÇÃO]]=CP$1,[1]!BANCO10[[#This Row],[STATUS DA ETAPA]],"")</f>
        <v/>
      </c>
      <c r="CQ428" s="64" t="str">
        <f>IF([1]!BANCO10[[#This Row],[SOLUÇÃO]]=CQ$1,[1]!BANCO10[[#This Row],[STATUS DA ETAPA]],"")</f>
        <v/>
      </c>
      <c r="CR428" s="64" t="str">
        <f>IF([1]!BANCO10[[#This Row],[SOLUÇÃO]]=CR$1,[1]!BANCO10[[#This Row],[STATUS DA ETAPA]],"")</f>
        <v/>
      </c>
      <c r="CS428" s="64" t="str">
        <f>IF([1]!BANCO10[[#This Row],[SOLUÇÃO]]=CS$1,[1]!BANCO10[[#This Row],[STATUS DA ETAPA]],"")</f>
        <v/>
      </c>
      <c r="CT428" s="64" t="str">
        <f>IF([1]!BANCO10[[#This Row],[SOLUÇÃO]]=CT$1,[1]!BANCO10[[#This Row],[STATUS DA ETAPA]],"")</f>
        <v/>
      </c>
      <c r="CU428" s="64" t="str">
        <f>IF([1]!BANCO10[[#This Row],[SOLUÇÃO]]=CU$1,[1]!BANCO10[[#This Row],[STATUS DA ETAPA]],"")</f>
        <v/>
      </c>
      <c r="CV428" s="64" t="str">
        <f>IF([1]!BANCO10[[#This Row],[SOLUÇÃO]]=CV$1,[1]!BANCO10[[#This Row],[STATUS DA ETAPA]],"")</f>
        <v/>
      </c>
    </row>
    <row r="429" spans="1:100">
      <c r="A429" s="44" t="s">
        <v>2</v>
      </c>
      <c r="B429" s="44">
        <v>45721</v>
      </c>
      <c r="C429" s="44" t="s">
        <v>2</v>
      </c>
      <c r="D429" s="44">
        <v>45721</v>
      </c>
      <c r="E429" s="44" t="s">
        <v>2</v>
      </c>
      <c r="F429" s="44">
        <v>45735</v>
      </c>
      <c r="G429" s="44" t="s">
        <v>2</v>
      </c>
      <c r="H429" s="44">
        <v>45735</v>
      </c>
      <c r="I429" s="45" t="s">
        <v>2</v>
      </c>
      <c r="J429" s="46">
        <v>45736</v>
      </c>
      <c r="K429" s="45" t="s">
        <v>0</v>
      </c>
      <c r="L429" s="33"/>
      <c r="M429" s="45" t="s">
        <v>0</v>
      </c>
      <c r="N429" s="33"/>
      <c r="O429" s="44" t="s">
        <v>1</v>
      </c>
      <c r="P429" s="44"/>
      <c r="Q429" s="44" t="s">
        <v>1</v>
      </c>
      <c r="R429" s="44"/>
      <c r="S429" s="44" t="s">
        <v>2</v>
      </c>
      <c r="T429" s="44">
        <v>45708</v>
      </c>
      <c r="U429" s="44" t="s">
        <v>1</v>
      </c>
      <c r="V429" s="44"/>
      <c r="W429" s="44" t="s">
        <v>1</v>
      </c>
      <c r="X429" s="44"/>
      <c r="Y429" s="44" t="s">
        <v>1</v>
      </c>
      <c r="Z429" s="44"/>
      <c r="AA429" s="44" t="s">
        <v>1</v>
      </c>
      <c r="AB429" s="44"/>
      <c r="AC429" s="51">
        <v>46022</v>
      </c>
      <c r="AD429" s="50">
        <v>46022</v>
      </c>
      <c r="AE429" s="41" t="s">
        <v>0</v>
      </c>
      <c r="AF429" s="41" t="s">
        <v>0</v>
      </c>
      <c r="AG429" s="40" t="s">
        <v>5</v>
      </c>
      <c r="AH429" s="36" t="s">
        <v>0</v>
      </c>
      <c r="AI429" s="49">
        <v>20140</v>
      </c>
      <c r="AJ429" s="36" t="s">
        <v>3</v>
      </c>
      <c r="AK429" s="21">
        <v>678864</v>
      </c>
      <c r="AL429" s="36" t="s">
        <v>1</v>
      </c>
      <c r="AM429" s="36" t="s">
        <v>1</v>
      </c>
      <c r="AN429" s="35" t="s">
        <v>0</v>
      </c>
      <c r="AO429" s="35" t="s">
        <v>0</v>
      </c>
      <c r="AP429" s="35" t="s">
        <v>0</v>
      </c>
      <c r="AQ429" s="35" t="s">
        <v>0</v>
      </c>
      <c r="AR429" s="34" t="s">
        <v>0</v>
      </c>
      <c r="AS429" s="33"/>
      <c r="AT429" s="32" t="s">
        <v>0</v>
      </c>
      <c r="AU429" s="31"/>
      <c r="AV429" s="32" t="s">
        <v>0</v>
      </c>
      <c r="AW429" s="31"/>
      <c r="AX429" s="32" t="s">
        <v>0</v>
      </c>
      <c r="AY429" s="31"/>
      <c r="AZ429" s="32" t="s">
        <v>0</v>
      </c>
      <c r="BA429" s="31"/>
      <c r="BB429" s="26" t="s">
        <v>7</v>
      </c>
      <c r="BC429" s="25"/>
      <c r="BD429" s="24"/>
      <c r="BE429" s="24"/>
      <c r="BF429" s="24"/>
      <c r="BG429" s="24"/>
      <c r="BH429" s="24"/>
      <c r="BI429" s="24"/>
      <c r="BJ429" s="24"/>
      <c r="BK429" s="24"/>
      <c r="BL429" s="24"/>
      <c r="BM429" s="24"/>
      <c r="BN429" s="24"/>
      <c r="BO429" s="24"/>
      <c r="BP429" s="24"/>
      <c r="BQ429" s="22">
        <f>YEAR([1]!BANCO10[[#This Row],[DATA INÍCIO]])</f>
        <v>2025</v>
      </c>
      <c r="BR429" s="22">
        <f>MONTH([1]!BANCO10[[#This Row],[DATA INÍCIO]])</f>
        <v>12</v>
      </c>
      <c r="BS429" s="23" t="e">
        <f>CONCATENATE(#REF!,#REF!)</f>
        <v>#REF!</v>
      </c>
      <c r="BT429" s="22"/>
      <c r="BU429" s="22"/>
      <c r="BV429" s="21" t="str">
        <f>IF([1]!BANCO10[[#This Row],[SOLUÇÃO]]=BV$1,[1]!BANCO10[[#This Row],[STATUS DA ETAPA]],"")</f>
        <v/>
      </c>
      <c r="BW429" s="21" t="str">
        <f>IF([1]!BANCO10[[#This Row],[SOLUÇÃO]]=BW$1,[1]!BANCO10[[#This Row],[STATUS DA ETAPA]],"")</f>
        <v/>
      </c>
      <c r="BX429" s="21" t="str">
        <f>IF([1]!BANCO10[[#This Row],[SOLUÇÃO]]=BX$1,[1]!BANCO10[[#This Row],[STATUS DA ETAPA]],"")</f>
        <v/>
      </c>
      <c r="BY429" s="21" t="str">
        <f>IF([1]!BANCO10[[#This Row],[SOLUÇÃO]]=BY$1,[1]!BANCO10[[#This Row],[STATUS DA ETAPA]],"")</f>
        <v/>
      </c>
      <c r="BZ429" s="21" t="str">
        <f>IF([1]!BANCO10[[#This Row],[SOLUÇÃO]]=BZ$1,[1]!BANCO10[[#This Row],[STATUS DA ETAPA]],"")</f>
        <v/>
      </c>
      <c r="CA429" s="21" t="str">
        <f>IF([1]!BANCO10[[#This Row],[SOLUÇÃO]]=CA$1,[1]!BANCO10[[#This Row],[STATUS DA ETAPA]],"")</f>
        <v/>
      </c>
      <c r="CB429" s="21" t="str">
        <f>IF([1]!BANCO10[[#This Row],[SOLUÇÃO]]=CB$1,[1]!BANCO10[[#This Row],[STATUS DA ETAPA]],"")</f>
        <v>AGUARDANDO SALDO</v>
      </c>
      <c r="CC429" s="21" t="str">
        <f>IF([1]!BANCO10[[#This Row],[SOLUÇÃO]]=CC$1,[1]!BANCO10[[#This Row],[STATUS DA ETAPA]],"")</f>
        <v/>
      </c>
      <c r="CD429" s="21" t="str">
        <f>IF([1]!BANCO10[[#This Row],[SOLUÇÃO]]=CD$1,[1]!BANCO10[[#This Row],[STATUS DA ETAPA]],"")</f>
        <v/>
      </c>
      <c r="CE429" s="21" t="str">
        <f>IF([1]!BANCO10[[#This Row],[SOLUÇÃO]]=CE$1,[1]!BANCO10[[#This Row],[STATUS DA ETAPA]],"")</f>
        <v/>
      </c>
      <c r="CF429" s="21" t="str">
        <f>IF([1]!BANCO10[[#This Row],[SOLUÇÃO]]=CF$1,[1]!BANCO10[[#This Row],[STATUS DA ETAPA]],"")</f>
        <v/>
      </c>
      <c r="CG429" s="21" t="str">
        <f>IF([1]!BANCO10[[#This Row],[SOLUÇÃO]]=CG$1,[1]!BANCO10[[#This Row],[STATUS DA ETAPA]],"")</f>
        <v/>
      </c>
      <c r="CH429" s="21" t="str">
        <f>IF([1]!BANCO10[[#This Row],[SOLUÇÃO]]=CH$1,[1]!BANCO10[[#This Row],[STATUS DA ETAPA]],"")</f>
        <v/>
      </c>
      <c r="CI429" s="21" t="str">
        <f>IF([1]!BANCO10[[#This Row],[SOLUÇÃO]]=CI$1,[1]!BANCO10[[#This Row],[STATUS DA ETAPA]],"")</f>
        <v/>
      </c>
      <c r="CJ429" s="21" t="str">
        <f>IF([1]!BANCO10[[#This Row],[SOLUÇÃO]]=CJ$1,[1]!BANCO10[[#This Row],[STATUS DA ETAPA]],"")</f>
        <v/>
      </c>
      <c r="CK429" s="21" t="str">
        <f>IF([1]!BANCO10[[#This Row],[SOLUÇÃO]]=CK$1,[1]!BANCO10[[#This Row],[STATUS DA ETAPA]],"")</f>
        <v/>
      </c>
      <c r="CL429" s="21" t="str">
        <f>IF([1]!BANCO10[[#This Row],[SOLUÇÃO]]=CL$1,[1]!BANCO10[[#This Row],[STATUS DA ETAPA]],"")</f>
        <v/>
      </c>
      <c r="CM429" s="21" t="str">
        <f>IF([1]!BANCO10[[#This Row],[SOLUÇÃO]]=CM$1,[1]!BANCO10[[#This Row],[STATUS DA ETAPA]],"")</f>
        <v/>
      </c>
      <c r="CN429" s="21" t="str">
        <f>IF([1]!BANCO10[[#This Row],[SOLUÇÃO]]=CN$1,[1]!BANCO10[[#This Row],[STATUS DA ETAPA]],"")</f>
        <v/>
      </c>
      <c r="CO429" s="21" t="str">
        <f>IF([1]!BANCO10[[#This Row],[SOLUÇÃO]]=CO$1,[1]!BANCO10[[#This Row],[STATUS DA ETAPA]],"")</f>
        <v/>
      </c>
      <c r="CP429" s="21" t="str">
        <f>IF([1]!BANCO10[[#This Row],[SOLUÇÃO]]=CP$1,[1]!BANCO10[[#This Row],[STATUS DA ETAPA]],"")</f>
        <v/>
      </c>
      <c r="CQ429" s="21" t="str">
        <f>IF([1]!BANCO10[[#This Row],[SOLUÇÃO]]=CQ$1,[1]!BANCO10[[#This Row],[STATUS DA ETAPA]],"")</f>
        <v/>
      </c>
      <c r="CR429" s="21" t="str">
        <f>IF([1]!BANCO10[[#This Row],[SOLUÇÃO]]=CR$1,[1]!BANCO10[[#This Row],[STATUS DA ETAPA]],"")</f>
        <v/>
      </c>
      <c r="CS429" s="21" t="str">
        <f>IF([1]!BANCO10[[#This Row],[SOLUÇÃO]]=CS$1,[1]!BANCO10[[#This Row],[STATUS DA ETAPA]],"")</f>
        <v/>
      </c>
      <c r="CT429" s="21" t="str">
        <f>IF([1]!BANCO10[[#This Row],[SOLUÇÃO]]=CT$1,[1]!BANCO10[[#This Row],[STATUS DA ETAPA]],"")</f>
        <v/>
      </c>
      <c r="CU429" s="21" t="str">
        <f>IF([1]!BANCO10[[#This Row],[SOLUÇÃO]]=CU$1,[1]!BANCO10[[#This Row],[STATUS DA ETAPA]],"")</f>
        <v/>
      </c>
      <c r="CV429" s="21" t="str">
        <f>IF([1]!BANCO10[[#This Row],[SOLUÇÃO]]=CV$1,[1]!BANCO10[[#This Row],[STATUS DA ETAPA]],"")</f>
        <v/>
      </c>
    </row>
    <row r="430" spans="1:100">
      <c r="A430" s="44" t="s">
        <v>2</v>
      </c>
      <c r="B430" s="44">
        <v>45713</v>
      </c>
      <c r="C430" s="44" t="s">
        <v>2</v>
      </c>
      <c r="D430" s="44">
        <v>45713</v>
      </c>
      <c r="E430" s="44" t="s">
        <v>2</v>
      </c>
      <c r="F430" s="44">
        <v>45713</v>
      </c>
      <c r="G430" s="44" t="s">
        <v>2</v>
      </c>
      <c r="H430" s="44">
        <v>45713</v>
      </c>
      <c r="I430" s="45" t="s">
        <v>2</v>
      </c>
      <c r="J430" s="46">
        <v>45715</v>
      </c>
      <c r="K430" s="45" t="s">
        <v>2</v>
      </c>
      <c r="L430" s="33">
        <v>45712</v>
      </c>
      <c r="M430" s="45" t="s">
        <v>2</v>
      </c>
      <c r="N430" s="33">
        <v>45713</v>
      </c>
      <c r="O430" s="44" t="s">
        <v>1</v>
      </c>
      <c r="P430" s="44"/>
      <c r="Q430" s="44" t="s">
        <v>1</v>
      </c>
      <c r="R430" s="44"/>
      <c r="S430" s="44" t="s">
        <v>2</v>
      </c>
      <c r="T430" s="44">
        <v>45708</v>
      </c>
      <c r="U430" s="44" t="s">
        <v>1</v>
      </c>
      <c r="V430" s="44"/>
      <c r="W430" s="44" t="s">
        <v>1</v>
      </c>
      <c r="X430" s="44"/>
      <c r="Y430" s="44" t="s">
        <v>1</v>
      </c>
      <c r="Z430" s="44"/>
      <c r="AA430" s="44" t="s">
        <v>1</v>
      </c>
      <c r="AB430" s="44"/>
      <c r="AC430" s="51">
        <v>46022</v>
      </c>
      <c r="AD430" s="50">
        <v>46022</v>
      </c>
      <c r="AE430" s="41" t="s">
        <v>0</v>
      </c>
      <c r="AF430" s="41" t="s">
        <v>0</v>
      </c>
      <c r="AG430" s="40" t="s">
        <v>5</v>
      </c>
      <c r="AH430" s="36" t="s">
        <v>0</v>
      </c>
      <c r="AI430" s="49">
        <v>14440</v>
      </c>
      <c r="AJ430" s="36" t="s">
        <v>3</v>
      </c>
      <c r="AK430" s="10">
        <v>675784</v>
      </c>
      <c r="AL430" s="36" t="s">
        <v>1</v>
      </c>
      <c r="AM430" s="36" t="s">
        <v>1</v>
      </c>
      <c r="AN430" s="35" t="s">
        <v>0</v>
      </c>
      <c r="AO430" s="35" t="s">
        <v>0</v>
      </c>
      <c r="AP430" s="35" t="s">
        <v>0</v>
      </c>
      <c r="AQ430" s="35" t="s">
        <v>0</v>
      </c>
      <c r="AR430" s="34" t="s">
        <v>0</v>
      </c>
      <c r="AS430" s="33"/>
      <c r="AT430" s="32" t="s">
        <v>0</v>
      </c>
      <c r="AU430" s="31"/>
      <c r="AV430" s="32" t="s">
        <v>0</v>
      </c>
      <c r="AW430" s="31"/>
      <c r="AX430" s="32" t="s">
        <v>0</v>
      </c>
      <c r="AY430" s="31"/>
      <c r="AZ430" s="32" t="s">
        <v>0</v>
      </c>
      <c r="BA430" s="31"/>
      <c r="BB430" s="74" t="s">
        <v>7</v>
      </c>
      <c r="BC430" s="22" t="s">
        <v>457</v>
      </c>
      <c r="BD430" s="24"/>
      <c r="BE430" s="24"/>
      <c r="BF430" s="24"/>
      <c r="BG430" s="24"/>
      <c r="BH430" s="24"/>
      <c r="BI430" s="24"/>
      <c r="BJ430" s="24"/>
      <c r="BK430" s="24"/>
      <c r="BL430" s="24"/>
      <c r="BM430" s="24"/>
      <c r="BN430" s="24"/>
      <c r="BO430" s="24"/>
      <c r="BP430" s="24"/>
      <c r="BQ430" s="22">
        <f>YEAR([1]!BANCO10[[#This Row],[DATA INÍCIO]])</f>
        <v>2025</v>
      </c>
      <c r="BR430" s="22">
        <f>MONTH([1]!BANCO10[[#This Row],[DATA INÍCIO]])</f>
        <v>12</v>
      </c>
      <c r="BS430" s="23" t="e">
        <f>CONCATENATE(#REF!,#REF!)</f>
        <v>#REF!</v>
      </c>
      <c r="BT430" s="22"/>
      <c r="BU430" s="22"/>
      <c r="BV430" s="21" t="str">
        <f>IF([1]!BANCO10[[#This Row],[SOLUÇÃO]]=BV$1,[1]!BANCO10[[#This Row],[STATUS DA ETAPA]],"")</f>
        <v/>
      </c>
      <c r="BW430" s="21" t="str">
        <f>IF([1]!BANCO10[[#This Row],[SOLUÇÃO]]=BW$1,[1]!BANCO10[[#This Row],[STATUS DA ETAPA]],"")</f>
        <v/>
      </c>
      <c r="BX430" s="21" t="str">
        <f>IF([1]!BANCO10[[#This Row],[SOLUÇÃO]]=BX$1,[1]!BANCO10[[#This Row],[STATUS DA ETAPA]],"")</f>
        <v/>
      </c>
      <c r="BY430" s="21" t="str">
        <f>IF([1]!BANCO10[[#This Row],[SOLUÇÃO]]=BY$1,[1]!BANCO10[[#This Row],[STATUS DA ETAPA]],"")</f>
        <v/>
      </c>
      <c r="BZ430" s="21" t="str">
        <f>IF([1]!BANCO10[[#This Row],[SOLUÇÃO]]=BZ$1,[1]!BANCO10[[#This Row],[STATUS DA ETAPA]],"")</f>
        <v/>
      </c>
      <c r="CA430" s="21" t="str">
        <f>IF([1]!BANCO10[[#This Row],[SOLUÇÃO]]=CA$1,[1]!BANCO10[[#This Row],[STATUS DA ETAPA]],"")</f>
        <v/>
      </c>
      <c r="CB430" s="21" t="str">
        <f>IF([1]!BANCO10[[#This Row],[SOLUÇÃO]]=CB$1,[1]!BANCO10[[#This Row],[STATUS DA ETAPA]],"")</f>
        <v>AGUARDANDO SALDO</v>
      </c>
      <c r="CC430" s="21" t="str">
        <f>IF([1]!BANCO10[[#This Row],[SOLUÇÃO]]=CC$1,[1]!BANCO10[[#This Row],[STATUS DA ETAPA]],"")</f>
        <v/>
      </c>
      <c r="CD430" s="21" t="str">
        <f>IF([1]!BANCO10[[#This Row],[SOLUÇÃO]]=CD$1,[1]!BANCO10[[#This Row],[STATUS DA ETAPA]],"")</f>
        <v/>
      </c>
      <c r="CE430" s="21" t="str">
        <f>IF([1]!BANCO10[[#This Row],[SOLUÇÃO]]=CE$1,[1]!BANCO10[[#This Row],[STATUS DA ETAPA]],"")</f>
        <v/>
      </c>
      <c r="CF430" s="21" t="str">
        <f>IF([1]!BANCO10[[#This Row],[SOLUÇÃO]]=CF$1,[1]!BANCO10[[#This Row],[STATUS DA ETAPA]],"")</f>
        <v/>
      </c>
      <c r="CG430" s="21" t="str">
        <f>IF([1]!BANCO10[[#This Row],[SOLUÇÃO]]=CG$1,[1]!BANCO10[[#This Row],[STATUS DA ETAPA]],"")</f>
        <v/>
      </c>
      <c r="CH430" s="21" t="str">
        <f>IF([1]!BANCO10[[#This Row],[SOLUÇÃO]]=CH$1,[1]!BANCO10[[#This Row],[STATUS DA ETAPA]],"")</f>
        <v/>
      </c>
      <c r="CI430" s="21" t="str">
        <f>IF([1]!BANCO10[[#This Row],[SOLUÇÃO]]=CI$1,[1]!BANCO10[[#This Row],[STATUS DA ETAPA]],"")</f>
        <v/>
      </c>
      <c r="CJ430" s="21" t="str">
        <f>IF([1]!BANCO10[[#This Row],[SOLUÇÃO]]=CJ$1,[1]!BANCO10[[#This Row],[STATUS DA ETAPA]],"")</f>
        <v/>
      </c>
      <c r="CK430" s="21" t="str">
        <f>IF([1]!BANCO10[[#This Row],[SOLUÇÃO]]=CK$1,[1]!BANCO10[[#This Row],[STATUS DA ETAPA]],"")</f>
        <v/>
      </c>
      <c r="CL430" s="21" t="str">
        <f>IF([1]!BANCO10[[#This Row],[SOLUÇÃO]]=CL$1,[1]!BANCO10[[#This Row],[STATUS DA ETAPA]],"")</f>
        <v/>
      </c>
      <c r="CM430" s="21" t="str">
        <f>IF([1]!BANCO10[[#This Row],[SOLUÇÃO]]=CM$1,[1]!BANCO10[[#This Row],[STATUS DA ETAPA]],"")</f>
        <v/>
      </c>
      <c r="CN430" s="21" t="str">
        <f>IF([1]!BANCO10[[#This Row],[SOLUÇÃO]]=CN$1,[1]!BANCO10[[#This Row],[STATUS DA ETAPA]],"")</f>
        <v/>
      </c>
      <c r="CO430" s="21" t="str">
        <f>IF([1]!BANCO10[[#This Row],[SOLUÇÃO]]=CO$1,[1]!BANCO10[[#This Row],[STATUS DA ETAPA]],"")</f>
        <v/>
      </c>
      <c r="CP430" s="21" t="str">
        <f>IF([1]!BANCO10[[#This Row],[SOLUÇÃO]]=CP$1,[1]!BANCO10[[#This Row],[STATUS DA ETAPA]],"")</f>
        <v/>
      </c>
      <c r="CQ430" s="21" t="str">
        <f>IF([1]!BANCO10[[#This Row],[SOLUÇÃO]]=CQ$1,[1]!BANCO10[[#This Row],[STATUS DA ETAPA]],"")</f>
        <v/>
      </c>
      <c r="CR430" s="21" t="str">
        <f>IF([1]!BANCO10[[#This Row],[SOLUÇÃO]]=CR$1,[1]!BANCO10[[#This Row],[STATUS DA ETAPA]],"")</f>
        <v/>
      </c>
      <c r="CS430" s="21" t="str">
        <f>IF([1]!BANCO10[[#This Row],[SOLUÇÃO]]=CS$1,[1]!BANCO10[[#This Row],[STATUS DA ETAPA]],"")</f>
        <v/>
      </c>
      <c r="CT430" s="21" t="str">
        <f>IF([1]!BANCO10[[#This Row],[SOLUÇÃO]]=CT$1,[1]!BANCO10[[#This Row],[STATUS DA ETAPA]],"")</f>
        <v/>
      </c>
      <c r="CU430" s="21" t="str">
        <f>IF([1]!BANCO10[[#This Row],[SOLUÇÃO]]=CU$1,[1]!BANCO10[[#This Row],[STATUS DA ETAPA]],"")</f>
        <v/>
      </c>
      <c r="CV430" s="21" t="str">
        <f>IF([1]!BANCO10[[#This Row],[SOLUÇÃO]]=CV$1,[1]!BANCO10[[#This Row],[STATUS DA ETAPA]],"")</f>
        <v/>
      </c>
    </row>
    <row r="431" spans="1:100">
      <c r="A431" s="44" t="s">
        <v>1</v>
      </c>
      <c r="B431" s="44"/>
      <c r="C431" s="44" t="s">
        <v>1</v>
      </c>
      <c r="D431" s="44"/>
      <c r="E431" s="44" t="s">
        <v>1</v>
      </c>
      <c r="F431" s="44"/>
      <c r="G431" s="44" t="s">
        <v>1</v>
      </c>
      <c r="H431" s="44"/>
      <c r="I431" s="45" t="s">
        <v>1</v>
      </c>
      <c r="J431" s="46"/>
      <c r="K431" s="45" t="s">
        <v>1</v>
      </c>
      <c r="L431" s="33"/>
      <c r="M431" s="45" t="s">
        <v>1</v>
      </c>
      <c r="N431" s="33"/>
      <c r="O431" s="44" t="s">
        <v>2</v>
      </c>
      <c r="P431" s="44">
        <v>44926</v>
      </c>
      <c r="Q431" s="44" t="s">
        <v>0</v>
      </c>
      <c r="R431" s="44"/>
      <c r="S431" s="44" t="s">
        <v>1</v>
      </c>
      <c r="T431" s="44"/>
      <c r="U431" s="44" t="s">
        <v>1</v>
      </c>
      <c r="V431" s="44"/>
      <c r="W431" s="44" t="s">
        <v>1</v>
      </c>
      <c r="X431" s="44"/>
      <c r="Y431" s="44" t="s">
        <v>1</v>
      </c>
      <c r="Z431" s="44"/>
      <c r="AA431" s="44" t="s">
        <v>1</v>
      </c>
      <c r="AB431" s="44"/>
      <c r="AC431" s="51">
        <v>44926</v>
      </c>
      <c r="AD431" s="50">
        <v>44926</v>
      </c>
      <c r="AE431" s="40" t="s">
        <v>1</v>
      </c>
      <c r="AF431" s="40" t="s">
        <v>1</v>
      </c>
      <c r="AG431" s="76" t="s">
        <v>5</v>
      </c>
      <c r="AH431" s="36" t="s">
        <v>1</v>
      </c>
      <c r="AI431" s="49">
        <v>0</v>
      </c>
      <c r="AJ431" s="36" t="s">
        <v>1</v>
      </c>
      <c r="AK431" s="10" t="s">
        <v>1</v>
      </c>
      <c r="AL431" s="36" t="s">
        <v>1</v>
      </c>
      <c r="AM431" s="36" t="s">
        <v>1</v>
      </c>
      <c r="AN431" s="35" t="s">
        <v>1</v>
      </c>
      <c r="AO431" s="35" t="s">
        <v>1</v>
      </c>
      <c r="AP431" s="35" t="s">
        <v>1</v>
      </c>
      <c r="AQ431" s="35" t="s">
        <v>1</v>
      </c>
      <c r="AR431" s="82" t="s">
        <v>1</v>
      </c>
      <c r="AS431" s="33"/>
      <c r="AT431" s="30"/>
      <c r="AU431" s="55"/>
      <c r="AV431" s="30"/>
      <c r="AW431" s="55"/>
      <c r="AX431" s="30" t="s">
        <v>1</v>
      </c>
      <c r="AY431" s="55"/>
      <c r="AZ431" s="30" t="s">
        <v>1</v>
      </c>
      <c r="BA431" s="55"/>
      <c r="BB431" s="74"/>
      <c r="BC431" s="25"/>
      <c r="BD431" s="24" t="s">
        <v>11</v>
      </c>
      <c r="BE431" s="24" t="s">
        <v>11</v>
      </c>
      <c r="BF431" s="24" t="s">
        <v>11</v>
      </c>
      <c r="BG431" s="24" t="s">
        <v>11</v>
      </c>
      <c r="BH431" s="130" t="s">
        <v>11</v>
      </c>
      <c r="BI431" s="24"/>
      <c r="BJ431" s="24" t="s">
        <v>11</v>
      </c>
      <c r="BK431" s="24" t="s">
        <v>11</v>
      </c>
      <c r="BL431" s="24" t="s">
        <v>11</v>
      </c>
      <c r="BM431" s="24" t="s">
        <v>11</v>
      </c>
      <c r="BN431" s="24" t="s">
        <v>11</v>
      </c>
      <c r="BO431" s="24" t="s">
        <v>11</v>
      </c>
      <c r="BP431" s="24" t="s">
        <v>11</v>
      </c>
      <c r="BQ431" s="22">
        <f>YEAR([1]!BANCO10[[#This Row],[DATA INÍCIO]])</f>
        <v>2022</v>
      </c>
      <c r="BR431" s="22">
        <f>MONTH([1]!BANCO10[[#This Row],[DATA INÍCIO]])</f>
        <v>12</v>
      </c>
      <c r="BS431" s="129" t="e">
        <f>CONCATENATE(#REF!,#REF!)</f>
        <v>#REF!</v>
      </c>
      <c r="BT431" s="22"/>
      <c r="BU431" s="21" t="s">
        <v>456</v>
      </c>
      <c r="BV431" s="21" t="str">
        <f>IF([1]!BANCO10[[#This Row],[SOLUÇÃO]]=BV$1,[1]!BANCO10[[#This Row],[STATUS DA ETAPA]],"")</f>
        <v>CONCLUÍDO</v>
      </c>
      <c r="BW431" s="21" t="str">
        <f>IF([1]!BANCO10[[#This Row],[SOLUÇÃO]]=BW$1,[1]!BANCO10[[#This Row],[STATUS DA ETAPA]],"")</f>
        <v/>
      </c>
      <c r="BX431" s="21" t="str">
        <f>IF([1]!BANCO10[[#This Row],[SOLUÇÃO]]=BX$1,[1]!BANCO10[[#This Row],[STATUS DA ETAPA]],"")</f>
        <v/>
      </c>
      <c r="BY431" s="21" t="str">
        <f>IF([1]!BANCO10[[#This Row],[SOLUÇÃO]]=BY$1,[1]!BANCO10[[#This Row],[STATUS DA ETAPA]],"")</f>
        <v/>
      </c>
      <c r="BZ431" s="21" t="str">
        <f>IF([1]!BANCO10[[#This Row],[SOLUÇÃO]]=BZ$1,[1]!BANCO10[[#This Row],[STATUS DA ETAPA]],"")</f>
        <v/>
      </c>
      <c r="CA431" s="21" t="str">
        <f>IF([1]!BANCO10[[#This Row],[SOLUÇÃO]]=CA$1,[1]!BANCO10[[#This Row],[STATUS DA ETAPA]],"")</f>
        <v/>
      </c>
      <c r="CB431" s="21" t="str">
        <f>IF([1]!BANCO10[[#This Row],[SOLUÇÃO]]=CB$1,[1]!BANCO10[[#This Row],[STATUS DA ETAPA]],"")</f>
        <v/>
      </c>
      <c r="CC431" s="21" t="str">
        <f>IF([1]!BANCO10[[#This Row],[SOLUÇÃO]]=CC$1,[1]!BANCO10[[#This Row],[STATUS DA ETAPA]],"")</f>
        <v/>
      </c>
      <c r="CD431" s="21" t="str">
        <f>IF([1]!BANCO10[[#This Row],[SOLUÇÃO]]=CD$1,[1]!BANCO10[[#This Row],[STATUS DA ETAPA]],"")</f>
        <v/>
      </c>
      <c r="CE431" s="21" t="str">
        <f>IF([1]!BANCO10[[#This Row],[SOLUÇÃO]]=CE$1,[1]!BANCO10[[#This Row],[STATUS DA ETAPA]],"")</f>
        <v/>
      </c>
      <c r="CF431" s="21" t="str">
        <f>IF([1]!BANCO10[[#This Row],[SOLUÇÃO]]=CF$1,[1]!BANCO10[[#This Row],[STATUS DA ETAPA]],"")</f>
        <v/>
      </c>
      <c r="CG431" s="21" t="str">
        <f>IF([1]!BANCO10[[#This Row],[SOLUÇÃO]]=CG$1,[1]!BANCO10[[#This Row],[STATUS DA ETAPA]],"")</f>
        <v/>
      </c>
      <c r="CH431" s="21" t="str">
        <f>IF([1]!BANCO10[[#This Row],[SOLUÇÃO]]=CH$1,[1]!BANCO10[[#This Row],[STATUS DA ETAPA]],"")</f>
        <v/>
      </c>
      <c r="CI431" s="21" t="str">
        <f>IF([1]!BANCO10[[#This Row],[SOLUÇÃO]]=CI$1,[1]!BANCO10[[#This Row],[STATUS DA ETAPA]],"")</f>
        <v/>
      </c>
      <c r="CJ431" s="21" t="str">
        <f>IF([1]!BANCO10[[#This Row],[SOLUÇÃO]]=CJ$1,[1]!BANCO10[[#This Row],[STATUS DA ETAPA]],"")</f>
        <v/>
      </c>
      <c r="CK431" s="21" t="str">
        <f>IF([1]!BANCO10[[#This Row],[SOLUÇÃO]]=CK$1,[1]!BANCO10[[#This Row],[STATUS DA ETAPA]],"")</f>
        <v/>
      </c>
      <c r="CL431" s="21" t="str">
        <f>IF([1]!BANCO10[[#This Row],[SOLUÇÃO]]=CL$1,[1]!BANCO10[[#This Row],[STATUS DA ETAPA]],"")</f>
        <v/>
      </c>
      <c r="CM431" s="21" t="str">
        <f>IF([1]!BANCO10[[#This Row],[SOLUÇÃO]]=CM$1,[1]!BANCO10[[#This Row],[STATUS DA ETAPA]],"")</f>
        <v/>
      </c>
      <c r="CN431" s="21" t="str">
        <f>IF([1]!BANCO10[[#This Row],[SOLUÇÃO]]=CN$1,[1]!BANCO10[[#This Row],[STATUS DA ETAPA]],"")</f>
        <v/>
      </c>
      <c r="CO431" s="21" t="str">
        <f>IF([1]!BANCO10[[#This Row],[SOLUÇÃO]]=CO$1,[1]!BANCO10[[#This Row],[STATUS DA ETAPA]],"")</f>
        <v/>
      </c>
      <c r="CP431" s="21" t="str">
        <f>IF([1]!BANCO10[[#This Row],[SOLUÇÃO]]=CP$1,[1]!BANCO10[[#This Row],[STATUS DA ETAPA]],"")</f>
        <v/>
      </c>
      <c r="CQ431" s="21" t="str">
        <f>IF([1]!BANCO10[[#This Row],[SOLUÇÃO]]=CQ$1,[1]!BANCO10[[#This Row],[STATUS DA ETAPA]],"")</f>
        <v/>
      </c>
      <c r="CR431" s="21" t="str">
        <f>IF([1]!BANCO10[[#This Row],[SOLUÇÃO]]=CR$1,[1]!BANCO10[[#This Row],[STATUS DA ETAPA]],"")</f>
        <v/>
      </c>
      <c r="CS431" s="21" t="str">
        <f>IF([1]!BANCO10[[#This Row],[SOLUÇÃO]]=CS$1,[1]!BANCO10[[#This Row],[STATUS DA ETAPA]],"")</f>
        <v/>
      </c>
      <c r="CT431" s="21" t="str">
        <f>IF([1]!BANCO10[[#This Row],[SOLUÇÃO]]=CT$1,[1]!BANCO10[[#This Row],[STATUS DA ETAPA]],"")</f>
        <v/>
      </c>
      <c r="CU431" s="21" t="str">
        <f>IF([1]!BANCO10[[#This Row],[SOLUÇÃO]]=CU$1,[1]!BANCO10[[#This Row],[STATUS DA ETAPA]],"")</f>
        <v/>
      </c>
      <c r="CV431" s="21" t="str">
        <f>IF([1]!BANCO10[[#This Row],[SOLUÇÃO]]=CV$1,[1]!BANCO10[[#This Row],[STATUS DA ETAPA]],"")</f>
        <v/>
      </c>
    </row>
    <row r="432" spans="1:100">
      <c r="A432" s="44" t="s">
        <v>1</v>
      </c>
      <c r="B432" s="44"/>
      <c r="C432" s="44" t="s">
        <v>1</v>
      </c>
      <c r="D432" s="44"/>
      <c r="E432" s="44" t="s">
        <v>1</v>
      </c>
      <c r="F432" s="44"/>
      <c r="G432" s="44" t="s">
        <v>1</v>
      </c>
      <c r="H432" s="44"/>
      <c r="I432" s="45" t="s">
        <v>1</v>
      </c>
      <c r="J432" s="46"/>
      <c r="K432" s="45" t="s">
        <v>1</v>
      </c>
      <c r="L432" s="33"/>
      <c r="M432" s="45" t="s">
        <v>1</v>
      </c>
      <c r="N432" s="33"/>
      <c r="O432" s="44" t="s">
        <v>2</v>
      </c>
      <c r="P432" s="44">
        <v>45294</v>
      </c>
      <c r="Q432" s="44" t="s">
        <v>2</v>
      </c>
      <c r="R432" s="44">
        <v>45299</v>
      </c>
      <c r="S432" s="44"/>
      <c r="T432" s="44"/>
      <c r="U432" s="44" t="s">
        <v>1</v>
      </c>
      <c r="V432" s="44"/>
      <c r="W432" s="44" t="s">
        <v>1</v>
      </c>
      <c r="X432" s="44"/>
      <c r="Y432" s="44" t="s">
        <v>1</v>
      </c>
      <c r="Z432" s="44"/>
      <c r="AA432" s="44" t="s">
        <v>1</v>
      </c>
      <c r="AB432" s="44"/>
      <c r="AC432" s="51">
        <v>45963</v>
      </c>
      <c r="AD432" s="50">
        <v>45963</v>
      </c>
      <c r="AE432" s="41"/>
      <c r="AF432" s="41"/>
      <c r="AG432" s="76" t="s">
        <v>5</v>
      </c>
      <c r="AH432" s="36" t="s">
        <v>0</v>
      </c>
      <c r="AI432" s="49">
        <v>0</v>
      </c>
      <c r="AJ432" s="36"/>
      <c r="AK432" s="10" t="s">
        <v>30</v>
      </c>
      <c r="AL432" s="36" t="s">
        <v>30</v>
      </c>
      <c r="AM432" s="36" t="s">
        <v>30</v>
      </c>
      <c r="AN432" s="35" t="s">
        <v>1</v>
      </c>
      <c r="AO432" s="35" t="s">
        <v>1</v>
      </c>
      <c r="AP432" s="35"/>
      <c r="AQ432" s="35" t="s">
        <v>1</v>
      </c>
      <c r="AR432" s="34" t="s">
        <v>1</v>
      </c>
      <c r="AS432" s="33"/>
      <c r="AT432" s="32"/>
      <c r="AU432" s="31"/>
      <c r="AV432" s="32"/>
      <c r="AW432" s="31"/>
      <c r="AX432" s="30" t="s">
        <v>0</v>
      </c>
      <c r="AY432" s="29"/>
      <c r="AZ432" s="28" t="s">
        <v>0</v>
      </c>
      <c r="BA432" s="27"/>
      <c r="BB432" s="74"/>
      <c r="BC432" s="25"/>
      <c r="BD432" s="24" t="s">
        <v>11</v>
      </c>
      <c r="BE432" s="24" t="s">
        <v>11</v>
      </c>
      <c r="BF432" s="24" t="s">
        <v>11</v>
      </c>
      <c r="BG432" s="24" t="s">
        <v>11</v>
      </c>
      <c r="BH432" s="130" t="s">
        <v>50</v>
      </c>
      <c r="BI432" s="24"/>
      <c r="BJ432" s="24" t="s">
        <v>11</v>
      </c>
      <c r="BK432" s="24" t="s">
        <v>11</v>
      </c>
      <c r="BL432" s="24">
        <v>45394</v>
      </c>
      <c r="BM432" s="24"/>
      <c r="BN432" s="24" t="s">
        <v>11</v>
      </c>
      <c r="BO432" s="24"/>
      <c r="BP432" s="24" t="s">
        <v>455</v>
      </c>
      <c r="BQ432" s="22">
        <f>YEAR([1]!BANCO10[[#This Row],[DATA INÍCIO]])</f>
        <v>2025</v>
      </c>
      <c r="BR432" s="22">
        <f>MONTH([1]!BANCO10[[#This Row],[DATA INÍCIO]])</f>
        <v>11</v>
      </c>
      <c r="BS432" s="129" t="e">
        <f>CONCATENATE(#REF!,#REF!)</f>
        <v>#REF!</v>
      </c>
      <c r="BT432" s="22"/>
      <c r="BU432" s="21" t="s">
        <v>30</v>
      </c>
      <c r="BV432" s="21" t="str">
        <f>IF([1]!BANCO10[[#This Row],[SOLUÇÃO]]=BV$1,[1]!BANCO10[[#This Row],[STATUS DA ETAPA]],"")</f>
        <v/>
      </c>
      <c r="BW432" s="21" t="str">
        <f>IF([1]!BANCO10[[#This Row],[SOLUÇÃO]]=BW$1,[1]!BANCO10[[#This Row],[STATUS DA ETAPA]],"")</f>
        <v/>
      </c>
      <c r="BX432" s="21" t="str">
        <f>IF([1]!BANCO10[[#This Row],[SOLUÇÃO]]=BX$1,[1]!BANCO10[[#This Row],[STATUS DA ETAPA]],"")</f>
        <v/>
      </c>
      <c r="BY432" s="21" t="str">
        <f>IF([1]!BANCO10[[#This Row],[SOLUÇÃO]]=BY$1,[1]!BANCO10[[#This Row],[STATUS DA ETAPA]],"")</f>
        <v/>
      </c>
      <c r="BZ432" s="21" t="str">
        <f>IF([1]!BANCO10[[#This Row],[SOLUÇÃO]]=BZ$1,[1]!BANCO10[[#This Row],[STATUS DA ETAPA]],"")</f>
        <v/>
      </c>
      <c r="CA432" s="21" t="str">
        <f>IF([1]!BANCO10[[#This Row],[SOLUÇÃO]]=CA$1,[1]!BANCO10[[#This Row],[STATUS DA ETAPA]],"")</f>
        <v/>
      </c>
      <c r="CB432" s="21" t="str">
        <f>IF([1]!BANCO10[[#This Row],[SOLUÇÃO]]=CB$1,[1]!BANCO10[[#This Row],[STATUS DA ETAPA]],"")</f>
        <v/>
      </c>
      <c r="CC432" s="21" t="str">
        <f>IF([1]!BANCO10[[#This Row],[SOLUÇÃO]]=CC$1,[1]!BANCO10[[#This Row],[STATUS DA ETAPA]],"")</f>
        <v/>
      </c>
      <c r="CD432" s="21" t="str">
        <f>IF([1]!BANCO10[[#This Row],[SOLUÇÃO]]=CD$1,[1]!BANCO10[[#This Row],[STATUS DA ETAPA]],"")</f>
        <v>PROSPECÇÃO</v>
      </c>
      <c r="CE432" s="21" t="str">
        <f>IF([1]!BANCO10[[#This Row],[SOLUÇÃO]]=CE$1,[1]!BANCO10[[#This Row],[STATUS DA ETAPA]],"")</f>
        <v/>
      </c>
      <c r="CF432" s="21" t="str">
        <f>IF([1]!BANCO10[[#This Row],[SOLUÇÃO]]=CF$1,[1]!BANCO10[[#This Row],[STATUS DA ETAPA]],"")</f>
        <v/>
      </c>
      <c r="CG432" s="21" t="str">
        <f>IF([1]!BANCO10[[#This Row],[SOLUÇÃO]]=CG$1,[1]!BANCO10[[#This Row],[STATUS DA ETAPA]],"")</f>
        <v/>
      </c>
      <c r="CH432" s="21" t="str">
        <f>IF([1]!BANCO10[[#This Row],[SOLUÇÃO]]=CH$1,[1]!BANCO10[[#This Row],[STATUS DA ETAPA]],"")</f>
        <v/>
      </c>
      <c r="CI432" s="21" t="str">
        <f>IF([1]!BANCO10[[#This Row],[SOLUÇÃO]]=CI$1,[1]!BANCO10[[#This Row],[STATUS DA ETAPA]],"")</f>
        <v/>
      </c>
      <c r="CJ432" s="21" t="str">
        <f>IF([1]!BANCO10[[#This Row],[SOLUÇÃO]]=CJ$1,[1]!BANCO10[[#This Row],[STATUS DA ETAPA]],"")</f>
        <v/>
      </c>
      <c r="CK432" s="21" t="str">
        <f>IF([1]!BANCO10[[#This Row],[SOLUÇÃO]]=CK$1,[1]!BANCO10[[#This Row],[STATUS DA ETAPA]],"")</f>
        <v/>
      </c>
      <c r="CL432" s="21" t="str">
        <f>IF([1]!BANCO10[[#This Row],[SOLUÇÃO]]=CL$1,[1]!BANCO10[[#This Row],[STATUS DA ETAPA]],"")</f>
        <v/>
      </c>
      <c r="CM432" s="21" t="str">
        <f>IF([1]!BANCO10[[#This Row],[SOLUÇÃO]]=CM$1,[1]!BANCO10[[#This Row],[STATUS DA ETAPA]],"")</f>
        <v/>
      </c>
      <c r="CN432" s="21" t="str">
        <f>IF([1]!BANCO10[[#This Row],[SOLUÇÃO]]=CN$1,[1]!BANCO10[[#This Row],[STATUS DA ETAPA]],"")</f>
        <v/>
      </c>
      <c r="CO432" s="21" t="str">
        <f>IF([1]!BANCO10[[#This Row],[SOLUÇÃO]]=CO$1,[1]!BANCO10[[#This Row],[STATUS DA ETAPA]],"")</f>
        <v/>
      </c>
      <c r="CP432" s="21" t="str">
        <f>IF([1]!BANCO10[[#This Row],[SOLUÇÃO]]=CP$1,[1]!BANCO10[[#This Row],[STATUS DA ETAPA]],"")</f>
        <v/>
      </c>
      <c r="CQ432" s="21" t="str">
        <f>IF([1]!BANCO10[[#This Row],[SOLUÇÃO]]=CQ$1,[1]!BANCO10[[#This Row],[STATUS DA ETAPA]],"")</f>
        <v/>
      </c>
      <c r="CR432" s="21" t="str">
        <f>IF([1]!BANCO10[[#This Row],[SOLUÇÃO]]=CR$1,[1]!BANCO10[[#This Row],[STATUS DA ETAPA]],"")</f>
        <v/>
      </c>
      <c r="CS432" s="21" t="str">
        <f>IF([1]!BANCO10[[#This Row],[SOLUÇÃO]]=CS$1,[1]!BANCO10[[#This Row],[STATUS DA ETAPA]],"")</f>
        <v/>
      </c>
      <c r="CT432" s="21" t="str">
        <f>IF([1]!BANCO10[[#This Row],[SOLUÇÃO]]=CT$1,[1]!BANCO10[[#This Row],[STATUS DA ETAPA]],"")</f>
        <v/>
      </c>
      <c r="CU432" s="21" t="str">
        <f>IF([1]!BANCO10[[#This Row],[SOLUÇÃO]]=CU$1,[1]!BANCO10[[#This Row],[STATUS DA ETAPA]],"")</f>
        <v/>
      </c>
      <c r="CV432" s="21" t="str">
        <f>IF([1]!BANCO10[[#This Row],[SOLUÇÃO]]=CV$1,[1]!BANCO10[[#This Row],[STATUS DA ETAPA]],"")</f>
        <v/>
      </c>
    </row>
    <row r="433" spans="1:100">
      <c r="A433" s="44" t="s">
        <v>1</v>
      </c>
      <c r="B433" s="44"/>
      <c r="C433" s="44" t="s">
        <v>1</v>
      </c>
      <c r="D433" s="44"/>
      <c r="E433" s="44" t="s">
        <v>1</v>
      </c>
      <c r="F433" s="44"/>
      <c r="G433" s="44" t="s">
        <v>1</v>
      </c>
      <c r="H433" s="44"/>
      <c r="I433" s="45" t="s">
        <v>1</v>
      </c>
      <c r="J433" s="46"/>
      <c r="K433" s="45" t="s">
        <v>1</v>
      </c>
      <c r="L433" s="33"/>
      <c r="M433" s="45" t="s">
        <v>1</v>
      </c>
      <c r="N433" s="33"/>
      <c r="O433" s="44" t="s">
        <v>1</v>
      </c>
      <c r="P433" s="44"/>
      <c r="Q433" s="44" t="s">
        <v>1</v>
      </c>
      <c r="R433" s="44"/>
      <c r="S433" s="44" t="s">
        <v>1</v>
      </c>
      <c r="T433" s="44"/>
      <c r="U433" s="44" t="s">
        <v>1</v>
      </c>
      <c r="V433" s="44"/>
      <c r="W433" s="44" t="s">
        <v>1</v>
      </c>
      <c r="X433" s="44"/>
      <c r="Y433" s="44" t="s">
        <v>1</v>
      </c>
      <c r="Z433" s="44"/>
      <c r="AA433" s="44" t="s">
        <v>1</v>
      </c>
      <c r="AB433" s="44"/>
      <c r="AC433" s="51">
        <v>45577</v>
      </c>
      <c r="AD433" s="50">
        <v>45577</v>
      </c>
      <c r="AE433" s="41" t="s">
        <v>1</v>
      </c>
      <c r="AF433" s="41" t="s">
        <v>1</v>
      </c>
      <c r="AG433" s="40" t="s">
        <v>5</v>
      </c>
      <c r="AH433" s="36" t="s">
        <v>1</v>
      </c>
      <c r="AI433" s="49">
        <v>0</v>
      </c>
      <c r="AJ433" s="36" t="s">
        <v>1</v>
      </c>
      <c r="AK433" s="10" t="s">
        <v>1</v>
      </c>
      <c r="AL433" s="36" t="s">
        <v>1</v>
      </c>
      <c r="AM433" s="36" t="s">
        <v>1</v>
      </c>
      <c r="AN433" s="35" t="s">
        <v>1</v>
      </c>
      <c r="AO433" s="35" t="s">
        <v>1</v>
      </c>
      <c r="AP433" s="35" t="s">
        <v>1</v>
      </c>
      <c r="AQ433" s="35" t="s">
        <v>1</v>
      </c>
      <c r="AR433" s="34" t="s">
        <v>1</v>
      </c>
      <c r="AS433" s="33"/>
      <c r="AT433" s="32" t="s">
        <v>1</v>
      </c>
      <c r="AU433" s="31"/>
      <c r="AV433" s="32" t="s">
        <v>1</v>
      </c>
      <c r="AW433" s="31"/>
      <c r="AX433" s="30" t="s">
        <v>1</v>
      </c>
      <c r="AY433" s="29"/>
      <c r="AZ433" s="28" t="s">
        <v>1</v>
      </c>
      <c r="BA433" s="27"/>
      <c r="BB433" s="39"/>
      <c r="BC433" s="25"/>
      <c r="BD433" s="24"/>
      <c r="BE433" s="24"/>
      <c r="BF433" s="79"/>
      <c r="BG433" s="79"/>
      <c r="BH433" s="80"/>
      <c r="BI433" s="79"/>
      <c r="BJ433" s="54"/>
      <c r="BK433" s="78"/>
      <c r="BL433" s="69"/>
      <c r="BM433" s="78"/>
      <c r="BN433" s="78"/>
      <c r="BO433" s="78"/>
      <c r="BP433" s="78"/>
      <c r="BQ433" s="21">
        <f>YEAR([1]!BANCO10[[#This Row],[DATA INÍCIO]])</f>
        <v>2024</v>
      </c>
      <c r="BR433" s="21">
        <f>MONTH([1]!BANCO10[[#This Row],[DATA INÍCIO]])</f>
        <v>10</v>
      </c>
      <c r="BS433" s="21" t="e">
        <f>CONCATENATE(#REF!,#REF!)</f>
        <v>#REF!</v>
      </c>
      <c r="BT433" s="21"/>
      <c r="BU433" s="21"/>
      <c r="BV433" s="21" t="str">
        <f>IF([1]!BANCO10[[#This Row],[SOLUÇÃO]]=BV$1,[1]!BANCO10[[#This Row],[STATUS DA ETAPA]],"")</f>
        <v>CONCLUÍDO</v>
      </c>
      <c r="BW433" s="21" t="str">
        <f>IF([1]!BANCO10[[#This Row],[SOLUÇÃO]]=BW$1,[1]!BANCO10[[#This Row],[STATUS DA ETAPA]],"")</f>
        <v/>
      </c>
      <c r="BX433" s="21" t="str">
        <f>IF([1]!BANCO10[[#This Row],[SOLUÇÃO]]=BX$1,[1]!BANCO10[[#This Row],[STATUS DA ETAPA]],"")</f>
        <v/>
      </c>
      <c r="BY433" s="21" t="str">
        <f>IF([1]!BANCO10[[#This Row],[SOLUÇÃO]]=BY$1,[1]!BANCO10[[#This Row],[STATUS DA ETAPA]],"")</f>
        <v/>
      </c>
      <c r="BZ433" s="21" t="str">
        <f>IF([1]!BANCO10[[#This Row],[SOLUÇÃO]]=BZ$1,[1]!BANCO10[[#This Row],[STATUS DA ETAPA]],"")</f>
        <v/>
      </c>
      <c r="CA433" s="21" t="str">
        <f>IF([1]!BANCO10[[#This Row],[SOLUÇÃO]]=CA$1,[1]!BANCO10[[#This Row],[STATUS DA ETAPA]],"")</f>
        <v/>
      </c>
      <c r="CB433" s="21" t="str">
        <f>IF([1]!BANCO10[[#This Row],[SOLUÇÃO]]=CB$1,[1]!BANCO10[[#This Row],[STATUS DA ETAPA]],"")</f>
        <v/>
      </c>
      <c r="CC433" s="21" t="str">
        <f>IF([1]!BANCO10[[#This Row],[SOLUÇÃO]]=CC$1,[1]!BANCO10[[#This Row],[STATUS DA ETAPA]],"")</f>
        <v/>
      </c>
      <c r="CD433" s="21" t="str">
        <f>IF([1]!BANCO10[[#This Row],[SOLUÇÃO]]=CD$1,[1]!BANCO10[[#This Row],[STATUS DA ETAPA]],"")</f>
        <v/>
      </c>
      <c r="CE433" s="21" t="str">
        <f>IF([1]!BANCO10[[#This Row],[SOLUÇÃO]]=CE$1,[1]!BANCO10[[#This Row],[STATUS DA ETAPA]],"")</f>
        <v/>
      </c>
      <c r="CF433" s="21" t="str">
        <f>IF([1]!BANCO10[[#This Row],[SOLUÇÃO]]=CF$1,[1]!BANCO10[[#This Row],[STATUS DA ETAPA]],"")</f>
        <v/>
      </c>
      <c r="CG433" s="21" t="str">
        <f>IF([1]!BANCO10[[#This Row],[SOLUÇÃO]]=CG$1,[1]!BANCO10[[#This Row],[STATUS DA ETAPA]],"")</f>
        <v/>
      </c>
      <c r="CH433" s="21" t="str">
        <f>IF([1]!BANCO10[[#This Row],[SOLUÇÃO]]=CH$1,[1]!BANCO10[[#This Row],[STATUS DA ETAPA]],"")</f>
        <v/>
      </c>
      <c r="CI433" s="21" t="str">
        <f>IF([1]!BANCO10[[#This Row],[SOLUÇÃO]]=CI$1,[1]!BANCO10[[#This Row],[STATUS DA ETAPA]],"")</f>
        <v/>
      </c>
      <c r="CJ433" s="21" t="str">
        <f>IF([1]!BANCO10[[#This Row],[SOLUÇÃO]]=CJ$1,[1]!BANCO10[[#This Row],[STATUS DA ETAPA]],"")</f>
        <v/>
      </c>
      <c r="CK433" s="21" t="str">
        <f>IF([1]!BANCO10[[#This Row],[SOLUÇÃO]]=CK$1,[1]!BANCO10[[#This Row],[STATUS DA ETAPA]],"")</f>
        <v/>
      </c>
      <c r="CL433" s="22" t="str">
        <f>IF([1]!BANCO10[[#This Row],[SOLUÇÃO]]=CL$1,[1]!BANCO10[[#This Row],[STATUS DA ETAPA]],"")</f>
        <v/>
      </c>
      <c r="CM433" s="64" t="str">
        <f>IF([1]!BANCO10[[#This Row],[SOLUÇÃO]]=CM$1,[1]!BANCO10[[#This Row],[STATUS DA ETAPA]],"")</f>
        <v/>
      </c>
      <c r="CN433" s="64" t="str">
        <f>IF([1]!BANCO10[[#This Row],[SOLUÇÃO]]=CN$1,[1]!BANCO10[[#This Row],[STATUS DA ETAPA]],"")</f>
        <v/>
      </c>
      <c r="CO433" s="64" t="str">
        <f>IF([1]!BANCO10[[#This Row],[SOLUÇÃO]]=CO$1,[1]!BANCO10[[#This Row],[STATUS DA ETAPA]],"")</f>
        <v/>
      </c>
      <c r="CP433" s="64" t="str">
        <f>IF([1]!BANCO10[[#This Row],[SOLUÇÃO]]=CP$1,[1]!BANCO10[[#This Row],[STATUS DA ETAPA]],"")</f>
        <v/>
      </c>
      <c r="CQ433" s="64" t="str">
        <f>IF([1]!BANCO10[[#This Row],[SOLUÇÃO]]=CQ$1,[1]!BANCO10[[#This Row],[STATUS DA ETAPA]],"")</f>
        <v/>
      </c>
      <c r="CR433" s="64" t="str">
        <f>IF([1]!BANCO10[[#This Row],[SOLUÇÃO]]=CR$1,[1]!BANCO10[[#This Row],[STATUS DA ETAPA]],"")</f>
        <v/>
      </c>
      <c r="CS433" s="64" t="str">
        <f>IF([1]!BANCO10[[#This Row],[SOLUÇÃO]]=CS$1,[1]!BANCO10[[#This Row],[STATUS DA ETAPA]],"")</f>
        <v/>
      </c>
      <c r="CT433" s="64" t="str">
        <f>IF([1]!BANCO10[[#This Row],[SOLUÇÃO]]=CT$1,[1]!BANCO10[[#This Row],[STATUS DA ETAPA]],"")</f>
        <v/>
      </c>
      <c r="CU433" s="64" t="str">
        <f>IF([1]!BANCO10[[#This Row],[SOLUÇÃO]]=CU$1,[1]!BANCO10[[#This Row],[STATUS DA ETAPA]],"")</f>
        <v/>
      </c>
      <c r="CV433" s="64" t="str">
        <f>IF([1]!BANCO10[[#This Row],[SOLUÇÃO]]=CV$1,[1]!BANCO10[[#This Row],[STATUS DA ETAPA]],"")</f>
        <v/>
      </c>
    </row>
    <row r="434" spans="1:100">
      <c r="A434" s="44" t="s">
        <v>1</v>
      </c>
      <c r="B434" s="44"/>
      <c r="C434" s="44" t="s">
        <v>1</v>
      </c>
      <c r="D434" s="44"/>
      <c r="E434" s="44" t="s">
        <v>1</v>
      </c>
      <c r="F434" s="44"/>
      <c r="G434" s="44" t="s">
        <v>1</v>
      </c>
      <c r="H434" s="44"/>
      <c r="I434" s="45" t="s">
        <v>1</v>
      </c>
      <c r="J434" s="46"/>
      <c r="K434" s="45" t="s">
        <v>1</v>
      </c>
      <c r="L434" s="33"/>
      <c r="M434" s="45" t="s">
        <v>1</v>
      </c>
      <c r="N434" s="33"/>
      <c r="O434" s="44" t="s">
        <v>2</v>
      </c>
      <c r="P434" s="44">
        <v>45536</v>
      </c>
      <c r="Q434" s="44" t="s">
        <v>2</v>
      </c>
      <c r="R434" s="44">
        <v>45590</v>
      </c>
      <c r="S434" s="44" t="s">
        <v>2</v>
      </c>
      <c r="T434" s="44">
        <v>45594</v>
      </c>
      <c r="U434" s="44" t="s">
        <v>1</v>
      </c>
      <c r="V434" s="44"/>
      <c r="W434" s="44" t="s">
        <v>1</v>
      </c>
      <c r="X434" s="44"/>
      <c r="Y434" s="44" t="s">
        <v>1</v>
      </c>
      <c r="Z434" s="44"/>
      <c r="AA434" s="44" t="s">
        <v>1</v>
      </c>
      <c r="AB434" s="44"/>
      <c r="AC434" s="51">
        <v>45681</v>
      </c>
      <c r="AD434" s="50">
        <v>45776</v>
      </c>
      <c r="AE434" s="41" t="s">
        <v>2</v>
      </c>
      <c r="AF434" s="41" t="s">
        <v>2</v>
      </c>
      <c r="AG434" s="40" t="s">
        <v>5</v>
      </c>
      <c r="AH434" s="36" t="s">
        <v>0</v>
      </c>
      <c r="AI434" s="49">
        <v>14440</v>
      </c>
      <c r="AJ434" s="36" t="s">
        <v>6</v>
      </c>
      <c r="AK434" s="10">
        <v>580218</v>
      </c>
      <c r="AL434" s="36" t="s">
        <v>1</v>
      </c>
      <c r="AM434" s="36" t="s">
        <v>1</v>
      </c>
      <c r="AN434" s="35" t="s">
        <v>2</v>
      </c>
      <c r="AO434" s="35" t="s">
        <v>2</v>
      </c>
      <c r="AP434" s="35" t="s">
        <v>2</v>
      </c>
      <c r="AQ434" s="35" t="s">
        <v>2</v>
      </c>
      <c r="AR434" s="34" t="s">
        <v>2</v>
      </c>
      <c r="AS434" s="33">
        <v>45804</v>
      </c>
      <c r="AT434" s="32" t="s">
        <v>1</v>
      </c>
      <c r="AU434" s="31"/>
      <c r="AV434" s="32" t="s">
        <v>1</v>
      </c>
      <c r="AW434" s="31"/>
      <c r="AX434" s="30" t="s">
        <v>2</v>
      </c>
      <c r="AY434" s="29">
        <v>45804</v>
      </c>
      <c r="AZ434" s="28" t="s">
        <v>0</v>
      </c>
      <c r="BA434" s="27"/>
      <c r="BB434" s="95" t="s">
        <v>143</v>
      </c>
      <c r="BC434" s="25" t="s">
        <v>41</v>
      </c>
      <c r="BD434" s="24"/>
      <c r="BE434" s="24"/>
      <c r="BF434" s="79"/>
      <c r="BG434" s="79"/>
      <c r="BH434" s="80"/>
      <c r="BI434" s="79"/>
      <c r="BJ434" s="54"/>
      <c r="BK434" s="78"/>
      <c r="BL434" s="69"/>
      <c r="BM434" s="78"/>
      <c r="BN434" s="78"/>
      <c r="BO434" s="78"/>
      <c r="BP434" s="78"/>
      <c r="BQ434" s="21">
        <f>YEAR([1]!BANCO10[[#This Row],[DATA INÍCIO]])</f>
        <v>2025</v>
      </c>
      <c r="BR434" s="21">
        <f>MONTH([1]!BANCO10[[#This Row],[DATA INÍCIO]])</f>
        <v>1</v>
      </c>
      <c r="BS434" s="21" t="e">
        <f>CONCATENATE(#REF!,#REF!)</f>
        <v>#REF!</v>
      </c>
      <c r="BT434" s="21"/>
      <c r="BU434" s="21"/>
      <c r="BV434" s="21" t="str">
        <f>IF([1]!BANCO10[[#This Row],[SOLUÇÃO]]=BV$1,[1]!BANCO10[[#This Row],[STATUS DA ETAPA]],"")</f>
        <v/>
      </c>
      <c r="BW434" s="21" t="str">
        <f>IF([1]!BANCO10[[#This Row],[SOLUÇÃO]]=BW$1,[1]!BANCO10[[#This Row],[STATUS DA ETAPA]],"")</f>
        <v/>
      </c>
      <c r="BX434" s="21" t="str">
        <f>IF([1]!BANCO10[[#This Row],[SOLUÇÃO]]=BX$1,[1]!BANCO10[[#This Row],[STATUS DA ETAPA]],"")</f>
        <v/>
      </c>
      <c r="BY434" s="21" t="str">
        <f>IF([1]!BANCO10[[#This Row],[SOLUÇÃO]]=BY$1,[1]!BANCO10[[#This Row],[STATUS DA ETAPA]],"")</f>
        <v/>
      </c>
      <c r="BZ434" s="21" t="str">
        <f>IF([1]!BANCO10[[#This Row],[SOLUÇÃO]]=BZ$1,[1]!BANCO10[[#This Row],[STATUS DA ETAPA]],"")</f>
        <v/>
      </c>
      <c r="CA434" s="21" t="str">
        <f>IF([1]!BANCO10[[#This Row],[SOLUÇÃO]]=CA$1,[1]!BANCO10[[#This Row],[STATUS DA ETAPA]],"")</f>
        <v/>
      </c>
      <c r="CB434" s="21" t="str">
        <f>IF([1]!BANCO10[[#This Row],[SOLUÇÃO]]=CB$1,[1]!BANCO10[[#This Row],[STATUS DA ETAPA]],"")</f>
        <v>CONCLUÍDO</v>
      </c>
      <c r="CC434" s="21" t="str">
        <f>IF([1]!BANCO10[[#This Row],[SOLUÇÃO]]=CC$1,[1]!BANCO10[[#This Row],[STATUS DA ETAPA]],"")</f>
        <v/>
      </c>
      <c r="CD434" s="21" t="str">
        <f>IF([1]!BANCO10[[#This Row],[SOLUÇÃO]]=CD$1,[1]!BANCO10[[#This Row],[STATUS DA ETAPA]],"")</f>
        <v/>
      </c>
      <c r="CE434" s="21" t="str">
        <f>IF([1]!BANCO10[[#This Row],[SOLUÇÃO]]=CE$1,[1]!BANCO10[[#This Row],[STATUS DA ETAPA]],"")</f>
        <v/>
      </c>
      <c r="CF434" s="21" t="str">
        <f>IF([1]!BANCO10[[#This Row],[SOLUÇÃO]]=CF$1,[1]!BANCO10[[#This Row],[STATUS DA ETAPA]],"")</f>
        <v/>
      </c>
      <c r="CG434" s="21" t="str">
        <f>IF([1]!BANCO10[[#This Row],[SOLUÇÃO]]=CG$1,[1]!BANCO10[[#This Row],[STATUS DA ETAPA]],"")</f>
        <v/>
      </c>
      <c r="CH434" s="21" t="str">
        <f>IF([1]!BANCO10[[#This Row],[SOLUÇÃO]]=CH$1,[1]!BANCO10[[#This Row],[STATUS DA ETAPA]],"")</f>
        <v/>
      </c>
      <c r="CI434" s="21" t="str">
        <f>IF([1]!BANCO10[[#This Row],[SOLUÇÃO]]=CI$1,[1]!BANCO10[[#This Row],[STATUS DA ETAPA]],"")</f>
        <v/>
      </c>
      <c r="CJ434" s="21" t="str">
        <f>IF([1]!BANCO10[[#This Row],[SOLUÇÃO]]=CJ$1,[1]!BANCO10[[#This Row],[STATUS DA ETAPA]],"")</f>
        <v/>
      </c>
      <c r="CK434" s="21" t="str">
        <f>IF([1]!BANCO10[[#This Row],[SOLUÇÃO]]=CK$1,[1]!BANCO10[[#This Row],[STATUS DA ETAPA]],"")</f>
        <v/>
      </c>
      <c r="CL434" s="22" t="str">
        <f>IF([1]!BANCO10[[#This Row],[SOLUÇÃO]]=CL$1,[1]!BANCO10[[#This Row],[STATUS DA ETAPA]],"")</f>
        <v/>
      </c>
      <c r="CM434" s="64" t="str">
        <f>IF([1]!BANCO10[[#This Row],[SOLUÇÃO]]=CM$1,[1]!BANCO10[[#This Row],[STATUS DA ETAPA]],"")</f>
        <v/>
      </c>
      <c r="CN434" s="64" t="str">
        <f>IF([1]!BANCO10[[#This Row],[SOLUÇÃO]]=CN$1,[1]!BANCO10[[#This Row],[STATUS DA ETAPA]],"")</f>
        <v/>
      </c>
      <c r="CO434" s="64" t="str">
        <f>IF([1]!BANCO10[[#This Row],[SOLUÇÃO]]=CO$1,[1]!BANCO10[[#This Row],[STATUS DA ETAPA]],"")</f>
        <v/>
      </c>
      <c r="CP434" s="64" t="str">
        <f>IF([1]!BANCO10[[#This Row],[SOLUÇÃO]]=CP$1,[1]!BANCO10[[#This Row],[STATUS DA ETAPA]],"")</f>
        <v/>
      </c>
      <c r="CQ434" s="64" t="str">
        <f>IF([1]!BANCO10[[#This Row],[SOLUÇÃO]]=CQ$1,[1]!BANCO10[[#This Row],[STATUS DA ETAPA]],"")</f>
        <v/>
      </c>
      <c r="CR434" s="64" t="str">
        <f>IF([1]!BANCO10[[#This Row],[SOLUÇÃO]]=CR$1,[1]!BANCO10[[#This Row],[STATUS DA ETAPA]],"")</f>
        <v/>
      </c>
      <c r="CS434" s="64" t="str">
        <f>IF([1]!BANCO10[[#This Row],[SOLUÇÃO]]=CS$1,[1]!BANCO10[[#This Row],[STATUS DA ETAPA]],"")</f>
        <v/>
      </c>
      <c r="CT434" s="64" t="str">
        <f>IF([1]!BANCO10[[#This Row],[SOLUÇÃO]]=CT$1,[1]!BANCO10[[#This Row],[STATUS DA ETAPA]],"")</f>
        <v/>
      </c>
      <c r="CU434" s="64" t="str">
        <f>IF([1]!BANCO10[[#This Row],[SOLUÇÃO]]=CU$1,[1]!BANCO10[[#This Row],[STATUS DA ETAPA]],"")</f>
        <v/>
      </c>
      <c r="CV434" s="64" t="str">
        <f>IF([1]!BANCO10[[#This Row],[SOLUÇÃO]]=CV$1,[1]!BANCO10[[#This Row],[STATUS DA ETAPA]],"")</f>
        <v/>
      </c>
    </row>
    <row r="435" spans="1:100">
      <c r="A435" s="44" t="s">
        <v>1</v>
      </c>
      <c r="B435" s="44"/>
      <c r="C435" s="44" t="s">
        <v>1</v>
      </c>
      <c r="D435" s="44"/>
      <c r="E435" s="44" t="s">
        <v>1</v>
      </c>
      <c r="F435" s="44"/>
      <c r="G435" s="44" t="s">
        <v>1</v>
      </c>
      <c r="H435" s="44"/>
      <c r="I435" s="45" t="s">
        <v>1</v>
      </c>
      <c r="J435" s="46"/>
      <c r="K435" s="45" t="s">
        <v>1</v>
      </c>
      <c r="L435" s="33"/>
      <c r="M435" s="45" t="s">
        <v>1</v>
      </c>
      <c r="N435" s="33"/>
      <c r="O435" s="44" t="s">
        <v>1</v>
      </c>
      <c r="P435" s="44"/>
      <c r="Q435" s="44" t="s">
        <v>1</v>
      </c>
      <c r="R435" s="44"/>
      <c r="S435" s="44" t="s">
        <v>1</v>
      </c>
      <c r="T435" s="44"/>
      <c r="U435" s="44" t="s">
        <v>1</v>
      </c>
      <c r="V435" s="44"/>
      <c r="W435" s="44" t="s">
        <v>1</v>
      </c>
      <c r="X435" s="44"/>
      <c r="Y435" s="44" t="s">
        <v>1</v>
      </c>
      <c r="Z435" s="44"/>
      <c r="AA435" s="44" t="s">
        <v>1</v>
      </c>
      <c r="AB435" s="44"/>
      <c r="AC435" s="51">
        <v>45807</v>
      </c>
      <c r="AD435" s="50">
        <v>45807</v>
      </c>
      <c r="AE435" s="41" t="s">
        <v>1</v>
      </c>
      <c r="AF435" s="41" t="s">
        <v>1</v>
      </c>
      <c r="AG435" s="40" t="s">
        <v>4</v>
      </c>
      <c r="AH435" s="36" t="s">
        <v>0</v>
      </c>
      <c r="AI435" s="49">
        <v>0</v>
      </c>
      <c r="AJ435" s="36" t="s">
        <v>1</v>
      </c>
      <c r="AK435" s="10" t="s">
        <v>1</v>
      </c>
      <c r="AL435" s="36" t="s">
        <v>1</v>
      </c>
      <c r="AM435" s="36" t="s">
        <v>1</v>
      </c>
      <c r="AN435" s="35" t="s">
        <v>1</v>
      </c>
      <c r="AO435" s="35" t="s">
        <v>1</v>
      </c>
      <c r="AP435" s="35" t="s">
        <v>1</v>
      </c>
      <c r="AQ435" s="35" t="s">
        <v>2</v>
      </c>
      <c r="AR435" s="33" t="s">
        <v>0</v>
      </c>
      <c r="AS435" s="33"/>
      <c r="AT435" s="30" t="s">
        <v>0</v>
      </c>
      <c r="AU435" s="31"/>
      <c r="AV435" s="30" t="s">
        <v>0</v>
      </c>
      <c r="AW435" s="31"/>
      <c r="AX435" s="30" t="s">
        <v>0</v>
      </c>
      <c r="AY435" s="29"/>
      <c r="AZ435" s="28" t="s">
        <v>0</v>
      </c>
      <c r="BA435" s="27"/>
      <c r="BB435" s="26"/>
      <c r="BC435" s="25"/>
      <c r="BD435" s="24"/>
      <c r="BE435" s="24"/>
      <c r="BF435" s="24"/>
      <c r="BG435" s="24"/>
      <c r="BH435" s="24"/>
      <c r="BI435" s="24"/>
      <c r="BJ435" s="24"/>
      <c r="BK435" s="24"/>
      <c r="BL435" s="24"/>
      <c r="BM435" s="24"/>
      <c r="BN435" s="24"/>
      <c r="BO435" s="24"/>
      <c r="BP435" s="24"/>
      <c r="BQ435" s="22">
        <f>YEAR([1]!BANCO10[[#This Row],[DATA INÍCIO]])</f>
        <v>2025</v>
      </c>
      <c r="BR435" s="22">
        <f>MONTH([1]!BANCO10[[#This Row],[DATA INÍCIO]])</f>
        <v>5</v>
      </c>
      <c r="BS435" s="23" t="e">
        <f>CONCATENATE(#REF!,#REF!)</f>
        <v>#REF!</v>
      </c>
      <c r="BT435" s="22"/>
      <c r="BU435" s="22"/>
      <c r="BV435" s="21" t="str">
        <f>IF([1]!BANCO10[[#This Row],[SOLUÇÃO]]=BV$1,[1]!BANCO10[[#This Row],[STATUS DA ETAPA]],"")</f>
        <v/>
      </c>
      <c r="BW435" s="21" t="str">
        <f>IF([1]!BANCO10[[#This Row],[SOLUÇÃO]]=BW$1,[1]!BANCO10[[#This Row],[STATUS DA ETAPA]],"")</f>
        <v/>
      </c>
      <c r="BX435" s="21" t="str">
        <f>IF([1]!BANCO10[[#This Row],[SOLUÇÃO]]=BX$1,[1]!BANCO10[[#This Row],[STATUS DA ETAPA]],"")</f>
        <v/>
      </c>
      <c r="BY435" s="21" t="str">
        <f>IF([1]!BANCO10[[#This Row],[SOLUÇÃO]]=BY$1,[1]!BANCO10[[#This Row],[STATUS DA ETAPA]],"")</f>
        <v/>
      </c>
      <c r="BZ435" s="21" t="str">
        <f>IF([1]!BANCO10[[#This Row],[SOLUÇÃO]]=BZ$1,[1]!BANCO10[[#This Row],[STATUS DA ETAPA]],"")</f>
        <v/>
      </c>
      <c r="CA435" s="21" t="str">
        <f>IF([1]!BANCO10[[#This Row],[SOLUÇÃO]]=CA$1,[1]!BANCO10[[#This Row],[STATUS DA ETAPA]],"")</f>
        <v/>
      </c>
      <c r="CB435" s="21" t="str">
        <f>IF([1]!BANCO10[[#This Row],[SOLUÇÃO]]=CB$1,[1]!BANCO10[[#This Row],[STATUS DA ETAPA]],"")</f>
        <v/>
      </c>
      <c r="CC435" s="21" t="str">
        <f>IF([1]!BANCO10[[#This Row],[SOLUÇÃO]]=CC$1,[1]!BANCO10[[#This Row],[STATUS DA ETAPA]],"")</f>
        <v/>
      </c>
      <c r="CD435" s="21" t="str">
        <f>IF([1]!BANCO10[[#This Row],[SOLUÇÃO]]=CD$1,[1]!BANCO10[[#This Row],[STATUS DA ETAPA]],"")</f>
        <v/>
      </c>
      <c r="CE435" s="21" t="str">
        <f>IF([1]!BANCO10[[#This Row],[SOLUÇÃO]]=CE$1,[1]!BANCO10[[#This Row],[STATUS DA ETAPA]],"")</f>
        <v/>
      </c>
      <c r="CF435" s="21" t="str">
        <f>IF([1]!BANCO10[[#This Row],[SOLUÇÃO]]=CF$1,[1]!BANCO10[[#This Row],[STATUS DA ETAPA]],"")</f>
        <v/>
      </c>
      <c r="CG435" s="21" t="str">
        <f>IF([1]!BANCO10[[#This Row],[SOLUÇÃO]]=CG$1,[1]!BANCO10[[#This Row],[STATUS DA ETAPA]],"")</f>
        <v/>
      </c>
      <c r="CH435" s="21" t="str">
        <f>IF([1]!BANCO10[[#This Row],[SOLUÇÃO]]=CH$1,[1]!BANCO10[[#This Row],[STATUS DA ETAPA]],"")</f>
        <v/>
      </c>
      <c r="CI435" s="21" t="str">
        <f>IF([1]!BANCO10[[#This Row],[SOLUÇÃO]]=CI$1,[1]!BANCO10[[#This Row],[STATUS DA ETAPA]],"")</f>
        <v/>
      </c>
      <c r="CJ435" s="21" t="str">
        <f>IF([1]!BANCO10[[#This Row],[SOLUÇÃO]]=CJ$1,[1]!BANCO10[[#This Row],[STATUS DA ETAPA]],"")</f>
        <v/>
      </c>
      <c r="CK435" s="21" t="str">
        <f>IF([1]!BANCO10[[#This Row],[SOLUÇÃO]]=CK$1,[1]!BANCO10[[#This Row],[STATUS DA ETAPA]],"")</f>
        <v/>
      </c>
      <c r="CL435" s="21" t="str">
        <f>IF([1]!BANCO10[[#This Row],[SOLUÇÃO]]=CL$1,[1]!BANCO10[[#This Row],[STATUS DA ETAPA]],"")</f>
        <v/>
      </c>
      <c r="CM435" s="21" t="str">
        <f>IF([1]!BANCO10[[#This Row],[SOLUÇÃO]]=CM$1,[1]!BANCO10[[#This Row],[STATUS DA ETAPA]],"")</f>
        <v/>
      </c>
      <c r="CN435" s="21" t="str">
        <f>IF([1]!BANCO10[[#This Row],[SOLUÇÃO]]=CN$1,[1]!BANCO10[[#This Row],[STATUS DA ETAPA]],"")</f>
        <v/>
      </c>
      <c r="CO435" s="21" t="str">
        <f>IF([1]!BANCO10[[#This Row],[SOLUÇÃO]]=CO$1,[1]!BANCO10[[#This Row],[STATUS DA ETAPA]],"")</f>
        <v/>
      </c>
      <c r="CP435" s="21" t="str">
        <f>IF([1]!BANCO10[[#This Row],[SOLUÇÃO]]=CP$1,[1]!BANCO10[[#This Row],[STATUS DA ETAPA]],"")</f>
        <v/>
      </c>
      <c r="CQ435" s="21" t="str">
        <f>IF([1]!BANCO10[[#This Row],[SOLUÇÃO]]=CQ$1,[1]!BANCO10[[#This Row],[STATUS DA ETAPA]],"")</f>
        <v/>
      </c>
      <c r="CR435" s="21" t="str">
        <f>IF([1]!BANCO10[[#This Row],[SOLUÇÃO]]=CR$1,[1]!BANCO10[[#This Row],[STATUS DA ETAPA]],"")</f>
        <v/>
      </c>
      <c r="CS435" s="21" t="str">
        <f>IF([1]!BANCO10[[#This Row],[SOLUÇÃO]]=CS$1,[1]!BANCO10[[#This Row],[STATUS DA ETAPA]],"")</f>
        <v/>
      </c>
      <c r="CT435" s="21" t="str">
        <f>IF([1]!BANCO10[[#This Row],[SOLUÇÃO]]=CT$1,[1]!BANCO10[[#This Row],[STATUS DA ETAPA]],"")</f>
        <v/>
      </c>
      <c r="CU435" s="21" t="str">
        <f>IF([1]!BANCO10[[#This Row],[SOLUÇÃO]]=CU$1,[1]!BANCO10[[#This Row],[STATUS DA ETAPA]],"")</f>
        <v/>
      </c>
      <c r="CV435" s="21" t="str">
        <f>IF([1]!BANCO10[[#This Row],[SOLUÇÃO]]=CV$1,[1]!BANCO10[[#This Row],[STATUS DA ETAPA]],"")</f>
        <v/>
      </c>
    </row>
    <row r="436" spans="1:100">
      <c r="A436" s="44" t="s">
        <v>1</v>
      </c>
      <c r="B436" s="44"/>
      <c r="C436" s="44" t="s">
        <v>1</v>
      </c>
      <c r="D436" s="44"/>
      <c r="E436" s="44" t="s">
        <v>1</v>
      </c>
      <c r="F436" s="44"/>
      <c r="G436" s="44" t="s">
        <v>1</v>
      </c>
      <c r="H436" s="44"/>
      <c r="I436" s="45" t="s">
        <v>1</v>
      </c>
      <c r="J436" s="46"/>
      <c r="K436" s="45" t="s">
        <v>1</v>
      </c>
      <c r="L436" s="33"/>
      <c r="M436" s="45" t="s">
        <v>1</v>
      </c>
      <c r="N436" s="33"/>
      <c r="O436" s="44" t="s">
        <v>1</v>
      </c>
      <c r="P436" s="44"/>
      <c r="Q436" s="44" t="s">
        <v>1</v>
      </c>
      <c r="R436" s="44"/>
      <c r="S436" s="44" t="s">
        <v>1</v>
      </c>
      <c r="T436" s="44"/>
      <c r="U436" s="44" t="s">
        <v>2</v>
      </c>
      <c r="V436" s="44">
        <v>45777</v>
      </c>
      <c r="W436" s="44" t="s">
        <v>2</v>
      </c>
      <c r="X436" s="44">
        <v>45777</v>
      </c>
      <c r="Y436" s="44" t="s">
        <v>2</v>
      </c>
      <c r="Z436" s="44"/>
      <c r="AA436" s="44" t="s">
        <v>2</v>
      </c>
      <c r="AB436" s="44"/>
      <c r="AC436" s="51">
        <v>45805</v>
      </c>
      <c r="AD436" s="50">
        <v>45917</v>
      </c>
      <c r="AE436" s="68" t="s">
        <v>2</v>
      </c>
      <c r="AF436" s="68" t="s">
        <v>2</v>
      </c>
      <c r="AG436" s="76" t="s">
        <v>4</v>
      </c>
      <c r="AH436" s="36" t="s">
        <v>0</v>
      </c>
      <c r="AI436" s="49">
        <v>0</v>
      </c>
      <c r="AJ436" s="36" t="s">
        <v>6</v>
      </c>
      <c r="AK436" s="10" t="s">
        <v>454</v>
      </c>
      <c r="AL436" s="36">
        <v>7498</v>
      </c>
      <c r="AM436" s="36" t="s">
        <v>453</v>
      </c>
      <c r="AN436" s="35" t="s">
        <v>1</v>
      </c>
      <c r="AO436" s="35" t="s">
        <v>1</v>
      </c>
      <c r="AP436" s="35" t="s">
        <v>2</v>
      </c>
      <c r="AQ436" s="35" t="s">
        <v>1</v>
      </c>
      <c r="AR436" s="34" t="s">
        <v>1</v>
      </c>
      <c r="AS436" s="33"/>
      <c r="AT436" s="32" t="s">
        <v>2</v>
      </c>
      <c r="AU436" s="96">
        <v>45923</v>
      </c>
      <c r="AV436" s="28" t="s">
        <v>0</v>
      </c>
      <c r="AW436" s="31"/>
      <c r="AX436" s="30" t="s">
        <v>0</v>
      </c>
      <c r="AY436" s="29"/>
      <c r="AZ436" s="28" t="s">
        <v>0</v>
      </c>
      <c r="BA436" s="27"/>
      <c r="BB436" s="39"/>
      <c r="BC436" s="25"/>
      <c r="BD436" s="24"/>
      <c r="BE436" s="24"/>
      <c r="BF436" s="24"/>
      <c r="BG436" s="24"/>
      <c r="BH436" s="24"/>
      <c r="BI436" s="24"/>
      <c r="BJ436" s="24"/>
      <c r="BK436" s="24"/>
      <c r="BL436" s="24"/>
      <c r="BM436" s="24"/>
      <c r="BN436" s="24"/>
      <c r="BO436" s="24"/>
      <c r="BP436" s="24"/>
      <c r="BQ436" s="22">
        <f>YEAR([1]!BANCO10[[#This Row],[DATA INÍCIO]])</f>
        <v>2025</v>
      </c>
      <c r="BR436" s="22">
        <f>MONTH([1]!BANCO10[[#This Row],[DATA INÍCIO]])</f>
        <v>5</v>
      </c>
      <c r="BS436" s="23" t="e">
        <f>CONCATENATE(#REF!,#REF!)</f>
        <v>#REF!</v>
      </c>
      <c r="BT436" s="22"/>
      <c r="BU436" s="22"/>
      <c r="BV436" s="21" t="str">
        <f>IF([1]!BANCO10[[#This Row],[SOLUÇÃO]]=BV$1,[1]!BANCO10[[#This Row],[STATUS DA ETAPA]],"")</f>
        <v/>
      </c>
      <c r="BW436" s="21" t="str">
        <f>IF([1]!BANCO10[[#This Row],[SOLUÇÃO]]=BW$1,[1]!BANCO10[[#This Row],[STATUS DA ETAPA]],"")</f>
        <v/>
      </c>
      <c r="BX436" s="21" t="str">
        <f>IF([1]!BANCO10[[#This Row],[SOLUÇÃO]]=BX$1,[1]!BANCO10[[#This Row],[STATUS DA ETAPA]],"")</f>
        <v/>
      </c>
      <c r="BY436" s="21" t="str">
        <f>IF([1]!BANCO10[[#This Row],[SOLUÇÃO]]=BY$1,[1]!BANCO10[[#This Row],[STATUS DA ETAPA]],"")</f>
        <v/>
      </c>
      <c r="BZ436" s="21" t="str">
        <f>IF([1]!BANCO10[[#This Row],[SOLUÇÃO]]=BZ$1,[1]!BANCO10[[#This Row],[STATUS DA ETAPA]],"")</f>
        <v/>
      </c>
      <c r="CA436" s="21" t="str">
        <f>IF([1]!BANCO10[[#This Row],[SOLUÇÃO]]=CA$1,[1]!BANCO10[[#This Row],[STATUS DA ETAPA]],"")</f>
        <v/>
      </c>
      <c r="CB436" s="21" t="str">
        <f>IF([1]!BANCO10[[#This Row],[SOLUÇÃO]]=CB$1,[1]!BANCO10[[#This Row],[STATUS DA ETAPA]],"")</f>
        <v/>
      </c>
      <c r="CC436" s="21" t="str">
        <f>IF([1]!BANCO10[[#This Row],[SOLUÇÃO]]=CC$1,[1]!BANCO10[[#This Row],[STATUS DA ETAPA]],"")</f>
        <v/>
      </c>
      <c r="CD436" s="21" t="str">
        <f>IF([1]!BANCO10[[#This Row],[SOLUÇÃO]]=CD$1,[1]!BANCO10[[#This Row],[STATUS DA ETAPA]],"")</f>
        <v/>
      </c>
      <c r="CE436" s="21" t="str">
        <f>IF([1]!BANCO10[[#This Row],[SOLUÇÃO]]=CE$1,[1]!BANCO10[[#This Row],[STATUS DA ETAPA]],"")</f>
        <v/>
      </c>
      <c r="CF436" s="21" t="str">
        <f>IF([1]!BANCO10[[#This Row],[SOLUÇÃO]]=CF$1,[1]!BANCO10[[#This Row],[STATUS DA ETAPA]],"")</f>
        <v/>
      </c>
      <c r="CG436" s="21" t="str">
        <f>IF([1]!BANCO10[[#This Row],[SOLUÇÃO]]=CG$1,[1]!BANCO10[[#This Row],[STATUS DA ETAPA]],"")</f>
        <v/>
      </c>
      <c r="CH436" s="21" t="str">
        <f>IF([1]!BANCO10[[#This Row],[SOLUÇÃO]]=CH$1,[1]!BANCO10[[#This Row],[STATUS DA ETAPA]],"")</f>
        <v/>
      </c>
      <c r="CI436" s="21" t="str">
        <f>IF([1]!BANCO10[[#This Row],[SOLUÇÃO]]=CI$1,[1]!BANCO10[[#This Row],[STATUS DA ETAPA]],"")</f>
        <v/>
      </c>
      <c r="CJ436" s="21" t="str">
        <f>IF([1]!BANCO10[[#This Row],[SOLUÇÃO]]=CJ$1,[1]!BANCO10[[#This Row],[STATUS DA ETAPA]],"")</f>
        <v/>
      </c>
      <c r="CK436" s="21" t="str">
        <f>IF([1]!BANCO10[[#This Row],[SOLUÇÃO]]=CK$1,[1]!BANCO10[[#This Row],[STATUS DA ETAPA]],"")</f>
        <v/>
      </c>
      <c r="CL436" s="21" t="str">
        <f>IF([1]!BANCO10[[#This Row],[SOLUÇÃO]]=CL$1,[1]!BANCO10[[#This Row],[STATUS DA ETAPA]],"")</f>
        <v/>
      </c>
      <c r="CM436" s="21" t="str">
        <f>IF([1]!BANCO10[[#This Row],[SOLUÇÃO]]=CM$1,[1]!BANCO10[[#This Row],[STATUS DA ETAPA]],"")</f>
        <v/>
      </c>
      <c r="CN436" s="21" t="str">
        <f>IF([1]!BANCO10[[#This Row],[SOLUÇÃO]]=CN$1,[1]!BANCO10[[#This Row],[STATUS DA ETAPA]],"")</f>
        <v/>
      </c>
      <c r="CO436" s="21" t="str">
        <f>IF([1]!BANCO10[[#This Row],[SOLUÇÃO]]=CO$1,[1]!BANCO10[[#This Row],[STATUS DA ETAPA]],"")</f>
        <v>CONCLUÍDO</v>
      </c>
      <c r="CP436" s="21" t="str">
        <f>IF([1]!BANCO10[[#This Row],[SOLUÇÃO]]=CP$1,[1]!BANCO10[[#This Row],[STATUS DA ETAPA]],"")</f>
        <v/>
      </c>
      <c r="CQ436" s="21" t="str">
        <f>IF([1]!BANCO10[[#This Row],[SOLUÇÃO]]=CQ$1,[1]!BANCO10[[#This Row],[STATUS DA ETAPA]],"")</f>
        <v/>
      </c>
      <c r="CR436" s="21" t="str">
        <f>IF([1]!BANCO10[[#This Row],[SOLUÇÃO]]=CR$1,[1]!BANCO10[[#This Row],[STATUS DA ETAPA]],"")</f>
        <v/>
      </c>
      <c r="CS436" s="21" t="str">
        <f>IF([1]!BANCO10[[#This Row],[SOLUÇÃO]]=CS$1,[1]!BANCO10[[#This Row],[STATUS DA ETAPA]],"")</f>
        <v/>
      </c>
      <c r="CT436" s="21" t="str">
        <f>IF([1]!BANCO10[[#This Row],[SOLUÇÃO]]=CT$1,[1]!BANCO10[[#This Row],[STATUS DA ETAPA]],"")</f>
        <v/>
      </c>
      <c r="CU436" s="21" t="str">
        <f>IF([1]!BANCO10[[#This Row],[SOLUÇÃO]]=CU$1,[1]!BANCO10[[#This Row],[STATUS DA ETAPA]],"")</f>
        <v/>
      </c>
      <c r="CV436" s="21" t="str">
        <f>IF([1]!BANCO10[[#This Row],[SOLUÇÃO]]=CV$1,[1]!BANCO10[[#This Row],[STATUS DA ETAPA]],"")</f>
        <v/>
      </c>
    </row>
    <row r="437" spans="1:100">
      <c r="A437" s="44" t="s">
        <v>1</v>
      </c>
      <c r="B437" s="44"/>
      <c r="C437" s="44" t="s">
        <v>1</v>
      </c>
      <c r="D437" s="44"/>
      <c r="E437" s="44" t="s">
        <v>1</v>
      </c>
      <c r="F437" s="44"/>
      <c r="G437" s="44" t="s">
        <v>1</v>
      </c>
      <c r="H437" s="44"/>
      <c r="I437" s="45" t="s">
        <v>1</v>
      </c>
      <c r="J437" s="46"/>
      <c r="K437" s="45" t="s">
        <v>1</v>
      </c>
      <c r="L437" s="33"/>
      <c r="M437" s="45" t="s">
        <v>1</v>
      </c>
      <c r="N437" s="33"/>
      <c r="O437" s="44" t="s">
        <v>1</v>
      </c>
      <c r="P437" s="44"/>
      <c r="Q437" s="44" t="s">
        <v>1</v>
      </c>
      <c r="R437" s="44"/>
      <c r="S437" s="44" t="s">
        <v>1</v>
      </c>
      <c r="T437" s="44"/>
      <c r="U437" s="44" t="s">
        <v>2</v>
      </c>
      <c r="V437" s="44">
        <v>45818</v>
      </c>
      <c r="W437" s="44" t="s">
        <v>2</v>
      </c>
      <c r="X437" s="44">
        <v>45818</v>
      </c>
      <c r="Y437" s="44" t="s">
        <v>2</v>
      </c>
      <c r="Z437" s="44"/>
      <c r="AA437" s="44" t="s">
        <v>2</v>
      </c>
      <c r="AB437" s="44"/>
      <c r="AC437" s="51">
        <v>45849</v>
      </c>
      <c r="AD437" s="50">
        <v>45916</v>
      </c>
      <c r="AE437" s="68" t="s">
        <v>2</v>
      </c>
      <c r="AF437" s="68" t="s">
        <v>2</v>
      </c>
      <c r="AG437" s="76" t="s">
        <v>5</v>
      </c>
      <c r="AH437" s="36" t="s">
        <v>0</v>
      </c>
      <c r="AI437" s="49">
        <v>0</v>
      </c>
      <c r="AJ437" s="36" t="s">
        <v>6</v>
      </c>
      <c r="AK437" s="97" t="s">
        <v>452</v>
      </c>
      <c r="AL437" s="36">
        <v>7498</v>
      </c>
      <c r="AM437" s="36">
        <v>0</v>
      </c>
      <c r="AN437" s="35" t="s">
        <v>1</v>
      </c>
      <c r="AO437" s="35" t="s">
        <v>1</v>
      </c>
      <c r="AP437" s="35" t="s">
        <v>2</v>
      </c>
      <c r="AQ437" s="35" t="s">
        <v>1</v>
      </c>
      <c r="AR437" s="34" t="s">
        <v>1</v>
      </c>
      <c r="AS437" s="33"/>
      <c r="AT437" s="32" t="s">
        <v>2</v>
      </c>
      <c r="AU437" s="96">
        <v>45923</v>
      </c>
      <c r="AV437" s="28" t="s">
        <v>0</v>
      </c>
      <c r="AW437" s="31"/>
      <c r="AX437" s="30" t="s">
        <v>0</v>
      </c>
      <c r="AY437" s="29"/>
      <c r="AZ437" s="28" t="s">
        <v>0</v>
      </c>
      <c r="BA437" s="27"/>
      <c r="BB437" s="39" t="s">
        <v>451</v>
      </c>
      <c r="BC437" s="25"/>
      <c r="BD437" s="24"/>
      <c r="BE437" s="24"/>
      <c r="BF437" s="24"/>
      <c r="BG437" s="24"/>
      <c r="BH437" s="24"/>
      <c r="BI437" s="24"/>
      <c r="BJ437" s="24"/>
      <c r="BK437" s="24"/>
      <c r="BL437" s="24"/>
      <c r="BM437" s="24"/>
      <c r="BN437" s="24"/>
      <c r="BO437" s="24"/>
      <c r="BP437" s="24"/>
      <c r="BQ437" s="22">
        <f>YEAR([1]!BANCO10[[#This Row],[DATA INÍCIO]])</f>
        <v>2025</v>
      </c>
      <c r="BR437" s="22">
        <f>MONTH([1]!BANCO10[[#This Row],[DATA INÍCIO]])</f>
        <v>7</v>
      </c>
      <c r="BS437" s="23" t="e">
        <f>CONCATENATE(#REF!,#REF!)</f>
        <v>#REF!</v>
      </c>
      <c r="BT437" s="22"/>
      <c r="BU437" s="22"/>
      <c r="BV437" s="21" t="str">
        <f>IF([1]!BANCO10[[#This Row],[SOLUÇÃO]]=BV$1,[1]!BANCO10[[#This Row],[STATUS DA ETAPA]],"")</f>
        <v/>
      </c>
      <c r="BW437" s="21" t="str">
        <f>IF([1]!BANCO10[[#This Row],[SOLUÇÃO]]=BW$1,[1]!BANCO10[[#This Row],[STATUS DA ETAPA]],"")</f>
        <v/>
      </c>
      <c r="BX437" s="21" t="str">
        <f>IF([1]!BANCO10[[#This Row],[SOLUÇÃO]]=BX$1,[1]!BANCO10[[#This Row],[STATUS DA ETAPA]],"")</f>
        <v/>
      </c>
      <c r="BY437" s="21" t="str">
        <f>IF([1]!BANCO10[[#This Row],[SOLUÇÃO]]=BY$1,[1]!BANCO10[[#This Row],[STATUS DA ETAPA]],"")</f>
        <v/>
      </c>
      <c r="BZ437" s="21" t="str">
        <f>IF([1]!BANCO10[[#This Row],[SOLUÇÃO]]=BZ$1,[1]!BANCO10[[#This Row],[STATUS DA ETAPA]],"")</f>
        <v/>
      </c>
      <c r="CA437" s="21" t="str">
        <f>IF([1]!BANCO10[[#This Row],[SOLUÇÃO]]=CA$1,[1]!BANCO10[[#This Row],[STATUS DA ETAPA]],"")</f>
        <v/>
      </c>
      <c r="CB437" s="21" t="str">
        <f>IF([1]!BANCO10[[#This Row],[SOLUÇÃO]]=CB$1,[1]!BANCO10[[#This Row],[STATUS DA ETAPA]],"")</f>
        <v/>
      </c>
      <c r="CC437" s="21" t="str">
        <f>IF([1]!BANCO10[[#This Row],[SOLUÇÃO]]=CC$1,[1]!BANCO10[[#This Row],[STATUS DA ETAPA]],"")</f>
        <v/>
      </c>
      <c r="CD437" s="21" t="str">
        <f>IF([1]!BANCO10[[#This Row],[SOLUÇÃO]]=CD$1,[1]!BANCO10[[#This Row],[STATUS DA ETAPA]],"")</f>
        <v/>
      </c>
      <c r="CE437" s="21" t="str">
        <f>IF([1]!BANCO10[[#This Row],[SOLUÇÃO]]=CE$1,[1]!BANCO10[[#This Row],[STATUS DA ETAPA]],"")</f>
        <v/>
      </c>
      <c r="CF437" s="21" t="str">
        <f>IF([1]!BANCO10[[#This Row],[SOLUÇÃO]]=CF$1,[1]!BANCO10[[#This Row],[STATUS DA ETAPA]],"")</f>
        <v/>
      </c>
      <c r="CG437" s="21" t="str">
        <f>IF([1]!BANCO10[[#This Row],[SOLUÇÃO]]=CG$1,[1]!BANCO10[[#This Row],[STATUS DA ETAPA]],"")</f>
        <v/>
      </c>
      <c r="CH437" s="21" t="str">
        <f>IF([1]!BANCO10[[#This Row],[SOLUÇÃO]]=CH$1,[1]!BANCO10[[#This Row],[STATUS DA ETAPA]],"")</f>
        <v/>
      </c>
      <c r="CI437" s="21" t="str">
        <f>IF([1]!BANCO10[[#This Row],[SOLUÇÃO]]=CI$1,[1]!BANCO10[[#This Row],[STATUS DA ETAPA]],"")</f>
        <v/>
      </c>
      <c r="CJ437" s="21" t="str">
        <f>IF([1]!BANCO10[[#This Row],[SOLUÇÃO]]=CJ$1,[1]!BANCO10[[#This Row],[STATUS DA ETAPA]],"")</f>
        <v/>
      </c>
      <c r="CK437" s="21" t="str">
        <f>IF([1]!BANCO10[[#This Row],[SOLUÇÃO]]=CK$1,[1]!BANCO10[[#This Row],[STATUS DA ETAPA]],"")</f>
        <v/>
      </c>
      <c r="CL437" s="21" t="str">
        <f>IF([1]!BANCO10[[#This Row],[SOLUÇÃO]]=CL$1,[1]!BANCO10[[#This Row],[STATUS DA ETAPA]],"")</f>
        <v/>
      </c>
      <c r="CM437" s="21" t="str">
        <f>IF([1]!BANCO10[[#This Row],[SOLUÇÃO]]=CM$1,[1]!BANCO10[[#This Row],[STATUS DA ETAPA]],"")</f>
        <v/>
      </c>
      <c r="CN437" s="21" t="str">
        <f>IF([1]!BANCO10[[#This Row],[SOLUÇÃO]]=CN$1,[1]!BANCO10[[#This Row],[STATUS DA ETAPA]],"")</f>
        <v/>
      </c>
      <c r="CO437" s="21" t="str">
        <f>IF([1]!BANCO10[[#This Row],[SOLUÇÃO]]=CO$1,[1]!BANCO10[[#This Row],[STATUS DA ETAPA]],"")</f>
        <v>CONCLUÍDO</v>
      </c>
      <c r="CP437" s="21" t="str">
        <f>IF([1]!BANCO10[[#This Row],[SOLUÇÃO]]=CP$1,[1]!BANCO10[[#This Row],[STATUS DA ETAPA]],"")</f>
        <v/>
      </c>
      <c r="CQ437" s="21" t="str">
        <f>IF([1]!BANCO10[[#This Row],[SOLUÇÃO]]=CQ$1,[1]!BANCO10[[#This Row],[STATUS DA ETAPA]],"")</f>
        <v/>
      </c>
      <c r="CR437" s="21" t="str">
        <f>IF([1]!BANCO10[[#This Row],[SOLUÇÃO]]=CR$1,[1]!BANCO10[[#This Row],[STATUS DA ETAPA]],"")</f>
        <v/>
      </c>
      <c r="CS437" s="21" t="str">
        <f>IF([1]!BANCO10[[#This Row],[SOLUÇÃO]]=CS$1,[1]!BANCO10[[#This Row],[STATUS DA ETAPA]],"")</f>
        <v/>
      </c>
      <c r="CT437" s="21" t="str">
        <f>IF([1]!BANCO10[[#This Row],[SOLUÇÃO]]=CT$1,[1]!BANCO10[[#This Row],[STATUS DA ETAPA]],"")</f>
        <v/>
      </c>
      <c r="CU437" s="21" t="str">
        <f>IF([1]!BANCO10[[#This Row],[SOLUÇÃO]]=CU$1,[1]!BANCO10[[#This Row],[STATUS DA ETAPA]],"")</f>
        <v/>
      </c>
      <c r="CV437" s="21" t="str">
        <f>IF([1]!BANCO10[[#This Row],[SOLUÇÃO]]=CV$1,[1]!BANCO10[[#This Row],[STATUS DA ETAPA]],"")</f>
        <v/>
      </c>
    </row>
    <row r="438" spans="1:100">
      <c r="A438" s="44" t="s">
        <v>1</v>
      </c>
      <c r="B438" s="44"/>
      <c r="C438" s="44" t="s">
        <v>1</v>
      </c>
      <c r="D438" s="44"/>
      <c r="E438" s="44" t="s">
        <v>1</v>
      </c>
      <c r="F438" s="44"/>
      <c r="G438" s="44" t="s">
        <v>1</v>
      </c>
      <c r="H438" s="44"/>
      <c r="I438" s="45" t="s">
        <v>1</v>
      </c>
      <c r="J438" s="46"/>
      <c r="K438" s="45" t="s">
        <v>1</v>
      </c>
      <c r="L438" s="33"/>
      <c r="M438" s="45" t="s">
        <v>1</v>
      </c>
      <c r="N438" s="33"/>
      <c r="O438" s="44" t="s">
        <v>1</v>
      </c>
      <c r="P438" s="44"/>
      <c r="Q438" s="44" t="s">
        <v>1</v>
      </c>
      <c r="R438" s="44" t="s">
        <v>1</v>
      </c>
      <c r="S438" s="44" t="s">
        <v>1</v>
      </c>
      <c r="T438" s="44"/>
      <c r="U438" s="44" t="s">
        <v>1</v>
      </c>
      <c r="V438" s="44"/>
      <c r="W438" s="44" t="s">
        <v>1</v>
      </c>
      <c r="X438" s="44"/>
      <c r="Y438" s="44" t="s">
        <v>1</v>
      </c>
      <c r="Z438" s="44"/>
      <c r="AA438" s="44" t="s">
        <v>1</v>
      </c>
      <c r="AB438" s="44"/>
      <c r="AC438" s="84">
        <v>45636</v>
      </c>
      <c r="AD438" s="83">
        <v>45636</v>
      </c>
      <c r="AE438" s="41" t="s">
        <v>1</v>
      </c>
      <c r="AF438" s="41" t="s">
        <v>1</v>
      </c>
      <c r="AG438" s="40" t="s">
        <v>4</v>
      </c>
      <c r="AH438" s="36" t="s">
        <v>0</v>
      </c>
      <c r="AI438" s="49">
        <v>0</v>
      </c>
      <c r="AJ438" s="36" t="s">
        <v>1</v>
      </c>
      <c r="AK438" s="10" t="s">
        <v>1</v>
      </c>
      <c r="AL438" s="36" t="s">
        <v>1</v>
      </c>
      <c r="AM438" s="36" t="s">
        <v>1</v>
      </c>
      <c r="AN438" s="35" t="s">
        <v>1</v>
      </c>
      <c r="AO438" s="35" t="s">
        <v>1</v>
      </c>
      <c r="AP438" s="35" t="s">
        <v>1</v>
      </c>
      <c r="AQ438" s="35" t="s">
        <v>2</v>
      </c>
      <c r="AR438" s="34" t="s">
        <v>0</v>
      </c>
      <c r="AS438" s="33"/>
      <c r="AT438" s="30" t="s">
        <v>0</v>
      </c>
      <c r="AU438" s="31"/>
      <c r="AV438" s="30" t="s">
        <v>0</v>
      </c>
      <c r="AW438" s="31"/>
      <c r="AX438" s="30" t="s">
        <v>0</v>
      </c>
      <c r="AY438" s="29"/>
      <c r="AZ438" s="28" t="s">
        <v>0</v>
      </c>
      <c r="BA438" s="27"/>
      <c r="BB438" s="26"/>
      <c r="BC438" s="25"/>
      <c r="BD438" s="24"/>
      <c r="BE438" s="24"/>
      <c r="BF438" s="24"/>
      <c r="BG438" s="24"/>
      <c r="BH438" s="24"/>
      <c r="BI438" s="24"/>
      <c r="BJ438" s="24"/>
      <c r="BK438" s="24"/>
      <c r="BL438" s="24"/>
      <c r="BM438" s="24"/>
      <c r="BN438" s="24"/>
      <c r="BO438" s="24"/>
      <c r="BP438" s="24"/>
      <c r="BQ438" s="22">
        <f>YEAR([1]!BANCO10[[#This Row],[DATA INÍCIO]])</f>
        <v>2024</v>
      </c>
      <c r="BR438" s="22">
        <f>MONTH([1]!BANCO10[[#This Row],[DATA INÍCIO]])</f>
        <v>12</v>
      </c>
      <c r="BS438" s="23" t="e">
        <f>CONCATENATE(#REF!,#REF!)</f>
        <v>#REF!</v>
      </c>
      <c r="BT438" s="22"/>
      <c r="BU438" s="22"/>
      <c r="BV438" s="21" t="str">
        <f>IF([1]!BANCO10[[#This Row],[SOLUÇÃO]]=BV$1,[1]!BANCO10[[#This Row],[STATUS DA ETAPA]],"")</f>
        <v/>
      </c>
      <c r="BW438" s="21" t="str">
        <f>IF([1]!BANCO10[[#This Row],[SOLUÇÃO]]=BW$1,[1]!BANCO10[[#This Row],[STATUS DA ETAPA]],"")</f>
        <v/>
      </c>
      <c r="BX438" s="21" t="str">
        <f>IF([1]!BANCO10[[#This Row],[SOLUÇÃO]]=BX$1,[1]!BANCO10[[#This Row],[STATUS DA ETAPA]],"")</f>
        <v/>
      </c>
      <c r="BY438" s="21" t="str">
        <f>IF([1]!BANCO10[[#This Row],[SOLUÇÃO]]=BY$1,[1]!BANCO10[[#This Row],[STATUS DA ETAPA]],"")</f>
        <v/>
      </c>
      <c r="BZ438" s="21" t="str">
        <f>IF([1]!BANCO10[[#This Row],[SOLUÇÃO]]=BZ$1,[1]!BANCO10[[#This Row],[STATUS DA ETAPA]],"")</f>
        <v/>
      </c>
      <c r="CA438" s="21" t="str">
        <f>IF([1]!BANCO10[[#This Row],[SOLUÇÃO]]=CA$1,[1]!BANCO10[[#This Row],[STATUS DA ETAPA]],"")</f>
        <v/>
      </c>
      <c r="CB438" s="21" t="str">
        <f>IF([1]!BANCO10[[#This Row],[SOLUÇÃO]]=CB$1,[1]!BANCO10[[#This Row],[STATUS DA ETAPA]],"")</f>
        <v/>
      </c>
      <c r="CC438" s="21" t="str">
        <f>IF([1]!BANCO10[[#This Row],[SOLUÇÃO]]=CC$1,[1]!BANCO10[[#This Row],[STATUS DA ETAPA]],"")</f>
        <v/>
      </c>
      <c r="CD438" s="21" t="str">
        <f>IF([1]!BANCO10[[#This Row],[SOLUÇÃO]]=CD$1,[1]!BANCO10[[#This Row],[STATUS DA ETAPA]],"")</f>
        <v/>
      </c>
      <c r="CE438" s="21" t="str">
        <f>IF([1]!BANCO10[[#This Row],[SOLUÇÃO]]=CE$1,[1]!BANCO10[[#This Row],[STATUS DA ETAPA]],"")</f>
        <v/>
      </c>
      <c r="CF438" s="21" t="str">
        <f>IF([1]!BANCO10[[#This Row],[SOLUÇÃO]]=CF$1,[1]!BANCO10[[#This Row],[STATUS DA ETAPA]],"")</f>
        <v/>
      </c>
      <c r="CG438" s="21" t="str">
        <f>IF([1]!BANCO10[[#This Row],[SOLUÇÃO]]=CG$1,[1]!BANCO10[[#This Row],[STATUS DA ETAPA]],"")</f>
        <v/>
      </c>
      <c r="CH438" s="21" t="str">
        <f>IF([1]!BANCO10[[#This Row],[SOLUÇÃO]]=CH$1,[1]!BANCO10[[#This Row],[STATUS DA ETAPA]],"")</f>
        <v/>
      </c>
      <c r="CI438" s="21" t="str">
        <f>IF([1]!BANCO10[[#This Row],[SOLUÇÃO]]=CI$1,[1]!BANCO10[[#This Row],[STATUS DA ETAPA]],"")</f>
        <v/>
      </c>
      <c r="CJ438" s="21" t="str">
        <f>IF([1]!BANCO10[[#This Row],[SOLUÇÃO]]=CJ$1,[1]!BANCO10[[#This Row],[STATUS DA ETAPA]],"")</f>
        <v/>
      </c>
      <c r="CK438" s="21" t="str">
        <f>IF([1]!BANCO10[[#This Row],[SOLUÇÃO]]=CK$1,[1]!BANCO10[[#This Row],[STATUS DA ETAPA]],"")</f>
        <v/>
      </c>
      <c r="CL438" s="21" t="str">
        <f>IF([1]!BANCO10[[#This Row],[SOLUÇÃO]]=CL$1,[1]!BANCO10[[#This Row],[STATUS DA ETAPA]],"")</f>
        <v/>
      </c>
      <c r="CM438" s="21" t="str">
        <f>IF([1]!BANCO10[[#This Row],[SOLUÇÃO]]=CM$1,[1]!BANCO10[[#This Row],[STATUS DA ETAPA]],"")</f>
        <v/>
      </c>
      <c r="CN438" s="21" t="str">
        <f>IF([1]!BANCO10[[#This Row],[SOLUÇÃO]]=CN$1,[1]!BANCO10[[#This Row],[STATUS DA ETAPA]],"")</f>
        <v/>
      </c>
      <c r="CO438" s="21" t="str">
        <f>IF([1]!BANCO10[[#This Row],[SOLUÇÃO]]=CO$1,[1]!BANCO10[[#This Row],[STATUS DA ETAPA]],"")</f>
        <v/>
      </c>
      <c r="CP438" s="21" t="str">
        <f>IF([1]!BANCO10[[#This Row],[SOLUÇÃO]]=CP$1,[1]!BANCO10[[#This Row],[STATUS DA ETAPA]],"")</f>
        <v/>
      </c>
      <c r="CQ438" s="21" t="str">
        <f>IF([1]!BANCO10[[#This Row],[SOLUÇÃO]]=CQ$1,[1]!BANCO10[[#This Row],[STATUS DA ETAPA]],"")</f>
        <v/>
      </c>
      <c r="CR438" s="21" t="str">
        <f>IF([1]!BANCO10[[#This Row],[SOLUÇÃO]]=CR$1,[1]!BANCO10[[#This Row],[STATUS DA ETAPA]],"")</f>
        <v/>
      </c>
      <c r="CS438" s="21" t="str">
        <f>IF([1]!BANCO10[[#This Row],[SOLUÇÃO]]=CS$1,[1]!BANCO10[[#This Row],[STATUS DA ETAPA]],"")</f>
        <v/>
      </c>
      <c r="CT438" s="21" t="str">
        <f>IF([1]!BANCO10[[#This Row],[SOLUÇÃO]]=CT$1,[1]!BANCO10[[#This Row],[STATUS DA ETAPA]],"")</f>
        <v/>
      </c>
      <c r="CU438" s="21" t="str">
        <f>IF([1]!BANCO10[[#This Row],[SOLUÇÃO]]=CU$1,[1]!BANCO10[[#This Row],[STATUS DA ETAPA]],"")</f>
        <v/>
      </c>
      <c r="CV438" s="21" t="str">
        <f>IF([1]!BANCO10[[#This Row],[SOLUÇÃO]]=CV$1,[1]!BANCO10[[#This Row],[STATUS DA ETAPA]],"")</f>
        <v/>
      </c>
    </row>
    <row r="439" spans="1:100">
      <c r="A439" s="44" t="s">
        <v>1</v>
      </c>
      <c r="B439" s="44"/>
      <c r="C439" s="44" t="s">
        <v>1</v>
      </c>
      <c r="D439" s="44"/>
      <c r="E439" s="44" t="s">
        <v>1</v>
      </c>
      <c r="F439" s="44"/>
      <c r="G439" s="44" t="s">
        <v>1</v>
      </c>
      <c r="H439" s="44"/>
      <c r="I439" s="45" t="s">
        <v>1</v>
      </c>
      <c r="J439" s="46"/>
      <c r="K439" s="45" t="s">
        <v>1</v>
      </c>
      <c r="L439" s="33"/>
      <c r="M439" s="45" t="s">
        <v>1</v>
      </c>
      <c r="N439" s="33"/>
      <c r="O439" s="44" t="s">
        <v>2</v>
      </c>
      <c r="P439" s="44">
        <v>45140</v>
      </c>
      <c r="Q439" s="44" t="s">
        <v>0</v>
      </c>
      <c r="R439" s="44"/>
      <c r="S439" s="44" t="s">
        <v>1</v>
      </c>
      <c r="T439" s="44"/>
      <c r="U439" s="44" t="s">
        <v>1</v>
      </c>
      <c r="V439" s="44"/>
      <c r="W439" s="44" t="s">
        <v>1</v>
      </c>
      <c r="X439" s="44"/>
      <c r="Y439" s="44" t="s">
        <v>1</v>
      </c>
      <c r="Z439" s="44"/>
      <c r="AA439" s="44" t="s">
        <v>1</v>
      </c>
      <c r="AB439" s="44"/>
      <c r="AC439" s="84">
        <v>45138</v>
      </c>
      <c r="AD439" s="83">
        <v>45138</v>
      </c>
      <c r="AE439" s="40" t="s">
        <v>1</v>
      </c>
      <c r="AF439" s="40" t="s">
        <v>1</v>
      </c>
      <c r="AG439" s="76" t="s">
        <v>5</v>
      </c>
      <c r="AH439" s="36" t="s">
        <v>1</v>
      </c>
      <c r="AI439" s="49">
        <v>0</v>
      </c>
      <c r="AJ439" s="36" t="s">
        <v>1</v>
      </c>
      <c r="AK439" s="10" t="s">
        <v>1</v>
      </c>
      <c r="AL439" s="36" t="s">
        <v>1</v>
      </c>
      <c r="AM439" s="36" t="s">
        <v>1</v>
      </c>
      <c r="AN439" s="35" t="s">
        <v>1</v>
      </c>
      <c r="AO439" s="35" t="s">
        <v>1</v>
      </c>
      <c r="AP439" s="35" t="s">
        <v>1</v>
      </c>
      <c r="AQ439" s="35" t="s">
        <v>1</v>
      </c>
      <c r="AR439" s="82" t="s">
        <v>1</v>
      </c>
      <c r="AS439" s="33"/>
      <c r="AT439" s="30"/>
      <c r="AU439" s="55"/>
      <c r="AV439" s="30"/>
      <c r="AW439" s="55"/>
      <c r="AX439" s="30" t="s">
        <v>1</v>
      </c>
      <c r="AY439" s="55"/>
      <c r="AZ439" s="30" t="s">
        <v>1</v>
      </c>
      <c r="BA439" s="55"/>
      <c r="BB439" s="74" t="s">
        <v>450</v>
      </c>
      <c r="BC439" s="25"/>
      <c r="BD439" s="24" t="s">
        <v>18</v>
      </c>
      <c r="BE439" s="24" t="s">
        <v>11</v>
      </c>
      <c r="BF439" s="24" t="s">
        <v>51</v>
      </c>
      <c r="BG439" s="24" t="s">
        <v>11</v>
      </c>
      <c r="BH439" s="130" t="s">
        <v>18</v>
      </c>
      <c r="BI439" s="24" t="s">
        <v>51</v>
      </c>
      <c r="BJ439" s="24" t="s">
        <v>11</v>
      </c>
      <c r="BK439" s="24" t="s">
        <v>11</v>
      </c>
      <c r="BL439" s="24" t="s">
        <v>11</v>
      </c>
      <c r="BM439" s="24" t="s">
        <v>11</v>
      </c>
      <c r="BN439" s="24" t="s">
        <v>11</v>
      </c>
      <c r="BO439" s="24" t="s">
        <v>11</v>
      </c>
      <c r="BP439" s="24" t="s">
        <v>11</v>
      </c>
      <c r="BQ439" s="22">
        <f>YEAR([1]!BANCO10[[#This Row],[DATA INÍCIO]])</f>
        <v>2023</v>
      </c>
      <c r="BR439" s="22">
        <f>MONTH([1]!BANCO10[[#This Row],[DATA INÍCIO]])</f>
        <v>7</v>
      </c>
      <c r="BS439" s="129" t="e">
        <f>CONCATENATE(#REF!,#REF!)</f>
        <v>#REF!</v>
      </c>
      <c r="BT439" s="22"/>
      <c r="BU439" s="21" t="s">
        <v>449</v>
      </c>
      <c r="BV439" s="21" t="str">
        <f>IF([1]!BANCO10[[#This Row],[SOLUÇÃO]]=BV$1,[1]!BANCO10[[#This Row],[STATUS DA ETAPA]],"")</f>
        <v>CONCLUÍDO</v>
      </c>
      <c r="BW439" s="21" t="str">
        <f>IF([1]!BANCO10[[#This Row],[SOLUÇÃO]]=BW$1,[1]!BANCO10[[#This Row],[STATUS DA ETAPA]],"")</f>
        <v/>
      </c>
      <c r="BX439" s="21" t="str">
        <f>IF([1]!BANCO10[[#This Row],[SOLUÇÃO]]=BX$1,[1]!BANCO10[[#This Row],[STATUS DA ETAPA]],"")</f>
        <v/>
      </c>
      <c r="BY439" s="21" t="str">
        <f>IF([1]!BANCO10[[#This Row],[SOLUÇÃO]]=BY$1,[1]!BANCO10[[#This Row],[STATUS DA ETAPA]],"")</f>
        <v/>
      </c>
      <c r="BZ439" s="21" t="str">
        <f>IF([1]!BANCO10[[#This Row],[SOLUÇÃO]]=BZ$1,[1]!BANCO10[[#This Row],[STATUS DA ETAPA]],"")</f>
        <v/>
      </c>
      <c r="CA439" s="21" t="str">
        <f>IF([1]!BANCO10[[#This Row],[SOLUÇÃO]]=CA$1,[1]!BANCO10[[#This Row],[STATUS DA ETAPA]],"")</f>
        <v/>
      </c>
      <c r="CB439" s="21" t="str">
        <f>IF([1]!BANCO10[[#This Row],[SOLUÇÃO]]=CB$1,[1]!BANCO10[[#This Row],[STATUS DA ETAPA]],"")</f>
        <v/>
      </c>
      <c r="CC439" s="21" t="str">
        <f>IF([1]!BANCO10[[#This Row],[SOLUÇÃO]]=CC$1,[1]!BANCO10[[#This Row],[STATUS DA ETAPA]],"")</f>
        <v/>
      </c>
      <c r="CD439" s="21" t="str">
        <f>IF([1]!BANCO10[[#This Row],[SOLUÇÃO]]=CD$1,[1]!BANCO10[[#This Row],[STATUS DA ETAPA]],"")</f>
        <v/>
      </c>
      <c r="CE439" s="21" t="str">
        <f>IF([1]!BANCO10[[#This Row],[SOLUÇÃO]]=CE$1,[1]!BANCO10[[#This Row],[STATUS DA ETAPA]],"")</f>
        <v/>
      </c>
      <c r="CF439" s="21" t="str">
        <f>IF([1]!BANCO10[[#This Row],[SOLUÇÃO]]=CF$1,[1]!BANCO10[[#This Row],[STATUS DA ETAPA]],"")</f>
        <v/>
      </c>
      <c r="CG439" s="21" t="str">
        <f>IF([1]!BANCO10[[#This Row],[SOLUÇÃO]]=CG$1,[1]!BANCO10[[#This Row],[STATUS DA ETAPA]],"")</f>
        <v/>
      </c>
      <c r="CH439" s="21" t="str">
        <f>IF([1]!BANCO10[[#This Row],[SOLUÇÃO]]=CH$1,[1]!BANCO10[[#This Row],[STATUS DA ETAPA]],"")</f>
        <v/>
      </c>
      <c r="CI439" s="21" t="str">
        <f>IF([1]!BANCO10[[#This Row],[SOLUÇÃO]]=CI$1,[1]!BANCO10[[#This Row],[STATUS DA ETAPA]],"")</f>
        <v/>
      </c>
      <c r="CJ439" s="21" t="str">
        <f>IF([1]!BANCO10[[#This Row],[SOLUÇÃO]]=CJ$1,[1]!BANCO10[[#This Row],[STATUS DA ETAPA]],"")</f>
        <v/>
      </c>
      <c r="CK439" s="21" t="str">
        <f>IF([1]!BANCO10[[#This Row],[SOLUÇÃO]]=CK$1,[1]!BANCO10[[#This Row],[STATUS DA ETAPA]],"")</f>
        <v/>
      </c>
      <c r="CL439" s="21" t="str">
        <f>IF([1]!BANCO10[[#This Row],[SOLUÇÃO]]=CL$1,[1]!BANCO10[[#This Row],[STATUS DA ETAPA]],"")</f>
        <v/>
      </c>
      <c r="CM439" s="21" t="str">
        <f>IF([1]!BANCO10[[#This Row],[SOLUÇÃO]]=CM$1,[1]!BANCO10[[#This Row],[STATUS DA ETAPA]],"")</f>
        <v/>
      </c>
      <c r="CN439" s="21" t="str">
        <f>IF([1]!BANCO10[[#This Row],[SOLUÇÃO]]=CN$1,[1]!BANCO10[[#This Row],[STATUS DA ETAPA]],"")</f>
        <v/>
      </c>
      <c r="CO439" s="21" t="str">
        <f>IF([1]!BANCO10[[#This Row],[SOLUÇÃO]]=CO$1,[1]!BANCO10[[#This Row],[STATUS DA ETAPA]],"")</f>
        <v/>
      </c>
      <c r="CP439" s="21" t="str">
        <f>IF([1]!BANCO10[[#This Row],[SOLUÇÃO]]=CP$1,[1]!BANCO10[[#This Row],[STATUS DA ETAPA]],"")</f>
        <v/>
      </c>
      <c r="CQ439" s="21" t="str">
        <f>IF([1]!BANCO10[[#This Row],[SOLUÇÃO]]=CQ$1,[1]!BANCO10[[#This Row],[STATUS DA ETAPA]],"")</f>
        <v/>
      </c>
      <c r="CR439" s="21" t="str">
        <f>IF([1]!BANCO10[[#This Row],[SOLUÇÃO]]=CR$1,[1]!BANCO10[[#This Row],[STATUS DA ETAPA]],"")</f>
        <v/>
      </c>
      <c r="CS439" s="21" t="str">
        <f>IF([1]!BANCO10[[#This Row],[SOLUÇÃO]]=CS$1,[1]!BANCO10[[#This Row],[STATUS DA ETAPA]],"")</f>
        <v/>
      </c>
      <c r="CT439" s="21" t="str">
        <f>IF([1]!BANCO10[[#This Row],[SOLUÇÃO]]=CT$1,[1]!BANCO10[[#This Row],[STATUS DA ETAPA]],"")</f>
        <v/>
      </c>
      <c r="CU439" s="21" t="str">
        <f>IF([1]!BANCO10[[#This Row],[SOLUÇÃO]]=CU$1,[1]!BANCO10[[#This Row],[STATUS DA ETAPA]],"")</f>
        <v/>
      </c>
      <c r="CV439" s="21" t="str">
        <f>IF([1]!BANCO10[[#This Row],[SOLUÇÃO]]=CV$1,[1]!BANCO10[[#This Row],[STATUS DA ETAPA]],"")</f>
        <v/>
      </c>
    </row>
    <row r="440" spans="1:100">
      <c r="A440" s="44" t="s">
        <v>1</v>
      </c>
      <c r="B440" s="44"/>
      <c r="C440" s="44" t="s">
        <v>1</v>
      </c>
      <c r="D440" s="44"/>
      <c r="E440" s="44" t="s">
        <v>1</v>
      </c>
      <c r="F440" s="44"/>
      <c r="G440" s="44" t="s">
        <v>1</v>
      </c>
      <c r="H440" s="44"/>
      <c r="I440" s="45" t="s">
        <v>1</v>
      </c>
      <c r="J440" s="46"/>
      <c r="K440" s="45" t="s">
        <v>1</v>
      </c>
      <c r="L440" s="33"/>
      <c r="M440" s="45" t="s">
        <v>1</v>
      </c>
      <c r="N440" s="33"/>
      <c r="O440" s="44" t="s">
        <v>1</v>
      </c>
      <c r="P440" s="44"/>
      <c r="Q440" s="44" t="s">
        <v>1</v>
      </c>
      <c r="R440" s="44"/>
      <c r="S440" s="44" t="s">
        <v>1</v>
      </c>
      <c r="T440" s="44"/>
      <c r="U440" s="44" t="s">
        <v>1</v>
      </c>
      <c r="V440" s="44"/>
      <c r="W440" s="44" t="s">
        <v>1</v>
      </c>
      <c r="X440" s="44"/>
      <c r="Y440" s="44" t="s">
        <v>1</v>
      </c>
      <c r="Z440" s="44"/>
      <c r="AA440" s="44" t="s">
        <v>1</v>
      </c>
      <c r="AB440" s="44"/>
      <c r="AC440" s="51">
        <v>45408</v>
      </c>
      <c r="AD440" s="50">
        <v>45408</v>
      </c>
      <c r="AE440" s="41" t="s">
        <v>1</v>
      </c>
      <c r="AF440" s="41" t="s">
        <v>1</v>
      </c>
      <c r="AG440" s="40" t="s">
        <v>5</v>
      </c>
      <c r="AH440" s="36" t="s">
        <v>1</v>
      </c>
      <c r="AI440" s="49">
        <v>0</v>
      </c>
      <c r="AJ440" s="36" t="s">
        <v>1</v>
      </c>
      <c r="AK440" s="10" t="s">
        <v>1</v>
      </c>
      <c r="AL440" s="36" t="s">
        <v>1</v>
      </c>
      <c r="AM440" s="36" t="s">
        <v>1</v>
      </c>
      <c r="AN440" s="35" t="s">
        <v>1</v>
      </c>
      <c r="AO440" s="35" t="s">
        <v>1</v>
      </c>
      <c r="AP440" s="35" t="s">
        <v>1</v>
      </c>
      <c r="AQ440" s="35" t="s">
        <v>1</v>
      </c>
      <c r="AR440" s="82" t="s">
        <v>1</v>
      </c>
      <c r="AS440" s="33"/>
      <c r="AT440" s="30"/>
      <c r="AU440" s="55"/>
      <c r="AV440" s="30"/>
      <c r="AW440" s="55"/>
      <c r="AX440" s="30" t="s">
        <v>1</v>
      </c>
      <c r="AY440" s="55"/>
      <c r="AZ440" s="30" t="s">
        <v>1</v>
      </c>
      <c r="BA440" s="55"/>
      <c r="BB440" s="74"/>
      <c r="BC440" s="25" t="s">
        <v>41</v>
      </c>
      <c r="BD440" s="24"/>
      <c r="BE440" s="24"/>
      <c r="BF440" s="24"/>
      <c r="BG440" s="24"/>
      <c r="BH440" s="130"/>
      <c r="BI440" s="24"/>
      <c r="BJ440" s="24"/>
      <c r="BK440" s="24"/>
      <c r="BL440" s="24"/>
      <c r="BM440" s="24"/>
      <c r="BN440" s="24"/>
      <c r="BO440" s="24"/>
      <c r="BP440" s="24"/>
      <c r="BQ440" s="22">
        <f>YEAR([1]!BANCO10[[#This Row],[DATA INÍCIO]])</f>
        <v>2024</v>
      </c>
      <c r="BR440" s="22">
        <f>MONTH([1]!BANCO10[[#This Row],[DATA INÍCIO]])</f>
        <v>4</v>
      </c>
      <c r="BS440" s="129" t="e">
        <f>CONCATENATE(#REF!,#REF!)</f>
        <v>#REF!</v>
      </c>
      <c r="BT440" s="22"/>
      <c r="BU440" s="21" t="s">
        <v>448</v>
      </c>
      <c r="BV440" s="21" t="str">
        <f>IF([1]!BANCO10[[#This Row],[SOLUÇÃO]]=BV$1,[1]!BANCO10[[#This Row],[STATUS DA ETAPA]],"")</f>
        <v>CONCLUÍDO</v>
      </c>
      <c r="BW440" s="21" t="str">
        <f>IF([1]!BANCO10[[#This Row],[SOLUÇÃO]]=BW$1,[1]!BANCO10[[#This Row],[STATUS DA ETAPA]],"")</f>
        <v/>
      </c>
      <c r="BX440" s="21" t="str">
        <f>IF([1]!BANCO10[[#This Row],[SOLUÇÃO]]=BX$1,[1]!BANCO10[[#This Row],[STATUS DA ETAPA]],"")</f>
        <v/>
      </c>
      <c r="BY440" s="21" t="str">
        <f>IF([1]!BANCO10[[#This Row],[SOLUÇÃO]]=BY$1,[1]!BANCO10[[#This Row],[STATUS DA ETAPA]],"")</f>
        <v/>
      </c>
      <c r="BZ440" s="21" t="str">
        <f>IF([1]!BANCO10[[#This Row],[SOLUÇÃO]]=BZ$1,[1]!BANCO10[[#This Row],[STATUS DA ETAPA]],"")</f>
        <v/>
      </c>
      <c r="CA440" s="21" t="str">
        <f>IF([1]!BANCO10[[#This Row],[SOLUÇÃO]]=CA$1,[1]!BANCO10[[#This Row],[STATUS DA ETAPA]],"")</f>
        <v/>
      </c>
      <c r="CB440" s="21" t="str">
        <f>IF([1]!BANCO10[[#This Row],[SOLUÇÃO]]=CB$1,[1]!BANCO10[[#This Row],[STATUS DA ETAPA]],"")</f>
        <v/>
      </c>
      <c r="CC440" s="21" t="str">
        <f>IF([1]!BANCO10[[#This Row],[SOLUÇÃO]]=CC$1,[1]!BANCO10[[#This Row],[STATUS DA ETAPA]],"")</f>
        <v/>
      </c>
      <c r="CD440" s="21" t="str">
        <f>IF([1]!BANCO10[[#This Row],[SOLUÇÃO]]=CD$1,[1]!BANCO10[[#This Row],[STATUS DA ETAPA]],"")</f>
        <v/>
      </c>
      <c r="CE440" s="21" t="str">
        <f>IF([1]!BANCO10[[#This Row],[SOLUÇÃO]]=CE$1,[1]!BANCO10[[#This Row],[STATUS DA ETAPA]],"")</f>
        <v/>
      </c>
      <c r="CF440" s="21" t="str">
        <f>IF([1]!BANCO10[[#This Row],[SOLUÇÃO]]=CF$1,[1]!BANCO10[[#This Row],[STATUS DA ETAPA]],"")</f>
        <v/>
      </c>
      <c r="CG440" s="21" t="str">
        <f>IF([1]!BANCO10[[#This Row],[SOLUÇÃO]]=CG$1,[1]!BANCO10[[#This Row],[STATUS DA ETAPA]],"")</f>
        <v/>
      </c>
      <c r="CH440" s="21" t="str">
        <f>IF([1]!BANCO10[[#This Row],[SOLUÇÃO]]=CH$1,[1]!BANCO10[[#This Row],[STATUS DA ETAPA]],"")</f>
        <v/>
      </c>
      <c r="CI440" s="21" t="str">
        <f>IF([1]!BANCO10[[#This Row],[SOLUÇÃO]]=CI$1,[1]!BANCO10[[#This Row],[STATUS DA ETAPA]],"")</f>
        <v/>
      </c>
      <c r="CJ440" s="21" t="str">
        <f>IF([1]!BANCO10[[#This Row],[SOLUÇÃO]]=CJ$1,[1]!BANCO10[[#This Row],[STATUS DA ETAPA]],"")</f>
        <v/>
      </c>
      <c r="CK440" s="21" t="str">
        <f>IF([1]!BANCO10[[#This Row],[SOLUÇÃO]]=CK$1,[1]!BANCO10[[#This Row],[STATUS DA ETAPA]],"")</f>
        <v/>
      </c>
      <c r="CL440" s="21" t="str">
        <f>IF([1]!BANCO10[[#This Row],[SOLUÇÃO]]=CL$1,[1]!BANCO10[[#This Row],[STATUS DA ETAPA]],"")</f>
        <v/>
      </c>
      <c r="CM440" s="21" t="str">
        <f>IF([1]!BANCO10[[#This Row],[SOLUÇÃO]]=CM$1,[1]!BANCO10[[#This Row],[STATUS DA ETAPA]],"")</f>
        <v/>
      </c>
      <c r="CN440" s="21" t="str">
        <f>IF([1]!BANCO10[[#This Row],[SOLUÇÃO]]=CN$1,[1]!BANCO10[[#This Row],[STATUS DA ETAPA]],"")</f>
        <v/>
      </c>
      <c r="CO440" s="21" t="str">
        <f>IF([1]!BANCO10[[#This Row],[SOLUÇÃO]]=CO$1,[1]!BANCO10[[#This Row],[STATUS DA ETAPA]],"")</f>
        <v/>
      </c>
      <c r="CP440" s="21" t="str">
        <f>IF([1]!BANCO10[[#This Row],[SOLUÇÃO]]=CP$1,[1]!BANCO10[[#This Row],[STATUS DA ETAPA]],"")</f>
        <v/>
      </c>
      <c r="CQ440" s="21" t="str">
        <f>IF([1]!BANCO10[[#This Row],[SOLUÇÃO]]=CQ$1,[1]!BANCO10[[#This Row],[STATUS DA ETAPA]],"")</f>
        <v/>
      </c>
      <c r="CR440" s="21" t="str">
        <f>IF([1]!BANCO10[[#This Row],[SOLUÇÃO]]=CR$1,[1]!BANCO10[[#This Row],[STATUS DA ETAPA]],"")</f>
        <v/>
      </c>
      <c r="CS440" s="21" t="str">
        <f>IF([1]!BANCO10[[#This Row],[SOLUÇÃO]]=CS$1,[1]!BANCO10[[#This Row],[STATUS DA ETAPA]],"")</f>
        <v/>
      </c>
      <c r="CT440" s="21" t="str">
        <f>IF([1]!BANCO10[[#This Row],[SOLUÇÃO]]=CT$1,[1]!BANCO10[[#This Row],[STATUS DA ETAPA]],"")</f>
        <v/>
      </c>
      <c r="CU440" s="21" t="str">
        <f>IF([1]!BANCO10[[#This Row],[SOLUÇÃO]]=CU$1,[1]!BANCO10[[#This Row],[STATUS DA ETAPA]],"")</f>
        <v/>
      </c>
      <c r="CV440" s="21" t="str">
        <f>IF([1]!BANCO10[[#This Row],[SOLUÇÃO]]=CV$1,[1]!BANCO10[[#This Row],[STATUS DA ETAPA]],"")</f>
        <v/>
      </c>
    </row>
    <row r="441" spans="1:100">
      <c r="A441" s="44" t="s">
        <v>2</v>
      </c>
      <c r="B441" s="44">
        <v>45383</v>
      </c>
      <c r="C441" s="44" t="s">
        <v>2</v>
      </c>
      <c r="D441" s="44">
        <v>45383</v>
      </c>
      <c r="E441" s="44" t="s">
        <v>2</v>
      </c>
      <c r="F441" s="44">
        <v>45383</v>
      </c>
      <c r="G441" s="44" t="s">
        <v>2</v>
      </c>
      <c r="H441" s="44">
        <v>45383</v>
      </c>
      <c r="I441" s="45" t="s">
        <v>2</v>
      </c>
      <c r="J441" s="46">
        <v>45536</v>
      </c>
      <c r="K441" s="45" t="s">
        <v>2</v>
      </c>
      <c r="L441" s="33">
        <v>45536</v>
      </c>
      <c r="M441" s="45" t="s">
        <v>2</v>
      </c>
      <c r="N441" s="33">
        <v>45536</v>
      </c>
      <c r="O441" s="44" t="s">
        <v>2</v>
      </c>
      <c r="P441" s="44">
        <v>45491</v>
      </c>
      <c r="Q441" s="44" t="s">
        <v>2</v>
      </c>
      <c r="R441" s="44">
        <v>45503</v>
      </c>
      <c r="S441" s="44" t="s">
        <v>2</v>
      </c>
      <c r="T441" s="44">
        <v>45536</v>
      </c>
      <c r="U441" s="44" t="s">
        <v>1</v>
      </c>
      <c r="V441" s="44"/>
      <c r="W441" s="44" t="s">
        <v>1</v>
      </c>
      <c r="X441" s="44"/>
      <c r="Y441" s="44" t="s">
        <v>1</v>
      </c>
      <c r="Z441" s="44"/>
      <c r="AA441" s="44" t="s">
        <v>1</v>
      </c>
      <c r="AB441" s="44"/>
      <c r="AC441" s="84">
        <v>45457</v>
      </c>
      <c r="AD441" s="83">
        <v>45551</v>
      </c>
      <c r="AE441" s="41" t="s">
        <v>2</v>
      </c>
      <c r="AF441" s="41" t="s">
        <v>2</v>
      </c>
      <c r="AG441" s="40" t="s">
        <v>5</v>
      </c>
      <c r="AH441" s="36" t="s">
        <v>0</v>
      </c>
      <c r="AI441" s="49">
        <v>0</v>
      </c>
      <c r="AJ441" s="36" t="s">
        <v>6</v>
      </c>
      <c r="AK441" s="10">
        <v>550472</v>
      </c>
      <c r="AL441" s="36" t="s">
        <v>1</v>
      </c>
      <c r="AM441" s="36" t="s">
        <v>1</v>
      </c>
      <c r="AN441" s="35" t="s">
        <v>2</v>
      </c>
      <c r="AO441" s="35" t="s">
        <v>2</v>
      </c>
      <c r="AP441" s="35" t="s">
        <v>2</v>
      </c>
      <c r="AQ441" s="35" t="s">
        <v>2</v>
      </c>
      <c r="AR441" s="34" t="s">
        <v>2</v>
      </c>
      <c r="AS441" s="33">
        <v>45610</v>
      </c>
      <c r="AT441" s="30"/>
      <c r="AU441" s="31"/>
      <c r="AV441" s="30"/>
      <c r="AW441" s="31"/>
      <c r="AX441" s="30" t="s">
        <v>2</v>
      </c>
      <c r="AY441" s="31">
        <v>45610</v>
      </c>
      <c r="AZ441" s="30" t="s">
        <v>2</v>
      </c>
      <c r="BA441" s="55">
        <v>45551</v>
      </c>
      <c r="BB441" s="74"/>
      <c r="BC441" s="25" t="s">
        <v>41</v>
      </c>
      <c r="BD441" s="24"/>
      <c r="BE441" s="24"/>
      <c r="BF441" s="24"/>
      <c r="BG441" s="24"/>
      <c r="BH441" s="130"/>
      <c r="BI441" s="24"/>
      <c r="BJ441" s="24"/>
      <c r="BK441" s="24"/>
      <c r="BL441" s="24"/>
      <c r="BM441" s="24"/>
      <c r="BN441" s="24"/>
      <c r="BO441" s="24"/>
      <c r="BP441" s="24"/>
      <c r="BQ441" s="22">
        <f>YEAR([1]!BANCO10[[#This Row],[DATA INÍCIO]])</f>
        <v>2024</v>
      </c>
      <c r="BR441" s="22">
        <f>MONTH([1]!BANCO10[[#This Row],[DATA INÍCIO]])</f>
        <v>6</v>
      </c>
      <c r="BS441" s="23" t="e">
        <f>CONCATENATE(#REF!,#REF!)</f>
        <v>#REF!</v>
      </c>
      <c r="BT441" s="22"/>
      <c r="BU441" s="21" t="s">
        <v>447</v>
      </c>
      <c r="BV441" s="21" t="str">
        <f>IF([1]!BANCO10[[#This Row],[SOLUÇÃO]]=BV$1,[1]!BANCO10[[#This Row],[STATUS DA ETAPA]],"")</f>
        <v/>
      </c>
      <c r="BW441" s="21" t="str">
        <f>IF([1]!BANCO10[[#This Row],[SOLUÇÃO]]=BW$1,[1]!BANCO10[[#This Row],[STATUS DA ETAPA]],"")</f>
        <v/>
      </c>
      <c r="BX441" s="21" t="str">
        <f>IF([1]!BANCO10[[#This Row],[SOLUÇÃO]]=BX$1,[1]!BANCO10[[#This Row],[STATUS DA ETAPA]],"")</f>
        <v/>
      </c>
      <c r="BY441" s="21" t="str">
        <f>IF([1]!BANCO10[[#This Row],[SOLUÇÃO]]=BY$1,[1]!BANCO10[[#This Row],[STATUS DA ETAPA]],"")</f>
        <v/>
      </c>
      <c r="BZ441" s="21" t="str">
        <f>IF([1]!BANCO10[[#This Row],[SOLUÇÃO]]=BZ$1,[1]!BANCO10[[#This Row],[STATUS DA ETAPA]],"")</f>
        <v/>
      </c>
      <c r="CA441" s="21" t="str">
        <f>IF([1]!BANCO10[[#This Row],[SOLUÇÃO]]=CA$1,[1]!BANCO10[[#This Row],[STATUS DA ETAPA]],"")</f>
        <v/>
      </c>
      <c r="CB441" s="21" t="str">
        <f>IF([1]!BANCO10[[#This Row],[SOLUÇÃO]]=CB$1,[1]!BANCO10[[#This Row],[STATUS DA ETAPA]],"")</f>
        <v>CONCLUÍDO</v>
      </c>
      <c r="CC441" s="21" t="str">
        <f>IF([1]!BANCO10[[#This Row],[SOLUÇÃO]]=CC$1,[1]!BANCO10[[#This Row],[STATUS DA ETAPA]],"")</f>
        <v/>
      </c>
      <c r="CD441" s="21" t="str">
        <f>IF([1]!BANCO10[[#This Row],[SOLUÇÃO]]=CD$1,[1]!BANCO10[[#This Row],[STATUS DA ETAPA]],"")</f>
        <v/>
      </c>
      <c r="CE441" s="21" t="str">
        <f>IF([1]!BANCO10[[#This Row],[SOLUÇÃO]]=CE$1,[1]!BANCO10[[#This Row],[STATUS DA ETAPA]],"")</f>
        <v/>
      </c>
      <c r="CF441" s="21" t="str">
        <f>IF([1]!BANCO10[[#This Row],[SOLUÇÃO]]=CF$1,[1]!BANCO10[[#This Row],[STATUS DA ETAPA]],"")</f>
        <v/>
      </c>
      <c r="CG441" s="21" t="str">
        <f>IF([1]!BANCO10[[#This Row],[SOLUÇÃO]]=CG$1,[1]!BANCO10[[#This Row],[STATUS DA ETAPA]],"")</f>
        <v/>
      </c>
      <c r="CH441" s="21" t="str">
        <f>IF([1]!BANCO10[[#This Row],[SOLUÇÃO]]=CH$1,[1]!BANCO10[[#This Row],[STATUS DA ETAPA]],"")</f>
        <v/>
      </c>
      <c r="CI441" s="21" t="str">
        <f>IF([1]!BANCO10[[#This Row],[SOLUÇÃO]]=CI$1,[1]!BANCO10[[#This Row],[STATUS DA ETAPA]],"")</f>
        <v/>
      </c>
      <c r="CJ441" s="21" t="str">
        <f>IF([1]!BANCO10[[#This Row],[SOLUÇÃO]]=CJ$1,[1]!BANCO10[[#This Row],[STATUS DA ETAPA]],"")</f>
        <v/>
      </c>
      <c r="CK441" s="21" t="str">
        <f>IF([1]!BANCO10[[#This Row],[SOLUÇÃO]]=CK$1,[1]!BANCO10[[#This Row],[STATUS DA ETAPA]],"")</f>
        <v/>
      </c>
      <c r="CL441" s="21" t="str">
        <f>IF([1]!BANCO10[[#This Row],[SOLUÇÃO]]=CL$1,[1]!BANCO10[[#This Row],[STATUS DA ETAPA]],"")</f>
        <v/>
      </c>
      <c r="CM441" s="21" t="str">
        <f>IF([1]!BANCO10[[#This Row],[SOLUÇÃO]]=CM$1,[1]!BANCO10[[#This Row],[STATUS DA ETAPA]],"")</f>
        <v/>
      </c>
      <c r="CN441" s="21" t="str">
        <f>IF([1]!BANCO10[[#This Row],[SOLUÇÃO]]=CN$1,[1]!BANCO10[[#This Row],[STATUS DA ETAPA]],"")</f>
        <v/>
      </c>
      <c r="CO441" s="21" t="str">
        <f>IF([1]!BANCO10[[#This Row],[SOLUÇÃO]]=CO$1,[1]!BANCO10[[#This Row],[STATUS DA ETAPA]],"")</f>
        <v/>
      </c>
      <c r="CP441" s="21" t="str">
        <f>IF([1]!BANCO10[[#This Row],[SOLUÇÃO]]=CP$1,[1]!BANCO10[[#This Row],[STATUS DA ETAPA]],"")</f>
        <v/>
      </c>
      <c r="CQ441" s="21" t="str">
        <f>IF([1]!BANCO10[[#This Row],[SOLUÇÃO]]=CQ$1,[1]!BANCO10[[#This Row],[STATUS DA ETAPA]],"")</f>
        <v/>
      </c>
      <c r="CR441" s="21" t="str">
        <f>IF([1]!BANCO10[[#This Row],[SOLUÇÃO]]=CR$1,[1]!BANCO10[[#This Row],[STATUS DA ETAPA]],"")</f>
        <v/>
      </c>
      <c r="CS441" s="21" t="str">
        <f>IF([1]!BANCO10[[#This Row],[SOLUÇÃO]]=CS$1,[1]!BANCO10[[#This Row],[STATUS DA ETAPA]],"")</f>
        <v/>
      </c>
      <c r="CT441" s="21" t="str">
        <f>IF([1]!BANCO10[[#This Row],[SOLUÇÃO]]=CT$1,[1]!BANCO10[[#This Row],[STATUS DA ETAPA]],"")</f>
        <v/>
      </c>
      <c r="CU441" s="21" t="str">
        <f>IF([1]!BANCO10[[#This Row],[SOLUÇÃO]]=CU$1,[1]!BANCO10[[#This Row],[STATUS DA ETAPA]],"")</f>
        <v/>
      </c>
      <c r="CV441" s="21" t="str">
        <f>IF([1]!BANCO10[[#This Row],[SOLUÇÃO]]=CV$1,[1]!BANCO10[[#This Row],[STATUS DA ETAPA]],"")</f>
        <v/>
      </c>
    </row>
    <row r="442" spans="1:100">
      <c r="A442" s="44" t="s">
        <v>1</v>
      </c>
      <c r="B442" s="44"/>
      <c r="C442" s="44" t="s">
        <v>1</v>
      </c>
      <c r="D442" s="44"/>
      <c r="E442" s="44" t="s">
        <v>1</v>
      </c>
      <c r="F442" s="44"/>
      <c r="G442" s="44" t="s">
        <v>1</v>
      </c>
      <c r="H442" s="44"/>
      <c r="I442" s="45" t="s">
        <v>1</v>
      </c>
      <c r="J442" s="46"/>
      <c r="K442" s="45" t="s">
        <v>1</v>
      </c>
      <c r="L442" s="33"/>
      <c r="M442" s="45" t="s">
        <v>1</v>
      </c>
      <c r="N442" s="33"/>
      <c r="O442" s="44" t="s">
        <v>1</v>
      </c>
      <c r="P442" s="44"/>
      <c r="Q442" s="44" t="s">
        <v>1</v>
      </c>
      <c r="R442" s="44"/>
      <c r="S442" s="44" t="s">
        <v>1</v>
      </c>
      <c r="T442" s="44"/>
      <c r="U442" s="44" t="s">
        <v>1</v>
      </c>
      <c r="V442" s="44"/>
      <c r="W442" s="44" t="s">
        <v>1</v>
      </c>
      <c r="X442" s="44"/>
      <c r="Y442" s="44" t="s">
        <v>1</v>
      </c>
      <c r="Z442" s="44"/>
      <c r="AA442" s="44" t="s">
        <v>1</v>
      </c>
      <c r="AB442" s="44"/>
      <c r="AC442" s="84">
        <v>45307</v>
      </c>
      <c r="AD442" s="83">
        <v>45307</v>
      </c>
      <c r="AE442" s="40" t="s">
        <v>1</v>
      </c>
      <c r="AF442" s="40" t="s">
        <v>1</v>
      </c>
      <c r="AG442" s="76" t="s">
        <v>5</v>
      </c>
      <c r="AH442" s="36" t="s">
        <v>1</v>
      </c>
      <c r="AI442" s="49">
        <v>0</v>
      </c>
      <c r="AJ442" s="36" t="s">
        <v>1</v>
      </c>
      <c r="AK442" s="10" t="s">
        <v>1</v>
      </c>
      <c r="AL442" s="36" t="s">
        <v>1</v>
      </c>
      <c r="AM442" s="36" t="s">
        <v>1</v>
      </c>
      <c r="AN442" s="35" t="s">
        <v>1</v>
      </c>
      <c r="AO442" s="35" t="s">
        <v>1</v>
      </c>
      <c r="AP442" s="35" t="s">
        <v>1</v>
      </c>
      <c r="AQ442" s="35" t="s">
        <v>1</v>
      </c>
      <c r="AR442" s="82" t="s">
        <v>1</v>
      </c>
      <c r="AS442" s="33"/>
      <c r="AT442" s="30"/>
      <c r="AU442" s="55"/>
      <c r="AV442" s="30"/>
      <c r="AW442" s="55"/>
      <c r="AX442" s="30" t="s">
        <v>1</v>
      </c>
      <c r="AY442" s="55"/>
      <c r="AZ442" s="30" t="s">
        <v>1</v>
      </c>
      <c r="BA442" s="55"/>
      <c r="BB442" s="74" t="s">
        <v>446</v>
      </c>
      <c r="BC442" s="25" t="s">
        <v>390</v>
      </c>
      <c r="BD442" s="24" t="s">
        <v>11</v>
      </c>
      <c r="BE442" s="24" t="s">
        <v>11</v>
      </c>
      <c r="BF442" s="24" t="s">
        <v>11</v>
      </c>
      <c r="BG442" s="24" t="s">
        <v>11</v>
      </c>
      <c r="BH442" s="130" t="s">
        <v>11</v>
      </c>
      <c r="BI442" s="24"/>
      <c r="BJ442" s="24" t="s">
        <v>11</v>
      </c>
      <c r="BK442" s="24" t="s">
        <v>11</v>
      </c>
      <c r="BL442" s="24" t="s">
        <v>11</v>
      </c>
      <c r="BM442" s="24" t="s">
        <v>11</v>
      </c>
      <c r="BN442" s="24" t="s">
        <v>11</v>
      </c>
      <c r="BO442" s="24" t="s">
        <v>11</v>
      </c>
      <c r="BP442" s="24" t="s">
        <v>11</v>
      </c>
      <c r="BQ442" s="22">
        <f>YEAR([1]!BANCO10[[#This Row],[DATA INÍCIO]])</f>
        <v>2024</v>
      </c>
      <c r="BR442" s="22">
        <f>MONTH([1]!BANCO10[[#This Row],[DATA INÍCIO]])</f>
        <v>1</v>
      </c>
      <c r="BS442" s="129" t="e">
        <f>CONCATENATE(#REF!,#REF!)</f>
        <v>#REF!</v>
      </c>
      <c r="BT442" s="22"/>
      <c r="BU442" s="21" t="s">
        <v>445</v>
      </c>
      <c r="BV442" s="21" t="str">
        <f>IF([1]!BANCO10[[#This Row],[SOLUÇÃO]]=BV$1,[1]!BANCO10[[#This Row],[STATUS DA ETAPA]],"")</f>
        <v>CONCLUÍDO</v>
      </c>
      <c r="BW442" s="21" t="str">
        <f>IF([1]!BANCO10[[#This Row],[SOLUÇÃO]]=BW$1,[1]!BANCO10[[#This Row],[STATUS DA ETAPA]],"")</f>
        <v/>
      </c>
      <c r="BX442" s="21" t="str">
        <f>IF([1]!BANCO10[[#This Row],[SOLUÇÃO]]=BX$1,[1]!BANCO10[[#This Row],[STATUS DA ETAPA]],"")</f>
        <v/>
      </c>
      <c r="BY442" s="21" t="str">
        <f>IF([1]!BANCO10[[#This Row],[SOLUÇÃO]]=BY$1,[1]!BANCO10[[#This Row],[STATUS DA ETAPA]],"")</f>
        <v/>
      </c>
      <c r="BZ442" s="21" t="str">
        <f>IF([1]!BANCO10[[#This Row],[SOLUÇÃO]]=BZ$1,[1]!BANCO10[[#This Row],[STATUS DA ETAPA]],"")</f>
        <v/>
      </c>
      <c r="CA442" s="21" t="str">
        <f>IF([1]!BANCO10[[#This Row],[SOLUÇÃO]]=CA$1,[1]!BANCO10[[#This Row],[STATUS DA ETAPA]],"")</f>
        <v/>
      </c>
      <c r="CB442" s="21" t="str">
        <f>IF([1]!BANCO10[[#This Row],[SOLUÇÃO]]=CB$1,[1]!BANCO10[[#This Row],[STATUS DA ETAPA]],"")</f>
        <v/>
      </c>
      <c r="CC442" s="21" t="str">
        <f>IF([1]!BANCO10[[#This Row],[SOLUÇÃO]]=CC$1,[1]!BANCO10[[#This Row],[STATUS DA ETAPA]],"")</f>
        <v/>
      </c>
      <c r="CD442" s="21" t="str">
        <f>IF([1]!BANCO10[[#This Row],[SOLUÇÃO]]=CD$1,[1]!BANCO10[[#This Row],[STATUS DA ETAPA]],"")</f>
        <v/>
      </c>
      <c r="CE442" s="21" t="str">
        <f>IF([1]!BANCO10[[#This Row],[SOLUÇÃO]]=CE$1,[1]!BANCO10[[#This Row],[STATUS DA ETAPA]],"")</f>
        <v/>
      </c>
      <c r="CF442" s="21" t="str">
        <f>IF([1]!BANCO10[[#This Row],[SOLUÇÃO]]=CF$1,[1]!BANCO10[[#This Row],[STATUS DA ETAPA]],"")</f>
        <v/>
      </c>
      <c r="CG442" s="21" t="str">
        <f>IF([1]!BANCO10[[#This Row],[SOLUÇÃO]]=CG$1,[1]!BANCO10[[#This Row],[STATUS DA ETAPA]],"")</f>
        <v/>
      </c>
      <c r="CH442" s="21" t="str">
        <f>IF([1]!BANCO10[[#This Row],[SOLUÇÃO]]=CH$1,[1]!BANCO10[[#This Row],[STATUS DA ETAPA]],"")</f>
        <v/>
      </c>
      <c r="CI442" s="21" t="str">
        <f>IF([1]!BANCO10[[#This Row],[SOLUÇÃO]]=CI$1,[1]!BANCO10[[#This Row],[STATUS DA ETAPA]],"")</f>
        <v/>
      </c>
      <c r="CJ442" s="21" t="str">
        <f>IF([1]!BANCO10[[#This Row],[SOLUÇÃO]]=CJ$1,[1]!BANCO10[[#This Row],[STATUS DA ETAPA]],"")</f>
        <v/>
      </c>
      <c r="CK442" s="21" t="str">
        <f>IF([1]!BANCO10[[#This Row],[SOLUÇÃO]]=CK$1,[1]!BANCO10[[#This Row],[STATUS DA ETAPA]],"")</f>
        <v/>
      </c>
      <c r="CL442" s="21" t="str">
        <f>IF([1]!BANCO10[[#This Row],[SOLUÇÃO]]=CL$1,[1]!BANCO10[[#This Row],[STATUS DA ETAPA]],"")</f>
        <v/>
      </c>
      <c r="CM442" s="21" t="str">
        <f>IF([1]!BANCO10[[#This Row],[SOLUÇÃO]]=CM$1,[1]!BANCO10[[#This Row],[STATUS DA ETAPA]],"")</f>
        <v/>
      </c>
      <c r="CN442" s="21" t="str">
        <f>IF([1]!BANCO10[[#This Row],[SOLUÇÃO]]=CN$1,[1]!BANCO10[[#This Row],[STATUS DA ETAPA]],"")</f>
        <v/>
      </c>
      <c r="CO442" s="21" t="str">
        <f>IF([1]!BANCO10[[#This Row],[SOLUÇÃO]]=CO$1,[1]!BANCO10[[#This Row],[STATUS DA ETAPA]],"")</f>
        <v/>
      </c>
      <c r="CP442" s="21" t="str">
        <f>IF([1]!BANCO10[[#This Row],[SOLUÇÃO]]=CP$1,[1]!BANCO10[[#This Row],[STATUS DA ETAPA]],"")</f>
        <v/>
      </c>
      <c r="CQ442" s="21" t="str">
        <f>IF([1]!BANCO10[[#This Row],[SOLUÇÃO]]=CQ$1,[1]!BANCO10[[#This Row],[STATUS DA ETAPA]],"")</f>
        <v/>
      </c>
      <c r="CR442" s="21" t="str">
        <f>IF([1]!BANCO10[[#This Row],[SOLUÇÃO]]=CR$1,[1]!BANCO10[[#This Row],[STATUS DA ETAPA]],"")</f>
        <v/>
      </c>
      <c r="CS442" s="21" t="str">
        <f>IF([1]!BANCO10[[#This Row],[SOLUÇÃO]]=CS$1,[1]!BANCO10[[#This Row],[STATUS DA ETAPA]],"")</f>
        <v/>
      </c>
      <c r="CT442" s="21" t="str">
        <f>IF([1]!BANCO10[[#This Row],[SOLUÇÃO]]=CT$1,[1]!BANCO10[[#This Row],[STATUS DA ETAPA]],"")</f>
        <v/>
      </c>
      <c r="CU442" s="21" t="str">
        <f>IF([1]!BANCO10[[#This Row],[SOLUÇÃO]]=CU$1,[1]!BANCO10[[#This Row],[STATUS DA ETAPA]],"")</f>
        <v/>
      </c>
      <c r="CV442" s="21" t="str">
        <f>IF([1]!BANCO10[[#This Row],[SOLUÇÃO]]=CV$1,[1]!BANCO10[[#This Row],[STATUS DA ETAPA]],"")</f>
        <v/>
      </c>
    </row>
    <row r="443" spans="1:100">
      <c r="A443" s="44" t="s">
        <v>1</v>
      </c>
      <c r="B443" s="44"/>
      <c r="C443" s="44" t="s">
        <v>1</v>
      </c>
      <c r="D443" s="44"/>
      <c r="E443" s="44" t="s">
        <v>1</v>
      </c>
      <c r="F443" s="44"/>
      <c r="G443" s="44" t="s">
        <v>1</v>
      </c>
      <c r="H443" s="44"/>
      <c r="I443" s="45" t="s">
        <v>1</v>
      </c>
      <c r="J443" s="46"/>
      <c r="K443" s="45" t="s">
        <v>1</v>
      </c>
      <c r="L443" s="33"/>
      <c r="M443" s="45" t="s">
        <v>1</v>
      </c>
      <c r="N443" s="33"/>
      <c r="O443" s="44" t="s">
        <v>2</v>
      </c>
      <c r="P443" s="44">
        <v>44927</v>
      </c>
      <c r="Q443" s="44" t="s">
        <v>2</v>
      </c>
      <c r="R443" s="44">
        <v>44927</v>
      </c>
      <c r="S443" s="44" t="s">
        <v>2</v>
      </c>
      <c r="T443" s="44"/>
      <c r="U443" s="44" t="s">
        <v>2</v>
      </c>
      <c r="V443" s="44">
        <v>44927</v>
      </c>
      <c r="W443" s="44" t="s">
        <v>2</v>
      </c>
      <c r="X443" s="44">
        <v>44927</v>
      </c>
      <c r="Y443" s="44" t="s">
        <v>2</v>
      </c>
      <c r="Z443" s="44">
        <v>44927</v>
      </c>
      <c r="AA443" s="44" t="s">
        <v>1</v>
      </c>
      <c r="AB443" s="44"/>
      <c r="AC443" s="51">
        <v>45963</v>
      </c>
      <c r="AD443" s="50">
        <v>45963</v>
      </c>
      <c r="AE443" s="41" t="s">
        <v>1</v>
      </c>
      <c r="AF443" s="41" t="s">
        <v>1</v>
      </c>
      <c r="AG443" s="76" t="s">
        <v>5</v>
      </c>
      <c r="AH443" s="36" t="s">
        <v>0</v>
      </c>
      <c r="AI443" s="49">
        <v>0</v>
      </c>
      <c r="AJ443" s="36"/>
      <c r="AK443" s="10" t="s">
        <v>30</v>
      </c>
      <c r="AL443" s="36" t="s">
        <v>30</v>
      </c>
      <c r="AM443" s="36" t="s">
        <v>30</v>
      </c>
      <c r="AN443" s="35" t="s">
        <v>1</v>
      </c>
      <c r="AO443" s="35" t="s">
        <v>1</v>
      </c>
      <c r="AP443" s="35"/>
      <c r="AQ443" s="35" t="s">
        <v>1</v>
      </c>
      <c r="AR443" s="33" t="s">
        <v>1</v>
      </c>
      <c r="AS443" s="33"/>
      <c r="AT443" s="32"/>
      <c r="AU443" s="31"/>
      <c r="AV443" s="32"/>
      <c r="AW443" s="31"/>
      <c r="AX443" s="30" t="s">
        <v>0</v>
      </c>
      <c r="AY443" s="29"/>
      <c r="AZ443" s="28" t="s">
        <v>0</v>
      </c>
      <c r="BA443" s="81"/>
      <c r="BB443" s="74" t="s">
        <v>444</v>
      </c>
      <c r="BC443" s="25" t="s">
        <v>390</v>
      </c>
      <c r="BD443" s="24" t="s">
        <v>11</v>
      </c>
      <c r="BE443" s="24" t="s">
        <v>11</v>
      </c>
      <c r="BF443" s="24" t="s">
        <v>11</v>
      </c>
      <c r="BG443" s="24" t="s">
        <v>11</v>
      </c>
      <c r="BH443" s="130" t="s">
        <v>11</v>
      </c>
      <c r="BI443" s="24"/>
      <c r="BJ443" s="24" t="s">
        <v>11</v>
      </c>
      <c r="BK443" s="24" t="s">
        <v>11</v>
      </c>
      <c r="BL443" s="24" t="s">
        <v>11</v>
      </c>
      <c r="BM443" s="24" t="s">
        <v>11</v>
      </c>
      <c r="BN443" s="24" t="s">
        <v>11</v>
      </c>
      <c r="BO443" s="24" t="s">
        <v>11</v>
      </c>
      <c r="BP443" s="24" t="s">
        <v>444</v>
      </c>
      <c r="BQ443" s="22">
        <f>YEAR([1]!BANCO10[[#This Row],[DATA INÍCIO]])</f>
        <v>2025</v>
      </c>
      <c r="BR443" s="22">
        <f>MONTH([1]!BANCO10[[#This Row],[DATA INÍCIO]])</f>
        <v>11</v>
      </c>
      <c r="BS443" s="129" t="e">
        <f>CONCATENATE(#REF!,#REF!)</f>
        <v>#REF!</v>
      </c>
      <c r="BT443" s="22"/>
      <c r="BU443" s="21" t="s">
        <v>30</v>
      </c>
      <c r="BV443" s="21" t="str">
        <f>IF([1]!BANCO10[[#This Row],[SOLUÇÃO]]=BV$1,[1]!BANCO10[[#This Row],[STATUS DA ETAPA]],"")</f>
        <v/>
      </c>
      <c r="BW443" s="21" t="str">
        <f>IF([1]!BANCO10[[#This Row],[SOLUÇÃO]]=BW$1,[1]!BANCO10[[#This Row],[STATUS DA ETAPA]],"")</f>
        <v/>
      </c>
      <c r="BX443" s="21" t="str">
        <f>IF([1]!BANCO10[[#This Row],[SOLUÇÃO]]=BX$1,[1]!BANCO10[[#This Row],[STATUS DA ETAPA]],"")</f>
        <v/>
      </c>
      <c r="BY443" s="21" t="str">
        <f>IF([1]!BANCO10[[#This Row],[SOLUÇÃO]]=BY$1,[1]!BANCO10[[#This Row],[STATUS DA ETAPA]],"")</f>
        <v/>
      </c>
      <c r="BZ443" s="21" t="str">
        <f>IF([1]!BANCO10[[#This Row],[SOLUÇÃO]]=BZ$1,[1]!BANCO10[[#This Row],[STATUS DA ETAPA]],"")</f>
        <v/>
      </c>
      <c r="CA443" s="21" t="str">
        <f>IF([1]!BANCO10[[#This Row],[SOLUÇÃO]]=CA$1,[1]!BANCO10[[#This Row],[STATUS DA ETAPA]],"")</f>
        <v>PROSPECÇÃO</v>
      </c>
      <c r="CB443" s="21" t="str">
        <f>IF([1]!BANCO10[[#This Row],[SOLUÇÃO]]=CB$1,[1]!BANCO10[[#This Row],[STATUS DA ETAPA]],"")</f>
        <v/>
      </c>
      <c r="CC443" s="21" t="str">
        <f>IF([1]!BANCO10[[#This Row],[SOLUÇÃO]]=CC$1,[1]!BANCO10[[#This Row],[STATUS DA ETAPA]],"")</f>
        <v/>
      </c>
      <c r="CD443" s="21" t="str">
        <f>IF([1]!BANCO10[[#This Row],[SOLUÇÃO]]=CD$1,[1]!BANCO10[[#This Row],[STATUS DA ETAPA]],"")</f>
        <v/>
      </c>
      <c r="CE443" s="21" t="str">
        <f>IF([1]!BANCO10[[#This Row],[SOLUÇÃO]]=CE$1,[1]!BANCO10[[#This Row],[STATUS DA ETAPA]],"")</f>
        <v/>
      </c>
      <c r="CF443" s="21" t="str">
        <f>IF([1]!BANCO10[[#This Row],[SOLUÇÃO]]=CF$1,[1]!BANCO10[[#This Row],[STATUS DA ETAPA]],"")</f>
        <v/>
      </c>
      <c r="CG443" s="21" t="str">
        <f>IF([1]!BANCO10[[#This Row],[SOLUÇÃO]]=CG$1,[1]!BANCO10[[#This Row],[STATUS DA ETAPA]],"")</f>
        <v/>
      </c>
      <c r="CH443" s="21" t="str">
        <f>IF([1]!BANCO10[[#This Row],[SOLUÇÃO]]=CH$1,[1]!BANCO10[[#This Row],[STATUS DA ETAPA]],"")</f>
        <v/>
      </c>
      <c r="CI443" s="21" t="str">
        <f>IF([1]!BANCO10[[#This Row],[SOLUÇÃO]]=CI$1,[1]!BANCO10[[#This Row],[STATUS DA ETAPA]],"")</f>
        <v/>
      </c>
      <c r="CJ443" s="21" t="str">
        <f>IF([1]!BANCO10[[#This Row],[SOLUÇÃO]]=CJ$1,[1]!BANCO10[[#This Row],[STATUS DA ETAPA]],"")</f>
        <v/>
      </c>
      <c r="CK443" s="21" t="str">
        <f>IF([1]!BANCO10[[#This Row],[SOLUÇÃO]]=CK$1,[1]!BANCO10[[#This Row],[STATUS DA ETAPA]],"")</f>
        <v/>
      </c>
      <c r="CL443" s="21" t="str">
        <f>IF([1]!BANCO10[[#This Row],[SOLUÇÃO]]=CL$1,[1]!BANCO10[[#This Row],[STATUS DA ETAPA]],"")</f>
        <v/>
      </c>
      <c r="CM443" s="21" t="str">
        <f>IF([1]!BANCO10[[#This Row],[SOLUÇÃO]]=CM$1,[1]!BANCO10[[#This Row],[STATUS DA ETAPA]],"")</f>
        <v/>
      </c>
      <c r="CN443" s="21" t="str">
        <f>IF([1]!BANCO10[[#This Row],[SOLUÇÃO]]=CN$1,[1]!BANCO10[[#This Row],[STATUS DA ETAPA]],"")</f>
        <v/>
      </c>
      <c r="CO443" s="21" t="str">
        <f>IF([1]!BANCO10[[#This Row],[SOLUÇÃO]]=CO$1,[1]!BANCO10[[#This Row],[STATUS DA ETAPA]],"")</f>
        <v/>
      </c>
      <c r="CP443" s="21" t="str">
        <f>IF([1]!BANCO10[[#This Row],[SOLUÇÃO]]=CP$1,[1]!BANCO10[[#This Row],[STATUS DA ETAPA]],"")</f>
        <v/>
      </c>
      <c r="CQ443" s="21" t="str">
        <f>IF([1]!BANCO10[[#This Row],[SOLUÇÃO]]=CQ$1,[1]!BANCO10[[#This Row],[STATUS DA ETAPA]],"")</f>
        <v/>
      </c>
      <c r="CR443" s="21" t="str">
        <f>IF([1]!BANCO10[[#This Row],[SOLUÇÃO]]=CR$1,[1]!BANCO10[[#This Row],[STATUS DA ETAPA]],"")</f>
        <v/>
      </c>
      <c r="CS443" s="21" t="str">
        <f>IF([1]!BANCO10[[#This Row],[SOLUÇÃO]]=CS$1,[1]!BANCO10[[#This Row],[STATUS DA ETAPA]],"")</f>
        <v/>
      </c>
      <c r="CT443" s="21" t="str">
        <f>IF([1]!BANCO10[[#This Row],[SOLUÇÃO]]=CT$1,[1]!BANCO10[[#This Row],[STATUS DA ETAPA]],"")</f>
        <v/>
      </c>
      <c r="CU443" s="21" t="str">
        <f>IF([1]!BANCO10[[#This Row],[SOLUÇÃO]]=CU$1,[1]!BANCO10[[#This Row],[STATUS DA ETAPA]],"")</f>
        <v/>
      </c>
      <c r="CV443" s="21" t="str">
        <f>IF([1]!BANCO10[[#This Row],[SOLUÇÃO]]=CV$1,[1]!BANCO10[[#This Row],[STATUS DA ETAPA]],"")</f>
        <v/>
      </c>
    </row>
    <row r="444" spans="1:100">
      <c r="A444" s="44" t="s">
        <v>2</v>
      </c>
      <c r="B444" s="44">
        <v>45695</v>
      </c>
      <c r="C444" s="44" t="s">
        <v>2</v>
      </c>
      <c r="D444" s="44">
        <v>45695</v>
      </c>
      <c r="E444" s="44" t="s">
        <v>1</v>
      </c>
      <c r="F444" s="44"/>
      <c r="G444" s="44" t="s">
        <v>1</v>
      </c>
      <c r="H444" s="44"/>
      <c r="I444" s="45" t="s">
        <v>1</v>
      </c>
      <c r="J444" s="46"/>
      <c r="K444" s="45" t="s">
        <v>1</v>
      </c>
      <c r="L444" s="33"/>
      <c r="M444" s="45" t="s">
        <v>1</v>
      </c>
      <c r="N444" s="33"/>
      <c r="O444" s="44" t="s">
        <v>2</v>
      </c>
      <c r="P444" s="44">
        <v>45695</v>
      </c>
      <c r="Q444" s="44" t="s">
        <v>2</v>
      </c>
      <c r="R444" s="44">
        <v>45695</v>
      </c>
      <c r="S444" s="44" t="s">
        <v>1</v>
      </c>
      <c r="T444" s="44"/>
      <c r="U444" s="44" t="s">
        <v>1</v>
      </c>
      <c r="V444" s="44"/>
      <c r="W444" s="44" t="s">
        <v>1</v>
      </c>
      <c r="X444" s="44"/>
      <c r="Y444" s="44" t="s">
        <v>1</v>
      </c>
      <c r="Z444" s="44"/>
      <c r="AA444" s="44" t="s">
        <v>1</v>
      </c>
      <c r="AB444" s="44"/>
      <c r="AC444" s="51">
        <v>45963</v>
      </c>
      <c r="AD444" s="50">
        <v>45963</v>
      </c>
      <c r="AE444" s="41" t="s">
        <v>1</v>
      </c>
      <c r="AF444" s="41" t="s">
        <v>1</v>
      </c>
      <c r="AG444" s="40" t="s">
        <v>5</v>
      </c>
      <c r="AH444" s="36" t="s">
        <v>1</v>
      </c>
      <c r="AI444" s="49">
        <v>0</v>
      </c>
      <c r="AJ444" s="36" t="s">
        <v>1</v>
      </c>
      <c r="AK444" s="10" t="s">
        <v>1</v>
      </c>
      <c r="AL444" s="36" t="s">
        <v>1</v>
      </c>
      <c r="AM444" s="36" t="s">
        <v>1</v>
      </c>
      <c r="AN444" s="35" t="s">
        <v>1</v>
      </c>
      <c r="AO444" s="35" t="s">
        <v>1</v>
      </c>
      <c r="AP444" s="35" t="s">
        <v>1</v>
      </c>
      <c r="AQ444" s="35" t="s">
        <v>1</v>
      </c>
      <c r="AR444" s="34" t="s">
        <v>1</v>
      </c>
      <c r="AS444" s="33"/>
      <c r="AT444" s="32" t="s">
        <v>1</v>
      </c>
      <c r="AU444" s="31"/>
      <c r="AV444" s="32" t="s">
        <v>1</v>
      </c>
      <c r="AW444" s="31"/>
      <c r="AX444" s="32" t="s">
        <v>1</v>
      </c>
      <c r="AY444" s="31"/>
      <c r="AZ444" s="32" t="s">
        <v>1</v>
      </c>
      <c r="BA444" s="31"/>
      <c r="BB444" s="26"/>
      <c r="BC444" s="25"/>
      <c r="BD444" s="24"/>
      <c r="BE444" s="24"/>
      <c r="BF444" s="24"/>
      <c r="BG444" s="24"/>
      <c r="BH444" s="24"/>
      <c r="BI444" s="24"/>
      <c r="BJ444" s="24"/>
      <c r="BK444" s="24"/>
      <c r="BL444" s="24"/>
      <c r="BM444" s="24"/>
      <c r="BN444" s="24"/>
      <c r="BO444" s="24"/>
      <c r="BP444" s="24"/>
      <c r="BQ444" s="22">
        <f>YEAR([1]!BANCO10[[#This Row],[DATA INÍCIO]])</f>
        <v>2025</v>
      </c>
      <c r="BR444" s="22">
        <f>MONTH([1]!BANCO10[[#This Row],[DATA INÍCIO]])</f>
        <v>11</v>
      </c>
      <c r="BS444" s="23" t="e">
        <f>CONCATENATE(#REF!,#REF!)</f>
        <v>#REF!</v>
      </c>
      <c r="BT444" s="22"/>
      <c r="BU444" s="22"/>
      <c r="BV444" s="21" t="str">
        <f>IF([1]!BANCO10[[#This Row],[SOLUÇÃO]]=BV$1,[1]!BANCO10[[#This Row],[STATUS DA ETAPA]],"")</f>
        <v/>
      </c>
      <c r="BW444" s="21" t="str">
        <f>IF([1]!BANCO10[[#This Row],[SOLUÇÃO]]=BW$1,[1]!BANCO10[[#This Row],[STATUS DA ETAPA]],"")</f>
        <v/>
      </c>
      <c r="BX444" s="21" t="str">
        <f>IF([1]!BANCO10[[#This Row],[SOLUÇÃO]]=BX$1,[1]!BANCO10[[#This Row],[STATUS DA ETAPA]],"")</f>
        <v/>
      </c>
      <c r="BY444" s="21" t="str">
        <f>IF([1]!BANCO10[[#This Row],[SOLUÇÃO]]=BY$1,[1]!BANCO10[[#This Row],[STATUS DA ETAPA]],"")</f>
        <v/>
      </c>
      <c r="BZ444" s="21" t="str">
        <f>IF([1]!BANCO10[[#This Row],[SOLUÇÃO]]=BZ$1,[1]!BANCO10[[#This Row],[STATUS DA ETAPA]],"")</f>
        <v/>
      </c>
      <c r="CA444" s="21" t="str">
        <f>IF([1]!BANCO10[[#This Row],[SOLUÇÃO]]=CA$1,[1]!BANCO10[[#This Row],[STATUS DA ETAPA]],"")</f>
        <v/>
      </c>
      <c r="CB444" s="21" t="str">
        <f>IF([1]!BANCO10[[#This Row],[SOLUÇÃO]]=CB$1,[1]!BANCO10[[#This Row],[STATUS DA ETAPA]],"")</f>
        <v>CANCELADO</v>
      </c>
      <c r="CC444" s="21" t="str">
        <f>IF([1]!BANCO10[[#This Row],[SOLUÇÃO]]=CC$1,[1]!BANCO10[[#This Row],[STATUS DA ETAPA]],"")</f>
        <v/>
      </c>
      <c r="CD444" s="21" t="str">
        <f>IF([1]!BANCO10[[#This Row],[SOLUÇÃO]]=CD$1,[1]!BANCO10[[#This Row],[STATUS DA ETAPA]],"")</f>
        <v/>
      </c>
      <c r="CE444" s="21" t="str">
        <f>IF([1]!BANCO10[[#This Row],[SOLUÇÃO]]=CE$1,[1]!BANCO10[[#This Row],[STATUS DA ETAPA]],"")</f>
        <v/>
      </c>
      <c r="CF444" s="21" t="str">
        <f>IF([1]!BANCO10[[#This Row],[SOLUÇÃO]]=CF$1,[1]!BANCO10[[#This Row],[STATUS DA ETAPA]],"")</f>
        <v/>
      </c>
      <c r="CG444" s="21" t="str">
        <f>IF([1]!BANCO10[[#This Row],[SOLUÇÃO]]=CG$1,[1]!BANCO10[[#This Row],[STATUS DA ETAPA]],"")</f>
        <v/>
      </c>
      <c r="CH444" s="21" t="str">
        <f>IF([1]!BANCO10[[#This Row],[SOLUÇÃO]]=CH$1,[1]!BANCO10[[#This Row],[STATUS DA ETAPA]],"")</f>
        <v/>
      </c>
      <c r="CI444" s="21" t="str">
        <f>IF([1]!BANCO10[[#This Row],[SOLUÇÃO]]=CI$1,[1]!BANCO10[[#This Row],[STATUS DA ETAPA]],"")</f>
        <v/>
      </c>
      <c r="CJ444" s="21" t="str">
        <f>IF([1]!BANCO10[[#This Row],[SOLUÇÃO]]=CJ$1,[1]!BANCO10[[#This Row],[STATUS DA ETAPA]],"")</f>
        <v/>
      </c>
      <c r="CK444" s="21" t="str">
        <f>IF([1]!BANCO10[[#This Row],[SOLUÇÃO]]=CK$1,[1]!BANCO10[[#This Row],[STATUS DA ETAPA]],"")</f>
        <v/>
      </c>
      <c r="CL444" s="21" t="str">
        <f>IF([1]!BANCO10[[#This Row],[SOLUÇÃO]]=CL$1,[1]!BANCO10[[#This Row],[STATUS DA ETAPA]],"")</f>
        <v/>
      </c>
      <c r="CM444" s="21" t="str">
        <f>IF([1]!BANCO10[[#This Row],[SOLUÇÃO]]=CM$1,[1]!BANCO10[[#This Row],[STATUS DA ETAPA]],"")</f>
        <v/>
      </c>
      <c r="CN444" s="21" t="str">
        <f>IF([1]!BANCO10[[#This Row],[SOLUÇÃO]]=CN$1,[1]!BANCO10[[#This Row],[STATUS DA ETAPA]],"")</f>
        <v/>
      </c>
      <c r="CO444" s="21" t="str">
        <f>IF([1]!BANCO10[[#This Row],[SOLUÇÃO]]=CO$1,[1]!BANCO10[[#This Row],[STATUS DA ETAPA]],"")</f>
        <v/>
      </c>
      <c r="CP444" s="21" t="str">
        <f>IF([1]!BANCO10[[#This Row],[SOLUÇÃO]]=CP$1,[1]!BANCO10[[#This Row],[STATUS DA ETAPA]],"")</f>
        <v/>
      </c>
      <c r="CQ444" s="21" t="str">
        <f>IF([1]!BANCO10[[#This Row],[SOLUÇÃO]]=CQ$1,[1]!BANCO10[[#This Row],[STATUS DA ETAPA]],"")</f>
        <v/>
      </c>
      <c r="CR444" s="21" t="str">
        <f>IF([1]!BANCO10[[#This Row],[SOLUÇÃO]]=CR$1,[1]!BANCO10[[#This Row],[STATUS DA ETAPA]],"")</f>
        <v/>
      </c>
      <c r="CS444" s="21" t="str">
        <f>IF([1]!BANCO10[[#This Row],[SOLUÇÃO]]=CS$1,[1]!BANCO10[[#This Row],[STATUS DA ETAPA]],"")</f>
        <v/>
      </c>
      <c r="CT444" s="21" t="str">
        <f>IF([1]!BANCO10[[#This Row],[SOLUÇÃO]]=CT$1,[1]!BANCO10[[#This Row],[STATUS DA ETAPA]],"")</f>
        <v/>
      </c>
      <c r="CU444" s="21" t="str">
        <f>IF([1]!BANCO10[[#This Row],[SOLUÇÃO]]=CU$1,[1]!BANCO10[[#This Row],[STATUS DA ETAPA]],"")</f>
        <v/>
      </c>
      <c r="CV444" s="21" t="str">
        <f>IF([1]!BANCO10[[#This Row],[SOLUÇÃO]]=CV$1,[1]!BANCO10[[#This Row],[STATUS DA ETAPA]],"")</f>
        <v/>
      </c>
    </row>
    <row r="445" spans="1:100">
      <c r="A445" s="44" t="s">
        <v>1</v>
      </c>
      <c r="B445" s="44"/>
      <c r="C445" s="44" t="s">
        <v>1</v>
      </c>
      <c r="D445" s="44"/>
      <c r="E445" s="44" t="s">
        <v>1</v>
      </c>
      <c r="F445" s="44"/>
      <c r="G445" s="44" t="s">
        <v>1</v>
      </c>
      <c r="H445" s="44"/>
      <c r="I445" s="45" t="s">
        <v>1</v>
      </c>
      <c r="J445" s="46"/>
      <c r="K445" s="45" t="s">
        <v>1</v>
      </c>
      <c r="L445" s="33"/>
      <c r="M445" s="45" t="s">
        <v>1</v>
      </c>
      <c r="N445" s="33"/>
      <c r="O445" s="44" t="s">
        <v>1</v>
      </c>
      <c r="P445" s="44"/>
      <c r="Q445" s="44" t="s">
        <v>1</v>
      </c>
      <c r="R445" s="44"/>
      <c r="S445" s="44" t="s">
        <v>1</v>
      </c>
      <c r="T445" s="44"/>
      <c r="U445" s="44" t="s">
        <v>1</v>
      </c>
      <c r="V445" s="44"/>
      <c r="W445" s="44" t="s">
        <v>1</v>
      </c>
      <c r="X445" s="44"/>
      <c r="Y445" s="44" t="s">
        <v>1</v>
      </c>
      <c r="Z445" s="44"/>
      <c r="AA445" s="44" t="s">
        <v>1</v>
      </c>
      <c r="AB445" s="44"/>
      <c r="AC445" s="51">
        <v>45577</v>
      </c>
      <c r="AD445" s="50">
        <v>45577</v>
      </c>
      <c r="AE445" s="41" t="s">
        <v>0</v>
      </c>
      <c r="AF445" s="41" t="s">
        <v>0</v>
      </c>
      <c r="AG445" s="40" t="s">
        <v>5</v>
      </c>
      <c r="AH445" s="36" t="s">
        <v>1</v>
      </c>
      <c r="AI445" s="49">
        <v>0</v>
      </c>
      <c r="AJ445" s="36" t="s">
        <v>1</v>
      </c>
      <c r="AK445" s="10" t="s">
        <v>1</v>
      </c>
      <c r="AL445" s="36" t="s">
        <v>1</v>
      </c>
      <c r="AM445" s="36" t="s">
        <v>1</v>
      </c>
      <c r="AN445" s="35" t="s">
        <v>1</v>
      </c>
      <c r="AO445" s="35" t="s">
        <v>1</v>
      </c>
      <c r="AP445" s="35" t="s">
        <v>1</v>
      </c>
      <c r="AQ445" s="35" t="s">
        <v>1</v>
      </c>
      <c r="AR445" s="90" t="s">
        <v>1</v>
      </c>
      <c r="AS445" s="89"/>
      <c r="AT445" s="88"/>
      <c r="AU445" s="25"/>
      <c r="AV445" s="88"/>
      <c r="AW445" s="25"/>
      <c r="AX445" s="88" t="s">
        <v>1</v>
      </c>
      <c r="AY445" s="25"/>
      <c r="AZ445" s="88" t="s">
        <v>1</v>
      </c>
      <c r="BA445" s="25"/>
      <c r="BB445" s="39"/>
      <c r="BC445" s="25"/>
      <c r="BD445" s="24"/>
      <c r="BE445" s="24"/>
      <c r="BF445" s="79"/>
      <c r="BG445" s="79"/>
      <c r="BH445" s="80"/>
      <c r="BI445" s="79"/>
      <c r="BJ445" s="54"/>
      <c r="BK445" s="78"/>
      <c r="BL445" s="69"/>
      <c r="BM445" s="78"/>
      <c r="BN445" s="78"/>
      <c r="BO445" s="78"/>
      <c r="BP445" s="78"/>
      <c r="BQ445" s="21">
        <f>YEAR([1]!BANCO10[[#This Row],[DATA INÍCIO]])</f>
        <v>2024</v>
      </c>
      <c r="BR445" s="21">
        <f>MONTH([1]!BANCO10[[#This Row],[DATA INÍCIO]])</f>
        <v>10</v>
      </c>
      <c r="BS445" s="21" t="e">
        <f>CONCATENATE(#REF!,#REF!)</f>
        <v>#REF!</v>
      </c>
      <c r="BT445" s="21"/>
      <c r="BU445" s="21"/>
      <c r="BV445" s="21" t="str">
        <f>IF([1]!BANCO10[[#This Row],[SOLUÇÃO]]=BV$1,[1]!BANCO10[[#This Row],[STATUS DA ETAPA]],"")</f>
        <v>CONCLUÍDO</v>
      </c>
      <c r="BW445" s="21" t="str">
        <f>IF([1]!BANCO10[[#This Row],[SOLUÇÃO]]=BW$1,[1]!BANCO10[[#This Row],[STATUS DA ETAPA]],"")</f>
        <v/>
      </c>
      <c r="BX445" s="21" t="str">
        <f>IF([1]!BANCO10[[#This Row],[SOLUÇÃO]]=BX$1,[1]!BANCO10[[#This Row],[STATUS DA ETAPA]],"")</f>
        <v/>
      </c>
      <c r="BY445" s="21" t="str">
        <f>IF([1]!BANCO10[[#This Row],[SOLUÇÃO]]=BY$1,[1]!BANCO10[[#This Row],[STATUS DA ETAPA]],"")</f>
        <v/>
      </c>
      <c r="BZ445" s="21" t="str">
        <f>IF([1]!BANCO10[[#This Row],[SOLUÇÃO]]=BZ$1,[1]!BANCO10[[#This Row],[STATUS DA ETAPA]],"")</f>
        <v/>
      </c>
      <c r="CA445" s="21" t="str">
        <f>IF([1]!BANCO10[[#This Row],[SOLUÇÃO]]=CA$1,[1]!BANCO10[[#This Row],[STATUS DA ETAPA]],"")</f>
        <v/>
      </c>
      <c r="CB445" s="21" t="str">
        <f>IF([1]!BANCO10[[#This Row],[SOLUÇÃO]]=CB$1,[1]!BANCO10[[#This Row],[STATUS DA ETAPA]],"")</f>
        <v/>
      </c>
      <c r="CC445" s="21" t="str">
        <f>IF([1]!BANCO10[[#This Row],[SOLUÇÃO]]=CC$1,[1]!BANCO10[[#This Row],[STATUS DA ETAPA]],"")</f>
        <v/>
      </c>
      <c r="CD445" s="21" t="str">
        <f>IF([1]!BANCO10[[#This Row],[SOLUÇÃO]]=CD$1,[1]!BANCO10[[#This Row],[STATUS DA ETAPA]],"")</f>
        <v/>
      </c>
      <c r="CE445" s="21" t="str">
        <f>IF([1]!BANCO10[[#This Row],[SOLUÇÃO]]=CE$1,[1]!BANCO10[[#This Row],[STATUS DA ETAPA]],"")</f>
        <v/>
      </c>
      <c r="CF445" s="21" t="str">
        <f>IF([1]!BANCO10[[#This Row],[SOLUÇÃO]]=CF$1,[1]!BANCO10[[#This Row],[STATUS DA ETAPA]],"")</f>
        <v/>
      </c>
      <c r="CG445" s="21" t="str">
        <f>IF([1]!BANCO10[[#This Row],[SOLUÇÃO]]=CG$1,[1]!BANCO10[[#This Row],[STATUS DA ETAPA]],"")</f>
        <v/>
      </c>
      <c r="CH445" s="21" t="str">
        <f>IF([1]!BANCO10[[#This Row],[SOLUÇÃO]]=CH$1,[1]!BANCO10[[#This Row],[STATUS DA ETAPA]],"")</f>
        <v/>
      </c>
      <c r="CI445" s="21" t="str">
        <f>IF([1]!BANCO10[[#This Row],[SOLUÇÃO]]=CI$1,[1]!BANCO10[[#This Row],[STATUS DA ETAPA]],"")</f>
        <v/>
      </c>
      <c r="CJ445" s="21" t="str">
        <f>IF([1]!BANCO10[[#This Row],[SOLUÇÃO]]=CJ$1,[1]!BANCO10[[#This Row],[STATUS DA ETAPA]],"")</f>
        <v/>
      </c>
      <c r="CK445" s="21" t="str">
        <f>IF([1]!BANCO10[[#This Row],[SOLUÇÃO]]=CK$1,[1]!BANCO10[[#This Row],[STATUS DA ETAPA]],"")</f>
        <v/>
      </c>
      <c r="CL445" s="22" t="str">
        <f>IF([1]!BANCO10[[#This Row],[SOLUÇÃO]]=CL$1,[1]!BANCO10[[#This Row],[STATUS DA ETAPA]],"")</f>
        <v/>
      </c>
      <c r="CM445" s="64" t="str">
        <f>IF([1]!BANCO10[[#This Row],[SOLUÇÃO]]=CM$1,[1]!BANCO10[[#This Row],[STATUS DA ETAPA]],"")</f>
        <v/>
      </c>
      <c r="CN445" s="64" t="str">
        <f>IF([1]!BANCO10[[#This Row],[SOLUÇÃO]]=CN$1,[1]!BANCO10[[#This Row],[STATUS DA ETAPA]],"")</f>
        <v/>
      </c>
      <c r="CO445" s="64" t="str">
        <f>IF([1]!BANCO10[[#This Row],[SOLUÇÃO]]=CO$1,[1]!BANCO10[[#This Row],[STATUS DA ETAPA]],"")</f>
        <v/>
      </c>
      <c r="CP445" s="64" t="str">
        <f>IF([1]!BANCO10[[#This Row],[SOLUÇÃO]]=CP$1,[1]!BANCO10[[#This Row],[STATUS DA ETAPA]],"")</f>
        <v/>
      </c>
      <c r="CQ445" s="64" t="str">
        <f>IF([1]!BANCO10[[#This Row],[SOLUÇÃO]]=CQ$1,[1]!BANCO10[[#This Row],[STATUS DA ETAPA]],"")</f>
        <v/>
      </c>
      <c r="CR445" s="64" t="str">
        <f>IF([1]!BANCO10[[#This Row],[SOLUÇÃO]]=CR$1,[1]!BANCO10[[#This Row],[STATUS DA ETAPA]],"")</f>
        <v/>
      </c>
      <c r="CS445" s="64" t="str">
        <f>IF([1]!BANCO10[[#This Row],[SOLUÇÃO]]=CS$1,[1]!BANCO10[[#This Row],[STATUS DA ETAPA]],"")</f>
        <v/>
      </c>
      <c r="CT445" s="64" t="str">
        <f>IF([1]!BANCO10[[#This Row],[SOLUÇÃO]]=CT$1,[1]!BANCO10[[#This Row],[STATUS DA ETAPA]],"")</f>
        <v/>
      </c>
      <c r="CU445" s="64" t="str">
        <f>IF([1]!BANCO10[[#This Row],[SOLUÇÃO]]=CU$1,[1]!BANCO10[[#This Row],[STATUS DA ETAPA]],"")</f>
        <v/>
      </c>
      <c r="CV445" s="64" t="str">
        <f>IF([1]!BANCO10[[#This Row],[SOLUÇÃO]]=CV$1,[1]!BANCO10[[#This Row],[STATUS DA ETAPA]],"")</f>
        <v/>
      </c>
    </row>
    <row r="446" spans="1:100">
      <c r="A446" s="44" t="s">
        <v>1</v>
      </c>
      <c r="B446" s="44"/>
      <c r="C446" s="44" t="s">
        <v>1</v>
      </c>
      <c r="D446" s="44"/>
      <c r="E446" s="44" t="s">
        <v>1</v>
      </c>
      <c r="F446" s="44"/>
      <c r="G446" s="44" t="s">
        <v>1</v>
      </c>
      <c r="H446" s="44"/>
      <c r="I446" s="45" t="s">
        <v>1</v>
      </c>
      <c r="J446" s="46"/>
      <c r="K446" s="45" t="s">
        <v>1</v>
      </c>
      <c r="L446" s="33"/>
      <c r="M446" s="45" t="s">
        <v>1</v>
      </c>
      <c r="N446" s="33"/>
      <c r="O446" s="44" t="s">
        <v>1</v>
      </c>
      <c r="P446" s="44"/>
      <c r="Q446" s="44" t="s">
        <v>1</v>
      </c>
      <c r="R446" s="44"/>
      <c r="S446" s="44" t="s">
        <v>1</v>
      </c>
      <c r="T446" s="44"/>
      <c r="U446" s="44" t="s">
        <v>1</v>
      </c>
      <c r="V446" s="44"/>
      <c r="W446" s="44" t="s">
        <v>1</v>
      </c>
      <c r="X446" s="44"/>
      <c r="Y446" s="44" t="s">
        <v>1</v>
      </c>
      <c r="Z446" s="44"/>
      <c r="AA446" s="44" t="s">
        <v>1</v>
      </c>
      <c r="AB446" s="44"/>
      <c r="AC446" s="51">
        <v>45963</v>
      </c>
      <c r="AD446" s="50">
        <v>45963</v>
      </c>
      <c r="AE446" s="40" t="s">
        <v>1</v>
      </c>
      <c r="AF446" s="40" t="s">
        <v>1</v>
      </c>
      <c r="AG446" s="40" t="s">
        <v>4</v>
      </c>
      <c r="AH446" s="36" t="s">
        <v>1</v>
      </c>
      <c r="AI446" s="49">
        <v>0</v>
      </c>
      <c r="AJ446" s="36" t="s">
        <v>1</v>
      </c>
      <c r="AK446" s="10" t="s">
        <v>1</v>
      </c>
      <c r="AL446" s="36" t="s">
        <v>1</v>
      </c>
      <c r="AM446" s="36" t="s">
        <v>1</v>
      </c>
      <c r="AN446" s="35" t="s">
        <v>1</v>
      </c>
      <c r="AO446" s="35" t="s">
        <v>1</v>
      </c>
      <c r="AP446" s="35" t="s">
        <v>1</v>
      </c>
      <c r="AQ446" s="35" t="s">
        <v>1</v>
      </c>
      <c r="AR446" s="34" t="s">
        <v>1</v>
      </c>
      <c r="AS446" s="63"/>
      <c r="AT446" s="32" t="s">
        <v>1</v>
      </c>
      <c r="AU446" s="31"/>
      <c r="AV446" s="32" t="s">
        <v>1</v>
      </c>
      <c r="AW446" s="31"/>
      <c r="AX446" s="32" t="s">
        <v>1</v>
      </c>
      <c r="AY446" s="31"/>
      <c r="AZ446" s="32" t="s">
        <v>1</v>
      </c>
      <c r="BA446" s="31"/>
      <c r="BB446" s="74"/>
      <c r="BC446" s="25"/>
      <c r="BD446" s="24"/>
      <c r="BE446" s="24"/>
      <c r="BF446" s="24"/>
      <c r="BG446" s="24"/>
      <c r="BH446" s="130"/>
      <c r="BI446" s="24"/>
      <c r="BJ446" s="24"/>
      <c r="BK446" s="24"/>
      <c r="BL446" s="24">
        <v>45442</v>
      </c>
      <c r="BM446" s="24"/>
      <c r="BN446" s="24"/>
      <c r="BO446" s="24"/>
      <c r="BP446" s="24" t="s">
        <v>443</v>
      </c>
      <c r="BQ446" s="22">
        <f>YEAR([1]!BANCO10[[#This Row],[DATA INÍCIO]])</f>
        <v>2025</v>
      </c>
      <c r="BR446" s="22">
        <f>MONTH([1]!BANCO10[[#This Row],[DATA INÍCIO]])</f>
        <v>11</v>
      </c>
      <c r="BS446" s="129" t="e">
        <f>CONCATENATE(#REF!,#REF!)</f>
        <v>#REF!</v>
      </c>
      <c r="BT446" s="22"/>
      <c r="BU446" s="21" t="s">
        <v>30</v>
      </c>
      <c r="BV446" s="21" t="str">
        <f>IF([1]!BANCO10[[#This Row],[SOLUÇÃO]]=BV$1,[1]!BANCO10[[#This Row],[STATUS DA ETAPA]],"")</f>
        <v/>
      </c>
      <c r="BW446" s="21" t="str">
        <f>IF([1]!BANCO10[[#This Row],[SOLUÇÃO]]=BW$1,[1]!BANCO10[[#This Row],[STATUS DA ETAPA]],"")</f>
        <v/>
      </c>
      <c r="BX446" s="21" t="str">
        <f>IF([1]!BANCO10[[#This Row],[SOLUÇÃO]]=BX$1,[1]!BANCO10[[#This Row],[STATUS DA ETAPA]],"")</f>
        <v/>
      </c>
      <c r="BY446" s="21" t="str">
        <f>IF([1]!BANCO10[[#This Row],[SOLUÇÃO]]=BY$1,[1]!BANCO10[[#This Row],[STATUS DA ETAPA]],"")</f>
        <v/>
      </c>
      <c r="BZ446" s="21" t="str">
        <f>IF([1]!BANCO10[[#This Row],[SOLUÇÃO]]=BZ$1,[1]!BANCO10[[#This Row],[STATUS DA ETAPA]],"")</f>
        <v/>
      </c>
      <c r="CA446" s="21" t="str">
        <f>IF([1]!BANCO10[[#This Row],[SOLUÇÃO]]=CA$1,[1]!BANCO10[[#This Row],[STATUS DA ETAPA]],"")</f>
        <v/>
      </c>
      <c r="CB446" s="21" t="str">
        <f>IF([1]!BANCO10[[#This Row],[SOLUÇÃO]]=CB$1,[1]!BANCO10[[#This Row],[STATUS DA ETAPA]],"")</f>
        <v/>
      </c>
      <c r="CC446" s="21" t="str">
        <f>IF([1]!BANCO10[[#This Row],[SOLUÇÃO]]=CC$1,[1]!BANCO10[[#This Row],[STATUS DA ETAPA]],"")</f>
        <v/>
      </c>
      <c r="CD446" s="21" t="str">
        <f>IF([1]!BANCO10[[#This Row],[SOLUÇÃO]]=CD$1,[1]!BANCO10[[#This Row],[STATUS DA ETAPA]],"")</f>
        <v/>
      </c>
      <c r="CE446" s="21" t="str">
        <f>IF([1]!BANCO10[[#This Row],[SOLUÇÃO]]=CE$1,[1]!BANCO10[[#This Row],[STATUS DA ETAPA]],"")</f>
        <v/>
      </c>
      <c r="CF446" s="21" t="str">
        <f>IF([1]!BANCO10[[#This Row],[SOLUÇÃO]]=CF$1,[1]!BANCO10[[#This Row],[STATUS DA ETAPA]],"")</f>
        <v/>
      </c>
      <c r="CG446" s="21" t="str">
        <f>IF([1]!BANCO10[[#This Row],[SOLUÇÃO]]=CG$1,[1]!BANCO10[[#This Row],[STATUS DA ETAPA]],"")</f>
        <v/>
      </c>
      <c r="CH446" s="21" t="str">
        <f>IF([1]!BANCO10[[#This Row],[SOLUÇÃO]]=CH$1,[1]!BANCO10[[#This Row],[STATUS DA ETAPA]],"")</f>
        <v/>
      </c>
      <c r="CI446" s="21" t="str">
        <f>IF([1]!BANCO10[[#This Row],[SOLUÇÃO]]=CI$1,[1]!BANCO10[[#This Row],[STATUS DA ETAPA]],"")</f>
        <v/>
      </c>
      <c r="CJ446" s="21" t="str">
        <f>IF([1]!BANCO10[[#This Row],[SOLUÇÃO]]=CJ$1,[1]!BANCO10[[#This Row],[STATUS DA ETAPA]],"")</f>
        <v/>
      </c>
      <c r="CK446" s="21" t="str">
        <f>IF([1]!BANCO10[[#This Row],[SOLUÇÃO]]=CK$1,[1]!BANCO10[[#This Row],[STATUS DA ETAPA]],"")</f>
        <v/>
      </c>
      <c r="CL446" s="21" t="str">
        <f>IF([1]!BANCO10[[#This Row],[SOLUÇÃO]]=CL$1,[1]!BANCO10[[#This Row],[STATUS DA ETAPA]],"")</f>
        <v>CANCELADO</v>
      </c>
      <c r="CM446" s="21" t="str">
        <f>IF([1]!BANCO10[[#This Row],[SOLUÇÃO]]=CM$1,[1]!BANCO10[[#This Row],[STATUS DA ETAPA]],"")</f>
        <v/>
      </c>
      <c r="CN446" s="21" t="str">
        <f>IF([1]!BANCO10[[#This Row],[SOLUÇÃO]]=CN$1,[1]!BANCO10[[#This Row],[STATUS DA ETAPA]],"")</f>
        <v/>
      </c>
      <c r="CO446" s="21" t="str">
        <f>IF([1]!BANCO10[[#This Row],[SOLUÇÃO]]=CO$1,[1]!BANCO10[[#This Row],[STATUS DA ETAPA]],"")</f>
        <v/>
      </c>
      <c r="CP446" s="21" t="str">
        <f>IF([1]!BANCO10[[#This Row],[SOLUÇÃO]]=CP$1,[1]!BANCO10[[#This Row],[STATUS DA ETAPA]],"")</f>
        <v/>
      </c>
      <c r="CQ446" s="21" t="str">
        <f>IF([1]!BANCO10[[#This Row],[SOLUÇÃO]]=CQ$1,[1]!BANCO10[[#This Row],[STATUS DA ETAPA]],"")</f>
        <v/>
      </c>
      <c r="CR446" s="21" t="str">
        <f>IF([1]!BANCO10[[#This Row],[SOLUÇÃO]]=CR$1,[1]!BANCO10[[#This Row],[STATUS DA ETAPA]],"")</f>
        <v/>
      </c>
      <c r="CS446" s="21" t="str">
        <f>IF([1]!BANCO10[[#This Row],[SOLUÇÃO]]=CS$1,[1]!BANCO10[[#This Row],[STATUS DA ETAPA]],"")</f>
        <v/>
      </c>
      <c r="CT446" s="21" t="str">
        <f>IF([1]!BANCO10[[#This Row],[SOLUÇÃO]]=CT$1,[1]!BANCO10[[#This Row],[STATUS DA ETAPA]],"")</f>
        <v/>
      </c>
      <c r="CU446" s="21" t="str">
        <f>IF([1]!BANCO10[[#This Row],[SOLUÇÃO]]=CU$1,[1]!BANCO10[[#This Row],[STATUS DA ETAPA]],"")</f>
        <v/>
      </c>
      <c r="CV446" s="21" t="str">
        <f>IF([1]!BANCO10[[#This Row],[SOLUÇÃO]]=CV$1,[1]!BANCO10[[#This Row],[STATUS DA ETAPA]],"")</f>
        <v/>
      </c>
    </row>
    <row r="447" spans="1:100">
      <c r="A447" s="44" t="s">
        <v>1</v>
      </c>
      <c r="B447" s="44"/>
      <c r="C447" s="44" t="s">
        <v>1</v>
      </c>
      <c r="D447" s="44"/>
      <c r="E447" s="44" t="s">
        <v>1</v>
      </c>
      <c r="F447" s="44"/>
      <c r="G447" s="44" t="s">
        <v>1</v>
      </c>
      <c r="H447" s="44"/>
      <c r="I447" s="45" t="s">
        <v>1</v>
      </c>
      <c r="J447" s="46"/>
      <c r="K447" s="45" t="s">
        <v>1</v>
      </c>
      <c r="L447" s="33"/>
      <c r="M447" s="45" t="s">
        <v>1</v>
      </c>
      <c r="N447" s="33"/>
      <c r="O447" s="44" t="s">
        <v>2</v>
      </c>
      <c r="P447" s="44">
        <v>44973</v>
      </c>
      <c r="Q447" s="44" t="s">
        <v>0</v>
      </c>
      <c r="R447" s="44"/>
      <c r="S447" s="44" t="s">
        <v>1</v>
      </c>
      <c r="T447" s="44"/>
      <c r="U447" s="44" t="s">
        <v>1</v>
      </c>
      <c r="V447" s="44"/>
      <c r="W447" s="44" t="s">
        <v>1</v>
      </c>
      <c r="X447" s="44"/>
      <c r="Y447" s="44" t="s">
        <v>1</v>
      </c>
      <c r="Z447" s="44"/>
      <c r="AA447" s="44" t="s">
        <v>1</v>
      </c>
      <c r="AB447" s="44"/>
      <c r="AC447" s="51">
        <v>44967</v>
      </c>
      <c r="AD447" s="50">
        <v>44967</v>
      </c>
      <c r="AE447" s="40" t="s">
        <v>1</v>
      </c>
      <c r="AF447" s="40" t="s">
        <v>1</v>
      </c>
      <c r="AG447" s="76" t="s">
        <v>5</v>
      </c>
      <c r="AH447" s="36" t="s">
        <v>1</v>
      </c>
      <c r="AI447" s="49">
        <v>0</v>
      </c>
      <c r="AJ447" s="36" t="s">
        <v>1</v>
      </c>
      <c r="AK447" s="10" t="s">
        <v>1</v>
      </c>
      <c r="AL447" s="36" t="s">
        <v>1</v>
      </c>
      <c r="AM447" s="36" t="s">
        <v>1</v>
      </c>
      <c r="AN447" s="35" t="s">
        <v>1</v>
      </c>
      <c r="AO447" s="35" t="s">
        <v>1</v>
      </c>
      <c r="AP447" s="35" t="s">
        <v>1</v>
      </c>
      <c r="AQ447" s="35" t="s">
        <v>1</v>
      </c>
      <c r="AR447" s="34" t="s">
        <v>1</v>
      </c>
      <c r="AS447" s="63"/>
      <c r="AT447" s="32" t="s">
        <v>1</v>
      </c>
      <c r="AU447" s="31"/>
      <c r="AV447" s="32" t="s">
        <v>1</v>
      </c>
      <c r="AW447" s="31"/>
      <c r="AX447" s="32" t="s">
        <v>1</v>
      </c>
      <c r="AY447" s="55"/>
      <c r="AZ447" s="30" t="s">
        <v>1</v>
      </c>
      <c r="BA447" s="55"/>
      <c r="BB447" s="74"/>
      <c r="BC447" s="25"/>
      <c r="BD447" s="24" t="s">
        <v>11</v>
      </c>
      <c r="BE447" s="24" t="s">
        <v>11</v>
      </c>
      <c r="BF447" s="24" t="s">
        <v>21</v>
      </c>
      <c r="BG447" s="24" t="s">
        <v>88</v>
      </c>
      <c r="BH447" s="130" t="s">
        <v>63</v>
      </c>
      <c r="BI447" s="24"/>
      <c r="BJ447" s="24" t="s">
        <v>11</v>
      </c>
      <c r="BK447" s="24" t="s">
        <v>11</v>
      </c>
      <c r="BL447" s="24" t="s">
        <v>11</v>
      </c>
      <c r="BM447" s="24" t="s">
        <v>11</v>
      </c>
      <c r="BN447" s="24" t="s">
        <v>11</v>
      </c>
      <c r="BO447" s="24" t="s">
        <v>11</v>
      </c>
      <c r="BP447" s="24" t="s">
        <v>11</v>
      </c>
      <c r="BQ447" s="22">
        <f>YEAR([1]!BANCO10[[#This Row],[DATA INÍCIO]])</f>
        <v>2023</v>
      </c>
      <c r="BR447" s="22">
        <f>MONTH([1]!BANCO10[[#This Row],[DATA INÍCIO]])</f>
        <v>2</v>
      </c>
      <c r="BS447" s="129" t="e">
        <f>CONCATENATE(#REF!,#REF!)</f>
        <v>#REF!</v>
      </c>
      <c r="BT447" s="22"/>
      <c r="BU447" s="21" t="s">
        <v>442</v>
      </c>
      <c r="BV447" s="21" t="str">
        <f>IF([1]!BANCO10[[#This Row],[SOLUÇÃO]]=BV$1,[1]!BANCO10[[#This Row],[STATUS DA ETAPA]],"")</f>
        <v>CONCLUÍDO</v>
      </c>
      <c r="BW447" s="21" t="str">
        <f>IF([1]!BANCO10[[#This Row],[SOLUÇÃO]]=BW$1,[1]!BANCO10[[#This Row],[STATUS DA ETAPA]],"")</f>
        <v/>
      </c>
      <c r="BX447" s="21" t="str">
        <f>IF([1]!BANCO10[[#This Row],[SOLUÇÃO]]=BX$1,[1]!BANCO10[[#This Row],[STATUS DA ETAPA]],"")</f>
        <v/>
      </c>
      <c r="BY447" s="21" t="str">
        <f>IF([1]!BANCO10[[#This Row],[SOLUÇÃO]]=BY$1,[1]!BANCO10[[#This Row],[STATUS DA ETAPA]],"")</f>
        <v/>
      </c>
      <c r="BZ447" s="21" t="str">
        <f>IF([1]!BANCO10[[#This Row],[SOLUÇÃO]]=BZ$1,[1]!BANCO10[[#This Row],[STATUS DA ETAPA]],"")</f>
        <v/>
      </c>
      <c r="CA447" s="21" t="str">
        <f>IF([1]!BANCO10[[#This Row],[SOLUÇÃO]]=CA$1,[1]!BANCO10[[#This Row],[STATUS DA ETAPA]],"")</f>
        <v/>
      </c>
      <c r="CB447" s="21" t="str">
        <f>IF([1]!BANCO10[[#This Row],[SOLUÇÃO]]=CB$1,[1]!BANCO10[[#This Row],[STATUS DA ETAPA]],"")</f>
        <v/>
      </c>
      <c r="CC447" s="21" t="str">
        <f>IF([1]!BANCO10[[#This Row],[SOLUÇÃO]]=CC$1,[1]!BANCO10[[#This Row],[STATUS DA ETAPA]],"")</f>
        <v/>
      </c>
      <c r="CD447" s="21" t="str">
        <f>IF([1]!BANCO10[[#This Row],[SOLUÇÃO]]=CD$1,[1]!BANCO10[[#This Row],[STATUS DA ETAPA]],"")</f>
        <v/>
      </c>
      <c r="CE447" s="21" t="str">
        <f>IF([1]!BANCO10[[#This Row],[SOLUÇÃO]]=CE$1,[1]!BANCO10[[#This Row],[STATUS DA ETAPA]],"")</f>
        <v/>
      </c>
      <c r="CF447" s="21" t="str">
        <f>IF([1]!BANCO10[[#This Row],[SOLUÇÃO]]=CF$1,[1]!BANCO10[[#This Row],[STATUS DA ETAPA]],"")</f>
        <v/>
      </c>
      <c r="CG447" s="21" t="str">
        <f>IF([1]!BANCO10[[#This Row],[SOLUÇÃO]]=CG$1,[1]!BANCO10[[#This Row],[STATUS DA ETAPA]],"")</f>
        <v/>
      </c>
      <c r="CH447" s="21" t="str">
        <f>IF([1]!BANCO10[[#This Row],[SOLUÇÃO]]=CH$1,[1]!BANCO10[[#This Row],[STATUS DA ETAPA]],"")</f>
        <v/>
      </c>
      <c r="CI447" s="21" t="str">
        <f>IF([1]!BANCO10[[#This Row],[SOLUÇÃO]]=CI$1,[1]!BANCO10[[#This Row],[STATUS DA ETAPA]],"")</f>
        <v/>
      </c>
      <c r="CJ447" s="21" t="str">
        <f>IF([1]!BANCO10[[#This Row],[SOLUÇÃO]]=CJ$1,[1]!BANCO10[[#This Row],[STATUS DA ETAPA]],"")</f>
        <v/>
      </c>
      <c r="CK447" s="21" t="str">
        <f>IF([1]!BANCO10[[#This Row],[SOLUÇÃO]]=CK$1,[1]!BANCO10[[#This Row],[STATUS DA ETAPA]],"")</f>
        <v/>
      </c>
      <c r="CL447" s="21" t="str">
        <f>IF([1]!BANCO10[[#This Row],[SOLUÇÃO]]=CL$1,[1]!BANCO10[[#This Row],[STATUS DA ETAPA]],"")</f>
        <v/>
      </c>
      <c r="CM447" s="21" t="str">
        <f>IF([1]!BANCO10[[#This Row],[SOLUÇÃO]]=CM$1,[1]!BANCO10[[#This Row],[STATUS DA ETAPA]],"")</f>
        <v/>
      </c>
      <c r="CN447" s="21" t="str">
        <f>IF([1]!BANCO10[[#This Row],[SOLUÇÃO]]=CN$1,[1]!BANCO10[[#This Row],[STATUS DA ETAPA]],"")</f>
        <v/>
      </c>
      <c r="CO447" s="21" t="str">
        <f>IF([1]!BANCO10[[#This Row],[SOLUÇÃO]]=CO$1,[1]!BANCO10[[#This Row],[STATUS DA ETAPA]],"")</f>
        <v/>
      </c>
      <c r="CP447" s="21" t="str">
        <f>IF([1]!BANCO10[[#This Row],[SOLUÇÃO]]=CP$1,[1]!BANCO10[[#This Row],[STATUS DA ETAPA]],"")</f>
        <v/>
      </c>
      <c r="CQ447" s="21" t="str">
        <f>IF([1]!BANCO10[[#This Row],[SOLUÇÃO]]=CQ$1,[1]!BANCO10[[#This Row],[STATUS DA ETAPA]],"")</f>
        <v/>
      </c>
      <c r="CR447" s="21" t="str">
        <f>IF([1]!BANCO10[[#This Row],[SOLUÇÃO]]=CR$1,[1]!BANCO10[[#This Row],[STATUS DA ETAPA]],"")</f>
        <v/>
      </c>
      <c r="CS447" s="21" t="str">
        <f>IF([1]!BANCO10[[#This Row],[SOLUÇÃO]]=CS$1,[1]!BANCO10[[#This Row],[STATUS DA ETAPA]],"")</f>
        <v/>
      </c>
      <c r="CT447" s="21" t="str">
        <f>IF([1]!BANCO10[[#This Row],[SOLUÇÃO]]=CT$1,[1]!BANCO10[[#This Row],[STATUS DA ETAPA]],"")</f>
        <v/>
      </c>
      <c r="CU447" s="21" t="str">
        <f>IF([1]!BANCO10[[#This Row],[SOLUÇÃO]]=CU$1,[1]!BANCO10[[#This Row],[STATUS DA ETAPA]],"")</f>
        <v/>
      </c>
      <c r="CV447" s="21" t="str">
        <f>IF([1]!BANCO10[[#This Row],[SOLUÇÃO]]=CV$1,[1]!BANCO10[[#This Row],[STATUS DA ETAPA]],"")</f>
        <v/>
      </c>
    </row>
    <row r="448" spans="1:100">
      <c r="A448" s="44" t="s">
        <v>1</v>
      </c>
      <c r="B448" s="44"/>
      <c r="C448" s="44" t="s">
        <v>1</v>
      </c>
      <c r="D448" s="44"/>
      <c r="E448" s="44" t="s">
        <v>1</v>
      </c>
      <c r="F448" s="44"/>
      <c r="G448" s="44" t="s">
        <v>1</v>
      </c>
      <c r="H448" s="44"/>
      <c r="I448" s="45" t="s">
        <v>1</v>
      </c>
      <c r="J448" s="46"/>
      <c r="K448" s="45" t="s">
        <v>1</v>
      </c>
      <c r="L448" s="33"/>
      <c r="M448" s="45" t="s">
        <v>1</v>
      </c>
      <c r="N448" s="33"/>
      <c r="O448" s="44" t="s">
        <v>2</v>
      </c>
      <c r="P448" s="44">
        <v>44973</v>
      </c>
      <c r="Q448" s="44" t="s">
        <v>2</v>
      </c>
      <c r="R448" s="44">
        <v>44974</v>
      </c>
      <c r="S448" s="44" t="s">
        <v>2</v>
      </c>
      <c r="T448" s="44">
        <v>44974</v>
      </c>
      <c r="U448" s="44"/>
      <c r="V448" s="44"/>
      <c r="W448" s="44" t="s">
        <v>2</v>
      </c>
      <c r="X448" s="44"/>
      <c r="Y448" s="44" t="s">
        <v>2</v>
      </c>
      <c r="Z448" s="44">
        <v>45000</v>
      </c>
      <c r="AA448" s="44" t="s">
        <v>2</v>
      </c>
      <c r="AB448" s="44"/>
      <c r="AC448" s="51">
        <v>45028</v>
      </c>
      <c r="AD448" s="50">
        <v>45141</v>
      </c>
      <c r="AE448" s="40" t="s">
        <v>2</v>
      </c>
      <c r="AF448" s="40" t="s">
        <v>2</v>
      </c>
      <c r="AG448" s="76" t="s">
        <v>5</v>
      </c>
      <c r="AH448" s="36" t="s">
        <v>0</v>
      </c>
      <c r="AI448" s="49">
        <v>0</v>
      </c>
      <c r="AJ448" s="36"/>
      <c r="AK448" s="10"/>
      <c r="AL448" s="36">
        <v>4746</v>
      </c>
      <c r="AM448" s="36" t="s">
        <v>1</v>
      </c>
      <c r="AN448" s="35" t="s">
        <v>1</v>
      </c>
      <c r="AO448" s="35" t="s">
        <v>1</v>
      </c>
      <c r="AP448" s="35" t="s">
        <v>2</v>
      </c>
      <c r="AQ448" s="35" t="s">
        <v>1</v>
      </c>
      <c r="AR448" s="34" t="s">
        <v>1</v>
      </c>
      <c r="AS448" s="33"/>
      <c r="AT448" s="32" t="s">
        <v>1</v>
      </c>
      <c r="AU448" s="55"/>
      <c r="AV448" s="32" t="s">
        <v>1</v>
      </c>
      <c r="AW448" s="55"/>
      <c r="AX448" s="30" t="s">
        <v>2</v>
      </c>
      <c r="AY448" s="55">
        <v>45141</v>
      </c>
      <c r="AZ448" s="30" t="s">
        <v>2</v>
      </c>
      <c r="BA448" s="55"/>
      <c r="BB448" s="74"/>
      <c r="BC448" s="25"/>
      <c r="BD448" s="24" t="s">
        <v>11</v>
      </c>
      <c r="BE448" s="24" t="s">
        <v>11</v>
      </c>
      <c r="BF448" s="24" t="s">
        <v>21</v>
      </c>
      <c r="BG448" s="24" t="s">
        <v>88</v>
      </c>
      <c r="BH448" s="130" t="s">
        <v>63</v>
      </c>
      <c r="BI448" s="24"/>
      <c r="BJ448" s="24" t="s">
        <v>11</v>
      </c>
      <c r="BK448" s="24" t="s">
        <v>11</v>
      </c>
      <c r="BL448" s="24" t="s">
        <v>11</v>
      </c>
      <c r="BM448" s="24" t="s">
        <v>11</v>
      </c>
      <c r="BN448" s="24" t="s">
        <v>11</v>
      </c>
      <c r="BO448" s="24" t="s">
        <v>11</v>
      </c>
      <c r="BP448" s="24" t="s">
        <v>11</v>
      </c>
      <c r="BQ448" s="22">
        <f>YEAR([1]!BANCO10[[#This Row],[DATA INÍCIO]])</f>
        <v>2023</v>
      </c>
      <c r="BR448" s="22">
        <f>MONTH([1]!BANCO10[[#This Row],[DATA INÍCIO]])</f>
        <v>4</v>
      </c>
      <c r="BS448" s="129" t="e">
        <f>CONCATENATE(#REF!,#REF!)</f>
        <v>#REF!</v>
      </c>
      <c r="BT448" s="22"/>
      <c r="BU448" s="21" t="s">
        <v>441</v>
      </c>
      <c r="BV448" s="21" t="str">
        <f>IF([1]!BANCO10[[#This Row],[SOLUÇÃO]]=BV$1,[1]!BANCO10[[#This Row],[STATUS DA ETAPA]],"")</f>
        <v/>
      </c>
      <c r="BW448" s="21" t="str">
        <f>IF([1]!BANCO10[[#This Row],[SOLUÇÃO]]=BW$1,[1]!BANCO10[[#This Row],[STATUS DA ETAPA]],"")</f>
        <v/>
      </c>
      <c r="BX448" s="21" t="str">
        <f>IF([1]!BANCO10[[#This Row],[SOLUÇÃO]]=BX$1,[1]!BANCO10[[#This Row],[STATUS DA ETAPA]],"")</f>
        <v/>
      </c>
      <c r="BY448" s="21" t="str">
        <f>IF([1]!BANCO10[[#This Row],[SOLUÇÃO]]=BY$1,[1]!BANCO10[[#This Row],[STATUS DA ETAPA]],"")</f>
        <v/>
      </c>
      <c r="BZ448" s="21" t="str">
        <f>IF([1]!BANCO10[[#This Row],[SOLUÇÃO]]=BZ$1,[1]!BANCO10[[#This Row],[STATUS DA ETAPA]],"")</f>
        <v/>
      </c>
      <c r="CA448" s="21" t="str">
        <f>IF([1]!BANCO10[[#This Row],[SOLUÇÃO]]=CA$1,[1]!BANCO10[[#This Row],[STATUS DA ETAPA]],"")</f>
        <v>CONCLUÍDO</v>
      </c>
      <c r="CB448" s="21" t="str">
        <f>IF([1]!BANCO10[[#This Row],[SOLUÇÃO]]=CB$1,[1]!BANCO10[[#This Row],[STATUS DA ETAPA]],"")</f>
        <v/>
      </c>
      <c r="CC448" s="21" t="str">
        <f>IF([1]!BANCO10[[#This Row],[SOLUÇÃO]]=CC$1,[1]!BANCO10[[#This Row],[STATUS DA ETAPA]],"")</f>
        <v/>
      </c>
      <c r="CD448" s="21" t="str">
        <f>IF([1]!BANCO10[[#This Row],[SOLUÇÃO]]=CD$1,[1]!BANCO10[[#This Row],[STATUS DA ETAPA]],"")</f>
        <v/>
      </c>
      <c r="CE448" s="21" t="str">
        <f>IF([1]!BANCO10[[#This Row],[SOLUÇÃO]]=CE$1,[1]!BANCO10[[#This Row],[STATUS DA ETAPA]],"")</f>
        <v/>
      </c>
      <c r="CF448" s="21" t="str">
        <f>IF([1]!BANCO10[[#This Row],[SOLUÇÃO]]=CF$1,[1]!BANCO10[[#This Row],[STATUS DA ETAPA]],"")</f>
        <v/>
      </c>
      <c r="CG448" s="21" t="str">
        <f>IF([1]!BANCO10[[#This Row],[SOLUÇÃO]]=CG$1,[1]!BANCO10[[#This Row],[STATUS DA ETAPA]],"")</f>
        <v/>
      </c>
      <c r="CH448" s="21" t="str">
        <f>IF([1]!BANCO10[[#This Row],[SOLUÇÃO]]=CH$1,[1]!BANCO10[[#This Row],[STATUS DA ETAPA]],"")</f>
        <v/>
      </c>
      <c r="CI448" s="21" t="str">
        <f>IF([1]!BANCO10[[#This Row],[SOLUÇÃO]]=CI$1,[1]!BANCO10[[#This Row],[STATUS DA ETAPA]],"")</f>
        <v/>
      </c>
      <c r="CJ448" s="21" t="str">
        <f>IF([1]!BANCO10[[#This Row],[SOLUÇÃO]]=CJ$1,[1]!BANCO10[[#This Row],[STATUS DA ETAPA]],"")</f>
        <v/>
      </c>
      <c r="CK448" s="21" t="str">
        <f>IF([1]!BANCO10[[#This Row],[SOLUÇÃO]]=CK$1,[1]!BANCO10[[#This Row],[STATUS DA ETAPA]],"")</f>
        <v/>
      </c>
      <c r="CL448" s="21" t="str">
        <f>IF([1]!BANCO10[[#This Row],[SOLUÇÃO]]=CL$1,[1]!BANCO10[[#This Row],[STATUS DA ETAPA]],"")</f>
        <v/>
      </c>
      <c r="CM448" s="21" t="str">
        <f>IF([1]!BANCO10[[#This Row],[SOLUÇÃO]]=CM$1,[1]!BANCO10[[#This Row],[STATUS DA ETAPA]],"")</f>
        <v/>
      </c>
      <c r="CN448" s="21" t="str">
        <f>IF([1]!BANCO10[[#This Row],[SOLUÇÃO]]=CN$1,[1]!BANCO10[[#This Row],[STATUS DA ETAPA]],"")</f>
        <v/>
      </c>
      <c r="CO448" s="21" t="str">
        <f>IF([1]!BANCO10[[#This Row],[SOLUÇÃO]]=CO$1,[1]!BANCO10[[#This Row],[STATUS DA ETAPA]],"")</f>
        <v/>
      </c>
      <c r="CP448" s="21" t="str">
        <f>IF([1]!BANCO10[[#This Row],[SOLUÇÃO]]=CP$1,[1]!BANCO10[[#This Row],[STATUS DA ETAPA]],"")</f>
        <v/>
      </c>
      <c r="CQ448" s="21" t="str">
        <f>IF([1]!BANCO10[[#This Row],[SOLUÇÃO]]=CQ$1,[1]!BANCO10[[#This Row],[STATUS DA ETAPA]],"")</f>
        <v/>
      </c>
      <c r="CR448" s="21" t="str">
        <f>IF([1]!BANCO10[[#This Row],[SOLUÇÃO]]=CR$1,[1]!BANCO10[[#This Row],[STATUS DA ETAPA]],"")</f>
        <v/>
      </c>
      <c r="CS448" s="21" t="str">
        <f>IF([1]!BANCO10[[#This Row],[SOLUÇÃO]]=CS$1,[1]!BANCO10[[#This Row],[STATUS DA ETAPA]],"")</f>
        <v/>
      </c>
      <c r="CT448" s="21" t="str">
        <f>IF([1]!BANCO10[[#This Row],[SOLUÇÃO]]=CT$1,[1]!BANCO10[[#This Row],[STATUS DA ETAPA]],"")</f>
        <v/>
      </c>
      <c r="CU448" s="21" t="str">
        <f>IF([1]!BANCO10[[#This Row],[SOLUÇÃO]]=CU$1,[1]!BANCO10[[#This Row],[STATUS DA ETAPA]],"")</f>
        <v/>
      </c>
      <c r="CV448" s="21" t="str">
        <f>IF([1]!BANCO10[[#This Row],[SOLUÇÃO]]=CV$1,[1]!BANCO10[[#This Row],[STATUS DA ETAPA]],"")</f>
        <v/>
      </c>
    </row>
    <row r="449" spans="1:100">
      <c r="A449" s="44" t="s">
        <v>1</v>
      </c>
      <c r="B449" s="44"/>
      <c r="C449" s="44" t="s">
        <v>1</v>
      </c>
      <c r="D449" s="44"/>
      <c r="E449" s="44" t="s">
        <v>1</v>
      </c>
      <c r="F449" s="44"/>
      <c r="G449" s="44" t="s">
        <v>1</v>
      </c>
      <c r="H449" s="44"/>
      <c r="I449" s="45" t="s">
        <v>1</v>
      </c>
      <c r="J449" s="46"/>
      <c r="K449" s="45" t="s">
        <v>1</v>
      </c>
      <c r="L449" s="33"/>
      <c r="M449" s="45" t="s">
        <v>1</v>
      </c>
      <c r="N449" s="33"/>
      <c r="O449" s="44" t="s">
        <v>1</v>
      </c>
      <c r="P449" s="44"/>
      <c r="Q449" s="44" t="s">
        <v>0</v>
      </c>
      <c r="R449" s="44"/>
      <c r="S449" s="44" t="s">
        <v>1</v>
      </c>
      <c r="T449" s="44"/>
      <c r="U449" s="44" t="s">
        <v>1</v>
      </c>
      <c r="V449" s="44"/>
      <c r="W449" s="44" t="s">
        <v>1</v>
      </c>
      <c r="X449" s="44"/>
      <c r="Y449" s="44" t="s">
        <v>1</v>
      </c>
      <c r="Z449" s="44"/>
      <c r="AA449" s="44" t="s">
        <v>1</v>
      </c>
      <c r="AB449" s="44"/>
      <c r="AC449" s="51">
        <v>45963</v>
      </c>
      <c r="AD449" s="50">
        <v>45963</v>
      </c>
      <c r="AE449" s="40" t="s">
        <v>1</v>
      </c>
      <c r="AF449" s="40" t="s">
        <v>1</v>
      </c>
      <c r="AG449" s="40" t="s">
        <v>1</v>
      </c>
      <c r="AH449" s="36" t="s">
        <v>1</v>
      </c>
      <c r="AI449" s="49">
        <v>0</v>
      </c>
      <c r="AJ449" s="36" t="s">
        <v>1</v>
      </c>
      <c r="AK449" s="10" t="s">
        <v>1</v>
      </c>
      <c r="AL449" s="36" t="s">
        <v>1</v>
      </c>
      <c r="AM449" s="36" t="s">
        <v>1</v>
      </c>
      <c r="AN449" s="35" t="s">
        <v>1</v>
      </c>
      <c r="AO449" s="35" t="s">
        <v>1</v>
      </c>
      <c r="AP449" s="35" t="s">
        <v>1</v>
      </c>
      <c r="AQ449" s="35" t="s">
        <v>1</v>
      </c>
      <c r="AR449" s="82" t="s">
        <v>1</v>
      </c>
      <c r="AS449" s="63"/>
      <c r="AT449" s="32" t="s">
        <v>1</v>
      </c>
      <c r="AU449" s="31"/>
      <c r="AV449" s="32" t="s">
        <v>1</v>
      </c>
      <c r="AW449" s="31"/>
      <c r="AX449" s="32" t="s">
        <v>1</v>
      </c>
      <c r="AY449" s="31"/>
      <c r="AZ449" s="32" t="s">
        <v>1</v>
      </c>
      <c r="BA449" s="31"/>
      <c r="BB449" s="74" t="s">
        <v>440</v>
      </c>
      <c r="BC449" s="25"/>
      <c r="BD449" s="24" t="s">
        <v>19</v>
      </c>
      <c r="BE449" s="24" t="s">
        <v>19</v>
      </c>
      <c r="BF449" s="24" t="s">
        <v>51</v>
      </c>
      <c r="BG449" s="24" t="s">
        <v>11</v>
      </c>
      <c r="BH449" s="130" t="s">
        <v>63</v>
      </c>
      <c r="BI449" s="24"/>
      <c r="BJ449" s="24" t="s">
        <v>11</v>
      </c>
      <c r="BK449" s="24" t="s">
        <v>11</v>
      </c>
      <c r="BL449" s="24" t="s">
        <v>11</v>
      </c>
      <c r="BM449" s="24" t="s">
        <v>11</v>
      </c>
      <c r="BN449" s="24" t="s">
        <v>11</v>
      </c>
      <c r="BO449" s="24" t="s">
        <v>11</v>
      </c>
      <c r="BP449" s="24" t="s">
        <v>11</v>
      </c>
      <c r="BQ449" s="22">
        <f>YEAR([1]!BANCO10[[#This Row],[DATA INÍCIO]])</f>
        <v>2025</v>
      </c>
      <c r="BR449" s="22">
        <f>MONTH([1]!BANCO10[[#This Row],[DATA INÍCIO]])</f>
        <v>11</v>
      </c>
      <c r="BS449" s="129" t="e">
        <f>CONCATENATE(#REF!,#REF!)</f>
        <v>#REF!</v>
      </c>
      <c r="BT449" s="22"/>
      <c r="BU449" s="21" t="s">
        <v>1</v>
      </c>
      <c r="BV449" s="21" t="str">
        <f>IF([1]!BANCO10[[#This Row],[SOLUÇÃO]]=BV$1,[1]!BANCO10[[#This Row],[STATUS DA ETAPA]],"")</f>
        <v>CANCELADO</v>
      </c>
      <c r="BW449" s="21" t="str">
        <f>IF([1]!BANCO10[[#This Row],[SOLUÇÃO]]=BW$1,[1]!BANCO10[[#This Row],[STATUS DA ETAPA]],"")</f>
        <v/>
      </c>
      <c r="BX449" s="21" t="str">
        <f>IF([1]!BANCO10[[#This Row],[SOLUÇÃO]]=BX$1,[1]!BANCO10[[#This Row],[STATUS DA ETAPA]],"")</f>
        <v/>
      </c>
      <c r="BY449" s="21" t="str">
        <f>IF([1]!BANCO10[[#This Row],[SOLUÇÃO]]=BY$1,[1]!BANCO10[[#This Row],[STATUS DA ETAPA]],"")</f>
        <v/>
      </c>
      <c r="BZ449" s="21" t="str">
        <f>IF([1]!BANCO10[[#This Row],[SOLUÇÃO]]=BZ$1,[1]!BANCO10[[#This Row],[STATUS DA ETAPA]],"")</f>
        <v/>
      </c>
      <c r="CA449" s="21" t="str">
        <f>IF([1]!BANCO10[[#This Row],[SOLUÇÃO]]=CA$1,[1]!BANCO10[[#This Row],[STATUS DA ETAPA]],"")</f>
        <v/>
      </c>
      <c r="CB449" s="21" t="str">
        <f>IF([1]!BANCO10[[#This Row],[SOLUÇÃO]]=CB$1,[1]!BANCO10[[#This Row],[STATUS DA ETAPA]],"")</f>
        <v/>
      </c>
      <c r="CC449" s="21" t="str">
        <f>IF([1]!BANCO10[[#This Row],[SOLUÇÃO]]=CC$1,[1]!BANCO10[[#This Row],[STATUS DA ETAPA]],"")</f>
        <v/>
      </c>
      <c r="CD449" s="21" t="str">
        <f>IF([1]!BANCO10[[#This Row],[SOLUÇÃO]]=CD$1,[1]!BANCO10[[#This Row],[STATUS DA ETAPA]],"")</f>
        <v/>
      </c>
      <c r="CE449" s="21" t="str">
        <f>IF([1]!BANCO10[[#This Row],[SOLUÇÃO]]=CE$1,[1]!BANCO10[[#This Row],[STATUS DA ETAPA]],"")</f>
        <v/>
      </c>
      <c r="CF449" s="21" t="str">
        <f>IF([1]!BANCO10[[#This Row],[SOLUÇÃO]]=CF$1,[1]!BANCO10[[#This Row],[STATUS DA ETAPA]],"")</f>
        <v/>
      </c>
      <c r="CG449" s="21" t="str">
        <f>IF([1]!BANCO10[[#This Row],[SOLUÇÃO]]=CG$1,[1]!BANCO10[[#This Row],[STATUS DA ETAPA]],"")</f>
        <v/>
      </c>
      <c r="CH449" s="21" t="str">
        <f>IF([1]!BANCO10[[#This Row],[SOLUÇÃO]]=CH$1,[1]!BANCO10[[#This Row],[STATUS DA ETAPA]],"")</f>
        <v/>
      </c>
      <c r="CI449" s="21" t="str">
        <f>IF([1]!BANCO10[[#This Row],[SOLUÇÃO]]=CI$1,[1]!BANCO10[[#This Row],[STATUS DA ETAPA]],"")</f>
        <v/>
      </c>
      <c r="CJ449" s="21" t="str">
        <f>IF([1]!BANCO10[[#This Row],[SOLUÇÃO]]=CJ$1,[1]!BANCO10[[#This Row],[STATUS DA ETAPA]],"")</f>
        <v/>
      </c>
      <c r="CK449" s="21" t="str">
        <f>IF([1]!BANCO10[[#This Row],[SOLUÇÃO]]=CK$1,[1]!BANCO10[[#This Row],[STATUS DA ETAPA]],"")</f>
        <v/>
      </c>
      <c r="CL449" s="21" t="str">
        <f>IF([1]!BANCO10[[#This Row],[SOLUÇÃO]]=CL$1,[1]!BANCO10[[#This Row],[STATUS DA ETAPA]],"")</f>
        <v/>
      </c>
      <c r="CM449" s="21" t="str">
        <f>IF([1]!BANCO10[[#This Row],[SOLUÇÃO]]=CM$1,[1]!BANCO10[[#This Row],[STATUS DA ETAPA]],"")</f>
        <v/>
      </c>
      <c r="CN449" s="21" t="str">
        <f>IF([1]!BANCO10[[#This Row],[SOLUÇÃO]]=CN$1,[1]!BANCO10[[#This Row],[STATUS DA ETAPA]],"")</f>
        <v/>
      </c>
      <c r="CO449" s="21" t="str">
        <f>IF([1]!BANCO10[[#This Row],[SOLUÇÃO]]=CO$1,[1]!BANCO10[[#This Row],[STATUS DA ETAPA]],"")</f>
        <v/>
      </c>
      <c r="CP449" s="21" t="str">
        <f>IF([1]!BANCO10[[#This Row],[SOLUÇÃO]]=CP$1,[1]!BANCO10[[#This Row],[STATUS DA ETAPA]],"")</f>
        <v/>
      </c>
      <c r="CQ449" s="21" t="str">
        <f>IF([1]!BANCO10[[#This Row],[SOLUÇÃO]]=CQ$1,[1]!BANCO10[[#This Row],[STATUS DA ETAPA]],"")</f>
        <v/>
      </c>
      <c r="CR449" s="21" t="str">
        <f>IF([1]!BANCO10[[#This Row],[SOLUÇÃO]]=CR$1,[1]!BANCO10[[#This Row],[STATUS DA ETAPA]],"")</f>
        <v/>
      </c>
      <c r="CS449" s="21" t="str">
        <f>IF([1]!BANCO10[[#This Row],[SOLUÇÃO]]=CS$1,[1]!BANCO10[[#This Row],[STATUS DA ETAPA]],"")</f>
        <v/>
      </c>
      <c r="CT449" s="21" t="str">
        <f>IF([1]!BANCO10[[#This Row],[SOLUÇÃO]]=CT$1,[1]!BANCO10[[#This Row],[STATUS DA ETAPA]],"")</f>
        <v/>
      </c>
      <c r="CU449" s="21" t="str">
        <f>IF([1]!BANCO10[[#This Row],[SOLUÇÃO]]=CU$1,[1]!BANCO10[[#This Row],[STATUS DA ETAPA]],"")</f>
        <v/>
      </c>
      <c r="CV449" s="21" t="str">
        <f>IF([1]!BANCO10[[#This Row],[SOLUÇÃO]]=CV$1,[1]!BANCO10[[#This Row],[STATUS DA ETAPA]],"")</f>
        <v/>
      </c>
    </row>
    <row r="450" spans="1:100">
      <c r="A450" s="44" t="s">
        <v>1</v>
      </c>
      <c r="B450" s="44"/>
      <c r="C450" s="44" t="s">
        <v>1</v>
      </c>
      <c r="D450" s="44"/>
      <c r="E450" s="44" t="s">
        <v>1</v>
      </c>
      <c r="F450" s="44"/>
      <c r="G450" s="44" t="s">
        <v>1</v>
      </c>
      <c r="H450" s="44"/>
      <c r="I450" s="45" t="s">
        <v>1</v>
      </c>
      <c r="J450" s="46"/>
      <c r="K450" s="45" t="s">
        <v>1</v>
      </c>
      <c r="L450" s="33"/>
      <c r="M450" s="45" t="s">
        <v>1</v>
      </c>
      <c r="N450" s="33"/>
      <c r="O450" s="44" t="s">
        <v>2</v>
      </c>
      <c r="P450" s="44">
        <v>44927</v>
      </c>
      <c r="Q450" s="44" t="s">
        <v>2</v>
      </c>
      <c r="R450" s="44">
        <v>44927</v>
      </c>
      <c r="S450" s="44" t="s">
        <v>2</v>
      </c>
      <c r="T450" s="44"/>
      <c r="U450" s="44" t="s">
        <v>2</v>
      </c>
      <c r="V450" s="44">
        <v>44927</v>
      </c>
      <c r="W450" s="44" t="s">
        <v>2</v>
      </c>
      <c r="X450" s="44">
        <v>44927</v>
      </c>
      <c r="Y450" s="44" t="s">
        <v>2</v>
      </c>
      <c r="Z450" s="44">
        <v>44927</v>
      </c>
      <c r="AA450" s="44" t="s">
        <v>1</v>
      </c>
      <c r="AB450" s="44"/>
      <c r="AC450" s="51">
        <v>45963</v>
      </c>
      <c r="AD450" s="50">
        <v>45963</v>
      </c>
      <c r="AE450" s="41" t="s">
        <v>1</v>
      </c>
      <c r="AF450" s="41" t="s">
        <v>1</v>
      </c>
      <c r="AG450" s="76" t="s">
        <v>5</v>
      </c>
      <c r="AH450" s="36" t="s">
        <v>0</v>
      </c>
      <c r="AI450" s="49">
        <v>0</v>
      </c>
      <c r="AJ450" s="36"/>
      <c r="AK450" s="10" t="s">
        <v>30</v>
      </c>
      <c r="AL450" s="36" t="s">
        <v>30</v>
      </c>
      <c r="AM450" s="36" t="s">
        <v>30</v>
      </c>
      <c r="AN450" s="35" t="s">
        <v>1</v>
      </c>
      <c r="AO450" s="35" t="s">
        <v>1</v>
      </c>
      <c r="AP450" s="35"/>
      <c r="AQ450" s="35" t="s">
        <v>1</v>
      </c>
      <c r="AR450" s="34" t="s">
        <v>1</v>
      </c>
      <c r="AS450" s="33"/>
      <c r="AT450" s="32"/>
      <c r="AU450" s="31"/>
      <c r="AV450" s="32"/>
      <c r="AW450" s="31"/>
      <c r="AX450" s="30" t="s">
        <v>0</v>
      </c>
      <c r="AY450" s="29"/>
      <c r="AZ450" s="28" t="s">
        <v>0</v>
      </c>
      <c r="BA450" s="27"/>
      <c r="BB450" s="74"/>
      <c r="BC450" s="25"/>
      <c r="BD450" s="24" t="s">
        <v>19</v>
      </c>
      <c r="BE450" s="24" t="s">
        <v>19</v>
      </c>
      <c r="BF450" s="24" t="s">
        <v>51</v>
      </c>
      <c r="BG450" s="24" t="s">
        <v>11</v>
      </c>
      <c r="BH450" s="130" t="s">
        <v>63</v>
      </c>
      <c r="BI450" s="24"/>
      <c r="BJ450" s="24" t="s">
        <v>11</v>
      </c>
      <c r="BK450" s="24" t="s">
        <v>11</v>
      </c>
      <c r="BL450" s="24">
        <v>45391</v>
      </c>
      <c r="BM450" s="24"/>
      <c r="BN450" s="24" t="s">
        <v>385</v>
      </c>
      <c r="BO450" s="24"/>
      <c r="BP450" s="24" t="s">
        <v>439</v>
      </c>
      <c r="BQ450" s="22">
        <f>YEAR([1]!BANCO10[[#This Row],[DATA INÍCIO]])</f>
        <v>2025</v>
      </c>
      <c r="BR450" s="22">
        <f>MONTH([1]!BANCO10[[#This Row],[DATA INÍCIO]])</f>
        <v>11</v>
      </c>
      <c r="BS450" s="129" t="e">
        <f>CONCATENATE(#REF!,#REF!)</f>
        <v>#REF!</v>
      </c>
      <c r="BT450" s="22"/>
      <c r="BU450" s="21" t="s">
        <v>30</v>
      </c>
      <c r="BV450" s="21" t="str">
        <f>IF([1]!BANCO10[[#This Row],[SOLUÇÃO]]=BV$1,[1]!BANCO10[[#This Row],[STATUS DA ETAPA]],"")</f>
        <v/>
      </c>
      <c r="BW450" s="21" t="str">
        <f>IF([1]!BANCO10[[#This Row],[SOLUÇÃO]]=BW$1,[1]!BANCO10[[#This Row],[STATUS DA ETAPA]],"")</f>
        <v/>
      </c>
      <c r="BX450" s="21" t="str">
        <f>IF([1]!BANCO10[[#This Row],[SOLUÇÃO]]=BX$1,[1]!BANCO10[[#This Row],[STATUS DA ETAPA]],"")</f>
        <v/>
      </c>
      <c r="BY450" s="21" t="str">
        <f>IF([1]!BANCO10[[#This Row],[SOLUÇÃO]]=BY$1,[1]!BANCO10[[#This Row],[STATUS DA ETAPA]],"")</f>
        <v/>
      </c>
      <c r="BZ450" s="21" t="str">
        <f>IF([1]!BANCO10[[#This Row],[SOLUÇÃO]]=BZ$1,[1]!BANCO10[[#This Row],[STATUS DA ETAPA]],"")</f>
        <v/>
      </c>
      <c r="CA450" s="21" t="str">
        <f>IF([1]!BANCO10[[#This Row],[SOLUÇÃO]]=CA$1,[1]!BANCO10[[#This Row],[STATUS DA ETAPA]],"")</f>
        <v>PROSPECÇÃO</v>
      </c>
      <c r="CB450" s="21" t="str">
        <f>IF([1]!BANCO10[[#This Row],[SOLUÇÃO]]=CB$1,[1]!BANCO10[[#This Row],[STATUS DA ETAPA]],"")</f>
        <v/>
      </c>
      <c r="CC450" s="21" t="str">
        <f>IF([1]!BANCO10[[#This Row],[SOLUÇÃO]]=CC$1,[1]!BANCO10[[#This Row],[STATUS DA ETAPA]],"")</f>
        <v/>
      </c>
      <c r="CD450" s="21" t="str">
        <f>IF([1]!BANCO10[[#This Row],[SOLUÇÃO]]=CD$1,[1]!BANCO10[[#This Row],[STATUS DA ETAPA]],"")</f>
        <v/>
      </c>
      <c r="CE450" s="21" t="str">
        <f>IF([1]!BANCO10[[#This Row],[SOLUÇÃO]]=CE$1,[1]!BANCO10[[#This Row],[STATUS DA ETAPA]],"")</f>
        <v/>
      </c>
      <c r="CF450" s="21" t="str">
        <f>IF([1]!BANCO10[[#This Row],[SOLUÇÃO]]=CF$1,[1]!BANCO10[[#This Row],[STATUS DA ETAPA]],"")</f>
        <v/>
      </c>
      <c r="CG450" s="21" t="str">
        <f>IF([1]!BANCO10[[#This Row],[SOLUÇÃO]]=CG$1,[1]!BANCO10[[#This Row],[STATUS DA ETAPA]],"")</f>
        <v/>
      </c>
      <c r="CH450" s="21" t="str">
        <f>IF([1]!BANCO10[[#This Row],[SOLUÇÃO]]=CH$1,[1]!BANCO10[[#This Row],[STATUS DA ETAPA]],"")</f>
        <v/>
      </c>
      <c r="CI450" s="21" t="str">
        <f>IF([1]!BANCO10[[#This Row],[SOLUÇÃO]]=CI$1,[1]!BANCO10[[#This Row],[STATUS DA ETAPA]],"")</f>
        <v/>
      </c>
      <c r="CJ450" s="21" t="str">
        <f>IF([1]!BANCO10[[#This Row],[SOLUÇÃO]]=CJ$1,[1]!BANCO10[[#This Row],[STATUS DA ETAPA]],"")</f>
        <v/>
      </c>
      <c r="CK450" s="21" t="str">
        <f>IF([1]!BANCO10[[#This Row],[SOLUÇÃO]]=CK$1,[1]!BANCO10[[#This Row],[STATUS DA ETAPA]],"")</f>
        <v/>
      </c>
      <c r="CL450" s="21" t="str">
        <f>IF([1]!BANCO10[[#This Row],[SOLUÇÃO]]=CL$1,[1]!BANCO10[[#This Row],[STATUS DA ETAPA]],"")</f>
        <v/>
      </c>
      <c r="CM450" s="21" t="str">
        <f>IF([1]!BANCO10[[#This Row],[SOLUÇÃO]]=CM$1,[1]!BANCO10[[#This Row],[STATUS DA ETAPA]],"")</f>
        <v/>
      </c>
      <c r="CN450" s="21" t="str">
        <f>IF([1]!BANCO10[[#This Row],[SOLUÇÃO]]=CN$1,[1]!BANCO10[[#This Row],[STATUS DA ETAPA]],"")</f>
        <v/>
      </c>
      <c r="CO450" s="21" t="str">
        <f>IF([1]!BANCO10[[#This Row],[SOLUÇÃO]]=CO$1,[1]!BANCO10[[#This Row],[STATUS DA ETAPA]],"")</f>
        <v/>
      </c>
      <c r="CP450" s="21" t="str">
        <f>IF([1]!BANCO10[[#This Row],[SOLUÇÃO]]=CP$1,[1]!BANCO10[[#This Row],[STATUS DA ETAPA]],"")</f>
        <v/>
      </c>
      <c r="CQ450" s="21" t="str">
        <f>IF([1]!BANCO10[[#This Row],[SOLUÇÃO]]=CQ$1,[1]!BANCO10[[#This Row],[STATUS DA ETAPA]],"")</f>
        <v/>
      </c>
      <c r="CR450" s="21" t="str">
        <f>IF([1]!BANCO10[[#This Row],[SOLUÇÃO]]=CR$1,[1]!BANCO10[[#This Row],[STATUS DA ETAPA]],"")</f>
        <v/>
      </c>
      <c r="CS450" s="21" t="str">
        <f>IF([1]!BANCO10[[#This Row],[SOLUÇÃO]]=CS$1,[1]!BANCO10[[#This Row],[STATUS DA ETAPA]],"")</f>
        <v/>
      </c>
      <c r="CT450" s="21" t="str">
        <f>IF([1]!BANCO10[[#This Row],[SOLUÇÃO]]=CT$1,[1]!BANCO10[[#This Row],[STATUS DA ETAPA]],"")</f>
        <v/>
      </c>
      <c r="CU450" s="21" t="str">
        <f>IF([1]!BANCO10[[#This Row],[SOLUÇÃO]]=CU$1,[1]!BANCO10[[#This Row],[STATUS DA ETAPA]],"")</f>
        <v/>
      </c>
      <c r="CV450" s="21" t="str">
        <f>IF([1]!BANCO10[[#This Row],[SOLUÇÃO]]=CV$1,[1]!BANCO10[[#This Row],[STATUS DA ETAPA]],"")</f>
        <v/>
      </c>
    </row>
    <row r="451" spans="1:100">
      <c r="A451" s="44" t="s">
        <v>1</v>
      </c>
      <c r="B451" s="44"/>
      <c r="C451" s="44" t="s">
        <v>1</v>
      </c>
      <c r="D451" s="44"/>
      <c r="E451" s="44" t="s">
        <v>1</v>
      </c>
      <c r="F451" s="44"/>
      <c r="G451" s="44" t="s">
        <v>1</v>
      </c>
      <c r="H451" s="44"/>
      <c r="I451" s="45" t="s">
        <v>1</v>
      </c>
      <c r="J451" s="46"/>
      <c r="K451" s="45" t="s">
        <v>1</v>
      </c>
      <c r="L451" s="33"/>
      <c r="M451" s="45" t="s">
        <v>1</v>
      </c>
      <c r="N451" s="33"/>
      <c r="O451" s="44" t="s">
        <v>2</v>
      </c>
      <c r="P451" s="44">
        <v>44927</v>
      </c>
      <c r="Q451" s="44"/>
      <c r="R451" s="44"/>
      <c r="S451" s="44"/>
      <c r="T451" s="44"/>
      <c r="U451" s="44" t="s">
        <v>1</v>
      </c>
      <c r="V451" s="44"/>
      <c r="W451" s="44" t="s">
        <v>1</v>
      </c>
      <c r="X451" s="44"/>
      <c r="Y451" s="44" t="s">
        <v>1</v>
      </c>
      <c r="Z451" s="44"/>
      <c r="AA451" s="44" t="s">
        <v>1</v>
      </c>
      <c r="AB451" s="44"/>
      <c r="AC451" s="51">
        <v>45247</v>
      </c>
      <c r="AD451" s="50">
        <v>45444</v>
      </c>
      <c r="AE451" s="40" t="s">
        <v>2</v>
      </c>
      <c r="AF451" s="40" t="s">
        <v>2</v>
      </c>
      <c r="AG451" s="76" t="s">
        <v>5</v>
      </c>
      <c r="AH451" s="36" t="s">
        <v>2</v>
      </c>
      <c r="AI451" s="49">
        <v>0</v>
      </c>
      <c r="AJ451" s="36" t="s">
        <v>1</v>
      </c>
      <c r="AK451" s="10" t="s">
        <v>1</v>
      </c>
      <c r="AL451" s="36" t="s">
        <v>1</v>
      </c>
      <c r="AM451" s="36" t="s">
        <v>1</v>
      </c>
      <c r="AN451" s="35" t="s">
        <v>1</v>
      </c>
      <c r="AO451" s="35" t="s">
        <v>1</v>
      </c>
      <c r="AP451" s="35" t="s">
        <v>2</v>
      </c>
      <c r="AQ451" s="35" t="s">
        <v>1</v>
      </c>
      <c r="AR451" s="34" t="s">
        <v>1</v>
      </c>
      <c r="AS451" s="33"/>
      <c r="AT451" s="30"/>
      <c r="AU451" s="55"/>
      <c r="AV451" s="30"/>
      <c r="AW451" s="55"/>
      <c r="AX451" s="30" t="s">
        <v>2</v>
      </c>
      <c r="AY451" s="55">
        <v>45444</v>
      </c>
      <c r="AZ451" s="30" t="s">
        <v>2</v>
      </c>
      <c r="BA451" s="55">
        <v>45630</v>
      </c>
      <c r="BB451" s="74" t="s">
        <v>438</v>
      </c>
      <c r="BC451" s="25"/>
      <c r="BD451" s="24" t="s">
        <v>11</v>
      </c>
      <c r="BE451" s="24" t="s">
        <v>11</v>
      </c>
      <c r="BF451" s="24" t="s">
        <v>11</v>
      </c>
      <c r="BG451" s="24" t="s">
        <v>11</v>
      </c>
      <c r="BH451" s="130" t="s">
        <v>11</v>
      </c>
      <c r="BI451" s="24"/>
      <c r="BJ451" s="24" t="s">
        <v>11</v>
      </c>
      <c r="BK451" s="24" t="s">
        <v>11</v>
      </c>
      <c r="BL451" s="24" t="s">
        <v>11</v>
      </c>
      <c r="BM451" s="24" t="s">
        <v>11</v>
      </c>
      <c r="BN451" s="24" t="s">
        <v>11</v>
      </c>
      <c r="BO451" s="24" t="s">
        <v>11</v>
      </c>
      <c r="BP451" s="24" t="s">
        <v>11</v>
      </c>
      <c r="BQ451" s="22">
        <f>YEAR([1]!BANCO10[[#This Row],[DATA INÍCIO]])</f>
        <v>2023</v>
      </c>
      <c r="BR451" s="22">
        <f>MONTH([1]!BANCO10[[#This Row],[DATA INÍCIO]])</f>
        <v>11</v>
      </c>
      <c r="BS451" s="129" t="e">
        <f>CONCATENATE(#REF!,#REF!)</f>
        <v>#REF!</v>
      </c>
      <c r="BT451" s="22"/>
      <c r="BU451" s="21" t="s">
        <v>437</v>
      </c>
      <c r="BV451" s="21" t="str">
        <f>IF([1]!BANCO10[[#This Row],[SOLUÇÃO]]=BV$1,[1]!BANCO10[[#This Row],[STATUS DA ETAPA]],"")</f>
        <v/>
      </c>
      <c r="BW451" s="21" t="str">
        <f>IF([1]!BANCO10[[#This Row],[SOLUÇÃO]]=BW$1,[1]!BANCO10[[#This Row],[STATUS DA ETAPA]],"")</f>
        <v/>
      </c>
      <c r="BX451" s="21" t="str">
        <f>IF([1]!BANCO10[[#This Row],[SOLUÇÃO]]=BX$1,[1]!BANCO10[[#This Row],[STATUS DA ETAPA]],"")</f>
        <v/>
      </c>
      <c r="BY451" s="21" t="str">
        <f>IF([1]!BANCO10[[#This Row],[SOLUÇÃO]]=BY$1,[1]!BANCO10[[#This Row],[STATUS DA ETAPA]],"")</f>
        <v/>
      </c>
      <c r="BZ451" s="21" t="str">
        <f>IF([1]!BANCO10[[#This Row],[SOLUÇÃO]]=BZ$1,[1]!BANCO10[[#This Row],[STATUS DA ETAPA]],"")</f>
        <v/>
      </c>
      <c r="CA451" s="21" t="str">
        <f>IF([1]!BANCO10[[#This Row],[SOLUÇÃO]]=CA$1,[1]!BANCO10[[#This Row],[STATUS DA ETAPA]],"")</f>
        <v>CONCLUÍDO</v>
      </c>
      <c r="CB451" s="21" t="str">
        <f>IF([1]!BANCO10[[#This Row],[SOLUÇÃO]]=CB$1,[1]!BANCO10[[#This Row],[STATUS DA ETAPA]],"")</f>
        <v/>
      </c>
      <c r="CC451" s="21" t="str">
        <f>IF([1]!BANCO10[[#This Row],[SOLUÇÃO]]=CC$1,[1]!BANCO10[[#This Row],[STATUS DA ETAPA]],"")</f>
        <v/>
      </c>
      <c r="CD451" s="21" t="str">
        <f>IF([1]!BANCO10[[#This Row],[SOLUÇÃO]]=CD$1,[1]!BANCO10[[#This Row],[STATUS DA ETAPA]],"")</f>
        <v/>
      </c>
      <c r="CE451" s="21" t="str">
        <f>IF([1]!BANCO10[[#This Row],[SOLUÇÃO]]=CE$1,[1]!BANCO10[[#This Row],[STATUS DA ETAPA]],"")</f>
        <v/>
      </c>
      <c r="CF451" s="21" t="str">
        <f>IF([1]!BANCO10[[#This Row],[SOLUÇÃO]]=CF$1,[1]!BANCO10[[#This Row],[STATUS DA ETAPA]],"")</f>
        <v/>
      </c>
      <c r="CG451" s="21" t="str">
        <f>IF([1]!BANCO10[[#This Row],[SOLUÇÃO]]=CG$1,[1]!BANCO10[[#This Row],[STATUS DA ETAPA]],"")</f>
        <v/>
      </c>
      <c r="CH451" s="21" t="str">
        <f>IF([1]!BANCO10[[#This Row],[SOLUÇÃO]]=CH$1,[1]!BANCO10[[#This Row],[STATUS DA ETAPA]],"")</f>
        <v/>
      </c>
      <c r="CI451" s="21" t="str">
        <f>IF([1]!BANCO10[[#This Row],[SOLUÇÃO]]=CI$1,[1]!BANCO10[[#This Row],[STATUS DA ETAPA]],"")</f>
        <v/>
      </c>
      <c r="CJ451" s="21" t="str">
        <f>IF([1]!BANCO10[[#This Row],[SOLUÇÃO]]=CJ$1,[1]!BANCO10[[#This Row],[STATUS DA ETAPA]],"")</f>
        <v/>
      </c>
      <c r="CK451" s="21" t="str">
        <f>IF([1]!BANCO10[[#This Row],[SOLUÇÃO]]=CK$1,[1]!BANCO10[[#This Row],[STATUS DA ETAPA]],"")</f>
        <v/>
      </c>
      <c r="CL451" s="21" t="str">
        <f>IF([1]!BANCO10[[#This Row],[SOLUÇÃO]]=CL$1,[1]!BANCO10[[#This Row],[STATUS DA ETAPA]],"")</f>
        <v/>
      </c>
      <c r="CM451" s="21" t="str">
        <f>IF([1]!BANCO10[[#This Row],[SOLUÇÃO]]=CM$1,[1]!BANCO10[[#This Row],[STATUS DA ETAPA]],"")</f>
        <v/>
      </c>
      <c r="CN451" s="21" t="str">
        <f>IF([1]!BANCO10[[#This Row],[SOLUÇÃO]]=CN$1,[1]!BANCO10[[#This Row],[STATUS DA ETAPA]],"")</f>
        <v/>
      </c>
      <c r="CO451" s="21" t="str">
        <f>IF([1]!BANCO10[[#This Row],[SOLUÇÃO]]=CO$1,[1]!BANCO10[[#This Row],[STATUS DA ETAPA]],"")</f>
        <v/>
      </c>
      <c r="CP451" s="21" t="str">
        <f>IF([1]!BANCO10[[#This Row],[SOLUÇÃO]]=CP$1,[1]!BANCO10[[#This Row],[STATUS DA ETAPA]],"")</f>
        <v/>
      </c>
      <c r="CQ451" s="21" t="str">
        <f>IF([1]!BANCO10[[#This Row],[SOLUÇÃO]]=CQ$1,[1]!BANCO10[[#This Row],[STATUS DA ETAPA]],"")</f>
        <v/>
      </c>
      <c r="CR451" s="21" t="str">
        <f>IF([1]!BANCO10[[#This Row],[SOLUÇÃO]]=CR$1,[1]!BANCO10[[#This Row],[STATUS DA ETAPA]],"")</f>
        <v/>
      </c>
      <c r="CS451" s="21" t="str">
        <f>IF([1]!BANCO10[[#This Row],[SOLUÇÃO]]=CS$1,[1]!BANCO10[[#This Row],[STATUS DA ETAPA]],"")</f>
        <v/>
      </c>
      <c r="CT451" s="21" t="str">
        <f>IF([1]!BANCO10[[#This Row],[SOLUÇÃO]]=CT$1,[1]!BANCO10[[#This Row],[STATUS DA ETAPA]],"")</f>
        <v/>
      </c>
      <c r="CU451" s="21" t="str">
        <f>IF([1]!BANCO10[[#This Row],[SOLUÇÃO]]=CU$1,[1]!BANCO10[[#This Row],[STATUS DA ETAPA]],"")</f>
        <v/>
      </c>
      <c r="CV451" s="21" t="str">
        <f>IF([1]!BANCO10[[#This Row],[SOLUÇÃO]]=CV$1,[1]!BANCO10[[#This Row],[STATUS DA ETAPA]],"")</f>
        <v/>
      </c>
    </row>
    <row r="452" spans="1:100">
      <c r="A452" s="44" t="s">
        <v>1</v>
      </c>
      <c r="B452" s="44"/>
      <c r="C452" s="44" t="s">
        <v>1</v>
      </c>
      <c r="D452" s="44"/>
      <c r="E452" s="44" t="s">
        <v>1</v>
      </c>
      <c r="F452" s="44"/>
      <c r="G452" s="44" t="s">
        <v>1</v>
      </c>
      <c r="H452" s="44"/>
      <c r="I452" s="45" t="s">
        <v>1</v>
      </c>
      <c r="J452" s="46"/>
      <c r="K452" s="45" t="s">
        <v>1</v>
      </c>
      <c r="L452" s="33"/>
      <c r="M452" s="45" t="s">
        <v>1</v>
      </c>
      <c r="N452" s="33"/>
      <c r="O452" s="44" t="s">
        <v>2</v>
      </c>
      <c r="P452" s="44">
        <v>45293</v>
      </c>
      <c r="Q452" s="44" t="s">
        <v>2</v>
      </c>
      <c r="R452" s="44">
        <v>45366</v>
      </c>
      <c r="S452" s="44" t="s">
        <v>2</v>
      </c>
      <c r="T452" s="44">
        <v>45366</v>
      </c>
      <c r="U452" s="44" t="s">
        <v>2</v>
      </c>
      <c r="V452" s="44">
        <v>45366</v>
      </c>
      <c r="W452" s="44" t="s">
        <v>2</v>
      </c>
      <c r="X452" s="44"/>
      <c r="Y452" s="44" t="s">
        <v>2</v>
      </c>
      <c r="Z452" s="44">
        <v>45366</v>
      </c>
      <c r="AA452" s="44" t="s">
        <v>2</v>
      </c>
      <c r="AB452" s="44"/>
      <c r="AC452" s="51">
        <v>45399</v>
      </c>
      <c r="AD452" s="50">
        <v>45488</v>
      </c>
      <c r="AE452" s="40" t="s">
        <v>2</v>
      </c>
      <c r="AF452" s="40" t="s">
        <v>2</v>
      </c>
      <c r="AG452" s="76" t="s">
        <v>5</v>
      </c>
      <c r="AH452" s="36" t="s">
        <v>0</v>
      </c>
      <c r="AI452" s="49">
        <v>0</v>
      </c>
      <c r="AJ452" s="36" t="s">
        <v>6</v>
      </c>
      <c r="AK452" s="10">
        <v>0</v>
      </c>
      <c r="AL452" s="36">
        <v>4744</v>
      </c>
      <c r="AM452" s="36">
        <v>0</v>
      </c>
      <c r="AN452" s="35" t="s">
        <v>1</v>
      </c>
      <c r="AO452" s="35" t="s">
        <v>1</v>
      </c>
      <c r="AP452" s="35" t="s">
        <v>2</v>
      </c>
      <c r="AQ452" s="35" t="s">
        <v>1</v>
      </c>
      <c r="AR452" s="34" t="s">
        <v>1</v>
      </c>
      <c r="AS452" s="33"/>
      <c r="AT452" s="30"/>
      <c r="AU452" s="55"/>
      <c r="AV452" s="30"/>
      <c r="AW452" s="55"/>
      <c r="AX452" s="30" t="s">
        <v>2</v>
      </c>
      <c r="AY452" s="55">
        <v>45478</v>
      </c>
      <c r="AZ452" s="30" t="s">
        <v>2</v>
      </c>
      <c r="BA452" s="55">
        <v>45485</v>
      </c>
      <c r="BB452" s="74"/>
      <c r="BC452" s="25"/>
      <c r="BD452" s="24" t="s">
        <v>11</v>
      </c>
      <c r="BE452" s="24" t="s">
        <v>11</v>
      </c>
      <c r="BF452" s="24" t="s">
        <v>11</v>
      </c>
      <c r="BG452" s="24" t="s">
        <v>11</v>
      </c>
      <c r="BH452" s="130" t="s">
        <v>11</v>
      </c>
      <c r="BI452" s="24"/>
      <c r="BJ452" s="24" t="s">
        <v>11</v>
      </c>
      <c r="BK452" s="24" t="s">
        <v>11</v>
      </c>
      <c r="BL452" s="24">
        <v>45391</v>
      </c>
      <c r="BM452" s="24" t="s">
        <v>18</v>
      </c>
      <c r="BN452" s="24" t="s">
        <v>11</v>
      </c>
      <c r="BO452" s="24"/>
      <c r="BP452" s="24" t="s">
        <v>436</v>
      </c>
      <c r="BQ452" s="22">
        <f>YEAR([1]!BANCO10[[#This Row],[DATA INÍCIO]])</f>
        <v>2024</v>
      </c>
      <c r="BR452" s="22">
        <f>MONTH([1]!BANCO10[[#This Row],[DATA INÍCIO]])</f>
        <v>4</v>
      </c>
      <c r="BS452" s="129" t="e">
        <f>CONCATENATE(#REF!,#REF!)</f>
        <v>#REF!</v>
      </c>
      <c r="BT452" s="22"/>
      <c r="BU452" s="21" t="s">
        <v>435</v>
      </c>
      <c r="BV452" s="21" t="str">
        <f>IF([1]!BANCO10[[#This Row],[SOLUÇÃO]]=BV$1,[1]!BANCO10[[#This Row],[STATUS DA ETAPA]],"")</f>
        <v/>
      </c>
      <c r="BW452" s="21" t="str">
        <f>IF([1]!BANCO10[[#This Row],[SOLUÇÃO]]=BW$1,[1]!BANCO10[[#This Row],[STATUS DA ETAPA]],"")</f>
        <v/>
      </c>
      <c r="BX452" s="21" t="str">
        <f>IF([1]!BANCO10[[#This Row],[SOLUÇÃO]]=BX$1,[1]!BANCO10[[#This Row],[STATUS DA ETAPA]],"")</f>
        <v/>
      </c>
      <c r="BY452" s="21" t="str">
        <f>IF([1]!BANCO10[[#This Row],[SOLUÇÃO]]=BY$1,[1]!BANCO10[[#This Row],[STATUS DA ETAPA]],"")</f>
        <v/>
      </c>
      <c r="BZ452" s="21" t="str">
        <f>IF([1]!BANCO10[[#This Row],[SOLUÇÃO]]=BZ$1,[1]!BANCO10[[#This Row],[STATUS DA ETAPA]],"")</f>
        <v/>
      </c>
      <c r="CA452" s="21" t="str">
        <f>IF([1]!BANCO10[[#This Row],[SOLUÇÃO]]=CA$1,[1]!BANCO10[[#This Row],[STATUS DA ETAPA]],"")</f>
        <v/>
      </c>
      <c r="CB452" s="21" t="str">
        <f>IF([1]!BANCO10[[#This Row],[SOLUÇÃO]]=CB$1,[1]!BANCO10[[#This Row],[STATUS DA ETAPA]],"")</f>
        <v/>
      </c>
      <c r="CC452" s="21" t="str">
        <f>IF([1]!BANCO10[[#This Row],[SOLUÇÃO]]=CC$1,[1]!BANCO10[[#This Row],[STATUS DA ETAPA]],"")</f>
        <v>CONCLUÍDO</v>
      </c>
      <c r="CD452" s="21" t="str">
        <f>IF([1]!BANCO10[[#This Row],[SOLUÇÃO]]=CD$1,[1]!BANCO10[[#This Row],[STATUS DA ETAPA]],"")</f>
        <v/>
      </c>
      <c r="CE452" s="21" t="str">
        <f>IF([1]!BANCO10[[#This Row],[SOLUÇÃO]]=CE$1,[1]!BANCO10[[#This Row],[STATUS DA ETAPA]],"")</f>
        <v/>
      </c>
      <c r="CF452" s="21" t="str">
        <f>IF([1]!BANCO10[[#This Row],[SOLUÇÃO]]=CF$1,[1]!BANCO10[[#This Row],[STATUS DA ETAPA]],"")</f>
        <v/>
      </c>
      <c r="CG452" s="21" t="str">
        <f>IF([1]!BANCO10[[#This Row],[SOLUÇÃO]]=CG$1,[1]!BANCO10[[#This Row],[STATUS DA ETAPA]],"")</f>
        <v/>
      </c>
      <c r="CH452" s="21" t="str">
        <f>IF([1]!BANCO10[[#This Row],[SOLUÇÃO]]=CH$1,[1]!BANCO10[[#This Row],[STATUS DA ETAPA]],"")</f>
        <v/>
      </c>
      <c r="CI452" s="21" t="str">
        <f>IF([1]!BANCO10[[#This Row],[SOLUÇÃO]]=CI$1,[1]!BANCO10[[#This Row],[STATUS DA ETAPA]],"")</f>
        <v/>
      </c>
      <c r="CJ452" s="21" t="str">
        <f>IF([1]!BANCO10[[#This Row],[SOLUÇÃO]]=CJ$1,[1]!BANCO10[[#This Row],[STATUS DA ETAPA]],"")</f>
        <v/>
      </c>
      <c r="CK452" s="21" t="str">
        <f>IF([1]!BANCO10[[#This Row],[SOLUÇÃO]]=CK$1,[1]!BANCO10[[#This Row],[STATUS DA ETAPA]],"")</f>
        <v/>
      </c>
      <c r="CL452" s="21" t="str">
        <f>IF([1]!BANCO10[[#This Row],[SOLUÇÃO]]=CL$1,[1]!BANCO10[[#This Row],[STATUS DA ETAPA]],"")</f>
        <v/>
      </c>
      <c r="CM452" s="21" t="str">
        <f>IF([1]!BANCO10[[#This Row],[SOLUÇÃO]]=CM$1,[1]!BANCO10[[#This Row],[STATUS DA ETAPA]],"")</f>
        <v/>
      </c>
      <c r="CN452" s="21" t="str">
        <f>IF([1]!BANCO10[[#This Row],[SOLUÇÃO]]=CN$1,[1]!BANCO10[[#This Row],[STATUS DA ETAPA]],"")</f>
        <v/>
      </c>
      <c r="CO452" s="21" t="str">
        <f>IF([1]!BANCO10[[#This Row],[SOLUÇÃO]]=CO$1,[1]!BANCO10[[#This Row],[STATUS DA ETAPA]],"")</f>
        <v/>
      </c>
      <c r="CP452" s="21" t="str">
        <f>IF([1]!BANCO10[[#This Row],[SOLUÇÃO]]=CP$1,[1]!BANCO10[[#This Row],[STATUS DA ETAPA]],"")</f>
        <v/>
      </c>
      <c r="CQ452" s="21" t="str">
        <f>IF([1]!BANCO10[[#This Row],[SOLUÇÃO]]=CQ$1,[1]!BANCO10[[#This Row],[STATUS DA ETAPA]],"")</f>
        <v/>
      </c>
      <c r="CR452" s="21" t="str">
        <f>IF([1]!BANCO10[[#This Row],[SOLUÇÃO]]=CR$1,[1]!BANCO10[[#This Row],[STATUS DA ETAPA]],"")</f>
        <v/>
      </c>
      <c r="CS452" s="21" t="str">
        <f>IF([1]!BANCO10[[#This Row],[SOLUÇÃO]]=CS$1,[1]!BANCO10[[#This Row],[STATUS DA ETAPA]],"")</f>
        <v/>
      </c>
      <c r="CT452" s="21" t="str">
        <f>IF([1]!BANCO10[[#This Row],[SOLUÇÃO]]=CT$1,[1]!BANCO10[[#This Row],[STATUS DA ETAPA]],"")</f>
        <v/>
      </c>
      <c r="CU452" s="21" t="str">
        <f>IF([1]!BANCO10[[#This Row],[SOLUÇÃO]]=CU$1,[1]!BANCO10[[#This Row],[STATUS DA ETAPA]],"")</f>
        <v/>
      </c>
      <c r="CV452" s="21" t="str">
        <f>IF([1]!BANCO10[[#This Row],[SOLUÇÃO]]=CV$1,[1]!BANCO10[[#This Row],[STATUS DA ETAPA]],"")</f>
        <v/>
      </c>
    </row>
    <row r="453" spans="1:100">
      <c r="A453" s="44" t="s">
        <v>1</v>
      </c>
      <c r="B453" s="44"/>
      <c r="C453" s="44" t="s">
        <v>1</v>
      </c>
      <c r="D453" s="44"/>
      <c r="E453" s="44" t="s">
        <v>1</v>
      </c>
      <c r="F453" s="44"/>
      <c r="G453" s="44" t="s">
        <v>1</v>
      </c>
      <c r="H453" s="44"/>
      <c r="I453" s="45" t="s">
        <v>1</v>
      </c>
      <c r="J453" s="46"/>
      <c r="K453" s="45" t="s">
        <v>1</v>
      </c>
      <c r="L453" s="33"/>
      <c r="M453" s="45" t="s">
        <v>1</v>
      </c>
      <c r="N453" s="33"/>
      <c r="O453" s="44" t="s">
        <v>2</v>
      </c>
      <c r="P453" s="44">
        <v>44927</v>
      </c>
      <c r="Q453" s="44" t="s">
        <v>1</v>
      </c>
      <c r="R453" s="44"/>
      <c r="S453" s="44" t="s">
        <v>1</v>
      </c>
      <c r="T453" s="44"/>
      <c r="U453" s="44" t="s">
        <v>1</v>
      </c>
      <c r="V453" s="44"/>
      <c r="W453" s="44" t="s">
        <v>1</v>
      </c>
      <c r="X453" s="44"/>
      <c r="Y453" s="44" t="s">
        <v>1</v>
      </c>
      <c r="Z453" s="44"/>
      <c r="AA453" s="44" t="s">
        <v>1</v>
      </c>
      <c r="AB453" s="44"/>
      <c r="AC453" s="51">
        <v>45274</v>
      </c>
      <c r="AD453" s="50">
        <v>45393</v>
      </c>
      <c r="AE453" s="40" t="s">
        <v>2</v>
      </c>
      <c r="AF453" s="40" t="s">
        <v>2</v>
      </c>
      <c r="AG453" s="76" t="s">
        <v>5</v>
      </c>
      <c r="AH453" s="36" t="s">
        <v>2</v>
      </c>
      <c r="AI453" s="49">
        <v>0</v>
      </c>
      <c r="AJ453" s="36" t="s">
        <v>1</v>
      </c>
      <c r="AK453" s="10" t="s">
        <v>1</v>
      </c>
      <c r="AL453" s="36" t="s">
        <v>1</v>
      </c>
      <c r="AM453" s="36" t="s">
        <v>1</v>
      </c>
      <c r="AN453" s="35" t="s">
        <v>1</v>
      </c>
      <c r="AO453" s="35" t="s">
        <v>1</v>
      </c>
      <c r="AP453" s="35" t="s">
        <v>2</v>
      </c>
      <c r="AQ453" s="35" t="s">
        <v>1</v>
      </c>
      <c r="AR453" s="34" t="s">
        <v>1</v>
      </c>
      <c r="AS453" s="33"/>
      <c r="AT453" s="30"/>
      <c r="AU453" s="55"/>
      <c r="AV453" s="30"/>
      <c r="AW453" s="55"/>
      <c r="AX453" s="30" t="s">
        <v>2</v>
      </c>
      <c r="AY453" s="55">
        <v>45393</v>
      </c>
      <c r="AZ453" s="30" t="s">
        <v>2</v>
      </c>
      <c r="BA453" s="55">
        <v>45393</v>
      </c>
      <c r="BB453" s="74" t="s">
        <v>434</v>
      </c>
      <c r="BC453" s="25"/>
      <c r="BD453" s="24" t="s">
        <v>11</v>
      </c>
      <c r="BE453" s="24" t="s">
        <v>11</v>
      </c>
      <c r="BF453" s="24" t="s">
        <v>11</v>
      </c>
      <c r="BG453" s="24" t="s">
        <v>11</v>
      </c>
      <c r="BH453" s="130" t="s">
        <v>11</v>
      </c>
      <c r="BI453" s="24"/>
      <c r="BJ453" s="24" t="s">
        <v>11</v>
      </c>
      <c r="BK453" s="24" t="s">
        <v>11</v>
      </c>
      <c r="BL453" s="24">
        <v>45391</v>
      </c>
      <c r="BM453" s="24" t="s">
        <v>11</v>
      </c>
      <c r="BN453" s="24" t="s">
        <v>11</v>
      </c>
      <c r="BO453" s="24"/>
      <c r="BP453" s="24" t="s">
        <v>433</v>
      </c>
      <c r="BQ453" s="22">
        <f>YEAR([1]!BANCO10[[#This Row],[DATA INÍCIO]])</f>
        <v>2023</v>
      </c>
      <c r="BR453" s="22">
        <f>MONTH([1]!BANCO10[[#This Row],[DATA INÍCIO]])</f>
        <v>12</v>
      </c>
      <c r="BS453" s="129" t="e">
        <f>CONCATENATE(#REF!,#REF!)</f>
        <v>#REF!</v>
      </c>
      <c r="BT453" s="22"/>
      <c r="BU453" s="21" t="s">
        <v>432</v>
      </c>
      <c r="BV453" s="21" t="str">
        <f>IF([1]!BANCO10[[#This Row],[SOLUÇÃO]]=BV$1,[1]!BANCO10[[#This Row],[STATUS DA ETAPA]],"")</f>
        <v/>
      </c>
      <c r="BW453" s="21" t="str">
        <f>IF([1]!BANCO10[[#This Row],[SOLUÇÃO]]=BW$1,[1]!BANCO10[[#This Row],[STATUS DA ETAPA]],"")</f>
        <v/>
      </c>
      <c r="BX453" s="21" t="str">
        <f>IF([1]!BANCO10[[#This Row],[SOLUÇÃO]]=BX$1,[1]!BANCO10[[#This Row],[STATUS DA ETAPA]],"")</f>
        <v/>
      </c>
      <c r="BY453" s="21" t="str">
        <f>IF([1]!BANCO10[[#This Row],[SOLUÇÃO]]=BY$1,[1]!BANCO10[[#This Row],[STATUS DA ETAPA]],"")</f>
        <v/>
      </c>
      <c r="BZ453" s="21" t="str">
        <f>IF([1]!BANCO10[[#This Row],[SOLUÇÃO]]=BZ$1,[1]!BANCO10[[#This Row],[STATUS DA ETAPA]],"")</f>
        <v/>
      </c>
      <c r="CA453" s="21" t="str">
        <f>IF([1]!BANCO10[[#This Row],[SOLUÇÃO]]=CA$1,[1]!BANCO10[[#This Row],[STATUS DA ETAPA]],"")</f>
        <v>CONCLUÍDO</v>
      </c>
      <c r="CB453" s="21" t="str">
        <f>IF([1]!BANCO10[[#This Row],[SOLUÇÃO]]=CB$1,[1]!BANCO10[[#This Row],[STATUS DA ETAPA]],"")</f>
        <v/>
      </c>
      <c r="CC453" s="21" t="str">
        <f>IF([1]!BANCO10[[#This Row],[SOLUÇÃO]]=CC$1,[1]!BANCO10[[#This Row],[STATUS DA ETAPA]],"")</f>
        <v/>
      </c>
      <c r="CD453" s="21" t="str">
        <f>IF([1]!BANCO10[[#This Row],[SOLUÇÃO]]=CD$1,[1]!BANCO10[[#This Row],[STATUS DA ETAPA]],"")</f>
        <v/>
      </c>
      <c r="CE453" s="21" t="str">
        <f>IF([1]!BANCO10[[#This Row],[SOLUÇÃO]]=CE$1,[1]!BANCO10[[#This Row],[STATUS DA ETAPA]],"")</f>
        <v/>
      </c>
      <c r="CF453" s="21" t="str">
        <f>IF([1]!BANCO10[[#This Row],[SOLUÇÃO]]=CF$1,[1]!BANCO10[[#This Row],[STATUS DA ETAPA]],"")</f>
        <v/>
      </c>
      <c r="CG453" s="21" t="str">
        <f>IF([1]!BANCO10[[#This Row],[SOLUÇÃO]]=CG$1,[1]!BANCO10[[#This Row],[STATUS DA ETAPA]],"")</f>
        <v/>
      </c>
      <c r="CH453" s="21" t="str">
        <f>IF([1]!BANCO10[[#This Row],[SOLUÇÃO]]=CH$1,[1]!BANCO10[[#This Row],[STATUS DA ETAPA]],"")</f>
        <v/>
      </c>
      <c r="CI453" s="21" t="str">
        <f>IF([1]!BANCO10[[#This Row],[SOLUÇÃO]]=CI$1,[1]!BANCO10[[#This Row],[STATUS DA ETAPA]],"")</f>
        <v/>
      </c>
      <c r="CJ453" s="21" t="str">
        <f>IF([1]!BANCO10[[#This Row],[SOLUÇÃO]]=CJ$1,[1]!BANCO10[[#This Row],[STATUS DA ETAPA]],"")</f>
        <v/>
      </c>
      <c r="CK453" s="21" t="str">
        <f>IF([1]!BANCO10[[#This Row],[SOLUÇÃO]]=CK$1,[1]!BANCO10[[#This Row],[STATUS DA ETAPA]],"")</f>
        <v/>
      </c>
      <c r="CL453" s="21" t="str">
        <f>IF([1]!BANCO10[[#This Row],[SOLUÇÃO]]=CL$1,[1]!BANCO10[[#This Row],[STATUS DA ETAPA]],"")</f>
        <v/>
      </c>
      <c r="CM453" s="21" t="str">
        <f>IF([1]!BANCO10[[#This Row],[SOLUÇÃO]]=CM$1,[1]!BANCO10[[#This Row],[STATUS DA ETAPA]],"")</f>
        <v/>
      </c>
      <c r="CN453" s="21" t="str">
        <f>IF([1]!BANCO10[[#This Row],[SOLUÇÃO]]=CN$1,[1]!BANCO10[[#This Row],[STATUS DA ETAPA]],"")</f>
        <v/>
      </c>
      <c r="CO453" s="21" t="str">
        <f>IF([1]!BANCO10[[#This Row],[SOLUÇÃO]]=CO$1,[1]!BANCO10[[#This Row],[STATUS DA ETAPA]],"")</f>
        <v/>
      </c>
      <c r="CP453" s="21" t="str">
        <f>IF([1]!BANCO10[[#This Row],[SOLUÇÃO]]=CP$1,[1]!BANCO10[[#This Row],[STATUS DA ETAPA]],"")</f>
        <v/>
      </c>
      <c r="CQ453" s="21" t="str">
        <f>IF([1]!BANCO10[[#This Row],[SOLUÇÃO]]=CQ$1,[1]!BANCO10[[#This Row],[STATUS DA ETAPA]],"")</f>
        <v/>
      </c>
      <c r="CR453" s="21" t="str">
        <f>IF([1]!BANCO10[[#This Row],[SOLUÇÃO]]=CR$1,[1]!BANCO10[[#This Row],[STATUS DA ETAPA]],"")</f>
        <v/>
      </c>
      <c r="CS453" s="21" t="str">
        <f>IF([1]!BANCO10[[#This Row],[SOLUÇÃO]]=CS$1,[1]!BANCO10[[#This Row],[STATUS DA ETAPA]],"")</f>
        <v/>
      </c>
      <c r="CT453" s="21" t="str">
        <f>IF([1]!BANCO10[[#This Row],[SOLUÇÃO]]=CT$1,[1]!BANCO10[[#This Row],[STATUS DA ETAPA]],"")</f>
        <v/>
      </c>
      <c r="CU453" s="21" t="str">
        <f>IF([1]!BANCO10[[#This Row],[SOLUÇÃO]]=CU$1,[1]!BANCO10[[#This Row],[STATUS DA ETAPA]],"")</f>
        <v/>
      </c>
      <c r="CV453" s="21" t="str">
        <f>IF([1]!BANCO10[[#This Row],[SOLUÇÃO]]=CV$1,[1]!BANCO10[[#This Row],[STATUS DA ETAPA]],"")</f>
        <v/>
      </c>
    </row>
    <row r="454" spans="1:100">
      <c r="A454" s="44" t="s">
        <v>1</v>
      </c>
      <c r="B454" s="44"/>
      <c r="C454" s="44" t="s">
        <v>1</v>
      </c>
      <c r="D454" s="44"/>
      <c r="E454" s="44" t="s">
        <v>1</v>
      </c>
      <c r="F454" s="44"/>
      <c r="G454" s="44" t="s">
        <v>1</v>
      </c>
      <c r="H454" s="44"/>
      <c r="I454" s="45" t="s">
        <v>1</v>
      </c>
      <c r="J454" s="46"/>
      <c r="K454" s="45" t="s">
        <v>1</v>
      </c>
      <c r="L454" s="33"/>
      <c r="M454" s="45" t="s">
        <v>1</v>
      </c>
      <c r="N454" s="33"/>
      <c r="O454" s="44" t="s">
        <v>2</v>
      </c>
      <c r="P454" s="44">
        <v>45310</v>
      </c>
      <c r="Q454" s="44" t="s">
        <v>2</v>
      </c>
      <c r="R454" s="44"/>
      <c r="S454" s="44" t="s">
        <v>2</v>
      </c>
      <c r="T454" s="44"/>
      <c r="U454" s="44" t="s">
        <v>2</v>
      </c>
      <c r="V454" s="44"/>
      <c r="W454" s="44" t="s">
        <v>2</v>
      </c>
      <c r="X454" s="44"/>
      <c r="Y454" s="44" t="s">
        <v>2</v>
      </c>
      <c r="Z454" s="44"/>
      <c r="AA454" s="44" t="s">
        <v>2</v>
      </c>
      <c r="AB454" s="44"/>
      <c r="AC454" s="84">
        <v>45439</v>
      </c>
      <c r="AD454" s="83">
        <v>45638</v>
      </c>
      <c r="AE454" s="40" t="s">
        <v>2</v>
      </c>
      <c r="AF454" s="40" t="s">
        <v>2</v>
      </c>
      <c r="AG454" s="76" t="s">
        <v>4</v>
      </c>
      <c r="AH454" s="36" t="s">
        <v>0</v>
      </c>
      <c r="AI454" s="49">
        <v>0</v>
      </c>
      <c r="AJ454" s="36" t="s">
        <v>6</v>
      </c>
      <c r="AK454" s="10" t="s">
        <v>30</v>
      </c>
      <c r="AL454" s="36" t="s">
        <v>89</v>
      </c>
      <c r="AM454" s="36" t="s">
        <v>30</v>
      </c>
      <c r="AN454" s="35" t="s">
        <v>1</v>
      </c>
      <c r="AO454" s="35" t="s">
        <v>1</v>
      </c>
      <c r="AP454" s="35" t="s">
        <v>2</v>
      </c>
      <c r="AQ454" s="35" t="s">
        <v>1</v>
      </c>
      <c r="AR454" s="34" t="s">
        <v>1</v>
      </c>
      <c r="AS454" s="33"/>
      <c r="AT454" s="28"/>
      <c r="AU454" s="55"/>
      <c r="AV454" s="28"/>
      <c r="AW454" s="55"/>
      <c r="AX454" s="28" t="s">
        <v>2</v>
      </c>
      <c r="AY454" s="55">
        <v>45639</v>
      </c>
      <c r="AZ454" s="30" t="s">
        <v>2</v>
      </c>
      <c r="BA454" s="55">
        <v>45630</v>
      </c>
      <c r="BB454" s="74" t="s">
        <v>181</v>
      </c>
      <c r="BC454" s="25"/>
      <c r="BD454" s="24" t="s">
        <v>11</v>
      </c>
      <c r="BE454" s="24" t="s">
        <v>11</v>
      </c>
      <c r="BF454" s="24" t="s">
        <v>11</v>
      </c>
      <c r="BG454" s="24" t="s">
        <v>11</v>
      </c>
      <c r="BH454" s="130" t="s">
        <v>11</v>
      </c>
      <c r="BI454" s="24"/>
      <c r="BJ454" s="24" t="s">
        <v>11</v>
      </c>
      <c r="BK454" s="24" t="s">
        <v>11</v>
      </c>
      <c r="BL454" s="24"/>
      <c r="BM454" s="24" t="s">
        <v>11</v>
      </c>
      <c r="BN454" s="24" t="s">
        <v>11</v>
      </c>
      <c r="BO454" s="24"/>
      <c r="BP454" s="24"/>
      <c r="BQ454" s="22"/>
      <c r="BR454" s="22"/>
      <c r="BS454" s="129" t="e">
        <f>CONCATENATE(#REF!,#REF!)</f>
        <v>#REF!</v>
      </c>
      <c r="BT454" s="22"/>
      <c r="BU454" s="21" t="s">
        <v>431</v>
      </c>
      <c r="BV454" s="21" t="str">
        <f>IF([1]!BANCO10[[#This Row],[SOLUÇÃO]]=BV$1,[1]!BANCO10[[#This Row],[STATUS DA ETAPA]],"")</f>
        <v/>
      </c>
      <c r="BW454" s="21" t="str">
        <f>IF([1]!BANCO10[[#This Row],[SOLUÇÃO]]=BW$1,[1]!BANCO10[[#This Row],[STATUS DA ETAPA]],"")</f>
        <v/>
      </c>
      <c r="BX454" s="21" t="str">
        <f>IF([1]!BANCO10[[#This Row],[SOLUÇÃO]]=BX$1,[1]!BANCO10[[#This Row],[STATUS DA ETAPA]],"")</f>
        <v>CONCLUÍDO</v>
      </c>
      <c r="BY454" s="21" t="str">
        <f>IF([1]!BANCO10[[#This Row],[SOLUÇÃO]]=BY$1,[1]!BANCO10[[#This Row],[STATUS DA ETAPA]],"")</f>
        <v/>
      </c>
      <c r="BZ454" s="21" t="str">
        <f>IF([1]!BANCO10[[#This Row],[SOLUÇÃO]]=BZ$1,[1]!BANCO10[[#This Row],[STATUS DA ETAPA]],"")</f>
        <v/>
      </c>
      <c r="CA454" s="21" t="str">
        <f>IF([1]!BANCO10[[#This Row],[SOLUÇÃO]]=CA$1,[1]!BANCO10[[#This Row],[STATUS DA ETAPA]],"")</f>
        <v/>
      </c>
      <c r="CB454" s="21" t="str">
        <f>IF([1]!BANCO10[[#This Row],[SOLUÇÃO]]=CB$1,[1]!BANCO10[[#This Row],[STATUS DA ETAPA]],"")</f>
        <v/>
      </c>
      <c r="CC454" s="21" t="str">
        <f>IF([1]!BANCO10[[#This Row],[SOLUÇÃO]]=CC$1,[1]!BANCO10[[#This Row],[STATUS DA ETAPA]],"")</f>
        <v/>
      </c>
      <c r="CD454" s="21" t="str">
        <f>IF([1]!BANCO10[[#This Row],[SOLUÇÃO]]=CD$1,[1]!BANCO10[[#This Row],[STATUS DA ETAPA]],"")</f>
        <v/>
      </c>
      <c r="CE454" s="21" t="str">
        <f>IF([1]!BANCO10[[#This Row],[SOLUÇÃO]]=CE$1,[1]!BANCO10[[#This Row],[STATUS DA ETAPA]],"")</f>
        <v/>
      </c>
      <c r="CF454" s="21" t="str">
        <f>IF([1]!BANCO10[[#This Row],[SOLUÇÃO]]=CF$1,[1]!BANCO10[[#This Row],[STATUS DA ETAPA]],"")</f>
        <v/>
      </c>
      <c r="CG454" s="21" t="str">
        <f>IF([1]!BANCO10[[#This Row],[SOLUÇÃO]]=CG$1,[1]!BANCO10[[#This Row],[STATUS DA ETAPA]],"")</f>
        <v/>
      </c>
      <c r="CH454" s="21" t="str">
        <f>IF([1]!BANCO10[[#This Row],[SOLUÇÃO]]=CH$1,[1]!BANCO10[[#This Row],[STATUS DA ETAPA]],"")</f>
        <v/>
      </c>
      <c r="CI454" s="21" t="str">
        <f>IF([1]!BANCO10[[#This Row],[SOLUÇÃO]]=CI$1,[1]!BANCO10[[#This Row],[STATUS DA ETAPA]],"")</f>
        <v/>
      </c>
      <c r="CJ454" s="21" t="str">
        <f>IF([1]!BANCO10[[#This Row],[SOLUÇÃO]]=CJ$1,[1]!BANCO10[[#This Row],[STATUS DA ETAPA]],"")</f>
        <v/>
      </c>
      <c r="CK454" s="21" t="str">
        <f>IF([1]!BANCO10[[#This Row],[SOLUÇÃO]]=CK$1,[1]!BANCO10[[#This Row],[STATUS DA ETAPA]],"")</f>
        <v/>
      </c>
      <c r="CL454" s="21" t="str">
        <f>IF([1]!BANCO10[[#This Row],[SOLUÇÃO]]=CL$1,[1]!BANCO10[[#This Row],[STATUS DA ETAPA]],"")</f>
        <v/>
      </c>
      <c r="CM454" s="21" t="str">
        <f>IF([1]!BANCO10[[#This Row],[SOLUÇÃO]]=CM$1,[1]!BANCO10[[#This Row],[STATUS DA ETAPA]],"")</f>
        <v/>
      </c>
      <c r="CN454" s="21" t="str">
        <f>IF([1]!BANCO10[[#This Row],[SOLUÇÃO]]=CN$1,[1]!BANCO10[[#This Row],[STATUS DA ETAPA]],"")</f>
        <v/>
      </c>
      <c r="CO454" s="21" t="str">
        <f>IF([1]!BANCO10[[#This Row],[SOLUÇÃO]]=CO$1,[1]!BANCO10[[#This Row],[STATUS DA ETAPA]],"")</f>
        <v/>
      </c>
      <c r="CP454" s="21" t="str">
        <f>IF([1]!BANCO10[[#This Row],[SOLUÇÃO]]=CP$1,[1]!BANCO10[[#This Row],[STATUS DA ETAPA]],"")</f>
        <v/>
      </c>
      <c r="CQ454" s="21" t="str">
        <f>IF([1]!BANCO10[[#This Row],[SOLUÇÃO]]=CQ$1,[1]!BANCO10[[#This Row],[STATUS DA ETAPA]],"")</f>
        <v/>
      </c>
      <c r="CR454" s="21" t="str">
        <f>IF([1]!BANCO10[[#This Row],[SOLUÇÃO]]=CR$1,[1]!BANCO10[[#This Row],[STATUS DA ETAPA]],"")</f>
        <v/>
      </c>
      <c r="CS454" s="21" t="str">
        <f>IF([1]!BANCO10[[#This Row],[SOLUÇÃO]]=CS$1,[1]!BANCO10[[#This Row],[STATUS DA ETAPA]],"")</f>
        <v/>
      </c>
      <c r="CT454" s="21" t="str">
        <f>IF([1]!BANCO10[[#This Row],[SOLUÇÃO]]=CT$1,[1]!BANCO10[[#This Row],[STATUS DA ETAPA]],"")</f>
        <v/>
      </c>
      <c r="CU454" s="21" t="str">
        <f>IF([1]!BANCO10[[#This Row],[SOLUÇÃO]]=CU$1,[1]!BANCO10[[#This Row],[STATUS DA ETAPA]],"")</f>
        <v/>
      </c>
      <c r="CV454" s="21" t="str">
        <f>IF([1]!BANCO10[[#This Row],[SOLUÇÃO]]=CV$1,[1]!BANCO10[[#This Row],[STATUS DA ETAPA]],"")</f>
        <v/>
      </c>
    </row>
    <row r="455" spans="1:100">
      <c r="A455" s="44" t="s">
        <v>1</v>
      </c>
      <c r="B455" s="44"/>
      <c r="C455" s="44" t="s">
        <v>1</v>
      </c>
      <c r="D455" s="44"/>
      <c r="E455" s="44" t="s">
        <v>1</v>
      </c>
      <c r="F455" s="44"/>
      <c r="G455" s="44" t="s">
        <v>1</v>
      </c>
      <c r="H455" s="44"/>
      <c r="I455" s="45" t="s">
        <v>1</v>
      </c>
      <c r="J455" s="46"/>
      <c r="K455" s="45" t="s">
        <v>1</v>
      </c>
      <c r="L455" s="33"/>
      <c r="M455" s="45" t="s">
        <v>1</v>
      </c>
      <c r="N455" s="33"/>
      <c r="O455" s="44" t="s">
        <v>1</v>
      </c>
      <c r="P455" s="44"/>
      <c r="Q455" s="44" t="s">
        <v>1</v>
      </c>
      <c r="R455" s="44"/>
      <c r="S455" s="44" t="s">
        <v>1</v>
      </c>
      <c r="T455" s="44"/>
      <c r="U455" s="44" t="s">
        <v>2</v>
      </c>
      <c r="V455" s="44">
        <v>45824</v>
      </c>
      <c r="W455" s="44" t="s">
        <v>2</v>
      </c>
      <c r="X455" s="44"/>
      <c r="Y455" s="44" t="s">
        <v>2</v>
      </c>
      <c r="Z455" s="44"/>
      <c r="AA455" s="44" t="s">
        <v>2</v>
      </c>
      <c r="AB455" s="44"/>
      <c r="AC455" s="51">
        <v>45855</v>
      </c>
      <c r="AD455" s="50">
        <v>45911</v>
      </c>
      <c r="AE455" s="68" t="s">
        <v>2</v>
      </c>
      <c r="AF455" s="68" t="s">
        <v>2</v>
      </c>
      <c r="AG455" s="76" t="s">
        <v>4</v>
      </c>
      <c r="AH455" s="36" t="s">
        <v>0</v>
      </c>
      <c r="AI455" s="49">
        <v>0</v>
      </c>
      <c r="AJ455" s="36" t="s">
        <v>6</v>
      </c>
      <c r="AK455" s="10" t="s">
        <v>430</v>
      </c>
      <c r="AL455" s="36">
        <v>0</v>
      </c>
      <c r="AM455" s="36">
        <v>0</v>
      </c>
      <c r="AN455" s="35" t="s">
        <v>1</v>
      </c>
      <c r="AO455" s="35" t="s">
        <v>1</v>
      </c>
      <c r="AP455" s="35" t="s">
        <v>2</v>
      </c>
      <c r="AQ455" s="35" t="s">
        <v>1</v>
      </c>
      <c r="AR455" s="34" t="s">
        <v>1</v>
      </c>
      <c r="AS455" s="33"/>
      <c r="AT455" s="32" t="s">
        <v>2</v>
      </c>
      <c r="AU455" s="31">
        <v>45915</v>
      </c>
      <c r="AV455" s="28" t="s">
        <v>0</v>
      </c>
      <c r="AW455" s="31"/>
      <c r="AX455" s="30" t="s">
        <v>0</v>
      </c>
      <c r="AY455" s="29"/>
      <c r="AZ455" s="28" t="s">
        <v>0</v>
      </c>
      <c r="BA455" s="27"/>
      <c r="BB455" s="39">
        <v>45835</v>
      </c>
      <c r="BC455" s="25" t="s">
        <v>127</v>
      </c>
      <c r="BD455" s="24"/>
      <c r="BE455" s="24"/>
      <c r="BF455" s="24"/>
      <c r="BG455" s="24"/>
      <c r="BH455" s="24"/>
      <c r="BI455" s="24"/>
      <c r="BJ455" s="24"/>
      <c r="BK455" s="24"/>
      <c r="BL455" s="24"/>
      <c r="BM455" s="24"/>
      <c r="BN455" s="24"/>
      <c r="BO455" s="24"/>
      <c r="BP455" s="24"/>
      <c r="BQ455" s="22">
        <f>YEAR([1]!BANCO10[[#This Row],[DATA INÍCIO]])</f>
        <v>2025</v>
      </c>
      <c r="BR455" s="22">
        <f>MONTH([1]!BANCO10[[#This Row],[DATA INÍCIO]])</f>
        <v>7</v>
      </c>
      <c r="BS455" s="23" t="e">
        <f>CONCATENATE(#REF!,#REF!)</f>
        <v>#REF!</v>
      </c>
      <c r="BT455" s="22"/>
      <c r="BU455" s="22"/>
      <c r="BV455" s="21" t="str">
        <f>IF([1]!BANCO10[[#This Row],[SOLUÇÃO]]=BV$1,[1]!BANCO10[[#This Row],[STATUS DA ETAPA]],"")</f>
        <v/>
      </c>
      <c r="BW455" s="21" t="str">
        <f>IF([1]!BANCO10[[#This Row],[SOLUÇÃO]]=BW$1,[1]!BANCO10[[#This Row],[STATUS DA ETAPA]],"")</f>
        <v/>
      </c>
      <c r="BX455" s="21" t="str">
        <f>IF([1]!BANCO10[[#This Row],[SOLUÇÃO]]=BX$1,[1]!BANCO10[[#This Row],[STATUS DA ETAPA]],"")</f>
        <v>CONCLUÍDO</v>
      </c>
      <c r="BY455" s="21" t="str">
        <f>IF([1]!BANCO10[[#This Row],[SOLUÇÃO]]=BY$1,[1]!BANCO10[[#This Row],[STATUS DA ETAPA]],"")</f>
        <v/>
      </c>
      <c r="BZ455" s="21" t="str">
        <f>IF([1]!BANCO10[[#This Row],[SOLUÇÃO]]=BZ$1,[1]!BANCO10[[#This Row],[STATUS DA ETAPA]],"")</f>
        <v/>
      </c>
      <c r="CA455" s="21" t="str">
        <f>IF([1]!BANCO10[[#This Row],[SOLUÇÃO]]=CA$1,[1]!BANCO10[[#This Row],[STATUS DA ETAPA]],"")</f>
        <v/>
      </c>
      <c r="CB455" s="21" t="str">
        <f>IF([1]!BANCO10[[#This Row],[SOLUÇÃO]]=CB$1,[1]!BANCO10[[#This Row],[STATUS DA ETAPA]],"")</f>
        <v/>
      </c>
      <c r="CC455" s="21" t="str">
        <f>IF([1]!BANCO10[[#This Row],[SOLUÇÃO]]=CC$1,[1]!BANCO10[[#This Row],[STATUS DA ETAPA]],"")</f>
        <v/>
      </c>
      <c r="CD455" s="21" t="str">
        <f>IF([1]!BANCO10[[#This Row],[SOLUÇÃO]]=CD$1,[1]!BANCO10[[#This Row],[STATUS DA ETAPA]],"")</f>
        <v/>
      </c>
      <c r="CE455" s="21" t="str">
        <f>IF([1]!BANCO10[[#This Row],[SOLUÇÃO]]=CE$1,[1]!BANCO10[[#This Row],[STATUS DA ETAPA]],"")</f>
        <v/>
      </c>
      <c r="CF455" s="21" t="str">
        <f>IF([1]!BANCO10[[#This Row],[SOLUÇÃO]]=CF$1,[1]!BANCO10[[#This Row],[STATUS DA ETAPA]],"")</f>
        <v/>
      </c>
      <c r="CG455" s="21" t="str">
        <f>IF([1]!BANCO10[[#This Row],[SOLUÇÃO]]=CG$1,[1]!BANCO10[[#This Row],[STATUS DA ETAPA]],"")</f>
        <v/>
      </c>
      <c r="CH455" s="21" t="str">
        <f>IF([1]!BANCO10[[#This Row],[SOLUÇÃO]]=CH$1,[1]!BANCO10[[#This Row],[STATUS DA ETAPA]],"")</f>
        <v/>
      </c>
      <c r="CI455" s="21" t="str">
        <f>IF([1]!BANCO10[[#This Row],[SOLUÇÃO]]=CI$1,[1]!BANCO10[[#This Row],[STATUS DA ETAPA]],"")</f>
        <v/>
      </c>
      <c r="CJ455" s="21" t="str">
        <f>IF([1]!BANCO10[[#This Row],[SOLUÇÃO]]=CJ$1,[1]!BANCO10[[#This Row],[STATUS DA ETAPA]],"")</f>
        <v/>
      </c>
      <c r="CK455" s="21" t="str">
        <f>IF([1]!BANCO10[[#This Row],[SOLUÇÃO]]=CK$1,[1]!BANCO10[[#This Row],[STATUS DA ETAPA]],"")</f>
        <v/>
      </c>
      <c r="CL455" s="21" t="str">
        <f>IF([1]!BANCO10[[#This Row],[SOLUÇÃO]]=CL$1,[1]!BANCO10[[#This Row],[STATUS DA ETAPA]],"")</f>
        <v/>
      </c>
      <c r="CM455" s="21" t="str">
        <f>IF([1]!BANCO10[[#This Row],[SOLUÇÃO]]=CM$1,[1]!BANCO10[[#This Row],[STATUS DA ETAPA]],"")</f>
        <v/>
      </c>
      <c r="CN455" s="21" t="str">
        <f>IF([1]!BANCO10[[#This Row],[SOLUÇÃO]]=CN$1,[1]!BANCO10[[#This Row],[STATUS DA ETAPA]],"")</f>
        <v/>
      </c>
      <c r="CO455" s="21" t="str">
        <f>IF([1]!BANCO10[[#This Row],[SOLUÇÃO]]=CO$1,[1]!BANCO10[[#This Row],[STATUS DA ETAPA]],"")</f>
        <v/>
      </c>
      <c r="CP455" s="21" t="str">
        <f>IF([1]!BANCO10[[#This Row],[SOLUÇÃO]]=CP$1,[1]!BANCO10[[#This Row],[STATUS DA ETAPA]],"")</f>
        <v/>
      </c>
      <c r="CQ455" s="21" t="str">
        <f>IF([1]!BANCO10[[#This Row],[SOLUÇÃO]]=CQ$1,[1]!BANCO10[[#This Row],[STATUS DA ETAPA]],"")</f>
        <v/>
      </c>
      <c r="CR455" s="21" t="str">
        <f>IF([1]!BANCO10[[#This Row],[SOLUÇÃO]]=CR$1,[1]!BANCO10[[#This Row],[STATUS DA ETAPA]],"")</f>
        <v/>
      </c>
      <c r="CS455" s="21" t="str">
        <f>IF([1]!BANCO10[[#This Row],[SOLUÇÃO]]=CS$1,[1]!BANCO10[[#This Row],[STATUS DA ETAPA]],"")</f>
        <v/>
      </c>
      <c r="CT455" s="21" t="str">
        <f>IF([1]!BANCO10[[#This Row],[SOLUÇÃO]]=CT$1,[1]!BANCO10[[#This Row],[STATUS DA ETAPA]],"")</f>
        <v/>
      </c>
      <c r="CU455" s="21" t="str">
        <f>IF([1]!BANCO10[[#This Row],[SOLUÇÃO]]=CU$1,[1]!BANCO10[[#This Row],[STATUS DA ETAPA]],"")</f>
        <v/>
      </c>
      <c r="CV455" s="21" t="str">
        <f>IF([1]!BANCO10[[#This Row],[SOLUÇÃO]]=CV$1,[1]!BANCO10[[#This Row],[STATUS DA ETAPA]],"")</f>
        <v/>
      </c>
    </row>
    <row r="456" spans="1:100">
      <c r="A456" s="44" t="s">
        <v>1</v>
      </c>
      <c r="B456" s="44"/>
      <c r="C456" s="44" t="s">
        <v>1</v>
      </c>
      <c r="D456" s="44"/>
      <c r="E456" s="44" t="s">
        <v>1</v>
      </c>
      <c r="F456" s="44"/>
      <c r="G456" s="44" t="s">
        <v>1</v>
      </c>
      <c r="H456" s="44"/>
      <c r="I456" s="45" t="s">
        <v>1</v>
      </c>
      <c r="J456" s="46"/>
      <c r="K456" s="45" t="s">
        <v>1</v>
      </c>
      <c r="L456" s="33"/>
      <c r="M456" s="45" t="s">
        <v>1</v>
      </c>
      <c r="N456" s="33"/>
      <c r="O456" s="44" t="s">
        <v>1</v>
      </c>
      <c r="P456" s="44"/>
      <c r="Q456" s="44" t="s">
        <v>1</v>
      </c>
      <c r="R456" s="44"/>
      <c r="S456" s="44" t="s">
        <v>1</v>
      </c>
      <c r="T456" s="44"/>
      <c r="U456" s="44" t="s">
        <v>1</v>
      </c>
      <c r="V456" s="44"/>
      <c r="W456" s="44" t="s">
        <v>1</v>
      </c>
      <c r="X456" s="44"/>
      <c r="Y456" s="44" t="s">
        <v>1</v>
      </c>
      <c r="Z456" s="44"/>
      <c r="AA456" s="44" t="s">
        <v>1</v>
      </c>
      <c r="AB456" s="44"/>
      <c r="AC456" s="51">
        <v>45390</v>
      </c>
      <c r="AD456" s="50">
        <v>45390</v>
      </c>
      <c r="AE456" s="40" t="s">
        <v>1</v>
      </c>
      <c r="AF456" s="40" t="s">
        <v>1</v>
      </c>
      <c r="AG456" s="76" t="s">
        <v>5</v>
      </c>
      <c r="AH456" s="36" t="s">
        <v>1</v>
      </c>
      <c r="AI456" s="49">
        <v>0</v>
      </c>
      <c r="AJ456" s="36" t="s">
        <v>1</v>
      </c>
      <c r="AK456" s="10" t="s">
        <v>1</v>
      </c>
      <c r="AL456" s="36" t="s">
        <v>1</v>
      </c>
      <c r="AM456" s="36" t="s">
        <v>1</v>
      </c>
      <c r="AN456" s="35" t="s">
        <v>1</v>
      </c>
      <c r="AO456" s="35" t="s">
        <v>1</v>
      </c>
      <c r="AP456" s="35" t="s">
        <v>1</v>
      </c>
      <c r="AQ456" s="35" t="s">
        <v>1</v>
      </c>
      <c r="AR456" s="82" t="s">
        <v>1</v>
      </c>
      <c r="AS456" s="33"/>
      <c r="AT456" s="30"/>
      <c r="AU456" s="55"/>
      <c r="AV456" s="30"/>
      <c r="AW456" s="55"/>
      <c r="AX456" s="30" t="s">
        <v>1</v>
      </c>
      <c r="AY456" s="55"/>
      <c r="AZ456" s="30" t="s">
        <v>1</v>
      </c>
      <c r="BA456" s="55"/>
      <c r="BB456" s="74"/>
      <c r="BC456" s="25"/>
      <c r="BD456" s="24" t="s">
        <v>11</v>
      </c>
      <c r="BE456" s="24" t="s">
        <v>11</v>
      </c>
      <c r="BF456" s="24" t="s">
        <v>11</v>
      </c>
      <c r="BG456" s="24" t="s">
        <v>11</v>
      </c>
      <c r="BH456" s="130" t="s">
        <v>11</v>
      </c>
      <c r="BI456" s="24"/>
      <c r="BJ456" s="24" t="s">
        <v>11</v>
      </c>
      <c r="BK456" s="24" t="s">
        <v>11</v>
      </c>
      <c r="BL456" s="24" t="s">
        <v>11</v>
      </c>
      <c r="BM456" s="24" t="s">
        <v>11</v>
      </c>
      <c r="BN456" s="24" t="s">
        <v>11</v>
      </c>
      <c r="BO456" s="24" t="s">
        <v>11</v>
      </c>
      <c r="BP456" s="24" t="s">
        <v>11</v>
      </c>
      <c r="BQ456" s="22">
        <f>YEAR([1]!BANCO10[[#This Row],[DATA INÍCIO]])</f>
        <v>2024</v>
      </c>
      <c r="BR456" s="22">
        <f>MONTH([1]!BANCO10[[#This Row],[DATA INÍCIO]])</f>
        <v>4</v>
      </c>
      <c r="BS456" s="129" t="e">
        <f>CONCATENATE(#REF!,#REF!)</f>
        <v>#REF!</v>
      </c>
      <c r="BT456" s="22"/>
      <c r="BU456" s="21" t="s">
        <v>429</v>
      </c>
      <c r="BV456" s="21" t="str">
        <f>IF([1]!BANCO10[[#This Row],[SOLUÇÃO]]=BV$1,[1]!BANCO10[[#This Row],[STATUS DA ETAPA]],"")</f>
        <v>CONCLUÍDO</v>
      </c>
      <c r="BW456" s="21" t="str">
        <f>IF([1]!BANCO10[[#This Row],[SOLUÇÃO]]=BW$1,[1]!BANCO10[[#This Row],[STATUS DA ETAPA]],"")</f>
        <v/>
      </c>
      <c r="BX456" s="21" t="str">
        <f>IF([1]!BANCO10[[#This Row],[SOLUÇÃO]]=BX$1,[1]!BANCO10[[#This Row],[STATUS DA ETAPA]],"")</f>
        <v/>
      </c>
      <c r="BY456" s="21" t="str">
        <f>IF([1]!BANCO10[[#This Row],[SOLUÇÃO]]=BY$1,[1]!BANCO10[[#This Row],[STATUS DA ETAPA]],"")</f>
        <v/>
      </c>
      <c r="BZ456" s="21" t="str">
        <f>IF([1]!BANCO10[[#This Row],[SOLUÇÃO]]=BZ$1,[1]!BANCO10[[#This Row],[STATUS DA ETAPA]],"")</f>
        <v/>
      </c>
      <c r="CA456" s="21" t="str">
        <f>IF([1]!BANCO10[[#This Row],[SOLUÇÃO]]=CA$1,[1]!BANCO10[[#This Row],[STATUS DA ETAPA]],"")</f>
        <v/>
      </c>
      <c r="CB456" s="21" t="str">
        <f>IF([1]!BANCO10[[#This Row],[SOLUÇÃO]]=CB$1,[1]!BANCO10[[#This Row],[STATUS DA ETAPA]],"")</f>
        <v/>
      </c>
      <c r="CC456" s="21" t="str">
        <f>IF([1]!BANCO10[[#This Row],[SOLUÇÃO]]=CC$1,[1]!BANCO10[[#This Row],[STATUS DA ETAPA]],"")</f>
        <v/>
      </c>
      <c r="CD456" s="21" t="str">
        <f>IF([1]!BANCO10[[#This Row],[SOLUÇÃO]]=CD$1,[1]!BANCO10[[#This Row],[STATUS DA ETAPA]],"")</f>
        <v/>
      </c>
      <c r="CE456" s="21" t="str">
        <f>IF([1]!BANCO10[[#This Row],[SOLUÇÃO]]=CE$1,[1]!BANCO10[[#This Row],[STATUS DA ETAPA]],"")</f>
        <v/>
      </c>
      <c r="CF456" s="21" t="str">
        <f>IF([1]!BANCO10[[#This Row],[SOLUÇÃO]]=CF$1,[1]!BANCO10[[#This Row],[STATUS DA ETAPA]],"")</f>
        <v/>
      </c>
      <c r="CG456" s="21" t="str">
        <f>IF([1]!BANCO10[[#This Row],[SOLUÇÃO]]=CG$1,[1]!BANCO10[[#This Row],[STATUS DA ETAPA]],"")</f>
        <v/>
      </c>
      <c r="CH456" s="21" t="str">
        <f>IF([1]!BANCO10[[#This Row],[SOLUÇÃO]]=CH$1,[1]!BANCO10[[#This Row],[STATUS DA ETAPA]],"")</f>
        <v/>
      </c>
      <c r="CI456" s="21" t="str">
        <f>IF([1]!BANCO10[[#This Row],[SOLUÇÃO]]=CI$1,[1]!BANCO10[[#This Row],[STATUS DA ETAPA]],"")</f>
        <v/>
      </c>
      <c r="CJ456" s="21" t="str">
        <f>IF([1]!BANCO10[[#This Row],[SOLUÇÃO]]=CJ$1,[1]!BANCO10[[#This Row],[STATUS DA ETAPA]],"")</f>
        <v/>
      </c>
      <c r="CK456" s="21" t="str">
        <f>IF([1]!BANCO10[[#This Row],[SOLUÇÃO]]=CK$1,[1]!BANCO10[[#This Row],[STATUS DA ETAPA]],"")</f>
        <v/>
      </c>
      <c r="CL456" s="21" t="str">
        <f>IF([1]!BANCO10[[#This Row],[SOLUÇÃO]]=CL$1,[1]!BANCO10[[#This Row],[STATUS DA ETAPA]],"")</f>
        <v/>
      </c>
      <c r="CM456" s="21" t="str">
        <f>IF([1]!BANCO10[[#This Row],[SOLUÇÃO]]=CM$1,[1]!BANCO10[[#This Row],[STATUS DA ETAPA]],"")</f>
        <v/>
      </c>
      <c r="CN456" s="21" t="str">
        <f>IF([1]!BANCO10[[#This Row],[SOLUÇÃO]]=CN$1,[1]!BANCO10[[#This Row],[STATUS DA ETAPA]],"")</f>
        <v/>
      </c>
      <c r="CO456" s="21" t="str">
        <f>IF([1]!BANCO10[[#This Row],[SOLUÇÃO]]=CO$1,[1]!BANCO10[[#This Row],[STATUS DA ETAPA]],"")</f>
        <v/>
      </c>
      <c r="CP456" s="21" t="str">
        <f>IF([1]!BANCO10[[#This Row],[SOLUÇÃO]]=CP$1,[1]!BANCO10[[#This Row],[STATUS DA ETAPA]],"")</f>
        <v/>
      </c>
      <c r="CQ456" s="21" t="str">
        <f>IF([1]!BANCO10[[#This Row],[SOLUÇÃO]]=CQ$1,[1]!BANCO10[[#This Row],[STATUS DA ETAPA]],"")</f>
        <v/>
      </c>
      <c r="CR456" s="21" t="str">
        <f>IF([1]!BANCO10[[#This Row],[SOLUÇÃO]]=CR$1,[1]!BANCO10[[#This Row],[STATUS DA ETAPA]],"")</f>
        <v/>
      </c>
      <c r="CS456" s="21" t="str">
        <f>IF([1]!BANCO10[[#This Row],[SOLUÇÃO]]=CS$1,[1]!BANCO10[[#This Row],[STATUS DA ETAPA]],"")</f>
        <v/>
      </c>
      <c r="CT456" s="21" t="str">
        <f>IF([1]!BANCO10[[#This Row],[SOLUÇÃO]]=CT$1,[1]!BANCO10[[#This Row],[STATUS DA ETAPA]],"")</f>
        <v/>
      </c>
      <c r="CU456" s="21" t="str">
        <f>IF([1]!BANCO10[[#This Row],[SOLUÇÃO]]=CU$1,[1]!BANCO10[[#This Row],[STATUS DA ETAPA]],"")</f>
        <v/>
      </c>
      <c r="CV456" s="21" t="str">
        <f>IF([1]!BANCO10[[#This Row],[SOLUÇÃO]]=CV$1,[1]!BANCO10[[#This Row],[STATUS DA ETAPA]],"")</f>
        <v/>
      </c>
    </row>
    <row r="457" spans="1:100">
      <c r="A457" s="44" t="s">
        <v>1</v>
      </c>
      <c r="B457" s="44"/>
      <c r="C457" s="44" t="s">
        <v>1</v>
      </c>
      <c r="D457" s="44"/>
      <c r="E457" s="44" t="s">
        <v>1</v>
      </c>
      <c r="F457" s="44"/>
      <c r="G457" s="44" t="s">
        <v>1</v>
      </c>
      <c r="H457" s="44"/>
      <c r="I457" s="45" t="s">
        <v>1</v>
      </c>
      <c r="J457" s="46"/>
      <c r="K457" s="45" t="s">
        <v>1</v>
      </c>
      <c r="L457" s="33"/>
      <c r="M457" s="45" t="s">
        <v>1</v>
      </c>
      <c r="N457" s="33"/>
      <c r="O457" s="44" t="s">
        <v>1</v>
      </c>
      <c r="P457" s="44"/>
      <c r="Q457" s="44" t="s">
        <v>1</v>
      </c>
      <c r="R457" s="44"/>
      <c r="S457" s="44" t="s">
        <v>1</v>
      </c>
      <c r="T457" s="44"/>
      <c r="U457" s="44" t="s">
        <v>1</v>
      </c>
      <c r="V457" s="44"/>
      <c r="W457" s="44" t="s">
        <v>1</v>
      </c>
      <c r="X457" s="44"/>
      <c r="Y457" s="44" t="s">
        <v>1</v>
      </c>
      <c r="Z457" s="44"/>
      <c r="AA457" s="44" t="s">
        <v>1</v>
      </c>
      <c r="AB457" s="44"/>
      <c r="AC457" s="51">
        <v>45536</v>
      </c>
      <c r="AD457" s="50">
        <v>45536</v>
      </c>
      <c r="AE457" s="40" t="s">
        <v>1</v>
      </c>
      <c r="AF457" s="40" t="s">
        <v>1</v>
      </c>
      <c r="AG457" s="76" t="s">
        <v>5</v>
      </c>
      <c r="AH457" s="36" t="s">
        <v>1</v>
      </c>
      <c r="AI457" s="49">
        <v>0</v>
      </c>
      <c r="AJ457" s="36" t="s">
        <v>1</v>
      </c>
      <c r="AK457" s="10" t="s">
        <v>1</v>
      </c>
      <c r="AL457" s="36" t="s">
        <v>1</v>
      </c>
      <c r="AM457" s="36" t="s">
        <v>1</v>
      </c>
      <c r="AN457" s="35" t="s">
        <v>1</v>
      </c>
      <c r="AO457" s="35" t="s">
        <v>1</v>
      </c>
      <c r="AP457" s="35" t="s">
        <v>1</v>
      </c>
      <c r="AQ457" s="35" t="s">
        <v>1</v>
      </c>
      <c r="AR457" s="82" t="s">
        <v>1</v>
      </c>
      <c r="AS457" s="33"/>
      <c r="AT457" s="30"/>
      <c r="AU457" s="55"/>
      <c r="AV457" s="30"/>
      <c r="AW457" s="55"/>
      <c r="AX457" s="30" t="s">
        <v>1</v>
      </c>
      <c r="AY457" s="55"/>
      <c r="AZ457" s="30" t="s">
        <v>1</v>
      </c>
      <c r="BA457" s="55"/>
      <c r="BB457" s="74"/>
      <c r="BC457" s="25"/>
      <c r="BD457" s="24"/>
      <c r="BE457" s="24"/>
      <c r="BF457" s="24"/>
      <c r="BG457" s="24"/>
      <c r="BH457" s="130"/>
      <c r="BI457" s="24"/>
      <c r="BJ457" s="24" t="s">
        <v>11</v>
      </c>
      <c r="BK457" s="24" t="s">
        <v>11</v>
      </c>
      <c r="BL457" s="24" t="s">
        <v>11</v>
      </c>
      <c r="BM457" s="24" t="s">
        <v>11</v>
      </c>
      <c r="BN457" s="24" t="s">
        <v>11</v>
      </c>
      <c r="BO457" s="24" t="s">
        <v>11</v>
      </c>
      <c r="BP457" s="24" t="s">
        <v>11</v>
      </c>
      <c r="BQ457" s="22">
        <f>YEAR([1]!BANCO10[[#This Row],[DATA INÍCIO]])</f>
        <v>2024</v>
      </c>
      <c r="BR457" s="22">
        <f>MONTH([1]!BANCO10[[#This Row],[DATA INÍCIO]])</f>
        <v>9</v>
      </c>
      <c r="BS457" s="129" t="e">
        <f>CONCATENATE(#REF!,#REF!)</f>
        <v>#REF!</v>
      </c>
      <c r="BT457" s="22"/>
      <c r="BU457" s="21">
        <v>0</v>
      </c>
      <c r="BV457" s="21" t="str">
        <f>IF([1]!BANCO10[[#This Row],[SOLUÇÃO]]=BV$1,[1]!BANCO10[[#This Row],[STATUS DA ETAPA]],"")</f>
        <v>CONCLUÍDO</v>
      </c>
      <c r="BW457" s="21" t="str">
        <f>IF([1]!BANCO10[[#This Row],[SOLUÇÃO]]=BW$1,[1]!BANCO10[[#This Row],[STATUS DA ETAPA]],"")</f>
        <v/>
      </c>
      <c r="BX457" s="21" t="str">
        <f>IF([1]!BANCO10[[#This Row],[SOLUÇÃO]]=BX$1,[1]!BANCO10[[#This Row],[STATUS DA ETAPA]],"")</f>
        <v/>
      </c>
      <c r="BY457" s="21" t="str">
        <f>IF([1]!BANCO10[[#This Row],[SOLUÇÃO]]=BY$1,[1]!BANCO10[[#This Row],[STATUS DA ETAPA]],"")</f>
        <v/>
      </c>
      <c r="BZ457" s="21" t="str">
        <f>IF([1]!BANCO10[[#This Row],[SOLUÇÃO]]=BZ$1,[1]!BANCO10[[#This Row],[STATUS DA ETAPA]],"")</f>
        <v/>
      </c>
      <c r="CA457" s="21" t="str">
        <f>IF([1]!BANCO10[[#This Row],[SOLUÇÃO]]=CA$1,[1]!BANCO10[[#This Row],[STATUS DA ETAPA]],"")</f>
        <v/>
      </c>
      <c r="CB457" s="21" t="str">
        <f>IF([1]!BANCO10[[#This Row],[SOLUÇÃO]]=CB$1,[1]!BANCO10[[#This Row],[STATUS DA ETAPA]],"")</f>
        <v/>
      </c>
      <c r="CC457" s="21" t="str">
        <f>IF([1]!BANCO10[[#This Row],[SOLUÇÃO]]=CC$1,[1]!BANCO10[[#This Row],[STATUS DA ETAPA]],"")</f>
        <v/>
      </c>
      <c r="CD457" s="21" t="str">
        <f>IF([1]!BANCO10[[#This Row],[SOLUÇÃO]]=CD$1,[1]!BANCO10[[#This Row],[STATUS DA ETAPA]],"")</f>
        <v/>
      </c>
      <c r="CE457" s="21" t="str">
        <f>IF([1]!BANCO10[[#This Row],[SOLUÇÃO]]=CE$1,[1]!BANCO10[[#This Row],[STATUS DA ETAPA]],"")</f>
        <v/>
      </c>
      <c r="CF457" s="21" t="str">
        <f>IF([1]!BANCO10[[#This Row],[SOLUÇÃO]]=CF$1,[1]!BANCO10[[#This Row],[STATUS DA ETAPA]],"")</f>
        <v/>
      </c>
      <c r="CG457" s="21" t="str">
        <f>IF([1]!BANCO10[[#This Row],[SOLUÇÃO]]=CG$1,[1]!BANCO10[[#This Row],[STATUS DA ETAPA]],"")</f>
        <v/>
      </c>
      <c r="CH457" s="21" t="str">
        <f>IF([1]!BANCO10[[#This Row],[SOLUÇÃO]]=CH$1,[1]!BANCO10[[#This Row],[STATUS DA ETAPA]],"")</f>
        <v/>
      </c>
      <c r="CI457" s="21" t="str">
        <f>IF([1]!BANCO10[[#This Row],[SOLUÇÃO]]=CI$1,[1]!BANCO10[[#This Row],[STATUS DA ETAPA]],"")</f>
        <v/>
      </c>
      <c r="CJ457" s="21" t="str">
        <f>IF([1]!BANCO10[[#This Row],[SOLUÇÃO]]=CJ$1,[1]!BANCO10[[#This Row],[STATUS DA ETAPA]],"")</f>
        <v/>
      </c>
      <c r="CK457" s="21" t="str">
        <f>IF([1]!BANCO10[[#This Row],[SOLUÇÃO]]=CK$1,[1]!BANCO10[[#This Row],[STATUS DA ETAPA]],"")</f>
        <v/>
      </c>
      <c r="CL457" s="21" t="str">
        <f>IF([1]!BANCO10[[#This Row],[SOLUÇÃO]]=CL$1,[1]!BANCO10[[#This Row],[STATUS DA ETAPA]],"")</f>
        <v/>
      </c>
      <c r="CM457" s="21" t="str">
        <f>IF([1]!BANCO10[[#This Row],[SOLUÇÃO]]=CM$1,[1]!BANCO10[[#This Row],[STATUS DA ETAPA]],"")</f>
        <v/>
      </c>
      <c r="CN457" s="21" t="str">
        <f>IF([1]!BANCO10[[#This Row],[SOLUÇÃO]]=CN$1,[1]!BANCO10[[#This Row],[STATUS DA ETAPA]],"")</f>
        <v/>
      </c>
      <c r="CO457" s="21" t="str">
        <f>IF([1]!BANCO10[[#This Row],[SOLUÇÃO]]=CO$1,[1]!BANCO10[[#This Row],[STATUS DA ETAPA]],"")</f>
        <v/>
      </c>
      <c r="CP457" s="21" t="str">
        <f>IF([1]!BANCO10[[#This Row],[SOLUÇÃO]]=CP$1,[1]!BANCO10[[#This Row],[STATUS DA ETAPA]],"")</f>
        <v/>
      </c>
      <c r="CQ457" s="21" t="str">
        <f>IF([1]!BANCO10[[#This Row],[SOLUÇÃO]]=CQ$1,[1]!BANCO10[[#This Row],[STATUS DA ETAPA]],"")</f>
        <v/>
      </c>
      <c r="CR457" s="21" t="str">
        <f>IF([1]!BANCO10[[#This Row],[SOLUÇÃO]]=CR$1,[1]!BANCO10[[#This Row],[STATUS DA ETAPA]],"")</f>
        <v/>
      </c>
      <c r="CS457" s="21" t="str">
        <f>IF([1]!BANCO10[[#This Row],[SOLUÇÃO]]=CS$1,[1]!BANCO10[[#This Row],[STATUS DA ETAPA]],"")</f>
        <v/>
      </c>
      <c r="CT457" s="21" t="str">
        <f>IF([1]!BANCO10[[#This Row],[SOLUÇÃO]]=CT$1,[1]!BANCO10[[#This Row],[STATUS DA ETAPA]],"")</f>
        <v/>
      </c>
      <c r="CU457" s="21" t="str">
        <f>IF([1]!BANCO10[[#This Row],[SOLUÇÃO]]=CU$1,[1]!BANCO10[[#This Row],[STATUS DA ETAPA]],"")</f>
        <v/>
      </c>
      <c r="CV457" s="21" t="str">
        <f>IF([1]!BANCO10[[#This Row],[SOLUÇÃO]]=CV$1,[1]!BANCO10[[#This Row],[STATUS DA ETAPA]],"")</f>
        <v/>
      </c>
    </row>
    <row r="458" spans="1:100">
      <c r="A458" s="44" t="s">
        <v>2</v>
      </c>
      <c r="B458" s="44">
        <v>45749</v>
      </c>
      <c r="C458" s="44" t="s">
        <v>2</v>
      </c>
      <c r="D458" s="44">
        <v>45755</v>
      </c>
      <c r="E458" s="44" t="s">
        <v>2</v>
      </c>
      <c r="F458" s="44">
        <v>45757</v>
      </c>
      <c r="G458" s="44" t="s">
        <v>2</v>
      </c>
      <c r="H458" s="44">
        <v>45757</v>
      </c>
      <c r="I458" s="45" t="s">
        <v>2</v>
      </c>
      <c r="J458" s="46">
        <v>45709</v>
      </c>
      <c r="K458" s="45" t="s">
        <v>0</v>
      </c>
      <c r="L458" s="33"/>
      <c r="M458" s="45" t="s">
        <v>0</v>
      </c>
      <c r="N458" s="33"/>
      <c r="O458" s="44" t="s">
        <v>1</v>
      </c>
      <c r="P458" s="44"/>
      <c r="Q458" s="44" t="s">
        <v>1</v>
      </c>
      <c r="R458" s="44"/>
      <c r="S458" s="44" t="s">
        <v>2</v>
      </c>
      <c r="T458" s="44">
        <v>45708</v>
      </c>
      <c r="U458" s="44" t="s">
        <v>1</v>
      </c>
      <c r="V458" s="44"/>
      <c r="W458" s="44" t="s">
        <v>1</v>
      </c>
      <c r="X458" s="44"/>
      <c r="Y458" s="44" t="s">
        <v>1</v>
      </c>
      <c r="Z458" s="44"/>
      <c r="AA458" s="44" t="s">
        <v>1</v>
      </c>
      <c r="AB458" s="44"/>
      <c r="AC458" s="51">
        <v>46022</v>
      </c>
      <c r="AD458" s="50">
        <v>46022</v>
      </c>
      <c r="AE458" s="41" t="s">
        <v>0</v>
      </c>
      <c r="AF458" s="41" t="s">
        <v>0</v>
      </c>
      <c r="AG458" s="40" t="s">
        <v>5</v>
      </c>
      <c r="AH458" s="36" t="s">
        <v>0</v>
      </c>
      <c r="AI458" s="49">
        <v>14440</v>
      </c>
      <c r="AJ458" s="36" t="s">
        <v>3</v>
      </c>
      <c r="AK458" s="10" t="s">
        <v>1</v>
      </c>
      <c r="AL458" s="36" t="s">
        <v>1</v>
      </c>
      <c r="AM458" s="36" t="s">
        <v>1</v>
      </c>
      <c r="AN458" s="35" t="s">
        <v>0</v>
      </c>
      <c r="AO458" s="35" t="s">
        <v>0</v>
      </c>
      <c r="AP458" s="35" t="s">
        <v>0</v>
      </c>
      <c r="AQ458" s="35" t="s">
        <v>0</v>
      </c>
      <c r="AR458" s="34" t="s">
        <v>0</v>
      </c>
      <c r="AS458" s="33"/>
      <c r="AT458" s="32" t="s">
        <v>0</v>
      </c>
      <c r="AU458" s="31"/>
      <c r="AV458" s="32" t="s">
        <v>0</v>
      </c>
      <c r="AW458" s="31"/>
      <c r="AX458" s="32" t="s">
        <v>0</v>
      </c>
      <c r="AY458" s="31"/>
      <c r="AZ458" s="32" t="s">
        <v>0</v>
      </c>
      <c r="BA458" s="31"/>
      <c r="BB458" s="26" t="s">
        <v>7</v>
      </c>
      <c r="BC458" s="25"/>
      <c r="BD458" s="24"/>
      <c r="BE458" s="24"/>
      <c r="BF458" s="24"/>
      <c r="BG458" s="24"/>
      <c r="BH458" s="24"/>
      <c r="BI458" s="24"/>
      <c r="BJ458" s="24"/>
      <c r="BK458" s="24"/>
      <c r="BL458" s="24"/>
      <c r="BM458" s="24"/>
      <c r="BN458" s="24"/>
      <c r="BO458" s="24"/>
      <c r="BP458" s="24"/>
      <c r="BQ458" s="22">
        <f>YEAR([1]!BANCO10[[#This Row],[DATA INÍCIO]])</f>
        <v>2025</v>
      </c>
      <c r="BR458" s="22">
        <f>MONTH([1]!BANCO10[[#This Row],[DATA INÍCIO]])</f>
        <v>12</v>
      </c>
      <c r="BS458" s="23" t="e">
        <f>CONCATENATE(#REF!,#REF!)</f>
        <v>#REF!</v>
      </c>
      <c r="BT458" s="22"/>
      <c r="BU458" s="22"/>
      <c r="BV458" s="21" t="str">
        <f>IF([1]!BANCO10[[#This Row],[SOLUÇÃO]]=BV$1,[1]!BANCO10[[#This Row],[STATUS DA ETAPA]],"")</f>
        <v/>
      </c>
      <c r="BW458" s="21" t="str">
        <f>IF([1]!BANCO10[[#This Row],[SOLUÇÃO]]=BW$1,[1]!BANCO10[[#This Row],[STATUS DA ETAPA]],"")</f>
        <v/>
      </c>
      <c r="BX458" s="21" t="str">
        <f>IF([1]!BANCO10[[#This Row],[SOLUÇÃO]]=BX$1,[1]!BANCO10[[#This Row],[STATUS DA ETAPA]],"")</f>
        <v/>
      </c>
      <c r="BY458" s="21" t="str">
        <f>IF([1]!BANCO10[[#This Row],[SOLUÇÃO]]=BY$1,[1]!BANCO10[[#This Row],[STATUS DA ETAPA]],"")</f>
        <v/>
      </c>
      <c r="BZ458" s="21" t="str">
        <f>IF([1]!BANCO10[[#This Row],[SOLUÇÃO]]=BZ$1,[1]!BANCO10[[#This Row],[STATUS DA ETAPA]],"")</f>
        <v/>
      </c>
      <c r="CA458" s="21" t="str">
        <f>IF([1]!BANCO10[[#This Row],[SOLUÇÃO]]=CA$1,[1]!BANCO10[[#This Row],[STATUS DA ETAPA]],"")</f>
        <v/>
      </c>
      <c r="CB458" s="21" t="str">
        <f>IF([1]!BANCO10[[#This Row],[SOLUÇÃO]]=CB$1,[1]!BANCO10[[#This Row],[STATUS DA ETAPA]],"")</f>
        <v>AGUARDANDO SALDO</v>
      </c>
      <c r="CC458" s="21" t="str">
        <f>IF([1]!BANCO10[[#This Row],[SOLUÇÃO]]=CC$1,[1]!BANCO10[[#This Row],[STATUS DA ETAPA]],"")</f>
        <v/>
      </c>
      <c r="CD458" s="21" t="str">
        <f>IF([1]!BANCO10[[#This Row],[SOLUÇÃO]]=CD$1,[1]!BANCO10[[#This Row],[STATUS DA ETAPA]],"")</f>
        <v/>
      </c>
      <c r="CE458" s="21" t="str">
        <f>IF([1]!BANCO10[[#This Row],[SOLUÇÃO]]=CE$1,[1]!BANCO10[[#This Row],[STATUS DA ETAPA]],"")</f>
        <v/>
      </c>
      <c r="CF458" s="21" t="str">
        <f>IF([1]!BANCO10[[#This Row],[SOLUÇÃO]]=CF$1,[1]!BANCO10[[#This Row],[STATUS DA ETAPA]],"")</f>
        <v/>
      </c>
      <c r="CG458" s="21" t="str">
        <f>IF([1]!BANCO10[[#This Row],[SOLUÇÃO]]=CG$1,[1]!BANCO10[[#This Row],[STATUS DA ETAPA]],"")</f>
        <v/>
      </c>
      <c r="CH458" s="21" t="str">
        <f>IF([1]!BANCO10[[#This Row],[SOLUÇÃO]]=CH$1,[1]!BANCO10[[#This Row],[STATUS DA ETAPA]],"")</f>
        <v/>
      </c>
      <c r="CI458" s="21" t="str">
        <f>IF([1]!BANCO10[[#This Row],[SOLUÇÃO]]=CI$1,[1]!BANCO10[[#This Row],[STATUS DA ETAPA]],"")</f>
        <v/>
      </c>
      <c r="CJ458" s="21" t="str">
        <f>IF([1]!BANCO10[[#This Row],[SOLUÇÃO]]=CJ$1,[1]!BANCO10[[#This Row],[STATUS DA ETAPA]],"")</f>
        <v/>
      </c>
      <c r="CK458" s="21" t="str">
        <f>IF([1]!BANCO10[[#This Row],[SOLUÇÃO]]=CK$1,[1]!BANCO10[[#This Row],[STATUS DA ETAPA]],"")</f>
        <v/>
      </c>
      <c r="CL458" s="21" t="str">
        <f>IF([1]!BANCO10[[#This Row],[SOLUÇÃO]]=CL$1,[1]!BANCO10[[#This Row],[STATUS DA ETAPA]],"")</f>
        <v/>
      </c>
      <c r="CM458" s="21" t="str">
        <f>IF([1]!BANCO10[[#This Row],[SOLUÇÃO]]=CM$1,[1]!BANCO10[[#This Row],[STATUS DA ETAPA]],"")</f>
        <v/>
      </c>
      <c r="CN458" s="21" t="str">
        <f>IF([1]!BANCO10[[#This Row],[SOLUÇÃO]]=CN$1,[1]!BANCO10[[#This Row],[STATUS DA ETAPA]],"")</f>
        <v/>
      </c>
      <c r="CO458" s="21" t="str">
        <f>IF([1]!BANCO10[[#This Row],[SOLUÇÃO]]=CO$1,[1]!BANCO10[[#This Row],[STATUS DA ETAPA]],"")</f>
        <v/>
      </c>
      <c r="CP458" s="21" t="str">
        <f>IF([1]!BANCO10[[#This Row],[SOLUÇÃO]]=CP$1,[1]!BANCO10[[#This Row],[STATUS DA ETAPA]],"")</f>
        <v/>
      </c>
      <c r="CQ458" s="21" t="str">
        <f>IF([1]!BANCO10[[#This Row],[SOLUÇÃO]]=CQ$1,[1]!BANCO10[[#This Row],[STATUS DA ETAPA]],"")</f>
        <v/>
      </c>
      <c r="CR458" s="21" t="str">
        <f>IF([1]!BANCO10[[#This Row],[SOLUÇÃO]]=CR$1,[1]!BANCO10[[#This Row],[STATUS DA ETAPA]],"")</f>
        <v/>
      </c>
      <c r="CS458" s="21" t="str">
        <f>IF([1]!BANCO10[[#This Row],[SOLUÇÃO]]=CS$1,[1]!BANCO10[[#This Row],[STATUS DA ETAPA]],"")</f>
        <v/>
      </c>
      <c r="CT458" s="21" t="str">
        <f>IF([1]!BANCO10[[#This Row],[SOLUÇÃO]]=CT$1,[1]!BANCO10[[#This Row],[STATUS DA ETAPA]],"")</f>
        <v/>
      </c>
      <c r="CU458" s="21" t="str">
        <f>IF([1]!BANCO10[[#This Row],[SOLUÇÃO]]=CU$1,[1]!BANCO10[[#This Row],[STATUS DA ETAPA]],"")</f>
        <v/>
      </c>
      <c r="CV458" s="21" t="str">
        <f>IF([1]!BANCO10[[#This Row],[SOLUÇÃO]]=CV$1,[1]!BANCO10[[#This Row],[STATUS DA ETAPA]],"")</f>
        <v/>
      </c>
    </row>
    <row r="459" spans="1:100">
      <c r="A459" s="44" t="s">
        <v>1</v>
      </c>
      <c r="B459" s="44"/>
      <c r="C459" s="44" t="s">
        <v>1</v>
      </c>
      <c r="D459" s="44"/>
      <c r="E459" s="44" t="s">
        <v>1</v>
      </c>
      <c r="F459" s="44"/>
      <c r="G459" s="44" t="s">
        <v>1</v>
      </c>
      <c r="H459" s="44"/>
      <c r="I459" s="45" t="s">
        <v>1</v>
      </c>
      <c r="J459" s="46"/>
      <c r="K459" s="45" t="s">
        <v>1</v>
      </c>
      <c r="L459" s="33"/>
      <c r="M459" s="45" t="s">
        <v>1</v>
      </c>
      <c r="N459" s="33"/>
      <c r="O459" s="44" t="s">
        <v>2</v>
      </c>
      <c r="P459" s="44">
        <v>44790</v>
      </c>
      <c r="Q459" s="44" t="s">
        <v>0</v>
      </c>
      <c r="R459" s="44"/>
      <c r="S459" s="44" t="s">
        <v>1</v>
      </c>
      <c r="T459" s="44"/>
      <c r="U459" s="44" t="s">
        <v>1</v>
      </c>
      <c r="V459" s="44"/>
      <c r="W459" s="44" t="s">
        <v>1</v>
      </c>
      <c r="X459" s="44"/>
      <c r="Y459" s="44" t="s">
        <v>1</v>
      </c>
      <c r="Z459" s="44"/>
      <c r="AA459" s="44" t="s">
        <v>1</v>
      </c>
      <c r="AB459" s="44"/>
      <c r="AC459" s="51">
        <v>44790</v>
      </c>
      <c r="AD459" s="51">
        <v>44790</v>
      </c>
      <c r="AE459" s="40" t="s">
        <v>1</v>
      </c>
      <c r="AF459" s="40" t="s">
        <v>1</v>
      </c>
      <c r="AG459" s="76" t="s">
        <v>5</v>
      </c>
      <c r="AH459" s="36" t="s">
        <v>1</v>
      </c>
      <c r="AI459" s="49">
        <v>0</v>
      </c>
      <c r="AJ459" s="36" t="s">
        <v>1</v>
      </c>
      <c r="AK459" s="10" t="s">
        <v>1</v>
      </c>
      <c r="AL459" s="36" t="s">
        <v>1</v>
      </c>
      <c r="AM459" s="36" t="s">
        <v>1</v>
      </c>
      <c r="AN459" s="35" t="s">
        <v>1</v>
      </c>
      <c r="AO459" s="35" t="s">
        <v>1</v>
      </c>
      <c r="AP459" s="35" t="s">
        <v>1</v>
      </c>
      <c r="AQ459" s="35" t="s">
        <v>1</v>
      </c>
      <c r="AR459" s="48" t="s">
        <v>1</v>
      </c>
      <c r="AS459" s="33"/>
      <c r="AT459" s="30"/>
      <c r="AU459" s="55"/>
      <c r="AV459" s="30"/>
      <c r="AW459" s="55"/>
      <c r="AX459" s="30" t="s">
        <v>1</v>
      </c>
      <c r="AY459" s="55"/>
      <c r="AZ459" s="30" t="s">
        <v>1</v>
      </c>
      <c r="BA459" s="55"/>
      <c r="BB459" s="74"/>
      <c r="BC459" s="25"/>
      <c r="BD459" s="24" t="s">
        <v>11</v>
      </c>
      <c r="BE459" s="24" t="s">
        <v>11</v>
      </c>
      <c r="BF459" s="24" t="s">
        <v>21</v>
      </c>
      <c r="BG459" s="24" t="s">
        <v>136</v>
      </c>
      <c r="BH459" s="130" t="s">
        <v>18</v>
      </c>
      <c r="BI459" s="24" t="s">
        <v>243</v>
      </c>
      <c r="BJ459" s="24" t="s">
        <v>11</v>
      </c>
      <c r="BK459" s="24" t="s">
        <v>11</v>
      </c>
      <c r="BL459" s="24" t="s">
        <v>11</v>
      </c>
      <c r="BM459" s="24" t="s">
        <v>11</v>
      </c>
      <c r="BN459" s="24" t="s">
        <v>11</v>
      </c>
      <c r="BO459" s="24" t="s">
        <v>11</v>
      </c>
      <c r="BP459" s="24" t="s">
        <v>11</v>
      </c>
      <c r="BQ459" s="22">
        <f>YEAR([1]!BANCO10[[#This Row],[DATA INÍCIO]])</f>
        <v>2022</v>
      </c>
      <c r="BR459" s="22">
        <f>MONTH([1]!BANCO10[[#This Row],[DATA INÍCIO]])</f>
        <v>8</v>
      </c>
      <c r="BS459" s="129" t="e">
        <f>CONCATENATE(#REF!,#REF!)</f>
        <v>#REF!</v>
      </c>
      <c r="BT459" s="22"/>
      <c r="BU459" s="21" t="s">
        <v>428</v>
      </c>
      <c r="BV459" s="21" t="str">
        <f>IF([1]!BANCO10[[#This Row],[SOLUÇÃO]]=BV$1,[1]!BANCO10[[#This Row],[STATUS DA ETAPA]],"")</f>
        <v>CONCLUÍDO</v>
      </c>
      <c r="BW459" s="21" t="str">
        <f>IF([1]!BANCO10[[#This Row],[SOLUÇÃO]]=BW$1,[1]!BANCO10[[#This Row],[STATUS DA ETAPA]],"")</f>
        <v/>
      </c>
      <c r="BX459" s="21" t="str">
        <f>IF([1]!BANCO10[[#This Row],[SOLUÇÃO]]=BX$1,[1]!BANCO10[[#This Row],[STATUS DA ETAPA]],"")</f>
        <v/>
      </c>
      <c r="BY459" s="21" t="str">
        <f>IF([1]!BANCO10[[#This Row],[SOLUÇÃO]]=BY$1,[1]!BANCO10[[#This Row],[STATUS DA ETAPA]],"")</f>
        <v/>
      </c>
      <c r="BZ459" s="21" t="str">
        <f>IF([1]!BANCO10[[#This Row],[SOLUÇÃO]]=BZ$1,[1]!BANCO10[[#This Row],[STATUS DA ETAPA]],"")</f>
        <v/>
      </c>
      <c r="CA459" s="21" t="str">
        <f>IF([1]!BANCO10[[#This Row],[SOLUÇÃO]]=CA$1,[1]!BANCO10[[#This Row],[STATUS DA ETAPA]],"")</f>
        <v/>
      </c>
      <c r="CB459" s="21" t="str">
        <f>IF([1]!BANCO10[[#This Row],[SOLUÇÃO]]=CB$1,[1]!BANCO10[[#This Row],[STATUS DA ETAPA]],"")</f>
        <v/>
      </c>
      <c r="CC459" s="21" t="str">
        <f>IF([1]!BANCO10[[#This Row],[SOLUÇÃO]]=CC$1,[1]!BANCO10[[#This Row],[STATUS DA ETAPA]],"")</f>
        <v/>
      </c>
      <c r="CD459" s="21" t="str">
        <f>IF([1]!BANCO10[[#This Row],[SOLUÇÃO]]=CD$1,[1]!BANCO10[[#This Row],[STATUS DA ETAPA]],"")</f>
        <v/>
      </c>
      <c r="CE459" s="21" t="str">
        <f>IF([1]!BANCO10[[#This Row],[SOLUÇÃO]]=CE$1,[1]!BANCO10[[#This Row],[STATUS DA ETAPA]],"")</f>
        <v/>
      </c>
      <c r="CF459" s="21" t="str">
        <f>IF([1]!BANCO10[[#This Row],[SOLUÇÃO]]=CF$1,[1]!BANCO10[[#This Row],[STATUS DA ETAPA]],"")</f>
        <v/>
      </c>
      <c r="CG459" s="21" t="str">
        <f>IF([1]!BANCO10[[#This Row],[SOLUÇÃO]]=CG$1,[1]!BANCO10[[#This Row],[STATUS DA ETAPA]],"")</f>
        <v/>
      </c>
      <c r="CH459" s="21" t="str">
        <f>IF([1]!BANCO10[[#This Row],[SOLUÇÃO]]=CH$1,[1]!BANCO10[[#This Row],[STATUS DA ETAPA]],"")</f>
        <v/>
      </c>
      <c r="CI459" s="21" t="str">
        <f>IF([1]!BANCO10[[#This Row],[SOLUÇÃO]]=CI$1,[1]!BANCO10[[#This Row],[STATUS DA ETAPA]],"")</f>
        <v/>
      </c>
      <c r="CJ459" s="21" t="str">
        <f>IF([1]!BANCO10[[#This Row],[SOLUÇÃO]]=CJ$1,[1]!BANCO10[[#This Row],[STATUS DA ETAPA]],"")</f>
        <v/>
      </c>
      <c r="CK459" s="21" t="str">
        <f>IF([1]!BANCO10[[#This Row],[SOLUÇÃO]]=CK$1,[1]!BANCO10[[#This Row],[STATUS DA ETAPA]],"")</f>
        <v/>
      </c>
      <c r="CL459" s="21" t="str">
        <f>IF([1]!BANCO10[[#This Row],[SOLUÇÃO]]=CL$1,[1]!BANCO10[[#This Row],[STATUS DA ETAPA]],"")</f>
        <v/>
      </c>
      <c r="CM459" s="21" t="str">
        <f>IF([1]!BANCO10[[#This Row],[SOLUÇÃO]]=CM$1,[1]!BANCO10[[#This Row],[STATUS DA ETAPA]],"")</f>
        <v/>
      </c>
      <c r="CN459" s="21" t="str">
        <f>IF([1]!BANCO10[[#This Row],[SOLUÇÃO]]=CN$1,[1]!BANCO10[[#This Row],[STATUS DA ETAPA]],"")</f>
        <v/>
      </c>
      <c r="CO459" s="21" t="str">
        <f>IF([1]!BANCO10[[#This Row],[SOLUÇÃO]]=CO$1,[1]!BANCO10[[#This Row],[STATUS DA ETAPA]],"")</f>
        <v/>
      </c>
      <c r="CP459" s="21" t="str">
        <f>IF([1]!BANCO10[[#This Row],[SOLUÇÃO]]=CP$1,[1]!BANCO10[[#This Row],[STATUS DA ETAPA]],"")</f>
        <v/>
      </c>
      <c r="CQ459" s="21" t="str">
        <f>IF([1]!BANCO10[[#This Row],[SOLUÇÃO]]=CQ$1,[1]!BANCO10[[#This Row],[STATUS DA ETAPA]],"")</f>
        <v/>
      </c>
      <c r="CR459" s="21" t="str">
        <f>IF([1]!BANCO10[[#This Row],[SOLUÇÃO]]=CR$1,[1]!BANCO10[[#This Row],[STATUS DA ETAPA]],"")</f>
        <v/>
      </c>
      <c r="CS459" s="21" t="str">
        <f>IF([1]!BANCO10[[#This Row],[SOLUÇÃO]]=CS$1,[1]!BANCO10[[#This Row],[STATUS DA ETAPA]],"")</f>
        <v/>
      </c>
      <c r="CT459" s="21" t="str">
        <f>IF([1]!BANCO10[[#This Row],[SOLUÇÃO]]=CT$1,[1]!BANCO10[[#This Row],[STATUS DA ETAPA]],"")</f>
        <v/>
      </c>
      <c r="CU459" s="21" t="str">
        <f>IF([1]!BANCO10[[#This Row],[SOLUÇÃO]]=CU$1,[1]!BANCO10[[#This Row],[STATUS DA ETAPA]],"")</f>
        <v/>
      </c>
      <c r="CV459" s="21" t="str">
        <f>IF([1]!BANCO10[[#This Row],[SOLUÇÃO]]=CV$1,[1]!BANCO10[[#This Row],[STATUS DA ETAPA]],"")</f>
        <v/>
      </c>
    </row>
    <row r="460" spans="1:100">
      <c r="A460" s="44" t="s">
        <v>1</v>
      </c>
      <c r="B460" s="44"/>
      <c r="C460" s="44" t="s">
        <v>1</v>
      </c>
      <c r="D460" s="44"/>
      <c r="E460" s="44" t="s">
        <v>1</v>
      </c>
      <c r="F460" s="44"/>
      <c r="G460" s="44" t="s">
        <v>1</v>
      </c>
      <c r="H460" s="44"/>
      <c r="I460" s="45" t="s">
        <v>1</v>
      </c>
      <c r="J460" s="46"/>
      <c r="K460" s="45" t="s">
        <v>1</v>
      </c>
      <c r="L460" s="33"/>
      <c r="M460" s="45" t="s">
        <v>1</v>
      </c>
      <c r="N460" s="33"/>
      <c r="O460" s="44" t="s">
        <v>2</v>
      </c>
      <c r="P460" s="44">
        <v>44790</v>
      </c>
      <c r="Q460" s="44" t="s">
        <v>2</v>
      </c>
      <c r="R460" s="44">
        <v>44803</v>
      </c>
      <c r="S460" s="44" t="s">
        <v>1</v>
      </c>
      <c r="T460" s="44"/>
      <c r="U460" s="44" t="s">
        <v>1</v>
      </c>
      <c r="V460" s="44"/>
      <c r="W460" s="44" t="s">
        <v>1</v>
      </c>
      <c r="X460" s="44"/>
      <c r="Y460" s="44" t="s">
        <v>1</v>
      </c>
      <c r="Z460" s="44"/>
      <c r="AA460" s="44" t="s">
        <v>1</v>
      </c>
      <c r="AB460" s="44"/>
      <c r="AC460" s="51">
        <v>44831</v>
      </c>
      <c r="AD460" s="50">
        <v>44922</v>
      </c>
      <c r="AE460" s="40" t="s">
        <v>2</v>
      </c>
      <c r="AF460" s="40" t="s">
        <v>2</v>
      </c>
      <c r="AG460" s="76" t="s">
        <v>5</v>
      </c>
      <c r="AH460" s="36" t="s">
        <v>2</v>
      </c>
      <c r="AI460" s="49">
        <v>0</v>
      </c>
      <c r="AJ460" s="36" t="s">
        <v>1</v>
      </c>
      <c r="AK460" s="10" t="s">
        <v>1</v>
      </c>
      <c r="AL460" s="36" t="s">
        <v>1</v>
      </c>
      <c r="AM460" s="36" t="s">
        <v>1</v>
      </c>
      <c r="AN460" s="35" t="s">
        <v>1</v>
      </c>
      <c r="AO460" s="35" t="s">
        <v>1</v>
      </c>
      <c r="AP460" s="35" t="s">
        <v>2</v>
      </c>
      <c r="AQ460" s="35" t="s">
        <v>1</v>
      </c>
      <c r="AR460" s="34" t="s">
        <v>1</v>
      </c>
      <c r="AS460" s="33"/>
      <c r="AT460" s="30"/>
      <c r="AU460" s="55"/>
      <c r="AV460" s="30"/>
      <c r="AW460" s="55"/>
      <c r="AX460" s="30" t="s">
        <v>2</v>
      </c>
      <c r="AY460" s="55">
        <v>44922</v>
      </c>
      <c r="AZ460" s="30" t="s">
        <v>2</v>
      </c>
      <c r="BA460" s="55"/>
      <c r="BB460" s="74" t="s">
        <v>427</v>
      </c>
      <c r="BC460" s="25"/>
      <c r="BD460" s="24" t="s">
        <v>11</v>
      </c>
      <c r="BE460" s="24" t="s">
        <v>11</v>
      </c>
      <c r="BF460" s="24" t="s">
        <v>21</v>
      </c>
      <c r="BG460" s="24" t="s">
        <v>136</v>
      </c>
      <c r="BH460" s="130" t="s">
        <v>18</v>
      </c>
      <c r="BI460" s="24" t="s">
        <v>243</v>
      </c>
      <c r="BJ460" s="24" t="s">
        <v>11</v>
      </c>
      <c r="BK460" s="24" t="s">
        <v>11</v>
      </c>
      <c r="BL460" s="24" t="s">
        <v>11</v>
      </c>
      <c r="BM460" s="24" t="s">
        <v>11</v>
      </c>
      <c r="BN460" s="24" t="s">
        <v>11</v>
      </c>
      <c r="BO460" s="24" t="s">
        <v>11</v>
      </c>
      <c r="BP460" s="24" t="s">
        <v>11</v>
      </c>
      <c r="BQ460" s="22">
        <f>YEAR([1]!BANCO10[[#This Row],[DATA INÍCIO]])</f>
        <v>2022</v>
      </c>
      <c r="BR460" s="22">
        <f>MONTH([1]!BANCO10[[#This Row],[DATA INÍCIO]])</f>
        <v>9</v>
      </c>
      <c r="BS460" s="129" t="e">
        <f>CONCATENATE(#REF!,#REF!)</f>
        <v>#REF!</v>
      </c>
      <c r="BT460" s="22"/>
      <c r="BU460" s="21" t="s">
        <v>426</v>
      </c>
      <c r="BV460" s="21" t="str">
        <f>IF([1]!BANCO10[[#This Row],[SOLUÇÃO]]=BV$1,[1]!BANCO10[[#This Row],[STATUS DA ETAPA]],"")</f>
        <v/>
      </c>
      <c r="BW460" s="21" t="str">
        <f>IF([1]!BANCO10[[#This Row],[SOLUÇÃO]]=BW$1,[1]!BANCO10[[#This Row],[STATUS DA ETAPA]],"")</f>
        <v/>
      </c>
      <c r="BX460" s="21" t="str">
        <f>IF([1]!BANCO10[[#This Row],[SOLUÇÃO]]=BX$1,[1]!BANCO10[[#This Row],[STATUS DA ETAPA]],"")</f>
        <v/>
      </c>
      <c r="BY460" s="21" t="str">
        <f>IF([1]!BANCO10[[#This Row],[SOLUÇÃO]]=BY$1,[1]!BANCO10[[#This Row],[STATUS DA ETAPA]],"")</f>
        <v/>
      </c>
      <c r="BZ460" s="21" t="str">
        <f>IF([1]!BANCO10[[#This Row],[SOLUÇÃO]]=BZ$1,[1]!BANCO10[[#This Row],[STATUS DA ETAPA]],"")</f>
        <v/>
      </c>
      <c r="CA460" s="21" t="str">
        <f>IF([1]!BANCO10[[#This Row],[SOLUÇÃO]]=CA$1,[1]!BANCO10[[#This Row],[STATUS DA ETAPA]],"")</f>
        <v>CONCLUÍDO</v>
      </c>
      <c r="CB460" s="21" t="str">
        <f>IF([1]!BANCO10[[#This Row],[SOLUÇÃO]]=CB$1,[1]!BANCO10[[#This Row],[STATUS DA ETAPA]],"")</f>
        <v/>
      </c>
      <c r="CC460" s="21" t="str">
        <f>IF([1]!BANCO10[[#This Row],[SOLUÇÃO]]=CC$1,[1]!BANCO10[[#This Row],[STATUS DA ETAPA]],"")</f>
        <v/>
      </c>
      <c r="CD460" s="21" t="str">
        <f>IF([1]!BANCO10[[#This Row],[SOLUÇÃO]]=CD$1,[1]!BANCO10[[#This Row],[STATUS DA ETAPA]],"")</f>
        <v/>
      </c>
      <c r="CE460" s="21" t="str">
        <f>IF([1]!BANCO10[[#This Row],[SOLUÇÃO]]=CE$1,[1]!BANCO10[[#This Row],[STATUS DA ETAPA]],"")</f>
        <v/>
      </c>
      <c r="CF460" s="21" t="str">
        <f>IF([1]!BANCO10[[#This Row],[SOLUÇÃO]]=CF$1,[1]!BANCO10[[#This Row],[STATUS DA ETAPA]],"")</f>
        <v/>
      </c>
      <c r="CG460" s="21" t="str">
        <f>IF([1]!BANCO10[[#This Row],[SOLUÇÃO]]=CG$1,[1]!BANCO10[[#This Row],[STATUS DA ETAPA]],"")</f>
        <v/>
      </c>
      <c r="CH460" s="21" t="str">
        <f>IF([1]!BANCO10[[#This Row],[SOLUÇÃO]]=CH$1,[1]!BANCO10[[#This Row],[STATUS DA ETAPA]],"")</f>
        <v/>
      </c>
      <c r="CI460" s="21" t="str">
        <f>IF([1]!BANCO10[[#This Row],[SOLUÇÃO]]=CI$1,[1]!BANCO10[[#This Row],[STATUS DA ETAPA]],"")</f>
        <v/>
      </c>
      <c r="CJ460" s="21" t="str">
        <f>IF([1]!BANCO10[[#This Row],[SOLUÇÃO]]=CJ$1,[1]!BANCO10[[#This Row],[STATUS DA ETAPA]],"")</f>
        <v/>
      </c>
      <c r="CK460" s="21" t="str">
        <f>IF([1]!BANCO10[[#This Row],[SOLUÇÃO]]=CK$1,[1]!BANCO10[[#This Row],[STATUS DA ETAPA]],"")</f>
        <v/>
      </c>
      <c r="CL460" s="21" t="str">
        <f>IF([1]!BANCO10[[#This Row],[SOLUÇÃO]]=CL$1,[1]!BANCO10[[#This Row],[STATUS DA ETAPA]],"")</f>
        <v/>
      </c>
      <c r="CM460" s="21" t="str">
        <f>IF([1]!BANCO10[[#This Row],[SOLUÇÃO]]=CM$1,[1]!BANCO10[[#This Row],[STATUS DA ETAPA]],"")</f>
        <v/>
      </c>
      <c r="CN460" s="21" t="str">
        <f>IF([1]!BANCO10[[#This Row],[SOLUÇÃO]]=CN$1,[1]!BANCO10[[#This Row],[STATUS DA ETAPA]],"")</f>
        <v/>
      </c>
      <c r="CO460" s="21" t="str">
        <f>IF([1]!BANCO10[[#This Row],[SOLUÇÃO]]=CO$1,[1]!BANCO10[[#This Row],[STATUS DA ETAPA]],"")</f>
        <v/>
      </c>
      <c r="CP460" s="21" t="str">
        <f>IF([1]!BANCO10[[#This Row],[SOLUÇÃO]]=CP$1,[1]!BANCO10[[#This Row],[STATUS DA ETAPA]],"")</f>
        <v/>
      </c>
      <c r="CQ460" s="21" t="str">
        <f>IF([1]!BANCO10[[#This Row],[SOLUÇÃO]]=CQ$1,[1]!BANCO10[[#This Row],[STATUS DA ETAPA]],"")</f>
        <v/>
      </c>
      <c r="CR460" s="21" t="str">
        <f>IF([1]!BANCO10[[#This Row],[SOLUÇÃO]]=CR$1,[1]!BANCO10[[#This Row],[STATUS DA ETAPA]],"")</f>
        <v/>
      </c>
      <c r="CS460" s="21" t="str">
        <f>IF([1]!BANCO10[[#This Row],[SOLUÇÃO]]=CS$1,[1]!BANCO10[[#This Row],[STATUS DA ETAPA]],"")</f>
        <v/>
      </c>
      <c r="CT460" s="21" t="str">
        <f>IF([1]!BANCO10[[#This Row],[SOLUÇÃO]]=CT$1,[1]!BANCO10[[#This Row],[STATUS DA ETAPA]],"")</f>
        <v/>
      </c>
      <c r="CU460" s="21" t="str">
        <f>IF([1]!BANCO10[[#This Row],[SOLUÇÃO]]=CU$1,[1]!BANCO10[[#This Row],[STATUS DA ETAPA]],"")</f>
        <v/>
      </c>
      <c r="CV460" s="21" t="str">
        <f>IF([1]!BANCO10[[#This Row],[SOLUÇÃO]]=CV$1,[1]!BANCO10[[#This Row],[STATUS DA ETAPA]],"")</f>
        <v/>
      </c>
    </row>
    <row r="461" spans="1:100">
      <c r="A461" s="44" t="s">
        <v>1</v>
      </c>
      <c r="B461" s="44"/>
      <c r="C461" s="44" t="s">
        <v>1</v>
      </c>
      <c r="D461" s="44"/>
      <c r="E461" s="44" t="s">
        <v>1</v>
      </c>
      <c r="F461" s="44"/>
      <c r="G461" s="44" t="s">
        <v>1</v>
      </c>
      <c r="H461" s="44"/>
      <c r="I461" s="45" t="s">
        <v>1</v>
      </c>
      <c r="J461" s="46"/>
      <c r="K461" s="45" t="s">
        <v>1</v>
      </c>
      <c r="L461" s="33"/>
      <c r="M461" s="45" t="s">
        <v>1</v>
      </c>
      <c r="N461" s="33"/>
      <c r="O461" s="44" t="s">
        <v>2</v>
      </c>
      <c r="P461" s="44">
        <v>44790</v>
      </c>
      <c r="Q461" s="44" t="s">
        <v>2</v>
      </c>
      <c r="R461" s="44">
        <v>44803</v>
      </c>
      <c r="S461" s="44" t="s">
        <v>2</v>
      </c>
      <c r="T461" s="44">
        <v>45022</v>
      </c>
      <c r="U461" s="44" t="s">
        <v>2</v>
      </c>
      <c r="V461" s="44">
        <v>45022</v>
      </c>
      <c r="W461" s="44" t="s">
        <v>2</v>
      </c>
      <c r="X461" s="44"/>
      <c r="Y461" s="44" t="s">
        <v>1</v>
      </c>
      <c r="Z461" s="44"/>
      <c r="AA461" s="44" t="s">
        <v>2</v>
      </c>
      <c r="AB461" s="44"/>
      <c r="AC461" s="51">
        <v>45090</v>
      </c>
      <c r="AD461" s="50">
        <v>45187</v>
      </c>
      <c r="AE461" s="40" t="s">
        <v>2</v>
      </c>
      <c r="AF461" s="40" t="s">
        <v>2</v>
      </c>
      <c r="AG461" s="76" t="s">
        <v>5</v>
      </c>
      <c r="AH461" s="36" t="s">
        <v>0</v>
      </c>
      <c r="AI461" s="49">
        <v>0</v>
      </c>
      <c r="AJ461" s="36"/>
      <c r="AK461" s="10"/>
      <c r="AL461" s="36" t="s">
        <v>1</v>
      </c>
      <c r="AM461" s="36" t="s">
        <v>1</v>
      </c>
      <c r="AN461" s="35" t="s">
        <v>1</v>
      </c>
      <c r="AO461" s="35" t="s">
        <v>1</v>
      </c>
      <c r="AP461" s="35" t="s">
        <v>2</v>
      </c>
      <c r="AQ461" s="35" t="s">
        <v>1</v>
      </c>
      <c r="AR461" s="34" t="s">
        <v>1</v>
      </c>
      <c r="AS461" s="33"/>
      <c r="AT461" s="30"/>
      <c r="AU461" s="55"/>
      <c r="AV461" s="30"/>
      <c r="AW461" s="55"/>
      <c r="AX461" s="30" t="s">
        <v>2</v>
      </c>
      <c r="AY461" s="55">
        <v>45187</v>
      </c>
      <c r="AZ461" s="30" t="s">
        <v>2</v>
      </c>
      <c r="BA461" s="55"/>
      <c r="BB461" s="74"/>
      <c r="BC461" s="25"/>
      <c r="BD461" s="24" t="s">
        <v>11</v>
      </c>
      <c r="BE461" s="24" t="s">
        <v>11</v>
      </c>
      <c r="BF461" s="24" t="s">
        <v>21</v>
      </c>
      <c r="BG461" s="24" t="s">
        <v>136</v>
      </c>
      <c r="BH461" s="130" t="s">
        <v>18</v>
      </c>
      <c r="BI461" s="24" t="s">
        <v>243</v>
      </c>
      <c r="BJ461" s="24" t="s">
        <v>11</v>
      </c>
      <c r="BK461" s="24" t="s">
        <v>11</v>
      </c>
      <c r="BL461" s="24" t="s">
        <v>11</v>
      </c>
      <c r="BM461" s="24" t="s">
        <v>11</v>
      </c>
      <c r="BN461" s="24" t="s">
        <v>11</v>
      </c>
      <c r="BO461" s="24" t="s">
        <v>11</v>
      </c>
      <c r="BP461" s="24" t="s">
        <v>11</v>
      </c>
      <c r="BQ461" s="22">
        <f>YEAR([1]!BANCO10[[#This Row],[DATA INÍCIO]])</f>
        <v>2023</v>
      </c>
      <c r="BR461" s="22">
        <f>MONTH([1]!BANCO10[[#This Row],[DATA INÍCIO]])</f>
        <v>6</v>
      </c>
      <c r="BS461" s="129" t="e">
        <f>CONCATENATE(#REF!,#REF!)</f>
        <v>#REF!</v>
      </c>
      <c r="BT461" s="22"/>
      <c r="BU461" s="21" t="s">
        <v>425</v>
      </c>
      <c r="BV461" s="21" t="str">
        <f>IF([1]!BANCO10[[#This Row],[SOLUÇÃO]]=BV$1,[1]!BANCO10[[#This Row],[STATUS DA ETAPA]],"")</f>
        <v/>
      </c>
      <c r="BW461" s="21" t="str">
        <f>IF([1]!BANCO10[[#This Row],[SOLUÇÃO]]=BW$1,[1]!BANCO10[[#This Row],[STATUS DA ETAPA]],"")</f>
        <v/>
      </c>
      <c r="BX461" s="21" t="str">
        <f>IF([1]!BANCO10[[#This Row],[SOLUÇÃO]]=BX$1,[1]!BANCO10[[#This Row],[STATUS DA ETAPA]],"")</f>
        <v/>
      </c>
      <c r="BY461" s="21" t="str">
        <f>IF([1]!BANCO10[[#This Row],[SOLUÇÃO]]=BY$1,[1]!BANCO10[[#This Row],[STATUS DA ETAPA]],"")</f>
        <v>CONCLUÍDO</v>
      </c>
      <c r="BZ461" s="21" t="str">
        <f>IF([1]!BANCO10[[#This Row],[SOLUÇÃO]]=BZ$1,[1]!BANCO10[[#This Row],[STATUS DA ETAPA]],"")</f>
        <v/>
      </c>
      <c r="CA461" s="21" t="str">
        <f>IF([1]!BANCO10[[#This Row],[SOLUÇÃO]]=CA$1,[1]!BANCO10[[#This Row],[STATUS DA ETAPA]],"")</f>
        <v/>
      </c>
      <c r="CB461" s="21" t="str">
        <f>IF([1]!BANCO10[[#This Row],[SOLUÇÃO]]=CB$1,[1]!BANCO10[[#This Row],[STATUS DA ETAPA]],"")</f>
        <v/>
      </c>
      <c r="CC461" s="21" t="str">
        <f>IF([1]!BANCO10[[#This Row],[SOLUÇÃO]]=CC$1,[1]!BANCO10[[#This Row],[STATUS DA ETAPA]],"")</f>
        <v/>
      </c>
      <c r="CD461" s="21" t="str">
        <f>IF([1]!BANCO10[[#This Row],[SOLUÇÃO]]=CD$1,[1]!BANCO10[[#This Row],[STATUS DA ETAPA]],"")</f>
        <v/>
      </c>
      <c r="CE461" s="21" t="str">
        <f>IF([1]!BANCO10[[#This Row],[SOLUÇÃO]]=CE$1,[1]!BANCO10[[#This Row],[STATUS DA ETAPA]],"")</f>
        <v/>
      </c>
      <c r="CF461" s="21" t="str">
        <f>IF([1]!BANCO10[[#This Row],[SOLUÇÃO]]=CF$1,[1]!BANCO10[[#This Row],[STATUS DA ETAPA]],"")</f>
        <v/>
      </c>
      <c r="CG461" s="21" t="str">
        <f>IF([1]!BANCO10[[#This Row],[SOLUÇÃO]]=CG$1,[1]!BANCO10[[#This Row],[STATUS DA ETAPA]],"")</f>
        <v/>
      </c>
      <c r="CH461" s="21" t="str">
        <f>IF([1]!BANCO10[[#This Row],[SOLUÇÃO]]=CH$1,[1]!BANCO10[[#This Row],[STATUS DA ETAPA]],"")</f>
        <v/>
      </c>
      <c r="CI461" s="21" t="str">
        <f>IF([1]!BANCO10[[#This Row],[SOLUÇÃO]]=CI$1,[1]!BANCO10[[#This Row],[STATUS DA ETAPA]],"")</f>
        <v/>
      </c>
      <c r="CJ461" s="21" t="str">
        <f>IF([1]!BANCO10[[#This Row],[SOLUÇÃO]]=CJ$1,[1]!BANCO10[[#This Row],[STATUS DA ETAPA]],"")</f>
        <v/>
      </c>
      <c r="CK461" s="21" t="str">
        <f>IF([1]!BANCO10[[#This Row],[SOLUÇÃO]]=CK$1,[1]!BANCO10[[#This Row],[STATUS DA ETAPA]],"")</f>
        <v/>
      </c>
      <c r="CL461" s="21" t="str">
        <f>IF([1]!BANCO10[[#This Row],[SOLUÇÃO]]=CL$1,[1]!BANCO10[[#This Row],[STATUS DA ETAPA]],"")</f>
        <v/>
      </c>
      <c r="CM461" s="21" t="str">
        <f>IF([1]!BANCO10[[#This Row],[SOLUÇÃO]]=CM$1,[1]!BANCO10[[#This Row],[STATUS DA ETAPA]],"")</f>
        <v/>
      </c>
      <c r="CN461" s="21" t="str">
        <f>IF([1]!BANCO10[[#This Row],[SOLUÇÃO]]=CN$1,[1]!BANCO10[[#This Row],[STATUS DA ETAPA]],"")</f>
        <v/>
      </c>
      <c r="CO461" s="21" t="str">
        <f>IF([1]!BANCO10[[#This Row],[SOLUÇÃO]]=CO$1,[1]!BANCO10[[#This Row],[STATUS DA ETAPA]],"")</f>
        <v/>
      </c>
      <c r="CP461" s="21" t="str">
        <f>IF([1]!BANCO10[[#This Row],[SOLUÇÃO]]=CP$1,[1]!BANCO10[[#This Row],[STATUS DA ETAPA]],"")</f>
        <v/>
      </c>
      <c r="CQ461" s="21" t="str">
        <f>IF([1]!BANCO10[[#This Row],[SOLUÇÃO]]=CQ$1,[1]!BANCO10[[#This Row],[STATUS DA ETAPA]],"")</f>
        <v/>
      </c>
      <c r="CR461" s="21" t="str">
        <f>IF([1]!BANCO10[[#This Row],[SOLUÇÃO]]=CR$1,[1]!BANCO10[[#This Row],[STATUS DA ETAPA]],"")</f>
        <v/>
      </c>
      <c r="CS461" s="21" t="str">
        <f>IF([1]!BANCO10[[#This Row],[SOLUÇÃO]]=CS$1,[1]!BANCO10[[#This Row],[STATUS DA ETAPA]],"")</f>
        <v/>
      </c>
      <c r="CT461" s="21" t="str">
        <f>IF([1]!BANCO10[[#This Row],[SOLUÇÃO]]=CT$1,[1]!BANCO10[[#This Row],[STATUS DA ETAPA]],"")</f>
        <v/>
      </c>
      <c r="CU461" s="21" t="str">
        <f>IF([1]!BANCO10[[#This Row],[SOLUÇÃO]]=CU$1,[1]!BANCO10[[#This Row],[STATUS DA ETAPA]],"")</f>
        <v/>
      </c>
      <c r="CV461" s="21" t="str">
        <f>IF([1]!BANCO10[[#This Row],[SOLUÇÃO]]=CV$1,[1]!BANCO10[[#This Row],[STATUS DA ETAPA]],"")</f>
        <v/>
      </c>
    </row>
    <row r="462" spans="1:100">
      <c r="A462" s="44" t="s">
        <v>1</v>
      </c>
      <c r="B462" s="44"/>
      <c r="C462" s="44" t="s">
        <v>1</v>
      </c>
      <c r="D462" s="44"/>
      <c r="E462" s="44" t="s">
        <v>1</v>
      </c>
      <c r="F462" s="44"/>
      <c r="G462" s="44" t="s">
        <v>1</v>
      </c>
      <c r="H462" s="44"/>
      <c r="I462" s="45" t="s">
        <v>1</v>
      </c>
      <c r="J462" s="46"/>
      <c r="K462" s="45" t="s">
        <v>1</v>
      </c>
      <c r="L462" s="33"/>
      <c r="M462" s="45" t="s">
        <v>1</v>
      </c>
      <c r="N462" s="33"/>
      <c r="O462" s="44" t="s">
        <v>2</v>
      </c>
      <c r="P462" s="44">
        <v>44790</v>
      </c>
      <c r="Q462" s="44" t="s">
        <v>2</v>
      </c>
      <c r="R462" s="44">
        <v>45378</v>
      </c>
      <c r="S462" s="44" t="s">
        <v>2</v>
      </c>
      <c r="T462" s="44">
        <v>45378</v>
      </c>
      <c r="U462" s="44" t="s">
        <v>2</v>
      </c>
      <c r="V462" s="44">
        <v>45379</v>
      </c>
      <c r="W462" s="44"/>
      <c r="X462" s="44"/>
      <c r="Y462" s="44"/>
      <c r="Z462" s="44"/>
      <c r="AA462" s="44" t="s">
        <v>2</v>
      </c>
      <c r="AB462" s="44"/>
      <c r="AC462" s="51">
        <v>45405</v>
      </c>
      <c r="AD462" s="50">
        <v>45496</v>
      </c>
      <c r="AE462" s="40" t="s">
        <v>2</v>
      </c>
      <c r="AF462" s="40" t="s">
        <v>2</v>
      </c>
      <c r="AG462" s="76" t="s">
        <v>4</v>
      </c>
      <c r="AH462" s="36" t="s">
        <v>0</v>
      </c>
      <c r="AI462" s="49">
        <v>0</v>
      </c>
      <c r="AJ462" s="36" t="s">
        <v>6</v>
      </c>
      <c r="AK462" s="10">
        <v>0</v>
      </c>
      <c r="AL462" s="36">
        <v>4702</v>
      </c>
      <c r="AM462" s="36">
        <v>0</v>
      </c>
      <c r="AN462" s="35" t="s">
        <v>1</v>
      </c>
      <c r="AO462" s="35" t="s">
        <v>1</v>
      </c>
      <c r="AP462" s="35" t="s">
        <v>2</v>
      </c>
      <c r="AQ462" s="35" t="s">
        <v>1</v>
      </c>
      <c r="AR462" s="34" t="s">
        <v>1</v>
      </c>
      <c r="AS462" s="33"/>
      <c r="AT462" s="30"/>
      <c r="AU462" s="55"/>
      <c r="AV462" s="30"/>
      <c r="AW462" s="55"/>
      <c r="AX462" s="30" t="s">
        <v>2</v>
      </c>
      <c r="AY462" s="55">
        <v>45554</v>
      </c>
      <c r="AZ462" s="30" t="s">
        <v>2</v>
      </c>
      <c r="BA462" s="55">
        <v>45625</v>
      </c>
      <c r="BB462" s="74"/>
      <c r="BC462" s="25"/>
      <c r="BD462" s="24" t="s">
        <v>11</v>
      </c>
      <c r="BE462" s="24" t="s">
        <v>11</v>
      </c>
      <c r="BF462" s="24" t="s">
        <v>21</v>
      </c>
      <c r="BG462" s="24" t="s">
        <v>136</v>
      </c>
      <c r="BH462" s="130" t="s">
        <v>18</v>
      </c>
      <c r="BI462" s="24" t="s">
        <v>243</v>
      </c>
      <c r="BJ462" s="24" t="s">
        <v>11</v>
      </c>
      <c r="BK462" s="24" t="s">
        <v>11</v>
      </c>
      <c r="BL462" s="24">
        <v>45391</v>
      </c>
      <c r="BM462" s="24" t="s">
        <v>18</v>
      </c>
      <c r="BN462" s="24" t="s">
        <v>11</v>
      </c>
      <c r="BO462" s="24"/>
      <c r="BP462" s="24" t="s">
        <v>126</v>
      </c>
      <c r="BQ462" s="22">
        <f>YEAR([1]!BANCO10[[#This Row],[DATA INÍCIO]])</f>
        <v>2024</v>
      </c>
      <c r="BR462" s="22">
        <f>MONTH([1]!BANCO10[[#This Row],[DATA INÍCIO]])</f>
        <v>4</v>
      </c>
      <c r="BS462" s="129" t="e">
        <f>CONCATENATE(#REF!,#REF!)</f>
        <v>#REF!</v>
      </c>
      <c r="BT462" s="22"/>
      <c r="BU462" s="21" t="s">
        <v>424</v>
      </c>
      <c r="BV462" s="21" t="str">
        <f>IF([1]!BANCO10[[#This Row],[SOLUÇÃO]]=BV$1,[1]!BANCO10[[#This Row],[STATUS DA ETAPA]],"")</f>
        <v/>
      </c>
      <c r="BW462" s="21" t="str">
        <f>IF([1]!BANCO10[[#This Row],[SOLUÇÃO]]=BW$1,[1]!BANCO10[[#This Row],[STATUS DA ETAPA]],"")</f>
        <v/>
      </c>
      <c r="BX462" s="21" t="str">
        <f>IF([1]!BANCO10[[#This Row],[SOLUÇÃO]]=BX$1,[1]!BANCO10[[#This Row],[STATUS DA ETAPA]],"")</f>
        <v>CONCLUÍDO</v>
      </c>
      <c r="BY462" s="21" t="str">
        <f>IF([1]!BANCO10[[#This Row],[SOLUÇÃO]]=BY$1,[1]!BANCO10[[#This Row],[STATUS DA ETAPA]],"")</f>
        <v/>
      </c>
      <c r="BZ462" s="21" t="str">
        <f>IF([1]!BANCO10[[#This Row],[SOLUÇÃO]]=BZ$1,[1]!BANCO10[[#This Row],[STATUS DA ETAPA]],"")</f>
        <v/>
      </c>
      <c r="CA462" s="21" t="str">
        <f>IF([1]!BANCO10[[#This Row],[SOLUÇÃO]]=CA$1,[1]!BANCO10[[#This Row],[STATUS DA ETAPA]],"")</f>
        <v/>
      </c>
      <c r="CB462" s="21" t="str">
        <f>IF([1]!BANCO10[[#This Row],[SOLUÇÃO]]=CB$1,[1]!BANCO10[[#This Row],[STATUS DA ETAPA]],"")</f>
        <v/>
      </c>
      <c r="CC462" s="21" t="str">
        <f>IF([1]!BANCO10[[#This Row],[SOLUÇÃO]]=CC$1,[1]!BANCO10[[#This Row],[STATUS DA ETAPA]],"")</f>
        <v/>
      </c>
      <c r="CD462" s="21" t="str">
        <f>IF([1]!BANCO10[[#This Row],[SOLUÇÃO]]=CD$1,[1]!BANCO10[[#This Row],[STATUS DA ETAPA]],"")</f>
        <v/>
      </c>
      <c r="CE462" s="21" t="str">
        <f>IF([1]!BANCO10[[#This Row],[SOLUÇÃO]]=CE$1,[1]!BANCO10[[#This Row],[STATUS DA ETAPA]],"")</f>
        <v/>
      </c>
      <c r="CF462" s="21" t="str">
        <f>IF([1]!BANCO10[[#This Row],[SOLUÇÃO]]=CF$1,[1]!BANCO10[[#This Row],[STATUS DA ETAPA]],"")</f>
        <v/>
      </c>
      <c r="CG462" s="21" t="str">
        <f>IF([1]!BANCO10[[#This Row],[SOLUÇÃO]]=CG$1,[1]!BANCO10[[#This Row],[STATUS DA ETAPA]],"")</f>
        <v/>
      </c>
      <c r="CH462" s="21" t="str">
        <f>IF([1]!BANCO10[[#This Row],[SOLUÇÃO]]=CH$1,[1]!BANCO10[[#This Row],[STATUS DA ETAPA]],"")</f>
        <v/>
      </c>
      <c r="CI462" s="21" t="str">
        <f>IF([1]!BANCO10[[#This Row],[SOLUÇÃO]]=CI$1,[1]!BANCO10[[#This Row],[STATUS DA ETAPA]],"")</f>
        <v/>
      </c>
      <c r="CJ462" s="21" t="str">
        <f>IF([1]!BANCO10[[#This Row],[SOLUÇÃO]]=CJ$1,[1]!BANCO10[[#This Row],[STATUS DA ETAPA]],"")</f>
        <v/>
      </c>
      <c r="CK462" s="21" t="str">
        <f>IF([1]!BANCO10[[#This Row],[SOLUÇÃO]]=CK$1,[1]!BANCO10[[#This Row],[STATUS DA ETAPA]],"")</f>
        <v/>
      </c>
      <c r="CL462" s="21" t="str">
        <f>IF([1]!BANCO10[[#This Row],[SOLUÇÃO]]=CL$1,[1]!BANCO10[[#This Row],[STATUS DA ETAPA]],"")</f>
        <v/>
      </c>
      <c r="CM462" s="21" t="str">
        <f>IF([1]!BANCO10[[#This Row],[SOLUÇÃO]]=CM$1,[1]!BANCO10[[#This Row],[STATUS DA ETAPA]],"")</f>
        <v/>
      </c>
      <c r="CN462" s="21" t="str">
        <f>IF([1]!BANCO10[[#This Row],[SOLUÇÃO]]=CN$1,[1]!BANCO10[[#This Row],[STATUS DA ETAPA]],"")</f>
        <v/>
      </c>
      <c r="CO462" s="21" t="str">
        <f>IF([1]!BANCO10[[#This Row],[SOLUÇÃO]]=CO$1,[1]!BANCO10[[#This Row],[STATUS DA ETAPA]],"")</f>
        <v/>
      </c>
      <c r="CP462" s="21" t="str">
        <f>IF([1]!BANCO10[[#This Row],[SOLUÇÃO]]=CP$1,[1]!BANCO10[[#This Row],[STATUS DA ETAPA]],"")</f>
        <v/>
      </c>
      <c r="CQ462" s="21" t="str">
        <f>IF([1]!BANCO10[[#This Row],[SOLUÇÃO]]=CQ$1,[1]!BANCO10[[#This Row],[STATUS DA ETAPA]],"")</f>
        <v/>
      </c>
      <c r="CR462" s="21" t="str">
        <f>IF([1]!BANCO10[[#This Row],[SOLUÇÃO]]=CR$1,[1]!BANCO10[[#This Row],[STATUS DA ETAPA]],"")</f>
        <v/>
      </c>
      <c r="CS462" s="21" t="str">
        <f>IF([1]!BANCO10[[#This Row],[SOLUÇÃO]]=CS$1,[1]!BANCO10[[#This Row],[STATUS DA ETAPA]],"")</f>
        <v/>
      </c>
      <c r="CT462" s="21" t="str">
        <f>IF([1]!BANCO10[[#This Row],[SOLUÇÃO]]=CT$1,[1]!BANCO10[[#This Row],[STATUS DA ETAPA]],"")</f>
        <v/>
      </c>
      <c r="CU462" s="21" t="str">
        <f>IF([1]!BANCO10[[#This Row],[SOLUÇÃO]]=CU$1,[1]!BANCO10[[#This Row],[STATUS DA ETAPA]],"")</f>
        <v/>
      </c>
      <c r="CV462" s="21" t="str">
        <f>IF([1]!BANCO10[[#This Row],[SOLUÇÃO]]=CV$1,[1]!BANCO10[[#This Row],[STATUS DA ETAPA]],"")</f>
        <v/>
      </c>
    </row>
    <row r="463" spans="1:100">
      <c r="A463" s="44" t="s">
        <v>1</v>
      </c>
      <c r="B463" s="44"/>
      <c r="C463" s="44"/>
      <c r="D463" s="44"/>
      <c r="E463" s="44" t="s">
        <v>1</v>
      </c>
      <c r="F463" s="44"/>
      <c r="G463" s="44" t="s">
        <v>1</v>
      </c>
      <c r="H463" s="44"/>
      <c r="I463" s="45" t="s">
        <v>2</v>
      </c>
      <c r="J463" s="46">
        <v>45637</v>
      </c>
      <c r="K463" s="45"/>
      <c r="L463" s="33"/>
      <c r="M463" s="45"/>
      <c r="N463" s="33"/>
      <c r="O463" s="44" t="s">
        <v>1</v>
      </c>
      <c r="P463" s="44"/>
      <c r="Q463" s="44" t="s">
        <v>1</v>
      </c>
      <c r="R463" s="44"/>
      <c r="S463" s="44" t="s">
        <v>1</v>
      </c>
      <c r="T463" s="44"/>
      <c r="U463" s="44" t="s">
        <v>1</v>
      </c>
      <c r="V463" s="44"/>
      <c r="W463" s="44" t="s">
        <v>1</v>
      </c>
      <c r="X463" s="44"/>
      <c r="Y463" s="44" t="s">
        <v>1</v>
      </c>
      <c r="Z463" s="44"/>
      <c r="AA463" s="44" t="s">
        <v>1</v>
      </c>
      <c r="AB463" s="44"/>
      <c r="AC463" s="51">
        <v>45963</v>
      </c>
      <c r="AD463" s="50">
        <v>45963</v>
      </c>
      <c r="AE463" s="40" t="s">
        <v>1</v>
      </c>
      <c r="AF463" s="40" t="s">
        <v>1</v>
      </c>
      <c r="AG463" s="40" t="s">
        <v>1</v>
      </c>
      <c r="AH463" s="36" t="s">
        <v>1</v>
      </c>
      <c r="AI463" s="49">
        <v>0</v>
      </c>
      <c r="AJ463" s="36" t="s">
        <v>1</v>
      </c>
      <c r="AK463" s="10" t="s">
        <v>1</v>
      </c>
      <c r="AL463" s="36" t="s">
        <v>1</v>
      </c>
      <c r="AM463" s="36" t="s">
        <v>1</v>
      </c>
      <c r="AN463" s="35" t="s">
        <v>1</v>
      </c>
      <c r="AO463" s="35" t="s">
        <v>1</v>
      </c>
      <c r="AP463" s="35" t="s">
        <v>1</v>
      </c>
      <c r="AQ463" s="35" t="s">
        <v>1</v>
      </c>
      <c r="AR463" s="34" t="s">
        <v>1</v>
      </c>
      <c r="AS463" s="63"/>
      <c r="AT463" s="32" t="s">
        <v>1</v>
      </c>
      <c r="AU463" s="31"/>
      <c r="AV463" s="32" t="s">
        <v>1</v>
      </c>
      <c r="AW463" s="31"/>
      <c r="AX463" s="32" t="s">
        <v>1</v>
      </c>
      <c r="AY463" s="31"/>
      <c r="AZ463" s="32" t="s">
        <v>1</v>
      </c>
      <c r="BA463" s="31"/>
      <c r="BB463" s="74"/>
      <c r="BC463" s="25"/>
      <c r="BD463" s="24" t="s">
        <v>11</v>
      </c>
      <c r="BE463" s="24" t="s">
        <v>11</v>
      </c>
      <c r="BF463" s="24" t="s">
        <v>112</v>
      </c>
      <c r="BG463" s="24" t="s">
        <v>397</v>
      </c>
      <c r="BH463" s="130" t="s">
        <v>63</v>
      </c>
      <c r="BI463" s="24"/>
      <c r="BJ463" s="24" t="s">
        <v>11</v>
      </c>
      <c r="BK463" s="24" t="s">
        <v>11</v>
      </c>
      <c r="BL463" s="24" t="s">
        <v>11</v>
      </c>
      <c r="BM463" s="24" t="s">
        <v>11</v>
      </c>
      <c r="BN463" s="24" t="s">
        <v>11</v>
      </c>
      <c r="BO463" s="24" t="s">
        <v>11</v>
      </c>
      <c r="BP463" s="24" t="s">
        <v>423</v>
      </c>
      <c r="BQ463" s="22">
        <f>YEAR([1]!BANCO10[[#This Row],[DATA INÍCIO]])</f>
        <v>2025</v>
      </c>
      <c r="BR463" s="22">
        <f>MONTH([1]!BANCO10[[#This Row],[DATA INÍCIO]])</f>
        <v>11</v>
      </c>
      <c r="BS463" s="129" t="e">
        <f>CONCATENATE(#REF!,#REF!)</f>
        <v>#REF!</v>
      </c>
      <c r="BT463" s="22"/>
      <c r="BU463" s="21" t="s">
        <v>1</v>
      </c>
      <c r="BV463" s="21" t="str">
        <f>IF([1]!BANCO10[[#This Row],[SOLUÇÃO]]=BV$1,[1]!BANCO10[[#This Row],[STATUS DA ETAPA]],"")</f>
        <v/>
      </c>
      <c r="BW463" s="21" t="str">
        <f>IF([1]!BANCO10[[#This Row],[SOLUÇÃO]]=BW$1,[1]!BANCO10[[#This Row],[STATUS DA ETAPA]],"")</f>
        <v/>
      </c>
      <c r="BX463" s="21" t="str">
        <f>IF([1]!BANCO10[[#This Row],[SOLUÇÃO]]=BX$1,[1]!BANCO10[[#This Row],[STATUS DA ETAPA]],"")</f>
        <v/>
      </c>
      <c r="BY463" s="21" t="str">
        <f>IF([1]!BANCO10[[#This Row],[SOLUÇÃO]]=BY$1,[1]!BANCO10[[#This Row],[STATUS DA ETAPA]],"")</f>
        <v/>
      </c>
      <c r="BZ463" s="21" t="str">
        <f>IF([1]!BANCO10[[#This Row],[SOLUÇÃO]]=BZ$1,[1]!BANCO10[[#This Row],[STATUS DA ETAPA]],"")</f>
        <v/>
      </c>
      <c r="CA463" s="21" t="str">
        <f>IF([1]!BANCO10[[#This Row],[SOLUÇÃO]]=CA$1,[1]!BANCO10[[#This Row],[STATUS DA ETAPA]],"")</f>
        <v/>
      </c>
      <c r="CB463" s="21" t="str">
        <f>IF([1]!BANCO10[[#This Row],[SOLUÇÃO]]=CB$1,[1]!BANCO10[[#This Row],[STATUS DA ETAPA]],"")</f>
        <v>CANCELADO</v>
      </c>
      <c r="CC463" s="21" t="str">
        <f>IF([1]!BANCO10[[#This Row],[SOLUÇÃO]]=CC$1,[1]!BANCO10[[#This Row],[STATUS DA ETAPA]],"")</f>
        <v/>
      </c>
      <c r="CD463" s="21" t="str">
        <f>IF([1]!BANCO10[[#This Row],[SOLUÇÃO]]=CD$1,[1]!BANCO10[[#This Row],[STATUS DA ETAPA]],"")</f>
        <v/>
      </c>
      <c r="CE463" s="21" t="str">
        <f>IF([1]!BANCO10[[#This Row],[SOLUÇÃO]]=CE$1,[1]!BANCO10[[#This Row],[STATUS DA ETAPA]],"")</f>
        <v/>
      </c>
      <c r="CF463" s="21" t="str">
        <f>IF([1]!BANCO10[[#This Row],[SOLUÇÃO]]=CF$1,[1]!BANCO10[[#This Row],[STATUS DA ETAPA]],"")</f>
        <v/>
      </c>
      <c r="CG463" s="21" t="str">
        <f>IF([1]!BANCO10[[#This Row],[SOLUÇÃO]]=CG$1,[1]!BANCO10[[#This Row],[STATUS DA ETAPA]],"")</f>
        <v/>
      </c>
      <c r="CH463" s="21" t="str">
        <f>IF([1]!BANCO10[[#This Row],[SOLUÇÃO]]=CH$1,[1]!BANCO10[[#This Row],[STATUS DA ETAPA]],"")</f>
        <v/>
      </c>
      <c r="CI463" s="21" t="str">
        <f>IF([1]!BANCO10[[#This Row],[SOLUÇÃO]]=CI$1,[1]!BANCO10[[#This Row],[STATUS DA ETAPA]],"")</f>
        <v/>
      </c>
      <c r="CJ463" s="21" t="str">
        <f>IF([1]!BANCO10[[#This Row],[SOLUÇÃO]]=CJ$1,[1]!BANCO10[[#This Row],[STATUS DA ETAPA]],"")</f>
        <v/>
      </c>
      <c r="CK463" s="21" t="str">
        <f>IF([1]!BANCO10[[#This Row],[SOLUÇÃO]]=CK$1,[1]!BANCO10[[#This Row],[STATUS DA ETAPA]],"")</f>
        <v/>
      </c>
      <c r="CL463" s="21" t="str">
        <f>IF([1]!BANCO10[[#This Row],[SOLUÇÃO]]=CL$1,[1]!BANCO10[[#This Row],[STATUS DA ETAPA]],"")</f>
        <v/>
      </c>
      <c r="CM463" s="21" t="str">
        <f>IF([1]!BANCO10[[#This Row],[SOLUÇÃO]]=CM$1,[1]!BANCO10[[#This Row],[STATUS DA ETAPA]],"")</f>
        <v/>
      </c>
      <c r="CN463" s="21" t="str">
        <f>IF([1]!BANCO10[[#This Row],[SOLUÇÃO]]=CN$1,[1]!BANCO10[[#This Row],[STATUS DA ETAPA]],"")</f>
        <v/>
      </c>
      <c r="CO463" s="21" t="str">
        <f>IF([1]!BANCO10[[#This Row],[SOLUÇÃO]]=CO$1,[1]!BANCO10[[#This Row],[STATUS DA ETAPA]],"")</f>
        <v/>
      </c>
      <c r="CP463" s="21" t="str">
        <f>IF([1]!BANCO10[[#This Row],[SOLUÇÃO]]=CP$1,[1]!BANCO10[[#This Row],[STATUS DA ETAPA]],"")</f>
        <v/>
      </c>
      <c r="CQ463" s="21" t="str">
        <f>IF([1]!BANCO10[[#This Row],[SOLUÇÃO]]=CQ$1,[1]!BANCO10[[#This Row],[STATUS DA ETAPA]],"")</f>
        <v/>
      </c>
      <c r="CR463" s="21" t="str">
        <f>IF([1]!BANCO10[[#This Row],[SOLUÇÃO]]=CR$1,[1]!BANCO10[[#This Row],[STATUS DA ETAPA]],"")</f>
        <v/>
      </c>
      <c r="CS463" s="21" t="str">
        <f>IF([1]!BANCO10[[#This Row],[SOLUÇÃO]]=CS$1,[1]!BANCO10[[#This Row],[STATUS DA ETAPA]],"")</f>
        <v/>
      </c>
      <c r="CT463" s="21" t="str">
        <f>IF([1]!BANCO10[[#This Row],[SOLUÇÃO]]=CT$1,[1]!BANCO10[[#This Row],[STATUS DA ETAPA]],"")</f>
        <v/>
      </c>
      <c r="CU463" s="21" t="str">
        <f>IF([1]!BANCO10[[#This Row],[SOLUÇÃO]]=CU$1,[1]!BANCO10[[#This Row],[STATUS DA ETAPA]],"")</f>
        <v/>
      </c>
      <c r="CV463" s="21" t="str">
        <f>IF([1]!BANCO10[[#This Row],[SOLUÇÃO]]=CV$1,[1]!BANCO10[[#This Row],[STATUS DA ETAPA]],"")</f>
        <v/>
      </c>
    </row>
    <row r="464" spans="1:100">
      <c r="A464" s="44" t="s">
        <v>2</v>
      </c>
      <c r="B464" s="44">
        <v>45679</v>
      </c>
      <c r="C464" s="44" t="s">
        <v>2</v>
      </c>
      <c r="D464" s="44">
        <v>45681</v>
      </c>
      <c r="E464" s="44" t="s">
        <v>2</v>
      </c>
      <c r="F464" s="44">
        <v>45687</v>
      </c>
      <c r="G464" s="44" t="s">
        <v>2</v>
      </c>
      <c r="H464" s="44">
        <v>45687</v>
      </c>
      <c r="I464" s="45" t="s">
        <v>2</v>
      </c>
      <c r="J464" s="46">
        <v>45687</v>
      </c>
      <c r="K464" s="45" t="s">
        <v>2</v>
      </c>
      <c r="L464" s="33">
        <v>45694</v>
      </c>
      <c r="M464" s="45" t="s">
        <v>2</v>
      </c>
      <c r="N464" s="33">
        <v>45695</v>
      </c>
      <c r="O464" s="44" t="s">
        <v>1</v>
      </c>
      <c r="P464" s="44"/>
      <c r="Q464" s="44" t="s">
        <v>2</v>
      </c>
      <c r="R464" s="44"/>
      <c r="S464" s="44" t="s">
        <v>2</v>
      </c>
      <c r="T464" s="44">
        <v>45708</v>
      </c>
      <c r="U464" s="44" t="s">
        <v>1</v>
      </c>
      <c r="V464" s="44"/>
      <c r="W464" s="44" t="s">
        <v>1</v>
      </c>
      <c r="X464" s="44"/>
      <c r="Y464" s="44" t="s">
        <v>1</v>
      </c>
      <c r="Z464" s="44"/>
      <c r="AA464" s="44" t="s">
        <v>1</v>
      </c>
      <c r="AB464" s="44"/>
      <c r="AC464" s="51">
        <v>45786</v>
      </c>
      <c r="AD464" s="50">
        <v>45869</v>
      </c>
      <c r="AE464" s="41" t="s">
        <v>2</v>
      </c>
      <c r="AF464" s="41" t="s">
        <v>0</v>
      </c>
      <c r="AG464" s="40" t="s">
        <v>5</v>
      </c>
      <c r="AH464" s="36" t="s">
        <v>0</v>
      </c>
      <c r="AI464" s="49">
        <v>20140</v>
      </c>
      <c r="AJ464" s="36" t="s">
        <v>6</v>
      </c>
      <c r="AK464" s="10">
        <v>594925</v>
      </c>
      <c r="AL464" s="36" t="s">
        <v>1</v>
      </c>
      <c r="AM464" s="36" t="s">
        <v>1</v>
      </c>
      <c r="AN464" s="35" t="s">
        <v>0</v>
      </c>
      <c r="AO464" s="35" t="s">
        <v>0</v>
      </c>
      <c r="AP464" s="35" t="s">
        <v>0</v>
      </c>
      <c r="AQ464" s="35" t="s">
        <v>2</v>
      </c>
      <c r="AR464" s="34" t="s">
        <v>0</v>
      </c>
      <c r="AS464" s="33"/>
      <c r="AT464" s="32" t="s">
        <v>1</v>
      </c>
      <c r="AU464" s="31"/>
      <c r="AV464" s="32" t="s">
        <v>1</v>
      </c>
      <c r="AW464" s="31"/>
      <c r="AX464" s="32" t="s">
        <v>0</v>
      </c>
      <c r="AY464" s="31"/>
      <c r="AZ464" s="32" t="s">
        <v>0</v>
      </c>
      <c r="BA464" s="31"/>
      <c r="BB464" s="109" t="s">
        <v>68</v>
      </c>
      <c r="BC464" s="25"/>
      <c r="BD464" s="24"/>
      <c r="BE464" s="24"/>
      <c r="BF464" s="24"/>
      <c r="BG464" s="24"/>
      <c r="BH464" s="24"/>
      <c r="BI464" s="24"/>
      <c r="BJ464" s="24"/>
      <c r="BK464" s="24"/>
      <c r="BL464" s="24"/>
      <c r="BM464" s="24"/>
      <c r="BN464" s="24"/>
      <c r="BO464" s="24"/>
      <c r="BP464" s="24"/>
      <c r="BQ464" s="22">
        <f>YEAR([1]!BANCO10[[#This Row],[DATA INÍCIO]])</f>
        <v>2025</v>
      </c>
      <c r="BR464" s="22">
        <f>MONTH([1]!BANCO10[[#This Row],[DATA INÍCIO]])</f>
        <v>5</v>
      </c>
      <c r="BS464" s="23" t="e">
        <f>CONCATENATE(#REF!,#REF!)</f>
        <v>#REF!</v>
      </c>
      <c r="BT464" s="22"/>
      <c r="BU464" s="22"/>
      <c r="BV464" s="21" t="str">
        <f>IF([1]!BANCO10[[#This Row],[SOLUÇÃO]]=BV$1,[1]!BANCO10[[#This Row],[STATUS DA ETAPA]],"")</f>
        <v/>
      </c>
      <c r="BW464" s="21" t="str">
        <f>IF([1]!BANCO10[[#This Row],[SOLUÇÃO]]=BW$1,[1]!BANCO10[[#This Row],[STATUS DA ETAPA]],"")</f>
        <v/>
      </c>
      <c r="BX464" s="21" t="str">
        <f>IF([1]!BANCO10[[#This Row],[SOLUÇÃO]]=BX$1,[1]!BANCO10[[#This Row],[STATUS DA ETAPA]],"")</f>
        <v/>
      </c>
      <c r="BY464" s="21" t="str">
        <f>IF([1]!BANCO10[[#This Row],[SOLUÇÃO]]=BY$1,[1]!BANCO10[[#This Row],[STATUS DA ETAPA]],"")</f>
        <v/>
      </c>
      <c r="BZ464" s="21" t="str">
        <f>IF([1]!BANCO10[[#This Row],[SOLUÇÃO]]=BZ$1,[1]!BANCO10[[#This Row],[STATUS DA ETAPA]],"")</f>
        <v/>
      </c>
      <c r="CA464" s="21" t="str">
        <f>IF([1]!BANCO10[[#This Row],[SOLUÇÃO]]=CA$1,[1]!BANCO10[[#This Row],[STATUS DA ETAPA]],"")</f>
        <v/>
      </c>
      <c r="CB464" s="21" t="str">
        <f>IF([1]!BANCO10[[#This Row],[SOLUÇÃO]]=CB$1,[1]!BANCO10[[#This Row],[STATUS DA ETAPA]],"")</f>
        <v>CONCLUÍDO</v>
      </c>
      <c r="CC464" s="21" t="str">
        <f>IF([1]!BANCO10[[#This Row],[SOLUÇÃO]]=CC$1,[1]!BANCO10[[#This Row],[STATUS DA ETAPA]],"")</f>
        <v/>
      </c>
      <c r="CD464" s="21" t="str">
        <f>IF([1]!BANCO10[[#This Row],[SOLUÇÃO]]=CD$1,[1]!BANCO10[[#This Row],[STATUS DA ETAPA]],"")</f>
        <v/>
      </c>
      <c r="CE464" s="21" t="str">
        <f>IF([1]!BANCO10[[#This Row],[SOLUÇÃO]]=CE$1,[1]!BANCO10[[#This Row],[STATUS DA ETAPA]],"")</f>
        <v/>
      </c>
      <c r="CF464" s="21" t="str">
        <f>IF([1]!BANCO10[[#This Row],[SOLUÇÃO]]=CF$1,[1]!BANCO10[[#This Row],[STATUS DA ETAPA]],"")</f>
        <v/>
      </c>
      <c r="CG464" s="21" t="str">
        <f>IF([1]!BANCO10[[#This Row],[SOLUÇÃO]]=CG$1,[1]!BANCO10[[#This Row],[STATUS DA ETAPA]],"")</f>
        <v/>
      </c>
      <c r="CH464" s="21" t="str">
        <f>IF([1]!BANCO10[[#This Row],[SOLUÇÃO]]=CH$1,[1]!BANCO10[[#This Row],[STATUS DA ETAPA]],"")</f>
        <v/>
      </c>
      <c r="CI464" s="21" t="str">
        <f>IF([1]!BANCO10[[#This Row],[SOLUÇÃO]]=CI$1,[1]!BANCO10[[#This Row],[STATUS DA ETAPA]],"")</f>
        <v/>
      </c>
      <c r="CJ464" s="21" t="str">
        <f>IF([1]!BANCO10[[#This Row],[SOLUÇÃO]]=CJ$1,[1]!BANCO10[[#This Row],[STATUS DA ETAPA]],"")</f>
        <v/>
      </c>
      <c r="CK464" s="21" t="str">
        <f>IF([1]!BANCO10[[#This Row],[SOLUÇÃO]]=CK$1,[1]!BANCO10[[#This Row],[STATUS DA ETAPA]],"")</f>
        <v/>
      </c>
      <c r="CL464" s="21" t="str">
        <f>IF([1]!BANCO10[[#This Row],[SOLUÇÃO]]=CL$1,[1]!BANCO10[[#This Row],[STATUS DA ETAPA]],"")</f>
        <v/>
      </c>
      <c r="CM464" s="21" t="str">
        <f>IF([1]!BANCO10[[#This Row],[SOLUÇÃO]]=CM$1,[1]!BANCO10[[#This Row],[STATUS DA ETAPA]],"")</f>
        <v/>
      </c>
      <c r="CN464" s="21" t="str">
        <f>IF([1]!BANCO10[[#This Row],[SOLUÇÃO]]=CN$1,[1]!BANCO10[[#This Row],[STATUS DA ETAPA]],"")</f>
        <v/>
      </c>
      <c r="CO464" s="21" t="str">
        <f>IF([1]!BANCO10[[#This Row],[SOLUÇÃO]]=CO$1,[1]!BANCO10[[#This Row],[STATUS DA ETAPA]],"")</f>
        <v/>
      </c>
      <c r="CP464" s="21" t="str">
        <f>IF([1]!BANCO10[[#This Row],[SOLUÇÃO]]=CP$1,[1]!BANCO10[[#This Row],[STATUS DA ETAPA]],"")</f>
        <v/>
      </c>
      <c r="CQ464" s="21" t="str">
        <f>IF([1]!BANCO10[[#This Row],[SOLUÇÃO]]=CQ$1,[1]!BANCO10[[#This Row],[STATUS DA ETAPA]],"")</f>
        <v/>
      </c>
      <c r="CR464" s="21" t="str">
        <f>IF([1]!BANCO10[[#This Row],[SOLUÇÃO]]=CR$1,[1]!BANCO10[[#This Row],[STATUS DA ETAPA]],"")</f>
        <v/>
      </c>
      <c r="CS464" s="21" t="str">
        <f>IF([1]!BANCO10[[#This Row],[SOLUÇÃO]]=CS$1,[1]!BANCO10[[#This Row],[STATUS DA ETAPA]],"")</f>
        <v/>
      </c>
      <c r="CT464" s="21" t="str">
        <f>IF([1]!BANCO10[[#This Row],[SOLUÇÃO]]=CT$1,[1]!BANCO10[[#This Row],[STATUS DA ETAPA]],"")</f>
        <v/>
      </c>
      <c r="CU464" s="21" t="str">
        <f>IF([1]!BANCO10[[#This Row],[SOLUÇÃO]]=CU$1,[1]!BANCO10[[#This Row],[STATUS DA ETAPA]],"")</f>
        <v/>
      </c>
      <c r="CV464" s="21" t="str">
        <f>IF([1]!BANCO10[[#This Row],[SOLUÇÃO]]=CV$1,[1]!BANCO10[[#This Row],[STATUS DA ETAPA]],"")</f>
        <v/>
      </c>
    </row>
    <row r="465" spans="1:100">
      <c r="A465" s="44" t="s">
        <v>1</v>
      </c>
      <c r="B465" s="44"/>
      <c r="C465" s="44" t="s">
        <v>1</v>
      </c>
      <c r="D465" s="44"/>
      <c r="E465" s="44" t="s">
        <v>1</v>
      </c>
      <c r="F465" s="44"/>
      <c r="G465" s="44" t="s">
        <v>1</v>
      </c>
      <c r="H465" s="44"/>
      <c r="I465" s="45" t="s">
        <v>1</v>
      </c>
      <c r="J465" s="46"/>
      <c r="K465" s="45" t="s">
        <v>1</v>
      </c>
      <c r="L465" s="33"/>
      <c r="M465" s="45" t="s">
        <v>1</v>
      </c>
      <c r="N465" s="33"/>
      <c r="O465" s="44" t="s">
        <v>0</v>
      </c>
      <c r="P465" s="44"/>
      <c r="Q465" s="44" t="s">
        <v>0</v>
      </c>
      <c r="R465" s="44"/>
      <c r="S465" s="44" t="s">
        <v>2</v>
      </c>
      <c r="T465" s="44">
        <v>45708</v>
      </c>
      <c r="U465" s="44" t="s">
        <v>1</v>
      </c>
      <c r="V465" s="44"/>
      <c r="W465" s="44" t="s">
        <v>1</v>
      </c>
      <c r="X465" s="44"/>
      <c r="Y465" s="44" t="s">
        <v>1</v>
      </c>
      <c r="Z465" s="44"/>
      <c r="AA465" s="44" t="s">
        <v>1</v>
      </c>
      <c r="AB465" s="44"/>
      <c r="AC465" s="51">
        <v>45679</v>
      </c>
      <c r="AD465" s="50">
        <v>45679</v>
      </c>
      <c r="AE465" s="41" t="s">
        <v>1</v>
      </c>
      <c r="AF465" s="41" t="s">
        <v>1</v>
      </c>
      <c r="AG465" s="40" t="s">
        <v>5</v>
      </c>
      <c r="AH465" s="36" t="s">
        <v>2</v>
      </c>
      <c r="AI465" s="49">
        <v>0</v>
      </c>
      <c r="AJ465" s="36" t="s">
        <v>1</v>
      </c>
      <c r="AK465" s="10" t="s">
        <v>1</v>
      </c>
      <c r="AL465" s="36" t="s">
        <v>1</v>
      </c>
      <c r="AM465" s="36" t="s">
        <v>1</v>
      </c>
      <c r="AN465" s="35" t="s">
        <v>1</v>
      </c>
      <c r="AO465" s="35" t="s">
        <v>1</v>
      </c>
      <c r="AP465" s="35" t="s">
        <v>1</v>
      </c>
      <c r="AQ465" s="35" t="s">
        <v>1</v>
      </c>
      <c r="AR465" s="82" t="s">
        <v>1</v>
      </c>
      <c r="AS465" s="33"/>
      <c r="AT465" s="32" t="s">
        <v>1</v>
      </c>
      <c r="AU465" s="31"/>
      <c r="AV465" s="32" t="s">
        <v>1</v>
      </c>
      <c r="AW465" s="31"/>
      <c r="AX465" s="32" t="s">
        <v>1</v>
      </c>
      <c r="AY465" s="31"/>
      <c r="AZ465" s="32" t="s">
        <v>1</v>
      </c>
      <c r="BA465" s="31"/>
      <c r="BB465" s="26"/>
      <c r="BC465" s="25"/>
      <c r="BD465" s="24"/>
      <c r="BE465" s="24"/>
      <c r="BF465" s="24"/>
      <c r="BG465" s="24"/>
      <c r="BH465" s="24"/>
      <c r="BI465" s="24"/>
      <c r="BJ465" s="24"/>
      <c r="BK465" s="24"/>
      <c r="BL465" s="24"/>
      <c r="BM465" s="24"/>
      <c r="BN465" s="24"/>
      <c r="BO465" s="24"/>
      <c r="BP465" s="24"/>
      <c r="BQ465" s="22">
        <f>YEAR([1]!BANCO10[[#This Row],[DATA INÍCIO]])</f>
        <v>2025</v>
      </c>
      <c r="BR465" s="22">
        <f>MONTH([1]!BANCO10[[#This Row],[DATA INÍCIO]])</f>
        <v>1</v>
      </c>
      <c r="BS465" s="23" t="e">
        <f>CONCATENATE(#REF!,#REF!)</f>
        <v>#REF!</v>
      </c>
      <c r="BT465" s="22"/>
      <c r="BU465" s="22"/>
      <c r="BV465" s="21" t="str">
        <f>IF([1]!BANCO10[[#This Row],[SOLUÇÃO]]=BV$1,[1]!BANCO10[[#This Row],[STATUS DA ETAPA]],"")</f>
        <v>CONCLUÍDO</v>
      </c>
      <c r="BW465" s="21" t="str">
        <f>IF([1]!BANCO10[[#This Row],[SOLUÇÃO]]=BW$1,[1]!BANCO10[[#This Row],[STATUS DA ETAPA]],"")</f>
        <v/>
      </c>
      <c r="BX465" s="21" t="str">
        <f>IF([1]!BANCO10[[#This Row],[SOLUÇÃO]]=BX$1,[1]!BANCO10[[#This Row],[STATUS DA ETAPA]],"")</f>
        <v/>
      </c>
      <c r="BY465" s="21" t="str">
        <f>IF([1]!BANCO10[[#This Row],[SOLUÇÃO]]=BY$1,[1]!BANCO10[[#This Row],[STATUS DA ETAPA]],"")</f>
        <v/>
      </c>
      <c r="BZ465" s="21" t="str">
        <f>IF([1]!BANCO10[[#This Row],[SOLUÇÃO]]=BZ$1,[1]!BANCO10[[#This Row],[STATUS DA ETAPA]],"")</f>
        <v/>
      </c>
      <c r="CA465" s="21" t="str">
        <f>IF([1]!BANCO10[[#This Row],[SOLUÇÃO]]=CA$1,[1]!BANCO10[[#This Row],[STATUS DA ETAPA]],"")</f>
        <v/>
      </c>
      <c r="CB465" s="21" t="str">
        <f>IF([1]!BANCO10[[#This Row],[SOLUÇÃO]]=CB$1,[1]!BANCO10[[#This Row],[STATUS DA ETAPA]],"")</f>
        <v/>
      </c>
      <c r="CC465" s="21" t="str">
        <f>IF([1]!BANCO10[[#This Row],[SOLUÇÃO]]=CC$1,[1]!BANCO10[[#This Row],[STATUS DA ETAPA]],"")</f>
        <v/>
      </c>
      <c r="CD465" s="21" t="str">
        <f>IF([1]!BANCO10[[#This Row],[SOLUÇÃO]]=CD$1,[1]!BANCO10[[#This Row],[STATUS DA ETAPA]],"")</f>
        <v/>
      </c>
      <c r="CE465" s="21" t="str">
        <f>IF([1]!BANCO10[[#This Row],[SOLUÇÃO]]=CE$1,[1]!BANCO10[[#This Row],[STATUS DA ETAPA]],"")</f>
        <v/>
      </c>
      <c r="CF465" s="21" t="str">
        <f>IF([1]!BANCO10[[#This Row],[SOLUÇÃO]]=CF$1,[1]!BANCO10[[#This Row],[STATUS DA ETAPA]],"")</f>
        <v/>
      </c>
      <c r="CG465" s="21" t="str">
        <f>IF([1]!BANCO10[[#This Row],[SOLUÇÃO]]=CG$1,[1]!BANCO10[[#This Row],[STATUS DA ETAPA]],"")</f>
        <v/>
      </c>
      <c r="CH465" s="21" t="str">
        <f>IF([1]!BANCO10[[#This Row],[SOLUÇÃO]]=CH$1,[1]!BANCO10[[#This Row],[STATUS DA ETAPA]],"")</f>
        <v/>
      </c>
      <c r="CI465" s="21" t="str">
        <f>IF([1]!BANCO10[[#This Row],[SOLUÇÃO]]=CI$1,[1]!BANCO10[[#This Row],[STATUS DA ETAPA]],"")</f>
        <v/>
      </c>
      <c r="CJ465" s="21" t="str">
        <f>IF([1]!BANCO10[[#This Row],[SOLUÇÃO]]=CJ$1,[1]!BANCO10[[#This Row],[STATUS DA ETAPA]],"")</f>
        <v/>
      </c>
      <c r="CK465" s="21" t="str">
        <f>IF([1]!BANCO10[[#This Row],[SOLUÇÃO]]=CK$1,[1]!BANCO10[[#This Row],[STATUS DA ETAPA]],"")</f>
        <v/>
      </c>
      <c r="CL465" s="21" t="str">
        <f>IF([1]!BANCO10[[#This Row],[SOLUÇÃO]]=CL$1,[1]!BANCO10[[#This Row],[STATUS DA ETAPA]],"")</f>
        <v/>
      </c>
      <c r="CM465" s="21" t="str">
        <f>IF([1]!BANCO10[[#This Row],[SOLUÇÃO]]=CM$1,[1]!BANCO10[[#This Row],[STATUS DA ETAPA]],"")</f>
        <v/>
      </c>
      <c r="CN465" s="21" t="str">
        <f>IF([1]!BANCO10[[#This Row],[SOLUÇÃO]]=CN$1,[1]!BANCO10[[#This Row],[STATUS DA ETAPA]],"")</f>
        <v/>
      </c>
      <c r="CO465" s="21" t="str">
        <f>IF([1]!BANCO10[[#This Row],[SOLUÇÃO]]=CO$1,[1]!BANCO10[[#This Row],[STATUS DA ETAPA]],"")</f>
        <v/>
      </c>
      <c r="CP465" s="21" t="str">
        <f>IF([1]!BANCO10[[#This Row],[SOLUÇÃO]]=CP$1,[1]!BANCO10[[#This Row],[STATUS DA ETAPA]],"")</f>
        <v/>
      </c>
      <c r="CQ465" s="21" t="str">
        <f>IF([1]!BANCO10[[#This Row],[SOLUÇÃO]]=CQ$1,[1]!BANCO10[[#This Row],[STATUS DA ETAPA]],"")</f>
        <v/>
      </c>
      <c r="CR465" s="21" t="str">
        <f>IF([1]!BANCO10[[#This Row],[SOLUÇÃO]]=CR$1,[1]!BANCO10[[#This Row],[STATUS DA ETAPA]],"")</f>
        <v/>
      </c>
      <c r="CS465" s="21" t="str">
        <f>IF([1]!BANCO10[[#This Row],[SOLUÇÃO]]=CS$1,[1]!BANCO10[[#This Row],[STATUS DA ETAPA]],"")</f>
        <v/>
      </c>
      <c r="CT465" s="21" t="str">
        <f>IF([1]!BANCO10[[#This Row],[SOLUÇÃO]]=CT$1,[1]!BANCO10[[#This Row],[STATUS DA ETAPA]],"")</f>
        <v/>
      </c>
      <c r="CU465" s="21" t="str">
        <f>IF([1]!BANCO10[[#This Row],[SOLUÇÃO]]=CU$1,[1]!BANCO10[[#This Row],[STATUS DA ETAPA]],"")</f>
        <v/>
      </c>
      <c r="CV465" s="21" t="str">
        <f>IF([1]!BANCO10[[#This Row],[SOLUÇÃO]]=CV$1,[1]!BANCO10[[#This Row],[STATUS DA ETAPA]],"")</f>
        <v/>
      </c>
    </row>
    <row r="466" spans="1:100">
      <c r="A466" s="44" t="s">
        <v>2</v>
      </c>
      <c r="B466" s="44">
        <v>45700</v>
      </c>
      <c r="C466" s="44" t="s">
        <v>2</v>
      </c>
      <c r="D466" s="44">
        <v>45700</v>
      </c>
      <c r="E466" s="44" t="s">
        <v>2</v>
      </c>
      <c r="F466" s="44">
        <v>45705</v>
      </c>
      <c r="G466" s="44" t="s">
        <v>2</v>
      </c>
      <c r="H466" s="44">
        <v>45708</v>
      </c>
      <c r="I466" s="45" t="s">
        <v>2</v>
      </c>
      <c r="J466" s="46">
        <v>45700</v>
      </c>
      <c r="K466" s="45" t="s">
        <v>2</v>
      </c>
      <c r="L466" s="33">
        <v>45694</v>
      </c>
      <c r="M466" s="45" t="s">
        <v>2</v>
      </c>
      <c r="N466" s="33">
        <v>45695</v>
      </c>
      <c r="O466" s="44" t="s">
        <v>1</v>
      </c>
      <c r="P466" s="44"/>
      <c r="Q466" s="44" t="s">
        <v>2</v>
      </c>
      <c r="R466" s="44"/>
      <c r="S466" s="44" t="s">
        <v>0</v>
      </c>
      <c r="T466" s="44"/>
      <c r="U466" s="44" t="s">
        <v>1</v>
      </c>
      <c r="V466" s="44"/>
      <c r="W466" s="44" t="s">
        <v>1</v>
      </c>
      <c r="X466" s="44"/>
      <c r="Y466" s="44" t="s">
        <v>1</v>
      </c>
      <c r="Z466" s="44"/>
      <c r="AA466" s="44" t="s">
        <v>1</v>
      </c>
      <c r="AB466" s="44"/>
      <c r="AC466" s="51">
        <v>45792</v>
      </c>
      <c r="AD466" s="50">
        <v>45869</v>
      </c>
      <c r="AE466" s="41" t="s">
        <v>2</v>
      </c>
      <c r="AF466" s="41" t="s">
        <v>0</v>
      </c>
      <c r="AG466" s="40" t="s">
        <v>5</v>
      </c>
      <c r="AH466" s="36" t="s">
        <v>0</v>
      </c>
      <c r="AI466" s="49">
        <v>20140</v>
      </c>
      <c r="AJ466" s="36" t="s">
        <v>6</v>
      </c>
      <c r="AK466" s="10">
        <v>664956</v>
      </c>
      <c r="AL466" s="36" t="s">
        <v>1</v>
      </c>
      <c r="AM466" s="36" t="s">
        <v>1</v>
      </c>
      <c r="AN466" s="35" t="s">
        <v>0</v>
      </c>
      <c r="AO466" s="35" t="s">
        <v>0</v>
      </c>
      <c r="AP466" s="35" t="s">
        <v>0</v>
      </c>
      <c r="AQ466" s="35" t="s">
        <v>2</v>
      </c>
      <c r="AR466" s="34" t="s">
        <v>0</v>
      </c>
      <c r="AS466" s="33"/>
      <c r="AT466" s="32" t="s">
        <v>1</v>
      </c>
      <c r="AU466" s="31"/>
      <c r="AV466" s="32" t="s">
        <v>1</v>
      </c>
      <c r="AW466" s="31"/>
      <c r="AX466" s="32" t="s">
        <v>0</v>
      </c>
      <c r="AY466" s="31"/>
      <c r="AZ466" s="32" t="s">
        <v>0</v>
      </c>
      <c r="BA466" s="31"/>
      <c r="BB466" s="109" t="s">
        <v>68</v>
      </c>
      <c r="BC466" s="22" t="s">
        <v>422</v>
      </c>
      <c r="BD466" s="24"/>
      <c r="BE466" s="24"/>
      <c r="BF466" s="24"/>
      <c r="BG466" s="24"/>
      <c r="BH466" s="24"/>
      <c r="BI466" s="24"/>
      <c r="BJ466" s="24"/>
      <c r="BK466" s="24"/>
      <c r="BL466" s="24"/>
      <c r="BM466" s="24"/>
      <c r="BN466" s="24"/>
      <c r="BO466" s="24"/>
      <c r="BP466" s="24"/>
      <c r="BQ466" s="22">
        <f>YEAR([1]!BANCO10[[#This Row],[DATA INÍCIO]])</f>
        <v>2025</v>
      </c>
      <c r="BR466" s="22">
        <f>MONTH([1]!BANCO10[[#This Row],[DATA INÍCIO]])</f>
        <v>5</v>
      </c>
      <c r="BS466" s="23" t="e">
        <f>CONCATENATE(#REF!,#REF!)</f>
        <v>#REF!</v>
      </c>
      <c r="BT466" s="22"/>
      <c r="BU466" s="22"/>
      <c r="BV466" s="21" t="str">
        <f>IF([1]!BANCO10[[#This Row],[SOLUÇÃO]]=BV$1,[1]!BANCO10[[#This Row],[STATUS DA ETAPA]],"")</f>
        <v/>
      </c>
      <c r="BW466" s="21" t="str">
        <f>IF([1]!BANCO10[[#This Row],[SOLUÇÃO]]=BW$1,[1]!BANCO10[[#This Row],[STATUS DA ETAPA]],"")</f>
        <v/>
      </c>
      <c r="BX466" s="21" t="str">
        <f>IF([1]!BANCO10[[#This Row],[SOLUÇÃO]]=BX$1,[1]!BANCO10[[#This Row],[STATUS DA ETAPA]],"")</f>
        <v/>
      </c>
      <c r="BY466" s="21" t="str">
        <f>IF([1]!BANCO10[[#This Row],[SOLUÇÃO]]=BY$1,[1]!BANCO10[[#This Row],[STATUS DA ETAPA]],"")</f>
        <v/>
      </c>
      <c r="BZ466" s="21" t="str">
        <f>IF([1]!BANCO10[[#This Row],[SOLUÇÃO]]=BZ$1,[1]!BANCO10[[#This Row],[STATUS DA ETAPA]],"")</f>
        <v/>
      </c>
      <c r="CA466" s="21" t="str">
        <f>IF([1]!BANCO10[[#This Row],[SOLUÇÃO]]=CA$1,[1]!BANCO10[[#This Row],[STATUS DA ETAPA]],"")</f>
        <v/>
      </c>
      <c r="CB466" s="21" t="str">
        <f>IF([1]!BANCO10[[#This Row],[SOLUÇÃO]]=CB$1,[1]!BANCO10[[#This Row],[STATUS DA ETAPA]],"")</f>
        <v>CONCLUÍDO</v>
      </c>
      <c r="CC466" s="21" t="str">
        <f>IF([1]!BANCO10[[#This Row],[SOLUÇÃO]]=CC$1,[1]!BANCO10[[#This Row],[STATUS DA ETAPA]],"")</f>
        <v/>
      </c>
      <c r="CD466" s="21" t="str">
        <f>IF([1]!BANCO10[[#This Row],[SOLUÇÃO]]=CD$1,[1]!BANCO10[[#This Row],[STATUS DA ETAPA]],"")</f>
        <v/>
      </c>
      <c r="CE466" s="21" t="str">
        <f>IF([1]!BANCO10[[#This Row],[SOLUÇÃO]]=CE$1,[1]!BANCO10[[#This Row],[STATUS DA ETAPA]],"")</f>
        <v/>
      </c>
      <c r="CF466" s="21" t="str">
        <f>IF([1]!BANCO10[[#This Row],[SOLUÇÃO]]=CF$1,[1]!BANCO10[[#This Row],[STATUS DA ETAPA]],"")</f>
        <v/>
      </c>
      <c r="CG466" s="21" t="str">
        <f>IF([1]!BANCO10[[#This Row],[SOLUÇÃO]]=CG$1,[1]!BANCO10[[#This Row],[STATUS DA ETAPA]],"")</f>
        <v/>
      </c>
      <c r="CH466" s="21" t="str">
        <f>IF([1]!BANCO10[[#This Row],[SOLUÇÃO]]=CH$1,[1]!BANCO10[[#This Row],[STATUS DA ETAPA]],"")</f>
        <v/>
      </c>
      <c r="CI466" s="21" t="str">
        <f>IF([1]!BANCO10[[#This Row],[SOLUÇÃO]]=CI$1,[1]!BANCO10[[#This Row],[STATUS DA ETAPA]],"")</f>
        <v/>
      </c>
      <c r="CJ466" s="21" t="str">
        <f>IF([1]!BANCO10[[#This Row],[SOLUÇÃO]]=CJ$1,[1]!BANCO10[[#This Row],[STATUS DA ETAPA]],"")</f>
        <v/>
      </c>
      <c r="CK466" s="21" t="str">
        <f>IF([1]!BANCO10[[#This Row],[SOLUÇÃO]]=CK$1,[1]!BANCO10[[#This Row],[STATUS DA ETAPA]],"")</f>
        <v/>
      </c>
      <c r="CL466" s="21" t="str">
        <f>IF([1]!BANCO10[[#This Row],[SOLUÇÃO]]=CL$1,[1]!BANCO10[[#This Row],[STATUS DA ETAPA]],"")</f>
        <v/>
      </c>
      <c r="CM466" s="21" t="str">
        <f>IF([1]!BANCO10[[#This Row],[SOLUÇÃO]]=CM$1,[1]!BANCO10[[#This Row],[STATUS DA ETAPA]],"")</f>
        <v/>
      </c>
      <c r="CN466" s="21" t="str">
        <f>IF([1]!BANCO10[[#This Row],[SOLUÇÃO]]=CN$1,[1]!BANCO10[[#This Row],[STATUS DA ETAPA]],"")</f>
        <v/>
      </c>
      <c r="CO466" s="21" t="str">
        <f>IF([1]!BANCO10[[#This Row],[SOLUÇÃO]]=CO$1,[1]!BANCO10[[#This Row],[STATUS DA ETAPA]],"")</f>
        <v/>
      </c>
      <c r="CP466" s="21" t="str">
        <f>IF([1]!BANCO10[[#This Row],[SOLUÇÃO]]=CP$1,[1]!BANCO10[[#This Row],[STATUS DA ETAPA]],"")</f>
        <v/>
      </c>
      <c r="CQ466" s="21" t="str">
        <f>IF([1]!BANCO10[[#This Row],[SOLUÇÃO]]=CQ$1,[1]!BANCO10[[#This Row],[STATUS DA ETAPA]],"")</f>
        <v/>
      </c>
      <c r="CR466" s="21" t="str">
        <f>IF([1]!BANCO10[[#This Row],[SOLUÇÃO]]=CR$1,[1]!BANCO10[[#This Row],[STATUS DA ETAPA]],"")</f>
        <v/>
      </c>
      <c r="CS466" s="21" t="str">
        <f>IF([1]!BANCO10[[#This Row],[SOLUÇÃO]]=CS$1,[1]!BANCO10[[#This Row],[STATUS DA ETAPA]],"")</f>
        <v/>
      </c>
      <c r="CT466" s="21" t="str">
        <f>IF([1]!BANCO10[[#This Row],[SOLUÇÃO]]=CT$1,[1]!BANCO10[[#This Row],[STATUS DA ETAPA]],"")</f>
        <v/>
      </c>
      <c r="CU466" s="21" t="str">
        <f>IF([1]!BANCO10[[#This Row],[SOLUÇÃO]]=CU$1,[1]!BANCO10[[#This Row],[STATUS DA ETAPA]],"")</f>
        <v/>
      </c>
      <c r="CV466" s="21" t="str">
        <f>IF([1]!BANCO10[[#This Row],[SOLUÇÃO]]=CV$1,[1]!BANCO10[[#This Row],[STATUS DA ETAPA]],"")</f>
        <v/>
      </c>
    </row>
    <row r="467" spans="1:100">
      <c r="A467" s="44" t="s">
        <v>1</v>
      </c>
      <c r="B467" s="44"/>
      <c r="C467" s="44" t="s">
        <v>1</v>
      </c>
      <c r="D467" s="44"/>
      <c r="E467" s="44" t="s">
        <v>1</v>
      </c>
      <c r="F467" s="44"/>
      <c r="G467" s="44" t="s">
        <v>1</v>
      </c>
      <c r="H467" s="44"/>
      <c r="I467" s="45" t="s">
        <v>1</v>
      </c>
      <c r="J467" s="46"/>
      <c r="K467" s="45" t="s">
        <v>1</v>
      </c>
      <c r="L467" s="33"/>
      <c r="M467" s="45" t="s">
        <v>1</v>
      </c>
      <c r="N467" s="33"/>
      <c r="O467" s="44" t="s">
        <v>1</v>
      </c>
      <c r="P467" s="44"/>
      <c r="Q467" s="44" t="s">
        <v>1</v>
      </c>
      <c r="R467" s="44"/>
      <c r="S467" s="44" t="s">
        <v>1</v>
      </c>
      <c r="T467" s="44"/>
      <c r="U467" s="44" t="s">
        <v>1</v>
      </c>
      <c r="V467" s="44"/>
      <c r="W467" s="44" t="s">
        <v>1</v>
      </c>
      <c r="X467" s="44"/>
      <c r="Y467" s="44" t="s">
        <v>1</v>
      </c>
      <c r="Z467" s="44"/>
      <c r="AA467" s="44" t="s">
        <v>1</v>
      </c>
      <c r="AB467" s="44"/>
      <c r="AC467" s="51">
        <v>45408</v>
      </c>
      <c r="AD467" s="50">
        <v>45408</v>
      </c>
      <c r="AE467" s="41" t="s">
        <v>1</v>
      </c>
      <c r="AF467" s="41" t="s">
        <v>1</v>
      </c>
      <c r="AG467" s="40" t="s">
        <v>5</v>
      </c>
      <c r="AH467" s="36" t="s">
        <v>1</v>
      </c>
      <c r="AI467" s="49">
        <v>0</v>
      </c>
      <c r="AJ467" s="36" t="s">
        <v>1</v>
      </c>
      <c r="AK467" s="10" t="s">
        <v>1</v>
      </c>
      <c r="AL467" s="36" t="s">
        <v>1</v>
      </c>
      <c r="AM467" s="36" t="s">
        <v>1</v>
      </c>
      <c r="AN467" s="35" t="s">
        <v>1</v>
      </c>
      <c r="AO467" s="35" t="s">
        <v>1</v>
      </c>
      <c r="AP467" s="35" t="s">
        <v>1</v>
      </c>
      <c r="AQ467" s="35" t="s">
        <v>1</v>
      </c>
      <c r="AR467" s="82" t="s">
        <v>1</v>
      </c>
      <c r="AS467" s="33"/>
      <c r="AT467" s="30"/>
      <c r="AU467" s="55"/>
      <c r="AV467" s="30"/>
      <c r="AW467" s="55"/>
      <c r="AX467" s="30" t="s">
        <v>1</v>
      </c>
      <c r="AY467" s="55"/>
      <c r="AZ467" s="30" t="s">
        <v>1</v>
      </c>
      <c r="BA467" s="55"/>
      <c r="BB467" s="74" t="s">
        <v>421</v>
      </c>
      <c r="BC467" s="25" t="s">
        <v>41</v>
      </c>
      <c r="BD467" s="24"/>
      <c r="BE467" s="24"/>
      <c r="BF467" s="24"/>
      <c r="BG467" s="24"/>
      <c r="BH467" s="130"/>
      <c r="BI467" s="24"/>
      <c r="BJ467" s="24"/>
      <c r="BK467" s="24"/>
      <c r="BL467" s="24">
        <v>45407</v>
      </c>
      <c r="BM467" s="24"/>
      <c r="BN467" s="24"/>
      <c r="BO467" s="24"/>
      <c r="BP467" s="24" t="s">
        <v>418</v>
      </c>
      <c r="BQ467" s="22">
        <f>YEAR([1]!BANCO10[[#This Row],[DATA INÍCIO]])</f>
        <v>2024</v>
      </c>
      <c r="BR467" s="22">
        <f>MONTH([1]!BANCO10[[#This Row],[DATA INÍCIO]])</f>
        <v>4</v>
      </c>
      <c r="BS467" s="129" t="e">
        <f>CONCATENATE(#REF!,#REF!)</f>
        <v>#REF!</v>
      </c>
      <c r="BT467" s="22"/>
      <c r="BU467" s="21" t="s">
        <v>420</v>
      </c>
      <c r="BV467" s="21" t="str">
        <f>IF([1]!BANCO10[[#This Row],[SOLUÇÃO]]=BV$1,[1]!BANCO10[[#This Row],[STATUS DA ETAPA]],"")</f>
        <v>CONCLUÍDO</v>
      </c>
      <c r="BW467" s="21" t="str">
        <f>IF([1]!BANCO10[[#This Row],[SOLUÇÃO]]=BW$1,[1]!BANCO10[[#This Row],[STATUS DA ETAPA]],"")</f>
        <v/>
      </c>
      <c r="BX467" s="21" t="str">
        <f>IF([1]!BANCO10[[#This Row],[SOLUÇÃO]]=BX$1,[1]!BANCO10[[#This Row],[STATUS DA ETAPA]],"")</f>
        <v/>
      </c>
      <c r="BY467" s="21" t="str">
        <f>IF([1]!BANCO10[[#This Row],[SOLUÇÃO]]=BY$1,[1]!BANCO10[[#This Row],[STATUS DA ETAPA]],"")</f>
        <v/>
      </c>
      <c r="BZ467" s="21" t="str">
        <f>IF([1]!BANCO10[[#This Row],[SOLUÇÃO]]=BZ$1,[1]!BANCO10[[#This Row],[STATUS DA ETAPA]],"")</f>
        <v/>
      </c>
      <c r="CA467" s="21" t="str">
        <f>IF([1]!BANCO10[[#This Row],[SOLUÇÃO]]=CA$1,[1]!BANCO10[[#This Row],[STATUS DA ETAPA]],"")</f>
        <v/>
      </c>
      <c r="CB467" s="21" t="str">
        <f>IF([1]!BANCO10[[#This Row],[SOLUÇÃO]]=CB$1,[1]!BANCO10[[#This Row],[STATUS DA ETAPA]],"")</f>
        <v/>
      </c>
      <c r="CC467" s="21" t="str">
        <f>IF([1]!BANCO10[[#This Row],[SOLUÇÃO]]=CC$1,[1]!BANCO10[[#This Row],[STATUS DA ETAPA]],"")</f>
        <v/>
      </c>
      <c r="CD467" s="21" t="str">
        <f>IF([1]!BANCO10[[#This Row],[SOLUÇÃO]]=CD$1,[1]!BANCO10[[#This Row],[STATUS DA ETAPA]],"")</f>
        <v/>
      </c>
      <c r="CE467" s="21" t="str">
        <f>IF([1]!BANCO10[[#This Row],[SOLUÇÃO]]=CE$1,[1]!BANCO10[[#This Row],[STATUS DA ETAPA]],"")</f>
        <v/>
      </c>
      <c r="CF467" s="21" t="str">
        <f>IF([1]!BANCO10[[#This Row],[SOLUÇÃO]]=CF$1,[1]!BANCO10[[#This Row],[STATUS DA ETAPA]],"")</f>
        <v/>
      </c>
      <c r="CG467" s="21" t="str">
        <f>IF([1]!BANCO10[[#This Row],[SOLUÇÃO]]=CG$1,[1]!BANCO10[[#This Row],[STATUS DA ETAPA]],"")</f>
        <v/>
      </c>
      <c r="CH467" s="21" t="str">
        <f>IF([1]!BANCO10[[#This Row],[SOLUÇÃO]]=CH$1,[1]!BANCO10[[#This Row],[STATUS DA ETAPA]],"")</f>
        <v/>
      </c>
      <c r="CI467" s="21" t="str">
        <f>IF([1]!BANCO10[[#This Row],[SOLUÇÃO]]=CI$1,[1]!BANCO10[[#This Row],[STATUS DA ETAPA]],"")</f>
        <v/>
      </c>
      <c r="CJ467" s="21" t="str">
        <f>IF([1]!BANCO10[[#This Row],[SOLUÇÃO]]=CJ$1,[1]!BANCO10[[#This Row],[STATUS DA ETAPA]],"")</f>
        <v/>
      </c>
      <c r="CK467" s="21" t="str">
        <f>IF([1]!BANCO10[[#This Row],[SOLUÇÃO]]=CK$1,[1]!BANCO10[[#This Row],[STATUS DA ETAPA]],"")</f>
        <v/>
      </c>
      <c r="CL467" s="21" t="str">
        <f>IF([1]!BANCO10[[#This Row],[SOLUÇÃO]]=CL$1,[1]!BANCO10[[#This Row],[STATUS DA ETAPA]],"")</f>
        <v/>
      </c>
      <c r="CM467" s="21" t="str">
        <f>IF([1]!BANCO10[[#This Row],[SOLUÇÃO]]=CM$1,[1]!BANCO10[[#This Row],[STATUS DA ETAPA]],"")</f>
        <v/>
      </c>
      <c r="CN467" s="21" t="str">
        <f>IF([1]!BANCO10[[#This Row],[SOLUÇÃO]]=CN$1,[1]!BANCO10[[#This Row],[STATUS DA ETAPA]],"")</f>
        <v/>
      </c>
      <c r="CO467" s="21" t="str">
        <f>IF([1]!BANCO10[[#This Row],[SOLUÇÃO]]=CO$1,[1]!BANCO10[[#This Row],[STATUS DA ETAPA]],"")</f>
        <v/>
      </c>
      <c r="CP467" s="21" t="str">
        <f>IF([1]!BANCO10[[#This Row],[SOLUÇÃO]]=CP$1,[1]!BANCO10[[#This Row],[STATUS DA ETAPA]],"")</f>
        <v/>
      </c>
      <c r="CQ467" s="21" t="str">
        <f>IF([1]!BANCO10[[#This Row],[SOLUÇÃO]]=CQ$1,[1]!BANCO10[[#This Row],[STATUS DA ETAPA]],"")</f>
        <v/>
      </c>
      <c r="CR467" s="21" t="str">
        <f>IF([1]!BANCO10[[#This Row],[SOLUÇÃO]]=CR$1,[1]!BANCO10[[#This Row],[STATUS DA ETAPA]],"")</f>
        <v/>
      </c>
      <c r="CS467" s="21" t="str">
        <f>IF([1]!BANCO10[[#This Row],[SOLUÇÃO]]=CS$1,[1]!BANCO10[[#This Row],[STATUS DA ETAPA]],"")</f>
        <v/>
      </c>
      <c r="CT467" s="21" t="str">
        <f>IF([1]!BANCO10[[#This Row],[SOLUÇÃO]]=CT$1,[1]!BANCO10[[#This Row],[STATUS DA ETAPA]],"")</f>
        <v/>
      </c>
      <c r="CU467" s="21" t="str">
        <f>IF([1]!BANCO10[[#This Row],[SOLUÇÃO]]=CU$1,[1]!BANCO10[[#This Row],[STATUS DA ETAPA]],"")</f>
        <v/>
      </c>
      <c r="CV467" s="21" t="str">
        <f>IF([1]!BANCO10[[#This Row],[SOLUÇÃO]]=CV$1,[1]!BANCO10[[#This Row],[STATUS DA ETAPA]],"")</f>
        <v/>
      </c>
    </row>
    <row r="468" spans="1:100">
      <c r="A468" s="44" t="s">
        <v>2</v>
      </c>
      <c r="B468" s="44">
        <v>45383</v>
      </c>
      <c r="C468" s="44" t="s">
        <v>2</v>
      </c>
      <c r="D468" s="44">
        <v>45383</v>
      </c>
      <c r="E468" s="44" t="s">
        <v>2</v>
      </c>
      <c r="F468" s="44">
        <v>45383</v>
      </c>
      <c r="G468" s="44" t="s">
        <v>2</v>
      </c>
      <c r="H468" s="44">
        <v>45383</v>
      </c>
      <c r="I468" s="45" t="s">
        <v>2</v>
      </c>
      <c r="J468" s="46">
        <v>45536</v>
      </c>
      <c r="K468" s="45" t="s">
        <v>2</v>
      </c>
      <c r="L468" s="33">
        <v>45536</v>
      </c>
      <c r="M468" s="45" t="s">
        <v>2</v>
      </c>
      <c r="N468" s="33">
        <v>45536</v>
      </c>
      <c r="O468" s="44" t="s">
        <v>2</v>
      </c>
      <c r="P468" s="44">
        <v>45491</v>
      </c>
      <c r="Q468" s="44" t="s">
        <v>2</v>
      </c>
      <c r="R468" s="44">
        <v>45503</v>
      </c>
      <c r="S468" s="44" t="s">
        <v>2</v>
      </c>
      <c r="T468" s="44">
        <v>45536</v>
      </c>
      <c r="U468" s="44" t="s">
        <v>1</v>
      </c>
      <c r="V468" s="44"/>
      <c r="W468" s="44" t="s">
        <v>1</v>
      </c>
      <c r="X468" s="44"/>
      <c r="Y468" s="44" t="s">
        <v>1</v>
      </c>
      <c r="Z468" s="44"/>
      <c r="AA468" s="44" t="s">
        <v>1</v>
      </c>
      <c r="AB468" s="44"/>
      <c r="AC468" s="51">
        <v>45454</v>
      </c>
      <c r="AD468" s="50">
        <v>45595</v>
      </c>
      <c r="AE468" s="41" t="s">
        <v>2</v>
      </c>
      <c r="AF468" s="41" t="s">
        <v>2</v>
      </c>
      <c r="AG468" s="40" t="s">
        <v>5</v>
      </c>
      <c r="AH468" s="36" t="s">
        <v>0</v>
      </c>
      <c r="AI468" s="49">
        <v>0</v>
      </c>
      <c r="AJ468" s="36" t="s">
        <v>6</v>
      </c>
      <c r="AK468" s="10">
        <v>552025</v>
      </c>
      <c r="AL468" s="36" t="s">
        <v>1</v>
      </c>
      <c r="AM468" s="36" t="s">
        <v>1</v>
      </c>
      <c r="AN468" s="35" t="s">
        <v>2</v>
      </c>
      <c r="AO468" s="35" t="s">
        <v>2</v>
      </c>
      <c r="AP468" s="35" t="s">
        <v>2</v>
      </c>
      <c r="AQ468" s="35" t="s">
        <v>2</v>
      </c>
      <c r="AR468" s="34" t="s">
        <v>2</v>
      </c>
      <c r="AS468" s="33">
        <v>45629</v>
      </c>
      <c r="AT468" s="30"/>
      <c r="AU468" s="31"/>
      <c r="AV468" s="30"/>
      <c r="AW468" s="31"/>
      <c r="AX468" s="30" t="s">
        <v>2</v>
      </c>
      <c r="AY468" s="31">
        <v>45629</v>
      </c>
      <c r="AZ468" s="30" t="s">
        <v>2</v>
      </c>
      <c r="BA468" s="55">
        <v>45625</v>
      </c>
      <c r="BB468" s="74" t="s">
        <v>419</v>
      </c>
      <c r="BC468" s="25" t="s">
        <v>41</v>
      </c>
      <c r="BD468" s="24"/>
      <c r="BE468" s="24"/>
      <c r="BF468" s="24"/>
      <c r="BG468" s="24"/>
      <c r="BH468" s="130"/>
      <c r="BI468" s="24"/>
      <c r="BJ468" s="24"/>
      <c r="BK468" s="24"/>
      <c r="BL468" s="24"/>
      <c r="BM468" s="24"/>
      <c r="BN468" s="24"/>
      <c r="BO468" s="24"/>
      <c r="BP468" s="24" t="s">
        <v>418</v>
      </c>
      <c r="BQ468" s="22">
        <f>YEAR([1]!BANCO10[[#This Row],[DATA INÍCIO]])</f>
        <v>2024</v>
      </c>
      <c r="BR468" s="22">
        <f>MONTH([1]!BANCO10[[#This Row],[DATA INÍCIO]])</f>
        <v>6</v>
      </c>
      <c r="BS468" s="23" t="e">
        <f>CONCATENATE(#REF!,#REF!)</f>
        <v>#REF!</v>
      </c>
      <c r="BT468" s="22"/>
      <c r="BU468" s="21" t="s">
        <v>417</v>
      </c>
      <c r="BV468" s="21" t="str">
        <f>IF([1]!BANCO10[[#This Row],[SOLUÇÃO]]=BV$1,[1]!BANCO10[[#This Row],[STATUS DA ETAPA]],"")</f>
        <v/>
      </c>
      <c r="BW468" s="21" t="str">
        <f>IF([1]!BANCO10[[#This Row],[SOLUÇÃO]]=BW$1,[1]!BANCO10[[#This Row],[STATUS DA ETAPA]],"")</f>
        <v/>
      </c>
      <c r="BX468" s="21" t="str">
        <f>IF([1]!BANCO10[[#This Row],[SOLUÇÃO]]=BX$1,[1]!BANCO10[[#This Row],[STATUS DA ETAPA]],"")</f>
        <v/>
      </c>
      <c r="BY468" s="21" t="str">
        <f>IF([1]!BANCO10[[#This Row],[SOLUÇÃO]]=BY$1,[1]!BANCO10[[#This Row],[STATUS DA ETAPA]],"")</f>
        <v/>
      </c>
      <c r="BZ468" s="21" t="str">
        <f>IF([1]!BANCO10[[#This Row],[SOLUÇÃO]]=BZ$1,[1]!BANCO10[[#This Row],[STATUS DA ETAPA]],"")</f>
        <v/>
      </c>
      <c r="CA468" s="21" t="str">
        <f>IF([1]!BANCO10[[#This Row],[SOLUÇÃO]]=CA$1,[1]!BANCO10[[#This Row],[STATUS DA ETAPA]],"")</f>
        <v/>
      </c>
      <c r="CB468" s="21" t="str">
        <f>IF([1]!BANCO10[[#This Row],[SOLUÇÃO]]=CB$1,[1]!BANCO10[[#This Row],[STATUS DA ETAPA]],"")</f>
        <v>CONCLUÍDO</v>
      </c>
      <c r="CC468" s="21" t="str">
        <f>IF([1]!BANCO10[[#This Row],[SOLUÇÃO]]=CC$1,[1]!BANCO10[[#This Row],[STATUS DA ETAPA]],"")</f>
        <v/>
      </c>
      <c r="CD468" s="21" t="str">
        <f>IF([1]!BANCO10[[#This Row],[SOLUÇÃO]]=CD$1,[1]!BANCO10[[#This Row],[STATUS DA ETAPA]],"")</f>
        <v/>
      </c>
      <c r="CE468" s="21" t="str">
        <f>IF([1]!BANCO10[[#This Row],[SOLUÇÃO]]=CE$1,[1]!BANCO10[[#This Row],[STATUS DA ETAPA]],"")</f>
        <v/>
      </c>
      <c r="CF468" s="21" t="str">
        <f>IF([1]!BANCO10[[#This Row],[SOLUÇÃO]]=CF$1,[1]!BANCO10[[#This Row],[STATUS DA ETAPA]],"")</f>
        <v/>
      </c>
      <c r="CG468" s="21" t="str">
        <f>IF([1]!BANCO10[[#This Row],[SOLUÇÃO]]=CG$1,[1]!BANCO10[[#This Row],[STATUS DA ETAPA]],"")</f>
        <v/>
      </c>
      <c r="CH468" s="21" t="str">
        <f>IF([1]!BANCO10[[#This Row],[SOLUÇÃO]]=CH$1,[1]!BANCO10[[#This Row],[STATUS DA ETAPA]],"")</f>
        <v/>
      </c>
      <c r="CI468" s="21" t="str">
        <f>IF([1]!BANCO10[[#This Row],[SOLUÇÃO]]=CI$1,[1]!BANCO10[[#This Row],[STATUS DA ETAPA]],"")</f>
        <v/>
      </c>
      <c r="CJ468" s="21" t="str">
        <f>IF([1]!BANCO10[[#This Row],[SOLUÇÃO]]=CJ$1,[1]!BANCO10[[#This Row],[STATUS DA ETAPA]],"")</f>
        <v/>
      </c>
      <c r="CK468" s="21" t="str">
        <f>IF([1]!BANCO10[[#This Row],[SOLUÇÃO]]=CK$1,[1]!BANCO10[[#This Row],[STATUS DA ETAPA]],"")</f>
        <v/>
      </c>
      <c r="CL468" s="21" t="str">
        <f>IF([1]!BANCO10[[#This Row],[SOLUÇÃO]]=CL$1,[1]!BANCO10[[#This Row],[STATUS DA ETAPA]],"")</f>
        <v/>
      </c>
      <c r="CM468" s="21" t="str">
        <f>IF([1]!BANCO10[[#This Row],[SOLUÇÃO]]=CM$1,[1]!BANCO10[[#This Row],[STATUS DA ETAPA]],"")</f>
        <v/>
      </c>
      <c r="CN468" s="21" t="str">
        <f>IF([1]!BANCO10[[#This Row],[SOLUÇÃO]]=CN$1,[1]!BANCO10[[#This Row],[STATUS DA ETAPA]],"")</f>
        <v/>
      </c>
      <c r="CO468" s="21" t="str">
        <f>IF([1]!BANCO10[[#This Row],[SOLUÇÃO]]=CO$1,[1]!BANCO10[[#This Row],[STATUS DA ETAPA]],"")</f>
        <v/>
      </c>
      <c r="CP468" s="21" t="str">
        <f>IF([1]!BANCO10[[#This Row],[SOLUÇÃO]]=CP$1,[1]!BANCO10[[#This Row],[STATUS DA ETAPA]],"")</f>
        <v/>
      </c>
      <c r="CQ468" s="21" t="str">
        <f>IF([1]!BANCO10[[#This Row],[SOLUÇÃO]]=CQ$1,[1]!BANCO10[[#This Row],[STATUS DA ETAPA]],"")</f>
        <v/>
      </c>
      <c r="CR468" s="21" t="str">
        <f>IF([1]!BANCO10[[#This Row],[SOLUÇÃO]]=CR$1,[1]!BANCO10[[#This Row],[STATUS DA ETAPA]],"")</f>
        <v/>
      </c>
      <c r="CS468" s="21" t="str">
        <f>IF([1]!BANCO10[[#This Row],[SOLUÇÃO]]=CS$1,[1]!BANCO10[[#This Row],[STATUS DA ETAPA]],"")</f>
        <v/>
      </c>
      <c r="CT468" s="21" t="str">
        <f>IF([1]!BANCO10[[#This Row],[SOLUÇÃO]]=CT$1,[1]!BANCO10[[#This Row],[STATUS DA ETAPA]],"")</f>
        <v/>
      </c>
      <c r="CU468" s="21" t="str">
        <f>IF([1]!BANCO10[[#This Row],[SOLUÇÃO]]=CU$1,[1]!BANCO10[[#This Row],[STATUS DA ETAPA]],"")</f>
        <v/>
      </c>
      <c r="CV468" s="21" t="str">
        <f>IF([1]!BANCO10[[#This Row],[SOLUÇÃO]]=CV$1,[1]!BANCO10[[#This Row],[STATUS DA ETAPA]],"")</f>
        <v/>
      </c>
    </row>
    <row r="469" spans="1:100">
      <c r="A469" s="44" t="s">
        <v>1</v>
      </c>
      <c r="B469" s="44"/>
      <c r="C469" s="44" t="s">
        <v>1</v>
      </c>
      <c r="D469" s="44"/>
      <c r="E469" s="44" t="s">
        <v>1</v>
      </c>
      <c r="F469" s="44"/>
      <c r="G469" s="44" t="s">
        <v>1</v>
      </c>
      <c r="H469" s="44"/>
      <c r="I469" s="45" t="s">
        <v>1</v>
      </c>
      <c r="J469" s="46"/>
      <c r="K469" s="45" t="s">
        <v>1</v>
      </c>
      <c r="L469" s="33"/>
      <c r="M469" s="45" t="s">
        <v>1</v>
      </c>
      <c r="N469" s="33"/>
      <c r="O469" s="44" t="s">
        <v>1</v>
      </c>
      <c r="P469" s="44"/>
      <c r="Q469" s="44" t="s">
        <v>1</v>
      </c>
      <c r="R469" s="44" t="s">
        <v>1</v>
      </c>
      <c r="S469" s="44" t="s">
        <v>1</v>
      </c>
      <c r="T469" s="44"/>
      <c r="U469" s="44" t="s">
        <v>1</v>
      </c>
      <c r="V469" s="44"/>
      <c r="W469" s="44" t="s">
        <v>1</v>
      </c>
      <c r="X469" s="44"/>
      <c r="Y469" s="44" t="s">
        <v>1</v>
      </c>
      <c r="Z469" s="44"/>
      <c r="AA469" s="44" t="s">
        <v>1</v>
      </c>
      <c r="AB469" s="44"/>
      <c r="AC469" s="51">
        <v>45636</v>
      </c>
      <c r="AD469" s="50">
        <v>45636</v>
      </c>
      <c r="AE469" s="41" t="s">
        <v>1</v>
      </c>
      <c r="AF469" s="41" t="s">
        <v>1</v>
      </c>
      <c r="AG469" s="40" t="s">
        <v>4</v>
      </c>
      <c r="AH469" s="36" t="s">
        <v>0</v>
      </c>
      <c r="AI469" s="49">
        <v>0</v>
      </c>
      <c r="AJ469" s="36" t="s">
        <v>1</v>
      </c>
      <c r="AK469" s="10" t="s">
        <v>1</v>
      </c>
      <c r="AL469" s="36" t="s">
        <v>1</v>
      </c>
      <c r="AM469" s="36" t="s">
        <v>1</v>
      </c>
      <c r="AN469" s="35" t="s">
        <v>1</v>
      </c>
      <c r="AO469" s="35" t="s">
        <v>1</v>
      </c>
      <c r="AP469" s="35" t="s">
        <v>1</v>
      </c>
      <c r="AQ469" s="35" t="s">
        <v>2</v>
      </c>
      <c r="AR469" s="34" t="s">
        <v>0</v>
      </c>
      <c r="AS469" s="33"/>
      <c r="AT469" s="30" t="s">
        <v>0</v>
      </c>
      <c r="AU469" s="31"/>
      <c r="AV469" s="30" t="s">
        <v>0</v>
      </c>
      <c r="AW469" s="31"/>
      <c r="AX469" s="30" t="s">
        <v>0</v>
      </c>
      <c r="AY469" s="29"/>
      <c r="AZ469" s="28" t="s">
        <v>0</v>
      </c>
      <c r="BA469" s="27"/>
      <c r="BB469" s="26"/>
      <c r="BC469" s="25"/>
      <c r="BD469" s="24"/>
      <c r="BE469" s="24"/>
      <c r="BF469" s="24"/>
      <c r="BG469" s="24"/>
      <c r="BH469" s="24"/>
      <c r="BI469" s="24"/>
      <c r="BJ469" s="24"/>
      <c r="BK469" s="24"/>
      <c r="BL469" s="24"/>
      <c r="BM469" s="24"/>
      <c r="BN469" s="24"/>
      <c r="BO469" s="24"/>
      <c r="BP469" s="24"/>
      <c r="BQ469" s="22">
        <f>YEAR([1]!BANCO10[[#This Row],[DATA INÍCIO]])</f>
        <v>2024</v>
      </c>
      <c r="BR469" s="22">
        <f>MONTH([1]!BANCO10[[#This Row],[DATA INÍCIO]])</f>
        <v>12</v>
      </c>
      <c r="BS469" s="23" t="e">
        <f>CONCATENATE(#REF!,#REF!)</f>
        <v>#REF!</v>
      </c>
      <c r="BT469" s="22"/>
      <c r="BU469" s="22"/>
      <c r="BV469" s="21" t="str">
        <f>IF([1]!BANCO10[[#This Row],[SOLUÇÃO]]=BV$1,[1]!BANCO10[[#This Row],[STATUS DA ETAPA]],"")</f>
        <v/>
      </c>
      <c r="BW469" s="21" t="str">
        <f>IF([1]!BANCO10[[#This Row],[SOLUÇÃO]]=BW$1,[1]!BANCO10[[#This Row],[STATUS DA ETAPA]],"")</f>
        <v/>
      </c>
      <c r="BX469" s="21" t="str">
        <f>IF([1]!BANCO10[[#This Row],[SOLUÇÃO]]=BX$1,[1]!BANCO10[[#This Row],[STATUS DA ETAPA]],"")</f>
        <v/>
      </c>
      <c r="BY469" s="21" t="str">
        <f>IF([1]!BANCO10[[#This Row],[SOLUÇÃO]]=BY$1,[1]!BANCO10[[#This Row],[STATUS DA ETAPA]],"")</f>
        <v/>
      </c>
      <c r="BZ469" s="21" t="str">
        <f>IF([1]!BANCO10[[#This Row],[SOLUÇÃO]]=BZ$1,[1]!BANCO10[[#This Row],[STATUS DA ETAPA]],"")</f>
        <v/>
      </c>
      <c r="CA469" s="21" t="str">
        <f>IF([1]!BANCO10[[#This Row],[SOLUÇÃO]]=CA$1,[1]!BANCO10[[#This Row],[STATUS DA ETAPA]],"")</f>
        <v/>
      </c>
      <c r="CB469" s="21" t="str">
        <f>IF([1]!BANCO10[[#This Row],[SOLUÇÃO]]=CB$1,[1]!BANCO10[[#This Row],[STATUS DA ETAPA]],"")</f>
        <v/>
      </c>
      <c r="CC469" s="21" t="str">
        <f>IF([1]!BANCO10[[#This Row],[SOLUÇÃO]]=CC$1,[1]!BANCO10[[#This Row],[STATUS DA ETAPA]],"")</f>
        <v/>
      </c>
      <c r="CD469" s="21" t="str">
        <f>IF([1]!BANCO10[[#This Row],[SOLUÇÃO]]=CD$1,[1]!BANCO10[[#This Row],[STATUS DA ETAPA]],"")</f>
        <v/>
      </c>
      <c r="CE469" s="21" t="str">
        <f>IF([1]!BANCO10[[#This Row],[SOLUÇÃO]]=CE$1,[1]!BANCO10[[#This Row],[STATUS DA ETAPA]],"")</f>
        <v/>
      </c>
      <c r="CF469" s="21" t="str">
        <f>IF([1]!BANCO10[[#This Row],[SOLUÇÃO]]=CF$1,[1]!BANCO10[[#This Row],[STATUS DA ETAPA]],"")</f>
        <v/>
      </c>
      <c r="CG469" s="21" t="str">
        <f>IF([1]!BANCO10[[#This Row],[SOLUÇÃO]]=CG$1,[1]!BANCO10[[#This Row],[STATUS DA ETAPA]],"")</f>
        <v/>
      </c>
      <c r="CH469" s="21" t="str">
        <f>IF([1]!BANCO10[[#This Row],[SOLUÇÃO]]=CH$1,[1]!BANCO10[[#This Row],[STATUS DA ETAPA]],"")</f>
        <v/>
      </c>
      <c r="CI469" s="21" t="str">
        <f>IF([1]!BANCO10[[#This Row],[SOLUÇÃO]]=CI$1,[1]!BANCO10[[#This Row],[STATUS DA ETAPA]],"")</f>
        <v/>
      </c>
      <c r="CJ469" s="21" t="str">
        <f>IF([1]!BANCO10[[#This Row],[SOLUÇÃO]]=CJ$1,[1]!BANCO10[[#This Row],[STATUS DA ETAPA]],"")</f>
        <v/>
      </c>
      <c r="CK469" s="21" t="str">
        <f>IF([1]!BANCO10[[#This Row],[SOLUÇÃO]]=CK$1,[1]!BANCO10[[#This Row],[STATUS DA ETAPA]],"")</f>
        <v/>
      </c>
      <c r="CL469" s="21" t="str">
        <f>IF([1]!BANCO10[[#This Row],[SOLUÇÃO]]=CL$1,[1]!BANCO10[[#This Row],[STATUS DA ETAPA]],"")</f>
        <v/>
      </c>
      <c r="CM469" s="21" t="str">
        <f>IF([1]!BANCO10[[#This Row],[SOLUÇÃO]]=CM$1,[1]!BANCO10[[#This Row],[STATUS DA ETAPA]],"")</f>
        <v/>
      </c>
      <c r="CN469" s="21" t="str">
        <f>IF([1]!BANCO10[[#This Row],[SOLUÇÃO]]=CN$1,[1]!BANCO10[[#This Row],[STATUS DA ETAPA]],"")</f>
        <v/>
      </c>
      <c r="CO469" s="21" t="str">
        <f>IF([1]!BANCO10[[#This Row],[SOLUÇÃO]]=CO$1,[1]!BANCO10[[#This Row],[STATUS DA ETAPA]],"")</f>
        <v/>
      </c>
      <c r="CP469" s="21" t="str">
        <f>IF([1]!BANCO10[[#This Row],[SOLUÇÃO]]=CP$1,[1]!BANCO10[[#This Row],[STATUS DA ETAPA]],"")</f>
        <v/>
      </c>
      <c r="CQ469" s="21" t="str">
        <f>IF([1]!BANCO10[[#This Row],[SOLUÇÃO]]=CQ$1,[1]!BANCO10[[#This Row],[STATUS DA ETAPA]],"")</f>
        <v/>
      </c>
      <c r="CR469" s="21" t="str">
        <f>IF([1]!BANCO10[[#This Row],[SOLUÇÃO]]=CR$1,[1]!BANCO10[[#This Row],[STATUS DA ETAPA]],"")</f>
        <v/>
      </c>
      <c r="CS469" s="21" t="str">
        <f>IF([1]!BANCO10[[#This Row],[SOLUÇÃO]]=CS$1,[1]!BANCO10[[#This Row],[STATUS DA ETAPA]],"")</f>
        <v/>
      </c>
      <c r="CT469" s="21" t="str">
        <f>IF([1]!BANCO10[[#This Row],[SOLUÇÃO]]=CT$1,[1]!BANCO10[[#This Row],[STATUS DA ETAPA]],"")</f>
        <v/>
      </c>
      <c r="CU469" s="21" t="str">
        <f>IF([1]!BANCO10[[#This Row],[SOLUÇÃO]]=CU$1,[1]!BANCO10[[#This Row],[STATUS DA ETAPA]],"")</f>
        <v/>
      </c>
      <c r="CV469" s="21" t="str">
        <f>IF([1]!BANCO10[[#This Row],[SOLUÇÃO]]=CV$1,[1]!BANCO10[[#This Row],[STATUS DA ETAPA]],"")</f>
        <v/>
      </c>
    </row>
    <row r="470" spans="1:100">
      <c r="A470" s="44" t="s">
        <v>2</v>
      </c>
      <c r="B470" s="44">
        <v>45757</v>
      </c>
      <c r="C470" s="44" t="s">
        <v>2</v>
      </c>
      <c r="D470" s="44">
        <v>45757</v>
      </c>
      <c r="E470" s="44" t="s">
        <v>2</v>
      </c>
      <c r="F470" s="44">
        <v>45757</v>
      </c>
      <c r="G470" s="44" t="s">
        <v>2</v>
      </c>
      <c r="H470" s="44">
        <v>45757</v>
      </c>
      <c r="I470" s="45" t="s">
        <v>2</v>
      </c>
      <c r="J470" s="46">
        <v>45757</v>
      </c>
      <c r="K470" s="45" t="s">
        <v>2</v>
      </c>
      <c r="L470" s="33"/>
      <c r="M470" s="45" t="s">
        <v>2</v>
      </c>
      <c r="N470" s="33"/>
      <c r="O470" s="44" t="s">
        <v>1</v>
      </c>
      <c r="P470" s="44"/>
      <c r="Q470" s="44" t="s">
        <v>2</v>
      </c>
      <c r="R470" s="44"/>
      <c r="S470" s="44" t="s">
        <v>2</v>
      </c>
      <c r="T470" s="44">
        <v>45708</v>
      </c>
      <c r="U470" s="44" t="s">
        <v>1</v>
      </c>
      <c r="V470" s="44"/>
      <c r="W470" s="44" t="s">
        <v>1</v>
      </c>
      <c r="X470" s="44"/>
      <c r="Y470" s="44" t="s">
        <v>1</v>
      </c>
      <c r="Z470" s="44"/>
      <c r="AA470" s="44" t="s">
        <v>1</v>
      </c>
      <c r="AB470" s="44"/>
      <c r="AC470" s="51">
        <v>45896</v>
      </c>
      <c r="AD470" s="50">
        <v>45980</v>
      </c>
      <c r="AE470" s="54" t="s">
        <v>2</v>
      </c>
      <c r="AF470" s="41" t="s">
        <v>0</v>
      </c>
      <c r="AG470" s="40" t="s">
        <v>5</v>
      </c>
      <c r="AH470" s="36" t="s">
        <v>0</v>
      </c>
      <c r="AI470" s="49">
        <v>22040</v>
      </c>
      <c r="AJ470" s="36" t="s">
        <v>6</v>
      </c>
      <c r="AK470" s="10">
        <v>678856</v>
      </c>
      <c r="AL470" s="36" t="s">
        <v>1</v>
      </c>
      <c r="AM470" s="36" t="s">
        <v>1</v>
      </c>
      <c r="AN470" s="52" t="s">
        <v>0</v>
      </c>
      <c r="AO470" s="52" t="s">
        <v>0</v>
      </c>
      <c r="AP470" s="52" t="s">
        <v>0</v>
      </c>
      <c r="AQ470" s="52" t="s">
        <v>0</v>
      </c>
      <c r="AR470" s="34" t="s">
        <v>0</v>
      </c>
      <c r="AS470" s="33"/>
      <c r="AT470" s="32" t="s">
        <v>1</v>
      </c>
      <c r="AU470" s="31"/>
      <c r="AV470" s="32" t="s">
        <v>1</v>
      </c>
      <c r="AW470" s="31"/>
      <c r="AX470" s="32" t="s">
        <v>0</v>
      </c>
      <c r="AY470" s="31"/>
      <c r="AZ470" s="32" t="s">
        <v>0</v>
      </c>
      <c r="BA470" s="31"/>
      <c r="BB470" s="26" t="s">
        <v>7</v>
      </c>
      <c r="BC470" s="25"/>
      <c r="BD470" s="24"/>
      <c r="BE470" s="24"/>
      <c r="BF470" s="24"/>
      <c r="BG470" s="24"/>
      <c r="BH470" s="24"/>
      <c r="BI470" s="24"/>
      <c r="BJ470" s="24"/>
      <c r="BK470" s="24"/>
      <c r="BL470" s="24"/>
      <c r="BM470" s="24"/>
      <c r="BN470" s="24"/>
      <c r="BO470" s="24"/>
      <c r="BP470" s="24"/>
      <c r="BQ470" s="22">
        <f>YEAR([1]!BANCO10[[#This Row],[DATA INÍCIO]])</f>
        <v>2025</v>
      </c>
      <c r="BR470" s="22">
        <f>MONTH([1]!BANCO10[[#This Row],[DATA INÍCIO]])</f>
        <v>8</v>
      </c>
      <c r="BS470" s="23" t="e">
        <f>CONCATENATE(#REF!,#REF!)</f>
        <v>#REF!</v>
      </c>
      <c r="BT470" s="22"/>
      <c r="BU470" s="22"/>
      <c r="BV470" s="21" t="str">
        <f>IF([1]!BANCO10[[#This Row],[SOLUÇÃO]]=BV$1,[1]!BANCO10[[#This Row],[STATUS DA ETAPA]],"")</f>
        <v/>
      </c>
      <c r="BW470" s="21" t="str">
        <f>IF([1]!BANCO10[[#This Row],[SOLUÇÃO]]=BW$1,[1]!BANCO10[[#This Row],[STATUS DA ETAPA]],"")</f>
        <v/>
      </c>
      <c r="BX470" s="21" t="str">
        <f>IF([1]!BANCO10[[#This Row],[SOLUÇÃO]]=BX$1,[1]!BANCO10[[#This Row],[STATUS DA ETAPA]],"")</f>
        <v/>
      </c>
      <c r="BY470" s="21" t="str">
        <f>IF([1]!BANCO10[[#This Row],[SOLUÇÃO]]=BY$1,[1]!BANCO10[[#This Row],[STATUS DA ETAPA]],"")</f>
        <v/>
      </c>
      <c r="BZ470" s="21" t="str">
        <f>IF([1]!BANCO10[[#This Row],[SOLUÇÃO]]=BZ$1,[1]!BANCO10[[#This Row],[STATUS DA ETAPA]],"")</f>
        <v/>
      </c>
      <c r="CA470" s="21" t="str">
        <f>IF([1]!BANCO10[[#This Row],[SOLUÇÃO]]=CA$1,[1]!BANCO10[[#This Row],[STATUS DA ETAPA]],"")</f>
        <v/>
      </c>
      <c r="CB470" s="21" t="str">
        <f>IF([1]!BANCO10[[#This Row],[SOLUÇÃO]]=CB$1,[1]!BANCO10[[#This Row],[STATUS DA ETAPA]],"")</f>
        <v>EM ANDAMENTO</v>
      </c>
      <c r="CC470" s="21" t="str">
        <f>IF([1]!BANCO10[[#This Row],[SOLUÇÃO]]=CC$1,[1]!BANCO10[[#This Row],[STATUS DA ETAPA]],"")</f>
        <v/>
      </c>
      <c r="CD470" s="21" t="str">
        <f>IF([1]!BANCO10[[#This Row],[SOLUÇÃO]]=CD$1,[1]!BANCO10[[#This Row],[STATUS DA ETAPA]],"")</f>
        <v/>
      </c>
      <c r="CE470" s="21" t="str">
        <f>IF([1]!BANCO10[[#This Row],[SOLUÇÃO]]=CE$1,[1]!BANCO10[[#This Row],[STATUS DA ETAPA]],"")</f>
        <v/>
      </c>
      <c r="CF470" s="21" t="str">
        <f>IF([1]!BANCO10[[#This Row],[SOLUÇÃO]]=CF$1,[1]!BANCO10[[#This Row],[STATUS DA ETAPA]],"")</f>
        <v/>
      </c>
      <c r="CG470" s="21" t="str">
        <f>IF([1]!BANCO10[[#This Row],[SOLUÇÃO]]=CG$1,[1]!BANCO10[[#This Row],[STATUS DA ETAPA]],"")</f>
        <v/>
      </c>
      <c r="CH470" s="21" t="str">
        <f>IF([1]!BANCO10[[#This Row],[SOLUÇÃO]]=CH$1,[1]!BANCO10[[#This Row],[STATUS DA ETAPA]],"")</f>
        <v/>
      </c>
      <c r="CI470" s="21" t="str">
        <f>IF([1]!BANCO10[[#This Row],[SOLUÇÃO]]=CI$1,[1]!BANCO10[[#This Row],[STATUS DA ETAPA]],"")</f>
        <v/>
      </c>
      <c r="CJ470" s="21" t="str">
        <f>IF([1]!BANCO10[[#This Row],[SOLUÇÃO]]=CJ$1,[1]!BANCO10[[#This Row],[STATUS DA ETAPA]],"")</f>
        <v/>
      </c>
      <c r="CK470" s="21" t="str">
        <f>IF([1]!BANCO10[[#This Row],[SOLUÇÃO]]=CK$1,[1]!BANCO10[[#This Row],[STATUS DA ETAPA]],"")</f>
        <v/>
      </c>
      <c r="CL470" s="21" t="str">
        <f>IF([1]!BANCO10[[#This Row],[SOLUÇÃO]]=CL$1,[1]!BANCO10[[#This Row],[STATUS DA ETAPA]],"")</f>
        <v/>
      </c>
      <c r="CM470" s="21" t="str">
        <f>IF([1]!BANCO10[[#This Row],[SOLUÇÃO]]=CM$1,[1]!BANCO10[[#This Row],[STATUS DA ETAPA]],"")</f>
        <v/>
      </c>
      <c r="CN470" s="21" t="str">
        <f>IF([1]!BANCO10[[#This Row],[SOLUÇÃO]]=CN$1,[1]!BANCO10[[#This Row],[STATUS DA ETAPA]],"")</f>
        <v/>
      </c>
      <c r="CO470" s="21" t="str">
        <f>IF([1]!BANCO10[[#This Row],[SOLUÇÃO]]=CO$1,[1]!BANCO10[[#This Row],[STATUS DA ETAPA]],"")</f>
        <v/>
      </c>
      <c r="CP470" s="21" t="str">
        <f>IF([1]!BANCO10[[#This Row],[SOLUÇÃO]]=CP$1,[1]!BANCO10[[#This Row],[STATUS DA ETAPA]],"")</f>
        <v/>
      </c>
      <c r="CQ470" s="21" t="str">
        <f>IF([1]!BANCO10[[#This Row],[SOLUÇÃO]]=CQ$1,[1]!BANCO10[[#This Row],[STATUS DA ETAPA]],"")</f>
        <v/>
      </c>
      <c r="CR470" s="21" t="str">
        <f>IF([1]!BANCO10[[#This Row],[SOLUÇÃO]]=CR$1,[1]!BANCO10[[#This Row],[STATUS DA ETAPA]],"")</f>
        <v/>
      </c>
      <c r="CS470" s="21" t="str">
        <f>IF([1]!BANCO10[[#This Row],[SOLUÇÃO]]=CS$1,[1]!BANCO10[[#This Row],[STATUS DA ETAPA]],"")</f>
        <v/>
      </c>
      <c r="CT470" s="21" t="str">
        <f>IF([1]!BANCO10[[#This Row],[SOLUÇÃO]]=CT$1,[1]!BANCO10[[#This Row],[STATUS DA ETAPA]],"")</f>
        <v/>
      </c>
      <c r="CU470" s="21" t="str">
        <f>IF([1]!BANCO10[[#This Row],[SOLUÇÃO]]=CU$1,[1]!BANCO10[[#This Row],[STATUS DA ETAPA]],"")</f>
        <v/>
      </c>
      <c r="CV470" s="21" t="str">
        <f>IF([1]!BANCO10[[#This Row],[SOLUÇÃO]]=CV$1,[1]!BANCO10[[#This Row],[STATUS DA ETAPA]],"")</f>
        <v/>
      </c>
    </row>
    <row r="471" spans="1:100">
      <c r="A471" s="44" t="s">
        <v>0</v>
      </c>
      <c r="B471" s="44"/>
      <c r="C471" s="44" t="s">
        <v>0</v>
      </c>
      <c r="D471" s="44"/>
      <c r="E471" s="44" t="s">
        <v>0</v>
      </c>
      <c r="F471" s="44"/>
      <c r="G471" s="44" t="s">
        <v>0</v>
      </c>
      <c r="H471" s="44"/>
      <c r="I471" s="45" t="s">
        <v>0</v>
      </c>
      <c r="J471" s="46"/>
      <c r="K471" s="45" t="s">
        <v>0</v>
      </c>
      <c r="L471" s="33"/>
      <c r="M471" s="45" t="s">
        <v>0</v>
      </c>
      <c r="N471" s="33"/>
      <c r="O471" s="44" t="s">
        <v>0</v>
      </c>
      <c r="P471" s="44"/>
      <c r="Q471" s="44" t="s">
        <v>0</v>
      </c>
      <c r="R471" s="44"/>
      <c r="S471" s="44" t="s">
        <v>2</v>
      </c>
      <c r="T471" s="44">
        <v>45708</v>
      </c>
      <c r="U471" s="44" t="s">
        <v>1</v>
      </c>
      <c r="V471" s="44"/>
      <c r="W471" s="44" t="s">
        <v>1</v>
      </c>
      <c r="X471" s="44"/>
      <c r="Y471" s="44" t="s">
        <v>1</v>
      </c>
      <c r="Z471" s="44"/>
      <c r="AA471" s="44" t="s">
        <v>1</v>
      </c>
      <c r="AB471" s="44"/>
      <c r="AC471" s="51">
        <v>45770</v>
      </c>
      <c r="AD471" s="50">
        <v>45807</v>
      </c>
      <c r="AE471" s="40" t="s">
        <v>2</v>
      </c>
      <c r="AF471" s="40" t="s">
        <v>0</v>
      </c>
      <c r="AG471" s="76" t="s">
        <v>5</v>
      </c>
      <c r="AH471" s="36" t="s">
        <v>0</v>
      </c>
      <c r="AI471" s="49">
        <v>15168</v>
      </c>
      <c r="AJ471" s="36" t="s">
        <v>6</v>
      </c>
      <c r="AK471" s="10" t="s">
        <v>1</v>
      </c>
      <c r="AL471" s="36" t="s">
        <v>1</v>
      </c>
      <c r="AM471" s="36" t="s">
        <v>1</v>
      </c>
      <c r="AN471" s="35" t="s">
        <v>1</v>
      </c>
      <c r="AO471" s="35" t="s">
        <v>1</v>
      </c>
      <c r="AP471" s="35" t="s">
        <v>1</v>
      </c>
      <c r="AQ471" s="35" t="s">
        <v>1</v>
      </c>
      <c r="AR471" s="34" t="s">
        <v>0</v>
      </c>
      <c r="AS471" s="33"/>
      <c r="AT471" s="32" t="s">
        <v>1</v>
      </c>
      <c r="AU471" s="31"/>
      <c r="AV471" s="32" t="s">
        <v>1</v>
      </c>
      <c r="AW471" s="31"/>
      <c r="AX471" s="32" t="s">
        <v>0</v>
      </c>
      <c r="AY471" s="31"/>
      <c r="AZ471" s="32" t="s">
        <v>0</v>
      </c>
      <c r="BA471" s="31"/>
      <c r="BB471" s="26"/>
      <c r="BC471" s="25"/>
      <c r="BD471" s="24"/>
      <c r="BE471" s="24"/>
      <c r="BF471" s="24"/>
      <c r="BG471" s="24"/>
      <c r="BH471" s="24"/>
      <c r="BI471" s="24"/>
      <c r="BJ471" s="24"/>
      <c r="BK471" s="24"/>
      <c r="BL471" s="24"/>
      <c r="BM471" s="24"/>
      <c r="BN471" s="24"/>
      <c r="BO471" s="24"/>
      <c r="BP471" s="24"/>
      <c r="BQ471" s="22">
        <f>YEAR([1]!BANCO10[[#This Row],[DATA INÍCIO]])</f>
        <v>2025</v>
      </c>
      <c r="BR471" s="22">
        <f>MONTH([1]!BANCO10[[#This Row],[DATA INÍCIO]])</f>
        <v>4</v>
      </c>
      <c r="BS471" s="23" t="e">
        <f>CONCATENATE(#REF!,#REF!)</f>
        <v>#REF!</v>
      </c>
      <c r="BT471" s="22"/>
      <c r="BU471" s="22"/>
      <c r="BV471" s="21" t="str">
        <f>IF([1]!BANCO10[[#This Row],[SOLUÇÃO]]=BV$1,[1]!BANCO10[[#This Row],[STATUS DA ETAPA]],"")</f>
        <v/>
      </c>
      <c r="BW471" s="21" t="str">
        <f>IF([1]!BANCO10[[#This Row],[SOLUÇÃO]]=BW$1,[1]!BANCO10[[#This Row],[STATUS DA ETAPA]],"")</f>
        <v/>
      </c>
      <c r="BX471" s="21" t="str">
        <f>IF([1]!BANCO10[[#This Row],[SOLUÇÃO]]=BX$1,[1]!BANCO10[[#This Row],[STATUS DA ETAPA]],"")</f>
        <v/>
      </c>
      <c r="BY471" s="21" t="str">
        <f>IF([1]!BANCO10[[#This Row],[SOLUÇÃO]]=BY$1,[1]!BANCO10[[#This Row],[STATUS DA ETAPA]],"")</f>
        <v/>
      </c>
      <c r="BZ471" s="21" t="str">
        <f>IF([1]!BANCO10[[#This Row],[SOLUÇÃO]]=BZ$1,[1]!BANCO10[[#This Row],[STATUS DA ETAPA]],"")</f>
        <v/>
      </c>
      <c r="CA471" s="21" t="str">
        <f>IF([1]!BANCO10[[#This Row],[SOLUÇÃO]]=CA$1,[1]!BANCO10[[#This Row],[STATUS DA ETAPA]],"")</f>
        <v/>
      </c>
      <c r="CB471" s="21" t="str">
        <f>IF([1]!BANCO10[[#This Row],[SOLUÇÃO]]=CB$1,[1]!BANCO10[[#This Row],[STATUS DA ETAPA]],"")</f>
        <v/>
      </c>
      <c r="CC471" s="21" t="str">
        <f>IF([1]!BANCO10[[#This Row],[SOLUÇÃO]]=CC$1,[1]!BANCO10[[#This Row],[STATUS DA ETAPA]],"")</f>
        <v/>
      </c>
      <c r="CD471" s="21" t="str">
        <f>IF([1]!BANCO10[[#This Row],[SOLUÇÃO]]=CD$1,[1]!BANCO10[[#This Row],[STATUS DA ETAPA]],"")</f>
        <v/>
      </c>
      <c r="CE471" s="21" t="str">
        <f>IF([1]!BANCO10[[#This Row],[SOLUÇÃO]]=CE$1,[1]!BANCO10[[#This Row],[STATUS DA ETAPA]],"")</f>
        <v/>
      </c>
      <c r="CF471" s="21" t="str">
        <f>IF([1]!BANCO10[[#This Row],[SOLUÇÃO]]=CF$1,[1]!BANCO10[[#This Row],[STATUS DA ETAPA]],"")</f>
        <v/>
      </c>
      <c r="CG471" s="21" t="str">
        <f>IF([1]!BANCO10[[#This Row],[SOLUÇÃO]]=CG$1,[1]!BANCO10[[#This Row],[STATUS DA ETAPA]],"")</f>
        <v/>
      </c>
      <c r="CH471" s="21" t="str">
        <f>IF([1]!BANCO10[[#This Row],[SOLUÇÃO]]=CH$1,[1]!BANCO10[[#This Row],[STATUS DA ETAPA]],"")</f>
        <v/>
      </c>
      <c r="CI471" s="21" t="str">
        <f>IF([1]!BANCO10[[#This Row],[SOLUÇÃO]]=CI$1,[1]!BANCO10[[#This Row],[STATUS DA ETAPA]],"")</f>
        <v/>
      </c>
      <c r="CJ471" s="21" t="str">
        <f>IF([1]!BANCO10[[#This Row],[SOLUÇÃO]]=CJ$1,[1]!BANCO10[[#This Row],[STATUS DA ETAPA]],"")</f>
        <v/>
      </c>
      <c r="CK471" s="21" t="str">
        <f>IF([1]!BANCO10[[#This Row],[SOLUÇÃO]]=CK$1,[1]!BANCO10[[#This Row],[STATUS DA ETAPA]],"")</f>
        <v/>
      </c>
      <c r="CL471" s="21" t="str">
        <f>IF([1]!BANCO10[[#This Row],[SOLUÇÃO]]=CL$1,[1]!BANCO10[[#This Row],[STATUS DA ETAPA]],"")</f>
        <v/>
      </c>
      <c r="CM471" s="21" t="str">
        <f>IF([1]!BANCO10[[#This Row],[SOLUÇÃO]]=CM$1,[1]!BANCO10[[#This Row],[STATUS DA ETAPA]],"")</f>
        <v/>
      </c>
      <c r="CN471" s="21" t="str">
        <f>IF([1]!BANCO10[[#This Row],[SOLUÇÃO]]=CN$1,[1]!BANCO10[[#This Row],[STATUS DA ETAPA]],"")</f>
        <v/>
      </c>
      <c r="CO471" s="21" t="str">
        <f>IF([1]!BANCO10[[#This Row],[SOLUÇÃO]]=CO$1,[1]!BANCO10[[#This Row],[STATUS DA ETAPA]],"")</f>
        <v/>
      </c>
      <c r="CP471" s="21" t="str">
        <f>IF([1]!BANCO10[[#This Row],[SOLUÇÃO]]=CP$1,[1]!BANCO10[[#This Row],[STATUS DA ETAPA]],"")</f>
        <v/>
      </c>
      <c r="CQ471" s="21" t="str">
        <f>IF([1]!BANCO10[[#This Row],[SOLUÇÃO]]=CQ$1,[1]!BANCO10[[#This Row],[STATUS DA ETAPA]],"")</f>
        <v/>
      </c>
      <c r="CR471" s="21" t="str">
        <f>IF([1]!BANCO10[[#This Row],[SOLUÇÃO]]=CR$1,[1]!BANCO10[[#This Row],[STATUS DA ETAPA]],"")</f>
        <v/>
      </c>
      <c r="CS471" s="21" t="str">
        <f>IF([1]!BANCO10[[#This Row],[SOLUÇÃO]]=CS$1,[1]!BANCO10[[#This Row],[STATUS DA ETAPA]],"")</f>
        <v/>
      </c>
      <c r="CT471" s="21" t="str">
        <f>IF([1]!BANCO10[[#This Row],[SOLUÇÃO]]=CT$1,[1]!BANCO10[[#This Row],[STATUS DA ETAPA]],"")</f>
        <v/>
      </c>
      <c r="CU471" s="21" t="str">
        <f>IF([1]!BANCO10[[#This Row],[SOLUÇÃO]]=CU$1,[1]!BANCO10[[#This Row],[STATUS DA ETAPA]],"")</f>
        <v/>
      </c>
      <c r="CV471" s="21" t="str">
        <f>IF([1]!BANCO10[[#This Row],[SOLUÇÃO]]=CV$1,[1]!BANCO10[[#This Row],[STATUS DA ETAPA]],"")</f>
        <v/>
      </c>
    </row>
    <row r="472" spans="1:100">
      <c r="A472" s="44" t="s">
        <v>1</v>
      </c>
      <c r="B472" s="44"/>
      <c r="C472" s="44" t="s">
        <v>1</v>
      </c>
      <c r="D472" s="44"/>
      <c r="E472" s="44" t="s">
        <v>1</v>
      </c>
      <c r="F472" s="44"/>
      <c r="G472" s="44" t="s">
        <v>1</v>
      </c>
      <c r="H472" s="44"/>
      <c r="I472" s="45" t="s">
        <v>1</v>
      </c>
      <c r="J472" s="46"/>
      <c r="K472" s="45" t="s">
        <v>1</v>
      </c>
      <c r="L472" s="33"/>
      <c r="M472" s="45" t="s">
        <v>1</v>
      </c>
      <c r="N472" s="33"/>
      <c r="O472" s="44" t="s">
        <v>1</v>
      </c>
      <c r="P472" s="44"/>
      <c r="Q472" s="44" t="s">
        <v>1</v>
      </c>
      <c r="R472" s="44"/>
      <c r="S472" s="44" t="s">
        <v>1</v>
      </c>
      <c r="T472" s="44"/>
      <c r="U472" s="44" t="s">
        <v>1</v>
      </c>
      <c r="V472" s="44"/>
      <c r="W472" s="44" t="s">
        <v>1</v>
      </c>
      <c r="X472" s="44"/>
      <c r="Y472" s="44" t="s">
        <v>1</v>
      </c>
      <c r="Z472" s="44"/>
      <c r="AA472" s="44"/>
      <c r="AB472" s="44"/>
      <c r="AC472" s="51">
        <v>45812</v>
      </c>
      <c r="AD472" s="50">
        <v>45884</v>
      </c>
      <c r="AE472" s="40" t="s">
        <v>2</v>
      </c>
      <c r="AF472" s="40" t="s">
        <v>2</v>
      </c>
      <c r="AG472" s="76" t="s">
        <v>5</v>
      </c>
      <c r="AH472" s="36" t="s">
        <v>0</v>
      </c>
      <c r="AI472" s="49">
        <v>0</v>
      </c>
      <c r="AJ472" s="36" t="s">
        <v>6</v>
      </c>
      <c r="AK472" s="10" t="s">
        <v>1</v>
      </c>
      <c r="AL472" s="36" t="s">
        <v>1</v>
      </c>
      <c r="AM472" s="36" t="s">
        <v>1</v>
      </c>
      <c r="AN472" s="35" t="s">
        <v>1</v>
      </c>
      <c r="AO472" s="35" t="s">
        <v>1</v>
      </c>
      <c r="AP472" s="35" t="s">
        <v>1</v>
      </c>
      <c r="AQ472" s="35" t="s">
        <v>1</v>
      </c>
      <c r="AR472" s="34" t="s">
        <v>0</v>
      </c>
      <c r="AS472" s="33"/>
      <c r="AT472" s="32" t="s">
        <v>1</v>
      </c>
      <c r="AU472" s="31"/>
      <c r="AV472" s="32" t="s">
        <v>1</v>
      </c>
      <c r="AW472" s="31"/>
      <c r="AX472" s="32" t="s">
        <v>0</v>
      </c>
      <c r="AY472" s="31"/>
      <c r="AZ472" s="32" t="s">
        <v>0</v>
      </c>
      <c r="BA472" s="31"/>
      <c r="BB472" s="26"/>
      <c r="BC472" s="25"/>
      <c r="BD472" s="24"/>
      <c r="BE472" s="24"/>
      <c r="BF472" s="24"/>
      <c r="BG472" s="24"/>
      <c r="BH472" s="130"/>
      <c r="BI472" s="24"/>
      <c r="BJ472" s="24"/>
      <c r="BK472" s="24"/>
      <c r="BL472" s="24"/>
      <c r="BM472" s="24"/>
      <c r="BN472" s="24"/>
      <c r="BO472" s="24"/>
      <c r="BP472" s="24"/>
      <c r="BQ472" s="22">
        <f>YEAR([1]!BANCO10[[#This Row],[DATA INÍCIO]])</f>
        <v>2025</v>
      </c>
      <c r="BR472" s="22">
        <f>MONTH([1]!BANCO10[[#This Row],[DATA INÍCIO]])</f>
        <v>6</v>
      </c>
      <c r="BS472" s="23" t="e">
        <f>CONCATENATE(#REF!,#REF!)</f>
        <v>#REF!</v>
      </c>
      <c r="BT472" s="22"/>
      <c r="BU472" s="21"/>
      <c r="BV472" s="21" t="str">
        <f>IF([1]!BANCO10[[#This Row],[SOLUÇÃO]]=BV$1,[1]!BANCO10[[#This Row],[STATUS DA ETAPA]],"")</f>
        <v/>
      </c>
      <c r="BW472" s="21" t="str">
        <f>IF([1]!BANCO10[[#This Row],[SOLUÇÃO]]=BW$1,[1]!BANCO10[[#This Row],[STATUS DA ETAPA]],"")</f>
        <v/>
      </c>
      <c r="BX472" s="21" t="str">
        <f>IF([1]!BANCO10[[#This Row],[SOLUÇÃO]]=BX$1,[1]!BANCO10[[#This Row],[STATUS DA ETAPA]],"")</f>
        <v/>
      </c>
      <c r="BY472" s="21" t="str">
        <f>IF([1]!BANCO10[[#This Row],[SOLUÇÃO]]=BY$1,[1]!BANCO10[[#This Row],[STATUS DA ETAPA]],"")</f>
        <v/>
      </c>
      <c r="BZ472" s="21" t="str">
        <f>IF([1]!BANCO10[[#This Row],[SOLUÇÃO]]=BZ$1,[1]!BANCO10[[#This Row],[STATUS DA ETAPA]],"")</f>
        <v/>
      </c>
      <c r="CA472" s="21" t="str">
        <f>IF([1]!BANCO10[[#This Row],[SOLUÇÃO]]=CA$1,[1]!BANCO10[[#This Row],[STATUS DA ETAPA]],"")</f>
        <v/>
      </c>
      <c r="CB472" s="21" t="str">
        <f>IF([1]!BANCO10[[#This Row],[SOLUÇÃO]]=CB$1,[1]!BANCO10[[#This Row],[STATUS DA ETAPA]],"")</f>
        <v/>
      </c>
      <c r="CC472" s="21" t="str">
        <f>IF([1]!BANCO10[[#This Row],[SOLUÇÃO]]=CC$1,[1]!BANCO10[[#This Row],[STATUS DA ETAPA]],"")</f>
        <v/>
      </c>
      <c r="CD472" s="21" t="str">
        <f>IF([1]!BANCO10[[#This Row],[SOLUÇÃO]]=CD$1,[1]!BANCO10[[#This Row],[STATUS DA ETAPA]],"")</f>
        <v/>
      </c>
      <c r="CE472" s="21" t="str">
        <f>IF([1]!BANCO10[[#This Row],[SOLUÇÃO]]=CE$1,[1]!BANCO10[[#This Row],[STATUS DA ETAPA]],"")</f>
        <v/>
      </c>
      <c r="CF472" s="21" t="str">
        <f>IF([1]!BANCO10[[#This Row],[SOLUÇÃO]]=CF$1,[1]!BANCO10[[#This Row],[STATUS DA ETAPA]],"")</f>
        <v/>
      </c>
      <c r="CG472" s="21" t="str">
        <f>IF([1]!BANCO10[[#This Row],[SOLUÇÃO]]=CG$1,[1]!BANCO10[[#This Row],[STATUS DA ETAPA]],"")</f>
        <v/>
      </c>
      <c r="CH472" s="21" t="str">
        <f>IF([1]!BANCO10[[#This Row],[SOLUÇÃO]]=CH$1,[1]!BANCO10[[#This Row],[STATUS DA ETAPA]],"")</f>
        <v/>
      </c>
      <c r="CI472" s="21" t="str">
        <f>IF([1]!BANCO10[[#This Row],[SOLUÇÃO]]=CI$1,[1]!BANCO10[[#This Row],[STATUS DA ETAPA]],"")</f>
        <v/>
      </c>
      <c r="CJ472" s="21" t="str">
        <f>IF([1]!BANCO10[[#This Row],[SOLUÇÃO]]=CJ$1,[1]!BANCO10[[#This Row],[STATUS DA ETAPA]],"")</f>
        <v/>
      </c>
      <c r="CK472" s="21" t="str">
        <f>IF([1]!BANCO10[[#This Row],[SOLUÇÃO]]=CK$1,[1]!BANCO10[[#This Row],[STATUS DA ETAPA]],"")</f>
        <v/>
      </c>
      <c r="CL472" s="21" t="str">
        <f>IF([1]!BANCO10[[#This Row],[SOLUÇÃO]]=CL$1,[1]!BANCO10[[#This Row],[STATUS DA ETAPA]],"")</f>
        <v/>
      </c>
      <c r="CM472" s="21" t="str">
        <f>IF([1]!BANCO10[[#This Row],[SOLUÇÃO]]=CM$1,[1]!BANCO10[[#This Row],[STATUS DA ETAPA]],"")</f>
        <v/>
      </c>
      <c r="CN472" s="21" t="str">
        <f>IF([1]!BANCO10[[#This Row],[SOLUÇÃO]]=CN$1,[1]!BANCO10[[#This Row],[STATUS DA ETAPA]],"")</f>
        <v/>
      </c>
      <c r="CO472" s="21" t="str">
        <f>IF([1]!BANCO10[[#This Row],[SOLUÇÃO]]=CO$1,[1]!BANCO10[[#This Row],[STATUS DA ETAPA]],"")</f>
        <v/>
      </c>
      <c r="CP472" s="21" t="str">
        <f>IF([1]!BANCO10[[#This Row],[SOLUÇÃO]]=CP$1,[1]!BANCO10[[#This Row],[STATUS DA ETAPA]],"")</f>
        <v/>
      </c>
      <c r="CQ472" s="21" t="str">
        <f>IF([1]!BANCO10[[#This Row],[SOLUÇÃO]]=CQ$1,[1]!BANCO10[[#This Row],[STATUS DA ETAPA]],"")</f>
        <v/>
      </c>
      <c r="CR472" s="21" t="str">
        <f>IF([1]!BANCO10[[#This Row],[SOLUÇÃO]]=CR$1,[1]!BANCO10[[#This Row],[STATUS DA ETAPA]],"")</f>
        <v/>
      </c>
      <c r="CS472" s="21" t="str">
        <f>IF([1]!BANCO10[[#This Row],[SOLUÇÃO]]=CS$1,[1]!BANCO10[[#This Row],[STATUS DA ETAPA]],"")</f>
        <v/>
      </c>
      <c r="CT472" s="21" t="str">
        <f>IF([1]!BANCO10[[#This Row],[SOLUÇÃO]]=CT$1,[1]!BANCO10[[#This Row],[STATUS DA ETAPA]],"")</f>
        <v/>
      </c>
      <c r="CU472" s="21" t="str">
        <f>IF([1]!BANCO10[[#This Row],[SOLUÇÃO]]=CU$1,[1]!BANCO10[[#This Row],[STATUS DA ETAPA]],"")</f>
        <v/>
      </c>
      <c r="CV472" s="21" t="str">
        <f>IF([1]!BANCO10[[#This Row],[SOLUÇÃO]]=CV$1,[1]!BANCO10[[#This Row],[STATUS DA ETAPA]],"")</f>
        <v/>
      </c>
    </row>
    <row r="473" spans="1:100">
      <c r="A473" s="44" t="s">
        <v>1</v>
      </c>
      <c r="B473" s="44"/>
      <c r="C473" s="44" t="s">
        <v>1</v>
      </c>
      <c r="D473" s="44"/>
      <c r="E473" s="44" t="s">
        <v>1</v>
      </c>
      <c r="F473" s="44"/>
      <c r="G473" s="44" t="s">
        <v>1</v>
      </c>
      <c r="H473" s="44"/>
      <c r="I473" s="45" t="s">
        <v>1</v>
      </c>
      <c r="J473" s="46"/>
      <c r="K473" s="45" t="s">
        <v>1</v>
      </c>
      <c r="L473" s="33"/>
      <c r="M473" s="45" t="s">
        <v>1</v>
      </c>
      <c r="N473" s="33"/>
      <c r="O473" s="44" t="s">
        <v>2</v>
      </c>
      <c r="P473" s="44">
        <v>44928</v>
      </c>
      <c r="Q473" s="44" t="s">
        <v>0</v>
      </c>
      <c r="R473" s="44">
        <v>44928</v>
      </c>
      <c r="S473" s="44" t="s">
        <v>2</v>
      </c>
      <c r="T473" s="44">
        <v>44928</v>
      </c>
      <c r="U473" s="44" t="s">
        <v>1</v>
      </c>
      <c r="V473" s="44"/>
      <c r="W473" s="44" t="s">
        <v>1</v>
      </c>
      <c r="X473" s="44"/>
      <c r="Y473" s="44" t="s">
        <v>1</v>
      </c>
      <c r="Z473" s="44"/>
      <c r="AA473" s="44" t="s">
        <v>1</v>
      </c>
      <c r="AB473" s="44"/>
      <c r="AC473" s="84">
        <v>44946</v>
      </c>
      <c r="AD473" s="83">
        <v>45013</v>
      </c>
      <c r="AE473" s="40" t="s">
        <v>2</v>
      </c>
      <c r="AF473" s="40" t="s">
        <v>2</v>
      </c>
      <c r="AG473" s="76" t="s">
        <v>5</v>
      </c>
      <c r="AH473" s="36" t="s">
        <v>0</v>
      </c>
      <c r="AI473" s="49">
        <v>0</v>
      </c>
      <c r="AJ473" s="36" t="s">
        <v>6</v>
      </c>
      <c r="AK473" s="10" t="s">
        <v>1</v>
      </c>
      <c r="AL473" s="36" t="s">
        <v>1</v>
      </c>
      <c r="AM473" s="36" t="s">
        <v>1</v>
      </c>
      <c r="AN473" s="35" t="s">
        <v>1</v>
      </c>
      <c r="AO473" s="35" t="s">
        <v>1</v>
      </c>
      <c r="AP473" s="35" t="s">
        <v>1</v>
      </c>
      <c r="AQ473" s="35" t="s">
        <v>1</v>
      </c>
      <c r="AR473" s="34" t="s">
        <v>0</v>
      </c>
      <c r="AS473" s="33"/>
      <c r="AT473" s="32" t="s">
        <v>1</v>
      </c>
      <c r="AU473" s="31"/>
      <c r="AV473" s="32" t="s">
        <v>1</v>
      </c>
      <c r="AW473" s="55"/>
      <c r="AX473" s="30" t="s">
        <v>2</v>
      </c>
      <c r="AY473" s="55">
        <v>45083</v>
      </c>
      <c r="AZ473" s="30" t="s">
        <v>2</v>
      </c>
      <c r="BA473" s="55"/>
      <c r="BB473" s="74"/>
      <c r="BC473" s="25"/>
      <c r="BD473" s="24" t="s">
        <v>11</v>
      </c>
      <c r="BE473" s="24" t="s">
        <v>11</v>
      </c>
      <c r="BF473" s="24" t="s">
        <v>416</v>
      </c>
      <c r="BG473" s="24" t="s">
        <v>11</v>
      </c>
      <c r="BH473" s="130" t="s">
        <v>11</v>
      </c>
      <c r="BI473" s="24" t="s">
        <v>11</v>
      </c>
      <c r="BJ473" s="24" t="s">
        <v>11</v>
      </c>
      <c r="BK473" s="24" t="s">
        <v>11</v>
      </c>
      <c r="BL473" s="24" t="s">
        <v>11</v>
      </c>
      <c r="BM473" s="24" t="s">
        <v>11</v>
      </c>
      <c r="BN473" s="24" t="s">
        <v>11</v>
      </c>
      <c r="BO473" s="24" t="s">
        <v>11</v>
      </c>
      <c r="BP473" s="24" t="s">
        <v>11</v>
      </c>
      <c r="BQ473" s="22">
        <f>YEAR([1]!BANCO10[[#This Row],[DATA INÍCIO]])</f>
        <v>2023</v>
      </c>
      <c r="BR473" s="22">
        <f>MONTH([1]!BANCO10[[#This Row],[DATA INÍCIO]])</f>
        <v>1</v>
      </c>
      <c r="BS473" s="129" t="e">
        <f>CONCATENATE(#REF!,#REF!)</f>
        <v>#REF!</v>
      </c>
      <c r="BT473" s="22"/>
      <c r="BU473" s="21" t="s">
        <v>415</v>
      </c>
      <c r="BV473" s="21" t="str">
        <f>IF([1]!BANCO10[[#This Row],[SOLUÇÃO]]=BV$1,[1]!BANCO10[[#This Row],[STATUS DA ETAPA]],"")</f>
        <v/>
      </c>
      <c r="BW473" s="21" t="str">
        <f>IF([1]!BANCO10[[#This Row],[SOLUÇÃO]]=BW$1,[1]!BANCO10[[#This Row],[STATUS DA ETAPA]],"")</f>
        <v/>
      </c>
      <c r="BX473" s="21" t="str">
        <f>IF([1]!BANCO10[[#This Row],[SOLUÇÃO]]=BX$1,[1]!BANCO10[[#This Row],[STATUS DA ETAPA]],"")</f>
        <v/>
      </c>
      <c r="BY473" s="21" t="str">
        <f>IF([1]!BANCO10[[#This Row],[SOLUÇÃO]]=BY$1,[1]!BANCO10[[#This Row],[STATUS DA ETAPA]],"")</f>
        <v/>
      </c>
      <c r="BZ473" s="21" t="str">
        <f>IF([1]!BANCO10[[#This Row],[SOLUÇÃO]]=BZ$1,[1]!BANCO10[[#This Row],[STATUS DA ETAPA]],"")</f>
        <v/>
      </c>
      <c r="CA473" s="21" t="str">
        <f>IF([1]!BANCO10[[#This Row],[SOLUÇÃO]]=CA$1,[1]!BANCO10[[#This Row],[STATUS DA ETAPA]],"")</f>
        <v/>
      </c>
      <c r="CB473" s="21" t="str">
        <f>IF([1]!BANCO10[[#This Row],[SOLUÇÃO]]=CB$1,[1]!BANCO10[[#This Row],[STATUS DA ETAPA]],"")</f>
        <v/>
      </c>
      <c r="CC473" s="21" t="str">
        <f>IF([1]!BANCO10[[#This Row],[SOLUÇÃO]]=CC$1,[1]!BANCO10[[#This Row],[STATUS DA ETAPA]],"")</f>
        <v/>
      </c>
      <c r="CD473" s="21" t="str">
        <f>IF([1]!BANCO10[[#This Row],[SOLUÇÃO]]=CD$1,[1]!BANCO10[[#This Row],[STATUS DA ETAPA]],"")</f>
        <v/>
      </c>
      <c r="CE473" s="21" t="str">
        <f>IF([1]!BANCO10[[#This Row],[SOLUÇÃO]]=CE$1,[1]!BANCO10[[#This Row],[STATUS DA ETAPA]],"")</f>
        <v>CONCLUÍDO</v>
      </c>
      <c r="CF473" s="21" t="str">
        <f>IF([1]!BANCO10[[#This Row],[SOLUÇÃO]]=CF$1,[1]!BANCO10[[#This Row],[STATUS DA ETAPA]],"")</f>
        <v/>
      </c>
      <c r="CG473" s="21" t="str">
        <f>IF([1]!BANCO10[[#This Row],[SOLUÇÃO]]=CG$1,[1]!BANCO10[[#This Row],[STATUS DA ETAPA]],"")</f>
        <v/>
      </c>
      <c r="CH473" s="21" t="str">
        <f>IF([1]!BANCO10[[#This Row],[SOLUÇÃO]]=CH$1,[1]!BANCO10[[#This Row],[STATUS DA ETAPA]],"")</f>
        <v/>
      </c>
      <c r="CI473" s="21" t="str">
        <f>IF([1]!BANCO10[[#This Row],[SOLUÇÃO]]=CI$1,[1]!BANCO10[[#This Row],[STATUS DA ETAPA]],"")</f>
        <v/>
      </c>
      <c r="CJ473" s="21" t="str">
        <f>IF([1]!BANCO10[[#This Row],[SOLUÇÃO]]=CJ$1,[1]!BANCO10[[#This Row],[STATUS DA ETAPA]],"")</f>
        <v/>
      </c>
      <c r="CK473" s="21" t="str">
        <f>IF([1]!BANCO10[[#This Row],[SOLUÇÃO]]=CK$1,[1]!BANCO10[[#This Row],[STATUS DA ETAPA]],"")</f>
        <v/>
      </c>
      <c r="CL473" s="21" t="str">
        <f>IF([1]!BANCO10[[#This Row],[SOLUÇÃO]]=CL$1,[1]!BANCO10[[#This Row],[STATUS DA ETAPA]],"")</f>
        <v/>
      </c>
      <c r="CM473" s="21" t="str">
        <f>IF([1]!BANCO10[[#This Row],[SOLUÇÃO]]=CM$1,[1]!BANCO10[[#This Row],[STATUS DA ETAPA]],"")</f>
        <v/>
      </c>
      <c r="CN473" s="21" t="str">
        <f>IF([1]!BANCO10[[#This Row],[SOLUÇÃO]]=CN$1,[1]!BANCO10[[#This Row],[STATUS DA ETAPA]],"")</f>
        <v/>
      </c>
      <c r="CO473" s="21" t="str">
        <f>IF([1]!BANCO10[[#This Row],[SOLUÇÃO]]=CO$1,[1]!BANCO10[[#This Row],[STATUS DA ETAPA]],"")</f>
        <v/>
      </c>
      <c r="CP473" s="21" t="str">
        <f>IF([1]!BANCO10[[#This Row],[SOLUÇÃO]]=CP$1,[1]!BANCO10[[#This Row],[STATUS DA ETAPA]],"")</f>
        <v/>
      </c>
      <c r="CQ473" s="21" t="str">
        <f>IF([1]!BANCO10[[#This Row],[SOLUÇÃO]]=CQ$1,[1]!BANCO10[[#This Row],[STATUS DA ETAPA]],"")</f>
        <v/>
      </c>
      <c r="CR473" s="21" t="str">
        <f>IF([1]!BANCO10[[#This Row],[SOLUÇÃO]]=CR$1,[1]!BANCO10[[#This Row],[STATUS DA ETAPA]],"")</f>
        <v/>
      </c>
      <c r="CS473" s="21" t="str">
        <f>IF([1]!BANCO10[[#This Row],[SOLUÇÃO]]=CS$1,[1]!BANCO10[[#This Row],[STATUS DA ETAPA]],"")</f>
        <v/>
      </c>
      <c r="CT473" s="21" t="str">
        <f>IF([1]!BANCO10[[#This Row],[SOLUÇÃO]]=CT$1,[1]!BANCO10[[#This Row],[STATUS DA ETAPA]],"")</f>
        <v/>
      </c>
      <c r="CU473" s="21" t="str">
        <f>IF([1]!BANCO10[[#This Row],[SOLUÇÃO]]=CU$1,[1]!BANCO10[[#This Row],[STATUS DA ETAPA]],"")</f>
        <v/>
      </c>
      <c r="CV473" s="21" t="str">
        <f>IF([1]!BANCO10[[#This Row],[SOLUÇÃO]]=CV$1,[1]!BANCO10[[#This Row],[STATUS DA ETAPA]],"")</f>
        <v/>
      </c>
    </row>
    <row r="474" spans="1:100">
      <c r="A474" s="44" t="s">
        <v>1</v>
      </c>
      <c r="B474" s="44"/>
      <c r="C474" s="44" t="s">
        <v>1</v>
      </c>
      <c r="D474" s="44"/>
      <c r="E474" s="44" t="s">
        <v>1</v>
      </c>
      <c r="F474" s="44"/>
      <c r="G474" s="44" t="s">
        <v>1</v>
      </c>
      <c r="H474" s="44"/>
      <c r="I474" s="45" t="s">
        <v>1</v>
      </c>
      <c r="J474" s="46"/>
      <c r="K474" s="45" t="s">
        <v>1</v>
      </c>
      <c r="L474" s="33"/>
      <c r="M474" s="45" t="s">
        <v>1</v>
      </c>
      <c r="N474" s="33"/>
      <c r="O474" s="44" t="s">
        <v>2</v>
      </c>
      <c r="P474" s="44">
        <v>44928</v>
      </c>
      <c r="Q474" s="44" t="s">
        <v>0</v>
      </c>
      <c r="R474" s="44">
        <v>44928</v>
      </c>
      <c r="S474" s="44" t="s">
        <v>2</v>
      </c>
      <c r="T474" s="44">
        <v>44928</v>
      </c>
      <c r="U474" s="44" t="s">
        <v>1</v>
      </c>
      <c r="V474" s="44"/>
      <c r="W474" s="44" t="s">
        <v>1</v>
      </c>
      <c r="X474" s="44"/>
      <c r="Y474" s="44" t="s">
        <v>1</v>
      </c>
      <c r="Z474" s="44"/>
      <c r="AA474" s="44" t="s">
        <v>1</v>
      </c>
      <c r="AB474" s="44"/>
      <c r="AC474" s="84">
        <v>45069</v>
      </c>
      <c r="AD474" s="83">
        <v>45272</v>
      </c>
      <c r="AE474" s="40" t="s">
        <v>2</v>
      </c>
      <c r="AF474" s="40" t="s">
        <v>2</v>
      </c>
      <c r="AG474" s="76" t="s">
        <v>5</v>
      </c>
      <c r="AH474" s="36" t="s">
        <v>0</v>
      </c>
      <c r="AI474" s="49">
        <v>0</v>
      </c>
      <c r="AJ474" s="36" t="s">
        <v>6</v>
      </c>
      <c r="AK474" s="10" t="s">
        <v>1</v>
      </c>
      <c r="AL474" s="36" t="s">
        <v>1</v>
      </c>
      <c r="AM474" s="36" t="s">
        <v>1</v>
      </c>
      <c r="AN474" s="35" t="s">
        <v>1</v>
      </c>
      <c r="AO474" s="35" t="s">
        <v>1</v>
      </c>
      <c r="AP474" s="35" t="s">
        <v>1</v>
      </c>
      <c r="AQ474" s="35" t="s">
        <v>1</v>
      </c>
      <c r="AR474" s="34" t="s">
        <v>0</v>
      </c>
      <c r="AS474" s="33"/>
      <c r="AT474" s="32" t="s">
        <v>1</v>
      </c>
      <c r="AU474" s="31"/>
      <c r="AV474" s="32" t="s">
        <v>1</v>
      </c>
      <c r="AW474" s="55"/>
      <c r="AX474" s="30" t="s">
        <v>2</v>
      </c>
      <c r="AY474" s="55">
        <v>45640</v>
      </c>
      <c r="AZ474" s="30" t="s">
        <v>2</v>
      </c>
      <c r="BA474" s="55">
        <v>45649</v>
      </c>
      <c r="BB474" s="74"/>
      <c r="BC474" s="25"/>
      <c r="BD474" s="24" t="s">
        <v>11</v>
      </c>
      <c r="BE474" s="24" t="s">
        <v>11</v>
      </c>
      <c r="BF474" s="24" t="s">
        <v>19</v>
      </c>
      <c r="BG474" s="24" t="s">
        <v>11</v>
      </c>
      <c r="BH474" s="130" t="s">
        <v>11</v>
      </c>
      <c r="BI474" s="24" t="s">
        <v>11</v>
      </c>
      <c r="BJ474" s="24" t="s">
        <v>11</v>
      </c>
      <c r="BK474" s="24" t="s">
        <v>11</v>
      </c>
      <c r="BL474" s="24" t="s">
        <v>11</v>
      </c>
      <c r="BM474" s="24" t="s">
        <v>11</v>
      </c>
      <c r="BN474" s="24" t="s">
        <v>11</v>
      </c>
      <c r="BO474" s="24" t="s">
        <v>11</v>
      </c>
      <c r="BP474" s="24" t="s">
        <v>11</v>
      </c>
      <c r="BQ474" s="22">
        <f>YEAR([1]!BANCO10[[#This Row],[DATA INÍCIO]])</f>
        <v>2023</v>
      </c>
      <c r="BR474" s="22">
        <f>MONTH([1]!BANCO10[[#This Row],[DATA INÍCIO]])</f>
        <v>5</v>
      </c>
      <c r="BS474" s="129" t="e">
        <f>CONCATENATE(#REF!,#REF!)</f>
        <v>#REF!</v>
      </c>
      <c r="BT474" s="22"/>
      <c r="BU474" s="21" t="s">
        <v>414</v>
      </c>
      <c r="BV474" s="21" t="str">
        <f>IF([1]!BANCO10[[#This Row],[SOLUÇÃO]]=BV$1,[1]!BANCO10[[#This Row],[STATUS DA ETAPA]],"")</f>
        <v/>
      </c>
      <c r="BW474" s="21" t="str">
        <f>IF([1]!BANCO10[[#This Row],[SOLUÇÃO]]=BW$1,[1]!BANCO10[[#This Row],[STATUS DA ETAPA]],"")</f>
        <v/>
      </c>
      <c r="BX474" s="21" t="str">
        <f>IF([1]!BANCO10[[#This Row],[SOLUÇÃO]]=BX$1,[1]!BANCO10[[#This Row],[STATUS DA ETAPA]],"")</f>
        <v/>
      </c>
      <c r="BY474" s="21" t="str">
        <f>IF([1]!BANCO10[[#This Row],[SOLUÇÃO]]=BY$1,[1]!BANCO10[[#This Row],[STATUS DA ETAPA]],"")</f>
        <v/>
      </c>
      <c r="BZ474" s="21" t="str">
        <f>IF([1]!BANCO10[[#This Row],[SOLUÇÃO]]=BZ$1,[1]!BANCO10[[#This Row],[STATUS DA ETAPA]],"")</f>
        <v/>
      </c>
      <c r="CA474" s="21" t="str">
        <f>IF([1]!BANCO10[[#This Row],[SOLUÇÃO]]=CA$1,[1]!BANCO10[[#This Row],[STATUS DA ETAPA]],"")</f>
        <v/>
      </c>
      <c r="CB474" s="21" t="str">
        <f>IF([1]!BANCO10[[#This Row],[SOLUÇÃO]]=CB$1,[1]!BANCO10[[#This Row],[STATUS DA ETAPA]],"")</f>
        <v>CONCLUÍDO</v>
      </c>
      <c r="CC474" s="21" t="str">
        <f>IF([1]!BANCO10[[#This Row],[SOLUÇÃO]]=CC$1,[1]!BANCO10[[#This Row],[STATUS DA ETAPA]],"")</f>
        <v/>
      </c>
      <c r="CD474" s="21" t="str">
        <f>IF([1]!BANCO10[[#This Row],[SOLUÇÃO]]=CD$1,[1]!BANCO10[[#This Row],[STATUS DA ETAPA]],"")</f>
        <v/>
      </c>
      <c r="CE474" s="21" t="str">
        <f>IF([1]!BANCO10[[#This Row],[SOLUÇÃO]]=CE$1,[1]!BANCO10[[#This Row],[STATUS DA ETAPA]],"")</f>
        <v/>
      </c>
      <c r="CF474" s="21" t="str">
        <f>IF([1]!BANCO10[[#This Row],[SOLUÇÃO]]=CF$1,[1]!BANCO10[[#This Row],[STATUS DA ETAPA]],"")</f>
        <v/>
      </c>
      <c r="CG474" s="21" t="str">
        <f>IF([1]!BANCO10[[#This Row],[SOLUÇÃO]]=CG$1,[1]!BANCO10[[#This Row],[STATUS DA ETAPA]],"")</f>
        <v/>
      </c>
      <c r="CH474" s="21" t="str">
        <f>IF([1]!BANCO10[[#This Row],[SOLUÇÃO]]=CH$1,[1]!BANCO10[[#This Row],[STATUS DA ETAPA]],"")</f>
        <v/>
      </c>
      <c r="CI474" s="21" t="str">
        <f>IF([1]!BANCO10[[#This Row],[SOLUÇÃO]]=CI$1,[1]!BANCO10[[#This Row],[STATUS DA ETAPA]],"")</f>
        <v/>
      </c>
      <c r="CJ474" s="21" t="str">
        <f>IF([1]!BANCO10[[#This Row],[SOLUÇÃO]]=CJ$1,[1]!BANCO10[[#This Row],[STATUS DA ETAPA]],"")</f>
        <v/>
      </c>
      <c r="CK474" s="21" t="str">
        <f>IF([1]!BANCO10[[#This Row],[SOLUÇÃO]]=CK$1,[1]!BANCO10[[#This Row],[STATUS DA ETAPA]],"")</f>
        <v/>
      </c>
      <c r="CL474" s="21" t="str">
        <f>IF([1]!BANCO10[[#This Row],[SOLUÇÃO]]=CL$1,[1]!BANCO10[[#This Row],[STATUS DA ETAPA]],"")</f>
        <v/>
      </c>
      <c r="CM474" s="21" t="str">
        <f>IF([1]!BANCO10[[#This Row],[SOLUÇÃO]]=CM$1,[1]!BANCO10[[#This Row],[STATUS DA ETAPA]],"")</f>
        <v/>
      </c>
      <c r="CN474" s="21" t="str">
        <f>IF([1]!BANCO10[[#This Row],[SOLUÇÃO]]=CN$1,[1]!BANCO10[[#This Row],[STATUS DA ETAPA]],"")</f>
        <v/>
      </c>
      <c r="CO474" s="21" t="str">
        <f>IF([1]!BANCO10[[#This Row],[SOLUÇÃO]]=CO$1,[1]!BANCO10[[#This Row],[STATUS DA ETAPA]],"")</f>
        <v/>
      </c>
      <c r="CP474" s="21" t="str">
        <f>IF([1]!BANCO10[[#This Row],[SOLUÇÃO]]=CP$1,[1]!BANCO10[[#This Row],[STATUS DA ETAPA]],"")</f>
        <v/>
      </c>
      <c r="CQ474" s="21" t="str">
        <f>IF([1]!BANCO10[[#This Row],[SOLUÇÃO]]=CQ$1,[1]!BANCO10[[#This Row],[STATUS DA ETAPA]],"")</f>
        <v/>
      </c>
      <c r="CR474" s="21" t="str">
        <f>IF([1]!BANCO10[[#This Row],[SOLUÇÃO]]=CR$1,[1]!BANCO10[[#This Row],[STATUS DA ETAPA]],"")</f>
        <v/>
      </c>
      <c r="CS474" s="21" t="str">
        <f>IF([1]!BANCO10[[#This Row],[SOLUÇÃO]]=CS$1,[1]!BANCO10[[#This Row],[STATUS DA ETAPA]],"")</f>
        <v/>
      </c>
      <c r="CT474" s="21" t="str">
        <f>IF([1]!BANCO10[[#This Row],[SOLUÇÃO]]=CT$1,[1]!BANCO10[[#This Row],[STATUS DA ETAPA]],"")</f>
        <v/>
      </c>
      <c r="CU474" s="21" t="str">
        <f>IF([1]!BANCO10[[#This Row],[SOLUÇÃO]]=CU$1,[1]!BANCO10[[#This Row],[STATUS DA ETAPA]],"")</f>
        <v/>
      </c>
      <c r="CV474" s="21" t="str">
        <f>IF([1]!BANCO10[[#This Row],[SOLUÇÃO]]=CV$1,[1]!BANCO10[[#This Row],[STATUS DA ETAPA]],"")</f>
        <v/>
      </c>
    </row>
    <row r="475" spans="1:100">
      <c r="A475" s="44" t="s">
        <v>1</v>
      </c>
      <c r="B475" s="44"/>
      <c r="C475" s="44" t="s">
        <v>1</v>
      </c>
      <c r="D475" s="44"/>
      <c r="E475" s="44" t="s">
        <v>1</v>
      </c>
      <c r="F475" s="44"/>
      <c r="G475" s="44" t="s">
        <v>1</v>
      </c>
      <c r="H475" s="44"/>
      <c r="I475" s="45" t="s">
        <v>1</v>
      </c>
      <c r="J475" s="46"/>
      <c r="K475" s="45" t="s">
        <v>1</v>
      </c>
      <c r="L475" s="33"/>
      <c r="M475" s="45" t="s">
        <v>1</v>
      </c>
      <c r="N475" s="33"/>
      <c r="O475" s="44" t="s">
        <v>2</v>
      </c>
      <c r="P475" s="44">
        <v>44928</v>
      </c>
      <c r="Q475" s="44" t="s">
        <v>0</v>
      </c>
      <c r="R475" s="44">
        <v>44928</v>
      </c>
      <c r="S475" s="44" t="s">
        <v>2</v>
      </c>
      <c r="T475" s="44">
        <v>44928</v>
      </c>
      <c r="U475" s="44" t="s">
        <v>1</v>
      </c>
      <c r="V475" s="44"/>
      <c r="W475" s="44" t="s">
        <v>1</v>
      </c>
      <c r="X475" s="44"/>
      <c r="Y475" s="44" t="s">
        <v>1</v>
      </c>
      <c r="Z475" s="44"/>
      <c r="AA475" s="44" t="s">
        <v>1</v>
      </c>
      <c r="AB475" s="44"/>
      <c r="AC475" s="51">
        <v>45377</v>
      </c>
      <c r="AD475" s="50">
        <v>45426</v>
      </c>
      <c r="AE475" s="40" t="s">
        <v>2</v>
      </c>
      <c r="AF475" s="40" t="s">
        <v>2</v>
      </c>
      <c r="AG475" s="76" t="s">
        <v>5</v>
      </c>
      <c r="AH475" s="36" t="s">
        <v>0</v>
      </c>
      <c r="AI475" s="49">
        <v>0</v>
      </c>
      <c r="AJ475" s="36" t="s">
        <v>6</v>
      </c>
      <c r="AK475" s="10" t="s">
        <v>1</v>
      </c>
      <c r="AL475" s="36" t="s">
        <v>1</v>
      </c>
      <c r="AM475" s="36" t="s">
        <v>1</v>
      </c>
      <c r="AN475" s="35" t="s">
        <v>1</v>
      </c>
      <c r="AO475" s="35" t="s">
        <v>1</v>
      </c>
      <c r="AP475" s="35" t="s">
        <v>1</v>
      </c>
      <c r="AQ475" s="35" t="s">
        <v>1</v>
      </c>
      <c r="AR475" s="34" t="s">
        <v>0</v>
      </c>
      <c r="AS475" s="33"/>
      <c r="AT475" s="32" t="s">
        <v>1</v>
      </c>
      <c r="AU475" s="31"/>
      <c r="AV475" s="32" t="s">
        <v>1</v>
      </c>
      <c r="AW475" s="55"/>
      <c r="AX475" s="30" t="s">
        <v>2</v>
      </c>
      <c r="AY475" s="55">
        <v>45426</v>
      </c>
      <c r="AZ475" s="30" t="s">
        <v>1</v>
      </c>
      <c r="BA475" s="55"/>
      <c r="BB475" s="74"/>
      <c r="BC475" s="25"/>
      <c r="BD475" s="24"/>
      <c r="BE475" s="24"/>
      <c r="BF475" s="24"/>
      <c r="BG475" s="24"/>
      <c r="BH475" s="130"/>
      <c r="BI475" s="24"/>
      <c r="BJ475" s="24"/>
      <c r="BK475" s="24"/>
      <c r="BL475" s="24">
        <v>45412</v>
      </c>
      <c r="BM475" s="24"/>
      <c r="BN475" s="24"/>
      <c r="BO475" s="24"/>
      <c r="BP475" s="24" t="s">
        <v>413</v>
      </c>
      <c r="BQ475" s="22">
        <f>YEAR([1]!BANCO10[[#This Row],[DATA INÍCIO]])</f>
        <v>2024</v>
      </c>
      <c r="BR475" s="22">
        <f>MONTH([1]!BANCO10[[#This Row],[DATA INÍCIO]])</f>
        <v>3</v>
      </c>
      <c r="BS475" s="129" t="e">
        <f>CONCATENATE(#REF!,#REF!)</f>
        <v>#REF!</v>
      </c>
      <c r="BT475" s="22"/>
      <c r="BU475" s="21" t="s">
        <v>412</v>
      </c>
      <c r="BV475" s="21" t="str">
        <f>IF([1]!BANCO10[[#This Row],[SOLUÇÃO]]=BV$1,[1]!BANCO10[[#This Row],[STATUS DA ETAPA]],"")</f>
        <v/>
      </c>
      <c r="BW475" s="21" t="str">
        <f>IF([1]!BANCO10[[#This Row],[SOLUÇÃO]]=BW$1,[1]!BANCO10[[#This Row],[STATUS DA ETAPA]],"")</f>
        <v/>
      </c>
      <c r="BX475" s="21" t="str">
        <f>IF([1]!BANCO10[[#This Row],[SOLUÇÃO]]=BX$1,[1]!BANCO10[[#This Row],[STATUS DA ETAPA]],"")</f>
        <v/>
      </c>
      <c r="BY475" s="21" t="str">
        <f>IF([1]!BANCO10[[#This Row],[SOLUÇÃO]]=BY$1,[1]!BANCO10[[#This Row],[STATUS DA ETAPA]],"")</f>
        <v/>
      </c>
      <c r="BZ475" s="21" t="str">
        <f>IF([1]!BANCO10[[#This Row],[SOLUÇÃO]]=BZ$1,[1]!BANCO10[[#This Row],[STATUS DA ETAPA]],"")</f>
        <v/>
      </c>
      <c r="CA475" s="21" t="str">
        <f>IF([1]!BANCO10[[#This Row],[SOLUÇÃO]]=CA$1,[1]!BANCO10[[#This Row],[STATUS DA ETAPA]],"")</f>
        <v/>
      </c>
      <c r="CB475" s="21" t="str">
        <f>IF([1]!BANCO10[[#This Row],[SOLUÇÃO]]=CB$1,[1]!BANCO10[[#This Row],[STATUS DA ETAPA]],"")</f>
        <v/>
      </c>
      <c r="CC475" s="21" t="str">
        <f>IF([1]!BANCO10[[#This Row],[SOLUÇÃO]]=CC$1,[1]!BANCO10[[#This Row],[STATUS DA ETAPA]],"")</f>
        <v/>
      </c>
      <c r="CD475" s="21" t="str">
        <f>IF([1]!BANCO10[[#This Row],[SOLUÇÃO]]=CD$1,[1]!BANCO10[[#This Row],[STATUS DA ETAPA]],"")</f>
        <v/>
      </c>
      <c r="CE475" s="21" t="str">
        <f>IF([1]!BANCO10[[#This Row],[SOLUÇÃO]]=CE$1,[1]!BANCO10[[#This Row],[STATUS DA ETAPA]],"")</f>
        <v/>
      </c>
      <c r="CF475" s="21" t="str">
        <f>IF([1]!BANCO10[[#This Row],[SOLUÇÃO]]=CF$1,[1]!BANCO10[[#This Row],[STATUS DA ETAPA]],"")</f>
        <v/>
      </c>
      <c r="CG475" s="21" t="str">
        <f>IF([1]!BANCO10[[#This Row],[SOLUÇÃO]]=CG$1,[1]!BANCO10[[#This Row],[STATUS DA ETAPA]],"")</f>
        <v/>
      </c>
      <c r="CH475" s="21" t="str">
        <f>IF([1]!BANCO10[[#This Row],[SOLUÇÃO]]=CH$1,[1]!BANCO10[[#This Row],[STATUS DA ETAPA]],"")</f>
        <v/>
      </c>
      <c r="CI475" s="21" t="str">
        <f>IF([1]!BANCO10[[#This Row],[SOLUÇÃO]]=CI$1,[1]!BANCO10[[#This Row],[STATUS DA ETAPA]],"")</f>
        <v/>
      </c>
      <c r="CJ475" s="21" t="str">
        <f>IF([1]!BANCO10[[#This Row],[SOLUÇÃO]]=CJ$1,[1]!BANCO10[[#This Row],[STATUS DA ETAPA]],"")</f>
        <v/>
      </c>
      <c r="CK475" s="21" t="str">
        <f>IF([1]!BANCO10[[#This Row],[SOLUÇÃO]]=CK$1,[1]!BANCO10[[#This Row],[STATUS DA ETAPA]],"")</f>
        <v/>
      </c>
      <c r="CL475" s="21" t="str">
        <f>IF([1]!BANCO10[[#This Row],[SOLUÇÃO]]=CL$1,[1]!BANCO10[[#This Row],[STATUS DA ETAPA]],"")</f>
        <v/>
      </c>
      <c r="CM475" s="21" t="str">
        <f>IF([1]!BANCO10[[#This Row],[SOLUÇÃO]]=CM$1,[1]!BANCO10[[#This Row],[STATUS DA ETAPA]],"")</f>
        <v/>
      </c>
      <c r="CN475" s="21" t="str">
        <f>IF([1]!BANCO10[[#This Row],[SOLUÇÃO]]=CN$1,[1]!BANCO10[[#This Row],[STATUS DA ETAPA]],"")</f>
        <v/>
      </c>
      <c r="CO475" s="21" t="str">
        <f>IF([1]!BANCO10[[#This Row],[SOLUÇÃO]]=CO$1,[1]!BANCO10[[#This Row],[STATUS DA ETAPA]],"")</f>
        <v/>
      </c>
      <c r="CP475" s="21" t="str">
        <f>IF([1]!BANCO10[[#This Row],[SOLUÇÃO]]=CP$1,[1]!BANCO10[[#This Row],[STATUS DA ETAPA]],"")</f>
        <v/>
      </c>
      <c r="CQ475" s="21" t="str">
        <f>IF([1]!BANCO10[[#This Row],[SOLUÇÃO]]=CQ$1,[1]!BANCO10[[#This Row],[STATUS DA ETAPA]],"")</f>
        <v/>
      </c>
      <c r="CR475" s="21" t="str">
        <f>IF([1]!BANCO10[[#This Row],[SOLUÇÃO]]=CR$1,[1]!BANCO10[[#This Row],[STATUS DA ETAPA]],"")</f>
        <v/>
      </c>
      <c r="CS475" s="21" t="str">
        <f>IF([1]!BANCO10[[#This Row],[SOLUÇÃO]]=CS$1,[1]!BANCO10[[#This Row],[STATUS DA ETAPA]],"")</f>
        <v/>
      </c>
      <c r="CT475" s="21" t="str">
        <f>IF([1]!BANCO10[[#This Row],[SOLUÇÃO]]=CT$1,[1]!BANCO10[[#This Row],[STATUS DA ETAPA]],"")</f>
        <v/>
      </c>
      <c r="CU475" s="21" t="str">
        <f>IF([1]!BANCO10[[#This Row],[SOLUÇÃO]]=CU$1,[1]!BANCO10[[#This Row],[STATUS DA ETAPA]],"")</f>
        <v>CONCLUÍDO</v>
      </c>
      <c r="CV475" s="21" t="str">
        <f>IF([1]!BANCO10[[#This Row],[SOLUÇÃO]]=CV$1,[1]!BANCO10[[#This Row],[STATUS DA ETAPA]],"")</f>
        <v/>
      </c>
    </row>
    <row r="476" spans="1:100">
      <c r="A476" s="44" t="s">
        <v>1</v>
      </c>
      <c r="B476" s="44"/>
      <c r="C476" s="44" t="s">
        <v>1</v>
      </c>
      <c r="D476" s="44"/>
      <c r="E476" s="44" t="s">
        <v>1</v>
      </c>
      <c r="F476" s="44"/>
      <c r="G476" s="44" t="s">
        <v>1</v>
      </c>
      <c r="H476" s="44"/>
      <c r="I476" s="45" t="s">
        <v>1</v>
      </c>
      <c r="J476" s="46"/>
      <c r="K476" s="45" t="s">
        <v>1</v>
      </c>
      <c r="L476" s="33"/>
      <c r="M476" s="45" t="s">
        <v>1</v>
      </c>
      <c r="N476" s="33"/>
      <c r="O476" s="44" t="s">
        <v>2</v>
      </c>
      <c r="P476" s="44">
        <v>44928</v>
      </c>
      <c r="Q476" s="44" t="s">
        <v>0</v>
      </c>
      <c r="R476" s="44">
        <v>44928</v>
      </c>
      <c r="S476" s="44" t="s">
        <v>2</v>
      </c>
      <c r="T476" s="44">
        <v>44928</v>
      </c>
      <c r="U476" s="44" t="s">
        <v>1</v>
      </c>
      <c r="V476" s="44"/>
      <c r="W476" s="44" t="s">
        <v>1</v>
      </c>
      <c r="X476" s="44"/>
      <c r="Y476" s="44" t="s">
        <v>1</v>
      </c>
      <c r="Z476" s="44"/>
      <c r="AA476" s="44" t="s">
        <v>1</v>
      </c>
      <c r="AB476" s="44"/>
      <c r="AC476" s="84">
        <v>45377</v>
      </c>
      <c r="AD476" s="83">
        <v>45475</v>
      </c>
      <c r="AE476" s="40" t="s">
        <v>2</v>
      </c>
      <c r="AF476" s="40" t="s">
        <v>2</v>
      </c>
      <c r="AG476" s="76" t="s">
        <v>5</v>
      </c>
      <c r="AH476" s="36" t="s">
        <v>0</v>
      </c>
      <c r="AI476" s="49">
        <v>0</v>
      </c>
      <c r="AJ476" s="36" t="s">
        <v>6</v>
      </c>
      <c r="AK476" s="10" t="s">
        <v>1</v>
      </c>
      <c r="AL476" s="36" t="s">
        <v>1</v>
      </c>
      <c r="AM476" s="36" t="s">
        <v>1</v>
      </c>
      <c r="AN476" s="35" t="s">
        <v>1</v>
      </c>
      <c r="AO476" s="35" t="s">
        <v>1</v>
      </c>
      <c r="AP476" s="35" t="s">
        <v>1</v>
      </c>
      <c r="AQ476" s="35" t="s">
        <v>1</v>
      </c>
      <c r="AR476" s="34" t="s">
        <v>0</v>
      </c>
      <c r="AS476" s="33"/>
      <c r="AT476" s="32" t="s">
        <v>1</v>
      </c>
      <c r="AU476" s="31"/>
      <c r="AV476" s="32" t="s">
        <v>1</v>
      </c>
      <c r="AW476" s="55"/>
      <c r="AX476" s="30" t="s">
        <v>2</v>
      </c>
      <c r="AY476" s="55">
        <v>45475</v>
      </c>
      <c r="AZ476" s="30" t="s">
        <v>1</v>
      </c>
      <c r="BA476" s="55"/>
      <c r="BB476" s="74"/>
      <c r="BC476" s="25"/>
      <c r="BD476" s="24"/>
      <c r="BE476" s="24"/>
      <c r="BF476" s="24"/>
      <c r="BG476" s="24"/>
      <c r="BH476" s="130"/>
      <c r="BI476" s="24"/>
      <c r="BJ476" s="24"/>
      <c r="BK476" s="24"/>
      <c r="BL476" s="24">
        <v>45412</v>
      </c>
      <c r="BM476" s="24"/>
      <c r="BN476" s="24"/>
      <c r="BO476" s="24"/>
      <c r="BP476" s="24" t="s">
        <v>413</v>
      </c>
      <c r="BQ476" s="22">
        <f>YEAR([1]!BANCO10[[#This Row],[DATA INÍCIO]])</f>
        <v>2024</v>
      </c>
      <c r="BR476" s="22">
        <f>MONTH([1]!BANCO10[[#This Row],[DATA INÍCIO]])</f>
        <v>3</v>
      </c>
      <c r="BS476" s="129" t="e">
        <f>CONCATENATE(#REF!,#REF!)</f>
        <v>#REF!</v>
      </c>
      <c r="BT476" s="22"/>
      <c r="BU476" s="21" t="s">
        <v>412</v>
      </c>
      <c r="BV476" s="21" t="str">
        <f>IF([1]!BANCO10[[#This Row],[SOLUÇÃO]]=BV$1,[1]!BANCO10[[#This Row],[STATUS DA ETAPA]],"")</f>
        <v/>
      </c>
      <c r="BW476" s="21" t="str">
        <f>IF([1]!BANCO10[[#This Row],[SOLUÇÃO]]=BW$1,[1]!BANCO10[[#This Row],[STATUS DA ETAPA]],"")</f>
        <v/>
      </c>
      <c r="BX476" s="21" t="str">
        <f>IF([1]!BANCO10[[#This Row],[SOLUÇÃO]]=BX$1,[1]!BANCO10[[#This Row],[STATUS DA ETAPA]],"")</f>
        <v/>
      </c>
      <c r="BY476" s="21" t="str">
        <f>IF([1]!BANCO10[[#This Row],[SOLUÇÃO]]=BY$1,[1]!BANCO10[[#This Row],[STATUS DA ETAPA]],"")</f>
        <v/>
      </c>
      <c r="BZ476" s="21" t="str">
        <f>IF([1]!BANCO10[[#This Row],[SOLUÇÃO]]=BZ$1,[1]!BANCO10[[#This Row],[STATUS DA ETAPA]],"")</f>
        <v/>
      </c>
      <c r="CA476" s="21" t="str">
        <f>IF([1]!BANCO10[[#This Row],[SOLUÇÃO]]=CA$1,[1]!BANCO10[[#This Row],[STATUS DA ETAPA]],"")</f>
        <v/>
      </c>
      <c r="CB476" s="21" t="str">
        <f>IF([1]!BANCO10[[#This Row],[SOLUÇÃO]]=CB$1,[1]!BANCO10[[#This Row],[STATUS DA ETAPA]],"")</f>
        <v/>
      </c>
      <c r="CC476" s="21" t="str">
        <f>IF([1]!BANCO10[[#This Row],[SOLUÇÃO]]=CC$1,[1]!BANCO10[[#This Row],[STATUS DA ETAPA]],"")</f>
        <v/>
      </c>
      <c r="CD476" s="21" t="str">
        <f>IF([1]!BANCO10[[#This Row],[SOLUÇÃO]]=CD$1,[1]!BANCO10[[#This Row],[STATUS DA ETAPA]],"")</f>
        <v/>
      </c>
      <c r="CE476" s="21" t="str">
        <f>IF([1]!BANCO10[[#This Row],[SOLUÇÃO]]=CE$1,[1]!BANCO10[[#This Row],[STATUS DA ETAPA]],"")</f>
        <v/>
      </c>
      <c r="CF476" s="21" t="str">
        <f>IF([1]!BANCO10[[#This Row],[SOLUÇÃO]]=CF$1,[1]!BANCO10[[#This Row],[STATUS DA ETAPA]],"")</f>
        <v/>
      </c>
      <c r="CG476" s="21" t="str">
        <f>IF([1]!BANCO10[[#This Row],[SOLUÇÃO]]=CG$1,[1]!BANCO10[[#This Row],[STATUS DA ETAPA]],"")</f>
        <v/>
      </c>
      <c r="CH476" s="21" t="str">
        <f>IF([1]!BANCO10[[#This Row],[SOLUÇÃO]]=CH$1,[1]!BANCO10[[#This Row],[STATUS DA ETAPA]],"")</f>
        <v/>
      </c>
      <c r="CI476" s="21" t="str">
        <f>IF([1]!BANCO10[[#This Row],[SOLUÇÃO]]=CI$1,[1]!BANCO10[[#This Row],[STATUS DA ETAPA]],"")</f>
        <v/>
      </c>
      <c r="CJ476" s="21" t="str">
        <f>IF([1]!BANCO10[[#This Row],[SOLUÇÃO]]=CJ$1,[1]!BANCO10[[#This Row],[STATUS DA ETAPA]],"")</f>
        <v/>
      </c>
      <c r="CK476" s="21" t="str">
        <f>IF([1]!BANCO10[[#This Row],[SOLUÇÃO]]=CK$1,[1]!BANCO10[[#This Row],[STATUS DA ETAPA]],"")</f>
        <v/>
      </c>
      <c r="CL476" s="21" t="str">
        <f>IF([1]!BANCO10[[#This Row],[SOLUÇÃO]]=CL$1,[1]!BANCO10[[#This Row],[STATUS DA ETAPA]],"")</f>
        <v/>
      </c>
      <c r="CM476" s="21" t="str">
        <f>IF([1]!BANCO10[[#This Row],[SOLUÇÃO]]=CM$1,[1]!BANCO10[[#This Row],[STATUS DA ETAPA]],"")</f>
        <v/>
      </c>
      <c r="CN476" s="21" t="str">
        <f>IF([1]!BANCO10[[#This Row],[SOLUÇÃO]]=CN$1,[1]!BANCO10[[#This Row],[STATUS DA ETAPA]],"")</f>
        <v/>
      </c>
      <c r="CO476" s="21" t="str">
        <f>IF([1]!BANCO10[[#This Row],[SOLUÇÃO]]=CO$1,[1]!BANCO10[[#This Row],[STATUS DA ETAPA]],"")</f>
        <v/>
      </c>
      <c r="CP476" s="21" t="str">
        <f>IF([1]!BANCO10[[#This Row],[SOLUÇÃO]]=CP$1,[1]!BANCO10[[#This Row],[STATUS DA ETAPA]],"")</f>
        <v/>
      </c>
      <c r="CQ476" s="21" t="str">
        <f>IF([1]!BANCO10[[#This Row],[SOLUÇÃO]]=CQ$1,[1]!BANCO10[[#This Row],[STATUS DA ETAPA]],"")</f>
        <v/>
      </c>
      <c r="CR476" s="21" t="str">
        <f>IF([1]!BANCO10[[#This Row],[SOLUÇÃO]]=CR$1,[1]!BANCO10[[#This Row],[STATUS DA ETAPA]],"")</f>
        <v/>
      </c>
      <c r="CS476" s="21" t="str">
        <f>IF([1]!BANCO10[[#This Row],[SOLUÇÃO]]=CS$1,[1]!BANCO10[[#This Row],[STATUS DA ETAPA]],"")</f>
        <v/>
      </c>
      <c r="CT476" s="21" t="str">
        <f>IF([1]!BANCO10[[#This Row],[SOLUÇÃO]]=CT$1,[1]!BANCO10[[#This Row],[STATUS DA ETAPA]],"")</f>
        <v/>
      </c>
      <c r="CU476" s="21" t="str">
        <f>IF([1]!BANCO10[[#This Row],[SOLUÇÃO]]=CU$1,[1]!BANCO10[[#This Row],[STATUS DA ETAPA]],"")</f>
        <v/>
      </c>
      <c r="CV476" s="21" t="str">
        <f>IF([1]!BANCO10[[#This Row],[SOLUÇÃO]]=CV$1,[1]!BANCO10[[#This Row],[STATUS DA ETAPA]],"")</f>
        <v>CONCLUÍDO</v>
      </c>
    </row>
    <row r="477" spans="1:100">
      <c r="A477" s="44" t="s">
        <v>1</v>
      </c>
      <c r="B477" s="44"/>
      <c r="C477" s="44" t="s">
        <v>1</v>
      </c>
      <c r="D477" s="44"/>
      <c r="E477" s="44" t="s">
        <v>1</v>
      </c>
      <c r="F477" s="44"/>
      <c r="G477" s="44" t="s">
        <v>1</v>
      </c>
      <c r="H477" s="44"/>
      <c r="I477" s="45" t="s">
        <v>1</v>
      </c>
      <c r="J477" s="46"/>
      <c r="K477" s="45" t="s">
        <v>1</v>
      </c>
      <c r="L477" s="33"/>
      <c r="M477" s="45" t="s">
        <v>1</v>
      </c>
      <c r="N477" s="33"/>
      <c r="O477" s="44" t="s">
        <v>2</v>
      </c>
      <c r="P477" s="44">
        <v>44928</v>
      </c>
      <c r="Q477" s="44" t="s">
        <v>0</v>
      </c>
      <c r="R477" s="44">
        <v>44928</v>
      </c>
      <c r="S477" s="44" t="s">
        <v>2</v>
      </c>
      <c r="T477" s="44">
        <v>44928</v>
      </c>
      <c r="U477" s="44" t="s">
        <v>1</v>
      </c>
      <c r="V477" s="44"/>
      <c r="W477" s="44" t="s">
        <v>1</v>
      </c>
      <c r="X477" s="44"/>
      <c r="Y477" s="44" t="s">
        <v>1</v>
      </c>
      <c r="Z477" s="44"/>
      <c r="AA477" s="44" t="s">
        <v>1</v>
      </c>
      <c r="AB477" s="44"/>
      <c r="AC477" s="84">
        <v>45447</v>
      </c>
      <c r="AD477" s="83">
        <v>45629</v>
      </c>
      <c r="AE477" s="40" t="s">
        <v>2</v>
      </c>
      <c r="AF477" s="40" t="s">
        <v>2</v>
      </c>
      <c r="AG477" s="76" t="s">
        <v>5</v>
      </c>
      <c r="AH477" s="36" t="s">
        <v>0</v>
      </c>
      <c r="AI477" s="49">
        <v>0</v>
      </c>
      <c r="AJ477" s="36" t="s">
        <v>6</v>
      </c>
      <c r="AK477" s="10" t="s">
        <v>1</v>
      </c>
      <c r="AL477" s="36" t="s">
        <v>1</v>
      </c>
      <c r="AM477" s="36" t="s">
        <v>1</v>
      </c>
      <c r="AN477" s="35" t="s">
        <v>1</v>
      </c>
      <c r="AO477" s="35" t="s">
        <v>1</v>
      </c>
      <c r="AP477" s="35" t="s">
        <v>1</v>
      </c>
      <c r="AQ477" s="35" t="s">
        <v>1</v>
      </c>
      <c r="AR477" s="34" t="s">
        <v>0</v>
      </c>
      <c r="AS477" s="33"/>
      <c r="AT477" s="32" t="s">
        <v>1</v>
      </c>
      <c r="AU477" s="31"/>
      <c r="AV477" s="32" t="s">
        <v>1</v>
      </c>
      <c r="AW477" s="31"/>
      <c r="AX477" s="30" t="s">
        <v>2</v>
      </c>
      <c r="AY477" s="31">
        <v>45629</v>
      </c>
      <c r="AZ477" s="30" t="s">
        <v>1</v>
      </c>
      <c r="BA477" s="31"/>
      <c r="BB477" s="39" t="s">
        <v>411</v>
      </c>
      <c r="BC477" s="25" t="s">
        <v>31</v>
      </c>
      <c r="BD477" s="24"/>
      <c r="BE477" s="24"/>
      <c r="BF477" s="24"/>
      <c r="BG477" s="24"/>
      <c r="BH477" s="130"/>
      <c r="BI477" s="24"/>
      <c r="BJ477" s="24"/>
      <c r="BK477" s="24"/>
      <c r="BL477" s="24">
        <v>45514</v>
      </c>
      <c r="BM477" s="24" t="s">
        <v>18</v>
      </c>
      <c r="BN477" s="24" t="s">
        <v>11</v>
      </c>
      <c r="BO477" s="24"/>
      <c r="BP477" s="24" t="s">
        <v>343</v>
      </c>
      <c r="BQ477" s="22">
        <f>YEAR([1]!BANCO10[[#This Row],[DATA INÍCIO]])</f>
        <v>2024</v>
      </c>
      <c r="BR477" s="22">
        <f>MONTH([1]!BANCO10[[#This Row],[DATA INÍCIO]])</f>
        <v>6</v>
      </c>
      <c r="BS477" s="23"/>
      <c r="BT477" s="22"/>
      <c r="BU477" s="97" t="s">
        <v>410</v>
      </c>
      <c r="BV477" s="21" t="str">
        <f>IF([1]!BANCO10[[#This Row],[SOLUÇÃO]]=BV$1,[1]!BANCO10[[#This Row],[STATUS DA ETAPA]],"")</f>
        <v/>
      </c>
      <c r="BW477" s="21" t="str">
        <f>IF([1]!BANCO10[[#This Row],[SOLUÇÃO]]=BW$1,[1]!BANCO10[[#This Row],[STATUS DA ETAPA]],"")</f>
        <v/>
      </c>
      <c r="BX477" s="21" t="str">
        <f>IF([1]!BANCO10[[#This Row],[SOLUÇÃO]]=BX$1,[1]!BANCO10[[#This Row],[STATUS DA ETAPA]],"")</f>
        <v/>
      </c>
      <c r="BY477" s="21" t="str">
        <f>IF([1]!BANCO10[[#This Row],[SOLUÇÃO]]=BY$1,[1]!BANCO10[[#This Row],[STATUS DA ETAPA]],"")</f>
        <v/>
      </c>
      <c r="BZ477" s="21" t="str">
        <f>IF([1]!BANCO10[[#This Row],[SOLUÇÃO]]=BZ$1,[1]!BANCO10[[#This Row],[STATUS DA ETAPA]],"")</f>
        <v/>
      </c>
      <c r="CA477" s="21" t="str">
        <f>IF([1]!BANCO10[[#This Row],[SOLUÇÃO]]=CA$1,[1]!BANCO10[[#This Row],[STATUS DA ETAPA]],"")</f>
        <v/>
      </c>
      <c r="CB477" s="21" t="str">
        <f>IF([1]!BANCO10[[#This Row],[SOLUÇÃO]]=CB$1,[1]!BANCO10[[#This Row],[STATUS DA ETAPA]],"")</f>
        <v/>
      </c>
      <c r="CC477" s="21" t="str">
        <f>IF([1]!BANCO10[[#This Row],[SOLUÇÃO]]=CC$1,[1]!BANCO10[[#This Row],[STATUS DA ETAPA]],"")</f>
        <v/>
      </c>
      <c r="CD477" s="21" t="str">
        <f>IF([1]!BANCO10[[#This Row],[SOLUÇÃO]]=CD$1,[1]!BANCO10[[#This Row],[STATUS DA ETAPA]],"")</f>
        <v/>
      </c>
      <c r="CE477" s="21" t="str">
        <f>IF([1]!BANCO10[[#This Row],[SOLUÇÃO]]=CE$1,[1]!BANCO10[[#This Row],[STATUS DA ETAPA]],"")</f>
        <v/>
      </c>
      <c r="CF477" s="21" t="str">
        <f>IF([1]!BANCO10[[#This Row],[SOLUÇÃO]]=CF$1,[1]!BANCO10[[#This Row],[STATUS DA ETAPA]],"")</f>
        <v>CONCLUÍDO</v>
      </c>
      <c r="CG477" s="21" t="str">
        <f>IF([1]!BANCO10[[#This Row],[SOLUÇÃO]]=CG$1,[1]!BANCO10[[#This Row],[STATUS DA ETAPA]],"")</f>
        <v/>
      </c>
      <c r="CH477" s="21" t="str">
        <f>IF([1]!BANCO10[[#This Row],[SOLUÇÃO]]=CH$1,[1]!BANCO10[[#This Row],[STATUS DA ETAPA]],"")</f>
        <v/>
      </c>
      <c r="CI477" s="21" t="str">
        <f>IF([1]!BANCO10[[#This Row],[SOLUÇÃO]]=CI$1,[1]!BANCO10[[#This Row],[STATUS DA ETAPA]],"")</f>
        <v/>
      </c>
      <c r="CJ477" s="21" t="str">
        <f>IF([1]!BANCO10[[#This Row],[SOLUÇÃO]]=CJ$1,[1]!BANCO10[[#This Row],[STATUS DA ETAPA]],"")</f>
        <v/>
      </c>
      <c r="CK477" s="21" t="str">
        <f>IF([1]!BANCO10[[#This Row],[SOLUÇÃO]]=CK$1,[1]!BANCO10[[#This Row],[STATUS DA ETAPA]],"")</f>
        <v/>
      </c>
      <c r="CL477" s="21" t="str">
        <f>IF([1]!BANCO10[[#This Row],[SOLUÇÃO]]=CL$1,[1]!BANCO10[[#This Row],[STATUS DA ETAPA]],"")</f>
        <v/>
      </c>
      <c r="CM477" s="21" t="str">
        <f>IF([1]!BANCO10[[#This Row],[SOLUÇÃO]]=CM$1,[1]!BANCO10[[#This Row],[STATUS DA ETAPA]],"")</f>
        <v/>
      </c>
      <c r="CN477" s="21" t="str">
        <f>IF([1]!BANCO10[[#This Row],[SOLUÇÃO]]=CN$1,[1]!BANCO10[[#This Row],[STATUS DA ETAPA]],"")</f>
        <v/>
      </c>
      <c r="CO477" s="21" t="str">
        <f>IF([1]!BANCO10[[#This Row],[SOLUÇÃO]]=CO$1,[1]!BANCO10[[#This Row],[STATUS DA ETAPA]],"")</f>
        <v/>
      </c>
      <c r="CP477" s="21" t="str">
        <f>IF([1]!BANCO10[[#This Row],[SOLUÇÃO]]=CP$1,[1]!BANCO10[[#This Row],[STATUS DA ETAPA]],"")</f>
        <v/>
      </c>
      <c r="CQ477" s="21" t="str">
        <f>IF([1]!BANCO10[[#This Row],[SOLUÇÃO]]=CQ$1,[1]!BANCO10[[#This Row],[STATUS DA ETAPA]],"")</f>
        <v/>
      </c>
      <c r="CR477" s="21" t="str">
        <f>IF([1]!BANCO10[[#This Row],[SOLUÇÃO]]=CR$1,[1]!BANCO10[[#This Row],[STATUS DA ETAPA]],"")</f>
        <v/>
      </c>
      <c r="CS477" s="21" t="str">
        <f>IF([1]!BANCO10[[#This Row],[SOLUÇÃO]]=CS$1,[1]!BANCO10[[#This Row],[STATUS DA ETAPA]],"")</f>
        <v/>
      </c>
      <c r="CT477" s="21" t="str">
        <f>IF([1]!BANCO10[[#This Row],[SOLUÇÃO]]=CT$1,[1]!BANCO10[[#This Row],[STATUS DA ETAPA]],"")</f>
        <v/>
      </c>
      <c r="CU477" s="21" t="str">
        <f>IF([1]!BANCO10[[#This Row],[SOLUÇÃO]]=CU$1,[1]!BANCO10[[#This Row],[STATUS DA ETAPA]],"")</f>
        <v/>
      </c>
      <c r="CV477" s="21" t="str">
        <f>IF([1]!BANCO10[[#This Row],[SOLUÇÃO]]=CV$1,[1]!BANCO10[[#This Row],[STATUS DA ETAPA]],"")</f>
        <v/>
      </c>
    </row>
    <row r="478" spans="1:100">
      <c r="A478" s="44" t="s">
        <v>1</v>
      </c>
      <c r="B478" s="44"/>
      <c r="C478" s="44" t="s">
        <v>1</v>
      </c>
      <c r="D478" s="44"/>
      <c r="E478" s="44" t="s">
        <v>1</v>
      </c>
      <c r="F478" s="44"/>
      <c r="G478" s="44" t="s">
        <v>1</v>
      </c>
      <c r="H478" s="44"/>
      <c r="I478" s="45" t="s">
        <v>1</v>
      </c>
      <c r="J478" s="46"/>
      <c r="K478" s="45" t="s">
        <v>1</v>
      </c>
      <c r="L478" s="33"/>
      <c r="M478" s="45" t="s">
        <v>1</v>
      </c>
      <c r="N478" s="33"/>
      <c r="O478" s="44" t="s">
        <v>2</v>
      </c>
      <c r="P478" s="44">
        <v>44928</v>
      </c>
      <c r="Q478" s="44" t="s">
        <v>0</v>
      </c>
      <c r="R478" s="44">
        <v>44928</v>
      </c>
      <c r="S478" s="44" t="s">
        <v>2</v>
      </c>
      <c r="T478" s="44">
        <v>44928</v>
      </c>
      <c r="U478" s="44" t="s">
        <v>1</v>
      </c>
      <c r="V478" s="44"/>
      <c r="W478" s="44" t="s">
        <v>1</v>
      </c>
      <c r="X478" s="44"/>
      <c r="Y478" s="44" t="s">
        <v>1</v>
      </c>
      <c r="Z478" s="44"/>
      <c r="AA478" s="44" t="s">
        <v>1</v>
      </c>
      <c r="AB478" s="44"/>
      <c r="AC478" s="84">
        <v>45482</v>
      </c>
      <c r="AD478" s="83">
        <v>45629</v>
      </c>
      <c r="AE478" s="40" t="s">
        <v>2</v>
      </c>
      <c r="AF478" s="40" t="s">
        <v>2</v>
      </c>
      <c r="AG478" s="76" t="s">
        <v>5</v>
      </c>
      <c r="AH478" s="36" t="s">
        <v>0</v>
      </c>
      <c r="AI478" s="49">
        <v>0</v>
      </c>
      <c r="AJ478" s="36" t="s">
        <v>6</v>
      </c>
      <c r="AK478" s="10" t="s">
        <v>1</v>
      </c>
      <c r="AL478" s="36" t="s">
        <v>1</v>
      </c>
      <c r="AM478" s="36" t="s">
        <v>1</v>
      </c>
      <c r="AN478" s="35" t="s">
        <v>1</v>
      </c>
      <c r="AO478" s="35" t="s">
        <v>1</v>
      </c>
      <c r="AP478" s="35" t="s">
        <v>1</v>
      </c>
      <c r="AQ478" s="35" t="s">
        <v>1</v>
      </c>
      <c r="AR478" s="33" t="s">
        <v>0</v>
      </c>
      <c r="AS478" s="33"/>
      <c r="AT478" s="32" t="s">
        <v>1</v>
      </c>
      <c r="AU478" s="31"/>
      <c r="AV478" s="32" t="s">
        <v>1</v>
      </c>
      <c r="AW478" s="31"/>
      <c r="AX478" s="30" t="s">
        <v>2</v>
      </c>
      <c r="AY478" s="31">
        <v>45629</v>
      </c>
      <c r="AZ478" s="30" t="s">
        <v>0</v>
      </c>
      <c r="BA478" s="47"/>
      <c r="BB478" s="39" t="s">
        <v>411</v>
      </c>
      <c r="BC478" s="25" t="s">
        <v>31</v>
      </c>
      <c r="BD478" s="24"/>
      <c r="BE478" s="24"/>
      <c r="BF478" s="24"/>
      <c r="BG478" s="24"/>
      <c r="BH478" s="130"/>
      <c r="BI478" s="24"/>
      <c r="BJ478" s="24"/>
      <c r="BK478" s="24"/>
      <c r="BL478" s="24">
        <v>45514</v>
      </c>
      <c r="BM478" s="24" t="s">
        <v>18</v>
      </c>
      <c r="BN478" s="24" t="s">
        <v>11</v>
      </c>
      <c r="BO478" s="24"/>
      <c r="BP478" s="24" t="s">
        <v>343</v>
      </c>
      <c r="BQ478" s="22">
        <f>YEAR([1]!BANCO10[[#This Row],[DATA INÍCIO]])</f>
        <v>2024</v>
      </c>
      <c r="BR478" s="22">
        <f>MONTH([1]!BANCO10[[#This Row],[DATA INÍCIO]])</f>
        <v>7</v>
      </c>
      <c r="BS478" s="23"/>
      <c r="BT478" s="22"/>
      <c r="BU478" s="97" t="s">
        <v>410</v>
      </c>
      <c r="BV478" s="21" t="str">
        <f>IF([1]!BANCO10[[#This Row],[SOLUÇÃO]]=BV$1,[1]!BANCO10[[#This Row],[STATUS DA ETAPA]],"")</f>
        <v/>
      </c>
      <c r="BW478" s="21" t="str">
        <f>IF([1]!BANCO10[[#This Row],[SOLUÇÃO]]=BW$1,[1]!BANCO10[[#This Row],[STATUS DA ETAPA]],"")</f>
        <v/>
      </c>
      <c r="BX478" s="21" t="str">
        <f>IF([1]!BANCO10[[#This Row],[SOLUÇÃO]]=BX$1,[1]!BANCO10[[#This Row],[STATUS DA ETAPA]],"")</f>
        <v/>
      </c>
      <c r="BY478" s="21" t="str">
        <f>IF([1]!BANCO10[[#This Row],[SOLUÇÃO]]=BY$1,[1]!BANCO10[[#This Row],[STATUS DA ETAPA]],"")</f>
        <v/>
      </c>
      <c r="BZ478" s="21" t="str">
        <f>IF([1]!BANCO10[[#This Row],[SOLUÇÃO]]=BZ$1,[1]!BANCO10[[#This Row],[STATUS DA ETAPA]],"")</f>
        <v/>
      </c>
      <c r="CA478" s="21" t="str">
        <f>IF([1]!BANCO10[[#This Row],[SOLUÇÃO]]=CA$1,[1]!BANCO10[[#This Row],[STATUS DA ETAPA]],"")</f>
        <v/>
      </c>
      <c r="CB478" s="21" t="str">
        <f>IF([1]!BANCO10[[#This Row],[SOLUÇÃO]]=CB$1,[1]!BANCO10[[#This Row],[STATUS DA ETAPA]],"")</f>
        <v/>
      </c>
      <c r="CC478" s="21" t="str">
        <f>IF([1]!BANCO10[[#This Row],[SOLUÇÃO]]=CC$1,[1]!BANCO10[[#This Row],[STATUS DA ETAPA]],"")</f>
        <v/>
      </c>
      <c r="CD478" s="21" t="str">
        <f>IF([1]!BANCO10[[#This Row],[SOLUÇÃO]]=CD$1,[1]!BANCO10[[#This Row],[STATUS DA ETAPA]],"")</f>
        <v/>
      </c>
      <c r="CE478" s="21" t="str">
        <f>IF([1]!BANCO10[[#This Row],[SOLUÇÃO]]=CE$1,[1]!BANCO10[[#This Row],[STATUS DA ETAPA]],"")</f>
        <v/>
      </c>
      <c r="CF478" s="21" t="str">
        <f>IF([1]!BANCO10[[#This Row],[SOLUÇÃO]]=CF$1,[1]!BANCO10[[#This Row],[STATUS DA ETAPA]],"")</f>
        <v/>
      </c>
      <c r="CG478" s="21" t="str">
        <f>IF([1]!BANCO10[[#This Row],[SOLUÇÃO]]=CG$1,[1]!BANCO10[[#This Row],[STATUS DA ETAPA]],"")</f>
        <v>CONCLUÍDO</v>
      </c>
      <c r="CH478" s="21" t="str">
        <f>IF([1]!BANCO10[[#This Row],[SOLUÇÃO]]=CH$1,[1]!BANCO10[[#This Row],[STATUS DA ETAPA]],"")</f>
        <v/>
      </c>
      <c r="CI478" s="21" t="str">
        <f>IF([1]!BANCO10[[#This Row],[SOLUÇÃO]]=CI$1,[1]!BANCO10[[#This Row],[STATUS DA ETAPA]],"")</f>
        <v/>
      </c>
      <c r="CJ478" s="21" t="str">
        <f>IF([1]!BANCO10[[#This Row],[SOLUÇÃO]]=CJ$1,[1]!BANCO10[[#This Row],[STATUS DA ETAPA]],"")</f>
        <v/>
      </c>
      <c r="CK478" s="21" t="str">
        <f>IF([1]!BANCO10[[#This Row],[SOLUÇÃO]]=CK$1,[1]!BANCO10[[#This Row],[STATUS DA ETAPA]],"")</f>
        <v/>
      </c>
      <c r="CL478" s="21" t="str">
        <f>IF([1]!BANCO10[[#This Row],[SOLUÇÃO]]=CL$1,[1]!BANCO10[[#This Row],[STATUS DA ETAPA]],"")</f>
        <v/>
      </c>
      <c r="CM478" s="21" t="str">
        <f>IF([1]!BANCO10[[#This Row],[SOLUÇÃO]]=CM$1,[1]!BANCO10[[#This Row],[STATUS DA ETAPA]],"")</f>
        <v/>
      </c>
      <c r="CN478" s="21" t="str">
        <f>IF([1]!BANCO10[[#This Row],[SOLUÇÃO]]=CN$1,[1]!BANCO10[[#This Row],[STATUS DA ETAPA]],"")</f>
        <v/>
      </c>
      <c r="CO478" s="21" t="str">
        <f>IF([1]!BANCO10[[#This Row],[SOLUÇÃO]]=CO$1,[1]!BANCO10[[#This Row],[STATUS DA ETAPA]],"")</f>
        <v/>
      </c>
      <c r="CP478" s="21" t="str">
        <f>IF([1]!BANCO10[[#This Row],[SOLUÇÃO]]=CP$1,[1]!BANCO10[[#This Row],[STATUS DA ETAPA]],"")</f>
        <v/>
      </c>
      <c r="CQ478" s="21" t="str">
        <f>IF([1]!BANCO10[[#This Row],[SOLUÇÃO]]=CQ$1,[1]!BANCO10[[#This Row],[STATUS DA ETAPA]],"")</f>
        <v/>
      </c>
      <c r="CR478" s="21" t="str">
        <f>IF([1]!BANCO10[[#This Row],[SOLUÇÃO]]=CR$1,[1]!BANCO10[[#This Row],[STATUS DA ETAPA]],"")</f>
        <v/>
      </c>
      <c r="CS478" s="21" t="str">
        <f>IF([1]!BANCO10[[#This Row],[SOLUÇÃO]]=CS$1,[1]!BANCO10[[#This Row],[STATUS DA ETAPA]],"")</f>
        <v/>
      </c>
      <c r="CT478" s="21" t="str">
        <f>IF([1]!BANCO10[[#This Row],[SOLUÇÃO]]=CT$1,[1]!BANCO10[[#This Row],[STATUS DA ETAPA]],"")</f>
        <v/>
      </c>
      <c r="CU478" s="21" t="str">
        <f>IF([1]!BANCO10[[#This Row],[SOLUÇÃO]]=CU$1,[1]!BANCO10[[#This Row],[STATUS DA ETAPA]],"")</f>
        <v/>
      </c>
      <c r="CV478" s="21" t="str">
        <f>IF([1]!BANCO10[[#This Row],[SOLUÇÃO]]=CV$1,[1]!BANCO10[[#This Row],[STATUS DA ETAPA]],"")</f>
        <v/>
      </c>
    </row>
    <row r="479" spans="1:100">
      <c r="A479" s="44" t="s">
        <v>2</v>
      </c>
      <c r="B479" s="44">
        <v>45890</v>
      </c>
      <c r="C479" s="44" t="s">
        <v>2</v>
      </c>
      <c r="D479" s="44">
        <v>45890</v>
      </c>
      <c r="E479" s="44" t="s">
        <v>2</v>
      </c>
      <c r="F479" s="44">
        <v>45896</v>
      </c>
      <c r="G479" s="44" t="s">
        <v>2</v>
      </c>
      <c r="H479" s="44">
        <v>45896</v>
      </c>
      <c r="I479" s="45" t="s">
        <v>2</v>
      </c>
      <c r="J479" s="46">
        <v>45898</v>
      </c>
      <c r="K479" s="45" t="s">
        <v>2</v>
      </c>
      <c r="L479" s="33">
        <v>45898</v>
      </c>
      <c r="M479" s="45" t="s">
        <v>2</v>
      </c>
      <c r="N479" s="33">
        <v>45898</v>
      </c>
      <c r="O479" s="44" t="s">
        <v>1</v>
      </c>
      <c r="P479" s="44"/>
      <c r="Q479" s="44" t="s">
        <v>0</v>
      </c>
      <c r="R479" s="44"/>
      <c r="S479" s="44"/>
      <c r="T479" s="44"/>
      <c r="U479" s="44" t="s">
        <v>1</v>
      </c>
      <c r="V479" s="44"/>
      <c r="W479" s="44" t="s">
        <v>0</v>
      </c>
      <c r="X479" s="44"/>
      <c r="Y479" s="44" t="s">
        <v>0</v>
      </c>
      <c r="Z479" s="44"/>
      <c r="AA479" s="44" t="s">
        <v>0</v>
      </c>
      <c r="AB479" s="44"/>
      <c r="AC479" s="51">
        <v>46022</v>
      </c>
      <c r="AD479" s="50">
        <v>46022</v>
      </c>
      <c r="AE479" s="41" t="s">
        <v>0</v>
      </c>
      <c r="AF479" s="41" t="s">
        <v>0</v>
      </c>
      <c r="AG479" s="40" t="s">
        <v>5</v>
      </c>
      <c r="AH479" s="36" t="s">
        <v>0</v>
      </c>
      <c r="AI479" s="49">
        <v>17000</v>
      </c>
      <c r="AJ479" s="36" t="s">
        <v>3</v>
      </c>
      <c r="AK479" s="21" t="s">
        <v>409</v>
      </c>
      <c r="AL479" s="36" t="s">
        <v>1</v>
      </c>
      <c r="AM479" s="36" t="s">
        <v>1</v>
      </c>
      <c r="AN479" s="35" t="s">
        <v>0</v>
      </c>
      <c r="AO479" s="35" t="s">
        <v>0</v>
      </c>
      <c r="AP479" s="35" t="s">
        <v>0</v>
      </c>
      <c r="AQ479" s="35" t="s">
        <v>0</v>
      </c>
      <c r="AR479" s="34" t="s">
        <v>0</v>
      </c>
      <c r="AS479" s="33"/>
      <c r="AT479" s="32" t="s">
        <v>0</v>
      </c>
      <c r="AU479" s="31"/>
      <c r="AV479" s="32" t="s">
        <v>0</v>
      </c>
      <c r="AW479" s="31"/>
      <c r="AX479" s="32" t="s">
        <v>0</v>
      </c>
      <c r="AY479" s="31"/>
      <c r="AZ479" s="32" t="s">
        <v>0</v>
      </c>
      <c r="BA479" s="31"/>
      <c r="BB479" s="26"/>
      <c r="BC479" s="25"/>
      <c r="BD479" s="24"/>
      <c r="BE479" s="24"/>
      <c r="BF479" s="24"/>
      <c r="BG479" s="24"/>
      <c r="BH479" s="24"/>
      <c r="BI479" s="24"/>
      <c r="BJ479" s="24"/>
      <c r="BK479" s="24"/>
      <c r="BL479" s="24"/>
      <c r="BM479" s="24"/>
      <c r="BN479" s="24"/>
      <c r="BO479" s="24"/>
      <c r="BP479" s="24"/>
      <c r="BQ479" s="22">
        <f>YEAR([1]!BANCO10[[#This Row],[DATA INÍCIO]])</f>
        <v>2025</v>
      </c>
      <c r="BR479" s="22">
        <f>MONTH([1]!BANCO10[[#This Row],[DATA INÍCIO]])</f>
        <v>12</v>
      </c>
      <c r="BS479" s="23" t="e">
        <f>CONCATENATE(#REF!,#REF!)</f>
        <v>#REF!</v>
      </c>
      <c r="BT479" s="22"/>
      <c r="BU479" s="22"/>
      <c r="BV479" s="21" t="str">
        <f>IF([1]!BANCO10[[#This Row],[SOLUÇÃO]]=BV$1,[1]!BANCO10[[#This Row],[STATUS DA ETAPA]],"")</f>
        <v/>
      </c>
      <c r="BW479" s="21" t="str">
        <f>IF([1]!BANCO10[[#This Row],[SOLUÇÃO]]=BW$1,[1]!BANCO10[[#This Row],[STATUS DA ETAPA]],"")</f>
        <v/>
      </c>
      <c r="BX479" s="21" t="str">
        <f>IF([1]!BANCO10[[#This Row],[SOLUÇÃO]]=BX$1,[1]!BANCO10[[#This Row],[STATUS DA ETAPA]],"")</f>
        <v/>
      </c>
      <c r="BY479" s="21" t="str">
        <f>IF([1]!BANCO10[[#This Row],[SOLUÇÃO]]=BY$1,[1]!BANCO10[[#This Row],[STATUS DA ETAPA]],"")</f>
        <v/>
      </c>
      <c r="BZ479" s="21" t="str">
        <f>IF([1]!BANCO10[[#This Row],[SOLUÇÃO]]=BZ$1,[1]!BANCO10[[#This Row],[STATUS DA ETAPA]],"")</f>
        <v/>
      </c>
      <c r="CA479" s="21" t="str">
        <f>IF([1]!BANCO10[[#This Row],[SOLUÇÃO]]=CA$1,[1]!BANCO10[[#This Row],[STATUS DA ETAPA]],"")</f>
        <v/>
      </c>
      <c r="CB479" s="21" t="str">
        <f>IF([1]!BANCO10[[#This Row],[SOLUÇÃO]]=CB$1,[1]!BANCO10[[#This Row],[STATUS DA ETAPA]],"")</f>
        <v/>
      </c>
      <c r="CC479" s="21" t="str">
        <f>IF([1]!BANCO10[[#This Row],[SOLUÇÃO]]=CC$1,[1]!BANCO10[[#This Row],[STATUS DA ETAPA]],"")</f>
        <v/>
      </c>
      <c r="CD479" s="21" t="str">
        <f>IF([1]!BANCO10[[#This Row],[SOLUÇÃO]]=CD$1,[1]!BANCO10[[#This Row],[STATUS DA ETAPA]],"")</f>
        <v/>
      </c>
      <c r="CE479" s="21" t="str">
        <f>IF([1]!BANCO10[[#This Row],[SOLUÇÃO]]=CE$1,[1]!BANCO10[[#This Row],[STATUS DA ETAPA]],"")</f>
        <v/>
      </c>
      <c r="CF479" s="21" t="str">
        <f>IF([1]!BANCO10[[#This Row],[SOLUÇÃO]]=CF$1,[1]!BANCO10[[#This Row],[STATUS DA ETAPA]],"")</f>
        <v/>
      </c>
      <c r="CG479" s="21" t="str">
        <f>IF([1]!BANCO10[[#This Row],[SOLUÇÃO]]=CG$1,[1]!BANCO10[[#This Row],[STATUS DA ETAPA]],"")</f>
        <v/>
      </c>
      <c r="CH479" s="21" t="str">
        <f>IF([1]!BANCO10[[#This Row],[SOLUÇÃO]]=CH$1,[1]!BANCO10[[#This Row],[STATUS DA ETAPA]],"")</f>
        <v/>
      </c>
      <c r="CI479" s="21" t="str">
        <f>IF([1]!BANCO10[[#This Row],[SOLUÇÃO]]=CI$1,[1]!BANCO10[[#This Row],[STATUS DA ETAPA]],"")</f>
        <v/>
      </c>
      <c r="CJ479" s="21" t="str">
        <f>IF([1]!BANCO10[[#This Row],[SOLUÇÃO]]=CJ$1,[1]!BANCO10[[#This Row],[STATUS DA ETAPA]],"")</f>
        <v/>
      </c>
      <c r="CK479" s="21" t="str">
        <f>IF([1]!BANCO10[[#This Row],[SOLUÇÃO]]=CK$1,[1]!BANCO10[[#This Row],[STATUS DA ETAPA]],"")</f>
        <v/>
      </c>
      <c r="CL479" s="21" t="str">
        <f>IF([1]!BANCO10[[#This Row],[SOLUÇÃO]]=CL$1,[1]!BANCO10[[#This Row],[STATUS DA ETAPA]],"")</f>
        <v/>
      </c>
      <c r="CM479" s="21" t="str">
        <f>IF([1]!BANCO10[[#This Row],[SOLUÇÃO]]=CM$1,[1]!BANCO10[[#This Row],[STATUS DA ETAPA]],"")</f>
        <v/>
      </c>
      <c r="CN479" s="21" t="str">
        <f>IF([1]!BANCO10[[#This Row],[SOLUÇÃO]]=CN$1,[1]!BANCO10[[#This Row],[STATUS DA ETAPA]],"")</f>
        <v/>
      </c>
      <c r="CO479" s="21" t="str">
        <f>IF([1]!BANCO10[[#This Row],[SOLUÇÃO]]=CO$1,[1]!BANCO10[[#This Row],[STATUS DA ETAPA]],"")</f>
        <v/>
      </c>
      <c r="CP479" s="21" t="str">
        <f>IF([1]!BANCO10[[#This Row],[SOLUÇÃO]]=CP$1,[1]!BANCO10[[#This Row],[STATUS DA ETAPA]],"")</f>
        <v/>
      </c>
      <c r="CQ479" s="21" t="str">
        <f>IF([1]!BANCO10[[#This Row],[SOLUÇÃO]]=CQ$1,[1]!BANCO10[[#This Row],[STATUS DA ETAPA]],"")</f>
        <v/>
      </c>
      <c r="CR479" s="21" t="str">
        <f>IF([1]!BANCO10[[#This Row],[SOLUÇÃO]]=CR$1,[1]!BANCO10[[#This Row],[STATUS DA ETAPA]],"")</f>
        <v/>
      </c>
      <c r="CS479" s="21" t="str">
        <f>IF([1]!BANCO10[[#This Row],[SOLUÇÃO]]=CS$1,[1]!BANCO10[[#This Row],[STATUS DA ETAPA]],"")</f>
        <v/>
      </c>
      <c r="CT479" s="21" t="str">
        <f>IF([1]!BANCO10[[#This Row],[SOLUÇÃO]]=CT$1,[1]!BANCO10[[#This Row],[STATUS DA ETAPA]],"")</f>
        <v/>
      </c>
      <c r="CU479" s="21" t="str">
        <f>IF([1]!BANCO10[[#This Row],[SOLUÇÃO]]=CU$1,[1]!BANCO10[[#This Row],[STATUS DA ETAPA]],"")</f>
        <v/>
      </c>
      <c r="CV479" s="21" t="str">
        <f>IF([1]!BANCO10[[#This Row],[SOLUÇÃO]]=CV$1,[1]!BANCO10[[#This Row],[STATUS DA ETAPA]],"")</f>
        <v/>
      </c>
    </row>
    <row r="480" spans="1:100">
      <c r="A480" s="44" t="s">
        <v>1</v>
      </c>
      <c r="B480" s="44"/>
      <c r="C480" s="44" t="s">
        <v>1</v>
      </c>
      <c r="D480" s="44"/>
      <c r="E480" s="44" t="s">
        <v>1</v>
      </c>
      <c r="F480" s="44"/>
      <c r="G480" s="44" t="s">
        <v>1</v>
      </c>
      <c r="H480" s="44"/>
      <c r="I480" s="45" t="s">
        <v>1</v>
      </c>
      <c r="J480" s="46"/>
      <c r="K480" s="45" t="s">
        <v>1</v>
      </c>
      <c r="L480" s="33"/>
      <c r="M480" s="45" t="s">
        <v>1</v>
      </c>
      <c r="N480" s="33"/>
      <c r="O480" s="44" t="s">
        <v>1</v>
      </c>
      <c r="P480" s="44"/>
      <c r="Q480" s="44" t="s">
        <v>1</v>
      </c>
      <c r="R480" s="44"/>
      <c r="S480" s="44" t="s">
        <v>1</v>
      </c>
      <c r="T480" s="44"/>
      <c r="U480" s="44" t="s">
        <v>1</v>
      </c>
      <c r="V480" s="44"/>
      <c r="W480" s="44" t="s">
        <v>1</v>
      </c>
      <c r="X480" s="44"/>
      <c r="Y480" s="44" t="s">
        <v>1</v>
      </c>
      <c r="Z480" s="44"/>
      <c r="AA480" s="44" t="s">
        <v>1</v>
      </c>
      <c r="AB480" s="44"/>
      <c r="AC480" s="51">
        <v>45963</v>
      </c>
      <c r="AD480" s="50">
        <v>45963</v>
      </c>
      <c r="AE480" s="40" t="s">
        <v>1</v>
      </c>
      <c r="AF480" s="40" t="s">
        <v>1</v>
      </c>
      <c r="AG480" s="40" t="s">
        <v>1</v>
      </c>
      <c r="AH480" s="36" t="s">
        <v>1</v>
      </c>
      <c r="AI480" s="49">
        <v>0</v>
      </c>
      <c r="AJ480" s="36" t="s">
        <v>1</v>
      </c>
      <c r="AK480" s="10" t="s">
        <v>1</v>
      </c>
      <c r="AL480" s="36" t="s">
        <v>1</v>
      </c>
      <c r="AM480" s="36" t="s">
        <v>1</v>
      </c>
      <c r="AN480" s="35" t="s">
        <v>1</v>
      </c>
      <c r="AO480" s="35" t="s">
        <v>1</v>
      </c>
      <c r="AP480" s="35" t="s">
        <v>1</v>
      </c>
      <c r="AQ480" s="35" t="s">
        <v>1</v>
      </c>
      <c r="AR480" s="34" t="s">
        <v>1</v>
      </c>
      <c r="AS480" s="63"/>
      <c r="AT480" s="32" t="s">
        <v>1</v>
      </c>
      <c r="AU480" s="31"/>
      <c r="AV480" s="32" t="s">
        <v>1</v>
      </c>
      <c r="AW480" s="31"/>
      <c r="AX480" s="32" t="s">
        <v>1</v>
      </c>
      <c r="AY480" s="31"/>
      <c r="AZ480" s="32" t="s">
        <v>1</v>
      </c>
      <c r="BA480" s="31"/>
      <c r="BB480" s="74" t="s">
        <v>408</v>
      </c>
      <c r="BC480" s="25"/>
      <c r="BD480" s="24" t="s">
        <v>11</v>
      </c>
      <c r="BE480" s="24" t="s">
        <v>11</v>
      </c>
      <c r="BF480" s="24" t="s">
        <v>11</v>
      </c>
      <c r="BG480" s="24" t="s">
        <v>11</v>
      </c>
      <c r="BH480" s="130" t="s">
        <v>11</v>
      </c>
      <c r="BI480" s="24"/>
      <c r="BJ480" s="24" t="s">
        <v>11</v>
      </c>
      <c r="BK480" s="24" t="s">
        <v>11</v>
      </c>
      <c r="BL480" s="24" t="s">
        <v>11</v>
      </c>
      <c r="BM480" s="24" t="s">
        <v>11</v>
      </c>
      <c r="BN480" s="24" t="s">
        <v>11</v>
      </c>
      <c r="BO480" s="24" t="s">
        <v>11</v>
      </c>
      <c r="BP480" s="24" t="s">
        <v>11</v>
      </c>
      <c r="BQ480" s="22">
        <f>YEAR([1]!BANCO10[[#This Row],[DATA INÍCIO]])</f>
        <v>2025</v>
      </c>
      <c r="BR480" s="22">
        <f>MONTH([1]!BANCO10[[#This Row],[DATA INÍCIO]])</f>
        <v>11</v>
      </c>
      <c r="BS480" s="129" t="e">
        <f>CONCATENATE(#REF!,#REF!)</f>
        <v>#REF!</v>
      </c>
      <c r="BT480" s="22"/>
      <c r="BU480" s="21" t="s">
        <v>407</v>
      </c>
      <c r="BV480" s="21" t="str">
        <f>IF([1]!BANCO10[[#This Row],[SOLUÇÃO]]=BV$1,[1]!BANCO10[[#This Row],[STATUS DA ETAPA]],"")</f>
        <v/>
      </c>
      <c r="BW480" s="21" t="str">
        <f>IF([1]!BANCO10[[#This Row],[SOLUÇÃO]]=BW$1,[1]!BANCO10[[#This Row],[STATUS DA ETAPA]],"")</f>
        <v/>
      </c>
      <c r="BX480" s="21" t="str">
        <f>IF([1]!BANCO10[[#This Row],[SOLUÇÃO]]=BX$1,[1]!BANCO10[[#This Row],[STATUS DA ETAPA]],"")</f>
        <v/>
      </c>
      <c r="BY480" s="21" t="str">
        <f>IF([1]!BANCO10[[#This Row],[SOLUÇÃO]]=BY$1,[1]!BANCO10[[#This Row],[STATUS DA ETAPA]],"")</f>
        <v/>
      </c>
      <c r="BZ480" s="21" t="str">
        <f>IF([1]!BANCO10[[#This Row],[SOLUÇÃO]]=BZ$1,[1]!BANCO10[[#This Row],[STATUS DA ETAPA]],"")</f>
        <v/>
      </c>
      <c r="CA480" s="21" t="str">
        <f>IF([1]!BANCO10[[#This Row],[SOLUÇÃO]]=CA$1,[1]!BANCO10[[#This Row],[STATUS DA ETAPA]],"")</f>
        <v>CANCELADO</v>
      </c>
      <c r="CB480" s="21" t="str">
        <f>IF([1]!BANCO10[[#This Row],[SOLUÇÃO]]=CB$1,[1]!BANCO10[[#This Row],[STATUS DA ETAPA]],"")</f>
        <v/>
      </c>
      <c r="CC480" s="21" t="str">
        <f>IF([1]!BANCO10[[#This Row],[SOLUÇÃO]]=CC$1,[1]!BANCO10[[#This Row],[STATUS DA ETAPA]],"")</f>
        <v/>
      </c>
      <c r="CD480" s="21" t="str">
        <f>IF([1]!BANCO10[[#This Row],[SOLUÇÃO]]=CD$1,[1]!BANCO10[[#This Row],[STATUS DA ETAPA]],"")</f>
        <v/>
      </c>
      <c r="CE480" s="21" t="str">
        <f>IF([1]!BANCO10[[#This Row],[SOLUÇÃO]]=CE$1,[1]!BANCO10[[#This Row],[STATUS DA ETAPA]],"")</f>
        <v/>
      </c>
      <c r="CF480" s="21" t="str">
        <f>IF([1]!BANCO10[[#This Row],[SOLUÇÃO]]=CF$1,[1]!BANCO10[[#This Row],[STATUS DA ETAPA]],"")</f>
        <v/>
      </c>
      <c r="CG480" s="21" t="str">
        <f>IF([1]!BANCO10[[#This Row],[SOLUÇÃO]]=CG$1,[1]!BANCO10[[#This Row],[STATUS DA ETAPA]],"")</f>
        <v/>
      </c>
      <c r="CH480" s="21" t="str">
        <f>IF([1]!BANCO10[[#This Row],[SOLUÇÃO]]=CH$1,[1]!BANCO10[[#This Row],[STATUS DA ETAPA]],"")</f>
        <v/>
      </c>
      <c r="CI480" s="21" t="str">
        <f>IF([1]!BANCO10[[#This Row],[SOLUÇÃO]]=CI$1,[1]!BANCO10[[#This Row],[STATUS DA ETAPA]],"")</f>
        <v/>
      </c>
      <c r="CJ480" s="21" t="str">
        <f>IF([1]!BANCO10[[#This Row],[SOLUÇÃO]]=CJ$1,[1]!BANCO10[[#This Row],[STATUS DA ETAPA]],"")</f>
        <v/>
      </c>
      <c r="CK480" s="21" t="str">
        <f>IF([1]!BANCO10[[#This Row],[SOLUÇÃO]]=CK$1,[1]!BANCO10[[#This Row],[STATUS DA ETAPA]],"")</f>
        <v/>
      </c>
      <c r="CL480" s="21" t="str">
        <f>IF([1]!BANCO10[[#This Row],[SOLUÇÃO]]=CL$1,[1]!BANCO10[[#This Row],[STATUS DA ETAPA]],"")</f>
        <v/>
      </c>
      <c r="CM480" s="21" t="str">
        <f>IF([1]!BANCO10[[#This Row],[SOLUÇÃO]]=CM$1,[1]!BANCO10[[#This Row],[STATUS DA ETAPA]],"")</f>
        <v/>
      </c>
      <c r="CN480" s="21" t="str">
        <f>IF([1]!BANCO10[[#This Row],[SOLUÇÃO]]=CN$1,[1]!BANCO10[[#This Row],[STATUS DA ETAPA]],"")</f>
        <v/>
      </c>
      <c r="CO480" s="21" t="str">
        <f>IF([1]!BANCO10[[#This Row],[SOLUÇÃO]]=CO$1,[1]!BANCO10[[#This Row],[STATUS DA ETAPA]],"")</f>
        <v/>
      </c>
      <c r="CP480" s="21" t="str">
        <f>IF([1]!BANCO10[[#This Row],[SOLUÇÃO]]=CP$1,[1]!BANCO10[[#This Row],[STATUS DA ETAPA]],"")</f>
        <v/>
      </c>
      <c r="CQ480" s="21" t="str">
        <f>IF([1]!BANCO10[[#This Row],[SOLUÇÃO]]=CQ$1,[1]!BANCO10[[#This Row],[STATUS DA ETAPA]],"")</f>
        <v/>
      </c>
      <c r="CR480" s="21" t="str">
        <f>IF([1]!BANCO10[[#This Row],[SOLUÇÃO]]=CR$1,[1]!BANCO10[[#This Row],[STATUS DA ETAPA]],"")</f>
        <v/>
      </c>
      <c r="CS480" s="21" t="str">
        <f>IF([1]!BANCO10[[#This Row],[SOLUÇÃO]]=CS$1,[1]!BANCO10[[#This Row],[STATUS DA ETAPA]],"")</f>
        <v/>
      </c>
      <c r="CT480" s="21" t="str">
        <f>IF([1]!BANCO10[[#This Row],[SOLUÇÃO]]=CT$1,[1]!BANCO10[[#This Row],[STATUS DA ETAPA]],"")</f>
        <v/>
      </c>
      <c r="CU480" s="21" t="str">
        <f>IF([1]!BANCO10[[#This Row],[SOLUÇÃO]]=CU$1,[1]!BANCO10[[#This Row],[STATUS DA ETAPA]],"")</f>
        <v/>
      </c>
      <c r="CV480" s="21" t="str">
        <f>IF([1]!BANCO10[[#This Row],[SOLUÇÃO]]=CV$1,[1]!BANCO10[[#This Row],[STATUS DA ETAPA]],"")</f>
        <v/>
      </c>
    </row>
    <row r="481" spans="1:100">
      <c r="A481" s="44" t="s">
        <v>1</v>
      </c>
      <c r="B481" s="44"/>
      <c r="C481" s="44" t="s">
        <v>1</v>
      </c>
      <c r="D481" s="44"/>
      <c r="E481" s="44" t="s">
        <v>1</v>
      </c>
      <c r="F481" s="44"/>
      <c r="G481" s="44" t="s">
        <v>1</v>
      </c>
      <c r="H481" s="44"/>
      <c r="I481" s="45" t="s">
        <v>1</v>
      </c>
      <c r="J481" s="46"/>
      <c r="K481" s="45" t="s">
        <v>1</v>
      </c>
      <c r="L481" s="33"/>
      <c r="M481" s="45" t="s">
        <v>1</v>
      </c>
      <c r="N481" s="33"/>
      <c r="O481" s="44" t="s">
        <v>1</v>
      </c>
      <c r="P481" s="44"/>
      <c r="Q481" s="44" t="s">
        <v>1</v>
      </c>
      <c r="R481" s="44"/>
      <c r="S481" s="44" t="s">
        <v>1</v>
      </c>
      <c r="T481" s="44"/>
      <c r="U481" s="44" t="s">
        <v>1</v>
      </c>
      <c r="V481" s="44"/>
      <c r="W481" s="44" t="s">
        <v>1</v>
      </c>
      <c r="X481" s="44"/>
      <c r="Y481" s="44" t="s">
        <v>1</v>
      </c>
      <c r="Z481" s="44"/>
      <c r="AA481" s="44" t="s">
        <v>1</v>
      </c>
      <c r="AB481" s="44"/>
      <c r="AC481" s="51"/>
      <c r="AD481" s="50"/>
      <c r="AE481" s="68"/>
      <c r="AF481" s="68"/>
      <c r="AG481" s="40" t="s">
        <v>5</v>
      </c>
      <c r="AH481" s="36" t="s">
        <v>0</v>
      </c>
      <c r="AI481" s="49">
        <v>0</v>
      </c>
      <c r="AJ481" s="36" t="s">
        <v>1</v>
      </c>
      <c r="AK481" s="10" t="s">
        <v>1</v>
      </c>
      <c r="AL481" s="36" t="s">
        <v>1</v>
      </c>
      <c r="AM481" s="36" t="s">
        <v>1</v>
      </c>
      <c r="AN481" s="35" t="s">
        <v>1</v>
      </c>
      <c r="AO481" s="35" t="s">
        <v>1</v>
      </c>
      <c r="AP481" s="35" t="s">
        <v>1</v>
      </c>
      <c r="AQ481" s="35" t="s">
        <v>2</v>
      </c>
      <c r="AR481" s="34" t="s">
        <v>0</v>
      </c>
      <c r="AS481" s="33"/>
      <c r="AT481" s="30" t="s">
        <v>0</v>
      </c>
      <c r="AU481" s="31"/>
      <c r="AV481" s="30" t="s">
        <v>0</v>
      </c>
      <c r="AW481" s="31"/>
      <c r="AX481" s="30" t="s">
        <v>0</v>
      </c>
      <c r="AY481" s="29"/>
      <c r="AZ481" s="28" t="s">
        <v>0</v>
      </c>
      <c r="BA481" s="27"/>
      <c r="BB481" s="39"/>
      <c r="BC481" s="25"/>
      <c r="BD481" s="24"/>
      <c r="BE481" s="24"/>
      <c r="BF481" s="24"/>
      <c r="BG481" s="24"/>
      <c r="BH481" s="24"/>
      <c r="BI481" s="24"/>
      <c r="BJ481" s="24"/>
      <c r="BK481" s="24"/>
      <c r="BL481" s="24"/>
      <c r="BM481" s="24"/>
      <c r="BN481" s="24"/>
      <c r="BO481" s="24"/>
      <c r="BP481" s="24"/>
      <c r="BQ481" s="22">
        <f>YEAR([1]!BANCO10[[#This Row],[DATA INÍCIO]])</f>
        <v>1900</v>
      </c>
      <c r="BR481" s="22">
        <f>MONTH([1]!BANCO10[[#This Row],[DATA INÍCIO]])</f>
        <v>1</v>
      </c>
      <c r="BS481" s="23" t="e">
        <f>CONCATENATE(#REF!,#REF!)</f>
        <v>#REF!</v>
      </c>
      <c r="BT481" s="22"/>
      <c r="BU481" s="22"/>
      <c r="BV481" s="21" t="str">
        <f>IF([1]!BANCO10[[#This Row],[SOLUÇÃO]]=BV$1,[1]!BANCO10[[#This Row],[STATUS DA ETAPA]],"")</f>
        <v/>
      </c>
      <c r="BW481" s="21" t="str">
        <f>IF([1]!BANCO10[[#This Row],[SOLUÇÃO]]=BW$1,[1]!BANCO10[[#This Row],[STATUS DA ETAPA]],"")</f>
        <v/>
      </c>
      <c r="BX481" s="21" t="str">
        <f>IF([1]!BANCO10[[#This Row],[SOLUÇÃO]]=BX$1,[1]!BANCO10[[#This Row],[STATUS DA ETAPA]],"")</f>
        <v/>
      </c>
      <c r="BY481" s="21" t="str">
        <f>IF([1]!BANCO10[[#This Row],[SOLUÇÃO]]=BY$1,[1]!BANCO10[[#This Row],[STATUS DA ETAPA]],"")</f>
        <v/>
      </c>
      <c r="BZ481" s="21" t="str">
        <f>IF([1]!BANCO10[[#This Row],[SOLUÇÃO]]=BZ$1,[1]!BANCO10[[#This Row],[STATUS DA ETAPA]],"")</f>
        <v/>
      </c>
      <c r="CA481" s="21" t="str">
        <f>IF([1]!BANCO10[[#This Row],[SOLUÇÃO]]=CA$1,[1]!BANCO10[[#This Row],[STATUS DA ETAPA]],"")</f>
        <v/>
      </c>
      <c r="CB481" s="21" t="str">
        <f>IF([1]!BANCO10[[#This Row],[SOLUÇÃO]]=CB$1,[1]!BANCO10[[#This Row],[STATUS DA ETAPA]],"")</f>
        <v/>
      </c>
      <c r="CC481" s="21" t="str">
        <f>IF([1]!BANCO10[[#This Row],[SOLUÇÃO]]=CC$1,[1]!BANCO10[[#This Row],[STATUS DA ETAPA]],"")</f>
        <v/>
      </c>
      <c r="CD481" s="21" t="str">
        <f>IF([1]!BANCO10[[#This Row],[SOLUÇÃO]]=CD$1,[1]!BANCO10[[#This Row],[STATUS DA ETAPA]],"")</f>
        <v/>
      </c>
      <c r="CE481" s="21" t="str">
        <f>IF([1]!BANCO10[[#This Row],[SOLUÇÃO]]=CE$1,[1]!BANCO10[[#This Row],[STATUS DA ETAPA]],"")</f>
        <v/>
      </c>
      <c r="CF481" s="21" t="str">
        <f>IF([1]!BANCO10[[#This Row],[SOLUÇÃO]]=CF$1,[1]!BANCO10[[#This Row],[STATUS DA ETAPA]],"")</f>
        <v/>
      </c>
      <c r="CG481" s="21" t="str">
        <f>IF([1]!BANCO10[[#This Row],[SOLUÇÃO]]=CG$1,[1]!BANCO10[[#This Row],[STATUS DA ETAPA]],"")</f>
        <v/>
      </c>
      <c r="CH481" s="21" t="str">
        <f>IF([1]!BANCO10[[#This Row],[SOLUÇÃO]]=CH$1,[1]!BANCO10[[#This Row],[STATUS DA ETAPA]],"")</f>
        <v/>
      </c>
      <c r="CI481" s="21" t="str">
        <f>IF([1]!BANCO10[[#This Row],[SOLUÇÃO]]=CI$1,[1]!BANCO10[[#This Row],[STATUS DA ETAPA]],"")</f>
        <v/>
      </c>
      <c r="CJ481" s="21" t="str">
        <f>IF([1]!BANCO10[[#This Row],[SOLUÇÃO]]=CJ$1,[1]!BANCO10[[#This Row],[STATUS DA ETAPA]],"")</f>
        <v/>
      </c>
      <c r="CK481" s="21" t="str">
        <f>IF([1]!BANCO10[[#This Row],[SOLUÇÃO]]=CK$1,[1]!BANCO10[[#This Row],[STATUS DA ETAPA]],"")</f>
        <v/>
      </c>
      <c r="CL481" s="21" t="str">
        <f>IF([1]!BANCO10[[#This Row],[SOLUÇÃO]]=CL$1,[1]!BANCO10[[#This Row],[STATUS DA ETAPA]],"")</f>
        <v/>
      </c>
      <c r="CM481" s="21" t="str">
        <f>IF([1]!BANCO10[[#This Row],[SOLUÇÃO]]=CM$1,[1]!BANCO10[[#This Row],[STATUS DA ETAPA]],"")</f>
        <v/>
      </c>
      <c r="CN481" s="21" t="str">
        <f>IF([1]!BANCO10[[#This Row],[SOLUÇÃO]]=CN$1,[1]!BANCO10[[#This Row],[STATUS DA ETAPA]],"")</f>
        <v/>
      </c>
      <c r="CO481" s="21" t="str">
        <f>IF([1]!BANCO10[[#This Row],[SOLUÇÃO]]=CO$1,[1]!BANCO10[[#This Row],[STATUS DA ETAPA]],"")</f>
        <v/>
      </c>
      <c r="CP481" s="21" t="str">
        <f>IF([1]!BANCO10[[#This Row],[SOLUÇÃO]]=CP$1,[1]!BANCO10[[#This Row],[STATUS DA ETAPA]],"")</f>
        <v/>
      </c>
      <c r="CQ481" s="21" t="str">
        <f>IF([1]!BANCO10[[#This Row],[SOLUÇÃO]]=CQ$1,[1]!BANCO10[[#This Row],[STATUS DA ETAPA]],"")</f>
        <v/>
      </c>
      <c r="CR481" s="21" t="str">
        <f>IF([1]!BANCO10[[#This Row],[SOLUÇÃO]]=CR$1,[1]!BANCO10[[#This Row],[STATUS DA ETAPA]],"")</f>
        <v/>
      </c>
      <c r="CS481" s="21" t="str">
        <f>IF([1]!BANCO10[[#This Row],[SOLUÇÃO]]=CS$1,[1]!BANCO10[[#This Row],[STATUS DA ETAPA]],"")</f>
        <v/>
      </c>
      <c r="CT481" s="21" t="str">
        <f>IF([1]!BANCO10[[#This Row],[SOLUÇÃO]]=CT$1,[1]!BANCO10[[#This Row],[STATUS DA ETAPA]],"")</f>
        <v/>
      </c>
      <c r="CU481" s="21" t="str">
        <f>IF([1]!BANCO10[[#This Row],[SOLUÇÃO]]=CU$1,[1]!BANCO10[[#This Row],[STATUS DA ETAPA]],"")</f>
        <v/>
      </c>
      <c r="CV481" s="21" t="str">
        <f>IF([1]!BANCO10[[#This Row],[SOLUÇÃO]]=CV$1,[1]!BANCO10[[#This Row],[STATUS DA ETAPA]],"")</f>
        <v/>
      </c>
    </row>
    <row r="482" spans="1:100">
      <c r="A482" s="44" t="s">
        <v>2</v>
      </c>
      <c r="B482" s="44">
        <v>45573</v>
      </c>
      <c r="C482" s="44" t="s">
        <v>2</v>
      </c>
      <c r="D482" s="44">
        <v>45573</v>
      </c>
      <c r="E482" s="44" t="s">
        <v>2</v>
      </c>
      <c r="F482" s="44">
        <v>45581</v>
      </c>
      <c r="G482" s="44" t="s">
        <v>2</v>
      </c>
      <c r="H482" s="44">
        <v>45581</v>
      </c>
      <c r="I482" s="45" t="s">
        <v>2</v>
      </c>
      <c r="J482" s="46">
        <v>45536</v>
      </c>
      <c r="K482" s="45" t="s">
        <v>2</v>
      </c>
      <c r="L482" s="33">
        <v>45589</v>
      </c>
      <c r="M482" s="45" t="s">
        <v>2</v>
      </c>
      <c r="N482" s="33">
        <v>45589</v>
      </c>
      <c r="O482" s="44" t="s">
        <v>2</v>
      </c>
      <c r="P482" s="44">
        <v>45531</v>
      </c>
      <c r="Q482" s="44" t="s">
        <v>2</v>
      </c>
      <c r="R482" s="44">
        <v>45536</v>
      </c>
      <c r="S482" s="44" t="s">
        <v>2</v>
      </c>
      <c r="T482" s="44">
        <v>45594</v>
      </c>
      <c r="U482" s="44" t="s">
        <v>1</v>
      </c>
      <c r="V482" s="44"/>
      <c r="W482" s="44" t="s">
        <v>1</v>
      </c>
      <c r="X482" s="44"/>
      <c r="Y482" s="44" t="s">
        <v>1</v>
      </c>
      <c r="Z482" s="44"/>
      <c r="AA482" s="44" t="s">
        <v>1</v>
      </c>
      <c r="AB482" s="44"/>
      <c r="AC482" s="51">
        <v>45687</v>
      </c>
      <c r="AD482" s="50">
        <v>45771</v>
      </c>
      <c r="AE482" s="41" t="s">
        <v>2</v>
      </c>
      <c r="AF482" s="41" t="s">
        <v>2</v>
      </c>
      <c r="AG482" s="40" t="s">
        <v>5</v>
      </c>
      <c r="AH482" s="36" t="s">
        <v>0</v>
      </c>
      <c r="AI482" s="49">
        <v>20140</v>
      </c>
      <c r="AJ482" s="36" t="s">
        <v>6</v>
      </c>
      <c r="AK482" s="21">
        <v>575049</v>
      </c>
      <c r="AL482" s="36" t="s">
        <v>1</v>
      </c>
      <c r="AM482" s="36" t="s">
        <v>1</v>
      </c>
      <c r="AN482" s="35" t="s">
        <v>2</v>
      </c>
      <c r="AO482" s="35" t="s">
        <v>2</v>
      </c>
      <c r="AP482" s="35" t="s">
        <v>2</v>
      </c>
      <c r="AQ482" s="35" t="s">
        <v>2</v>
      </c>
      <c r="AR482" s="34" t="s">
        <v>2</v>
      </c>
      <c r="AS482" s="33">
        <v>45789</v>
      </c>
      <c r="AT482" s="32" t="s">
        <v>1</v>
      </c>
      <c r="AU482" s="31"/>
      <c r="AV482" s="32" t="s">
        <v>1</v>
      </c>
      <c r="AW482" s="31"/>
      <c r="AX482" s="30" t="s">
        <v>2</v>
      </c>
      <c r="AY482" s="31">
        <v>45789</v>
      </c>
      <c r="AZ482" s="28" t="s">
        <v>0</v>
      </c>
      <c r="BA482" s="27"/>
      <c r="BB482" s="95" t="s">
        <v>143</v>
      </c>
      <c r="BC482" s="25" t="s">
        <v>41</v>
      </c>
      <c r="BD482" s="24"/>
      <c r="BE482" s="24"/>
      <c r="BF482" s="79"/>
      <c r="BG482" s="79"/>
      <c r="BH482" s="80"/>
      <c r="BI482" s="79"/>
      <c r="BJ482" s="54"/>
      <c r="BK482" s="78"/>
      <c r="BL482" s="69"/>
      <c r="BM482" s="78"/>
      <c r="BN482" s="78"/>
      <c r="BO482" s="78"/>
      <c r="BP482" s="78" t="s">
        <v>406</v>
      </c>
      <c r="BQ482" s="21">
        <f>YEAR([1]!BANCO10[[#This Row],[DATA INÍCIO]])</f>
        <v>2025</v>
      </c>
      <c r="BR482" s="21">
        <f>MONTH([1]!BANCO10[[#This Row],[DATA INÍCIO]])</f>
        <v>1</v>
      </c>
      <c r="BS482" s="21" t="e">
        <f>CONCATENATE(#REF!,#REF!)</f>
        <v>#REF!</v>
      </c>
      <c r="BT482" s="21"/>
      <c r="BU482" s="21"/>
      <c r="BV482" s="21" t="str">
        <f>IF([1]!BANCO10[[#This Row],[SOLUÇÃO]]=BV$1,[1]!BANCO10[[#This Row],[STATUS DA ETAPA]],"")</f>
        <v/>
      </c>
      <c r="BW482" s="21" t="str">
        <f>IF([1]!BANCO10[[#This Row],[SOLUÇÃO]]=BW$1,[1]!BANCO10[[#This Row],[STATUS DA ETAPA]],"")</f>
        <v/>
      </c>
      <c r="BX482" s="21" t="str">
        <f>IF([1]!BANCO10[[#This Row],[SOLUÇÃO]]=BX$1,[1]!BANCO10[[#This Row],[STATUS DA ETAPA]],"")</f>
        <v/>
      </c>
      <c r="BY482" s="21" t="str">
        <f>IF([1]!BANCO10[[#This Row],[SOLUÇÃO]]=BY$1,[1]!BANCO10[[#This Row],[STATUS DA ETAPA]],"")</f>
        <v/>
      </c>
      <c r="BZ482" s="21" t="str">
        <f>IF([1]!BANCO10[[#This Row],[SOLUÇÃO]]=BZ$1,[1]!BANCO10[[#This Row],[STATUS DA ETAPA]],"")</f>
        <v/>
      </c>
      <c r="CA482" s="21" t="str">
        <f>IF([1]!BANCO10[[#This Row],[SOLUÇÃO]]=CA$1,[1]!BANCO10[[#This Row],[STATUS DA ETAPA]],"")</f>
        <v/>
      </c>
      <c r="CB482" s="21" t="str">
        <f>IF([1]!BANCO10[[#This Row],[SOLUÇÃO]]=CB$1,[1]!BANCO10[[#This Row],[STATUS DA ETAPA]],"")</f>
        <v>CONCLUÍDO</v>
      </c>
      <c r="CC482" s="21" t="str">
        <f>IF([1]!BANCO10[[#This Row],[SOLUÇÃO]]=CC$1,[1]!BANCO10[[#This Row],[STATUS DA ETAPA]],"")</f>
        <v/>
      </c>
      <c r="CD482" s="21" t="str">
        <f>IF([1]!BANCO10[[#This Row],[SOLUÇÃO]]=CD$1,[1]!BANCO10[[#This Row],[STATUS DA ETAPA]],"")</f>
        <v/>
      </c>
      <c r="CE482" s="21" t="str">
        <f>IF([1]!BANCO10[[#This Row],[SOLUÇÃO]]=CE$1,[1]!BANCO10[[#This Row],[STATUS DA ETAPA]],"")</f>
        <v/>
      </c>
      <c r="CF482" s="21" t="str">
        <f>IF([1]!BANCO10[[#This Row],[SOLUÇÃO]]=CF$1,[1]!BANCO10[[#This Row],[STATUS DA ETAPA]],"")</f>
        <v/>
      </c>
      <c r="CG482" s="21" t="str">
        <f>IF([1]!BANCO10[[#This Row],[SOLUÇÃO]]=CG$1,[1]!BANCO10[[#This Row],[STATUS DA ETAPA]],"")</f>
        <v/>
      </c>
      <c r="CH482" s="21" t="str">
        <f>IF([1]!BANCO10[[#This Row],[SOLUÇÃO]]=CH$1,[1]!BANCO10[[#This Row],[STATUS DA ETAPA]],"")</f>
        <v/>
      </c>
      <c r="CI482" s="21" t="str">
        <f>IF([1]!BANCO10[[#This Row],[SOLUÇÃO]]=CI$1,[1]!BANCO10[[#This Row],[STATUS DA ETAPA]],"")</f>
        <v/>
      </c>
      <c r="CJ482" s="21" t="str">
        <f>IF([1]!BANCO10[[#This Row],[SOLUÇÃO]]=CJ$1,[1]!BANCO10[[#This Row],[STATUS DA ETAPA]],"")</f>
        <v/>
      </c>
      <c r="CK482" s="21" t="str">
        <f>IF([1]!BANCO10[[#This Row],[SOLUÇÃO]]=CK$1,[1]!BANCO10[[#This Row],[STATUS DA ETAPA]],"")</f>
        <v/>
      </c>
      <c r="CL482" s="22" t="str">
        <f>IF([1]!BANCO10[[#This Row],[SOLUÇÃO]]=CL$1,[1]!BANCO10[[#This Row],[STATUS DA ETAPA]],"")</f>
        <v/>
      </c>
      <c r="CM482" s="64" t="str">
        <f>IF([1]!BANCO10[[#This Row],[SOLUÇÃO]]=CM$1,[1]!BANCO10[[#This Row],[STATUS DA ETAPA]],"")</f>
        <v/>
      </c>
      <c r="CN482" s="64" t="str">
        <f>IF([1]!BANCO10[[#This Row],[SOLUÇÃO]]=CN$1,[1]!BANCO10[[#This Row],[STATUS DA ETAPA]],"")</f>
        <v/>
      </c>
      <c r="CO482" s="64" t="str">
        <f>IF([1]!BANCO10[[#This Row],[SOLUÇÃO]]=CO$1,[1]!BANCO10[[#This Row],[STATUS DA ETAPA]],"")</f>
        <v/>
      </c>
      <c r="CP482" s="64" t="str">
        <f>IF([1]!BANCO10[[#This Row],[SOLUÇÃO]]=CP$1,[1]!BANCO10[[#This Row],[STATUS DA ETAPA]],"")</f>
        <v/>
      </c>
      <c r="CQ482" s="64" t="str">
        <f>IF([1]!BANCO10[[#This Row],[SOLUÇÃO]]=CQ$1,[1]!BANCO10[[#This Row],[STATUS DA ETAPA]],"")</f>
        <v/>
      </c>
      <c r="CR482" s="64" t="str">
        <f>IF([1]!BANCO10[[#This Row],[SOLUÇÃO]]=CR$1,[1]!BANCO10[[#This Row],[STATUS DA ETAPA]],"")</f>
        <v/>
      </c>
      <c r="CS482" s="64" t="str">
        <f>IF([1]!BANCO10[[#This Row],[SOLUÇÃO]]=CS$1,[1]!BANCO10[[#This Row],[STATUS DA ETAPA]],"")</f>
        <v/>
      </c>
      <c r="CT482" s="64" t="str">
        <f>IF([1]!BANCO10[[#This Row],[SOLUÇÃO]]=CT$1,[1]!BANCO10[[#This Row],[STATUS DA ETAPA]],"")</f>
        <v/>
      </c>
      <c r="CU482" s="64" t="str">
        <f>IF([1]!BANCO10[[#This Row],[SOLUÇÃO]]=CU$1,[1]!BANCO10[[#This Row],[STATUS DA ETAPA]],"")</f>
        <v/>
      </c>
      <c r="CV482" s="64" t="str">
        <f>IF([1]!BANCO10[[#This Row],[SOLUÇÃO]]=CV$1,[1]!BANCO10[[#This Row],[STATUS DA ETAPA]],"")</f>
        <v/>
      </c>
    </row>
    <row r="483" spans="1:100">
      <c r="A483" s="44" t="s">
        <v>1</v>
      </c>
      <c r="B483" s="44"/>
      <c r="C483" s="44" t="s">
        <v>1</v>
      </c>
      <c r="D483" s="44"/>
      <c r="E483" s="44" t="s">
        <v>1</v>
      </c>
      <c r="F483" s="44"/>
      <c r="G483" s="44" t="s">
        <v>1</v>
      </c>
      <c r="H483" s="44"/>
      <c r="I483" s="45" t="s">
        <v>1</v>
      </c>
      <c r="J483" s="46"/>
      <c r="K483" s="45" t="s">
        <v>1</v>
      </c>
      <c r="L483" s="33"/>
      <c r="M483" s="45" t="s">
        <v>1</v>
      </c>
      <c r="N483" s="33"/>
      <c r="O483" s="44" t="s">
        <v>1</v>
      </c>
      <c r="P483" s="44"/>
      <c r="Q483" s="44" t="s">
        <v>1</v>
      </c>
      <c r="R483" s="44"/>
      <c r="S483" s="44" t="s">
        <v>1</v>
      </c>
      <c r="T483" s="44"/>
      <c r="U483" s="44" t="s">
        <v>1</v>
      </c>
      <c r="V483" s="44"/>
      <c r="W483" s="44" t="s">
        <v>1</v>
      </c>
      <c r="X483" s="44"/>
      <c r="Y483" s="44" t="s">
        <v>1</v>
      </c>
      <c r="Z483" s="44"/>
      <c r="AA483" s="44" t="s">
        <v>1</v>
      </c>
      <c r="AB483" s="44"/>
      <c r="AC483" s="51">
        <v>45553</v>
      </c>
      <c r="AD483" s="50">
        <v>45553</v>
      </c>
      <c r="AE483" s="41" t="s">
        <v>1</v>
      </c>
      <c r="AF483" s="41" t="s">
        <v>1</v>
      </c>
      <c r="AG483" s="40" t="s">
        <v>5</v>
      </c>
      <c r="AH483" s="36" t="s">
        <v>1</v>
      </c>
      <c r="AI483" s="49">
        <v>0</v>
      </c>
      <c r="AJ483" s="36" t="s">
        <v>1</v>
      </c>
      <c r="AK483" s="10" t="s">
        <v>1</v>
      </c>
      <c r="AL483" s="36" t="s">
        <v>1</v>
      </c>
      <c r="AM483" s="36" t="s">
        <v>1</v>
      </c>
      <c r="AN483" s="35" t="s">
        <v>1</v>
      </c>
      <c r="AO483" s="35" t="s">
        <v>1</v>
      </c>
      <c r="AP483" s="35" t="s">
        <v>1</v>
      </c>
      <c r="AQ483" s="35" t="s">
        <v>1</v>
      </c>
      <c r="AR483" s="90" t="s">
        <v>1</v>
      </c>
      <c r="AS483" s="89"/>
      <c r="AT483" s="88"/>
      <c r="AU483" s="25"/>
      <c r="AV483" s="88"/>
      <c r="AW483" s="25"/>
      <c r="AX483" s="88" t="s">
        <v>1</v>
      </c>
      <c r="AY483" s="25"/>
      <c r="AZ483" s="88" t="s">
        <v>1</v>
      </c>
      <c r="BA483" s="25"/>
      <c r="BB483" s="39" t="s">
        <v>144</v>
      </c>
      <c r="BC483" s="25"/>
      <c r="BD483" s="24"/>
      <c r="BE483" s="24"/>
      <c r="BF483" s="79"/>
      <c r="BG483" s="79"/>
      <c r="BH483" s="80"/>
      <c r="BI483" s="79"/>
      <c r="BJ483" s="54"/>
      <c r="BK483" s="78"/>
      <c r="BL483" s="69"/>
      <c r="BM483" s="78"/>
      <c r="BN483" s="78"/>
      <c r="BO483" s="78"/>
      <c r="BP483" s="78"/>
      <c r="BQ483" s="21">
        <f>YEAR([1]!BANCO10[[#This Row],[DATA INÍCIO]])</f>
        <v>2024</v>
      </c>
      <c r="BR483" s="21">
        <f>MONTH([1]!BANCO10[[#This Row],[DATA INÍCIO]])</f>
        <v>9</v>
      </c>
      <c r="BS483" s="21" t="e">
        <f>CONCATENATE(#REF!,#REF!)</f>
        <v>#REF!</v>
      </c>
      <c r="BT483" s="21"/>
      <c r="BU483" s="21"/>
      <c r="BV483" s="21" t="str">
        <f>IF([1]!BANCO10[[#This Row],[SOLUÇÃO]]=BV$1,[1]!BANCO10[[#This Row],[STATUS DA ETAPA]],"")</f>
        <v>CONCLUÍDO</v>
      </c>
      <c r="BW483" s="21" t="str">
        <f>IF([1]!BANCO10[[#This Row],[SOLUÇÃO]]=BW$1,[1]!BANCO10[[#This Row],[STATUS DA ETAPA]],"")</f>
        <v/>
      </c>
      <c r="BX483" s="21" t="str">
        <f>IF([1]!BANCO10[[#This Row],[SOLUÇÃO]]=BX$1,[1]!BANCO10[[#This Row],[STATUS DA ETAPA]],"")</f>
        <v/>
      </c>
      <c r="BY483" s="21" t="str">
        <f>IF([1]!BANCO10[[#This Row],[SOLUÇÃO]]=BY$1,[1]!BANCO10[[#This Row],[STATUS DA ETAPA]],"")</f>
        <v/>
      </c>
      <c r="BZ483" s="21" t="str">
        <f>IF([1]!BANCO10[[#This Row],[SOLUÇÃO]]=BZ$1,[1]!BANCO10[[#This Row],[STATUS DA ETAPA]],"")</f>
        <v/>
      </c>
      <c r="CA483" s="21" t="str">
        <f>IF([1]!BANCO10[[#This Row],[SOLUÇÃO]]=CA$1,[1]!BANCO10[[#This Row],[STATUS DA ETAPA]],"")</f>
        <v/>
      </c>
      <c r="CB483" s="21" t="str">
        <f>IF([1]!BANCO10[[#This Row],[SOLUÇÃO]]=CB$1,[1]!BANCO10[[#This Row],[STATUS DA ETAPA]],"")</f>
        <v/>
      </c>
      <c r="CC483" s="21" t="str">
        <f>IF([1]!BANCO10[[#This Row],[SOLUÇÃO]]=CC$1,[1]!BANCO10[[#This Row],[STATUS DA ETAPA]],"")</f>
        <v/>
      </c>
      <c r="CD483" s="21" t="str">
        <f>IF([1]!BANCO10[[#This Row],[SOLUÇÃO]]=CD$1,[1]!BANCO10[[#This Row],[STATUS DA ETAPA]],"")</f>
        <v/>
      </c>
      <c r="CE483" s="21" t="str">
        <f>IF([1]!BANCO10[[#This Row],[SOLUÇÃO]]=CE$1,[1]!BANCO10[[#This Row],[STATUS DA ETAPA]],"")</f>
        <v/>
      </c>
      <c r="CF483" s="21" t="str">
        <f>IF([1]!BANCO10[[#This Row],[SOLUÇÃO]]=CF$1,[1]!BANCO10[[#This Row],[STATUS DA ETAPA]],"")</f>
        <v/>
      </c>
      <c r="CG483" s="21" t="str">
        <f>IF([1]!BANCO10[[#This Row],[SOLUÇÃO]]=CG$1,[1]!BANCO10[[#This Row],[STATUS DA ETAPA]],"")</f>
        <v/>
      </c>
      <c r="CH483" s="21" t="str">
        <f>IF([1]!BANCO10[[#This Row],[SOLUÇÃO]]=CH$1,[1]!BANCO10[[#This Row],[STATUS DA ETAPA]],"")</f>
        <v/>
      </c>
      <c r="CI483" s="21" t="str">
        <f>IF([1]!BANCO10[[#This Row],[SOLUÇÃO]]=CI$1,[1]!BANCO10[[#This Row],[STATUS DA ETAPA]],"")</f>
        <v/>
      </c>
      <c r="CJ483" s="21" t="str">
        <f>IF([1]!BANCO10[[#This Row],[SOLUÇÃO]]=CJ$1,[1]!BANCO10[[#This Row],[STATUS DA ETAPA]],"")</f>
        <v/>
      </c>
      <c r="CK483" s="21" t="str">
        <f>IF([1]!BANCO10[[#This Row],[SOLUÇÃO]]=CK$1,[1]!BANCO10[[#This Row],[STATUS DA ETAPA]],"")</f>
        <v/>
      </c>
      <c r="CL483" s="22" t="str">
        <f>IF([1]!BANCO10[[#This Row],[SOLUÇÃO]]=CL$1,[1]!BANCO10[[#This Row],[STATUS DA ETAPA]],"")</f>
        <v/>
      </c>
      <c r="CM483" s="64" t="str">
        <f>IF([1]!BANCO10[[#This Row],[SOLUÇÃO]]=CM$1,[1]!BANCO10[[#This Row],[STATUS DA ETAPA]],"")</f>
        <v/>
      </c>
      <c r="CN483" s="64" t="str">
        <f>IF([1]!BANCO10[[#This Row],[SOLUÇÃO]]=CN$1,[1]!BANCO10[[#This Row],[STATUS DA ETAPA]],"")</f>
        <v/>
      </c>
      <c r="CO483" s="64" t="str">
        <f>IF([1]!BANCO10[[#This Row],[SOLUÇÃO]]=CO$1,[1]!BANCO10[[#This Row],[STATUS DA ETAPA]],"")</f>
        <v/>
      </c>
      <c r="CP483" s="64" t="str">
        <f>IF([1]!BANCO10[[#This Row],[SOLUÇÃO]]=CP$1,[1]!BANCO10[[#This Row],[STATUS DA ETAPA]],"")</f>
        <v/>
      </c>
      <c r="CQ483" s="64" t="str">
        <f>IF([1]!BANCO10[[#This Row],[SOLUÇÃO]]=CQ$1,[1]!BANCO10[[#This Row],[STATUS DA ETAPA]],"")</f>
        <v/>
      </c>
      <c r="CR483" s="64" t="str">
        <f>IF([1]!BANCO10[[#This Row],[SOLUÇÃO]]=CR$1,[1]!BANCO10[[#This Row],[STATUS DA ETAPA]],"")</f>
        <v/>
      </c>
      <c r="CS483" s="64" t="str">
        <f>IF([1]!BANCO10[[#This Row],[SOLUÇÃO]]=CS$1,[1]!BANCO10[[#This Row],[STATUS DA ETAPA]],"")</f>
        <v/>
      </c>
      <c r="CT483" s="64" t="str">
        <f>IF([1]!BANCO10[[#This Row],[SOLUÇÃO]]=CT$1,[1]!BANCO10[[#This Row],[STATUS DA ETAPA]],"")</f>
        <v/>
      </c>
      <c r="CU483" s="64" t="str">
        <f>IF([1]!BANCO10[[#This Row],[SOLUÇÃO]]=CU$1,[1]!BANCO10[[#This Row],[STATUS DA ETAPA]],"")</f>
        <v/>
      </c>
      <c r="CV483" s="64" t="str">
        <f>IF([1]!BANCO10[[#This Row],[SOLUÇÃO]]=CV$1,[1]!BANCO10[[#This Row],[STATUS DA ETAPA]],"")</f>
        <v/>
      </c>
    </row>
    <row r="484" spans="1:100">
      <c r="A484" s="44" t="s">
        <v>1</v>
      </c>
      <c r="B484" s="44"/>
      <c r="C484" s="44" t="s">
        <v>1</v>
      </c>
      <c r="D484" s="44"/>
      <c r="E484" s="44" t="s">
        <v>1</v>
      </c>
      <c r="F484" s="44"/>
      <c r="G484" s="44" t="s">
        <v>1</v>
      </c>
      <c r="H484" s="44"/>
      <c r="I484" s="45" t="s">
        <v>1</v>
      </c>
      <c r="J484" s="46"/>
      <c r="K484" s="45" t="s">
        <v>1</v>
      </c>
      <c r="L484" s="33"/>
      <c r="M484" s="45" t="s">
        <v>1</v>
      </c>
      <c r="N484" s="33"/>
      <c r="O484" s="44" t="s">
        <v>1</v>
      </c>
      <c r="P484" s="44"/>
      <c r="Q484" s="44" t="s">
        <v>1</v>
      </c>
      <c r="R484" s="44"/>
      <c r="S484" s="44" t="s">
        <v>1</v>
      </c>
      <c r="T484" s="44"/>
      <c r="U484" s="44" t="s">
        <v>1</v>
      </c>
      <c r="V484" s="44"/>
      <c r="W484" s="44" t="s">
        <v>1</v>
      </c>
      <c r="X484" s="44"/>
      <c r="Y484" s="44" t="s">
        <v>1</v>
      </c>
      <c r="Z484" s="44"/>
      <c r="AA484" s="44" t="s">
        <v>1</v>
      </c>
      <c r="AB484" s="44"/>
      <c r="AC484" s="51">
        <v>45807</v>
      </c>
      <c r="AD484" s="50">
        <v>45807</v>
      </c>
      <c r="AE484" s="41" t="s">
        <v>0</v>
      </c>
      <c r="AF484" s="41" t="s">
        <v>0</v>
      </c>
      <c r="AG484" s="40" t="s">
        <v>0</v>
      </c>
      <c r="AH484" s="36" t="s">
        <v>1</v>
      </c>
      <c r="AI484" s="49">
        <v>0</v>
      </c>
      <c r="AJ484" s="36" t="s">
        <v>1</v>
      </c>
      <c r="AK484" s="10" t="s">
        <v>1</v>
      </c>
      <c r="AL484" s="36" t="s">
        <v>1</v>
      </c>
      <c r="AM484" s="36" t="s">
        <v>1</v>
      </c>
      <c r="AN484" s="35" t="s">
        <v>0</v>
      </c>
      <c r="AO484" s="35" t="s">
        <v>0</v>
      </c>
      <c r="AP484" s="35" t="s">
        <v>0</v>
      </c>
      <c r="AQ484" s="35" t="s">
        <v>0</v>
      </c>
      <c r="AR484" s="34" t="s">
        <v>0</v>
      </c>
      <c r="AS484" s="33"/>
      <c r="AT484" s="32" t="s">
        <v>1</v>
      </c>
      <c r="AU484" s="31"/>
      <c r="AV484" s="32" t="s">
        <v>1</v>
      </c>
      <c r="AW484" s="31"/>
      <c r="AX484" s="32" t="s">
        <v>0</v>
      </c>
      <c r="AY484" s="31"/>
      <c r="AZ484" s="32" t="s">
        <v>0</v>
      </c>
      <c r="BA484" s="31"/>
      <c r="BB484" s="26"/>
      <c r="BC484" s="25"/>
      <c r="BD484" s="24"/>
      <c r="BE484" s="24"/>
      <c r="BF484" s="24"/>
      <c r="BG484" s="24"/>
      <c r="BH484" s="24"/>
      <c r="BI484" s="24"/>
      <c r="BJ484" s="24"/>
      <c r="BK484" s="24"/>
      <c r="BL484" s="24"/>
      <c r="BM484" s="24"/>
      <c r="BN484" s="24"/>
      <c r="BO484" s="24"/>
      <c r="BP484" s="24"/>
      <c r="BQ484" s="22">
        <f>YEAR([1]!BANCO10[[#This Row],[DATA INÍCIO]])</f>
        <v>2025</v>
      </c>
      <c r="BR484" s="22">
        <f>MONTH([1]!BANCO10[[#This Row],[DATA INÍCIO]])</f>
        <v>5</v>
      </c>
      <c r="BS484" s="23" t="e">
        <f>CONCATENATE(#REF!,#REF!)</f>
        <v>#REF!</v>
      </c>
      <c r="BT484" s="22"/>
      <c r="BU484" s="22"/>
      <c r="BV484" s="21" t="str">
        <f>IF([1]!BANCO10[[#This Row],[SOLUÇÃO]]=BV$1,[1]!BANCO10[[#This Row],[STATUS DA ETAPA]],"")</f>
        <v/>
      </c>
      <c r="BW484" s="21" t="str">
        <f>IF([1]!BANCO10[[#This Row],[SOLUÇÃO]]=BW$1,[1]!BANCO10[[#This Row],[STATUS DA ETAPA]],"")</f>
        <v/>
      </c>
      <c r="BX484" s="21" t="str">
        <f>IF([1]!BANCO10[[#This Row],[SOLUÇÃO]]=BX$1,[1]!BANCO10[[#This Row],[STATUS DA ETAPA]],"")</f>
        <v/>
      </c>
      <c r="BY484" s="21" t="str">
        <f>IF([1]!BANCO10[[#This Row],[SOLUÇÃO]]=BY$1,[1]!BANCO10[[#This Row],[STATUS DA ETAPA]],"")</f>
        <v/>
      </c>
      <c r="BZ484" s="21" t="str">
        <f>IF([1]!BANCO10[[#This Row],[SOLUÇÃO]]=BZ$1,[1]!BANCO10[[#This Row],[STATUS DA ETAPA]],"")</f>
        <v/>
      </c>
      <c r="CA484" s="21" t="str">
        <f>IF([1]!BANCO10[[#This Row],[SOLUÇÃO]]=CA$1,[1]!BANCO10[[#This Row],[STATUS DA ETAPA]],"")</f>
        <v/>
      </c>
      <c r="CB484" s="21" t="str">
        <f>IF([1]!BANCO10[[#This Row],[SOLUÇÃO]]=CB$1,[1]!BANCO10[[#This Row],[STATUS DA ETAPA]],"")</f>
        <v/>
      </c>
      <c r="CC484" s="21" t="str">
        <f>IF([1]!BANCO10[[#This Row],[SOLUÇÃO]]=CC$1,[1]!BANCO10[[#This Row],[STATUS DA ETAPA]],"")</f>
        <v/>
      </c>
      <c r="CD484" s="21" t="str">
        <f>IF([1]!BANCO10[[#This Row],[SOLUÇÃO]]=CD$1,[1]!BANCO10[[#This Row],[STATUS DA ETAPA]],"")</f>
        <v/>
      </c>
      <c r="CE484" s="21" t="str">
        <f>IF([1]!BANCO10[[#This Row],[SOLUÇÃO]]=CE$1,[1]!BANCO10[[#This Row],[STATUS DA ETAPA]],"")</f>
        <v/>
      </c>
      <c r="CF484" s="21" t="str">
        <f>IF([1]!BANCO10[[#This Row],[SOLUÇÃO]]=CF$1,[1]!BANCO10[[#This Row],[STATUS DA ETAPA]],"")</f>
        <v/>
      </c>
      <c r="CG484" s="21" t="str">
        <f>IF([1]!BANCO10[[#This Row],[SOLUÇÃO]]=CG$1,[1]!BANCO10[[#This Row],[STATUS DA ETAPA]],"")</f>
        <v/>
      </c>
      <c r="CH484" s="21" t="str">
        <f>IF([1]!BANCO10[[#This Row],[SOLUÇÃO]]=CH$1,[1]!BANCO10[[#This Row],[STATUS DA ETAPA]],"")</f>
        <v/>
      </c>
      <c r="CI484" s="21" t="str">
        <f>IF([1]!BANCO10[[#This Row],[SOLUÇÃO]]=CI$1,[1]!BANCO10[[#This Row],[STATUS DA ETAPA]],"")</f>
        <v/>
      </c>
      <c r="CJ484" s="21" t="str">
        <f>IF([1]!BANCO10[[#This Row],[SOLUÇÃO]]=CJ$1,[1]!BANCO10[[#This Row],[STATUS DA ETAPA]],"")</f>
        <v/>
      </c>
      <c r="CK484" s="21" t="str">
        <f>IF([1]!BANCO10[[#This Row],[SOLUÇÃO]]=CK$1,[1]!BANCO10[[#This Row],[STATUS DA ETAPA]],"")</f>
        <v/>
      </c>
      <c r="CL484" s="21" t="str">
        <f>IF([1]!BANCO10[[#This Row],[SOLUÇÃO]]=CL$1,[1]!BANCO10[[#This Row],[STATUS DA ETAPA]],"")</f>
        <v/>
      </c>
      <c r="CM484" s="21" t="str">
        <f>IF([1]!BANCO10[[#This Row],[SOLUÇÃO]]=CM$1,[1]!BANCO10[[#This Row],[STATUS DA ETAPA]],"")</f>
        <v/>
      </c>
      <c r="CN484" s="21" t="str">
        <f>IF([1]!BANCO10[[#This Row],[SOLUÇÃO]]=CN$1,[1]!BANCO10[[#This Row],[STATUS DA ETAPA]],"")</f>
        <v/>
      </c>
      <c r="CO484" s="21" t="str">
        <f>IF([1]!BANCO10[[#This Row],[SOLUÇÃO]]=CO$1,[1]!BANCO10[[#This Row],[STATUS DA ETAPA]],"")</f>
        <v/>
      </c>
      <c r="CP484" s="21" t="str">
        <f>IF([1]!BANCO10[[#This Row],[SOLUÇÃO]]=CP$1,[1]!BANCO10[[#This Row],[STATUS DA ETAPA]],"")</f>
        <v/>
      </c>
      <c r="CQ484" s="21" t="str">
        <f>IF([1]!BANCO10[[#This Row],[SOLUÇÃO]]=CQ$1,[1]!BANCO10[[#This Row],[STATUS DA ETAPA]],"")</f>
        <v/>
      </c>
      <c r="CR484" s="21" t="str">
        <f>IF([1]!BANCO10[[#This Row],[SOLUÇÃO]]=CR$1,[1]!BANCO10[[#This Row],[STATUS DA ETAPA]],"")</f>
        <v/>
      </c>
      <c r="CS484" s="21" t="str">
        <f>IF([1]!BANCO10[[#This Row],[SOLUÇÃO]]=CS$1,[1]!BANCO10[[#This Row],[STATUS DA ETAPA]],"")</f>
        <v/>
      </c>
      <c r="CT484" s="21" t="str">
        <f>IF([1]!BANCO10[[#This Row],[SOLUÇÃO]]=CT$1,[1]!BANCO10[[#This Row],[STATUS DA ETAPA]],"")</f>
        <v/>
      </c>
      <c r="CU484" s="21" t="str">
        <f>IF([1]!BANCO10[[#This Row],[SOLUÇÃO]]=CU$1,[1]!BANCO10[[#This Row],[STATUS DA ETAPA]],"")</f>
        <v/>
      </c>
      <c r="CV484" s="21" t="str">
        <f>IF([1]!BANCO10[[#This Row],[SOLUÇÃO]]=CV$1,[1]!BANCO10[[#This Row],[STATUS DA ETAPA]],"")</f>
        <v/>
      </c>
    </row>
    <row r="485" spans="1:100">
      <c r="A485" s="44" t="s">
        <v>1</v>
      </c>
      <c r="B485" s="44"/>
      <c r="C485" s="44" t="s">
        <v>1</v>
      </c>
      <c r="D485" s="44"/>
      <c r="E485" s="44" t="s">
        <v>1</v>
      </c>
      <c r="F485" s="44"/>
      <c r="G485" s="44" t="s">
        <v>1</v>
      </c>
      <c r="H485" s="44"/>
      <c r="I485" s="45" t="s">
        <v>1</v>
      </c>
      <c r="J485" s="46"/>
      <c r="K485" s="45" t="s">
        <v>1</v>
      </c>
      <c r="L485" s="33"/>
      <c r="M485" s="45" t="s">
        <v>1</v>
      </c>
      <c r="N485" s="33"/>
      <c r="O485" s="44" t="s">
        <v>2</v>
      </c>
      <c r="P485" s="44">
        <v>45145</v>
      </c>
      <c r="Q485" s="44" t="s">
        <v>0</v>
      </c>
      <c r="R485" s="44"/>
      <c r="S485" s="44" t="s">
        <v>1</v>
      </c>
      <c r="T485" s="44"/>
      <c r="U485" s="44" t="s">
        <v>1</v>
      </c>
      <c r="V485" s="44"/>
      <c r="W485" s="44" t="s">
        <v>1</v>
      </c>
      <c r="X485" s="44"/>
      <c r="Y485" s="44" t="s">
        <v>1</v>
      </c>
      <c r="Z485" s="44"/>
      <c r="AA485" s="44" t="s">
        <v>1</v>
      </c>
      <c r="AB485" s="44"/>
      <c r="AC485" s="51">
        <v>45138</v>
      </c>
      <c r="AD485" s="50">
        <v>45138</v>
      </c>
      <c r="AE485" s="40" t="s">
        <v>1</v>
      </c>
      <c r="AF485" s="40" t="s">
        <v>1</v>
      </c>
      <c r="AG485" s="76" t="s">
        <v>5</v>
      </c>
      <c r="AH485" s="36" t="s">
        <v>1</v>
      </c>
      <c r="AI485" s="49">
        <v>0</v>
      </c>
      <c r="AJ485" s="36" t="s">
        <v>1</v>
      </c>
      <c r="AK485" s="10" t="s">
        <v>1</v>
      </c>
      <c r="AL485" s="36" t="s">
        <v>1</v>
      </c>
      <c r="AM485" s="36" t="s">
        <v>1</v>
      </c>
      <c r="AN485" s="35" t="s">
        <v>1</v>
      </c>
      <c r="AO485" s="35" t="s">
        <v>1</v>
      </c>
      <c r="AP485" s="35" t="s">
        <v>1</v>
      </c>
      <c r="AQ485" s="35" t="s">
        <v>1</v>
      </c>
      <c r="AR485" s="82" t="s">
        <v>1</v>
      </c>
      <c r="AS485" s="33"/>
      <c r="AT485" s="30"/>
      <c r="AU485" s="55"/>
      <c r="AV485" s="30"/>
      <c r="AW485" s="55"/>
      <c r="AX485" s="30" t="s">
        <v>1</v>
      </c>
      <c r="AY485" s="55"/>
      <c r="AZ485" s="30" t="s">
        <v>1</v>
      </c>
      <c r="BA485" s="55"/>
      <c r="BB485" s="74" t="s">
        <v>405</v>
      </c>
      <c r="BC485" s="25"/>
      <c r="BD485" s="24" t="s">
        <v>19</v>
      </c>
      <c r="BE485" s="24" t="s">
        <v>19</v>
      </c>
      <c r="BF485" s="24" t="s">
        <v>51</v>
      </c>
      <c r="BG485" s="24" t="s">
        <v>11</v>
      </c>
      <c r="BH485" s="130" t="s">
        <v>63</v>
      </c>
      <c r="BI485" s="24"/>
      <c r="BJ485" s="24" t="s">
        <v>11</v>
      </c>
      <c r="BK485" s="24" t="s">
        <v>11</v>
      </c>
      <c r="BL485" s="24" t="s">
        <v>11</v>
      </c>
      <c r="BM485" s="24" t="s">
        <v>11</v>
      </c>
      <c r="BN485" s="24" t="s">
        <v>11</v>
      </c>
      <c r="BO485" s="24" t="s">
        <v>11</v>
      </c>
      <c r="BP485" s="24" t="s">
        <v>11</v>
      </c>
      <c r="BQ485" s="22">
        <f>YEAR([1]!BANCO10[[#This Row],[DATA INÍCIO]])</f>
        <v>2023</v>
      </c>
      <c r="BR485" s="22">
        <f>MONTH([1]!BANCO10[[#This Row],[DATA INÍCIO]])</f>
        <v>7</v>
      </c>
      <c r="BS485" s="129" t="e">
        <f>CONCATENATE(#REF!,#REF!)</f>
        <v>#REF!</v>
      </c>
      <c r="BT485" s="22"/>
      <c r="BU485" s="21" t="s">
        <v>404</v>
      </c>
      <c r="BV485" s="21" t="str">
        <f>IF([1]!BANCO10[[#This Row],[SOLUÇÃO]]=BV$1,[1]!BANCO10[[#This Row],[STATUS DA ETAPA]],"")</f>
        <v>CONCLUÍDO</v>
      </c>
      <c r="BW485" s="21" t="str">
        <f>IF([1]!BANCO10[[#This Row],[SOLUÇÃO]]=BW$1,[1]!BANCO10[[#This Row],[STATUS DA ETAPA]],"")</f>
        <v/>
      </c>
      <c r="BX485" s="21" t="str">
        <f>IF([1]!BANCO10[[#This Row],[SOLUÇÃO]]=BX$1,[1]!BANCO10[[#This Row],[STATUS DA ETAPA]],"")</f>
        <v/>
      </c>
      <c r="BY485" s="21" t="str">
        <f>IF([1]!BANCO10[[#This Row],[SOLUÇÃO]]=BY$1,[1]!BANCO10[[#This Row],[STATUS DA ETAPA]],"")</f>
        <v/>
      </c>
      <c r="BZ485" s="21" t="str">
        <f>IF([1]!BANCO10[[#This Row],[SOLUÇÃO]]=BZ$1,[1]!BANCO10[[#This Row],[STATUS DA ETAPA]],"")</f>
        <v/>
      </c>
      <c r="CA485" s="21" t="str">
        <f>IF([1]!BANCO10[[#This Row],[SOLUÇÃO]]=CA$1,[1]!BANCO10[[#This Row],[STATUS DA ETAPA]],"")</f>
        <v/>
      </c>
      <c r="CB485" s="21" t="str">
        <f>IF([1]!BANCO10[[#This Row],[SOLUÇÃO]]=CB$1,[1]!BANCO10[[#This Row],[STATUS DA ETAPA]],"")</f>
        <v/>
      </c>
      <c r="CC485" s="21" t="str">
        <f>IF([1]!BANCO10[[#This Row],[SOLUÇÃO]]=CC$1,[1]!BANCO10[[#This Row],[STATUS DA ETAPA]],"")</f>
        <v/>
      </c>
      <c r="CD485" s="21" t="str">
        <f>IF([1]!BANCO10[[#This Row],[SOLUÇÃO]]=CD$1,[1]!BANCO10[[#This Row],[STATUS DA ETAPA]],"")</f>
        <v/>
      </c>
      <c r="CE485" s="21" t="str">
        <f>IF([1]!BANCO10[[#This Row],[SOLUÇÃO]]=CE$1,[1]!BANCO10[[#This Row],[STATUS DA ETAPA]],"")</f>
        <v/>
      </c>
      <c r="CF485" s="21" t="str">
        <f>IF([1]!BANCO10[[#This Row],[SOLUÇÃO]]=CF$1,[1]!BANCO10[[#This Row],[STATUS DA ETAPA]],"")</f>
        <v/>
      </c>
      <c r="CG485" s="21" t="str">
        <f>IF([1]!BANCO10[[#This Row],[SOLUÇÃO]]=CG$1,[1]!BANCO10[[#This Row],[STATUS DA ETAPA]],"")</f>
        <v/>
      </c>
      <c r="CH485" s="21" t="str">
        <f>IF([1]!BANCO10[[#This Row],[SOLUÇÃO]]=CH$1,[1]!BANCO10[[#This Row],[STATUS DA ETAPA]],"")</f>
        <v/>
      </c>
      <c r="CI485" s="21" t="str">
        <f>IF([1]!BANCO10[[#This Row],[SOLUÇÃO]]=CI$1,[1]!BANCO10[[#This Row],[STATUS DA ETAPA]],"")</f>
        <v/>
      </c>
      <c r="CJ485" s="21" t="str">
        <f>IF([1]!BANCO10[[#This Row],[SOLUÇÃO]]=CJ$1,[1]!BANCO10[[#This Row],[STATUS DA ETAPA]],"")</f>
        <v/>
      </c>
      <c r="CK485" s="21" t="str">
        <f>IF([1]!BANCO10[[#This Row],[SOLUÇÃO]]=CK$1,[1]!BANCO10[[#This Row],[STATUS DA ETAPA]],"")</f>
        <v/>
      </c>
      <c r="CL485" s="21" t="str">
        <f>IF([1]!BANCO10[[#This Row],[SOLUÇÃO]]=CL$1,[1]!BANCO10[[#This Row],[STATUS DA ETAPA]],"")</f>
        <v/>
      </c>
      <c r="CM485" s="21" t="str">
        <f>IF([1]!BANCO10[[#This Row],[SOLUÇÃO]]=CM$1,[1]!BANCO10[[#This Row],[STATUS DA ETAPA]],"")</f>
        <v/>
      </c>
      <c r="CN485" s="21" t="str">
        <f>IF([1]!BANCO10[[#This Row],[SOLUÇÃO]]=CN$1,[1]!BANCO10[[#This Row],[STATUS DA ETAPA]],"")</f>
        <v/>
      </c>
      <c r="CO485" s="21" t="str">
        <f>IF([1]!BANCO10[[#This Row],[SOLUÇÃO]]=CO$1,[1]!BANCO10[[#This Row],[STATUS DA ETAPA]],"")</f>
        <v/>
      </c>
      <c r="CP485" s="21" t="str">
        <f>IF([1]!BANCO10[[#This Row],[SOLUÇÃO]]=CP$1,[1]!BANCO10[[#This Row],[STATUS DA ETAPA]],"")</f>
        <v/>
      </c>
      <c r="CQ485" s="21" t="str">
        <f>IF([1]!BANCO10[[#This Row],[SOLUÇÃO]]=CQ$1,[1]!BANCO10[[#This Row],[STATUS DA ETAPA]],"")</f>
        <v/>
      </c>
      <c r="CR485" s="21" t="str">
        <f>IF([1]!BANCO10[[#This Row],[SOLUÇÃO]]=CR$1,[1]!BANCO10[[#This Row],[STATUS DA ETAPA]],"")</f>
        <v/>
      </c>
      <c r="CS485" s="21" t="str">
        <f>IF([1]!BANCO10[[#This Row],[SOLUÇÃO]]=CS$1,[1]!BANCO10[[#This Row],[STATUS DA ETAPA]],"")</f>
        <v/>
      </c>
      <c r="CT485" s="21" t="str">
        <f>IF([1]!BANCO10[[#This Row],[SOLUÇÃO]]=CT$1,[1]!BANCO10[[#This Row],[STATUS DA ETAPA]],"")</f>
        <v/>
      </c>
      <c r="CU485" s="21" t="str">
        <f>IF([1]!BANCO10[[#This Row],[SOLUÇÃO]]=CU$1,[1]!BANCO10[[#This Row],[STATUS DA ETAPA]],"")</f>
        <v/>
      </c>
      <c r="CV485" s="21" t="str">
        <f>IF([1]!BANCO10[[#This Row],[SOLUÇÃO]]=CV$1,[1]!BANCO10[[#This Row],[STATUS DA ETAPA]],"")</f>
        <v/>
      </c>
    </row>
    <row r="486" spans="1:100">
      <c r="A486" s="44" t="s">
        <v>1</v>
      </c>
      <c r="B486" s="44"/>
      <c r="C486" s="44" t="s">
        <v>1</v>
      </c>
      <c r="D486" s="44"/>
      <c r="E486" s="44" t="s">
        <v>1</v>
      </c>
      <c r="F486" s="44"/>
      <c r="G486" s="44" t="s">
        <v>1</v>
      </c>
      <c r="H486" s="44"/>
      <c r="I486" s="45" t="s">
        <v>1</v>
      </c>
      <c r="J486" s="46"/>
      <c r="K486" s="45" t="s">
        <v>1</v>
      </c>
      <c r="L486" s="33"/>
      <c r="M486" s="45" t="s">
        <v>1</v>
      </c>
      <c r="N486" s="33"/>
      <c r="O486" s="44" t="s">
        <v>1</v>
      </c>
      <c r="P486" s="44"/>
      <c r="Q486" s="44" t="s">
        <v>1</v>
      </c>
      <c r="R486" s="44"/>
      <c r="S486" s="44" t="s">
        <v>1</v>
      </c>
      <c r="T486" s="44"/>
      <c r="U486" s="44" t="s">
        <v>1</v>
      </c>
      <c r="V486" s="44"/>
      <c r="W486" s="44" t="s">
        <v>1</v>
      </c>
      <c r="X486" s="44"/>
      <c r="Y486" s="44" t="s">
        <v>1</v>
      </c>
      <c r="Z486" s="44"/>
      <c r="AA486" s="44" t="s">
        <v>1</v>
      </c>
      <c r="AB486" s="44"/>
      <c r="AC486" s="51">
        <v>45408</v>
      </c>
      <c r="AD486" s="50">
        <v>45408</v>
      </c>
      <c r="AE486" s="41" t="s">
        <v>1</v>
      </c>
      <c r="AF486" s="41" t="s">
        <v>1</v>
      </c>
      <c r="AG486" s="40" t="s">
        <v>5</v>
      </c>
      <c r="AH486" s="36" t="s">
        <v>1</v>
      </c>
      <c r="AI486" s="49">
        <v>0</v>
      </c>
      <c r="AJ486" s="36" t="s">
        <v>1</v>
      </c>
      <c r="AK486" s="10" t="s">
        <v>1</v>
      </c>
      <c r="AL486" s="36" t="s">
        <v>1</v>
      </c>
      <c r="AM486" s="36" t="s">
        <v>1</v>
      </c>
      <c r="AN486" s="35" t="s">
        <v>1</v>
      </c>
      <c r="AO486" s="35" t="s">
        <v>1</v>
      </c>
      <c r="AP486" s="35" t="s">
        <v>1</v>
      </c>
      <c r="AQ486" s="35" t="s">
        <v>1</v>
      </c>
      <c r="AR486" s="82" t="s">
        <v>1</v>
      </c>
      <c r="AS486" s="33"/>
      <c r="AT486" s="30"/>
      <c r="AU486" s="55"/>
      <c r="AV486" s="30"/>
      <c r="AW486" s="55"/>
      <c r="AX486" s="30" t="s">
        <v>1</v>
      </c>
      <c r="AY486" s="55"/>
      <c r="AZ486" s="30" t="s">
        <v>1</v>
      </c>
      <c r="BA486" s="55"/>
      <c r="BB486" s="74"/>
      <c r="BC486" s="25" t="s">
        <v>41</v>
      </c>
      <c r="BD486" s="24"/>
      <c r="BE486" s="24"/>
      <c r="BF486" s="24"/>
      <c r="BG486" s="24"/>
      <c r="BH486" s="130"/>
      <c r="BI486" s="24"/>
      <c r="BJ486" s="24"/>
      <c r="BK486" s="24"/>
      <c r="BL486" s="24"/>
      <c r="BM486" s="24"/>
      <c r="BN486" s="24"/>
      <c r="BO486" s="24"/>
      <c r="BP486" s="24"/>
      <c r="BQ486" s="22">
        <f>YEAR([1]!BANCO10[[#This Row],[DATA INÍCIO]])</f>
        <v>2024</v>
      </c>
      <c r="BR486" s="22">
        <f>MONTH([1]!BANCO10[[#This Row],[DATA INÍCIO]])</f>
        <v>4</v>
      </c>
      <c r="BS486" s="129" t="e">
        <f>CONCATENATE(#REF!,#REF!)</f>
        <v>#REF!</v>
      </c>
      <c r="BT486" s="22"/>
      <c r="BU486" s="21" t="s">
        <v>403</v>
      </c>
      <c r="BV486" s="21" t="str">
        <f>IF([1]!BANCO10[[#This Row],[SOLUÇÃO]]=BV$1,[1]!BANCO10[[#This Row],[STATUS DA ETAPA]],"")</f>
        <v>CONCLUÍDO</v>
      </c>
      <c r="BW486" s="21" t="str">
        <f>IF([1]!BANCO10[[#This Row],[SOLUÇÃO]]=BW$1,[1]!BANCO10[[#This Row],[STATUS DA ETAPA]],"")</f>
        <v/>
      </c>
      <c r="BX486" s="21" t="str">
        <f>IF([1]!BANCO10[[#This Row],[SOLUÇÃO]]=BX$1,[1]!BANCO10[[#This Row],[STATUS DA ETAPA]],"")</f>
        <v/>
      </c>
      <c r="BY486" s="21" t="str">
        <f>IF([1]!BANCO10[[#This Row],[SOLUÇÃO]]=BY$1,[1]!BANCO10[[#This Row],[STATUS DA ETAPA]],"")</f>
        <v/>
      </c>
      <c r="BZ486" s="21" t="str">
        <f>IF([1]!BANCO10[[#This Row],[SOLUÇÃO]]=BZ$1,[1]!BANCO10[[#This Row],[STATUS DA ETAPA]],"")</f>
        <v/>
      </c>
      <c r="CA486" s="21" t="str">
        <f>IF([1]!BANCO10[[#This Row],[SOLUÇÃO]]=CA$1,[1]!BANCO10[[#This Row],[STATUS DA ETAPA]],"")</f>
        <v/>
      </c>
      <c r="CB486" s="21" t="str">
        <f>IF([1]!BANCO10[[#This Row],[SOLUÇÃO]]=CB$1,[1]!BANCO10[[#This Row],[STATUS DA ETAPA]],"")</f>
        <v/>
      </c>
      <c r="CC486" s="21" t="str">
        <f>IF([1]!BANCO10[[#This Row],[SOLUÇÃO]]=CC$1,[1]!BANCO10[[#This Row],[STATUS DA ETAPA]],"")</f>
        <v/>
      </c>
      <c r="CD486" s="21" t="str">
        <f>IF([1]!BANCO10[[#This Row],[SOLUÇÃO]]=CD$1,[1]!BANCO10[[#This Row],[STATUS DA ETAPA]],"")</f>
        <v/>
      </c>
      <c r="CE486" s="21" t="str">
        <f>IF([1]!BANCO10[[#This Row],[SOLUÇÃO]]=CE$1,[1]!BANCO10[[#This Row],[STATUS DA ETAPA]],"")</f>
        <v/>
      </c>
      <c r="CF486" s="21" t="str">
        <f>IF([1]!BANCO10[[#This Row],[SOLUÇÃO]]=CF$1,[1]!BANCO10[[#This Row],[STATUS DA ETAPA]],"")</f>
        <v/>
      </c>
      <c r="CG486" s="21" t="str">
        <f>IF([1]!BANCO10[[#This Row],[SOLUÇÃO]]=CG$1,[1]!BANCO10[[#This Row],[STATUS DA ETAPA]],"")</f>
        <v/>
      </c>
      <c r="CH486" s="21" t="str">
        <f>IF([1]!BANCO10[[#This Row],[SOLUÇÃO]]=CH$1,[1]!BANCO10[[#This Row],[STATUS DA ETAPA]],"")</f>
        <v/>
      </c>
      <c r="CI486" s="21" t="str">
        <f>IF([1]!BANCO10[[#This Row],[SOLUÇÃO]]=CI$1,[1]!BANCO10[[#This Row],[STATUS DA ETAPA]],"")</f>
        <v/>
      </c>
      <c r="CJ486" s="21" t="str">
        <f>IF([1]!BANCO10[[#This Row],[SOLUÇÃO]]=CJ$1,[1]!BANCO10[[#This Row],[STATUS DA ETAPA]],"")</f>
        <v/>
      </c>
      <c r="CK486" s="21" t="str">
        <f>IF([1]!BANCO10[[#This Row],[SOLUÇÃO]]=CK$1,[1]!BANCO10[[#This Row],[STATUS DA ETAPA]],"")</f>
        <v/>
      </c>
      <c r="CL486" s="21" t="str">
        <f>IF([1]!BANCO10[[#This Row],[SOLUÇÃO]]=CL$1,[1]!BANCO10[[#This Row],[STATUS DA ETAPA]],"")</f>
        <v/>
      </c>
      <c r="CM486" s="21" t="str">
        <f>IF([1]!BANCO10[[#This Row],[SOLUÇÃO]]=CM$1,[1]!BANCO10[[#This Row],[STATUS DA ETAPA]],"")</f>
        <v/>
      </c>
      <c r="CN486" s="21" t="str">
        <f>IF([1]!BANCO10[[#This Row],[SOLUÇÃO]]=CN$1,[1]!BANCO10[[#This Row],[STATUS DA ETAPA]],"")</f>
        <v/>
      </c>
      <c r="CO486" s="21" t="str">
        <f>IF([1]!BANCO10[[#This Row],[SOLUÇÃO]]=CO$1,[1]!BANCO10[[#This Row],[STATUS DA ETAPA]],"")</f>
        <v/>
      </c>
      <c r="CP486" s="21" t="str">
        <f>IF([1]!BANCO10[[#This Row],[SOLUÇÃO]]=CP$1,[1]!BANCO10[[#This Row],[STATUS DA ETAPA]],"")</f>
        <v/>
      </c>
      <c r="CQ486" s="21" t="str">
        <f>IF([1]!BANCO10[[#This Row],[SOLUÇÃO]]=CQ$1,[1]!BANCO10[[#This Row],[STATUS DA ETAPA]],"")</f>
        <v/>
      </c>
      <c r="CR486" s="21" t="str">
        <f>IF([1]!BANCO10[[#This Row],[SOLUÇÃO]]=CR$1,[1]!BANCO10[[#This Row],[STATUS DA ETAPA]],"")</f>
        <v/>
      </c>
      <c r="CS486" s="21" t="str">
        <f>IF([1]!BANCO10[[#This Row],[SOLUÇÃO]]=CS$1,[1]!BANCO10[[#This Row],[STATUS DA ETAPA]],"")</f>
        <v/>
      </c>
      <c r="CT486" s="21" t="str">
        <f>IF([1]!BANCO10[[#This Row],[SOLUÇÃO]]=CT$1,[1]!BANCO10[[#This Row],[STATUS DA ETAPA]],"")</f>
        <v/>
      </c>
      <c r="CU486" s="21" t="str">
        <f>IF([1]!BANCO10[[#This Row],[SOLUÇÃO]]=CU$1,[1]!BANCO10[[#This Row],[STATUS DA ETAPA]],"")</f>
        <v/>
      </c>
      <c r="CV486" s="21" t="str">
        <f>IF([1]!BANCO10[[#This Row],[SOLUÇÃO]]=CV$1,[1]!BANCO10[[#This Row],[STATUS DA ETAPA]],"")</f>
        <v/>
      </c>
    </row>
    <row r="487" spans="1:100">
      <c r="A487" s="44" t="s">
        <v>2</v>
      </c>
      <c r="B487" s="44">
        <v>45383</v>
      </c>
      <c r="C487" s="44" t="s">
        <v>2</v>
      </c>
      <c r="D487" s="44">
        <v>45383</v>
      </c>
      <c r="E487" s="44" t="s">
        <v>2</v>
      </c>
      <c r="F487" s="44">
        <v>45383</v>
      </c>
      <c r="G487" s="44" t="s">
        <v>2</v>
      </c>
      <c r="H487" s="44">
        <v>45383</v>
      </c>
      <c r="I487" s="45" t="s">
        <v>2</v>
      </c>
      <c r="J487" s="46">
        <v>45536</v>
      </c>
      <c r="K487" s="45" t="s">
        <v>2</v>
      </c>
      <c r="L487" s="33">
        <v>45536</v>
      </c>
      <c r="M487" s="45" t="s">
        <v>2</v>
      </c>
      <c r="N487" s="33">
        <v>45536</v>
      </c>
      <c r="O487" s="44" t="s">
        <v>2</v>
      </c>
      <c r="P487" s="44">
        <v>45491</v>
      </c>
      <c r="Q487" s="44" t="s">
        <v>2</v>
      </c>
      <c r="R487" s="44">
        <v>45503</v>
      </c>
      <c r="S487" s="44" t="s">
        <v>2</v>
      </c>
      <c r="T487" s="44">
        <v>45536</v>
      </c>
      <c r="U487" s="44" t="s">
        <v>1</v>
      </c>
      <c r="V487" s="44"/>
      <c r="W487" s="44" t="s">
        <v>1</v>
      </c>
      <c r="X487" s="44"/>
      <c r="Y487" s="44" t="s">
        <v>1</v>
      </c>
      <c r="Z487" s="44"/>
      <c r="AA487" s="44" t="s">
        <v>1</v>
      </c>
      <c r="AB487" s="44"/>
      <c r="AC487" s="51">
        <v>45448</v>
      </c>
      <c r="AD487" s="50">
        <v>45600</v>
      </c>
      <c r="AE487" s="41" t="s">
        <v>2</v>
      </c>
      <c r="AF487" s="41" t="s">
        <v>2</v>
      </c>
      <c r="AG487" s="40" t="s">
        <v>5</v>
      </c>
      <c r="AH487" s="36" t="s">
        <v>0</v>
      </c>
      <c r="AI487" s="49">
        <v>0</v>
      </c>
      <c r="AJ487" s="36" t="s">
        <v>6</v>
      </c>
      <c r="AK487" s="10">
        <v>549446</v>
      </c>
      <c r="AL487" s="36" t="s">
        <v>1</v>
      </c>
      <c r="AM487" s="36" t="s">
        <v>1</v>
      </c>
      <c r="AN487" s="35" t="s">
        <v>2</v>
      </c>
      <c r="AO487" s="35" t="s">
        <v>2</v>
      </c>
      <c r="AP487" s="35" t="s">
        <v>2</v>
      </c>
      <c r="AQ487" s="35" t="s">
        <v>2</v>
      </c>
      <c r="AR487" s="34" t="s">
        <v>2</v>
      </c>
      <c r="AS487" s="33">
        <v>45626</v>
      </c>
      <c r="AT487" s="30" t="s">
        <v>1</v>
      </c>
      <c r="AU487" s="31"/>
      <c r="AV487" s="30" t="s">
        <v>1</v>
      </c>
      <c r="AW487" s="31"/>
      <c r="AX487" s="30" t="s">
        <v>2</v>
      </c>
      <c r="AY487" s="31">
        <v>45626</v>
      </c>
      <c r="AZ487" s="30" t="s">
        <v>0</v>
      </c>
      <c r="BA487" s="55"/>
      <c r="BB487" s="74"/>
      <c r="BC487" s="25" t="s">
        <v>45</v>
      </c>
      <c r="BD487" s="24"/>
      <c r="BE487" s="24"/>
      <c r="BF487" s="24"/>
      <c r="BG487" s="24"/>
      <c r="BH487" s="130"/>
      <c r="BI487" s="24"/>
      <c r="BJ487" s="24"/>
      <c r="BK487" s="24"/>
      <c r="BL487" s="24"/>
      <c r="BM487" s="24"/>
      <c r="BN487" s="24"/>
      <c r="BO487" s="24"/>
      <c r="BP487" s="24"/>
      <c r="BQ487" s="22">
        <f>YEAR([1]!BANCO10[[#This Row],[DATA INÍCIO]])</f>
        <v>2024</v>
      </c>
      <c r="BR487" s="22">
        <f>MONTH([1]!BANCO10[[#This Row],[DATA INÍCIO]])</f>
        <v>6</v>
      </c>
      <c r="BS487" s="23" t="e">
        <f>CONCATENATE(#REF!,#REF!)</f>
        <v>#REF!</v>
      </c>
      <c r="BT487" s="22"/>
      <c r="BU487" s="132" t="s">
        <v>402</v>
      </c>
      <c r="BV487" s="132" t="str">
        <f>IF([1]!BANCO10[[#This Row],[SOLUÇÃO]]=BV$1,[1]!BANCO10[[#This Row],[STATUS DA ETAPA]],"")</f>
        <v/>
      </c>
      <c r="BW487" s="132" t="str">
        <f>IF([1]!BANCO10[[#This Row],[SOLUÇÃO]]=BW$1,[1]!BANCO10[[#This Row],[STATUS DA ETAPA]],"")</f>
        <v/>
      </c>
      <c r="BX487" s="132" t="str">
        <f>IF([1]!BANCO10[[#This Row],[SOLUÇÃO]]=BX$1,[1]!BANCO10[[#This Row],[STATUS DA ETAPA]],"")</f>
        <v/>
      </c>
      <c r="BY487" s="132" t="str">
        <f>IF([1]!BANCO10[[#This Row],[SOLUÇÃO]]=BY$1,[1]!BANCO10[[#This Row],[STATUS DA ETAPA]],"")</f>
        <v/>
      </c>
      <c r="BZ487" s="132" t="str">
        <f>IF([1]!BANCO10[[#This Row],[SOLUÇÃO]]=BZ$1,[1]!BANCO10[[#This Row],[STATUS DA ETAPA]],"")</f>
        <v/>
      </c>
      <c r="CA487" s="132" t="str">
        <f>IF([1]!BANCO10[[#This Row],[SOLUÇÃO]]=CA$1,[1]!BANCO10[[#This Row],[STATUS DA ETAPA]],"")</f>
        <v/>
      </c>
      <c r="CB487" s="132" t="str">
        <f>IF([1]!BANCO10[[#This Row],[SOLUÇÃO]]=CB$1,[1]!BANCO10[[#This Row],[STATUS DA ETAPA]],"")</f>
        <v>CONCLUÍDO</v>
      </c>
      <c r="CC487" s="132" t="str">
        <f>IF([1]!BANCO10[[#This Row],[SOLUÇÃO]]=CC$1,[1]!BANCO10[[#This Row],[STATUS DA ETAPA]],"")</f>
        <v/>
      </c>
      <c r="CD487" s="132" t="str">
        <f>IF([1]!BANCO10[[#This Row],[SOLUÇÃO]]=CD$1,[1]!BANCO10[[#This Row],[STATUS DA ETAPA]],"")</f>
        <v/>
      </c>
      <c r="CE487" s="132" t="str">
        <f>IF([1]!BANCO10[[#This Row],[SOLUÇÃO]]=CE$1,[1]!BANCO10[[#This Row],[STATUS DA ETAPA]],"")</f>
        <v/>
      </c>
      <c r="CF487" s="132" t="str">
        <f>IF([1]!BANCO10[[#This Row],[SOLUÇÃO]]=CF$1,[1]!BANCO10[[#This Row],[STATUS DA ETAPA]],"")</f>
        <v/>
      </c>
      <c r="CG487" s="132" t="str">
        <f>IF([1]!BANCO10[[#This Row],[SOLUÇÃO]]=CG$1,[1]!BANCO10[[#This Row],[STATUS DA ETAPA]],"")</f>
        <v/>
      </c>
      <c r="CH487" s="132" t="str">
        <f>IF([1]!BANCO10[[#This Row],[SOLUÇÃO]]=CH$1,[1]!BANCO10[[#This Row],[STATUS DA ETAPA]],"")</f>
        <v/>
      </c>
      <c r="CI487" s="132" t="str">
        <f>IF([1]!BANCO10[[#This Row],[SOLUÇÃO]]=CI$1,[1]!BANCO10[[#This Row],[STATUS DA ETAPA]],"")</f>
        <v/>
      </c>
      <c r="CJ487" s="132" t="str">
        <f>IF([1]!BANCO10[[#This Row],[SOLUÇÃO]]=CJ$1,[1]!BANCO10[[#This Row],[STATUS DA ETAPA]],"")</f>
        <v/>
      </c>
      <c r="CK487" s="132" t="str">
        <f>IF([1]!BANCO10[[#This Row],[SOLUÇÃO]]=CK$1,[1]!BANCO10[[#This Row],[STATUS DA ETAPA]],"")</f>
        <v/>
      </c>
      <c r="CL487" s="132" t="str">
        <f>IF([1]!BANCO10[[#This Row],[SOLUÇÃO]]=CL$1,[1]!BANCO10[[#This Row],[STATUS DA ETAPA]],"")</f>
        <v/>
      </c>
      <c r="CM487" s="132" t="str">
        <f>IF([1]!BANCO10[[#This Row],[SOLUÇÃO]]=CM$1,[1]!BANCO10[[#This Row],[STATUS DA ETAPA]],"")</f>
        <v/>
      </c>
      <c r="CN487" s="132" t="str">
        <f>IF([1]!BANCO10[[#This Row],[SOLUÇÃO]]=CN$1,[1]!BANCO10[[#This Row],[STATUS DA ETAPA]],"")</f>
        <v/>
      </c>
      <c r="CO487" s="132" t="str">
        <f>IF([1]!BANCO10[[#This Row],[SOLUÇÃO]]=CO$1,[1]!BANCO10[[#This Row],[STATUS DA ETAPA]],"")</f>
        <v/>
      </c>
      <c r="CP487" s="132" t="str">
        <f>IF([1]!BANCO10[[#This Row],[SOLUÇÃO]]=CP$1,[1]!BANCO10[[#This Row],[STATUS DA ETAPA]],"")</f>
        <v/>
      </c>
      <c r="CQ487" s="132" t="str">
        <f>IF([1]!BANCO10[[#This Row],[SOLUÇÃO]]=CQ$1,[1]!BANCO10[[#This Row],[STATUS DA ETAPA]],"")</f>
        <v/>
      </c>
      <c r="CR487" s="132" t="str">
        <f>IF([1]!BANCO10[[#This Row],[SOLUÇÃO]]=CR$1,[1]!BANCO10[[#This Row],[STATUS DA ETAPA]],"")</f>
        <v/>
      </c>
      <c r="CS487" s="132" t="str">
        <f>IF([1]!BANCO10[[#This Row],[SOLUÇÃO]]=CS$1,[1]!BANCO10[[#This Row],[STATUS DA ETAPA]],"")</f>
        <v/>
      </c>
      <c r="CT487" s="132" t="str">
        <f>IF([1]!BANCO10[[#This Row],[SOLUÇÃO]]=CT$1,[1]!BANCO10[[#This Row],[STATUS DA ETAPA]],"")</f>
        <v/>
      </c>
      <c r="CU487" s="132" t="str">
        <f>IF([1]!BANCO10[[#This Row],[SOLUÇÃO]]=CU$1,[1]!BANCO10[[#This Row],[STATUS DA ETAPA]],"")</f>
        <v/>
      </c>
      <c r="CV487" s="132" t="str">
        <f>IF([1]!BANCO10[[#This Row],[SOLUÇÃO]]=CV$1,[1]!BANCO10[[#This Row],[STATUS DA ETAPA]],"")</f>
        <v/>
      </c>
    </row>
    <row r="488" spans="1:100">
      <c r="A488" s="44" t="s">
        <v>1</v>
      </c>
      <c r="B488" s="44"/>
      <c r="C488" s="44" t="s">
        <v>1</v>
      </c>
      <c r="D488" s="44"/>
      <c r="E488" s="44" t="s">
        <v>1</v>
      </c>
      <c r="F488" s="44"/>
      <c r="G488" s="44" t="s">
        <v>1</v>
      </c>
      <c r="H488" s="44"/>
      <c r="I488" s="45" t="s">
        <v>1</v>
      </c>
      <c r="J488" s="46"/>
      <c r="K488" s="45" t="s">
        <v>1</v>
      </c>
      <c r="L488" s="33"/>
      <c r="M488" s="45" t="s">
        <v>1</v>
      </c>
      <c r="N488" s="33"/>
      <c r="O488" s="44" t="s">
        <v>1</v>
      </c>
      <c r="P488" s="44"/>
      <c r="Q488" s="44" t="s">
        <v>1</v>
      </c>
      <c r="R488" s="44"/>
      <c r="S488" s="44" t="s">
        <v>1</v>
      </c>
      <c r="T488" s="44"/>
      <c r="U488" s="44" t="s">
        <v>1</v>
      </c>
      <c r="V488" s="44"/>
      <c r="W488" s="44" t="s">
        <v>1</v>
      </c>
      <c r="X488" s="44"/>
      <c r="Y488" s="44" t="s">
        <v>1</v>
      </c>
      <c r="Z488" s="44"/>
      <c r="AA488" s="44" t="s">
        <v>1</v>
      </c>
      <c r="AB488" s="44"/>
      <c r="AC488" s="51">
        <v>45636</v>
      </c>
      <c r="AD488" s="50">
        <v>45636</v>
      </c>
      <c r="AE488" s="41" t="s">
        <v>1</v>
      </c>
      <c r="AF488" s="41" t="s">
        <v>1</v>
      </c>
      <c r="AG488" s="40" t="s">
        <v>4</v>
      </c>
      <c r="AH488" s="36" t="s">
        <v>0</v>
      </c>
      <c r="AI488" s="49">
        <v>0</v>
      </c>
      <c r="AJ488" s="36" t="s">
        <v>1</v>
      </c>
      <c r="AK488" s="10" t="s">
        <v>1</v>
      </c>
      <c r="AL488" s="36" t="s">
        <v>1</v>
      </c>
      <c r="AM488" s="36" t="s">
        <v>1</v>
      </c>
      <c r="AN488" s="35" t="s">
        <v>1</v>
      </c>
      <c r="AO488" s="35" t="s">
        <v>1</v>
      </c>
      <c r="AP488" s="35" t="s">
        <v>1</v>
      </c>
      <c r="AQ488" s="35" t="s">
        <v>2</v>
      </c>
      <c r="AR488" s="34" t="s">
        <v>0</v>
      </c>
      <c r="AS488" s="33"/>
      <c r="AT488" s="30" t="s">
        <v>0</v>
      </c>
      <c r="AU488" s="31"/>
      <c r="AV488" s="30" t="s">
        <v>0</v>
      </c>
      <c r="AW488" s="31"/>
      <c r="AX488" s="30" t="s">
        <v>0</v>
      </c>
      <c r="AY488" s="29"/>
      <c r="AZ488" s="28" t="s">
        <v>0</v>
      </c>
      <c r="BA488" s="27"/>
      <c r="BB488" s="26"/>
      <c r="BC488" s="25"/>
      <c r="BD488" s="24"/>
      <c r="BE488" s="24"/>
      <c r="BF488" s="24"/>
      <c r="BG488" s="24"/>
      <c r="BH488" s="24"/>
      <c r="BI488" s="24"/>
      <c r="BJ488" s="24"/>
      <c r="BK488" s="24"/>
      <c r="BL488" s="24"/>
      <c r="BM488" s="24"/>
      <c r="BN488" s="24"/>
      <c r="BO488" s="24"/>
      <c r="BP488" s="24"/>
      <c r="BQ488" s="22">
        <f>YEAR([1]!BANCO10[[#This Row],[DATA INÍCIO]])</f>
        <v>2024</v>
      </c>
      <c r="BR488" s="22">
        <f>MONTH([1]!BANCO10[[#This Row],[DATA INÍCIO]])</f>
        <v>12</v>
      </c>
      <c r="BS488" s="23" t="e">
        <f>CONCATENATE(#REF!,#REF!)</f>
        <v>#REF!</v>
      </c>
      <c r="BT488" s="22"/>
      <c r="BU488" s="22"/>
      <c r="BV488" s="21" t="str">
        <f>IF([1]!BANCO10[[#This Row],[SOLUÇÃO]]=BV$1,[1]!BANCO10[[#This Row],[STATUS DA ETAPA]],"")</f>
        <v/>
      </c>
      <c r="BW488" s="21" t="str">
        <f>IF([1]!BANCO10[[#This Row],[SOLUÇÃO]]=BW$1,[1]!BANCO10[[#This Row],[STATUS DA ETAPA]],"")</f>
        <v/>
      </c>
      <c r="BX488" s="21" t="str">
        <f>IF([1]!BANCO10[[#This Row],[SOLUÇÃO]]=BX$1,[1]!BANCO10[[#This Row],[STATUS DA ETAPA]],"")</f>
        <v/>
      </c>
      <c r="BY488" s="21" t="str">
        <f>IF([1]!BANCO10[[#This Row],[SOLUÇÃO]]=BY$1,[1]!BANCO10[[#This Row],[STATUS DA ETAPA]],"")</f>
        <v/>
      </c>
      <c r="BZ488" s="21" t="str">
        <f>IF([1]!BANCO10[[#This Row],[SOLUÇÃO]]=BZ$1,[1]!BANCO10[[#This Row],[STATUS DA ETAPA]],"")</f>
        <v/>
      </c>
      <c r="CA488" s="21" t="str">
        <f>IF([1]!BANCO10[[#This Row],[SOLUÇÃO]]=CA$1,[1]!BANCO10[[#This Row],[STATUS DA ETAPA]],"")</f>
        <v/>
      </c>
      <c r="CB488" s="21" t="str">
        <f>IF([1]!BANCO10[[#This Row],[SOLUÇÃO]]=CB$1,[1]!BANCO10[[#This Row],[STATUS DA ETAPA]],"")</f>
        <v/>
      </c>
      <c r="CC488" s="21" t="str">
        <f>IF([1]!BANCO10[[#This Row],[SOLUÇÃO]]=CC$1,[1]!BANCO10[[#This Row],[STATUS DA ETAPA]],"")</f>
        <v/>
      </c>
      <c r="CD488" s="21" t="str">
        <f>IF([1]!BANCO10[[#This Row],[SOLUÇÃO]]=CD$1,[1]!BANCO10[[#This Row],[STATUS DA ETAPA]],"")</f>
        <v/>
      </c>
      <c r="CE488" s="21" t="str">
        <f>IF([1]!BANCO10[[#This Row],[SOLUÇÃO]]=CE$1,[1]!BANCO10[[#This Row],[STATUS DA ETAPA]],"")</f>
        <v/>
      </c>
      <c r="CF488" s="21" t="str">
        <f>IF([1]!BANCO10[[#This Row],[SOLUÇÃO]]=CF$1,[1]!BANCO10[[#This Row],[STATUS DA ETAPA]],"")</f>
        <v/>
      </c>
      <c r="CG488" s="21" t="str">
        <f>IF([1]!BANCO10[[#This Row],[SOLUÇÃO]]=CG$1,[1]!BANCO10[[#This Row],[STATUS DA ETAPA]],"")</f>
        <v/>
      </c>
      <c r="CH488" s="21" t="str">
        <f>IF([1]!BANCO10[[#This Row],[SOLUÇÃO]]=CH$1,[1]!BANCO10[[#This Row],[STATUS DA ETAPA]],"")</f>
        <v/>
      </c>
      <c r="CI488" s="21" t="str">
        <f>IF([1]!BANCO10[[#This Row],[SOLUÇÃO]]=CI$1,[1]!BANCO10[[#This Row],[STATUS DA ETAPA]],"")</f>
        <v/>
      </c>
      <c r="CJ488" s="21" t="str">
        <f>IF([1]!BANCO10[[#This Row],[SOLUÇÃO]]=CJ$1,[1]!BANCO10[[#This Row],[STATUS DA ETAPA]],"")</f>
        <v/>
      </c>
      <c r="CK488" s="21" t="str">
        <f>IF([1]!BANCO10[[#This Row],[SOLUÇÃO]]=CK$1,[1]!BANCO10[[#This Row],[STATUS DA ETAPA]],"")</f>
        <v/>
      </c>
      <c r="CL488" s="21" t="str">
        <f>IF([1]!BANCO10[[#This Row],[SOLUÇÃO]]=CL$1,[1]!BANCO10[[#This Row],[STATUS DA ETAPA]],"")</f>
        <v/>
      </c>
      <c r="CM488" s="21" t="str">
        <f>IF([1]!BANCO10[[#This Row],[SOLUÇÃO]]=CM$1,[1]!BANCO10[[#This Row],[STATUS DA ETAPA]],"")</f>
        <v/>
      </c>
      <c r="CN488" s="21" t="str">
        <f>IF([1]!BANCO10[[#This Row],[SOLUÇÃO]]=CN$1,[1]!BANCO10[[#This Row],[STATUS DA ETAPA]],"")</f>
        <v/>
      </c>
      <c r="CO488" s="21" t="str">
        <f>IF([1]!BANCO10[[#This Row],[SOLUÇÃO]]=CO$1,[1]!BANCO10[[#This Row],[STATUS DA ETAPA]],"")</f>
        <v/>
      </c>
      <c r="CP488" s="21" t="str">
        <f>IF([1]!BANCO10[[#This Row],[SOLUÇÃO]]=CP$1,[1]!BANCO10[[#This Row],[STATUS DA ETAPA]],"")</f>
        <v/>
      </c>
      <c r="CQ488" s="21" t="str">
        <f>IF([1]!BANCO10[[#This Row],[SOLUÇÃO]]=CQ$1,[1]!BANCO10[[#This Row],[STATUS DA ETAPA]],"")</f>
        <v/>
      </c>
      <c r="CR488" s="21" t="str">
        <f>IF([1]!BANCO10[[#This Row],[SOLUÇÃO]]=CR$1,[1]!BANCO10[[#This Row],[STATUS DA ETAPA]],"")</f>
        <v/>
      </c>
      <c r="CS488" s="21" t="str">
        <f>IF([1]!BANCO10[[#This Row],[SOLUÇÃO]]=CS$1,[1]!BANCO10[[#This Row],[STATUS DA ETAPA]],"")</f>
        <v/>
      </c>
      <c r="CT488" s="21" t="str">
        <f>IF([1]!BANCO10[[#This Row],[SOLUÇÃO]]=CT$1,[1]!BANCO10[[#This Row],[STATUS DA ETAPA]],"")</f>
        <v/>
      </c>
      <c r="CU488" s="21" t="str">
        <f>IF([1]!BANCO10[[#This Row],[SOLUÇÃO]]=CU$1,[1]!BANCO10[[#This Row],[STATUS DA ETAPA]],"")</f>
        <v/>
      </c>
      <c r="CV488" s="21" t="str">
        <f>IF([1]!BANCO10[[#This Row],[SOLUÇÃO]]=CV$1,[1]!BANCO10[[#This Row],[STATUS DA ETAPA]],"")</f>
        <v/>
      </c>
    </row>
    <row r="489" spans="1:100">
      <c r="A489" s="44" t="s">
        <v>1</v>
      </c>
      <c r="B489" s="44"/>
      <c r="C489" s="44" t="s">
        <v>1</v>
      </c>
      <c r="D489" s="44"/>
      <c r="E489" s="44" t="s">
        <v>1</v>
      </c>
      <c r="F489" s="44"/>
      <c r="G489" s="44" t="s">
        <v>1</v>
      </c>
      <c r="H489" s="44"/>
      <c r="I489" s="45" t="s">
        <v>1</v>
      </c>
      <c r="J489" s="46"/>
      <c r="K489" s="45" t="s">
        <v>1</v>
      </c>
      <c r="L489" s="33"/>
      <c r="M489" s="45" t="s">
        <v>1</v>
      </c>
      <c r="N489" s="33"/>
      <c r="O489" s="44" t="s">
        <v>0</v>
      </c>
      <c r="P489" s="44"/>
      <c r="Q489" s="44" t="s">
        <v>0</v>
      </c>
      <c r="R489" s="44"/>
      <c r="S489" s="44" t="s">
        <v>0</v>
      </c>
      <c r="T489" s="44"/>
      <c r="U489" s="44" t="s">
        <v>1</v>
      </c>
      <c r="V489" s="44"/>
      <c r="W489" s="44" t="s">
        <v>1</v>
      </c>
      <c r="X489" s="44"/>
      <c r="Y489" s="44" t="s">
        <v>1</v>
      </c>
      <c r="Z489" s="44"/>
      <c r="AA489" s="44" t="s">
        <v>1</v>
      </c>
      <c r="AB489" s="44"/>
      <c r="AC489" s="51">
        <v>45963</v>
      </c>
      <c r="AD489" s="50">
        <v>45963</v>
      </c>
      <c r="AE489" s="41" t="s">
        <v>1</v>
      </c>
      <c r="AF489" s="41" t="s">
        <v>1</v>
      </c>
      <c r="AG489" s="40" t="s">
        <v>5</v>
      </c>
      <c r="AH489" s="36" t="s">
        <v>1</v>
      </c>
      <c r="AI489" s="49">
        <v>0</v>
      </c>
      <c r="AJ489" s="36" t="s">
        <v>1</v>
      </c>
      <c r="AK489" s="9" t="s">
        <v>1</v>
      </c>
      <c r="AL489" s="36" t="s">
        <v>1</v>
      </c>
      <c r="AM489" s="36" t="s">
        <v>1</v>
      </c>
      <c r="AN489" s="35" t="s">
        <v>1</v>
      </c>
      <c r="AO489" s="35" t="s">
        <v>1</v>
      </c>
      <c r="AP489" s="35" t="s">
        <v>1</v>
      </c>
      <c r="AQ489" s="35" t="s">
        <v>1</v>
      </c>
      <c r="AR489" s="34" t="s">
        <v>1</v>
      </c>
      <c r="AS489" s="33"/>
      <c r="AT489" s="32" t="s">
        <v>1</v>
      </c>
      <c r="AU489" s="31"/>
      <c r="AV489" s="32" t="s">
        <v>1</v>
      </c>
      <c r="AW489" s="31"/>
      <c r="AX489" s="30" t="s">
        <v>2</v>
      </c>
      <c r="AY489" s="29"/>
      <c r="AZ489" s="28" t="s">
        <v>1</v>
      </c>
      <c r="BA489" s="27"/>
      <c r="BB489" s="39"/>
      <c r="BC489" s="25" t="s">
        <v>401</v>
      </c>
      <c r="BD489" s="24"/>
      <c r="BE489" s="24"/>
      <c r="BF489" s="24"/>
      <c r="BG489" s="24"/>
      <c r="BH489" s="24"/>
      <c r="BI489" s="24"/>
      <c r="BJ489" s="24"/>
      <c r="BK489" s="24"/>
      <c r="BL489" s="24"/>
      <c r="BM489" s="24"/>
      <c r="BN489" s="24"/>
      <c r="BO489" s="24"/>
      <c r="BP489" s="24"/>
      <c r="BQ489" s="22">
        <f>YEAR([1]!BANCO10[[#This Row],[DATA INÍCIO]])</f>
        <v>2025</v>
      </c>
      <c r="BR489" s="22">
        <f>MONTH([1]!BANCO10[[#This Row],[DATA INÍCIO]])</f>
        <v>11</v>
      </c>
      <c r="BS489" s="23" t="e">
        <f>CONCATENATE(#REF!,#REF!)</f>
        <v>#REF!</v>
      </c>
      <c r="BT489" s="22"/>
      <c r="BU489" s="22"/>
      <c r="BV489" s="21" t="str">
        <f>IF([1]!BANCO10[[#This Row],[SOLUÇÃO]]=BV$1,[1]!BANCO10[[#This Row],[STATUS DA ETAPA]],"")</f>
        <v/>
      </c>
      <c r="BW489" s="21" t="str">
        <f>IF([1]!BANCO10[[#This Row],[SOLUÇÃO]]=BW$1,[1]!BANCO10[[#This Row],[STATUS DA ETAPA]],"")</f>
        <v/>
      </c>
      <c r="BX489" s="21" t="str">
        <f>IF([1]!BANCO10[[#This Row],[SOLUÇÃO]]=BX$1,[1]!BANCO10[[#This Row],[STATUS DA ETAPA]],"")</f>
        <v/>
      </c>
      <c r="BY489" s="21" t="str">
        <f>IF([1]!BANCO10[[#This Row],[SOLUÇÃO]]=BY$1,[1]!BANCO10[[#This Row],[STATUS DA ETAPA]],"")</f>
        <v/>
      </c>
      <c r="BZ489" s="21" t="str">
        <f>IF([1]!BANCO10[[#This Row],[SOLUÇÃO]]=BZ$1,[1]!BANCO10[[#This Row],[STATUS DA ETAPA]],"")</f>
        <v/>
      </c>
      <c r="CA489" s="21" t="str">
        <f>IF([1]!BANCO10[[#This Row],[SOLUÇÃO]]=CA$1,[1]!BANCO10[[#This Row],[STATUS DA ETAPA]],"")</f>
        <v/>
      </c>
      <c r="CB489" s="21" t="str">
        <f>IF([1]!BANCO10[[#This Row],[SOLUÇÃO]]=CB$1,[1]!BANCO10[[#This Row],[STATUS DA ETAPA]],"")</f>
        <v>CANCELADO</v>
      </c>
      <c r="CC489" s="21" t="str">
        <f>IF([1]!BANCO10[[#This Row],[SOLUÇÃO]]=CC$1,[1]!BANCO10[[#This Row],[STATUS DA ETAPA]],"")</f>
        <v/>
      </c>
      <c r="CD489" s="21" t="str">
        <f>IF([1]!BANCO10[[#This Row],[SOLUÇÃO]]=CD$1,[1]!BANCO10[[#This Row],[STATUS DA ETAPA]],"")</f>
        <v/>
      </c>
      <c r="CE489" s="21" t="str">
        <f>IF([1]!BANCO10[[#This Row],[SOLUÇÃO]]=CE$1,[1]!BANCO10[[#This Row],[STATUS DA ETAPA]],"")</f>
        <v/>
      </c>
      <c r="CF489" s="21" t="str">
        <f>IF([1]!BANCO10[[#This Row],[SOLUÇÃO]]=CF$1,[1]!BANCO10[[#This Row],[STATUS DA ETAPA]],"")</f>
        <v/>
      </c>
      <c r="CG489" s="21" t="str">
        <f>IF([1]!BANCO10[[#This Row],[SOLUÇÃO]]=CG$1,[1]!BANCO10[[#This Row],[STATUS DA ETAPA]],"")</f>
        <v/>
      </c>
      <c r="CH489" s="21" t="str">
        <f>IF([1]!BANCO10[[#This Row],[SOLUÇÃO]]=CH$1,[1]!BANCO10[[#This Row],[STATUS DA ETAPA]],"")</f>
        <v/>
      </c>
      <c r="CI489" s="21" t="str">
        <f>IF([1]!BANCO10[[#This Row],[SOLUÇÃO]]=CI$1,[1]!BANCO10[[#This Row],[STATUS DA ETAPA]],"")</f>
        <v/>
      </c>
      <c r="CJ489" s="21" t="str">
        <f>IF([1]!BANCO10[[#This Row],[SOLUÇÃO]]=CJ$1,[1]!BANCO10[[#This Row],[STATUS DA ETAPA]],"")</f>
        <v/>
      </c>
      <c r="CK489" s="21" t="str">
        <f>IF([1]!BANCO10[[#This Row],[SOLUÇÃO]]=CK$1,[1]!BANCO10[[#This Row],[STATUS DA ETAPA]],"")</f>
        <v/>
      </c>
      <c r="CL489" s="21" t="str">
        <f>IF([1]!BANCO10[[#This Row],[SOLUÇÃO]]=CL$1,[1]!BANCO10[[#This Row],[STATUS DA ETAPA]],"")</f>
        <v/>
      </c>
      <c r="CM489" s="21" t="str">
        <f>IF([1]!BANCO10[[#This Row],[SOLUÇÃO]]=CM$1,[1]!BANCO10[[#This Row],[STATUS DA ETAPA]],"")</f>
        <v/>
      </c>
      <c r="CN489" s="21" t="str">
        <f>IF([1]!BANCO10[[#This Row],[SOLUÇÃO]]=CN$1,[1]!BANCO10[[#This Row],[STATUS DA ETAPA]],"")</f>
        <v/>
      </c>
      <c r="CO489" s="21" t="str">
        <f>IF([1]!BANCO10[[#This Row],[SOLUÇÃO]]=CO$1,[1]!BANCO10[[#This Row],[STATUS DA ETAPA]],"")</f>
        <v/>
      </c>
      <c r="CP489" s="21" t="str">
        <f>IF([1]!BANCO10[[#This Row],[SOLUÇÃO]]=CP$1,[1]!BANCO10[[#This Row],[STATUS DA ETAPA]],"")</f>
        <v/>
      </c>
      <c r="CQ489" s="21" t="str">
        <f>IF([1]!BANCO10[[#This Row],[SOLUÇÃO]]=CQ$1,[1]!BANCO10[[#This Row],[STATUS DA ETAPA]],"")</f>
        <v/>
      </c>
      <c r="CR489" s="21" t="str">
        <f>IF([1]!BANCO10[[#This Row],[SOLUÇÃO]]=CR$1,[1]!BANCO10[[#This Row],[STATUS DA ETAPA]],"")</f>
        <v/>
      </c>
      <c r="CS489" s="21" t="str">
        <f>IF([1]!BANCO10[[#This Row],[SOLUÇÃO]]=CS$1,[1]!BANCO10[[#This Row],[STATUS DA ETAPA]],"")</f>
        <v/>
      </c>
      <c r="CT489" s="21" t="str">
        <f>IF([1]!BANCO10[[#This Row],[SOLUÇÃO]]=CT$1,[1]!BANCO10[[#This Row],[STATUS DA ETAPA]],"")</f>
        <v/>
      </c>
      <c r="CU489" s="21" t="str">
        <f>IF([1]!BANCO10[[#This Row],[SOLUÇÃO]]=CU$1,[1]!BANCO10[[#This Row],[STATUS DA ETAPA]],"")</f>
        <v/>
      </c>
      <c r="CV489" s="21" t="str">
        <f>IF([1]!BANCO10[[#This Row],[SOLUÇÃO]]=CV$1,[1]!BANCO10[[#This Row],[STATUS DA ETAPA]],"")</f>
        <v/>
      </c>
    </row>
    <row r="490" spans="1:100">
      <c r="A490" s="44" t="s">
        <v>2</v>
      </c>
      <c r="B490" s="44">
        <v>45713</v>
      </c>
      <c r="C490" s="44" t="s">
        <v>2</v>
      </c>
      <c r="D490" s="44">
        <v>45713</v>
      </c>
      <c r="E490" s="44" t="s">
        <v>2</v>
      </c>
      <c r="F490" s="44">
        <v>45713</v>
      </c>
      <c r="G490" s="44" t="s">
        <v>2</v>
      </c>
      <c r="H490" s="44">
        <v>45713</v>
      </c>
      <c r="I490" s="45" t="s">
        <v>2</v>
      </c>
      <c r="J490" s="46">
        <v>45709</v>
      </c>
      <c r="K490" s="45" t="s">
        <v>2</v>
      </c>
      <c r="L490" s="33">
        <v>45712</v>
      </c>
      <c r="M490" s="45" t="s">
        <v>2</v>
      </c>
      <c r="N490" s="33">
        <v>45713</v>
      </c>
      <c r="O490" s="44" t="s">
        <v>1</v>
      </c>
      <c r="P490" s="44"/>
      <c r="Q490" s="44" t="s">
        <v>1</v>
      </c>
      <c r="R490" s="44"/>
      <c r="S490" s="44" t="s">
        <v>2</v>
      </c>
      <c r="T490" s="44">
        <v>45708</v>
      </c>
      <c r="U490" s="44" t="s">
        <v>1</v>
      </c>
      <c r="V490" s="44"/>
      <c r="W490" s="44" t="s">
        <v>1</v>
      </c>
      <c r="X490" s="44"/>
      <c r="Y490" s="44" t="s">
        <v>1</v>
      </c>
      <c r="Z490" s="44"/>
      <c r="AA490" s="44" t="s">
        <v>1</v>
      </c>
      <c r="AB490" s="44"/>
      <c r="AC490" s="51">
        <v>46022</v>
      </c>
      <c r="AD490" s="50">
        <v>46022</v>
      </c>
      <c r="AE490" s="41" t="s">
        <v>0</v>
      </c>
      <c r="AF490" s="41" t="s">
        <v>0</v>
      </c>
      <c r="AG490" s="40" t="s">
        <v>5</v>
      </c>
      <c r="AH490" s="36" t="s">
        <v>0</v>
      </c>
      <c r="AI490" s="49">
        <v>14440</v>
      </c>
      <c r="AJ490" s="36" t="s">
        <v>3</v>
      </c>
      <c r="AK490" s="10">
        <v>667287</v>
      </c>
      <c r="AL490" s="36" t="s">
        <v>1</v>
      </c>
      <c r="AM490" s="36" t="s">
        <v>1</v>
      </c>
      <c r="AN490" s="35" t="s">
        <v>0</v>
      </c>
      <c r="AO490" s="35" t="s">
        <v>0</v>
      </c>
      <c r="AP490" s="35" t="s">
        <v>0</v>
      </c>
      <c r="AQ490" s="35" t="s">
        <v>0</v>
      </c>
      <c r="AR490" s="34" t="s">
        <v>0</v>
      </c>
      <c r="AS490" s="33"/>
      <c r="AT490" s="32" t="s">
        <v>0</v>
      </c>
      <c r="AU490" s="31"/>
      <c r="AV490" s="32" t="s">
        <v>0</v>
      </c>
      <c r="AW490" s="31"/>
      <c r="AX490" s="32" t="s">
        <v>0</v>
      </c>
      <c r="AY490" s="31"/>
      <c r="AZ490" s="32" t="s">
        <v>0</v>
      </c>
      <c r="BA490" s="31"/>
      <c r="BB490" s="26" t="s">
        <v>7</v>
      </c>
      <c r="BC490" s="25" t="s">
        <v>400</v>
      </c>
      <c r="BD490" s="24"/>
      <c r="BE490" s="24"/>
      <c r="BF490" s="24"/>
      <c r="BG490" s="24"/>
      <c r="BH490" s="24"/>
      <c r="BI490" s="24"/>
      <c r="BJ490" s="24"/>
      <c r="BK490" s="24"/>
      <c r="BL490" s="24"/>
      <c r="BM490" s="24"/>
      <c r="BN490" s="24"/>
      <c r="BO490" s="24"/>
      <c r="BP490" s="24"/>
      <c r="BQ490" s="22">
        <f>YEAR([1]!BANCO10[[#This Row],[DATA INÍCIO]])</f>
        <v>2025</v>
      </c>
      <c r="BR490" s="22">
        <f>MONTH([1]!BANCO10[[#This Row],[DATA INÍCIO]])</f>
        <v>12</v>
      </c>
      <c r="BS490" s="23" t="e">
        <f>CONCATENATE(#REF!,#REF!)</f>
        <v>#REF!</v>
      </c>
      <c r="BT490" s="22"/>
      <c r="BU490" s="22"/>
      <c r="BV490" s="21" t="str">
        <f>IF([1]!BANCO10[[#This Row],[SOLUÇÃO]]=BV$1,[1]!BANCO10[[#This Row],[STATUS DA ETAPA]],"")</f>
        <v/>
      </c>
      <c r="BW490" s="21" t="str">
        <f>IF([1]!BANCO10[[#This Row],[SOLUÇÃO]]=BW$1,[1]!BANCO10[[#This Row],[STATUS DA ETAPA]],"")</f>
        <v/>
      </c>
      <c r="BX490" s="21" t="str">
        <f>IF([1]!BANCO10[[#This Row],[SOLUÇÃO]]=BX$1,[1]!BANCO10[[#This Row],[STATUS DA ETAPA]],"")</f>
        <v/>
      </c>
      <c r="BY490" s="21" t="str">
        <f>IF([1]!BANCO10[[#This Row],[SOLUÇÃO]]=BY$1,[1]!BANCO10[[#This Row],[STATUS DA ETAPA]],"")</f>
        <v/>
      </c>
      <c r="BZ490" s="21" t="str">
        <f>IF([1]!BANCO10[[#This Row],[SOLUÇÃO]]=BZ$1,[1]!BANCO10[[#This Row],[STATUS DA ETAPA]],"")</f>
        <v/>
      </c>
      <c r="CA490" s="21" t="str">
        <f>IF([1]!BANCO10[[#This Row],[SOLUÇÃO]]=CA$1,[1]!BANCO10[[#This Row],[STATUS DA ETAPA]],"")</f>
        <v/>
      </c>
      <c r="CB490" s="21" t="str">
        <f>IF([1]!BANCO10[[#This Row],[SOLUÇÃO]]=CB$1,[1]!BANCO10[[#This Row],[STATUS DA ETAPA]],"")</f>
        <v>AGUARDANDO SALDO</v>
      </c>
      <c r="CC490" s="21" t="str">
        <f>IF([1]!BANCO10[[#This Row],[SOLUÇÃO]]=CC$1,[1]!BANCO10[[#This Row],[STATUS DA ETAPA]],"")</f>
        <v/>
      </c>
      <c r="CD490" s="21" t="str">
        <f>IF([1]!BANCO10[[#This Row],[SOLUÇÃO]]=CD$1,[1]!BANCO10[[#This Row],[STATUS DA ETAPA]],"")</f>
        <v/>
      </c>
      <c r="CE490" s="21" t="str">
        <f>IF([1]!BANCO10[[#This Row],[SOLUÇÃO]]=CE$1,[1]!BANCO10[[#This Row],[STATUS DA ETAPA]],"")</f>
        <v/>
      </c>
      <c r="CF490" s="21" t="str">
        <f>IF([1]!BANCO10[[#This Row],[SOLUÇÃO]]=CF$1,[1]!BANCO10[[#This Row],[STATUS DA ETAPA]],"")</f>
        <v/>
      </c>
      <c r="CG490" s="21" t="str">
        <f>IF([1]!BANCO10[[#This Row],[SOLUÇÃO]]=CG$1,[1]!BANCO10[[#This Row],[STATUS DA ETAPA]],"")</f>
        <v/>
      </c>
      <c r="CH490" s="21" t="str">
        <f>IF([1]!BANCO10[[#This Row],[SOLUÇÃO]]=CH$1,[1]!BANCO10[[#This Row],[STATUS DA ETAPA]],"")</f>
        <v/>
      </c>
      <c r="CI490" s="21" t="str">
        <f>IF([1]!BANCO10[[#This Row],[SOLUÇÃO]]=CI$1,[1]!BANCO10[[#This Row],[STATUS DA ETAPA]],"")</f>
        <v/>
      </c>
      <c r="CJ490" s="21" t="str">
        <f>IF([1]!BANCO10[[#This Row],[SOLUÇÃO]]=CJ$1,[1]!BANCO10[[#This Row],[STATUS DA ETAPA]],"")</f>
        <v/>
      </c>
      <c r="CK490" s="21" t="str">
        <f>IF([1]!BANCO10[[#This Row],[SOLUÇÃO]]=CK$1,[1]!BANCO10[[#This Row],[STATUS DA ETAPA]],"")</f>
        <v/>
      </c>
      <c r="CL490" s="21" t="str">
        <f>IF([1]!BANCO10[[#This Row],[SOLUÇÃO]]=CL$1,[1]!BANCO10[[#This Row],[STATUS DA ETAPA]],"")</f>
        <v/>
      </c>
      <c r="CM490" s="21" t="str">
        <f>IF([1]!BANCO10[[#This Row],[SOLUÇÃO]]=CM$1,[1]!BANCO10[[#This Row],[STATUS DA ETAPA]],"")</f>
        <v/>
      </c>
      <c r="CN490" s="21" t="str">
        <f>IF([1]!BANCO10[[#This Row],[SOLUÇÃO]]=CN$1,[1]!BANCO10[[#This Row],[STATUS DA ETAPA]],"")</f>
        <v/>
      </c>
      <c r="CO490" s="21" t="str">
        <f>IF([1]!BANCO10[[#This Row],[SOLUÇÃO]]=CO$1,[1]!BANCO10[[#This Row],[STATUS DA ETAPA]],"")</f>
        <v/>
      </c>
      <c r="CP490" s="21" t="str">
        <f>IF([1]!BANCO10[[#This Row],[SOLUÇÃO]]=CP$1,[1]!BANCO10[[#This Row],[STATUS DA ETAPA]],"")</f>
        <v/>
      </c>
      <c r="CQ490" s="21" t="str">
        <f>IF([1]!BANCO10[[#This Row],[SOLUÇÃO]]=CQ$1,[1]!BANCO10[[#This Row],[STATUS DA ETAPA]],"")</f>
        <v/>
      </c>
      <c r="CR490" s="21" t="str">
        <f>IF([1]!BANCO10[[#This Row],[SOLUÇÃO]]=CR$1,[1]!BANCO10[[#This Row],[STATUS DA ETAPA]],"")</f>
        <v/>
      </c>
      <c r="CS490" s="21" t="str">
        <f>IF([1]!BANCO10[[#This Row],[SOLUÇÃO]]=CS$1,[1]!BANCO10[[#This Row],[STATUS DA ETAPA]],"")</f>
        <v/>
      </c>
      <c r="CT490" s="21" t="str">
        <f>IF([1]!BANCO10[[#This Row],[SOLUÇÃO]]=CT$1,[1]!BANCO10[[#This Row],[STATUS DA ETAPA]],"")</f>
        <v/>
      </c>
      <c r="CU490" s="21" t="str">
        <f>IF([1]!BANCO10[[#This Row],[SOLUÇÃO]]=CU$1,[1]!BANCO10[[#This Row],[STATUS DA ETAPA]],"")</f>
        <v/>
      </c>
      <c r="CV490" s="21" t="str">
        <f>IF([1]!BANCO10[[#This Row],[SOLUÇÃO]]=CV$1,[1]!BANCO10[[#This Row],[STATUS DA ETAPA]],"")</f>
        <v/>
      </c>
    </row>
    <row r="491" spans="1:100">
      <c r="A491" s="44" t="s">
        <v>1</v>
      </c>
      <c r="B491" s="44"/>
      <c r="C491" s="44" t="s">
        <v>1</v>
      </c>
      <c r="D491" s="44"/>
      <c r="E491" s="44" t="s">
        <v>1</v>
      </c>
      <c r="F491" s="44"/>
      <c r="G491" s="44" t="s">
        <v>1</v>
      </c>
      <c r="H491" s="44"/>
      <c r="I491" s="45" t="s">
        <v>1</v>
      </c>
      <c r="J491" s="46"/>
      <c r="K491" s="45" t="s">
        <v>1</v>
      </c>
      <c r="L491" s="33"/>
      <c r="M491" s="45" t="s">
        <v>1</v>
      </c>
      <c r="N491" s="33"/>
      <c r="O491" s="44" t="s">
        <v>1</v>
      </c>
      <c r="P491" s="44"/>
      <c r="Q491" s="44" t="s">
        <v>1</v>
      </c>
      <c r="R491" s="44"/>
      <c r="S491" s="44" t="s">
        <v>1</v>
      </c>
      <c r="T491" s="44"/>
      <c r="U491" s="44" t="s">
        <v>1</v>
      </c>
      <c r="V491" s="44"/>
      <c r="W491" s="44" t="s">
        <v>1</v>
      </c>
      <c r="X491" s="44"/>
      <c r="Y491" s="44" t="s">
        <v>1</v>
      </c>
      <c r="Z491" s="44"/>
      <c r="AA491" s="44" t="s">
        <v>1</v>
      </c>
      <c r="AB491" s="44"/>
      <c r="AC491" s="51">
        <v>45577</v>
      </c>
      <c r="AD491" s="50">
        <v>45577</v>
      </c>
      <c r="AE491" s="41" t="s">
        <v>1</v>
      </c>
      <c r="AF491" s="41" t="s">
        <v>1</v>
      </c>
      <c r="AG491" s="40" t="s">
        <v>5</v>
      </c>
      <c r="AH491" s="36" t="s">
        <v>1</v>
      </c>
      <c r="AI491" s="49">
        <v>0</v>
      </c>
      <c r="AJ491" s="36" t="s">
        <v>1</v>
      </c>
      <c r="AK491" s="10" t="s">
        <v>1</v>
      </c>
      <c r="AL491" s="36" t="s">
        <v>1</v>
      </c>
      <c r="AM491" s="36" t="s">
        <v>1</v>
      </c>
      <c r="AN491" s="35" t="s">
        <v>1</v>
      </c>
      <c r="AO491" s="35" t="s">
        <v>1</v>
      </c>
      <c r="AP491" s="35" t="s">
        <v>1</v>
      </c>
      <c r="AQ491" s="35" t="s">
        <v>1</v>
      </c>
      <c r="AR491" s="90" t="s">
        <v>1</v>
      </c>
      <c r="AS491" s="89"/>
      <c r="AT491" s="88"/>
      <c r="AU491" s="25"/>
      <c r="AV491" s="88"/>
      <c r="AW491" s="25"/>
      <c r="AX491" s="88" t="s">
        <v>1</v>
      </c>
      <c r="AY491" s="25"/>
      <c r="AZ491" s="88" t="s">
        <v>1</v>
      </c>
      <c r="BA491" s="25"/>
      <c r="BB491" s="39"/>
      <c r="BC491" s="25"/>
      <c r="BD491" s="24"/>
      <c r="BE491" s="24"/>
      <c r="BF491" s="79"/>
      <c r="BG491" s="79"/>
      <c r="BH491" s="80"/>
      <c r="BI491" s="79"/>
      <c r="BJ491" s="54"/>
      <c r="BK491" s="78"/>
      <c r="BL491" s="69"/>
      <c r="BM491" s="78"/>
      <c r="BN491" s="78"/>
      <c r="BO491" s="78"/>
      <c r="BP491" s="78"/>
      <c r="BQ491" s="21">
        <f>YEAR([1]!BANCO10[[#This Row],[DATA INÍCIO]])</f>
        <v>2024</v>
      </c>
      <c r="BR491" s="21">
        <f>MONTH([1]!BANCO10[[#This Row],[DATA INÍCIO]])</f>
        <v>10</v>
      </c>
      <c r="BS491" s="21" t="e">
        <f>CONCATENATE(#REF!,#REF!)</f>
        <v>#REF!</v>
      </c>
      <c r="BT491" s="21"/>
      <c r="BU491" s="21"/>
      <c r="BV491" s="21" t="str">
        <f>IF([1]!BANCO10[[#This Row],[SOLUÇÃO]]=BV$1,[1]!BANCO10[[#This Row],[STATUS DA ETAPA]],"")</f>
        <v>CONCLUÍDO</v>
      </c>
      <c r="BW491" s="21" t="str">
        <f>IF([1]!BANCO10[[#This Row],[SOLUÇÃO]]=BW$1,[1]!BANCO10[[#This Row],[STATUS DA ETAPA]],"")</f>
        <v/>
      </c>
      <c r="BX491" s="21" t="str">
        <f>IF([1]!BANCO10[[#This Row],[SOLUÇÃO]]=BX$1,[1]!BANCO10[[#This Row],[STATUS DA ETAPA]],"")</f>
        <v/>
      </c>
      <c r="BY491" s="21" t="str">
        <f>IF([1]!BANCO10[[#This Row],[SOLUÇÃO]]=BY$1,[1]!BANCO10[[#This Row],[STATUS DA ETAPA]],"")</f>
        <v/>
      </c>
      <c r="BZ491" s="21" t="str">
        <f>IF([1]!BANCO10[[#This Row],[SOLUÇÃO]]=BZ$1,[1]!BANCO10[[#This Row],[STATUS DA ETAPA]],"")</f>
        <v/>
      </c>
      <c r="CA491" s="21" t="str">
        <f>IF([1]!BANCO10[[#This Row],[SOLUÇÃO]]=CA$1,[1]!BANCO10[[#This Row],[STATUS DA ETAPA]],"")</f>
        <v/>
      </c>
      <c r="CB491" s="21" t="str">
        <f>IF([1]!BANCO10[[#This Row],[SOLUÇÃO]]=CB$1,[1]!BANCO10[[#This Row],[STATUS DA ETAPA]],"")</f>
        <v/>
      </c>
      <c r="CC491" s="21" t="str">
        <f>IF([1]!BANCO10[[#This Row],[SOLUÇÃO]]=CC$1,[1]!BANCO10[[#This Row],[STATUS DA ETAPA]],"")</f>
        <v/>
      </c>
      <c r="CD491" s="21" t="str">
        <f>IF([1]!BANCO10[[#This Row],[SOLUÇÃO]]=CD$1,[1]!BANCO10[[#This Row],[STATUS DA ETAPA]],"")</f>
        <v/>
      </c>
      <c r="CE491" s="21" t="str">
        <f>IF([1]!BANCO10[[#This Row],[SOLUÇÃO]]=CE$1,[1]!BANCO10[[#This Row],[STATUS DA ETAPA]],"")</f>
        <v/>
      </c>
      <c r="CF491" s="21" t="str">
        <f>IF([1]!BANCO10[[#This Row],[SOLUÇÃO]]=CF$1,[1]!BANCO10[[#This Row],[STATUS DA ETAPA]],"")</f>
        <v/>
      </c>
      <c r="CG491" s="21" t="str">
        <f>IF([1]!BANCO10[[#This Row],[SOLUÇÃO]]=CG$1,[1]!BANCO10[[#This Row],[STATUS DA ETAPA]],"")</f>
        <v/>
      </c>
      <c r="CH491" s="21" t="str">
        <f>IF([1]!BANCO10[[#This Row],[SOLUÇÃO]]=CH$1,[1]!BANCO10[[#This Row],[STATUS DA ETAPA]],"")</f>
        <v/>
      </c>
      <c r="CI491" s="21" t="str">
        <f>IF([1]!BANCO10[[#This Row],[SOLUÇÃO]]=CI$1,[1]!BANCO10[[#This Row],[STATUS DA ETAPA]],"")</f>
        <v/>
      </c>
      <c r="CJ491" s="21" t="str">
        <f>IF([1]!BANCO10[[#This Row],[SOLUÇÃO]]=CJ$1,[1]!BANCO10[[#This Row],[STATUS DA ETAPA]],"")</f>
        <v/>
      </c>
      <c r="CK491" s="21" t="str">
        <f>IF([1]!BANCO10[[#This Row],[SOLUÇÃO]]=CK$1,[1]!BANCO10[[#This Row],[STATUS DA ETAPA]],"")</f>
        <v/>
      </c>
      <c r="CL491" s="22" t="str">
        <f>IF([1]!BANCO10[[#This Row],[SOLUÇÃO]]=CL$1,[1]!BANCO10[[#This Row],[STATUS DA ETAPA]],"")</f>
        <v/>
      </c>
      <c r="CM491" s="64" t="str">
        <f>IF([1]!BANCO10[[#This Row],[SOLUÇÃO]]=CM$1,[1]!BANCO10[[#This Row],[STATUS DA ETAPA]],"")</f>
        <v/>
      </c>
      <c r="CN491" s="64" t="str">
        <f>IF([1]!BANCO10[[#This Row],[SOLUÇÃO]]=CN$1,[1]!BANCO10[[#This Row],[STATUS DA ETAPA]],"")</f>
        <v/>
      </c>
      <c r="CO491" s="64" t="str">
        <f>IF([1]!BANCO10[[#This Row],[SOLUÇÃO]]=CO$1,[1]!BANCO10[[#This Row],[STATUS DA ETAPA]],"")</f>
        <v/>
      </c>
      <c r="CP491" s="64" t="str">
        <f>IF([1]!BANCO10[[#This Row],[SOLUÇÃO]]=CP$1,[1]!BANCO10[[#This Row],[STATUS DA ETAPA]],"")</f>
        <v/>
      </c>
      <c r="CQ491" s="64" t="str">
        <f>IF([1]!BANCO10[[#This Row],[SOLUÇÃO]]=CQ$1,[1]!BANCO10[[#This Row],[STATUS DA ETAPA]],"")</f>
        <v/>
      </c>
      <c r="CR491" s="64" t="str">
        <f>IF([1]!BANCO10[[#This Row],[SOLUÇÃO]]=CR$1,[1]!BANCO10[[#This Row],[STATUS DA ETAPA]],"")</f>
        <v/>
      </c>
      <c r="CS491" s="64" t="str">
        <f>IF([1]!BANCO10[[#This Row],[SOLUÇÃO]]=CS$1,[1]!BANCO10[[#This Row],[STATUS DA ETAPA]],"")</f>
        <v/>
      </c>
      <c r="CT491" s="64" t="str">
        <f>IF([1]!BANCO10[[#This Row],[SOLUÇÃO]]=CT$1,[1]!BANCO10[[#This Row],[STATUS DA ETAPA]],"")</f>
        <v/>
      </c>
      <c r="CU491" s="64" t="str">
        <f>IF([1]!BANCO10[[#This Row],[SOLUÇÃO]]=CU$1,[1]!BANCO10[[#This Row],[STATUS DA ETAPA]],"")</f>
        <v/>
      </c>
      <c r="CV491" s="64" t="str">
        <f>IF([1]!BANCO10[[#This Row],[SOLUÇÃO]]=CV$1,[1]!BANCO10[[#This Row],[STATUS DA ETAPA]],"")</f>
        <v/>
      </c>
    </row>
    <row r="492" spans="1:100">
      <c r="A492" s="44" t="s">
        <v>1</v>
      </c>
      <c r="B492" s="44"/>
      <c r="C492" s="44" t="s">
        <v>1</v>
      </c>
      <c r="D492" s="44"/>
      <c r="E492" s="44" t="s">
        <v>1</v>
      </c>
      <c r="F492" s="44"/>
      <c r="G492" s="44" t="s">
        <v>1</v>
      </c>
      <c r="H492" s="44"/>
      <c r="I492" s="45" t="s">
        <v>1</v>
      </c>
      <c r="J492" s="46"/>
      <c r="K492" s="45" t="s">
        <v>1</v>
      </c>
      <c r="L492" s="33"/>
      <c r="M492" s="45" t="s">
        <v>1</v>
      </c>
      <c r="N492" s="33"/>
      <c r="O492" s="44" t="s">
        <v>1</v>
      </c>
      <c r="P492" s="44"/>
      <c r="Q492" s="44" t="s">
        <v>2</v>
      </c>
      <c r="R492" s="44">
        <v>45593</v>
      </c>
      <c r="S492" s="44" t="s">
        <v>2</v>
      </c>
      <c r="T492" s="44">
        <v>45589</v>
      </c>
      <c r="U492" s="44" t="s">
        <v>1</v>
      </c>
      <c r="V492" s="44"/>
      <c r="W492" s="44" t="s">
        <v>1</v>
      </c>
      <c r="X492" s="44"/>
      <c r="Y492" s="44" t="s">
        <v>1</v>
      </c>
      <c r="Z492" s="44"/>
      <c r="AA492" s="44" t="s">
        <v>1</v>
      </c>
      <c r="AB492" s="44"/>
      <c r="AC492" s="51">
        <v>45666</v>
      </c>
      <c r="AD492" s="50">
        <v>45776</v>
      </c>
      <c r="AE492" s="41" t="s">
        <v>2</v>
      </c>
      <c r="AF492" s="41" t="s">
        <v>2</v>
      </c>
      <c r="AG492" s="40" t="s">
        <v>5</v>
      </c>
      <c r="AH492" s="36" t="s">
        <v>0</v>
      </c>
      <c r="AI492" s="49">
        <v>14440</v>
      </c>
      <c r="AJ492" s="36" t="s">
        <v>6</v>
      </c>
      <c r="AK492" s="10">
        <v>580381</v>
      </c>
      <c r="AL492" s="36" t="s">
        <v>1</v>
      </c>
      <c r="AM492" s="36" t="s">
        <v>1</v>
      </c>
      <c r="AN492" s="35" t="s">
        <v>2</v>
      </c>
      <c r="AO492" s="35" t="s">
        <v>2</v>
      </c>
      <c r="AP492" s="35" t="s">
        <v>2</v>
      </c>
      <c r="AQ492" s="35" t="s">
        <v>2</v>
      </c>
      <c r="AR492" s="34" t="s">
        <v>2</v>
      </c>
      <c r="AS492" s="33">
        <v>45786</v>
      </c>
      <c r="AT492" s="32" t="s">
        <v>1</v>
      </c>
      <c r="AU492" s="31"/>
      <c r="AV492" s="32" t="s">
        <v>1</v>
      </c>
      <c r="AW492" s="31"/>
      <c r="AX492" s="30" t="s">
        <v>2</v>
      </c>
      <c r="AY492" s="29">
        <v>45786</v>
      </c>
      <c r="AZ492" s="28" t="s">
        <v>0</v>
      </c>
      <c r="BA492" s="27"/>
      <c r="BB492" s="95" t="s">
        <v>143</v>
      </c>
      <c r="BC492" s="25" t="s">
        <v>41</v>
      </c>
      <c r="BD492" s="24"/>
      <c r="BE492" s="24"/>
      <c r="BF492" s="79"/>
      <c r="BG492" s="79"/>
      <c r="BH492" s="80"/>
      <c r="BI492" s="79"/>
      <c r="BJ492" s="54"/>
      <c r="BK492" s="78"/>
      <c r="BL492" s="69"/>
      <c r="BM492" s="78"/>
      <c r="BN492" s="78"/>
      <c r="BO492" s="78"/>
      <c r="BP492" s="78"/>
      <c r="BQ492" s="21">
        <f>YEAR([1]!BANCO10[[#This Row],[DATA INÍCIO]])</f>
        <v>2025</v>
      </c>
      <c r="BR492" s="21">
        <f>MONTH([1]!BANCO10[[#This Row],[DATA INÍCIO]])</f>
        <v>1</v>
      </c>
      <c r="BS492" s="21" t="e">
        <f>CONCATENATE(#REF!,#REF!)</f>
        <v>#REF!</v>
      </c>
      <c r="BT492" s="21"/>
      <c r="BU492" s="21"/>
      <c r="BV492" s="21" t="str">
        <f>IF([1]!BANCO10[[#This Row],[SOLUÇÃO]]=BV$1,[1]!BANCO10[[#This Row],[STATUS DA ETAPA]],"")</f>
        <v/>
      </c>
      <c r="BW492" s="21" t="str">
        <f>IF([1]!BANCO10[[#This Row],[SOLUÇÃO]]=BW$1,[1]!BANCO10[[#This Row],[STATUS DA ETAPA]],"")</f>
        <v/>
      </c>
      <c r="BX492" s="21" t="str">
        <f>IF([1]!BANCO10[[#This Row],[SOLUÇÃO]]=BX$1,[1]!BANCO10[[#This Row],[STATUS DA ETAPA]],"")</f>
        <v/>
      </c>
      <c r="BY492" s="21" t="str">
        <f>IF([1]!BANCO10[[#This Row],[SOLUÇÃO]]=BY$1,[1]!BANCO10[[#This Row],[STATUS DA ETAPA]],"")</f>
        <v/>
      </c>
      <c r="BZ492" s="21" t="str">
        <f>IF([1]!BANCO10[[#This Row],[SOLUÇÃO]]=BZ$1,[1]!BANCO10[[#This Row],[STATUS DA ETAPA]],"")</f>
        <v/>
      </c>
      <c r="CA492" s="21" t="str">
        <f>IF([1]!BANCO10[[#This Row],[SOLUÇÃO]]=CA$1,[1]!BANCO10[[#This Row],[STATUS DA ETAPA]],"")</f>
        <v/>
      </c>
      <c r="CB492" s="21" t="str">
        <f>IF([1]!BANCO10[[#This Row],[SOLUÇÃO]]=CB$1,[1]!BANCO10[[#This Row],[STATUS DA ETAPA]],"")</f>
        <v>CONCLUÍDO</v>
      </c>
      <c r="CC492" s="21" t="str">
        <f>IF([1]!BANCO10[[#This Row],[SOLUÇÃO]]=CC$1,[1]!BANCO10[[#This Row],[STATUS DA ETAPA]],"")</f>
        <v/>
      </c>
      <c r="CD492" s="21" t="str">
        <f>IF([1]!BANCO10[[#This Row],[SOLUÇÃO]]=CD$1,[1]!BANCO10[[#This Row],[STATUS DA ETAPA]],"")</f>
        <v/>
      </c>
      <c r="CE492" s="21" t="str">
        <f>IF([1]!BANCO10[[#This Row],[SOLUÇÃO]]=CE$1,[1]!BANCO10[[#This Row],[STATUS DA ETAPA]],"")</f>
        <v/>
      </c>
      <c r="CF492" s="21" t="str">
        <f>IF([1]!BANCO10[[#This Row],[SOLUÇÃO]]=CF$1,[1]!BANCO10[[#This Row],[STATUS DA ETAPA]],"")</f>
        <v/>
      </c>
      <c r="CG492" s="21" t="str">
        <f>IF([1]!BANCO10[[#This Row],[SOLUÇÃO]]=CG$1,[1]!BANCO10[[#This Row],[STATUS DA ETAPA]],"")</f>
        <v/>
      </c>
      <c r="CH492" s="21" t="str">
        <f>IF([1]!BANCO10[[#This Row],[SOLUÇÃO]]=CH$1,[1]!BANCO10[[#This Row],[STATUS DA ETAPA]],"")</f>
        <v/>
      </c>
      <c r="CI492" s="21" t="str">
        <f>IF([1]!BANCO10[[#This Row],[SOLUÇÃO]]=CI$1,[1]!BANCO10[[#This Row],[STATUS DA ETAPA]],"")</f>
        <v/>
      </c>
      <c r="CJ492" s="21" t="str">
        <f>IF([1]!BANCO10[[#This Row],[SOLUÇÃO]]=CJ$1,[1]!BANCO10[[#This Row],[STATUS DA ETAPA]],"")</f>
        <v/>
      </c>
      <c r="CK492" s="21" t="str">
        <f>IF([1]!BANCO10[[#This Row],[SOLUÇÃO]]=CK$1,[1]!BANCO10[[#This Row],[STATUS DA ETAPA]],"")</f>
        <v/>
      </c>
      <c r="CL492" s="22" t="str">
        <f>IF([1]!BANCO10[[#This Row],[SOLUÇÃO]]=CL$1,[1]!BANCO10[[#This Row],[STATUS DA ETAPA]],"")</f>
        <v/>
      </c>
      <c r="CM492" s="64" t="str">
        <f>IF([1]!BANCO10[[#This Row],[SOLUÇÃO]]=CM$1,[1]!BANCO10[[#This Row],[STATUS DA ETAPA]],"")</f>
        <v/>
      </c>
      <c r="CN492" s="64" t="str">
        <f>IF([1]!BANCO10[[#This Row],[SOLUÇÃO]]=CN$1,[1]!BANCO10[[#This Row],[STATUS DA ETAPA]],"")</f>
        <v/>
      </c>
      <c r="CO492" s="64" t="str">
        <f>IF([1]!BANCO10[[#This Row],[SOLUÇÃO]]=CO$1,[1]!BANCO10[[#This Row],[STATUS DA ETAPA]],"")</f>
        <v/>
      </c>
      <c r="CP492" s="64" t="str">
        <f>IF([1]!BANCO10[[#This Row],[SOLUÇÃO]]=CP$1,[1]!BANCO10[[#This Row],[STATUS DA ETAPA]],"")</f>
        <v/>
      </c>
      <c r="CQ492" s="64" t="str">
        <f>IF([1]!BANCO10[[#This Row],[SOLUÇÃO]]=CQ$1,[1]!BANCO10[[#This Row],[STATUS DA ETAPA]],"")</f>
        <v/>
      </c>
      <c r="CR492" s="64" t="str">
        <f>IF([1]!BANCO10[[#This Row],[SOLUÇÃO]]=CR$1,[1]!BANCO10[[#This Row],[STATUS DA ETAPA]],"")</f>
        <v/>
      </c>
      <c r="CS492" s="64" t="str">
        <f>IF([1]!BANCO10[[#This Row],[SOLUÇÃO]]=CS$1,[1]!BANCO10[[#This Row],[STATUS DA ETAPA]],"")</f>
        <v/>
      </c>
      <c r="CT492" s="64" t="str">
        <f>IF([1]!BANCO10[[#This Row],[SOLUÇÃO]]=CT$1,[1]!BANCO10[[#This Row],[STATUS DA ETAPA]],"")</f>
        <v/>
      </c>
      <c r="CU492" s="64" t="str">
        <f>IF([1]!BANCO10[[#This Row],[SOLUÇÃO]]=CU$1,[1]!BANCO10[[#This Row],[STATUS DA ETAPA]],"")</f>
        <v/>
      </c>
      <c r="CV492" s="64" t="str">
        <f>IF([1]!BANCO10[[#This Row],[SOLUÇÃO]]=CV$1,[1]!BANCO10[[#This Row],[STATUS DA ETAPA]],"")</f>
        <v/>
      </c>
    </row>
    <row r="493" spans="1:100">
      <c r="A493" s="44" t="s">
        <v>1</v>
      </c>
      <c r="B493" s="44"/>
      <c r="C493" s="44" t="s">
        <v>1</v>
      </c>
      <c r="D493" s="44"/>
      <c r="E493" s="44" t="s">
        <v>1</v>
      </c>
      <c r="F493" s="44"/>
      <c r="G493" s="44" t="s">
        <v>1</v>
      </c>
      <c r="H493" s="44"/>
      <c r="I493" s="45" t="s">
        <v>1</v>
      </c>
      <c r="J493" s="46"/>
      <c r="K493" s="45" t="s">
        <v>1</v>
      </c>
      <c r="L493" s="33"/>
      <c r="M493" s="45" t="s">
        <v>1</v>
      </c>
      <c r="N493" s="33"/>
      <c r="O493" s="44" t="s">
        <v>1</v>
      </c>
      <c r="P493" s="44"/>
      <c r="Q493" s="44" t="s">
        <v>1</v>
      </c>
      <c r="R493" s="44"/>
      <c r="S493" s="44" t="s">
        <v>1</v>
      </c>
      <c r="T493" s="44"/>
      <c r="U493" s="44" t="s">
        <v>1</v>
      </c>
      <c r="V493" s="44"/>
      <c r="W493" s="44" t="s">
        <v>1</v>
      </c>
      <c r="X493" s="44"/>
      <c r="Y493" s="44" t="s">
        <v>1</v>
      </c>
      <c r="Z493" s="44"/>
      <c r="AA493" s="44" t="s">
        <v>1</v>
      </c>
      <c r="AB493" s="44"/>
      <c r="AC493" s="51">
        <v>45807</v>
      </c>
      <c r="AD493" s="50">
        <v>45807</v>
      </c>
      <c r="AE493" s="41" t="s">
        <v>1</v>
      </c>
      <c r="AF493" s="41" t="s">
        <v>1</v>
      </c>
      <c r="AG493" s="40" t="s">
        <v>4</v>
      </c>
      <c r="AH493" s="36" t="s">
        <v>0</v>
      </c>
      <c r="AI493" s="49">
        <v>0</v>
      </c>
      <c r="AJ493" s="36" t="s">
        <v>1</v>
      </c>
      <c r="AK493" s="10" t="s">
        <v>1</v>
      </c>
      <c r="AL493" s="36" t="s">
        <v>1</v>
      </c>
      <c r="AM493" s="36" t="s">
        <v>1</v>
      </c>
      <c r="AN493" s="35" t="s">
        <v>1</v>
      </c>
      <c r="AO493" s="35" t="s">
        <v>1</v>
      </c>
      <c r="AP493" s="35" t="s">
        <v>1</v>
      </c>
      <c r="AQ493" s="35" t="s">
        <v>2</v>
      </c>
      <c r="AR493" s="34" t="s">
        <v>0</v>
      </c>
      <c r="AS493" s="33"/>
      <c r="AT493" s="30" t="s">
        <v>0</v>
      </c>
      <c r="AU493" s="31"/>
      <c r="AV493" s="30" t="s">
        <v>0</v>
      </c>
      <c r="AW493" s="31"/>
      <c r="AX493" s="30" t="s">
        <v>0</v>
      </c>
      <c r="AY493" s="29"/>
      <c r="AZ493" s="28" t="s">
        <v>0</v>
      </c>
      <c r="BA493" s="27"/>
      <c r="BB493" s="26"/>
      <c r="BC493" s="25"/>
      <c r="BD493" s="24"/>
      <c r="BE493" s="24"/>
      <c r="BF493" s="24"/>
      <c r="BG493" s="24"/>
      <c r="BH493" s="24"/>
      <c r="BI493" s="24"/>
      <c r="BJ493" s="24"/>
      <c r="BK493" s="24"/>
      <c r="BL493" s="24"/>
      <c r="BM493" s="24"/>
      <c r="BN493" s="24"/>
      <c r="BO493" s="24"/>
      <c r="BP493" s="24"/>
      <c r="BQ493" s="22">
        <f>YEAR([1]!BANCO10[[#This Row],[DATA INÍCIO]])</f>
        <v>2025</v>
      </c>
      <c r="BR493" s="22">
        <f>MONTH([1]!BANCO10[[#This Row],[DATA INÍCIO]])</f>
        <v>5</v>
      </c>
      <c r="BS493" s="23" t="e">
        <f>CONCATENATE(#REF!,#REF!)</f>
        <v>#REF!</v>
      </c>
      <c r="BT493" s="22"/>
      <c r="BU493" s="22"/>
      <c r="BV493" s="21" t="str">
        <f>IF([1]!BANCO10[[#This Row],[SOLUÇÃO]]=BV$1,[1]!BANCO10[[#This Row],[STATUS DA ETAPA]],"")</f>
        <v/>
      </c>
      <c r="BW493" s="21" t="str">
        <f>IF([1]!BANCO10[[#This Row],[SOLUÇÃO]]=BW$1,[1]!BANCO10[[#This Row],[STATUS DA ETAPA]],"")</f>
        <v/>
      </c>
      <c r="BX493" s="21" t="str">
        <f>IF([1]!BANCO10[[#This Row],[SOLUÇÃO]]=BX$1,[1]!BANCO10[[#This Row],[STATUS DA ETAPA]],"")</f>
        <v/>
      </c>
      <c r="BY493" s="21" t="str">
        <f>IF([1]!BANCO10[[#This Row],[SOLUÇÃO]]=BY$1,[1]!BANCO10[[#This Row],[STATUS DA ETAPA]],"")</f>
        <v/>
      </c>
      <c r="BZ493" s="21" t="str">
        <f>IF([1]!BANCO10[[#This Row],[SOLUÇÃO]]=BZ$1,[1]!BANCO10[[#This Row],[STATUS DA ETAPA]],"")</f>
        <v/>
      </c>
      <c r="CA493" s="21" t="str">
        <f>IF([1]!BANCO10[[#This Row],[SOLUÇÃO]]=CA$1,[1]!BANCO10[[#This Row],[STATUS DA ETAPA]],"")</f>
        <v/>
      </c>
      <c r="CB493" s="21" t="str">
        <f>IF([1]!BANCO10[[#This Row],[SOLUÇÃO]]=CB$1,[1]!BANCO10[[#This Row],[STATUS DA ETAPA]],"")</f>
        <v/>
      </c>
      <c r="CC493" s="21" t="str">
        <f>IF([1]!BANCO10[[#This Row],[SOLUÇÃO]]=CC$1,[1]!BANCO10[[#This Row],[STATUS DA ETAPA]],"")</f>
        <v/>
      </c>
      <c r="CD493" s="21" t="str">
        <f>IF([1]!BANCO10[[#This Row],[SOLUÇÃO]]=CD$1,[1]!BANCO10[[#This Row],[STATUS DA ETAPA]],"")</f>
        <v/>
      </c>
      <c r="CE493" s="21" t="str">
        <f>IF([1]!BANCO10[[#This Row],[SOLUÇÃO]]=CE$1,[1]!BANCO10[[#This Row],[STATUS DA ETAPA]],"")</f>
        <v/>
      </c>
      <c r="CF493" s="21" t="str">
        <f>IF([1]!BANCO10[[#This Row],[SOLUÇÃO]]=CF$1,[1]!BANCO10[[#This Row],[STATUS DA ETAPA]],"")</f>
        <v/>
      </c>
      <c r="CG493" s="21" t="str">
        <f>IF([1]!BANCO10[[#This Row],[SOLUÇÃO]]=CG$1,[1]!BANCO10[[#This Row],[STATUS DA ETAPA]],"")</f>
        <v/>
      </c>
      <c r="CH493" s="21" t="str">
        <f>IF([1]!BANCO10[[#This Row],[SOLUÇÃO]]=CH$1,[1]!BANCO10[[#This Row],[STATUS DA ETAPA]],"")</f>
        <v/>
      </c>
      <c r="CI493" s="21" t="str">
        <f>IF([1]!BANCO10[[#This Row],[SOLUÇÃO]]=CI$1,[1]!BANCO10[[#This Row],[STATUS DA ETAPA]],"")</f>
        <v/>
      </c>
      <c r="CJ493" s="21" t="str">
        <f>IF([1]!BANCO10[[#This Row],[SOLUÇÃO]]=CJ$1,[1]!BANCO10[[#This Row],[STATUS DA ETAPA]],"")</f>
        <v/>
      </c>
      <c r="CK493" s="21" t="str">
        <f>IF([1]!BANCO10[[#This Row],[SOLUÇÃO]]=CK$1,[1]!BANCO10[[#This Row],[STATUS DA ETAPA]],"")</f>
        <v/>
      </c>
      <c r="CL493" s="21" t="str">
        <f>IF([1]!BANCO10[[#This Row],[SOLUÇÃO]]=CL$1,[1]!BANCO10[[#This Row],[STATUS DA ETAPA]],"")</f>
        <v/>
      </c>
      <c r="CM493" s="21" t="str">
        <f>IF([1]!BANCO10[[#This Row],[SOLUÇÃO]]=CM$1,[1]!BANCO10[[#This Row],[STATUS DA ETAPA]],"")</f>
        <v/>
      </c>
      <c r="CN493" s="21" t="str">
        <f>IF([1]!BANCO10[[#This Row],[SOLUÇÃO]]=CN$1,[1]!BANCO10[[#This Row],[STATUS DA ETAPA]],"")</f>
        <v/>
      </c>
      <c r="CO493" s="21" t="str">
        <f>IF([1]!BANCO10[[#This Row],[SOLUÇÃO]]=CO$1,[1]!BANCO10[[#This Row],[STATUS DA ETAPA]],"")</f>
        <v/>
      </c>
      <c r="CP493" s="21" t="str">
        <f>IF([1]!BANCO10[[#This Row],[SOLUÇÃO]]=CP$1,[1]!BANCO10[[#This Row],[STATUS DA ETAPA]],"")</f>
        <v/>
      </c>
      <c r="CQ493" s="21" t="str">
        <f>IF([1]!BANCO10[[#This Row],[SOLUÇÃO]]=CQ$1,[1]!BANCO10[[#This Row],[STATUS DA ETAPA]],"")</f>
        <v/>
      </c>
      <c r="CR493" s="21" t="str">
        <f>IF([1]!BANCO10[[#This Row],[SOLUÇÃO]]=CR$1,[1]!BANCO10[[#This Row],[STATUS DA ETAPA]],"")</f>
        <v/>
      </c>
      <c r="CS493" s="21" t="str">
        <f>IF([1]!BANCO10[[#This Row],[SOLUÇÃO]]=CS$1,[1]!BANCO10[[#This Row],[STATUS DA ETAPA]],"")</f>
        <v/>
      </c>
      <c r="CT493" s="21" t="str">
        <f>IF([1]!BANCO10[[#This Row],[SOLUÇÃO]]=CT$1,[1]!BANCO10[[#This Row],[STATUS DA ETAPA]],"")</f>
        <v/>
      </c>
      <c r="CU493" s="21" t="str">
        <f>IF([1]!BANCO10[[#This Row],[SOLUÇÃO]]=CU$1,[1]!BANCO10[[#This Row],[STATUS DA ETAPA]],"")</f>
        <v/>
      </c>
      <c r="CV493" s="21" t="str">
        <f>IF([1]!BANCO10[[#This Row],[SOLUÇÃO]]=CV$1,[1]!BANCO10[[#This Row],[STATUS DA ETAPA]],"")</f>
        <v/>
      </c>
    </row>
    <row r="494" spans="1:100">
      <c r="A494" s="44" t="s">
        <v>1</v>
      </c>
      <c r="B494" s="44"/>
      <c r="C494" s="44" t="s">
        <v>1</v>
      </c>
      <c r="D494" s="44"/>
      <c r="E494" s="44" t="s">
        <v>1</v>
      </c>
      <c r="F494" s="44"/>
      <c r="G494" s="44" t="s">
        <v>1</v>
      </c>
      <c r="H494" s="44"/>
      <c r="I494" s="45" t="s">
        <v>1</v>
      </c>
      <c r="J494" s="46"/>
      <c r="K494" s="45" t="s">
        <v>1</v>
      </c>
      <c r="L494" s="33"/>
      <c r="M494" s="45" t="s">
        <v>1</v>
      </c>
      <c r="N494" s="33"/>
      <c r="O494" s="44" t="s">
        <v>1</v>
      </c>
      <c r="P494" s="44"/>
      <c r="Q494" s="44" t="s">
        <v>1</v>
      </c>
      <c r="R494" s="44"/>
      <c r="S494" s="44" t="s">
        <v>1</v>
      </c>
      <c r="T494" s="44"/>
      <c r="U494" s="44" t="s">
        <v>2</v>
      </c>
      <c r="V494" s="44">
        <v>45825</v>
      </c>
      <c r="W494" s="44"/>
      <c r="X494" s="44"/>
      <c r="Y494" s="44"/>
      <c r="Z494" s="44"/>
      <c r="AA494" s="44"/>
      <c r="AB494" s="44"/>
      <c r="AC494" s="51">
        <v>45868</v>
      </c>
      <c r="AD494" s="50">
        <v>45925</v>
      </c>
      <c r="AE494" s="68" t="s">
        <v>2</v>
      </c>
      <c r="AF494" s="68" t="s">
        <v>2</v>
      </c>
      <c r="AG494" s="76" t="s">
        <v>4</v>
      </c>
      <c r="AH494" s="36" t="s">
        <v>0</v>
      </c>
      <c r="AI494" s="49">
        <v>0</v>
      </c>
      <c r="AJ494" s="36" t="s">
        <v>6</v>
      </c>
      <c r="AK494" s="10" t="s">
        <v>399</v>
      </c>
      <c r="AL494" s="36">
        <v>4703</v>
      </c>
      <c r="AM494" s="36">
        <v>120148</v>
      </c>
      <c r="AN494" s="35" t="s">
        <v>1</v>
      </c>
      <c r="AO494" s="35" t="s">
        <v>1</v>
      </c>
      <c r="AP494" s="35" t="s">
        <v>0</v>
      </c>
      <c r="AQ494" s="35" t="s">
        <v>1</v>
      </c>
      <c r="AR494" s="34" t="s">
        <v>1</v>
      </c>
      <c r="AS494" s="33"/>
      <c r="AT494" s="30" t="s">
        <v>2</v>
      </c>
      <c r="AU494" s="31">
        <v>45926</v>
      </c>
      <c r="AV494" s="28" t="s">
        <v>0</v>
      </c>
      <c r="AW494" s="31"/>
      <c r="AX494" s="30" t="s">
        <v>0</v>
      </c>
      <c r="AY494" s="29"/>
      <c r="AZ494" s="28" t="s">
        <v>0</v>
      </c>
      <c r="BA494" s="27"/>
      <c r="BB494" s="39">
        <v>45835</v>
      </c>
      <c r="BC494" s="25" t="s">
        <v>133</v>
      </c>
      <c r="BD494" s="24"/>
      <c r="BE494" s="24"/>
      <c r="BF494" s="24"/>
      <c r="BG494" s="24"/>
      <c r="BH494" s="24"/>
      <c r="BI494" s="24"/>
      <c r="BJ494" s="24"/>
      <c r="BK494" s="24"/>
      <c r="BL494" s="24"/>
      <c r="BM494" s="24"/>
      <c r="BN494" s="24"/>
      <c r="BO494" s="24"/>
      <c r="BP494" s="24"/>
      <c r="BQ494" s="22">
        <f>YEAR([1]!BANCO10[[#This Row],[DATA INÍCIO]])</f>
        <v>2025</v>
      </c>
      <c r="BR494" s="22">
        <f>MONTH([1]!BANCO10[[#This Row],[DATA INÍCIO]])</f>
        <v>7</v>
      </c>
      <c r="BS494" s="23" t="e">
        <f>CONCATENATE(#REF!,#REF!)</f>
        <v>#REF!</v>
      </c>
      <c r="BT494" s="22"/>
      <c r="BU494" s="22"/>
      <c r="BV494" s="21" t="str">
        <f>IF([1]!BANCO10[[#This Row],[SOLUÇÃO]]=BV$1,[1]!BANCO10[[#This Row],[STATUS DA ETAPA]],"")</f>
        <v/>
      </c>
      <c r="BW494" s="21" t="str">
        <f>IF([1]!BANCO10[[#This Row],[SOLUÇÃO]]=BW$1,[1]!BANCO10[[#This Row],[STATUS DA ETAPA]],"")</f>
        <v/>
      </c>
      <c r="BX494" s="21" t="str">
        <f>IF([1]!BANCO10[[#This Row],[SOLUÇÃO]]=BX$1,[1]!BANCO10[[#This Row],[STATUS DA ETAPA]],"")</f>
        <v>CONCLUÍDO</v>
      </c>
      <c r="BY494" s="21" t="str">
        <f>IF([1]!BANCO10[[#This Row],[SOLUÇÃO]]=BY$1,[1]!BANCO10[[#This Row],[STATUS DA ETAPA]],"")</f>
        <v/>
      </c>
      <c r="BZ494" s="21" t="str">
        <f>IF([1]!BANCO10[[#This Row],[SOLUÇÃO]]=BZ$1,[1]!BANCO10[[#This Row],[STATUS DA ETAPA]],"")</f>
        <v/>
      </c>
      <c r="CA494" s="21" t="str">
        <f>IF([1]!BANCO10[[#This Row],[SOLUÇÃO]]=CA$1,[1]!BANCO10[[#This Row],[STATUS DA ETAPA]],"")</f>
        <v/>
      </c>
      <c r="CB494" s="21" t="str">
        <f>IF([1]!BANCO10[[#This Row],[SOLUÇÃO]]=CB$1,[1]!BANCO10[[#This Row],[STATUS DA ETAPA]],"")</f>
        <v/>
      </c>
      <c r="CC494" s="21" t="str">
        <f>IF([1]!BANCO10[[#This Row],[SOLUÇÃO]]=CC$1,[1]!BANCO10[[#This Row],[STATUS DA ETAPA]],"")</f>
        <v/>
      </c>
      <c r="CD494" s="21" t="str">
        <f>IF([1]!BANCO10[[#This Row],[SOLUÇÃO]]=CD$1,[1]!BANCO10[[#This Row],[STATUS DA ETAPA]],"")</f>
        <v/>
      </c>
      <c r="CE494" s="21" t="str">
        <f>IF([1]!BANCO10[[#This Row],[SOLUÇÃO]]=CE$1,[1]!BANCO10[[#This Row],[STATUS DA ETAPA]],"")</f>
        <v/>
      </c>
      <c r="CF494" s="21" t="str">
        <f>IF([1]!BANCO10[[#This Row],[SOLUÇÃO]]=CF$1,[1]!BANCO10[[#This Row],[STATUS DA ETAPA]],"")</f>
        <v/>
      </c>
      <c r="CG494" s="21" t="str">
        <f>IF([1]!BANCO10[[#This Row],[SOLUÇÃO]]=CG$1,[1]!BANCO10[[#This Row],[STATUS DA ETAPA]],"")</f>
        <v/>
      </c>
      <c r="CH494" s="21" t="str">
        <f>IF([1]!BANCO10[[#This Row],[SOLUÇÃO]]=CH$1,[1]!BANCO10[[#This Row],[STATUS DA ETAPA]],"")</f>
        <v/>
      </c>
      <c r="CI494" s="21" t="str">
        <f>IF([1]!BANCO10[[#This Row],[SOLUÇÃO]]=CI$1,[1]!BANCO10[[#This Row],[STATUS DA ETAPA]],"")</f>
        <v/>
      </c>
      <c r="CJ494" s="21" t="str">
        <f>IF([1]!BANCO10[[#This Row],[SOLUÇÃO]]=CJ$1,[1]!BANCO10[[#This Row],[STATUS DA ETAPA]],"")</f>
        <v/>
      </c>
      <c r="CK494" s="21" t="str">
        <f>IF([1]!BANCO10[[#This Row],[SOLUÇÃO]]=CK$1,[1]!BANCO10[[#This Row],[STATUS DA ETAPA]],"")</f>
        <v/>
      </c>
      <c r="CL494" s="21" t="str">
        <f>IF([1]!BANCO10[[#This Row],[SOLUÇÃO]]=CL$1,[1]!BANCO10[[#This Row],[STATUS DA ETAPA]],"")</f>
        <v/>
      </c>
      <c r="CM494" s="21" t="str">
        <f>IF([1]!BANCO10[[#This Row],[SOLUÇÃO]]=CM$1,[1]!BANCO10[[#This Row],[STATUS DA ETAPA]],"")</f>
        <v/>
      </c>
      <c r="CN494" s="21" t="str">
        <f>IF([1]!BANCO10[[#This Row],[SOLUÇÃO]]=CN$1,[1]!BANCO10[[#This Row],[STATUS DA ETAPA]],"")</f>
        <v/>
      </c>
      <c r="CO494" s="21" t="str">
        <f>IF([1]!BANCO10[[#This Row],[SOLUÇÃO]]=CO$1,[1]!BANCO10[[#This Row],[STATUS DA ETAPA]],"")</f>
        <v/>
      </c>
      <c r="CP494" s="21" t="str">
        <f>IF([1]!BANCO10[[#This Row],[SOLUÇÃO]]=CP$1,[1]!BANCO10[[#This Row],[STATUS DA ETAPA]],"")</f>
        <v/>
      </c>
      <c r="CQ494" s="21" t="str">
        <f>IF([1]!BANCO10[[#This Row],[SOLUÇÃO]]=CQ$1,[1]!BANCO10[[#This Row],[STATUS DA ETAPA]],"")</f>
        <v/>
      </c>
      <c r="CR494" s="21" t="str">
        <f>IF([1]!BANCO10[[#This Row],[SOLUÇÃO]]=CR$1,[1]!BANCO10[[#This Row],[STATUS DA ETAPA]],"")</f>
        <v/>
      </c>
      <c r="CS494" s="21" t="str">
        <f>IF([1]!BANCO10[[#This Row],[SOLUÇÃO]]=CS$1,[1]!BANCO10[[#This Row],[STATUS DA ETAPA]],"")</f>
        <v/>
      </c>
      <c r="CT494" s="21" t="str">
        <f>IF([1]!BANCO10[[#This Row],[SOLUÇÃO]]=CT$1,[1]!BANCO10[[#This Row],[STATUS DA ETAPA]],"")</f>
        <v/>
      </c>
      <c r="CU494" s="21" t="str">
        <f>IF([1]!BANCO10[[#This Row],[SOLUÇÃO]]=CU$1,[1]!BANCO10[[#This Row],[STATUS DA ETAPA]],"")</f>
        <v/>
      </c>
      <c r="CV494" s="21" t="str">
        <f>IF([1]!BANCO10[[#This Row],[SOLUÇÃO]]=CV$1,[1]!BANCO10[[#This Row],[STATUS DA ETAPA]],"")</f>
        <v/>
      </c>
    </row>
    <row r="495" spans="1:100">
      <c r="A495" s="44" t="s">
        <v>1</v>
      </c>
      <c r="B495" s="44"/>
      <c r="C495" s="44" t="s">
        <v>1</v>
      </c>
      <c r="D495" s="44"/>
      <c r="E495" s="44" t="s">
        <v>1</v>
      </c>
      <c r="F495" s="44"/>
      <c r="G495" s="44" t="s">
        <v>1</v>
      </c>
      <c r="H495" s="44"/>
      <c r="I495" s="45" t="s">
        <v>1</v>
      </c>
      <c r="J495" s="46"/>
      <c r="K495" s="45" t="s">
        <v>1</v>
      </c>
      <c r="L495" s="33"/>
      <c r="M495" s="45" t="s">
        <v>1</v>
      </c>
      <c r="N495" s="33"/>
      <c r="O495" s="44" t="s">
        <v>1</v>
      </c>
      <c r="P495" s="44"/>
      <c r="Q495" s="44" t="s">
        <v>1</v>
      </c>
      <c r="R495" s="44" t="s">
        <v>1</v>
      </c>
      <c r="S495" s="44" t="s">
        <v>1</v>
      </c>
      <c r="T495" s="44"/>
      <c r="U495" s="44" t="s">
        <v>1</v>
      </c>
      <c r="V495" s="44"/>
      <c r="W495" s="44" t="s">
        <v>1</v>
      </c>
      <c r="X495" s="44"/>
      <c r="Y495" s="44" t="s">
        <v>1</v>
      </c>
      <c r="Z495" s="44"/>
      <c r="AA495" s="44" t="s">
        <v>1</v>
      </c>
      <c r="AB495" s="44"/>
      <c r="AC495" s="51">
        <v>45642</v>
      </c>
      <c r="AD495" s="51">
        <v>45642</v>
      </c>
      <c r="AE495" s="40" t="s">
        <v>1</v>
      </c>
      <c r="AF495" s="40" t="s">
        <v>1</v>
      </c>
      <c r="AG495" s="40" t="s">
        <v>5</v>
      </c>
      <c r="AH495" s="36" t="s">
        <v>2</v>
      </c>
      <c r="AI495" s="49">
        <v>0</v>
      </c>
      <c r="AJ495" s="36" t="s">
        <v>1</v>
      </c>
      <c r="AK495" s="10"/>
      <c r="AL495" s="36"/>
      <c r="AM495" s="36"/>
      <c r="AN495" s="35" t="s">
        <v>1</v>
      </c>
      <c r="AO495" s="35" t="s">
        <v>1</v>
      </c>
      <c r="AP495" s="35" t="s">
        <v>1</v>
      </c>
      <c r="AQ495" s="35" t="s">
        <v>1</v>
      </c>
      <c r="AR495" s="48" t="s">
        <v>1</v>
      </c>
      <c r="AS495" s="33"/>
      <c r="AT495" s="32"/>
      <c r="AU495" s="31"/>
      <c r="AV495" s="32"/>
      <c r="AW495" s="31"/>
      <c r="AX495" s="32" t="s">
        <v>1</v>
      </c>
      <c r="AY495" s="31"/>
      <c r="AZ495" s="32" t="s">
        <v>1</v>
      </c>
      <c r="BA495" s="31"/>
      <c r="BB495" s="26"/>
      <c r="BC495" s="25"/>
      <c r="BD495" s="24"/>
      <c r="BE495" s="24"/>
      <c r="BF495" s="24"/>
      <c r="BG495" s="24"/>
      <c r="BH495" s="24"/>
      <c r="BI495" s="24"/>
      <c r="BJ495" s="24"/>
      <c r="BK495" s="24"/>
      <c r="BL495" s="24"/>
      <c r="BM495" s="24"/>
      <c r="BN495" s="24"/>
      <c r="BO495" s="24"/>
      <c r="BP495" s="24"/>
      <c r="BQ495" s="22">
        <f>YEAR([1]!BANCO10[[#This Row],[DATA INÍCIO]])</f>
        <v>2024</v>
      </c>
      <c r="BR495" s="22">
        <f>MONTH([1]!BANCO10[[#This Row],[DATA INÍCIO]])</f>
        <v>12</v>
      </c>
      <c r="BS495" s="23" t="e">
        <f>CONCATENATE(#REF!,#REF!)</f>
        <v>#REF!</v>
      </c>
      <c r="BT495" s="22"/>
      <c r="BU495" s="22"/>
      <c r="BV495" s="21" t="str">
        <f>IF([1]!BANCO10[[#This Row],[SOLUÇÃO]]=BV$1,[1]!BANCO10[[#This Row],[STATUS DA ETAPA]],"")</f>
        <v>CONCLUÍDO</v>
      </c>
      <c r="BW495" s="21" t="str">
        <f>IF([1]!BANCO10[[#This Row],[SOLUÇÃO]]=BW$1,[1]!BANCO10[[#This Row],[STATUS DA ETAPA]],"")</f>
        <v/>
      </c>
      <c r="BX495" s="21" t="str">
        <f>IF([1]!BANCO10[[#This Row],[SOLUÇÃO]]=BX$1,[1]!BANCO10[[#This Row],[STATUS DA ETAPA]],"")</f>
        <v/>
      </c>
      <c r="BY495" s="21" t="str">
        <f>IF([1]!BANCO10[[#This Row],[SOLUÇÃO]]=BY$1,[1]!BANCO10[[#This Row],[STATUS DA ETAPA]],"")</f>
        <v/>
      </c>
      <c r="BZ495" s="21" t="str">
        <f>IF([1]!BANCO10[[#This Row],[SOLUÇÃO]]=BZ$1,[1]!BANCO10[[#This Row],[STATUS DA ETAPA]],"")</f>
        <v/>
      </c>
      <c r="CA495" s="21" t="str">
        <f>IF([1]!BANCO10[[#This Row],[SOLUÇÃO]]=CA$1,[1]!BANCO10[[#This Row],[STATUS DA ETAPA]],"")</f>
        <v/>
      </c>
      <c r="CB495" s="21" t="str">
        <f>IF([1]!BANCO10[[#This Row],[SOLUÇÃO]]=CB$1,[1]!BANCO10[[#This Row],[STATUS DA ETAPA]],"")</f>
        <v/>
      </c>
      <c r="CC495" s="21" t="str">
        <f>IF([1]!BANCO10[[#This Row],[SOLUÇÃO]]=CC$1,[1]!BANCO10[[#This Row],[STATUS DA ETAPA]],"")</f>
        <v/>
      </c>
      <c r="CD495" s="21" t="str">
        <f>IF([1]!BANCO10[[#This Row],[SOLUÇÃO]]=CD$1,[1]!BANCO10[[#This Row],[STATUS DA ETAPA]],"")</f>
        <v/>
      </c>
      <c r="CE495" s="21" t="str">
        <f>IF([1]!BANCO10[[#This Row],[SOLUÇÃO]]=CE$1,[1]!BANCO10[[#This Row],[STATUS DA ETAPA]],"")</f>
        <v/>
      </c>
      <c r="CF495" s="21" t="str">
        <f>IF([1]!BANCO10[[#This Row],[SOLUÇÃO]]=CF$1,[1]!BANCO10[[#This Row],[STATUS DA ETAPA]],"")</f>
        <v/>
      </c>
      <c r="CG495" s="21" t="str">
        <f>IF([1]!BANCO10[[#This Row],[SOLUÇÃO]]=CG$1,[1]!BANCO10[[#This Row],[STATUS DA ETAPA]],"")</f>
        <v/>
      </c>
      <c r="CH495" s="21" t="str">
        <f>IF([1]!BANCO10[[#This Row],[SOLUÇÃO]]=CH$1,[1]!BANCO10[[#This Row],[STATUS DA ETAPA]],"")</f>
        <v/>
      </c>
      <c r="CI495" s="21" t="str">
        <f>IF([1]!BANCO10[[#This Row],[SOLUÇÃO]]=CI$1,[1]!BANCO10[[#This Row],[STATUS DA ETAPA]],"")</f>
        <v/>
      </c>
      <c r="CJ495" s="21" t="str">
        <f>IF([1]!BANCO10[[#This Row],[SOLUÇÃO]]=CJ$1,[1]!BANCO10[[#This Row],[STATUS DA ETAPA]],"")</f>
        <v/>
      </c>
      <c r="CK495" s="21" t="str">
        <f>IF([1]!BANCO10[[#This Row],[SOLUÇÃO]]=CK$1,[1]!BANCO10[[#This Row],[STATUS DA ETAPA]],"")</f>
        <v/>
      </c>
      <c r="CL495" s="21" t="str">
        <f>IF([1]!BANCO10[[#This Row],[SOLUÇÃO]]=CL$1,[1]!BANCO10[[#This Row],[STATUS DA ETAPA]],"")</f>
        <v/>
      </c>
      <c r="CM495" s="21" t="str">
        <f>IF([1]!BANCO10[[#This Row],[SOLUÇÃO]]=CM$1,[1]!BANCO10[[#This Row],[STATUS DA ETAPA]],"")</f>
        <v/>
      </c>
      <c r="CN495" s="21" t="str">
        <f>IF([1]!BANCO10[[#This Row],[SOLUÇÃO]]=CN$1,[1]!BANCO10[[#This Row],[STATUS DA ETAPA]],"")</f>
        <v/>
      </c>
      <c r="CO495" s="21" t="str">
        <f>IF([1]!BANCO10[[#This Row],[SOLUÇÃO]]=CO$1,[1]!BANCO10[[#This Row],[STATUS DA ETAPA]],"")</f>
        <v/>
      </c>
      <c r="CP495" s="21" t="str">
        <f>IF([1]!BANCO10[[#This Row],[SOLUÇÃO]]=CP$1,[1]!BANCO10[[#This Row],[STATUS DA ETAPA]],"")</f>
        <v/>
      </c>
      <c r="CQ495" s="21" t="str">
        <f>IF([1]!BANCO10[[#This Row],[SOLUÇÃO]]=CQ$1,[1]!BANCO10[[#This Row],[STATUS DA ETAPA]],"")</f>
        <v/>
      </c>
      <c r="CR495" s="21" t="str">
        <f>IF([1]!BANCO10[[#This Row],[SOLUÇÃO]]=CR$1,[1]!BANCO10[[#This Row],[STATUS DA ETAPA]],"")</f>
        <v/>
      </c>
      <c r="CS495" s="21" t="str">
        <f>IF([1]!BANCO10[[#This Row],[SOLUÇÃO]]=CS$1,[1]!BANCO10[[#This Row],[STATUS DA ETAPA]],"")</f>
        <v/>
      </c>
      <c r="CT495" s="21" t="str">
        <f>IF([1]!BANCO10[[#This Row],[SOLUÇÃO]]=CT$1,[1]!BANCO10[[#This Row],[STATUS DA ETAPA]],"")</f>
        <v/>
      </c>
      <c r="CU495" s="21" t="str">
        <f>IF([1]!BANCO10[[#This Row],[SOLUÇÃO]]=CU$1,[1]!BANCO10[[#This Row],[STATUS DA ETAPA]],"")</f>
        <v/>
      </c>
      <c r="CV495" s="21" t="str">
        <f>IF([1]!BANCO10[[#This Row],[SOLUÇÃO]]=CV$1,[1]!BANCO10[[#This Row],[STATUS DA ETAPA]],"")</f>
        <v/>
      </c>
    </row>
    <row r="496" spans="1:100">
      <c r="A496" s="44" t="s">
        <v>1</v>
      </c>
      <c r="B496" s="44"/>
      <c r="C496" s="44" t="s">
        <v>1</v>
      </c>
      <c r="D496" s="44"/>
      <c r="E496" s="44" t="s">
        <v>1</v>
      </c>
      <c r="F496" s="44"/>
      <c r="G496" s="44" t="s">
        <v>1</v>
      </c>
      <c r="H496" s="44"/>
      <c r="I496" s="45" t="s">
        <v>1</v>
      </c>
      <c r="J496" s="46"/>
      <c r="K496" s="45" t="s">
        <v>1</v>
      </c>
      <c r="L496" s="33"/>
      <c r="M496" s="45" t="s">
        <v>1</v>
      </c>
      <c r="N496" s="33"/>
      <c r="O496" s="44" t="s">
        <v>1</v>
      </c>
      <c r="P496" s="44"/>
      <c r="Q496" s="44" t="s">
        <v>1</v>
      </c>
      <c r="R496" s="44" t="s">
        <v>1</v>
      </c>
      <c r="S496" s="44" t="s">
        <v>1</v>
      </c>
      <c r="T496" s="44"/>
      <c r="U496" s="44" t="s">
        <v>1</v>
      </c>
      <c r="V496" s="44"/>
      <c r="W496" s="44" t="s">
        <v>1</v>
      </c>
      <c r="X496" s="44"/>
      <c r="Y496" s="44" t="s">
        <v>1</v>
      </c>
      <c r="Z496" s="44"/>
      <c r="AA496" s="44" t="s">
        <v>1</v>
      </c>
      <c r="AB496" s="44"/>
      <c r="AC496" s="51">
        <v>45713</v>
      </c>
      <c r="AD496" s="50">
        <v>45713</v>
      </c>
      <c r="AE496" s="41" t="s">
        <v>1</v>
      </c>
      <c r="AF496" s="41" t="s">
        <v>1</v>
      </c>
      <c r="AG496" s="40" t="s">
        <v>5</v>
      </c>
      <c r="AH496" s="36" t="s">
        <v>2</v>
      </c>
      <c r="AI496" s="49">
        <v>0</v>
      </c>
      <c r="AJ496" s="36" t="s">
        <v>1</v>
      </c>
      <c r="AK496" s="10" t="s">
        <v>1</v>
      </c>
      <c r="AL496" s="36" t="s">
        <v>1</v>
      </c>
      <c r="AM496" s="36" t="s">
        <v>1</v>
      </c>
      <c r="AN496" s="35" t="s">
        <v>1</v>
      </c>
      <c r="AO496" s="35" t="s">
        <v>1</v>
      </c>
      <c r="AP496" s="35" t="s">
        <v>1</v>
      </c>
      <c r="AQ496" s="35" t="s">
        <v>1</v>
      </c>
      <c r="AR496" s="82" t="s">
        <v>1</v>
      </c>
      <c r="AS496" s="33"/>
      <c r="AT496" s="32" t="s">
        <v>1</v>
      </c>
      <c r="AU496" s="31"/>
      <c r="AV496" s="32" t="s">
        <v>1</v>
      </c>
      <c r="AW496" s="31"/>
      <c r="AX496" s="32" t="s">
        <v>1</v>
      </c>
      <c r="AY496" s="31"/>
      <c r="AZ496" s="32" t="s">
        <v>1</v>
      </c>
      <c r="BA496" s="31"/>
      <c r="BB496" s="26"/>
      <c r="BC496" s="25"/>
      <c r="BD496" s="24"/>
      <c r="BE496" s="24"/>
      <c r="BF496" s="24"/>
      <c r="BG496" s="24"/>
      <c r="BH496" s="24"/>
      <c r="BI496" s="24"/>
      <c r="BJ496" s="24"/>
      <c r="BK496" s="24"/>
      <c r="BL496" s="24"/>
      <c r="BM496" s="24"/>
      <c r="BN496" s="24"/>
      <c r="BO496" s="24"/>
      <c r="BP496" s="24"/>
      <c r="BQ496" s="22">
        <f>YEAR([1]!BANCO10[[#This Row],[DATA INÍCIO]])</f>
        <v>2025</v>
      </c>
      <c r="BR496" s="22">
        <f>MONTH([1]!BANCO10[[#This Row],[DATA INÍCIO]])</f>
        <v>2</v>
      </c>
      <c r="BS496" s="23" t="e">
        <f>CONCATENATE(#REF!,#REF!)</f>
        <v>#REF!</v>
      </c>
      <c r="BT496" s="22"/>
      <c r="BU496" s="22"/>
      <c r="BV496" s="21" t="str">
        <f>IF([1]!BANCO10[[#This Row],[SOLUÇÃO]]=BV$1,[1]!BANCO10[[#This Row],[STATUS DA ETAPA]],"")</f>
        <v>CONCLUÍDO</v>
      </c>
      <c r="BW496" s="21" t="str">
        <f>IF([1]!BANCO10[[#This Row],[SOLUÇÃO]]=BW$1,[1]!BANCO10[[#This Row],[STATUS DA ETAPA]],"")</f>
        <v/>
      </c>
      <c r="BX496" s="21" t="str">
        <f>IF([1]!BANCO10[[#This Row],[SOLUÇÃO]]=BX$1,[1]!BANCO10[[#This Row],[STATUS DA ETAPA]],"")</f>
        <v/>
      </c>
      <c r="BY496" s="21" t="str">
        <f>IF([1]!BANCO10[[#This Row],[SOLUÇÃO]]=BY$1,[1]!BANCO10[[#This Row],[STATUS DA ETAPA]],"")</f>
        <v/>
      </c>
      <c r="BZ496" s="21" t="str">
        <f>IF([1]!BANCO10[[#This Row],[SOLUÇÃO]]=BZ$1,[1]!BANCO10[[#This Row],[STATUS DA ETAPA]],"")</f>
        <v/>
      </c>
      <c r="CA496" s="21" t="str">
        <f>IF([1]!BANCO10[[#This Row],[SOLUÇÃO]]=CA$1,[1]!BANCO10[[#This Row],[STATUS DA ETAPA]],"")</f>
        <v/>
      </c>
      <c r="CB496" s="21" t="str">
        <f>IF([1]!BANCO10[[#This Row],[SOLUÇÃO]]=CB$1,[1]!BANCO10[[#This Row],[STATUS DA ETAPA]],"")</f>
        <v/>
      </c>
      <c r="CC496" s="21" t="str">
        <f>IF([1]!BANCO10[[#This Row],[SOLUÇÃO]]=CC$1,[1]!BANCO10[[#This Row],[STATUS DA ETAPA]],"")</f>
        <v/>
      </c>
      <c r="CD496" s="21" t="str">
        <f>IF([1]!BANCO10[[#This Row],[SOLUÇÃO]]=CD$1,[1]!BANCO10[[#This Row],[STATUS DA ETAPA]],"")</f>
        <v/>
      </c>
      <c r="CE496" s="21" t="str">
        <f>IF([1]!BANCO10[[#This Row],[SOLUÇÃO]]=CE$1,[1]!BANCO10[[#This Row],[STATUS DA ETAPA]],"")</f>
        <v/>
      </c>
      <c r="CF496" s="21" t="str">
        <f>IF([1]!BANCO10[[#This Row],[SOLUÇÃO]]=CF$1,[1]!BANCO10[[#This Row],[STATUS DA ETAPA]],"")</f>
        <v/>
      </c>
      <c r="CG496" s="21" t="str">
        <f>IF([1]!BANCO10[[#This Row],[SOLUÇÃO]]=CG$1,[1]!BANCO10[[#This Row],[STATUS DA ETAPA]],"")</f>
        <v/>
      </c>
      <c r="CH496" s="21" t="str">
        <f>IF([1]!BANCO10[[#This Row],[SOLUÇÃO]]=CH$1,[1]!BANCO10[[#This Row],[STATUS DA ETAPA]],"")</f>
        <v/>
      </c>
      <c r="CI496" s="21" t="str">
        <f>IF([1]!BANCO10[[#This Row],[SOLUÇÃO]]=CI$1,[1]!BANCO10[[#This Row],[STATUS DA ETAPA]],"")</f>
        <v/>
      </c>
      <c r="CJ496" s="21" t="str">
        <f>IF([1]!BANCO10[[#This Row],[SOLUÇÃO]]=CJ$1,[1]!BANCO10[[#This Row],[STATUS DA ETAPA]],"")</f>
        <v/>
      </c>
      <c r="CK496" s="21" t="str">
        <f>IF([1]!BANCO10[[#This Row],[SOLUÇÃO]]=CK$1,[1]!BANCO10[[#This Row],[STATUS DA ETAPA]],"")</f>
        <v/>
      </c>
      <c r="CL496" s="21" t="str">
        <f>IF([1]!BANCO10[[#This Row],[SOLUÇÃO]]=CL$1,[1]!BANCO10[[#This Row],[STATUS DA ETAPA]],"")</f>
        <v/>
      </c>
      <c r="CM496" s="21" t="str">
        <f>IF([1]!BANCO10[[#This Row],[SOLUÇÃO]]=CM$1,[1]!BANCO10[[#This Row],[STATUS DA ETAPA]],"")</f>
        <v/>
      </c>
      <c r="CN496" s="21" t="str">
        <f>IF([1]!BANCO10[[#This Row],[SOLUÇÃO]]=CN$1,[1]!BANCO10[[#This Row],[STATUS DA ETAPA]],"")</f>
        <v/>
      </c>
      <c r="CO496" s="21" t="str">
        <f>IF([1]!BANCO10[[#This Row],[SOLUÇÃO]]=CO$1,[1]!BANCO10[[#This Row],[STATUS DA ETAPA]],"")</f>
        <v/>
      </c>
      <c r="CP496" s="21" t="str">
        <f>IF([1]!BANCO10[[#This Row],[SOLUÇÃO]]=CP$1,[1]!BANCO10[[#This Row],[STATUS DA ETAPA]],"")</f>
        <v/>
      </c>
      <c r="CQ496" s="21" t="str">
        <f>IF([1]!BANCO10[[#This Row],[SOLUÇÃO]]=CQ$1,[1]!BANCO10[[#This Row],[STATUS DA ETAPA]],"")</f>
        <v/>
      </c>
      <c r="CR496" s="21" t="str">
        <f>IF([1]!BANCO10[[#This Row],[SOLUÇÃO]]=CR$1,[1]!BANCO10[[#This Row],[STATUS DA ETAPA]],"")</f>
        <v/>
      </c>
      <c r="CS496" s="21" t="str">
        <f>IF([1]!BANCO10[[#This Row],[SOLUÇÃO]]=CS$1,[1]!BANCO10[[#This Row],[STATUS DA ETAPA]],"")</f>
        <v/>
      </c>
      <c r="CT496" s="21" t="str">
        <f>IF([1]!BANCO10[[#This Row],[SOLUÇÃO]]=CT$1,[1]!BANCO10[[#This Row],[STATUS DA ETAPA]],"")</f>
        <v/>
      </c>
      <c r="CU496" s="21" t="str">
        <f>IF([1]!BANCO10[[#This Row],[SOLUÇÃO]]=CU$1,[1]!BANCO10[[#This Row],[STATUS DA ETAPA]],"")</f>
        <v/>
      </c>
      <c r="CV496" s="21" t="str">
        <f>IF([1]!BANCO10[[#This Row],[SOLUÇÃO]]=CV$1,[1]!BANCO10[[#This Row],[STATUS DA ETAPA]],"")</f>
        <v/>
      </c>
    </row>
    <row r="497" spans="1:100">
      <c r="A497" s="44" t="s">
        <v>1</v>
      </c>
      <c r="B497" s="44"/>
      <c r="C497" s="44" t="s">
        <v>1</v>
      </c>
      <c r="D497" s="44"/>
      <c r="E497" s="44" t="s">
        <v>1</v>
      </c>
      <c r="F497" s="44"/>
      <c r="G497" s="44" t="s">
        <v>1</v>
      </c>
      <c r="H497" s="44"/>
      <c r="I497" s="45" t="s">
        <v>1</v>
      </c>
      <c r="J497" s="46"/>
      <c r="K497" s="45" t="s">
        <v>1</v>
      </c>
      <c r="L497" s="33"/>
      <c r="M497" s="45" t="s">
        <v>1</v>
      </c>
      <c r="N497" s="33"/>
      <c r="O497" s="44" t="s">
        <v>2</v>
      </c>
      <c r="P497" s="44">
        <v>45054</v>
      </c>
      <c r="Q497" s="44" t="s">
        <v>0</v>
      </c>
      <c r="R497" s="44"/>
      <c r="S497" s="44" t="s">
        <v>1</v>
      </c>
      <c r="T497" s="44"/>
      <c r="U497" s="44" t="s">
        <v>1</v>
      </c>
      <c r="V497" s="44"/>
      <c r="W497" s="44" t="s">
        <v>1</v>
      </c>
      <c r="X497" s="44"/>
      <c r="Y497" s="44" t="s">
        <v>1</v>
      </c>
      <c r="Z497" s="44"/>
      <c r="AA497" s="44" t="s">
        <v>1</v>
      </c>
      <c r="AB497" s="44"/>
      <c r="AC497" s="51">
        <v>45054</v>
      </c>
      <c r="AD497" s="50">
        <v>45054</v>
      </c>
      <c r="AE497" s="40" t="s">
        <v>1</v>
      </c>
      <c r="AF497" s="40" t="s">
        <v>1</v>
      </c>
      <c r="AG497" s="76" t="s">
        <v>5</v>
      </c>
      <c r="AH497" s="36" t="s">
        <v>0</v>
      </c>
      <c r="AI497" s="49">
        <v>0</v>
      </c>
      <c r="AJ497" s="36" t="s">
        <v>1</v>
      </c>
      <c r="AK497" s="10" t="s">
        <v>1</v>
      </c>
      <c r="AL497" s="36" t="s">
        <v>1</v>
      </c>
      <c r="AM497" s="36" t="s">
        <v>1</v>
      </c>
      <c r="AN497" s="35" t="s">
        <v>1</v>
      </c>
      <c r="AO497" s="35" t="s">
        <v>1</v>
      </c>
      <c r="AP497" s="35" t="s">
        <v>1</v>
      </c>
      <c r="AQ497" s="35" t="s">
        <v>1</v>
      </c>
      <c r="AR497" s="82" t="s">
        <v>1</v>
      </c>
      <c r="AS497" s="33"/>
      <c r="AT497" s="30"/>
      <c r="AU497" s="55"/>
      <c r="AV497" s="30"/>
      <c r="AW497" s="55"/>
      <c r="AX497" s="30" t="s">
        <v>1</v>
      </c>
      <c r="AY497" s="55"/>
      <c r="AZ497" s="30" t="s">
        <v>1</v>
      </c>
      <c r="BA497" s="55"/>
      <c r="BB497" s="74" t="s">
        <v>398</v>
      </c>
      <c r="BC497" s="25"/>
      <c r="BD497" s="24" t="s">
        <v>11</v>
      </c>
      <c r="BE497" s="24" t="s">
        <v>11</v>
      </c>
      <c r="BF497" s="24" t="s">
        <v>112</v>
      </c>
      <c r="BG497" s="24" t="s">
        <v>397</v>
      </c>
      <c r="BH497" s="130" t="s">
        <v>63</v>
      </c>
      <c r="BI497" s="24"/>
      <c r="BJ497" s="24" t="s">
        <v>11</v>
      </c>
      <c r="BK497" s="24" t="s">
        <v>11</v>
      </c>
      <c r="BL497" s="24" t="s">
        <v>11</v>
      </c>
      <c r="BM497" s="24" t="s">
        <v>11</v>
      </c>
      <c r="BN497" s="24" t="s">
        <v>11</v>
      </c>
      <c r="BO497" s="24" t="s">
        <v>11</v>
      </c>
      <c r="BP497" s="24" t="s">
        <v>11</v>
      </c>
      <c r="BQ497" s="22">
        <f>YEAR([1]!BANCO10[[#This Row],[DATA INÍCIO]])</f>
        <v>2023</v>
      </c>
      <c r="BR497" s="22">
        <f>MONTH([1]!BANCO10[[#This Row],[DATA INÍCIO]])</f>
        <v>5</v>
      </c>
      <c r="BS497" s="129" t="e">
        <f>CONCATENATE(#REF!,#REF!)</f>
        <v>#REF!</v>
      </c>
      <c r="BT497" s="22"/>
      <c r="BU497" s="21" t="s">
        <v>396</v>
      </c>
      <c r="BV497" s="21" t="str">
        <f>IF([1]!BANCO10[[#This Row],[SOLUÇÃO]]=BV$1,[1]!BANCO10[[#This Row],[STATUS DA ETAPA]],"")</f>
        <v>CONCLUÍDO</v>
      </c>
      <c r="BW497" s="21" t="str">
        <f>IF([1]!BANCO10[[#This Row],[SOLUÇÃO]]=BW$1,[1]!BANCO10[[#This Row],[STATUS DA ETAPA]],"")</f>
        <v/>
      </c>
      <c r="BX497" s="21" t="str">
        <f>IF([1]!BANCO10[[#This Row],[SOLUÇÃO]]=BX$1,[1]!BANCO10[[#This Row],[STATUS DA ETAPA]],"")</f>
        <v/>
      </c>
      <c r="BY497" s="21" t="str">
        <f>IF([1]!BANCO10[[#This Row],[SOLUÇÃO]]=BY$1,[1]!BANCO10[[#This Row],[STATUS DA ETAPA]],"")</f>
        <v/>
      </c>
      <c r="BZ497" s="21" t="str">
        <f>IF([1]!BANCO10[[#This Row],[SOLUÇÃO]]=BZ$1,[1]!BANCO10[[#This Row],[STATUS DA ETAPA]],"")</f>
        <v/>
      </c>
      <c r="CA497" s="21" t="str">
        <f>IF([1]!BANCO10[[#This Row],[SOLUÇÃO]]=CA$1,[1]!BANCO10[[#This Row],[STATUS DA ETAPA]],"")</f>
        <v/>
      </c>
      <c r="CB497" s="21" t="str">
        <f>IF([1]!BANCO10[[#This Row],[SOLUÇÃO]]=CB$1,[1]!BANCO10[[#This Row],[STATUS DA ETAPA]],"")</f>
        <v/>
      </c>
      <c r="CC497" s="21" t="str">
        <f>IF([1]!BANCO10[[#This Row],[SOLUÇÃO]]=CC$1,[1]!BANCO10[[#This Row],[STATUS DA ETAPA]],"")</f>
        <v/>
      </c>
      <c r="CD497" s="21" t="str">
        <f>IF([1]!BANCO10[[#This Row],[SOLUÇÃO]]=CD$1,[1]!BANCO10[[#This Row],[STATUS DA ETAPA]],"")</f>
        <v/>
      </c>
      <c r="CE497" s="21" t="str">
        <f>IF([1]!BANCO10[[#This Row],[SOLUÇÃO]]=CE$1,[1]!BANCO10[[#This Row],[STATUS DA ETAPA]],"")</f>
        <v/>
      </c>
      <c r="CF497" s="21" t="str">
        <f>IF([1]!BANCO10[[#This Row],[SOLUÇÃO]]=CF$1,[1]!BANCO10[[#This Row],[STATUS DA ETAPA]],"")</f>
        <v/>
      </c>
      <c r="CG497" s="21" t="str">
        <f>IF([1]!BANCO10[[#This Row],[SOLUÇÃO]]=CG$1,[1]!BANCO10[[#This Row],[STATUS DA ETAPA]],"")</f>
        <v/>
      </c>
      <c r="CH497" s="21" t="str">
        <f>IF([1]!BANCO10[[#This Row],[SOLUÇÃO]]=CH$1,[1]!BANCO10[[#This Row],[STATUS DA ETAPA]],"")</f>
        <v/>
      </c>
      <c r="CI497" s="21" t="str">
        <f>IF([1]!BANCO10[[#This Row],[SOLUÇÃO]]=CI$1,[1]!BANCO10[[#This Row],[STATUS DA ETAPA]],"")</f>
        <v/>
      </c>
      <c r="CJ497" s="21" t="str">
        <f>IF([1]!BANCO10[[#This Row],[SOLUÇÃO]]=CJ$1,[1]!BANCO10[[#This Row],[STATUS DA ETAPA]],"")</f>
        <v/>
      </c>
      <c r="CK497" s="21" t="str">
        <f>IF([1]!BANCO10[[#This Row],[SOLUÇÃO]]=CK$1,[1]!BANCO10[[#This Row],[STATUS DA ETAPA]],"")</f>
        <v/>
      </c>
      <c r="CL497" s="21" t="str">
        <f>IF([1]!BANCO10[[#This Row],[SOLUÇÃO]]=CL$1,[1]!BANCO10[[#This Row],[STATUS DA ETAPA]],"")</f>
        <v/>
      </c>
      <c r="CM497" s="21" t="str">
        <f>IF([1]!BANCO10[[#This Row],[SOLUÇÃO]]=CM$1,[1]!BANCO10[[#This Row],[STATUS DA ETAPA]],"")</f>
        <v/>
      </c>
      <c r="CN497" s="21" t="str">
        <f>IF([1]!BANCO10[[#This Row],[SOLUÇÃO]]=CN$1,[1]!BANCO10[[#This Row],[STATUS DA ETAPA]],"")</f>
        <v/>
      </c>
      <c r="CO497" s="21" t="str">
        <f>IF([1]!BANCO10[[#This Row],[SOLUÇÃO]]=CO$1,[1]!BANCO10[[#This Row],[STATUS DA ETAPA]],"")</f>
        <v/>
      </c>
      <c r="CP497" s="21" t="str">
        <f>IF([1]!BANCO10[[#This Row],[SOLUÇÃO]]=CP$1,[1]!BANCO10[[#This Row],[STATUS DA ETAPA]],"")</f>
        <v/>
      </c>
      <c r="CQ497" s="21" t="str">
        <f>IF([1]!BANCO10[[#This Row],[SOLUÇÃO]]=CQ$1,[1]!BANCO10[[#This Row],[STATUS DA ETAPA]],"")</f>
        <v/>
      </c>
      <c r="CR497" s="21" t="str">
        <f>IF([1]!BANCO10[[#This Row],[SOLUÇÃO]]=CR$1,[1]!BANCO10[[#This Row],[STATUS DA ETAPA]],"")</f>
        <v/>
      </c>
      <c r="CS497" s="21" t="str">
        <f>IF([1]!BANCO10[[#This Row],[SOLUÇÃO]]=CS$1,[1]!BANCO10[[#This Row],[STATUS DA ETAPA]],"")</f>
        <v/>
      </c>
      <c r="CT497" s="21" t="str">
        <f>IF([1]!BANCO10[[#This Row],[SOLUÇÃO]]=CT$1,[1]!BANCO10[[#This Row],[STATUS DA ETAPA]],"")</f>
        <v/>
      </c>
      <c r="CU497" s="21" t="str">
        <f>IF([1]!BANCO10[[#This Row],[SOLUÇÃO]]=CU$1,[1]!BANCO10[[#This Row],[STATUS DA ETAPA]],"")</f>
        <v/>
      </c>
      <c r="CV497" s="21" t="str">
        <f>IF([1]!BANCO10[[#This Row],[SOLUÇÃO]]=CV$1,[1]!BANCO10[[#This Row],[STATUS DA ETAPA]],"")</f>
        <v/>
      </c>
    </row>
    <row r="498" spans="1:100">
      <c r="A498" s="44" t="s">
        <v>1</v>
      </c>
      <c r="B498" s="44"/>
      <c r="C498" s="44" t="s">
        <v>1</v>
      </c>
      <c r="D498" s="44"/>
      <c r="E498" s="44" t="s">
        <v>1</v>
      </c>
      <c r="F498" s="44"/>
      <c r="G498" s="44" t="s">
        <v>1</v>
      </c>
      <c r="H498" s="44"/>
      <c r="I498" s="45" t="s">
        <v>1</v>
      </c>
      <c r="J498" s="46"/>
      <c r="K498" s="45" t="s">
        <v>1</v>
      </c>
      <c r="L498" s="33"/>
      <c r="M498" s="45" t="s">
        <v>1</v>
      </c>
      <c r="N498" s="33"/>
      <c r="O498" s="44" t="s">
        <v>1</v>
      </c>
      <c r="P498" s="44"/>
      <c r="Q498" s="44" t="s">
        <v>1</v>
      </c>
      <c r="R498" s="44"/>
      <c r="S498" s="44" t="s">
        <v>1</v>
      </c>
      <c r="T498" s="44"/>
      <c r="U498" s="44" t="s">
        <v>1</v>
      </c>
      <c r="V498" s="44"/>
      <c r="W498" s="44" t="s">
        <v>1</v>
      </c>
      <c r="X498" s="44"/>
      <c r="Y498" s="44" t="s">
        <v>1</v>
      </c>
      <c r="Z498" s="44"/>
      <c r="AA498" s="44" t="s">
        <v>1</v>
      </c>
      <c r="AB498" s="44"/>
      <c r="AC498" s="51">
        <v>45419</v>
      </c>
      <c r="AD498" s="50">
        <v>45629</v>
      </c>
      <c r="AE498" s="40" t="s">
        <v>2</v>
      </c>
      <c r="AF498" s="41" t="s">
        <v>2</v>
      </c>
      <c r="AG498" s="76" t="s">
        <v>5</v>
      </c>
      <c r="AH498" s="36" t="s">
        <v>0</v>
      </c>
      <c r="AI498" s="49">
        <v>0</v>
      </c>
      <c r="AJ498" s="36" t="s">
        <v>6</v>
      </c>
      <c r="AK498" s="10" t="s">
        <v>1</v>
      </c>
      <c r="AL498" s="36" t="s">
        <v>1</v>
      </c>
      <c r="AM498" s="36" t="s">
        <v>1</v>
      </c>
      <c r="AN498" s="35" t="s">
        <v>1</v>
      </c>
      <c r="AO498" s="35" t="s">
        <v>1</v>
      </c>
      <c r="AP498" s="35" t="s">
        <v>1</v>
      </c>
      <c r="AQ498" s="35" t="s">
        <v>1</v>
      </c>
      <c r="AR498" s="34" t="s">
        <v>1</v>
      </c>
      <c r="AS498" s="33"/>
      <c r="AT498" s="30"/>
      <c r="AU498" s="55"/>
      <c r="AV498" s="30"/>
      <c r="AW498" s="55"/>
      <c r="AX498" s="30" t="s">
        <v>2</v>
      </c>
      <c r="AY498" s="55"/>
      <c r="AZ498" s="30" t="s">
        <v>0</v>
      </c>
      <c r="BA498" s="55"/>
      <c r="BB498" s="74"/>
      <c r="BC498" s="25"/>
      <c r="BD498" s="24"/>
      <c r="BE498" s="24"/>
      <c r="BF498" s="24"/>
      <c r="BG498" s="24"/>
      <c r="BH498" s="130"/>
      <c r="BI498" s="24"/>
      <c r="BJ498" s="24" t="s">
        <v>11</v>
      </c>
      <c r="BK498" s="24" t="s">
        <v>11</v>
      </c>
      <c r="BL498" s="24">
        <v>45389</v>
      </c>
      <c r="BM498" s="24" t="s">
        <v>11</v>
      </c>
      <c r="BN498" s="24" t="s">
        <v>11</v>
      </c>
      <c r="BO498" s="24" t="s">
        <v>11</v>
      </c>
      <c r="BP498" s="24" t="s">
        <v>108</v>
      </c>
      <c r="BQ498" s="22">
        <f>YEAR([1]!BANCO10[[#This Row],[DATA INÍCIO]])</f>
        <v>2024</v>
      </c>
      <c r="BR498" s="22">
        <f>MONTH([1]!BANCO10[[#This Row],[DATA INÍCIO]])</f>
        <v>5</v>
      </c>
      <c r="BS498" s="129" t="e">
        <f>CONCATENATE(#REF!,#REF!)</f>
        <v>#REF!</v>
      </c>
      <c r="BT498" s="22"/>
      <c r="BU498" s="21" t="s">
        <v>395</v>
      </c>
      <c r="BV498" s="21" t="str">
        <f>IF([1]!BANCO10[[#This Row],[SOLUÇÃO]]=BV$1,[1]!BANCO10[[#This Row],[STATUS DA ETAPA]],"")</f>
        <v/>
      </c>
      <c r="BW498" s="21" t="str">
        <f>IF([1]!BANCO10[[#This Row],[SOLUÇÃO]]=BW$1,[1]!BANCO10[[#This Row],[STATUS DA ETAPA]],"")</f>
        <v/>
      </c>
      <c r="BX498" s="21" t="str">
        <f>IF([1]!BANCO10[[#This Row],[SOLUÇÃO]]=BX$1,[1]!BANCO10[[#This Row],[STATUS DA ETAPA]],"")</f>
        <v/>
      </c>
      <c r="BY498" s="21" t="str">
        <f>IF([1]!BANCO10[[#This Row],[SOLUÇÃO]]=BY$1,[1]!BANCO10[[#This Row],[STATUS DA ETAPA]],"")</f>
        <v/>
      </c>
      <c r="BZ498" s="21" t="str">
        <f>IF([1]!BANCO10[[#This Row],[SOLUÇÃO]]=BZ$1,[1]!BANCO10[[#This Row],[STATUS DA ETAPA]],"")</f>
        <v/>
      </c>
      <c r="CA498" s="21" t="str">
        <f>IF([1]!BANCO10[[#This Row],[SOLUÇÃO]]=CA$1,[1]!BANCO10[[#This Row],[STATUS DA ETAPA]],"")</f>
        <v/>
      </c>
      <c r="CB498" s="21" t="str">
        <f>IF([1]!BANCO10[[#This Row],[SOLUÇÃO]]=CB$1,[1]!BANCO10[[#This Row],[STATUS DA ETAPA]],"")</f>
        <v>CONCLUÍDO</v>
      </c>
      <c r="CC498" s="21" t="str">
        <f>IF([1]!BANCO10[[#This Row],[SOLUÇÃO]]=CC$1,[1]!BANCO10[[#This Row],[STATUS DA ETAPA]],"")</f>
        <v/>
      </c>
      <c r="CD498" s="21" t="str">
        <f>IF([1]!BANCO10[[#This Row],[SOLUÇÃO]]=CD$1,[1]!BANCO10[[#This Row],[STATUS DA ETAPA]],"")</f>
        <v/>
      </c>
      <c r="CE498" s="21" t="str">
        <f>IF([1]!BANCO10[[#This Row],[SOLUÇÃO]]=CE$1,[1]!BANCO10[[#This Row],[STATUS DA ETAPA]],"")</f>
        <v/>
      </c>
      <c r="CF498" s="21" t="str">
        <f>IF([1]!BANCO10[[#This Row],[SOLUÇÃO]]=CF$1,[1]!BANCO10[[#This Row],[STATUS DA ETAPA]],"")</f>
        <v/>
      </c>
      <c r="CG498" s="21" t="str">
        <f>IF([1]!BANCO10[[#This Row],[SOLUÇÃO]]=CG$1,[1]!BANCO10[[#This Row],[STATUS DA ETAPA]],"")</f>
        <v/>
      </c>
      <c r="CH498" s="21" t="str">
        <f>IF([1]!BANCO10[[#This Row],[SOLUÇÃO]]=CH$1,[1]!BANCO10[[#This Row],[STATUS DA ETAPA]],"")</f>
        <v/>
      </c>
      <c r="CI498" s="21" t="str">
        <f>IF([1]!BANCO10[[#This Row],[SOLUÇÃO]]=CI$1,[1]!BANCO10[[#This Row],[STATUS DA ETAPA]],"")</f>
        <v/>
      </c>
      <c r="CJ498" s="21" t="str">
        <f>IF([1]!BANCO10[[#This Row],[SOLUÇÃO]]=CJ$1,[1]!BANCO10[[#This Row],[STATUS DA ETAPA]],"")</f>
        <v/>
      </c>
      <c r="CK498" s="21" t="str">
        <f>IF([1]!BANCO10[[#This Row],[SOLUÇÃO]]=CK$1,[1]!BANCO10[[#This Row],[STATUS DA ETAPA]],"")</f>
        <v/>
      </c>
      <c r="CL498" s="21" t="str">
        <f>IF([1]!BANCO10[[#This Row],[SOLUÇÃO]]=CL$1,[1]!BANCO10[[#This Row],[STATUS DA ETAPA]],"")</f>
        <v/>
      </c>
      <c r="CM498" s="21" t="str">
        <f>IF([1]!BANCO10[[#This Row],[SOLUÇÃO]]=CM$1,[1]!BANCO10[[#This Row],[STATUS DA ETAPA]],"")</f>
        <v/>
      </c>
      <c r="CN498" s="21" t="str">
        <f>IF([1]!BANCO10[[#This Row],[SOLUÇÃO]]=CN$1,[1]!BANCO10[[#This Row],[STATUS DA ETAPA]],"")</f>
        <v/>
      </c>
      <c r="CO498" s="21" t="str">
        <f>IF([1]!BANCO10[[#This Row],[SOLUÇÃO]]=CO$1,[1]!BANCO10[[#This Row],[STATUS DA ETAPA]],"")</f>
        <v/>
      </c>
      <c r="CP498" s="21" t="str">
        <f>IF([1]!BANCO10[[#This Row],[SOLUÇÃO]]=CP$1,[1]!BANCO10[[#This Row],[STATUS DA ETAPA]],"")</f>
        <v/>
      </c>
      <c r="CQ498" s="21" t="str">
        <f>IF([1]!BANCO10[[#This Row],[SOLUÇÃO]]=CQ$1,[1]!BANCO10[[#This Row],[STATUS DA ETAPA]],"")</f>
        <v/>
      </c>
      <c r="CR498" s="21" t="str">
        <f>IF([1]!BANCO10[[#This Row],[SOLUÇÃO]]=CR$1,[1]!BANCO10[[#This Row],[STATUS DA ETAPA]],"")</f>
        <v/>
      </c>
      <c r="CS498" s="21" t="str">
        <f>IF([1]!BANCO10[[#This Row],[SOLUÇÃO]]=CS$1,[1]!BANCO10[[#This Row],[STATUS DA ETAPA]],"")</f>
        <v/>
      </c>
      <c r="CT498" s="21" t="str">
        <f>IF([1]!BANCO10[[#This Row],[SOLUÇÃO]]=CT$1,[1]!BANCO10[[#This Row],[STATUS DA ETAPA]],"")</f>
        <v/>
      </c>
      <c r="CU498" s="21" t="str">
        <f>IF([1]!BANCO10[[#This Row],[SOLUÇÃO]]=CU$1,[1]!BANCO10[[#This Row],[STATUS DA ETAPA]],"")</f>
        <v/>
      </c>
      <c r="CV498" s="21" t="str">
        <f>IF([1]!BANCO10[[#This Row],[SOLUÇÃO]]=CV$1,[1]!BANCO10[[#This Row],[STATUS DA ETAPA]],"")</f>
        <v/>
      </c>
    </row>
    <row r="499" spans="1:100">
      <c r="A499" s="44" t="s">
        <v>1</v>
      </c>
      <c r="B499" s="44"/>
      <c r="C499" s="44" t="s">
        <v>1</v>
      </c>
      <c r="D499" s="44"/>
      <c r="E499" s="44" t="s">
        <v>1</v>
      </c>
      <c r="F499" s="44"/>
      <c r="G499" s="44" t="s">
        <v>1</v>
      </c>
      <c r="H499" s="44"/>
      <c r="I499" s="45" t="s">
        <v>1</v>
      </c>
      <c r="J499" s="46"/>
      <c r="K499" s="45" t="s">
        <v>1</v>
      </c>
      <c r="L499" s="33"/>
      <c r="M499" s="45" t="s">
        <v>1</v>
      </c>
      <c r="N499" s="33"/>
      <c r="O499" s="44" t="s">
        <v>1</v>
      </c>
      <c r="P499" s="44"/>
      <c r="Q499" s="44" t="s">
        <v>1</v>
      </c>
      <c r="R499" s="44"/>
      <c r="S499" s="44" t="s">
        <v>1</v>
      </c>
      <c r="T499" s="44"/>
      <c r="U499" s="44" t="s">
        <v>1</v>
      </c>
      <c r="V499" s="44"/>
      <c r="W499" s="44" t="s">
        <v>1</v>
      </c>
      <c r="X499" s="44"/>
      <c r="Y499" s="44" t="s">
        <v>1</v>
      </c>
      <c r="Z499" s="44"/>
      <c r="AA499" s="44" t="s">
        <v>1</v>
      </c>
      <c r="AB499" s="44"/>
      <c r="AC499" s="51">
        <v>45419</v>
      </c>
      <c r="AD499" s="50">
        <v>45629</v>
      </c>
      <c r="AE499" s="40" t="s">
        <v>2</v>
      </c>
      <c r="AF499" s="41" t="s">
        <v>2</v>
      </c>
      <c r="AG499" s="76" t="s">
        <v>5</v>
      </c>
      <c r="AH499" s="36" t="s">
        <v>0</v>
      </c>
      <c r="AI499" s="49">
        <v>0</v>
      </c>
      <c r="AJ499" s="36" t="s">
        <v>6</v>
      </c>
      <c r="AK499" s="10" t="s">
        <v>1</v>
      </c>
      <c r="AL499" s="36" t="s">
        <v>1</v>
      </c>
      <c r="AM499" s="36" t="s">
        <v>1</v>
      </c>
      <c r="AN499" s="35" t="s">
        <v>1</v>
      </c>
      <c r="AO499" s="35" t="s">
        <v>1</v>
      </c>
      <c r="AP499" s="35" t="s">
        <v>1</v>
      </c>
      <c r="AQ499" s="35" t="s">
        <v>1</v>
      </c>
      <c r="AR499" s="34" t="s">
        <v>1</v>
      </c>
      <c r="AS499" s="33"/>
      <c r="AT499" s="30"/>
      <c r="AU499" s="55"/>
      <c r="AV499" s="30"/>
      <c r="AW499" s="55"/>
      <c r="AX499" s="30" t="s">
        <v>2</v>
      </c>
      <c r="AY499" s="55"/>
      <c r="AZ499" s="30" t="s">
        <v>0</v>
      </c>
      <c r="BA499" s="55"/>
      <c r="BB499" s="74"/>
      <c r="BC499" s="25"/>
      <c r="BD499" s="24"/>
      <c r="BE499" s="24"/>
      <c r="BF499" s="24"/>
      <c r="BG499" s="24"/>
      <c r="BH499" s="130"/>
      <c r="BI499" s="24"/>
      <c r="BJ499" s="24" t="s">
        <v>11</v>
      </c>
      <c r="BK499" s="24" t="s">
        <v>11</v>
      </c>
      <c r="BL499" s="24">
        <v>45389</v>
      </c>
      <c r="BM499" s="24" t="s">
        <v>11</v>
      </c>
      <c r="BN499" s="24" t="s">
        <v>11</v>
      </c>
      <c r="BO499" s="24" t="s">
        <v>11</v>
      </c>
      <c r="BP499" s="24" t="s">
        <v>108</v>
      </c>
      <c r="BQ499" s="22">
        <f>YEAR([1]!BANCO10[[#This Row],[DATA INÍCIO]])</f>
        <v>2024</v>
      </c>
      <c r="BR499" s="22">
        <f>MONTH([1]!BANCO10[[#This Row],[DATA INÍCIO]])</f>
        <v>5</v>
      </c>
      <c r="BS499" s="129" t="e">
        <f>CONCATENATE(#REF!,#REF!)</f>
        <v>#REF!</v>
      </c>
      <c r="BT499" s="22"/>
      <c r="BU499" s="21" t="s">
        <v>395</v>
      </c>
      <c r="BV499" s="21" t="str">
        <f>IF([1]!BANCO10[[#This Row],[SOLUÇÃO]]=BV$1,[1]!BANCO10[[#This Row],[STATUS DA ETAPA]],"")</f>
        <v/>
      </c>
      <c r="BW499" s="21" t="str">
        <f>IF([1]!BANCO10[[#This Row],[SOLUÇÃO]]=BW$1,[1]!BANCO10[[#This Row],[STATUS DA ETAPA]],"")</f>
        <v/>
      </c>
      <c r="BX499" s="21" t="str">
        <f>IF([1]!BANCO10[[#This Row],[SOLUÇÃO]]=BX$1,[1]!BANCO10[[#This Row],[STATUS DA ETAPA]],"")</f>
        <v/>
      </c>
      <c r="BY499" s="21" t="str">
        <f>IF([1]!BANCO10[[#This Row],[SOLUÇÃO]]=BY$1,[1]!BANCO10[[#This Row],[STATUS DA ETAPA]],"")</f>
        <v/>
      </c>
      <c r="BZ499" s="21" t="str">
        <f>IF([1]!BANCO10[[#This Row],[SOLUÇÃO]]=BZ$1,[1]!BANCO10[[#This Row],[STATUS DA ETAPA]],"")</f>
        <v/>
      </c>
      <c r="CA499" s="21" t="str">
        <f>IF([1]!BANCO10[[#This Row],[SOLUÇÃO]]=CA$1,[1]!BANCO10[[#This Row],[STATUS DA ETAPA]],"")</f>
        <v/>
      </c>
      <c r="CB499" s="21" t="str">
        <f>IF([1]!BANCO10[[#This Row],[SOLUÇÃO]]=CB$1,[1]!BANCO10[[#This Row],[STATUS DA ETAPA]],"")</f>
        <v>CONCLUÍDO</v>
      </c>
      <c r="CC499" s="21" t="str">
        <f>IF([1]!BANCO10[[#This Row],[SOLUÇÃO]]=CC$1,[1]!BANCO10[[#This Row],[STATUS DA ETAPA]],"")</f>
        <v/>
      </c>
      <c r="CD499" s="21" t="str">
        <f>IF([1]!BANCO10[[#This Row],[SOLUÇÃO]]=CD$1,[1]!BANCO10[[#This Row],[STATUS DA ETAPA]],"")</f>
        <v/>
      </c>
      <c r="CE499" s="21" t="str">
        <f>IF([1]!BANCO10[[#This Row],[SOLUÇÃO]]=CE$1,[1]!BANCO10[[#This Row],[STATUS DA ETAPA]],"")</f>
        <v/>
      </c>
      <c r="CF499" s="21" t="str">
        <f>IF([1]!BANCO10[[#This Row],[SOLUÇÃO]]=CF$1,[1]!BANCO10[[#This Row],[STATUS DA ETAPA]],"")</f>
        <v/>
      </c>
      <c r="CG499" s="21" t="str">
        <f>IF([1]!BANCO10[[#This Row],[SOLUÇÃO]]=CG$1,[1]!BANCO10[[#This Row],[STATUS DA ETAPA]],"")</f>
        <v/>
      </c>
      <c r="CH499" s="21" t="str">
        <f>IF([1]!BANCO10[[#This Row],[SOLUÇÃO]]=CH$1,[1]!BANCO10[[#This Row],[STATUS DA ETAPA]],"")</f>
        <v/>
      </c>
      <c r="CI499" s="21" t="str">
        <f>IF([1]!BANCO10[[#This Row],[SOLUÇÃO]]=CI$1,[1]!BANCO10[[#This Row],[STATUS DA ETAPA]],"")</f>
        <v/>
      </c>
      <c r="CJ499" s="21" t="str">
        <f>IF([1]!BANCO10[[#This Row],[SOLUÇÃO]]=CJ$1,[1]!BANCO10[[#This Row],[STATUS DA ETAPA]],"")</f>
        <v/>
      </c>
      <c r="CK499" s="21" t="str">
        <f>IF([1]!BANCO10[[#This Row],[SOLUÇÃO]]=CK$1,[1]!BANCO10[[#This Row],[STATUS DA ETAPA]],"")</f>
        <v/>
      </c>
      <c r="CL499" s="21" t="str">
        <f>IF([1]!BANCO10[[#This Row],[SOLUÇÃO]]=CL$1,[1]!BANCO10[[#This Row],[STATUS DA ETAPA]],"")</f>
        <v/>
      </c>
      <c r="CM499" s="21" t="str">
        <f>IF([1]!BANCO10[[#This Row],[SOLUÇÃO]]=CM$1,[1]!BANCO10[[#This Row],[STATUS DA ETAPA]],"")</f>
        <v/>
      </c>
      <c r="CN499" s="21" t="str">
        <f>IF([1]!BANCO10[[#This Row],[SOLUÇÃO]]=CN$1,[1]!BANCO10[[#This Row],[STATUS DA ETAPA]],"")</f>
        <v/>
      </c>
      <c r="CO499" s="21" t="str">
        <f>IF([1]!BANCO10[[#This Row],[SOLUÇÃO]]=CO$1,[1]!BANCO10[[#This Row],[STATUS DA ETAPA]],"")</f>
        <v/>
      </c>
      <c r="CP499" s="21" t="str">
        <f>IF([1]!BANCO10[[#This Row],[SOLUÇÃO]]=CP$1,[1]!BANCO10[[#This Row],[STATUS DA ETAPA]],"")</f>
        <v/>
      </c>
      <c r="CQ499" s="21" t="str">
        <f>IF([1]!BANCO10[[#This Row],[SOLUÇÃO]]=CQ$1,[1]!BANCO10[[#This Row],[STATUS DA ETAPA]],"")</f>
        <v/>
      </c>
      <c r="CR499" s="21" t="str">
        <f>IF([1]!BANCO10[[#This Row],[SOLUÇÃO]]=CR$1,[1]!BANCO10[[#This Row],[STATUS DA ETAPA]],"")</f>
        <v/>
      </c>
      <c r="CS499" s="21" t="str">
        <f>IF([1]!BANCO10[[#This Row],[SOLUÇÃO]]=CS$1,[1]!BANCO10[[#This Row],[STATUS DA ETAPA]],"")</f>
        <v/>
      </c>
      <c r="CT499" s="21" t="str">
        <f>IF([1]!BANCO10[[#This Row],[SOLUÇÃO]]=CT$1,[1]!BANCO10[[#This Row],[STATUS DA ETAPA]],"")</f>
        <v/>
      </c>
      <c r="CU499" s="21" t="str">
        <f>IF([1]!BANCO10[[#This Row],[SOLUÇÃO]]=CU$1,[1]!BANCO10[[#This Row],[STATUS DA ETAPA]],"")</f>
        <v/>
      </c>
      <c r="CV499" s="21" t="str">
        <f>IF([1]!BANCO10[[#This Row],[SOLUÇÃO]]=CV$1,[1]!BANCO10[[#This Row],[STATUS DA ETAPA]],"")</f>
        <v/>
      </c>
    </row>
    <row r="500" spans="1:100">
      <c r="A500" s="44" t="s">
        <v>1</v>
      </c>
      <c r="B500" s="44"/>
      <c r="C500" s="44" t="s">
        <v>1</v>
      </c>
      <c r="D500" s="44"/>
      <c r="E500" s="44" t="s">
        <v>1</v>
      </c>
      <c r="F500" s="44"/>
      <c r="G500" s="44" t="s">
        <v>1</v>
      </c>
      <c r="H500" s="44"/>
      <c r="I500" s="45" t="s">
        <v>1</v>
      </c>
      <c r="J500" s="46"/>
      <c r="K500" s="45" t="s">
        <v>1</v>
      </c>
      <c r="L500" s="33"/>
      <c r="M500" s="45" t="s">
        <v>1</v>
      </c>
      <c r="N500" s="33"/>
      <c r="O500" s="44" t="s">
        <v>1</v>
      </c>
      <c r="P500" s="44"/>
      <c r="Q500" s="44" t="s">
        <v>1</v>
      </c>
      <c r="R500" s="44"/>
      <c r="S500" s="44" t="s">
        <v>1</v>
      </c>
      <c r="T500" s="44"/>
      <c r="U500" s="44" t="s">
        <v>1</v>
      </c>
      <c r="V500" s="44"/>
      <c r="W500" s="44" t="s">
        <v>1</v>
      </c>
      <c r="X500" s="44"/>
      <c r="Y500" s="44" t="s">
        <v>1</v>
      </c>
      <c r="Z500" s="44"/>
      <c r="AA500" s="44" t="s">
        <v>1</v>
      </c>
      <c r="AB500" s="44"/>
      <c r="AC500" s="51">
        <v>45194</v>
      </c>
      <c r="AD500" s="50">
        <v>45194</v>
      </c>
      <c r="AE500" s="40" t="s">
        <v>1</v>
      </c>
      <c r="AF500" s="40" t="s">
        <v>1</v>
      </c>
      <c r="AG500" s="76" t="s">
        <v>5</v>
      </c>
      <c r="AH500" s="36" t="s">
        <v>1</v>
      </c>
      <c r="AI500" s="49">
        <v>0</v>
      </c>
      <c r="AJ500" s="36" t="s">
        <v>1</v>
      </c>
      <c r="AK500" s="10" t="s">
        <v>1</v>
      </c>
      <c r="AL500" s="36" t="s">
        <v>1</v>
      </c>
      <c r="AM500" s="36" t="s">
        <v>1</v>
      </c>
      <c r="AN500" s="35" t="s">
        <v>1</v>
      </c>
      <c r="AO500" s="35" t="s">
        <v>1</v>
      </c>
      <c r="AP500" s="35" t="s">
        <v>1</v>
      </c>
      <c r="AQ500" s="35" t="s">
        <v>1</v>
      </c>
      <c r="AR500" s="82" t="s">
        <v>1</v>
      </c>
      <c r="AS500" s="33"/>
      <c r="AT500" s="30"/>
      <c r="AU500" s="55"/>
      <c r="AV500" s="30"/>
      <c r="AW500" s="55"/>
      <c r="AX500" s="30" t="s">
        <v>1</v>
      </c>
      <c r="AY500" s="55"/>
      <c r="AZ500" s="30" t="s">
        <v>1</v>
      </c>
      <c r="BA500" s="55"/>
      <c r="BB500" s="74" t="s">
        <v>393</v>
      </c>
      <c r="BC500" s="25"/>
      <c r="BD500" s="24" t="s">
        <v>11</v>
      </c>
      <c r="BE500" s="24" t="s">
        <v>11</v>
      </c>
      <c r="BF500" s="24" t="s">
        <v>51</v>
      </c>
      <c r="BG500" s="24" t="s">
        <v>11</v>
      </c>
      <c r="BH500" s="130" t="s">
        <v>19</v>
      </c>
      <c r="BI500" s="24"/>
      <c r="BJ500" s="24" t="s">
        <v>11</v>
      </c>
      <c r="BK500" s="24" t="s">
        <v>11</v>
      </c>
      <c r="BL500" s="24" t="s">
        <v>11</v>
      </c>
      <c r="BM500" s="24" t="s">
        <v>11</v>
      </c>
      <c r="BN500" s="24" t="s">
        <v>11</v>
      </c>
      <c r="BO500" s="24" t="s">
        <v>11</v>
      </c>
      <c r="BP500" s="24" t="s">
        <v>11</v>
      </c>
      <c r="BQ500" s="22">
        <f>YEAR([1]!BANCO10[[#This Row],[DATA INÍCIO]])</f>
        <v>2023</v>
      </c>
      <c r="BR500" s="22">
        <f>MONTH([1]!BANCO10[[#This Row],[DATA INÍCIO]])</f>
        <v>9</v>
      </c>
      <c r="BS500" s="129" t="e">
        <f>CONCATENATE(#REF!,#REF!)</f>
        <v>#REF!</v>
      </c>
      <c r="BT500" s="22"/>
      <c r="BU500" s="21" t="s">
        <v>394</v>
      </c>
      <c r="BV500" s="21" t="str">
        <f>IF([1]!BANCO10[[#This Row],[SOLUÇÃO]]=BV$1,[1]!BANCO10[[#This Row],[STATUS DA ETAPA]],"")</f>
        <v>CONCLUÍDO</v>
      </c>
      <c r="BW500" s="21" t="str">
        <f>IF([1]!BANCO10[[#This Row],[SOLUÇÃO]]=BW$1,[1]!BANCO10[[#This Row],[STATUS DA ETAPA]],"")</f>
        <v/>
      </c>
      <c r="BX500" s="21" t="str">
        <f>IF([1]!BANCO10[[#This Row],[SOLUÇÃO]]=BX$1,[1]!BANCO10[[#This Row],[STATUS DA ETAPA]],"")</f>
        <v/>
      </c>
      <c r="BY500" s="21" t="str">
        <f>IF([1]!BANCO10[[#This Row],[SOLUÇÃO]]=BY$1,[1]!BANCO10[[#This Row],[STATUS DA ETAPA]],"")</f>
        <v/>
      </c>
      <c r="BZ500" s="21" t="str">
        <f>IF([1]!BANCO10[[#This Row],[SOLUÇÃO]]=BZ$1,[1]!BANCO10[[#This Row],[STATUS DA ETAPA]],"")</f>
        <v/>
      </c>
      <c r="CA500" s="21" t="str">
        <f>IF([1]!BANCO10[[#This Row],[SOLUÇÃO]]=CA$1,[1]!BANCO10[[#This Row],[STATUS DA ETAPA]],"")</f>
        <v/>
      </c>
      <c r="CB500" s="21" t="str">
        <f>IF([1]!BANCO10[[#This Row],[SOLUÇÃO]]=CB$1,[1]!BANCO10[[#This Row],[STATUS DA ETAPA]],"")</f>
        <v/>
      </c>
      <c r="CC500" s="21" t="str">
        <f>IF([1]!BANCO10[[#This Row],[SOLUÇÃO]]=CC$1,[1]!BANCO10[[#This Row],[STATUS DA ETAPA]],"")</f>
        <v/>
      </c>
      <c r="CD500" s="21" t="str">
        <f>IF([1]!BANCO10[[#This Row],[SOLUÇÃO]]=CD$1,[1]!BANCO10[[#This Row],[STATUS DA ETAPA]],"")</f>
        <v/>
      </c>
      <c r="CE500" s="21" t="str">
        <f>IF([1]!BANCO10[[#This Row],[SOLUÇÃO]]=CE$1,[1]!BANCO10[[#This Row],[STATUS DA ETAPA]],"")</f>
        <v/>
      </c>
      <c r="CF500" s="21" t="str">
        <f>IF([1]!BANCO10[[#This Row],[SOLUÇÃO]]=CF$1,[1]!BANCO10[[#This Row],[STATUS DA ETAPA]],"")</f>
        <v/>
      </c>
      <c r="CG500" s="21" t="str">
        <f>IF([1]!BANCO10[[#This Row],[SOLUÇÃO]]=CG$1,[1]!BANCO10[[#This Row],[STATUS DA ETAPA]],"")</f>
        <v/>
      </c>
      <c r="CH500" s="21" t="str">
        <f>IF([1]!BANCO10[[#This Row],[SOLUÇÃO]]=CH$1,[1]!BANCO10[[#This Row],[STATUS DA ETAPA]],"")</f>
        <v/>
      </c>
      <c r="CI500" s="21" t="str">
        <f>IF([1]!BANCO10[[#This Row],[SOLUÇÃO]]=CI$1,[1]!BANCO10[[#This Row],[STATUS DA ETAPA]],"")</f>
        <v/>
      </c>
      <c r="CJ500" s="21" t="str">
        <f>IF([1]!BANCO10[[#This Row],[SOLUÇÃO]]=CJ$1,[1]!BANCO10[[#This Row],[STATUS DA ETAPA]],"")</f>
        <v/>
      </c>
      <c r="CK500" s="21" t="str">
        <f>IF([1]!BANCO10[[#This Row],[SOLUÇÃO]]=CK$1,[1]!BANCO10[[#This Row],[STATUS DA ETAPA]],"")</f>
        <v/>
      </c>
      <c r="CL500" s="21" t="str">
        <f>IF([1]!BANCO10[[#This Row],[SOLUÇÃO]]=CL$1,[1]!BANCO10[[#This Row],[STATUS DA ETAPA]],"")</f>
        <v/>
      </c>
      <c r="CM500" s="21" t="str">
        <f>IF([1]!BANCO10[[#This Row],[SOLUÇÃO]]=CM$1,[1]!BANCO10[[#This Row],[STATUS DA ETAPA]],"")</f>
        <v/>
      </c>
      <c r="CN500" s="21" t="str">
        <f>IF([1]!BANCO10[[#This Row],[SOLUÇÃO]]=CN$1,[1]!BANCO10[[#This Row],[STATUS DA ETAPA]],"")</f>
        <v/>
      </c>
      <c r="CO500" s="21" t="str">
        <f>IF([1]!BANCO10[[#This Row],[SOLUÇÃO]]=CO$1,[1]!BANCO10[[#This Row],[STATUS DA ETAPA]],"")</f>
        <v/>
      </c>
      <c r="CP500" s="21" t="str">
        <f>IF([1]!BANCO10[[#This Row],[SOLUÇÃO]]=CP$1,[1]!BANCO10[[#This Row],[STATUS DA ETAPA]],"")</f>
        <v/>
      </c>
      <c r="CQ500" s="21" t="str">
        <f>IF([1]!BANCO10[[#This Row],[SOLUÇÃO]]=CQ$1,[1]!BANCO10[[#This Row],[STATUS DA ETAPA]],"")</f>
        <v/>
      </c>
      <c r="CR500" s="21" t="str">
        <f>IF([1]!BANCO10[[#This Row],[SOLUÇÃO]]=CR$1,[1]!BANCO10[[#This Row],[STATUS DA ETAPA]],"")</f>
        <v/>
      </c>
      <c r="CS500" s="21" t="str">
        <f>IF([1]!BANCO10[[#This Row],[SOLUÇÃO]]=CS$1,[1]!BANCO10[[#This Row],[STATUS DA ETAPA]],"")</f>
        <v/>
      </c>
      <c r="CT500" s="21" t="str">
        <f>IF([1]!BANCO10[[#This Row],[SOLUÇÃO]]=CT$1,[1]!BANCO10[[#This Row],[STATUS DA ETAPA]],"")</f>
        <v/>
      </c>
      <c r="CU500" s="21" t="str">
        <f>IF([1]!BANCO10[[#This Row],[SOLUÇÃO]]=CU$1,[1]!BANCO10[[#This Row],[STATUS DA ETAPA]],"")</f>
        <v/>
      </c>
      <c r="CV500" s="21" t="str">
        <f>IF([1]!BANCO10[[#This Row],[SOLUÇÃO]]=CV$1,[1]!BANCO10[[#This Row],[STATUS DA ETAPA]],"")</f>
        <v/>
      </c>
    </row>
    <row r="501" spans="1:100">
      <c r="A501" s="44" t="s">
        <v>1</v>
      </c>
      <c r="B501" s="44"/>
      <c r="C501" s="44" t="s">
        <v>1</v>
      </c>
      <c r="D501" s="44"/>
      <c r="E501" s="44" t="s">
        <v>1</v>
      </c>
      <c r="F501" s="44"/>
      <c r="G501" s="44" t="s">
        <v>1</v>
      </c>
      <c r="H501" s="44"/>
      <c r="I501" s="45" t="s">
        <v>1</v>
      </c>
      <c r="J501" s="46"/>
      <c r="K501" s="45" t="s">
        <v>1</v>
      </c>
      <c r="L501" s="33"/>
      <c r="M501" s="45" t="s">
        <v>1</v>
      </c>
      <c r="N501" s="33"/>
      <c r="O501" s="44" t="s">
        <v>2</v>
      </c>
      <c r="P501" s="44">
        <v>44927</v>
      </c>
      <c r="Q501" s="44" t="s">
        <v>2</v>
      </c>
      <c r="R501" s="44">
        <v>44927</v>
      </c>
      <c r="S501" s="44" t="s">
        <v>1</v>
      </c>
      <c r="T501" s="44"/>
      <c r="U501" s="44" t="s">
        <v>2</v>
      </c>
      <c r="V501" s="44">
        <v>44927</v>
      </c>
      <c r="W501" s="44" t="s">
        <v>2</v>
      </c>
      <c r="X501" s="44">
        <v>44927</v>
      </c>
      <c r="Y501" s="44" t="s">
        <v>2</v>
      </c>
      <c r="Z501" s="44">
        <v>44927</v>
      </c>
      <c r="AA501" s="44" t="s">
        <v>1</v>
      </c>
      <c r="AB501" s="44"/>
      <c r="AC501" s="51">
        <v>45963</v>
      </c>
      <c r="AD501" s="50">
        <v>45963</v>
      </c>
      <c r="AE501" s="41" t="s">
        <v>1</v>
      </c>
      <c r="AF501" s="41" t="s">
        <v>1</v>
      </c>
      <c r="AG501" s="76" t="s">
        <v>5</v>
      </c>
      <c r="AH501" s="36" t="s">
        <v>0</v>
      </c>
      <c r="AI501" s="49">
        <v>0</v>
      </c>
      <c r="AJ501" s="36"/>
      <c r="AK501" s="10" t="s">
        <v>30</v>
      </c>
      <c r="AL501" s="36" t="s">
        <v>30</v>
      </c>
      <c r="AM501" s="36" t="s">
        <v>30</v>
      </c>
      <c r="AN501" s="35" t="s">
        <v>1</v>
      </c>
      <c r="AO501" s="35" t="s">
        <v>1</v>
      </c>
      <c r="AP501" s="35"/>
      <c r="AQ501" s="35" t="s">
        <v>1</v>
      </c>
      <c r="AR501" s="34" t="s">
        <v>1</v>
      </c>
      <c r="AS501" s="33"/>
      <c r="AT501" s="32"/>
      <c r="AU501" s="31"/>
      <c r="AV501" s="32"/>
      <c r="AW501" s="31"/>
      <c r="AX501" s="30" t="s">
        <v>0</v>
      </c>
      <c r="AY501" s="29"/>
      <c r="AZ501" s="28" t="s">
        <v>0</v>
      </c>
      <c r="BA501" s="27"/>
      <c r="BB501" s="74" t="s">
        <v>393</v>
      </c>
      <c r="BC501" s="25"/>
      <c r="BD501" s="24" t="s">
        <v>11</v>
      </c>
      <c r="BE501" s="24" t="s">
        <v>11</v>
      </c>
      <c r="BF501" s="24" t="s">
        <v>51</v>
      </c>
      <c r="BG501" s="24" t="s">
        <v>11</v>
      </c>
      <c r="BH501" s="130" t="s">
        <v>19</v>
      </c>
      <c r="BI501" s="24"/>
      <c r="BJ501" s="24" t="s">
        <v>11</v>
      </c>
      <c r="BK501" s="24" t="s">
        <v>11</v>
      </c>
      <c r="BL501" s="24">
        <v>45544</v>
      </c>
      <c r="BM501" s="24"/>
      <c r="BN501" s="24" t="s">
        <v>11</v>
      </c>
      <c r="BO501" s="24"/>
      <c r="BP501" s="24" t="s">
        <v>392</v>
      </c>
      <c r="BQ501" s="22">
        <f>YEAR([1]!BANCO10[[#This Row],[DATA INÍCIO]])</f>
        <v>2025</v>
      </c>
      <c r="BR501" s="22">
        <f>MONTH([1]!BANCO10[[#This Row],[DATA INÍCIO]])</f>
        <v>11</v>
      </c>
      <c r="BS501" s="129" t="e">
        <f>CONCATENATE(#REF!,#REF!)</f>
        <v>#REF!</v>
      </c>
      <c r="BT501" s="22"/>
      <c r="BU501" s="21" t="s">
        <v>30</v>
      </c>
      <c r="BV501" s="21" t="str">
        <f>IF([1]!BANCO10[[#This Row],[SOLUÇÃO]]=BV$1,[1]!BANCO10[[#This Row],[STATUS DA ETAPA]],"")</f>
        <v/>
      </c>
      <c r="BW501" s="21" t="str">
        <f>IF([1]!BANCO10[[#This Row],[SOLUÇÃO]]=BW$1,[1]!BANCO10[[#This Row],[STATUS DA ETAPA]],"")</f>
        <v/>
      </c>
      <c r="BX501" s="21" t="str">
        <f>IF([1]!BANCO10[[#This Row],[SOLUÇÃO]]=BX$1,[1]!BANCO10[[#This Row],[STATUS DA ETAPA]],"")</f>
        <v/>
      </c>
      <c r="BY501" s="21" t="str">
        <f>IF([1]!BANCO10[[#This Row],[SOLUÇÃO]]=BY$1,[1]!BANCO10[[#This Row],[STATUS DA ETAPA]],"")</f>
        <v/>
      </c>
      <c r="BZ501" s="21" t="str">
        <f>IF([1]!BANCO10[[#This Row],[SOLUÇÃO]]=BZ$1,[1]!BANCO10[[#This Row],[STATUS DA ETAPA]],"")</f>
        <v/>
      </c>
      <c r="CA501" s="21" t="str">
        <f>IF([1]!BANCO10[[#This Row],[SOLUÇÃO]]=CA$1,[1]!BANCO10[[#This Row],[STATUS DA ETAPA]],"")</f>
        <v>PROSPECÇÃO</v>
      </c>
      <c r="CB501" s="21" t="str">
        <f>IF([1]!BANCO10[[#This Row],[SOLUÇÃO]]=CB$1,[1]!BANCO10[[#This Row],[STATUS DA ETAPA]],"")</f>
        <v/>
      </c>
      <c r="CC501" s="21" t="str">
        <f>IF([1]!BANCO10[[#This Row],[SOLUÇÃO]]=CC$1,[1]!BANCO10[[#This Row],[STATUS DA ETAPA]],"")</f>
        <v/>
      </c>
      <c r="CD501" s="21" t="str">
        <f>IF([1]!BANCO10[[#This Row],[SOLUÇÃO]]=CD$1,[1]!BANCO10[[#This Row],[STATUS DA ETAPA]],"")</f>
        <v/>
      </c>
      <c r="CE501" s="21" t="str">
        <f>IF([1]!BANCO10[[#This Row],[SOLUÇÃO]]=CE$1,[1]!BANCO10[[#This Row],[STATUS DA ETAPA]],"")</f>
        <v/>
      </c>
      <c r="CF501" s="21" t="str">
        <f>IF([1]!BANCO10[[#This Row],[SOLUÇÃO]]=CF$1,[1]!BANCO10[[#This Row],[STATUS DA ETAPA]],"")</f>
        <v/>
      </c>
      <c r="CG501" s="21" t="str">
        <f>IF([1]!BANCO10[[#This Row],[SOLUÇÃO]]=CG$1,[1]!BANCO10[[#This Row],[STATUS DA ETAPA]],"")</f>
        <v/>
      </c>
      <c r="CH501" s="21" t="str">
        <f>IF([1]!BANCO10[[#This Row],[SOLUÇÃO]]=CH$1,[1]!BANCO10[[#This Row],[STATUS DA ETAPA]],"")</f>
        <v/>
      </c>
      <c r="CI501" s="21" t="str">
        <f>IF([1]!BANCO10[[#This Row],[SOLUÇÃO]]=CI$1,[1]!BANCO10[[#This Row],[STATUS DA ETAPA]],"")</f>
        <v/>
      </c>
      <c r="CJ501" s="21" t="str">
        <f>IF([1]!BANCO10[[#This Row],[SOLUÇÃO]]=CJ$1,[1]!BANCO10[[#This Row],[STATUS DA ETAPA]],"")</f>
        <v/>
      </c>
      <c r="CK501" s="21" t="str">
        <f>IF([1]!BANCO10[[#This Row],[SOLUÇÃO]]=CK$1,[1]!BANCO10[[#This Row],[STATUS DA ETAPA]],"")</f>
        <v/>
      </c>
      <c r="CL501" s="21" t="str">
        <f>IF([1]!BANCO10[[#This Row],[SOLUÇÃO]]=CL$1,[1]!BANCO10[[#This Row],[STATUS DA ETAPA]],"")</f>
        <v/>
      </c>
      <c r="CM501" s="21" t="str">
        <f>IF([1]!BANCO10[[#This Row],[SOLUÇÃO]]=CM$1,[1]!BANCO10[[#This Row],[STATUS DA ETAPA]],"")</f>
        <v/>
      </c>
      <c r="CN501" s="21" t="str">
        <f>IF([1]!BANCO10[[#This Row],[SOLUÇÃO]]=CN$1,[1]!BANCO10[[#This Row],[STATUS DA ETAPA]],"")</f>
        <v/>
      </c>
      <c r="CO501" s="21" t="str">
        <f>IF([1]!BANCO10[[#This Row],[SOLUÇÃO]]=CO$1,[1]!BANCO10[[#This Row],[STATUS DA ETAPA]],"")</f>
        <v/>
      </c>
      <c r="CP501" s="21" t="str">
        <f>IF([1]!BANCO10[[#This Row],[SOLUÇÃO]]=CP$1,[1]!BANCO10[[#This Row],[STATUS DA ETAPA]],"")</f>
        <v/>
      </c>
      <c r="CQ501" s="21" t="str">
        <f>IF([1]!BANCO10[[#This Row],[SOLUÇÃO]]=CQ$1,[1]!BANCO10[[#This Row],[STATUS DA ETAPA]],"")</f>
        <v/>
      </c>
      <c r="CR501" s="21" t="str">
        <f>IF([1]!BANCO10[[#This Row],[SOLUÇÃO]]=CR$1,[1]!BANCO10[[#This Row],[STATUS DA ETAPA]],"")</f>
        <v/>
      </c>
      <c r="CS501" s="21" t="str">
        <f>IF([1]!BANCO10[[#This Row],[SOLUÇÃO]]=CS$1,[1]!BANCO10[[#This Row],[STATUS DA ETAPA]],"")</f>
        <v/>
      </c>
      <c r="CT501" s="21" t="str">
        <f>IF([1]!BANCO10[[#This Row],[SOLUÇÃO]]=CT$1,[1]!BANCO10[[#This Row],[STATUS DA ETAPA]],"")</f>
        <v/>
      </c>
      <c r="CU501" s="21" t="str">
        <f>IF([1]!BANCO10[[#This Row],[SOLUÇÃO]]=CU$1,[1]!BANCO10[[#This Row],[STATUS DA ETAPA]],"")</f>
        <v/>
      </c>
      <c r="CV501" s="21" t="str">
        <f>IF([1]!BANCO10[[#This Row],[SOLUÇÃO]]=CV$1,[1]!BANCO10[[#This Row],[STATUS DA ETAPA]],"")</f>
        <v/>
      </c>
    </row>
    <row r="502" spans="1:100">
      <c r="A502" s="44" t="s">
        <v>1</v>
      </c>
      <c r="B502" s="44"/>
      <c r="C502" s="44" t="s">
        <v>1</v>
      </c>
      <c r="D502" s="44"/>
      <c r="E502" s="44" t="s">
        <v>1</v>
      </c>
      <c r="F502" s="44"/>
      <c r="G502" s="44" t="s">
        <v>1</v>
      </c>
      <c r="H502" s="44"/>
      <c r="I502" s="45" t="s">
        <v>1</v>
      </c>
      <c r="J502" s="46"/>
      <c r="K502" s="45" t="s">
        <v>1</v>
      </c>
      <c r="L502" s="33"/>
      <c r="M502" s="45" t="s">
        <v>1</v>
      </c>
      <c r="N502" s="33"/>
      <c r="O502" s="44" t="s">
        <v>1</v>
      </c>
      <c r="P502" s="44"/>
      <c r="Q502" s="44" t="s">
        <v>0</v>
      </c>
      <c r="R502" s="44"/>
      <c r="S502" s="44" t="s">
        <v>1</v>
      </c>
      <c r="T502" s="44"/>
      <c r="U502" s="44" t="s">
        <v>1</v>
      </c>
      <c r="V502" s="44"/>
      <c r="W502" s="44" t="s">
        <v>1</v>
      </c>
      <c r="X502" s="44"/>
      <c r="Y502" s="44" t="s">
        <v>1</v>
      </c>
      <c r="Z502" s="44"/>
      <c r="AA502" s="44" t="s">
        <v>1</v>
      </c>
      <c r="AB502" s="44"/>
      <c r="AC502" s="51">
        <v>45963</v>
      </c>
      <c r="AD502" s="50">
        <v>45963</v>
      </c>
      <c r="AE502" s="41" t="s">
        <v>1</v>
      </c>
      <c r="AF502" s="41" t="s">
        <v>1</v>
      </c>
      <c r="AG502" s="40" t="s">
        <v>5</v>
      </c>
      <c r="AH502" s="36" t="s">
        <v>1</v>
      </c>
      <c r="AI502" s="49">
        <v>0</v>
      </c>
      <c r="AJ502" s="36" t="s">
        <v>1</v>
      </c>
      <c r="AK502" s="10" t="s">
        <v>1</v>
      </c>
      <c r="AL502" s="36" t="s">
        <v>1</v>
      </c>
      <c r="AM502" s="36" t="s">
        <v>1</v>
      </c>
      <c r="AN502" s="35" t="s">
        <v>1</v>
      </c>
      <c r="AO502" s="35" t="s">
        <v>1</v>
      </c>
      <c r="AP502" s="35" t="s">
        <v>1</v>
      </c>
      <c r="AQ502" s="35" t="s">
        <v>1</v>
      </c>
      <c r="AR502" s="82" t="s">
        <v>1</v>
      </c>
      <c r="AS502" s="63"/>
      <c r="AT502" s="32" t="s">
        <v>1</v>
      </c>
      <c r="AU502" s="31"/>
      <c r="AV502" s="32" t="s">
        <v>1</v>
      </c>
      <c r="AW502" s="31"/>
      <c r="AX502" s="32" t="s">
        <v>1</v>
      </c>
      <c r="AY502" s="31"/>
      <c r="AZ502" s="32" t="s">
        <v>1</v>
      </c>
      <c r="BA502" s="31"/>
      <c r="BB502" s="131"/>
      <c r="BC502" s="25" t="s">
        <v>41</v>
      </c>
      <c r="BD502" s="24"/>
      <c r="BE502" s="24"/>
      <c r="BF502" s="24"/>
      <c r="BG502" s="24"/>
      <c r="BH502" s="130"/>
      <c r="BI502" s="24"/>
      <c r="BJ502" s="24"/>
      <c r="BK502" s="24"/>
      <c r="BL502" s="24"/>
      <c r="BM502" s="24"/>
      <c r="BN502" s="24"/>
      <c r="BO502" s="24"/>
      <c r="BP502" s="24" t="s">
        <v>377</v>
      </c>
      <c r="BQ502" s="22">
        <f>YEAR([1]!BANCO10[[#This Row],[DATA INÍCIO]])</f>
        <v>2025</v>
      </c>
      <c r="BR502" s="22">
        <f>MONTH([1]!BANCO10[[#This Row],[DATA INÍCIO]])</f>
        <v>11</v>
      </c>
      <c r="BS502" s="129" t="e">
        <f>CONCATENATE(#REF!,#REF!)</f>
        <v>#REF!</v>
      </c>
      <c r="BT502" s="22"/>
      <c r="BU502" s="21" t="s">
        <v>391</v>
      </c>
      <c r="BV502" s="21" t="str">
        <f>IF([1]!BANCO10[[#This Row],[SOLUÇÃO]]=BV$1,[1]!BANCO10[[#This Row],[STATUS DA ETAPA]],"")</f>
        <v>CANCELADO</v>
      </c>
      <c r="BW502" s="21" t="str">
        <f>IF([1]!BANCO10[[#This Row],[SOLUÇÃO]]=BW$1,[1]!BANCO10[[#This Row],[STATUS DA ETAPA]],"")</f>
        <v/>
      </c>
      <c r="BX502" s="21" t="str">
        <f>IF([1]!BANCO10[[#This Row],[SOLUÇÃO]]=BX$1,[1]!BANCO10[[#This Row],[STATUS DA ETAPA]],"")</f>
        <v/>
      </c>
      <c r="BY502" s="21" t="str">
        <f>IF([1]!BANCO10[[#This Row],[SOLUÇÃO]]=BY$1,[1]!BANCO10[[#This Row],[STATUS DA ETAPA]],"")</f>
        <v/>
      </c>
      <c r="BZ502" s="21" t="str">
        <f>IF([1]!BANCO10[[#This Row],[SOLUÇÃO]]=BZ$1,[1]!BANCO10[[#This Row],[STATUS DA ETAPA]],"")</f>
        <v/>
      </c>
      <c r="CA502" s="21" t="str">
        <f>IF([1]!BANCO10[[#This Row],[SOLUÇÃO]]=CA$1,[1]!BANCO10[[#This Row],[STATUS DA ETAPA]],"")</f>
        <v/>
      </c>
      <c r="CB502" s="21" t="str">
        <f>IF([1]!BANCO10[[#This Row],[SOLUÇÃO]]=CB$1,[1]!BANCO10[[#This Row],[STATUS DA ETAPA]],"")</f>
        <v/>
      </c>
      <c r="CC502" s="21" t="str">
        <f>IF([1]!BANCO10[[#This Row],[SOLUÇÃO]]=CC$1,[1]!BANCO10[[#This Row],[STATUS DA ETAPA]],"")</f>
        <v/>
      </c>
      <c r="CD502" s="21" t="str">
        <f>IF([1]!BANCO10[[#This Row],[SOLUÇÃO]]=CD$1,[1]!BANCO10[[#This Row],[STATUS DA ETAPA]],"")</f>
        <v/>
      </c>
      <c r="CE502" s="21" t="str">
        <f>IF([1]!BANCO10[[#This Row],[SOLUÇÃO]]=CE$1,[1]!BANCO10[[#This Row],[STATUS DA ETAPA]],"")</f>
        <v/>
      </c>
      <c r="CF502" s="21" t="str">
        <f>IF([1]!BANCO10[[#This Row],[SOLUÇÃO]]=CF$1,[1]!BANCO10[[#This Row],[STATUS DA ETAPA]],"")</f>
        <v/>
      </c>
      <c r="CG502" s="21" t="str">
        <f>IF([1]!BANCO10[[#This Row],[SOLUÇÃO]]=CG$1,[1]!BANCO10[[#This Row],[STATUS DA ETAPA]],"")</f>
        <v/>
      </c>
      <c r="CH502" s="21" t="str">
        <f>IF([1]!BANCO10[[#This Row],[SOLUÇÃO]]=CH$1,[1]!BANCO10[[#This Row],[STATUS DA ETAPA]],"")</f>
        <v/>
      </c>
      <c r="CI502" s="21" t="str">
        <f>IF([1]!BANCO10[[#This Row],[SOLUÇÃO]]=CI$1,[1]!BANCO10[[#This Row],[STATUS DA ETAPA]],"")</f>
        <v/>
      </c>
      <c r="CJ502" s="21" t="str">
        <f>IF([1]!BANCO10[[#This Row],[SOLUÇÃO]]=CJ$1,[1]!BANCO10[[#This Row],[STATUS DA ETAPA]],"")</f>
        <v/>
      </c>
      <c r="CK502" s="21" t="str">
        <f>IF([1]!BANCO10[[#This Row],[SOLUÇÃO]]=CK$1,[1]!BANCO10[[#This Row],[STATUS DA ETAPA]],"")</f>
        <v/>
      </c>
      <c r="CL502" s="21" t="str">
        <f>IF([1]!BANCO10[[#This Row],[SOLUÇÃO]]=CL$1,[1]!BANCO10[[#This Row],[STATUS DA ETAPA]],"")</f>
        <v/>
      </c>
      <c r="CM502" s="21" t="str">
        <f>IF([1]!BANCO10[[#This Row],[SOLUÇÃO]]=CM$1,[1]!BANCO10[[#This Row],[STATUS DA ETAPA]],"")</f>
        <v/>
      </c>
      <c r="CN502" s="21" t="str">
        <f>IF([1]!BANCO10[[#This Row],[SOLUÇÃO]]=CN$1,[1]!BANCO10[[#This Row],[STATUS DA ETAPA]],"")</f>
        <v/>
      </c>
      <c r="CO502" s="21" t="str">
        <f>IF([1]!BANCO10[[#This Row],[SOLUÇÃO]]=CO$1,[1]!BANCO10[[#This Row],[STATUS DA ETAPA]],"")</f>
        <v/>
      </c>
      <c r="CP502" s="21" t="str">
        <f>IF([1]!BANCO10[[#This Row],[SOLUÇÃO]]=CP$1,[1]!BANCO10[[#This Row],[STATUS DA ETAPA]],"")</f>
        <v/>
      </c>
      <c r="CQ502" s="21" t="str">
        <f>IF([1]!BANCO10[[#This Row],[SOLUÇÃO]]=CQ$1,[1]!BANCO10[[#This Row],[STATUS DA ETAPA]],"")</f>
        <v/>
      </c>
      <c r="CR502" s="21" t="str">
        <f>IF([1]!BANCO10[[#This Row],[SOLUÇÃO]]=CR$1,[1]!BANCO10[[#This Row],[STATUS DA ETAPA]],"")</f>
        <v/>
      </c>
      <c r="CS502" s="21" t="str">
        <f>IF([1]!BANCO10[[#This Row],[SOLUÇÃO]]=CS$1,[1]!BANCO10[[#This Row],[STATUS DA ETAPA]],"")</f>
        <v/>
      </c>
      <c r="CT502" s="21" t="str">
        <f>IF([1]!BANCO10[[#This Row],[SOLUÇÃO]]=CT$1,[1]!BANCO10[[#This Row],[STATUS DA ETAPA]],"")</f>
        <v/>
      </c>
      <c r="CU502" s="21" t="str">
        <f>IF([1]!BANCO10[[#This Row],[SOLUÇÃO]]=CU$1,[1]!BANCO10[[#This Row],[STATUS DA ETAPA]],"")</f>
        <v/>
      </c>
      <c r="CV502" s="21" t="str">
        <f>IF([1]!BANCO10[[#This Row],[SOLUÇÃO]]=CV$1,[1]!BANCO10[[#This Row],[STATUS DA ETAPA]],"")</f>
        <v/>
      </c>
    </row>
    <row r="503" spans="1:100">
      <c r="A503" s="44" t="s">
        <v>1</v>
      </c>
      <c r="B503" s="44"/>
      <c r="C503" s="44" t="s">
        <v>1</v>
      </c>
      <c r="D503" s="44"/>
      <c r="E503" s="44" t="s">
        <v>1</v>
      </c>
      <c r="F503" s="44"/>
      <c r="G503" s="44" t="s">
        <v>1</v>
      </c>
      <c r="H503" s="44"/>
      <c r="I503" s="45" t="s">
        <v>1</v>
      </c>
      <c r="J503" s="46"/>
      <c r="K503" s="45" t="s">
        <v>1</v>
      </c>
      <c r="L503" s="33"/>
      <c r="M503" s="45" t="s">
        <v>1</v>
      </c>
      <c r="N503" s="33"/>
      <c r="O503" s="44" t="s">
        <v>2</v>
      </c>
      <c r="P503" s="44">
        <v>45639</v>
      </c>
      <c r="Q503" s="44" t="s">
        <v>0</v>
      </c>
      <c r="R503" s="44"/>
      <c r="S503" s="44" t="s">
        <v>1</v>
      </c>
      <c r="T503" s="44"/>
      <c r="U503" s="44" t="s">
        <v>1</v>
      </c>
      <c r="V503" s="44"/>
      <c r="W503" s="44" t="s">
        <v>1</v>
      </c>
      <c r="X503" s="44"/>
      <c r="Y503" s="44" t="s">
        <v>1</v>
      </c>
      <c r="Z503" s="44"/>
      <c r="AA503" s="44" t="s">
        <v>1</v>
      </c>
      <c r="AB503" s="44"/>
      <c r="AC503" s="51">
        <v>45261</v>
      </c>
      <c r="AD503" s="50">
        <v>45261</v>
      </c>
      <c r="AE503" s="40" t="s">
        <v>1</v>
      </c>
      <c r="AF503" s="40" t="s">
        <v>1</v>
      </c>
      <c r="AG503" s="76" t="s">
        <v>5</v>
      </c>
      <c r="AH503" s="36" t="s">
        <v>1</v>
      </c>
      <c r="AI503" s="49">
        <v>0</v>
      </c>
      <c r="AJ503" s="36" t="s">
        <v>1</v>
      </c>
      <c r="AK503" s="10" t="s">
        <v>1</v>
      </c>
      <c r="AL503" s="36" t="s">
        <v>1</v>
      </c>
      <c r="AM503" s="36" t="s">
        <v>1</v>
      </c>
      <c r="AN503" s="35" t="s">
        <v>1</v>
      </c>
      <c r="AO503" s="35" t="s">
        <v>1</v>
      </c>
      <c r="AP503" s="35" t="s">
        <v>1</v>
      </c>
      <c r="AQ503" s="35" t="s">
        <v>1</v>
      </c>
      <c r="AR503" s="82" t="s">
        <v>1</v>
      </c>
      <c r="AS503" s="33"/>
      <c r="AT503" s="30"/>
      <c r="AU503" s="55"/>
      <c r="AV503" s="30"/>
      <c r="AW503" s="55"/>
      <c r="AX503" s="30" t="s">
        <v>1</v>
      </c>
      <c r="AY503" s="55"/>
      <c r="AZ503" s="30" t="s">
        <v>1</v>
      </c>
      <c r="BA503" s="55"/>
      <c r="BB503" s="74" t="s">
        <v>77</v>
      </c>
      <c r="BC503" s="25" t="s">
        <v>390</v>
      </c>
      <c r="BD503" s="24" t="s">
        <v>19</v>
      </c>
      <c r="BE503" s="24" t="s">
        <v>19</v>
      </c>
      <c r="BF503" s="24" t="s">
        <v>51</v>
      </c>
      <c r="BG503" s="24" t="s">
        <v>11</v>
      </c>
      <c r="BH503" s="130" t="s">
        <v>388</v>
      </c>
      <c r="BI503" s="24"/>
      <c r="BJ503" s="24" t="s">
        <v>11</v>
      </c>
      <c r="BK503" s="24" t="s">
        <v>11</v>
      </c>
      <c r="BL503" s="24" t="s">
        <v>11</v>
      </c>
      <c r="BM503" s="24" t="s">
        <v>11</v>
      </c>
      <c r="BN503" s="24" t="s">
        <v>11</v>
      </c>
      <c r="BO503" s="24" t="s">
        <v>11</v>
      </c>
      <c r="BP503" s="24" t="s">
        <v>11</v>
      </c>
      <c r="BQ503" s="22">
        <f>YEAR([1]!BANCO10[[#This Row],[DATA INÍCIO]])</f>
        <v>2023</v>
      </c>
      <c r="BR503" s="22">
        <f>MONTH([1]!BANCO10[[#This Row],[DATA INÍCIO]])</f>
        <v>12</v>
      </c>
      <c r="BS503" s="129" t="e">
        <f>CONCATENATE(#REF!,#REF!)</f>
        <v>#REF!</v>
      </c>
      <c r="BT503" s="22"/>
      <c r="BU503" s="21" t="s">
        <v>389</v>
      </c>
      <c r="BV503" s="21" t="str">
        <f>IF([1]!BANCO10[[#This Row],[SOLUÇÃO]]=BV$1,[1]!BANCO10[[#This Row],[STATUS DA ETAPA]],"")</f>
        <v>CONCLUÍDO</v>
      </c>
      <c r="BW503" s="21" t="str">
        <f>IF([1]!BANCO10[[#This Row],[SOLUÇÃO]]=BW$1,[1]!BANCO10[[#This Row],[STATUS DA ETAPA]],"")</f>
        <v/>
      </c>
      <c r="BX503" s="21" t="str">
        <f>IF([1]!BANCO10[[#This Row],[SOLUÇÃO]]=BX$1,[1]!BANCO10[[#This Row],[STATUS DA ETAPA]],"")</f>
        <v/>
      </c>
      <c r="BY503" s="21" t="str">
        <f>IF([1]!BANCO10[[#This Row],[SOLUÇÃO]]=BY$1,[1]!BANCO10[[#This Row],[STATUS DA ETAPA]],"")</f>
        <v/>
      </c>
      <c r="BZ503" s="21" t="str">
        <f>IF([1]!BANCO10[[#This Row],[SOLUÇÃO]]=BZ$1,[1]!BANCO10[[#This Row],[STATUS DA ETAPA]],"")</f>
        <v/>
      </c>
      <c r="CA503" s="21" t="str">
        <f>IF([1]!BANCO10[[#This Row],[SOLUÇÃO]]=CA$1,[1]!BANCO10[[#This Row],[STATUS DA ETAPA]],"")</f>
        <v/>
      </c>
      <c r="CB503" s="21" t="str">
        <f>IF([1]!BANCO10[[#This Row],[SOLUÇÃO]]=CB$1,[1]!BANCO10[[#This Row],[STATUS DA ETAPA]],"")</f>
        <v/>
      </c>
      <c r="CC503" s="21" t="str">
        <f>IF([1]!BANCO10[[#This Row],[SOLUÇÃO]]=CC$1,[1]!BANCO10[[#This Row],[STATUS DA ETAPA]],"")</f>
        <v/>
      </c>
      <c r="CD503" s="21" t="str">
        <f>IF([1]!BANCO10[[#This Row],[SOLUÇÃO]]=CD$1,[1]!BANCO10[[#This Row],[STATUS DA ETAPA]],"")</f>
        <v/>
      </c>
      <c r="CE503" s="21" t="str">
        <f>IF([1]!BANCO10[[#This Row],[SOLUÇÃO]]=CE$1,[1]!BANCO10[[#This Row],[STATUS DA ETAPA]],"")</f>
        <v/>
      </c>
      <c r="CF503" s="21" t="str">
        <f>IF([1]!BANCO10[[#This Row],[SOLUÇÃO]]=CF$1,[1]!BANCO10[[#This Row],[STATUS DA ETAPA]],"")</f>
        <v/>
      </c>
      <c r="CG503" s="21" t="str">
        <f>IF([1]!BANCO10[[#This Row],[SOLUÇÃO]]=CG$1,[1]!BANCO10[[#This Row],[STATUS DA ETAPA]],"")</f>
        <v/>
      </c>
      <c r="CH503" s="21" t="str">
        <f>IF([1]!BANCO10[[#This Row],[SOLUÇÃO]]=CH$1,[1]!BANCO10[[#This Row],[STATUS DA ETAPA]],"")</f>
        <v/>
      </c>
      <c r="CI503" s="21" t="str">
        <f>IF([1]!BANCO10[[#This Row],[SOLUÇÃO]]=CI$1,[1]!BANCO10[[#This Row],[STATUS DA ETAPA]],"")</f>
        <v/>
      </c>
      <c r="CJ503" s="21" t="str">
        <f>IF([1]!BANCO10[[#This Row],[SOLUÇÃO]]=CJ$1,[1]!BANCO10[[#This Row],[STATUS DA ETAPA]],"")</f>
        <v/>
      </c>
      <c r="CK503" s="21" t="str">
        <f>IF([1]!BANCO10[[#This Row],[SOLUÇÃO]]=CK$1,[1]!BANCO10[[#This Row],[STATUS DA ETAPA]],"")</f>
        <v/>
      </c>
      <c r="CL503" s="21" t="str">
        <f>IF([1]!BANCO10[[#This Row],[SOLUÇÃO]]=CL$1,[1]!BANCO10[[#This Row],[STATUS DA ETAPA]],"")</f>
        <v/>
      </c>
      <c r="CM503" s="21" t="str">
        <f>IF([1]!BANCO10[[#This Row],[SOLUÇÃO]]=CM$1,[1]!BANCO10[[#This Row],[STATUS DA ETAPA]],"")</f>
        <v/>
      </c>
      <c r="CN503" s="21" t="str">
        <f>IF([1]!BANCO10[[#This Row],[SOLUÇÃO]]=CN$1,[1]!BANCO10[[#This Row],[STATUS DA ETAPA]],"")</f>
        <v/>
      </c>
      <c r="CO503" s="21" t="str">
        <f>IF([1]!BANCO10[[#This Row],[SOLUÇÃO]]=CO$1,[1]!BANCO10[[#This Row],[STATUS DA ETAPA]],"")</f>
        <v/>
      </c>
      <c r="CP503" s="21" t="str">
        <f>IF([1]!BANCO10[[#This Row],[SOLUÇÃO]]=CP$1,[1]!BANCO10[[#This Row],[STATUS DA ETAPA]],"")</f>
        <v/>
      </c>
      <c r="CQ503" s="21" t="str">
        <f>IF([1]!BANCO10[[#This Row],[SOLUÇÃO]]=CQ$1,[1]!BANCO10[[#This Row],[STATUS DA ETAPA]],"")</f>
        <v/>
      </c>
      <c r="CR503" s="21" t="str">
        <f>IF([1]!BANCO10[[#This Row],[SOLUÇÃO]]=CR$1,[1]!BANCO10[[#This Row],[STATUS DA ETAPA]],"")</f>
        <v/>
      </c>
      <c r="CS503" s="21" t="str">
        <f>IF([1]!BANCO10[[#This Row],[SOLUÇÃO]]=CS$1,[1]!BANCO10[[#This Row],[STATUS DA ETAPA]],"")</f>
        <v/>
      </c>
      <c r="CT503" s="21" t="str">
        <f>IF([1]!BANCO10[[#This Row],[SOLUÇÃO]]=CT$1,[1]!BANCO10[[#This Row],[STATUS DA ETAPA]],"")</f>
        <v/>
      </c>
      <c r="CU503" s="21" t="str">
        <f>IF([1]!BANCO10[[#This Row],[SOLUÇÃO]]=CU$1,[1]!BANCO10[[#This Row],[STATUS DA ETAPA]],"")</f>
        <v/>
      </c>
      <c r="CV503" s="21" t="str">
        <f>IF([1]!BANCO10[[#This Row],[SOLUÇÃO]]=CV$1,[1]!BANCO10[[#This Row],[STATUS DA ETAPA]],"")</f>
        <v/>
      </c>
    </row>
    <row r="504" spans="1:100">
      <c r="A504" s="44" t="s">
        <v>1</v>
      </c>
      <c r="B504" s="44"/>
      <c r="C504" s="44" t="s">
        <v>1</v>
      </c>
      <c r="D504" s="44"/>
      <c r="E504" s="44" t="s">
        <v>1</v>
      </c>
      <c r="F504" s="44"/>
      <c r="G504" s="44" t="s">
        <v>1</v>
      </c>
      <c r="H504" s="44"/>
      <c r="I504" s="45" t="s">
        <v>1</v>
      </c>
      <c r="J504" s="46"/>
      <c r="K504" s="45" t="s">
        <v>1</v>
      </c>
      <c r="L504" s="33"/>
      <c r="M504" s="45" t="s">
        <v>1</v>
      </c>
      <c r="N504" s="33"/>
      <c r="O504" s="44" t="s">
        <v>1</v>
      </c>
      <c r="P504" s="44"/>
      <c r="Q504" s="44" t="s">
        <v>0</v>
      </c>
      <c r="R504" s="44"/>
      <c r="S504" s="44" t="s">
        <v>1</v>
      </c>
      <c r="T504" s="44"/>
      <c r="U504" s="44" t="s">
        <v>1</v>
      </c>
      <c r="V504" s="44"/>
      <c r="W504" s="44" t="s">
        <v>1</v>
      </c>
      <c r="X504" s="44"/>
      <c r="Y504" s="44" t="s">
        <v>1</v>
      </c>
      <c r="Z504" s="44"/>
      <c r="AA504" s="44" t="s">
        <v>1</v>
      </c>
      <c r="AB504" s="44"/>
      <c r="AC504" s="51">
        <v>45963</v>
      </c>
      <c r="AD504" s="50">
        <v>45963</v>
      </c>
      <c r="AE504" s="40" t="s">
        <v>1</v>
      </c>
      <c r="AF504" s="40" t="s">
        <v>1</v>
      </c>
      <c r="AG504" s="40" t="s">
        <v>1</v>
      </c>
      <c r="AH504" s="36" t="s">
        <v>1</v>
      </c>
      <c r="AI504" s="49">
        <v>0</v>
      </c>
      <c r="AJ504" s="36" t="s">
        <v>1</v>
      </c>
      <c r="AK504" s="10" t="s">
        <v>1</v>
      </c>
      <c r="AL504" s="36" t="s">
        <v>1</v>
      </c>
      <c r="AM504" s="36" t="s">
        <v>1</v>
      </c>
      <c r="AN504" s="35" t="s">
        <v>1</v>
      </c>
      <c r="AO504" s="35" t="s">
        <v>1</v>
      </c>
      <c r="AP504" s="35" t="s">
        <v>1</v>
      </c>
      <c r="AQ504" s="35" t="s">
        <v>1</v>
      </c>
      <c r="AR504" s="82" t="s">
        <v>1</v>
      </c>
      <c r="AS504" s="63"/>
      <c r="AT504" s="32" t="s">
        <v>1</v>
      </c>
      <c r="AU504" s="31"/>
      <c r="AV504" s="32" t="s">
        <v>1</v>
      </c>
      <c r="AW504" s="31"/>
      <c r="AX504" s="32" t="s">
        <v>1</v>
      </c>
      <c r="AY504" s="31"/>
      <c r="AZ504" s="32" t="s">
        <v>1</v>
      </c>
      <c r="BA504" s="31"/>
      <c r="BB504" s="74" t="s">
        <v>386</v>
      </c>
      <c r="BC504" s="25"/>
      <c r="BD504" s="24" t="s">
        <v>19</v>
      </c>
      <c r="BE504" s="24" t="s">
        <v>19</v>
      </c>
      <c r="BF504" s="24" t="s">
        <v>51</v>
      </c>
      <c r="BG504" s="24" t="s">
        <v>11</v>
      </c>
      <c r="BH504" s="130" t="s">
        <v>388</v>
      </c>
      <c r="BI504" s="24"/>
      <c r="BJ504" s="24" t="s">
        <v>11</v>
      </c>
      <c r="BK504" s="24" t="s">
        <v>11</v>
      </c>
      <c r="BL504" s="24" t="s">
        <v>11</v>
      </c>
      <c r="BM504" s="24" t="s">
        <v>11</v>
      </c>
      <c r="BN504" s="24" t="s">
        <v>11</v>
      </c>
      <c r="BO504" s="24" t="s">
        <v>11</v>
      </c>
      <c r="BP504" s="24" t="s">
        <v>11</v>
      </c>
      <c r="BQ504" s="22">
        <f>YEAR([1]!BANCO10[[#This Row],[DATA INÍCIO]])</f>
        <v>2025</v>
      </c>
      <c r="BR504" s="22">
        <f>MONTH([1]!BANCO10[[#This Row],[DATA INÍCIO]])</f>
        <v>11</v>
      </c>
      <c r="BS504" s="129" t="e">
        <f>CONCATENATE(#REF!,#REF!)</f>
        <v>#REF!</v>
      </c>
      <c r="BT504" s="22"/>
      <c r="BU504" s="21" t="s">
        <v>387</v>
      </c>
      <c r="BV504" s="21" t="str">
        <f>IF([1]!BANCO10[[#This Row],[SOLUÇÃO]]=BV$1,[1]!BANCO10[[#This Row],[STATUS DA ETAPA]],"")</f>
        <v>CANCELADO</v>
      </c>
      <c r="BW504" s="21" t="str">
        <f>IF([1]!BANCO10[[#This Row],[SOLUÇÃO]]=BW$1,[1]!BANCO10[[#This Row],[STATUS DA ETAPA]],"")</f>
        <v/>
      </c>
      <c r="BX504" s="21" t="str">
        <f>IF([1]!BANCO10[[#This Row],[SOLUÇÃO]]=BX$1,[1]!BANCO10[[#This Row],[STATUS DA ETAPA]],"")</f>
        <v/>
      </c>
      <c r="BY504" s="21" t="str">
        <f>IF([1]!BANCO10[[#This Row],[SOLUÇÃO]]=BY$1,[1]!BANCO10[[#This Row],[STATUS DA ETAPA]],"")</f>
        <v/>
      </c>
      <c r="BZ504" s="21" t="str">
        <f>IF([1]!BANCO10[[#This Row],[SOLUÇÃO]]=BZ$1,[1]!BANCO10[[#This Row],[STATUS DA ETAPA]],"")</f>
        <v/>
      </c>
      <c r="CA504" s="21" t="str">
        <f>IF([1]!BANCO10[[#This Row],[SOLUÇÃO]]=CA$1,[1]!BANCO10[[#This Row],[STATUS DA ETAPA]],"")</f>
        <v/>
      </c>
      <c r="CB504" s="21" t="str">
        <f>IF([1]!BANCO10[[#This Row],[SOLUÇÃO]]=CB$1,[1]!BANCO10[[#This Row],[STATUS DA ETAPA]],"")</f>
        <v/>
      </c>
      <c r="CC504" s="21" t="str">
        <f>IF([1]!BANCO10[[#This Row],[SOLUÇÃO]]=CC$1,[1]!BANCO10[[#This Row],[STATUS DA ETAPA]],"")</f>
        <v/>
      </c>
      <c r="CD504" s="21" t="str">
        <f>IF([1]!BANCO10[[#This Row],[SOLUÇÃO]]=CD$1,[1]!BANCO10[[#This Row],[STATUS DA ETAPA]],"")</f>
        <v/>
      </c>
      <c r="CE504" s="21" t="str">
        <f>IF([1]!BANCO10[[#This Row],[SOLUÇÃO]]=CE$1,[1]!BANCO10[[#This Row],[STATUS DA ETAPA]],"")</f>
        <v/>
      </c>
      <c r="CF504" s="21" t="str">
        <f>IF([1]!BANCO10[[#This Row],[SOLUÇÃO]]=CF$1,[1]!BANCO10[[#This Row],[STATUS DA ETAPA]],"")</f>
        <v/>
      </c>
      <c r="CG504" s="21" t="str">
        <f>IF([1]!BANCO10[[#This Row],[SOLUÇÃO]]=CG$1,[1]!BANCO10[[#This Row],[STATUS DA ETAPA]],"")</f>
        <v/>
      </c>
      <c r="CH504" s="21" t="str">
        <f>IF([1]!BANCO10[[#This Row],[SOLUÇÃO]]=CH$1,[1]!BANCO10[[#This Row],[STATUS DA ETAPA]],"")</f>
        <v/>
      </c>
      <c r="CI504" s="21" t="str">
        <f>IF([1]!BANCO10[[#This Row],[SOLUÇÃO]]=CI$1,[1]!BANCO10[[#This Row],[STATUS DA ETAPA]],"")</f>
        <v/>
      </c>
      <c r="CJ504" s="21" t="str">
        <f>IF([1]!BANCO10[[#This Row],[SOLUÇÃO]]=CJ$1,[1]!BANCO10[[#This Row],[STATUS DA ETAPA]],"")</f>
        <v/>
      </c>
      <c r="CK504" s="21" t="str">
        <f>IF([1]!BANCO10[[#This Row],[SOLUÇÃO]]=CK$1,[1]!BANCO10[[#This Row],[STATUS DA ETAPA]],"")</f>
        <v/>
      </c>
      <c r="CL504" s="21" t="str">
        <f>IF([1]!BANCO10[[#This Row],[SOLUÇÃO]]=CL$1,[1]!BANCO10[[#This Row],[STATUS DA ETAPA]],"")</f>
        <v/>
      </c>
      <c r="CM504" s="21" t="str">
        <f>IF([1]!BANCO10[[#This Row],[SOLUÇÃO]]=CM$1,[1]!BANCO10[[#This Row],[STATUS DA ETAPA]],"")</f>
        <v/>
      </c>
      <c r="CN504" s="21" t="str">
        <f>IF([1]!BANCO10[[#This Row],[SOLUÇÃO]]=CN$1,[1]!BANCO10[[#This Row],[STATUS DA ETAPA]],"")</f>
        <v/>
      </c>
      <c r="CO504" s="21" t="str">
        <f>IF([1]!BANCO10[[#This Row],[SOLUÇÃO]]=CO$1,[1]!BANCO10[[#This Row],[STATUS DA ETAPA]],"")</f>
        <v/>
      </c>
      <c r="CP504" s="21" t="str">
        <f>IF([1]!BANCO10[[#This Row],[SOLUÇÃO]]=CP$1,[1]!BANCO10[[#This Row],[STATUS DA ETAPA]],"")</f>
        <v/>
      </c>
      <c r="CQ504" s="21" t="str">
        <f>IF([1]!BANCO10[[#This Row],[SOLUÇÃO]]=CQ$1,[1]!BANCO10[[#This Row],[STATUS DA ETAPA]],"")</f>
        <v/>
      </c>
      <c r="CR504" s="21" t="str">
        <f>IF([1]!BANCO10[[#This Row],[SOLUÇÃO]]=CR$1,[1]!BANCO10[[#This Row],[STATUS DA ETAPA]],"")</f>
        <v/>
      </c>
      <c r="CS504" s="21" t="str">
        <f>IF([1]!BANCO10[[#This Row],[SOLUÇÃO]]=CS$1,[1]!BANCO10[[#This Row],[STATUS DA ETAPA]],"")</f>
        <v/>
      </c>
      <c r="CT504" s="21" t="str">
        <f>IF([1]!BANCO10[[#This Row],[SOLUÇÃO]]=CT$1,[1]!BANCO10[[#This Row],[STATUS DA ETAPA]],"")</f>
        <v/>
      </c>
      <c r="CU504" s="21" t="str">
        <f>IF([1]!BANCO10[[#This Row],[SOLUÇÃO]]=CU$1,[1]!BANCO10[[#This Row],[STATUS DA ETAPA]],"")</f>
        <v/>
      </c>
      <c r="CV504" s="21" t="str">
        <f>IF([1]!BANCO10[[#This Row],[SOLUÇÃO]]=CV$1,[1]!BANCO10[[#This Row],[STATUS DA ETAPA]],"")</f>
        <v/>
      </c>
    </row>
    <row r="505" spans="1:100">
      <c r="A505" s="44" t="s">
        <v>1</v>
      </c>
      <c r="B505" s="44"/>
      <c r="C505" s="44" t="s">
        <v>1</v>
      </c>
      <c r="D505" s="44"/>
      <c r="E505" s="44" t="s">
        <v>1</v>
      </c>
      <c r="F505" s="44"/>
      <c r="G505" s="44" t="s">
        <v>1</v>
      </c>
      <c r="H505" s="44"/>
      <c r="I505" s="45" t="s">
        <v>1</v>
      </c>
      <c r="J505" s="46"/>
      <c r="K505" s="45" t="s">
        <v>1</v>
      </c>
      <c r="L505" s="33"/>
      <c r="M505" s="45" t="s">
        <v>1</v>
      </c>
      <c r="N505" s="33"/>
      <c r="O505" s="44" t="s">
        <v>2</v>
      </c>
      <c r="P505" s="44">
        <v>44927</v>
      </c>
      <c r="Q505" s="44" t="s">
        <v>2</v>
      </c>
      <c r="R505" s="44">
        <v>44927</v>
      </c>
      <c r="S505" s="44" t="s">
        <v>2</v>
      </c>
      <c r="T505" s="44"/>
      <c r="U505" s="44" t="s">
        <v>2</v>
      </c>
      <c r="V505" s="44">
        <v>44927</v>
      </c>
      <c r="W505" s="44" t="s">
        <v>2</v>
      </c>
      <c r="X505" s="44">
        <v>44927</v>
      </c>
      <c r="Y505" s="44" t="s">
        <v>2</v>
      </c>
      <c r="Z505" s="44">
        <v>44927</v>
      </c>
      <c r="AA505" s="44" t="s">
        <v>1</v>
      </c>
      <c r="AB505" s="44"/>
      <c r="AC505" s="51">
        <v>45963</v>
      </c>
      <c r="AD505" s="50">
        <v>45963</v>
      </c>
      <c r="AE505" s="41" t="s">
        <v>1</v>
      </c>
      <c r="AF505" s="41" t="s">
        <v>1</v>
      </c>
      <c r="AG505" s="76" t="s">
        <v>5</v>
      </c>
      <c r="AH505" s="36" t="s">
        <v>0</v>
      </c>
      <c r="AI505" s="49">
        <v>0</v>
      </c>
      <c r="AJ505" s="36"/>
      <c r="AK505" s="10" t="s">
        <v>30</v>
      </c>
      <c r="AL505" s="36" t="s">
        <v>30</v>
      </c>
      <c r="AM505" s="36" t="s">
        <v>30</v>
      </c>
      <c r="AN505" s="35" t="s">
        <v>1</v>
      </c>
      <c r="AO505" s="35" t="s">
        <v>1</v>
      </c>
      <c r="AP505" s="35"/>
      <c r="AQ505" s="35" t="s">
        <v>1</v>
      </c>
      <c r="AR505" s="34" t="s">
        <v>1</v>
      </c>
      <c r="AS505" s="33"/>
      <c r="AT505" s="32"/>
      <c r="AU505" s="31"/>
      <c r="AV505" s="32"/>
      <c r="AW505" s="31"/>
      <c r="AX505" s="30" t="s">
        <v>0</v>
      </c>
      <c r="AY505" s="29"/>
      <c r="AZ505" s="28" t="s">
        <v>0</v>
      </c>
      <c r="BA505" s="27"/>
      <c r="BB505" s="74" t="s">
        <v>386</v>
      </c>
      <c r="BC505" s="25"/>
      <c r="BD505" s="24" t="s">
        <v>19</v>
      </c>
      <c r="BE505" s="24" t="s">
        <v>19</v>
      </c>
      <c r="BF505" s="24" t="s">
        <v>51</v>
      </c>
      <c r="BG505" s="24" t="s">
        <v>11</v>
      </c>
      <c r="BH505" s="130" t="s">
        <v>381</v>
      </c>
      <c r="BI505" s="24"/>
      <c r="BJ505" s="24" t="s">
        <v>11</v>
      </c>
      <c r="BK505" s="24" t="s">
        <v>11</v>
      </c>
      <c r="BL505" s="24">
        <v>45393</v>
      </c>
      <c r="BM505" s="24"/>
      <c r="BN505" s="24" t="s">
        <v>385</v>
      </c>
      <c r="BO505" s="24"/>
      <c r="BP505" s="24" t="s">
        <v>384</v>
      </c>
      <c r="BQ505" s="22">
        <f>YEAR([1]!BANCO10[[#This Row],[DATA INÍCIO]])</f>
        <v>2025</v>
      </c>
      <c r="BR505" s="22">
        <f>MONTH([1]!BANCO10[[#This Row],[DATA INÍCIO]])</f>
        <v>11</v>
      </c>
      <c r="BS505" s="129" t="e">
        <f>CONCATENATE(#REF!,#REF!)</f>
        <v>#REF!</v>
      </c>
      <c r="BT505" s="22"/>
      <c r="BU505" s="21" t="s">
        <v>30</v>
      </c>
      <c r="BV505" s="21" t="str">
        <f>IF([1]!BANCO10[[#This Row],[SOLUÇÃO]]=BV$1,[1]!BANCO10[[#This Row],[STATUS DA ETAPA]],"")</f>
        <v/>
      </c>
      <c r="BW505" s="21" t="str">
        <f>IF([1]!BANCO10[[#This Row],[SOLUÇÃO]]=BW$1,[1]!BANCO10[[#This Row],[STATUS DA ETAPA]],"")</f>
        <v/>
      </c>
      <c r="BX505" s="21" t="str">
        <f>IF([1]!BANCO10[[#This Row],[SOLUÇÃO]]=BX$1,[1]!BANCO10[[#This Row],[STATUS DA ETAPA]],"")</f>
        <v/>
      </c>
      <c r="BY505" s="21" t="str">
        <f>IF([1]!BANCO10[[#This Row],[SOLUÇÃO]]=BY$1,[1]!BANCO10[[#This Row],[STATUS DA ETAPA]],"")</f>
        <v/>
      </c>
      <c r="BZ505" s="21" t="str">
        <f>IF([1]!BANCO10[[#This Row],[SOLUÇÃO]]=BZ$1,[1]!BANCO10[[#This Row],[STATUS DA ETAPA]],"")</f>
        <v/>
      </c>
      <c r="CA505" s="21" t="str">
        <f>IF([1]!BANCO10[[#This Row],[SOLUÇÃO]]=CA$1,[1]!BANCO10[[#This Row],[STATUS DA ETAPA]],"")</f>
        <v>PROSPECÇÃO</v>
      </c>
      <c r="CB505" s="21" t="str">
        <f>IF([1]!BANCO10[[#This Row],[SOLUÇÃO]]=CB$1,[1]!BANCO10[[#This Row],[STATUS DA ETAPA]],"")</f>
        <v/>
      </c>
      <c r="CC505" s="21" t="str">
        <f>IF([1]!BANCO10[[#This Row],[SOLUÇÃO]]=CC$1,[1]!BANCO10[[#This Row],[STATUS DA ETAPA]],"")</f>
        <v/>
      </c>
      <c r="CD505" s="21" t="str">
        <f>IF([1]!BANCO10[[#This Row],[SOLUÇÃO]]=CD$1,[1]!BANCO10[[#This Row],[STATUS DA ETAPA]],"")</f>
        <v/>
      </c>
      <c r="CE505" s="21" t="str">
        <f>IF([1]!BANCO10[[#This Row],[SOLUÇÃO]]=CE$1,[1]!BANCO10[[#This Row],[STATUS DA ETAPA]],"")</f>
        <v/>
      </c>
      <c r="CF505" s="21" t="str">
        <f>IF([1]!BANCO10[[#This Row],[SOLUÇÃO]]=CF$1,[1]!BANCO10[[#This Row],[STATUS DA ETAPA]],"")</f>
        <v/>
      </c>
      <c r="CG505" s="21" t="str">
        <f>IF([1]!BANCO10[[#This Row],[SOLUÇÃO]]=CG$1,[1]!BANCO10[[#This Row],[STATUS DA ETAPA]],"")</f>
        <v/>
      </c>
      <c r="CH505" s="21" t="str">
        <f>IF([1]!BANCO10[[#This Row],[SOLUÇÃO]]=CH$1,[1]!BANCO10[[#This Row],[STATUS DA ETAPA]],"")</f>
        <v/>
      </c>
      <c r="CI505" s="21" t="str">
        <f>IF([1]!BANCO10[[#This Row],[SOLUÇÃO]]=CI$1,[1]!BANCO10[[#This Row],[STATUS DA ETAPA]],"")</f>
        <v/>
      </c>
      <c r="CJ505" s="21" t="str">
        <f>IF([1]!BANCO10[[#This Row],[SOLUÇÃO]]=CJ$1,[1]!BANCO10[[#This Row],[STATUS DA ETAPA]],"")</f>
        <v/>
      </c>
      <c r="CK505" s="21" t="str">
        <f>IF([1]!BANCO10[[#This Row],[SOLUÇÃO]]=CK$1,[1]!BANCO10[[#This Row],[STATUS DA ETAPA]],"")</f>
        <v/>
      </c>
      <c r="CL505" s="21" t="str">
        <f>IF([1]!BANCO10[[#This Row],[SOLUÇÃO]]=CL$1,[1]!BANCO10[[#This Row],[STATUS DA ETAPA]],"")</f>
        <v/>
      </c>
      <c r="CM505" s="21" t="str">
        <f>IF([1]!BANCO10[[#This Row],[SOLUÇÃO]]=CM$1,[1]!BANCO10[[#This Row],[STATUS DA ETAPA]],"")</f>
        <v/>
      </c>
      <c r="CN505" s="21" t="str">
        <f>IF([1]!BANCO10[[#This Row],[SOLUÇÃO]]=CN$1,[1]!BANCO10[[#This Row],[STATUS DA ETAPA]],"")</f>
        <v/>
      </c>
      <c r="CO505" s="21" t="str">
        <f>IF([1]!BANCO10[[#This Row],[SOLUÇÃO]]=CO$1,[1]!BANCO10[[#This Row],[STATUS DA ETAPA]],"")</f>
        <v/>
      </c>
      <c r="CP505" s="21" t="str">
        <f>IF([1]!BANCO10[[#This Row],[SOLUÇÃO]]=CP$1,[1]!BANCO10[[#This Row],[STATUS DA ETAPA]],"")</f>
        <v/>
      </c>
      <c r="CQ505" s="21" t="str">
        <f>IF([1]!BANCO10[[#This Row],[SOLUÇÃO]]=CQ$1,[1]!BANCO10[[#This Row],[STATUS DA ETAPA]],"")</f>
        <v/>
      </c>
      <c r="CR505" s="21" t="str">
        <f>IF([1]!BANCO10[[#This Row],[SOLUÇÃO]]=CR$1,[1]!BANCO10[[#This Row],[STATUS DA ETAPA]],"")</f>
        <v/>
      </c>
      <c r="CS505" s="21" t="str">
        <f>IF([1]!BANCO10[[#This Row],[SOLUÇÃO]]=CS$1,[1]!BANCO10[[#This Row],[STATUS DA ETAPA]],"")</f>
        <v/>
      </c>
      <c r="CT505" s="21" t="str">
        <f>IF([1]!BANCO10[[#This Row],[SOLUÇÃO]]=CT$1,[1]!BANCO10[[#This Row],[STATUS DA ETAPA]],"")</f>
        <v/>
      </c>
      <c r="CU505" s="21" t="str">
        <f>IF([1]!BANCO10[[#This Row],[SOLUÇÃO]]=CU$1,[1]!BANCO10[[#This Row],[STATUS DA ETAPA]],"")</f>
        <v/>
      </c>
      <c r="CV505" s="21" t="str">
        <f>IF([1]!BANCO10[[#This Row],[SOLUÇÃO]]=CV$1,[1]!BANCO10[[#This Row],[STATUS DA ETAPA]],"")</f>
        <v/>
      </c>
    </row>
    <row r="506" spans="1:100">
      <c r="A506" s="44" t="s">
        <v>1</v>
      </c>
      <c r="B506" s="44"/>
      <c r="C506" s="44" t="s">
        <v>1</v>
      </c>
      <c r="D506" s="44"/>
      <c r="E506" s="44" t="s">
        <v>1</v>
      </c>
      <c r="F506" s="44"/>
      <c r="G506" s="44" t="s">
        <v>1</v>
      </c>
      <c r="H506" s="44"/>
      <c r="I506" s="45" t="s">
        <v>1</v>
      </c>
      <c r="J506" s="46"/>
      <c r="K506" s="45" t="s">
        <v>1</v>
      </c>
      <c r="L506" s="33"/>
      <c r="M506" s="45" t="s">
        <v>1</v>
      </c>
      <c r="N506" s="33"/>
      <c r="O506" s="44" t="s">
        <v>1</v>
      </c>
      <c r="P506" s="44"/>
      <c r="Q506" s="44" t="s">
        <v>1</v>
      </c>
      <c r="R506" s="44"/>
      <c r="S506" s="44" t="s">
        <v>1</v>
      </c>
      <c r="T506" s="44"/>
      <c r="U506" s="44" t="s">
        <v>1</v>
      </c>
      <c r="V506" s="44"/>
      <c r="W506" s="44" t="s">
        <v>1</v>
      </c>
      <c r="X506" s="44"/>
      <c r="Y506" s="44" t="s">
        <v>1</v>
      </c>
      <c r="Z506" s="44"/>
      <c r="AA506" s="44" t="s">
        <v>1</v>
      </c>
      <c r="AB506" s="44"/>
      <c r="AC506" s="51">
        <v>45509</v>
      </c>
      <c r="AD506" s="50">
        <v>45509</v>
      </c>
      <c r="AE506" s="41" t="s">
        <v>1</v>
      </c>
      <c r="AF506" s="41" t="s">
        <v>1</v>
      </c>
      <c r="AG506" s="40" t="s">
        <v>5</v>
      </c>
      <c r="AH506" s="36" t="s">
        <v>1</v>
      </c>
      <c r="AI506" s="49">
        <v>0</v>
      </c>
      <c r="AJ506" s="36" t="s">
        <v>1</v>
      </c>
      <c r="AK506" s="10" t="s">
        <v>1</v>
      </c>
      <c r="AL506" s="36" t="s">
        <v>1</v>
      </c>
      <c r="AM506" s="36" t="s">
        <v>1</v>
      </c>
      <c r="AN506" s="35" t="s">
        <v>1</v>
      </c>
      <c r="AO506" s="35" t="s">
        <v>1</v>
      </c>
      <c r="AP506" s="35" t="s">
        <v>1</v>
      </c>
      <c r="AQ506" s="35" t="s">
        <v>1</v>
      </c>
      <c r="AR506" s="82" t="s">
        <v>1</v>
      </c>
      <c r="AS506" s="33"/>
      <c r="AT506" s="30"/>
      <c r="AU506" s="55"/>
      <c r="AV506" s="30"/>
      <c r="AW506" s="55"/>
      <c r="AX506" s="30" t="s">
        <v>1</v>
      </c>
      <c r="AY506" s="55"/>
      <c r="AZ506" s="30" t="s">
        <v>1</v>
      </c>
      <c r="BA506" s="55"/>
      <c r="BB506" s="39"/>
      <c r="BC506" s="25"/>
      <c r="BD506" s="24"/>
      <c r="BE506" s="24"/>
      <c r="BF506" s="79"/>
      <c r="BG506" s="79"/>
      <c r="BH506" s="80"/>
      <c r="BI506" s="79"/>
      <c r="BJ506" s="54"/>
      <c r="BK506" s="78"/>
      <c r="BL506" s="69"/>
      <c r="BM506" s="78"/>
      <c r="BN506" s="78"/>
      <c r="BO506" s="78"/>
      <c r="BP506" s="78"/>
      <c r="BQ506" s="21">
        <f>YEAR([1]!BANCO10[[#This Row],[DATA INÍCIO]])</f>
        <v>2024</v>
      </c>
      <c r="BR506" s="21">
        <f>MONTH([1]!BANCO10[[#This Row],[DATA INÍCIO]])</f>
        <v>8</v>
      </c>
      <c r="BS506" s="21" t="e">
        <f>CONCATENATE(#REF!,#REF!)</f>
        <v>#REF!</v>
      </c>
      <c r="BT506" s="21"/>
      <c r="BU506" s="21" t="s">
        <v>383</v>
      </c>
      <c r="BV506" s="21" t="str">
        <f>IF([1]!BANCO10[[#This Row],[SOLUÇÃO]]=BV$1,[1]!BANCO10[[#This Row],[STATUS DA ETAPA]],"")</f>
        <v>CONCLUÍDO</v>
      </c>
      <c r="BW506" s="21" t="str">
        <f>IF([1]!BANCO10[[#This Row],[SOLUÇÃO]]=BW$1,[1]!BANCO10[[#This Row],[STATUS DA ETAPA]],"")</f>
        <v/>
      </c>
      <c r="BX506" s="21" t="str">
        <f>IF([1]!BANCO10[[#This Row],[SOLUÇÃO]]=BX$1,[1]!BANCO10[[#This Row],[STATUS DA ETAPA]],"")</f>
        <v/>
      </c>
      <c r="BY506" s="21" t="str">
        <f>IF([1]!BANCO10[[#This Row],[SOLUÇÃO]]=BY$1,[1]!BANCO10[[#This Row],[STATUS DA ETAPA]],"")</f>
        <v/>
      </c>
      <c r="BZ506" s="21" t="str">
        <f>IF([1]!BANCO10[[#This Row],[SOLUÇÃO]]=BZ$1,[1]!BANCO10[[#This Row],[STATUS DA ETAPA]],"")</f>
        <v/>
      </c>
      <c r="CA506" s="21" t="str">
        <f>IF([1]!BANCO10[[#This Row],[SOLUÇÃO]]=CA$1,[1]!BANCO10[[#This Row],[STATUS DA ETAPA]],"")</f>
        <v/>
      </c>
      <c r="CB506" s="21" t="str">
        <f>IF([1]!BANCO10[[#This Row],[SOLUÇÃO]]=CB$1,[1]!BANCO10[[#This Row],[STATUS DA ETAPA]],"")</f>
        <v/>
      </c>
      <c r="CC506" s="21" t="str">
        <f>IF([1]!BANCO10[[#This Row],[SOLUÇÃO]]=CC$1,[1]!BANCO10[[#This Row],[STATUS DA ETAPA]],"")</f>
        <v/>
      </c>
      <c r="CD506" s="21" t="str">
        <f>IF([1]!BANCO10[[#This Row],[SOLUÇÃO]]=CD$1,[1]!BANCO10[[#This Row],[STATUS DA ETAPA]],"")</f>
        <v/>
      </c>
      <c r="CE506" s="21" t="str">
        <f>IF([1]!BANCO10[[#This Row],[SOLUÇÃO]]=CE$1,[1]!BANCO10[[#This Row],[STATUS DA ETAPA]],"")</f>
        <v/>
      </c>
      <c r="CF506" s="21" t="str">
        <f>IF([1]!BANCO10[[#This Row],[SOLUÇÃO]]=CF$1,[1]!BANCO10[[#This Row],[STATUS DA ETAPA]],"")</f>
        <v/>
      </c>
      <c r="CG506" s="21" t="str">
        <f>IF([1]!BANCO10[[#This Row],[SOLUÇÃO]]=CG$1,[1]!BANCO10[[#This Row],[STATUS DA ETAPA]],"")</f>
        <v/>
      </c>
      <c r="CH506" s="21" t="str">
        <f>IF([1]!BANCO10[[#This Row],[SOLUÇÃO]]=CH$1,[1]!BANCO10[[#This Row],[STATUS DA ETAPA]],"")</f>
        <v/>
      </c>
      <c r="CI506" s="21" t="str">
        <f>IF([1]!BANCO10[[#This Row],[SOLUÇÃO]]=CI$1,[1]!BANCO10[[#This Row],[STATUS DA ETAPA]],"")</f>
        <v/>
      </c>
      <c r="CJ506" s="21" t="str">
        <f>IF([1]!BANCO10[[#This Row],[SOLUÇÃO]]=CJ$1,[1]!BANCO10[[#This Row],[STATUS DA ETAPA]],"")</f>
        <v/>
      </c>
      <c r="CK506" s="21" t="str">
        <f>IF([1]!BANCO10[[#This Row],[SOLUÇÃO]]=CK$1,[1]!BANCO10[[#This Row],[STATUS DA ETAPA]],"")</f>
        <v/>
      </c>
      <c r="CL506" s="22" t="str">
        <f>IF([1]!BANCO10[[#This Row],[SOLUÇÃO]]=CL$1,[1]!BANCO10[[#This Row],[STATUS DA ETAPA]],"")</f>
        <v/>
      </c>
      <c r="CM506" s="64" t="str">
        <f>IF([1]!BANCO10[[#This Row],[SOLUÇÃO]]=CM$1,[1]!BANCO10[[#This Row],[STATUS DA ETAPA]],"")</f>
        <v/>
      </c>
      <c r="CN506" s="64" t="str">
        <f>IF([1]!BANCO10[[#This Row],[SOLUÇÃO]]=CN$1,[1]!BANCO10[[#This Row],[STATUS DA ETAPA]],"")</f>
        <v/>
      </c>
      <c r="CO506" s="64" t="str">
        <f>IF([1]!BANCO10[[#This Row],[SOLUÇÃO]]=CO$1,[1]!BANCO10[[#This Row],[STATUS DA ETAPA]],"")</f>
        <v/>
      </c>
      <c r="CP506" s="64" t="str">
        <f>IF([1]!BANCO10[[#This Row],[SOLUÇÃO]]=CP$1,[1]!BANCO10[[#This Row],[STATUS DA ETAPA]],"")</f>
        <v/>
      </c>
      <c r="CQ506" s="64" t="str">
        <f>IF([1]!BANCO10[[#This Row],[SOLUÇÃO]]=CQ$1,[1]!BANCO10[[#This Row],[STATUS DA ETAPA]],"")</f>
        <v/>
      </c>
      <c r="CR506" s="64" t="str">
        <f>IF([1]!BANCO10[[#This Row],[SOLUÇÃO]]=CR$1,[1]!BANCO10[[#This Row],[STATUS DA ETAPA]],"")</f>
        <v/>
      </c>
      <c r="CS506" s="64" t="str">
        <f>IF([1]!BANCO10[[#This Row],[SOLUÇÃO]]=CS$1,[1]!BANCO10[[#This Row],[STATUS DA ETAPA]],"")</f>
        <v/>
      </c>
      <c r="CT506" s="64" t="str">
        <f>IF([1]!BANCO10[[#This Row],[SOLUÇÃO]]=CT$1,[1]!BANCO10[[#This Row],[STATUS DA ETAPA]],"")</f>
        <v/>
      </c>
      <c r="CU506" s="64" t="str">
        <f>IF([1]!BANCO10[[#This Row],[SOLUÇÃO]]=CU$1,[1]!BANCO10[[#This Row],[STATUS DA ETAPA]],"")</f>
        <v/>
      </c>
      <c r="CV506" s="64" t="str">
        <f>IF([1]!BANCO10[[#This Row],[SOLUÇÃO]]=CV$1,[1]!BANCO10[[#This Row],[STATUS DA ETAPA]],"")</f>
        <v/>
      </c>
    </row>
    <row r="507" spans="1:100">
      <c r="A507" s="44" t="s">
        <v>2</v>
      </c>
      <c r="B507" s="44">
        <v>45383</v>
      </c>
      <c r="C507" s="44" t="s">
        <v>2</v>
      </c>
      <c r="D507" s="44">
        <v>45383</v>
      </c>
      <c r="E507" s="44" t="s">
        <v>2</v>
      </c>
      <c r="F507" s="44">
        <v>45383</v>
      </c>
      <c r="G507" s="44" t="s">
        <v>2</v>
      </c>
      <c r="H507" s="44">
        <v>45383</v>
      </c>
      <c r="I507" s="45" t="s">
        <v>2</v>
      </c>
      <c r="J507" s="46">
        <v>45536</v>
      </c>
      <c r="K507" s="45" t="s">
        <v>2</v>
      </c>
      <c r="L507" s="33">
        <v>45536</v>
      </c>
      <c r="M507" s="45" t="s">
        <v>2</v>
      </c>
      <c r="N507" s="33">
        <v>45536</v>
      </c>
      <c r="O507" s="44" t="s">
        <v>2</v>
      </c>
      <c r="P507" s="44">
        <v>45506</v>
      </c>
      <c r="Q507" s="44" t="s">
        <v>2</v>
      </c>
      <c r="R507" s="44">
        <v>45509</v>
      </c>
      <c r="S507" s="44" t="s">
        <v>2</v>
      </c>
      <c r="T507" s="44">
        <v>45536</v>
      </c>
      <c r="U507" s="44" t="s">
        <v>1</v>
      </c>
      <c r="V507" s="44"/>
      <c r="W507" s="44" t="s">
        <v>1</v>
      </c>
      <c r="X507" s="44"/>
      <c r="Y507" s="44" t="s">
        <v>1</v>
      </c>
      <c r="Z507" s="44"/>
      <c r="AA507" s="44" t="s">
        <v>1</v>
      </c>
      <c r="AB507" s="44"/>
      <c r="AC507" s="51">
        <v>45546</v>
      </c>
      <c r="AD507" s="50">
        <v>45625</v>
      </c>
      <c r="AE507" s="41" t="s">
        <v>2</v>
      </c>
      <c r="AF507" s="41" t="s">
        <v>2</v>
      </c>
      <c r="AG507" s="40" t="s">
        <v>5</v>
      </c>
      <c r="AH507" s="36" t="s">
        <v>0</v>
      </c>
      <c r="AI507" s="49">
        <v>0</v>
      </c>
      <c r="AJ507" s="36" t="s">
        <v>6</v>
      </c>
      <c r="AK507" s="10">
        <v>567809</v>
      </c>
      <c r="AL507" s="36" t="s">
        <v>1</v>
      </c>
      <c r="AM507" s="36" t="s">
        <v>1</v>
      </c>
      <c r="AN507" s="35" t="s">
        <v>2</v>
      </c>
      <c r="AO507" s="35" t="s">
        <v>2</v>
      </c>
      <c r="AP507" s="35" t="s">
        <v>2</v>
      </c>
      <c r="AQ507" s="35" t="s">
        <v>2</v>
      </c>
      <c r="AR507" s="34" t="s">
        <v>2</v>
      </c>
      <c r="AS507" s="33">
        <v>45644</v>
      </c>
      <c r="AT507" s="30" t="s">
        <v>1</v>
      </c>
      <c r="AU507" s="55"/>
      <c r="AV507" s="30" t="s">
        <v>1</v>
      </c>
      <c r="AW507" s="55"/>
      <c r="AX507" s="30" t="s">
        <v>2</v>
      </c>
      <c r="AY507" s="55">
        <v>45644</v>
      </c>
      <c r="AZ507" s="30" t="s">
        <v>0</v>
      </c>
      <c r="BA507" s="55"/>
      <c r="BB507" s="39"/>
      <c r="BC507" s="25" t="s">
        <v>45</v>
      </c>
      <c r="BD507" s="24"/>
      <c r="BE507" s="24"/>
      <c r="BF507" s="79"/>
      <c r="BG507" s="79"/>
      <c r="BH507" s="80"/>
      <c r="BI507" s="79"/>
      <c r="BJ507" s="54"/>
      <c r="BK507" s="78"/>
      <c r="BL507" s="69"/>
      <c r="BM507" s="78"/>
      <c r="BN507" s="78"/>
      <c r="BO507" s="78"/>
      <c r="BP507" s="78"/>
      <c r="BQ507" s="21">
        <f>YEAR([1]!BANCO10[[#This Row],[DATA INÍCIO]])</f>
        <v>2024</v>
      </c>
      <c r="BR507" s="21">
        <f>MONTH([1]!BANCO10[[#This Row],[DATA INÍCIO]])</f>
        <v>9</v>
      </c>
      <c r="BS507" s="21" t="e">
        <f>CONCATENATE(#REF!,#REF!)</f>
        <v>#REF!</v>
      </c>
      <c r="BT507" s="21"/>
      <c r="BU507" s="21" t="s">
        <v>382</v>
      </c>
      <c r="BV507" s="21" t="str">
        <f>IF([1]!BANCO10[[#This Row],[SOLUÇÃO]]=BV$1,[1]!BANCO10[[#This Row],[STATUS DA ETAPA]],"")</f>
        <v/>
      </c>
      <c r="BW507" s="21" t="str">
        <f>IF([1]!BANCO10[[#This Row],[SOLUÇÃO]]=BW$1,[1]!BANCO10[[#This Row],[STATUS DA ETAPA]],"")</f>
        <v/>
      </c>
      <c r="BX507" s="21" t="str">
        <f>IF([1]!BANCO10[[#This Row],[SOLUÇÃO]]=BX$1,[1]!BANCO10[[#This Row],[STATUS DA ETAPA]],"")</f>
        <v/>
      </c>
      <c r="BY507" s="21" t="str">
        <f>IF([1]!BANCO10[[#This Row],[SOLUÇÃO]]=BY$1,[1]!BANCO10[[#This Row],[STATUS DA ETAPA]],"")</f>
        <v/>
      </c>
      <c r="BZ507" s="21" t="str">
        <f>IF([1]!BANCO10[[#This Row],[SOLUÇÃO]]=BZ$1,[1]!BANCO10[[#This Row],[STATUS DA ETAPA]],"")</f>
        <v/>
      </c>
      <c r="CA507" s="21" t="str">
        <f>IF([1]!BANCO10[[#This Row],[SOLUÇÃO]]=CA$1,[1]!BANCO10[[#This Row],[STATUS DA ETAPA]],"")</f>
        <v/>
      </c>
      <c r="CB507" s="21" t="str">
        <f>IF([1]!BANCO10[[#This Row],[SOLUÇÃO]]=CB$1,[1]!BANCO10[[#This Row],[STATUS DA ETAPA]],"")</f>
        <v>CONCLUÍDO</v>
      </c>
      <c r="CC507" s="21" t="str">
        <f>IF([1]!BANCO10[[#This Row],[SOLUÇÃO]]=CC$1,[1]!BANCO10[[#This Row],[STATUS DA ETAPA]],"")</f>
        <v/>
      </c>
      <c r="CD507" s="21" t="str">
        <f>IF([1]!BANCO10[[#This Row],[SOLUÇÃO]]=CD$1,[1]!BANCO10[[#This Row],[STATUS DA ETAPA]],"")</f>
        <v/>
      </c>
      <c r="CE507" s="21" t="str">
        <f>IF([1]!BANCO10[[#This Row],[SOLUÇÃO]]=CE$1,[1]!BANCO10[[#This Row],[STATUS DA ETAPA]],"")</f>
        <v/>
      </c>
      <c r="CF507" s="21" t="str">
        <f>IF([1]!BANCO10[[#This Row],[SOLUÇÃO]]=CF$1,[1]!BANCO10[[#This Row],[STATUS DA ETAPA]],"")</f>
        <v/>
      </c>
      <c r="CG507" s="21" t="str">
        <f>IF([1]!BANCO10[[#This Row],[SOLUÇÃO]]=CG$1,[1]!BANCO10[[#This Row],[STATUS DA ETAPA]],"")</f>
        <v/>
      </c>
      <c r="CH507" s="21" t="str">
        <f>IF([1]!BANCO10[[#This Row],[SOLUÇÃO]]=CH$1,[1]!BANCO10[[#This Row],[STATUS DA ETAPA]],"")</f>
        <v/>
      </c>
      <c r="CI507" s="21" t="str">
        <f>IF([1]!BANCO10[[#This Row],[SOLUÇÃO]]=CI$1,[1]!BANCO10[[#This Row],[STATUS DA ETAPA]],"")</f>
        <v/>
      </c>
      <c r="CJ507" s="21" t="str">
        <f>IF([1]!BANCO10[[#This Row],[SOLUÇÃO]]=CJ$1,[1]!BANCO10[[#This Row],[STATUS DA ETAPA]],"")</f>
        <v/>
      </c>
      <c r="CK507" s="21" t="str">
        <f>IF([1]!BANCO10[[#This Row],[SOLUÇÃO]]=CK$1,[1]!BANCO10[[#This Row],[STATUS DA ETAPA]],"")</f>
        <v/>
      </c>
      <c r="CL507" s="22" t="str">
        <f>IF([1]!BANCO10[[#This Row],[SOLUÇÃO]]=CL$1,[1]!BANCO10[[#This Row],[STATUS DA ETAPA]],"")</f>
        <v/>
      </c>
      <c r="CM507" s="64" t="str">
        <f>IF([1]!BANCO10[[#This Row],[SOLUÇÃO]]=CM$1,[1]!BANCO10[[#This Row],[STATUS DA ETAPA]],"")</f>
        <v/>
      </c>
      <c r="CN507" s="64" t="str">
        <f>IF([1]!BANCO10[[#This Row],[SOLUÇÃO]]=CN$1,[1]!BANCO10[[#This Row],[STATUS DA ETAPA]],"")</f>
        <v/>
      </c>
      <c r="CO507" s="64" t="str">
        <f>IF([1]!BANCO10[[#This Row],[SOLUÇÃO]]=CO$1,[1]!BANCO10[[#This Row],[STATUS DA ETAPA]],"")</f>
        <v/>
      </c>
      <c r="CP507" s="64" t="str">
        <f>IF([1]!BANCO10[[#This Row],[SOLUÇÃO]]=CP$1,[1]!BANCO10[[#This Row],[STATUS DA ETAPA]],"")</f>
        <v/>
      </c>
      <c r="CQ507" s="64" t="str">
        <f>IF([1]!BANCO10[[#This Row],[SOLUÇÃO]]=CQ$1,[1]!BANCO10[[#This Row],[STATUS DA ETAPA]],"")</f>
        <v/>
      </c>
      <c r="CR507" s="64" t="str">
        <f>IF([1]!BANCO10[[#This Row],[SOLUÇÃO]]=CR$1,[1]!BANCO10[[#This Row],[STATUS DA ETAPA]],"")</f>
        <v/>
      </c>
      <c r="CS507" s="64" t="str">
        <f>IF([1]!BANCO10[[#This Row],[SOLUÇÃO]]=CS$1,[1]!BANCO10[[#This Row],[STATUS DA ETAPA]],"")</f>
        <v/>
      </c>
      <c r="CT507" s="64" t="str">
        <f>IF([1]!BANCO10[[#This Row],[SOLUÇÃO]]=CT$1,[1]!BANCO10[[#This Row],[STATUS DA ETAPA]],"")</f>
        <v/>
      </c>
      <c r="CU507" s="64" t="str">
        <f>IF([1]!BANCO10[[#This Row],[SOLUÇÃO]]=CU$1,[1]!BANCO10[[#This Row],[STATUS DA ETAPA]],"")</f>
        <v/>
      </c>
      <c r="CV507" s="64" t="str">
        <f>IF([1]!BANCO10[[#This Row],[SOLUÇÃO]]=CV$1,[1]!BANCO10[[#This Row],[STATUS DA ETAPA]],"")</f>
        <v/>
      </c>
    </row>
    <row r="508" spans="1:100">
      <c r="A508" s="44" t="s">
        <v>2</v>
      </c>
      <c r="B508" s="44">
        <v>45383</v>
      </c>
      <c r="C508" s="44" t="s">
        <v>2</v>
      </c>
      <c r="D508" s="44">
        <v>45383</v>
      </c>
      <c r="E508" s="44" t="s">
        <v>2</v>
      </c>
      <c r="F508" s="44">
        <v>45383</v>
      </c>
      <c r="G508" s="44" t="s">
        <v>2</v>
      </c>
      <c r="H508" s="44">
        <v>45383</v>
      </c>
      <c r="I508" s="45" t="s">
        <v>2</v>
      </c>
      <c r="J508" s="46">
        <v>45536</v>
      </c>
      <c r="K508" s="45" t="s">
        <v>2</v>
      </c>
      <c r="L508" s="33">
        <v>45536</v>
      </c>
      <c r="M508" s="45" t="s">
        <v>2</v>
      </c>
      <c r="N508" s="33">
        <v>45536</v>
      </c>
      <c r="O508" s="44" t="s">
        <v>2</v>
      </c>
      <c r="P508" s="44">
        <v>45506</v>
      </c>
      <c r="Q508" s="44" t="s">
        <v>2</v>
      </c>
      <c r="R508" s="44">
        <v>45509</v>
      </c>
      <c r="S508" s="44" t="s">
        <v>2</v>
      </c>
      <c r="T508" s="44">
        <v>45536</v>
      </c>
      <c r="U508" s="44" t="s">
        <v>1</v>
      </c>
      <c r="V508" s="44"/>
      <c r="W508" s="44" t="s">
        <v>1</v>
      </c>
      <c r="X508" s="44"/>
      <c r="Y508" s="44" t="s">
        <v>1</v>
      </c>
      <c r="Z508" s="44"/>
      <c r="AA508" s="44" t="s">
        <v>1</v>
      </c>
      <c r="AB508" s="44"/>
      <c r="AC508" s="51">
        <v>45546</v>
      </c>
      <c r="AD508" s="50">
        <v>45625</v>
      </c>
      <c r="AE508" s="41" t="s">
        <v>2</v>
      </c>
      <c r="AF508" s="41" t="s">
        <v>2</v>
      </c>
      <c r="AG508" s="40" t="s">
        <v>5</v>
      </c>
      <c r="AH508" s="36" t="s">
        <v>0</v>
      </c>
      <c r="AI508" s="49">
        <v>0</v>
      </c>
      <c r="AJ508" s="36" t="s">
        <v>6</v>
      </c>
      <c r="AK508" s="10">
        <v>567809</v>
      </c>
      <c r="AL508" s="36" t="s">
        <v>1</v>
      </c>
      <c r="AM508" s="36" t="s">
        <v>1</v>
      </c>
      <c r="AN508" s="35" t="s">
        <v>2</v>
      </c>
      <c r="AO508" s="35" t="s">
        <v>2</v>
      </c>
      <c r="AP508" s="35" t="s">
        <v>2</v>
      </c>
      <c r="AQ508" s="35" t="s">
        <v>2</v>
      </c>
      <c r="AR508" s="34" t="s">
        <v>2</v>
      </c>
      <c r="AS508" s="33">
        <v>45644</v>
      </c>
      <c r="AT508" s="30" t="s">
        <v>1</v>
      </c>
      <c r="AU508" s="55"/>
      <c r="AV508" s="30" t="s">
        <v>1</v>
      </c>
      <c r="AW508" s="55"/>
      <c r="AX508" s="30" t="s">
        <v>2</v>
      </c>
      <c r="AY508" s="55">
        <v>45644</v>
      </c>
      <c r="AZ508" s="30" t="s">
        <v>1</v>
      </c>
      <c r="BA508" s="55"/>
      <c r="BB508" s="39"/>
      <c r="BC508" s="25" t="s">
        <v>45</v>
      </c>
      <c r="BD508" s="24"/>
      <c r="BE508" s="24"/>
      <c r="BF508" s="79"/>
      <c r="BG508" s="79"/>
      <c r="BH508" s="80"/>
      <c r="BI508" s="79"/>
      <c r="BJ508" s="54"/>
      <c r="BK508" s="78"/>
      <c r="BL508" s="69"/>
      <c r="BM508" s="78"/>
      <c r="BN508" s="78"/>
      <c r="BO508" s="78"/>
      <c r="BP508" s="78"/>
      <c r="BQ508" s="21">
        <f>YEAR([1]!BANCO10[[#This Row],[DATA INÍCIO]])</f>
        <v>2024</v>
      </c>
      <c r="BR508" s="21">
        <f>MONTH([1]!BANCO10[[#This Row],[DATA INÍCIO]])</f>
        <v>9</v>
      </c>
      <c r="BS508" s="21" t="e">
        <f>CONCATENATE(#REF!,#REF!)</f>
        <v>#REF!</v>
      </c>
      <c r="BT508" s="21"/>
      <c r="BU508" s="21" t="s">
        <v>382</v>
      </c>
      <c r="BV508" s="21" t="str">
        <f>IF([1]!BANCO10[[#This Row],[SOLUÇÃO]]=BV$1,[1]!BANCO10[[#This Row],[STATUS DA ETAPA]],"")</f>
        <v/>
      </c>
      <c r="BW508" s="21" t="str">
        <f>IF([1]!BANCO10[[#This Row],[SOLUÇÃO]]=BW$1,[1]!BANCO10[[#This Row],[STATUS DA ETAPA]],"")</f>
        <v/>
      </c>
      <c r="BX508" s="21" t="str">
        <f>IF([1]!BANCO10[[#This Row],[SOLUÇÃO]]=BX$1,[1]!BANCO10[[#This Row],[STATUS DA ETAPA]],"")</f>
        <v/>
      </c>
      <c r="BY508" s="21" t="str">
        <f>IF([1]!BANCO10[[#This Row],[SOLUÇÃO]]=BY$1,[1]!BANCO10[[#This Row],[STATUS DA ETAPA]],"")</f>
        <v/>
      </c>
      <c r="BZ508" s="21" t="str">
        <f>IF([1]!BANCO10[[#This Row],[SOLUÇÃO]]=BZ$1,[1]!BANCO10[[#This Row],[STATUS DA ETAPA]],"")</f>
        <v/>
      </c>
      <c r="CA508" s="21" t="str">
        <f>IF([1]!BANCO10[[#This Row],[SOLUÇÃO]]=CA$1,[1]!BANCO10[[#This Row],[STATUS DA ETAPA]],"")</f>
        <v/>
      </c>
      <c r="CB508" s="21" t="str">
        <f>IF([1]!BANCO10[[#This Row],[SOLUÇÃO]]=CB$1,[1]!BANCO10[[#This Row],[STATUS DA ETAPA]],"")</f>
        <v>CONCLUÍDO</v>
      </c>
      <c r="CC508" s="21" t="str">
        <f>IF([1]!BANCO10[[#This Row],[SOLUÇÃO]]=CC$1,[1]!BANCO10[[#This Row],[STATUS DA ETAPA]],"")</f>
        <v/>
      </c>
      <c r="CD508" s="21" t="str">
        <f>IF([1]!BANCO10[[#This Row],[SOLUÇÃO]]=CD$1,[1]!BANCO10[[#This Row],[STATUS DA ETAPA]],"")</f>
        <v/>
      </c>
      <c r="CE508" s="21" t="str">
        <f>IF([1]!BANCO10[[#This Row],[SOLUÇÃO]]=CE$1,[1]!BANCO10[[#This Row],[STATUS DA ETAPA]],"")</f>
        <v/>
      </c>
      <c r="CF508" s="21" t="str">
        <f>IF([1]!BANCO10[[#This Row],[SOLUÇÃO]]=CF$1,[1]!BANCO10[[#This Row],[STATUS DA ETAPA]],"")</f>
        <v/>
      </c>
      <c r="CG508" s="21" t="str">
        <f>IF([1]!BANCO10[[#This Row],[SOLUÇÃO]]=CG$1,[1]!BANCO10[[#This Row],[STATUS DA ETAPA]],"")</f>
        <v/>
      </c>
      <c r="CH508" s="21" t="str">
        <f>IF([1]!BANCO10[[#This Row],[SOLUÇÃO]]=CH$1,[1]!BANCO10[[#This Row],[STATUS DA ETAPA]],"")</f>
        <v/>
      </c>
      <c r="CI508" s="21" t="str">
        <f>IF([1]!BANCO10[[#This Row],[SOLUÇÃO]]=CI$1,[1]!BANCO10[[#This Row],[STATUS DA ETAPA]],"")</f>
        <v/>
      </c>
      <c r="CJ508" s="21" t="str">
        <f>IF([1]!BANCO10[[#This Row],[SOLUÇÃO]]=CJ$1,[1]!BANCO10[[#This Row],[STATUS DA ETAPA]],"")</f>
        <v/>
      </c>
      <c r="CK508" s="21" t="str">
        <f>IF([1]!BANCO10[[#This Row],[SOLUÇÃO]]=CK$1,[1]!BANCO10[[#This Row],[STATUS DA ETAPA]],"")</f>
        <v/>
      </c>
      <c r="CL508" s="22" t="str">
        <f>IF([1]!BANCO10[[#This Row],[SOLUÇÃO]]=CL$1,[1]!BANCO10[[#This Row],[STATUS DA ETAPA]],"")</f>
        <v/>
      </c>
      <c r="CM508" s="64" t="str">
        <f>IF([1]!BANCO10[[#This Row],[SOLUÇÃO]]=CM$1,[1]!BANCO10[[#This Row],[STATUS DA ETAPA]],"")</f>
        <v/>
      </c>
      <c r="CN508" s="64" t="str">
        <f>IF([1]!BANCO10[[#This Row],[SOLUÇÃO]]=CN$1,[1]!BANCO10[[#This Row],[STATUS DA ETAPA]],"")</f>
        <v/>
      </c>
      <c r="CO508" s="64" t="str">
        <f>IF([1]!BANCO10[[#This Row],[SOLUÇÃO]]=CO$1,[1]!BANCO10[[#This Row],[STATUS DA ETAPA]],"")</f>
        <v/>
      </c>
      <c r="CP508" s="64" t="str">
        <f>IF([1]!BANCO10[[#This Row],[SOLUÇÃO]]=CP$1,[1]!BANCO10[[#This Row],[STATUS DA ETAPA]],"")</f>
        <v/>
      </c>
      <c r="CQ508" s="64" t="str">
        <f>IF([1]!BANCO10[[#This Row],[SOLUÇÃO]]=CQ$1,[1]!BANCO10[[#This Row],[STATUS DA ETAPA]],"")</f>
        <v/>
      </c>
      <c r="CR508" s="64" t="str">
        <f>IF([1]!BANCO10[[#This Row],[SOLUÇÃO]]=CR$1,[1]!BANCO10[[#This Row],[STATUS DA ETAPA]],"")</f>
        <v/>
      </c>
      <c r="CS508" s="64" t="str">
        <f>IF([1]!BANCO10[[#This Row],[SOLUÇÃO]]=CS$1,[1]!BANCO10[[#This Row],[STATUS DA ETAPA]],"")</f>
        <v/>
      </c>
      <c r="CT508" s="64" t="str">
        <f>IF([1]!BANCO10[[#This Row],[SOLUÇÃO]]=CT$1,[1]!BANCO10[[#This Row],[STATUS DA ETAPA]],"")</f>
        <v/>
      </c>
      <c r="CU508" s="64" t="str">
        <f>IF([1]!BANCO10[[#This Row],[SOLUÇÃO]]=CU$1,[1]!BANCO10[[#This Row],[STATUS DA ETAPA]],"")</f>
        <v/>
      </c>
      <c r="CV508" s="64" t="str">
        <f>IF([1]!BANCO10[[#This Row],[SOLUÇÃO]]=CV$1,[1]!BANCO10[[#This Row],[STATUS DA ETAPA]],"")</f>
        <v/>
      </c>
    </row>
    <row r="509" spans="1:100">
      <c r="A509" s="44" t="s">
        <v>1</v>
      </c>
      <c r="B509" s="44"/>
      <c r="C509" s="44" t="s">
        <v>1</v>
      </c>
      <c r="D509" s="44"/>
      <c r="E509" s="44" t="s">
        <v>1</v>
      </c>
      <c r="F509" s="44"/>
      <c r="G509" s="44" t="s">
        <v>1</v>
      </c>
      <c r="H509" s="44"/>
      <c r="I509" s="45" t="s">
        <v>1</v>
      </c>
      <c r="J509" s="46"/>
      <c r="K509" s="45" t="s">
        <v>1</v>
      </c>
      <c r="L509" s="33"/>
      <c r="M509" s="45" t="s">
        <v>1</v>
      </c>
      <c r="N509" s="33"/>
      <c r="O509" s="44"/>
      <c r="P509" s="44"/>
      <c r="Q509" s="44" t="s">
        <v>1</v>
      </c>
      <c r="R509" s="44"/>
      <c r="S509" s="44"/>
      <c r="T509" s="44"/>
      <c r="U509" s="44"/>
      <c r="V509" s="44"/>
      <c r="W509" s="44"/>
      <c r="X509" s="44"/>
      <c r="Y509" s="44"/>
      <c r="Z509" s="44"/>
      <c r="AA509" s="44"/>
      <c r="AB509" s="44"/>
      <c r="AC509" s="84">
        <v>45636</v>
      </c>
      <c r="AD509" s="83">
        <v>45636</v>
      </c>
      <c r="AE509" s="41" t="s">
        <v>1</v>
      </c>
      <c r="AF509" s="41" t="s">
        <v>1</v>
      </c>
      <c r="AG509" s="40" t="s">
        <v>4</v>
      </c>
      <c r="AH509" s="36" t="s">
        <v>0</v>
      </c>
      <c r="AI509" s="49">
        <v>0</v>
      </c>
      <c r="AJ509" s="36" t="s">
        <v>1</v>
      </c>
      <c r="AK509" s="10" t="s">
        <v>1</v>
      </c>
      <c r="AL509" s="36" t="s">
        <v>1</v>
      </c>
      <c r="AM509" s="36" t="s">
        <v>1</v>
      </c>
      <c r="AN509" s="35" t="s">
        <v>1</v>
      </c>
      <c r="AO509" s="35" t="s">
        <v>1</v>
      </c>
      <c r="AP509" s="35" t="s">
        <v>1</v>
      </c>
      <c r="AQ509" s="35" t="s">
        <v>2</v>
      </c>
      <c r="AR509" s="34" t="s">
        <v>0</v>
      </c>
      <c r="AS509" s="33"/>
      <c r="AT509" s="30" t="s">
        <v>0</v>
      </c>
      <c r="AU509" s="31"/>
      <c r="AV509" s="30" t="s">
        <v>0</v>
      </c>
      <c r="AW509" s="31"/>
      <c r="AX509" s="30" t="s">
        <v>0</v>
      </c>
      <c r="AY509" s="29"/>
      <c r="AZ509" s="28" t="s">
        <v>0</v>
      </c>
      <c r="BA509" s="27"/>
      <c r="BB509" s="26"/>
      <c r="BC509" s="25"/>
      <c r="BD509" s="24"/>
      <c r="BE509" s="24"/>
      <c r="BF509" s="24"/>
      <c r="BG509" s="24"/>
      <c r="BH509" s="24"/>
      <c r="BI509" s="24"/>
      <c r="BJ509" s="24"/>
      <c r="BK509" s="24"/>
      <c r="BL509" s="24"/>
      <c r="BM509" s="24"/>
      <c r="BN509" s="24"/>
      <c r="BO509" s="24"/>
      <c r="BP509" s="24"/>
      <c r="BQ509" s="22">
        <f>YEAR([1]!BANCO10[[#This Row],[DATA INÍCIO]])</f>
        <v>2024</v>
      </c>
      <c r="BR509" s="22">
        <f>MONTH([1]!BANCO10[[#This Row],[DATA INÍCIO]])</f>
        <v>12</v>
      </c>
      <c r="BS509" s="23" t="e">
        <f>CONCATENATE(#REF!,#REF!)</f>
        <v>#REF!</v>
      </c>
      <c r="BT509" s="22"/>
      <c r="BU509" s="22"/>
      <c r="BV509" s="21" t="str">
        <f>IF([1]!BANCO10[[#This Row],[SOLUÇÃO]]=BV$1,[1]!BANCO10[[#This Row],[STATUS DA ETAPA]],"")</f>
        <v/>
      </c>
      <c r="BW509" s="21" t="str">
        <f>IF([1]!BANCO10[[#This Row],[SOLUÇÃO]]=BW$1,[1]!BANCO10[[#This Row],[STATUS DA ETAPA]],"")</f>
        <v/>
      </c>
      <c r="BX509" s="21" t="str">
        <f>IF([1]!BANCO10[[#This Row],[SOLUÇÃO]]=BX$1,[1]!BANCO10[[#This Row],[STATUS DA ETAPA]],"")</f>
        <v/>
      </c>
      <c r="BY509" s="21" t="str">
        <f>IF([1]!BANCO10[[#This Row],[SOLUÇÃO]]=BY$1,[1]!BANCO10[[#This Row],[STATUS DA ETAPA]],"")</f>
        <v/>
      </c>
      <c r="BZ509" s="21" t="str">
        <f>IF([1]!BANCO10[[#This Row],[SOLUÇÃO]]=BZ$1,[1]!BANCO10[[#This Row],[STATUS DA ETAPA]],"")</f>
        <v/>
      </c>
      <c r="CA509" s="21" t="str">
        <f>IF([1]!BANCO10[[#This Row],[SOLUÇÃO]]=CA$1,[1]!BANCO10[[#This Row],[STATUS DA ETAPA]],"")</f>
        <v/>
      </c>
      <c r="CB509" s="21" t="str">
        <f>IF([1]!BANCO10[[#This Row],[SOLUÇÃO]]=CB$1,[1]!BANCO10[[#This Row],[STATUS DA ETAPA]],"")</f>
        <v/>
      </c>
      <c r="CC509" s="21" t="str">
        <f>IF([1]!BANCO10[[#This Row],[SOLUÇÃO]]=CC$1,[1]!BANCO10[[#This Row],[STATUS DA ETAPA]],"")</f>
        <v/>
      </c>
      <c r="CD509" s="21" t="str">
        <f>IF([1]!BANCO10[[#This Row],[SOLUÇÃO]]=CD$1,[1]!BANCO10[[#This Row],[STATUS DA ETAPA]],"")</f>
        <v/>
      </c>
      <c r="CE509" s="21" t="str">
        <f>IF([1]!BANCO10[[#This Row],[SOLUÇÃO]]=CE$1,[1]!BANCO10[[#This Row],[STATUS DA ETAPA]],"")</f>
        <v/>
      </c>
      <c r="CF509" s="21" t="str">
        <f>IF([1]!BANCO10[[#This Row],[SOLUÇÃO]]=CF$1,[1]!BANCO10[[#This Row],[STATUS DA ETAPA]],"")</f>
        <v/>
      </c>
      <c r="CG509" s="21" t="str">
        <f>IF([1]!BANCO10[[#This Row],[SOLUÇÃO]]=CG$1,[1]!BANCO10[[#This Row],[STATUS DA ETAPA]],"")</f>
        <v/>
      </c>
      <c r="CH509" s="21" t="str">
        <f>IF([1]!BANCO10[[#This Row],[SOLUÇÃO]]=CH$1,[1]!BANCO10[[#This Row],[STATUS DA ETAPA]],"")</f>
        <v/>
      </c>
      <c r="CI509" s="21" t="str">
        <f>IF([1]!BANCO10[[#This Row],[SOLUÇÃO]]=CI$1,[1]!BANCO10[[#This Row],[STATUS DA ETAPA]],"")</f>
        <v/>
      </c>
      <c r="CJ509" s="21" t="str">
        <f>IF([1]!BANCO10[[#This Row],[SOLUÇÃO]]=CJ$1,[1]!BANCO10[[#This Row],[STATUS DA ETAPA]],"")</f>
        <v/>
      </c>
      <c r="CK509" s="21" t="str">
        <f>IF([1]!BANCO10[[#This Row],[SOLUÇÃO]]=CK$1,[1]!BANCO10[[#This Row],[STATUS DA ETAPA]],"")</f>
        <v/>
      </c>
      <c r="CL509" s="21" t="str">
        <f>IF([1]!BANCO10[[#This Row],[SOLUÇÃO]]=CL$1,[1]!BANCO10[[#This Row],[STATUS DA ETAPA]],"")</f>
        <v/>
      </c>
      <c r="CM509" s="21" t="str">
        <f>IF([1]!BANCO10[[#This Row],[SOLUÇÃO]]=CM$1,[1]!BANCO10[[#This Row],[STATUS DA ETAPA]],"")</f>
        <v/>
      </c>
      <c r="CN509" s="21" t="str">
        <f>IF([1]!BANCO10[[#This Row],[SOLUÇÃO]]=CN$1,[1]!BANCO10[[#This Row],[STATUS DA ETAPA]],"")</f>
        <v/>
      </c>
      <c r="CO509" s="21" t="str">
        <f>IF([1]!BANCO10[[#This Row],[SOLUÇÃO]]=CO$1,[1]!BANCO10[[#This Row],[STATUS DA ETAPA]],"")</f>
        <v/>
      </c>
      <c r="CP509" s="21" t="str">
        <f>IF([1]!BANCO10[[#This Row],[SOLUÇÃO]]=CP$1,[1]!BANCO10[[#This Row],[STATUS DA ETAPA]],"")</f>
        <v/>
      </c>
      <c r="CQ509" s="21" t="str">
        <f>IF([1]!BANCO10[[#This Row],[SOLUÇÃO]]=CQ$1,[1]!BANCO10[[#This Row],[STATUS DA ETAPA]],"")</f>
        <v/>
      </c>
      <c r="CR509" s="21" t="str">
        <f>IF([1]!BANCO10[[#This Row],[SOLUÇÃO]]=CR$1,[1]!BANCO10[[#This Row],[STATUS DA ETAPA]],"")</f>
        <v/>
      </c>
      <c r="CS509" s="21" t="str">
        <f>IF([1]!BANCO10[[#This Row],[SOLUÇÃO]]=CS$1,[1]!BANCO10[[#This Row],[STATUS DA ETAPA]],"")</f>
        <v/>
      </c>
      <c r="CT509" s="21" t="str">
        <f>IF([1]!BANCO10[[#This Row],[SOLUÇÃO]]=CT$1,[1]!BANCO10[[#This Row],[STATUS DA ETAPA]],"")</f>
        <v/>
      </c>
      <c r="CU509" s="21" t="str">
        <f>IF([1]!BANCO10[[#This Row],[SOLUÇÃO]]=CU$1,[1]!BANCO10[[#This Row],[STATUS DA ETAPA]],"")</f>
        <v/>
      </c>
      <c r="CV509" s="21" t="str">
        <f>IF([1]!BANCO10[[#This Row],[SOLUÇÃO]]=CV$1,[1]!BANCO10[[#This Row],[STATUS DA ETAPA]],"")</f>
        <v/>
      </c>
    </row>
    <row r="510" spans="1:100">
      <c r="A510" s="44" t="s">
        <v>1</v>
      </c>
      <c r="B510" s="44"/>
      <c r="C510" s="44" t="s">
        <v>1</v>
      </c>
      <c r="D510" s="44"/>
      <c r="E510" s="44" t="s">
        <v>1</v>
      </c>
      <c r="F510" s="44"/>
      <c r="G510" s="44" t="s">
        <v>1</v>
      </c>
      <c r="H510" s="44"/>
      <c r="I510" s="45" t="s">
        <v>1</v>
      </c>
      <c r="J510" s="46"/>
      <c r="K510" s="45" t="s">
        <v>1</v>
      </c>
      <c r="L510" s="33"/>
      <c r="M510" s="45" t="s">
        <v>1</v>
      </c>
      <c r="N510" s="33"/>
      <c r="O510" s="44" t="s">
        <v>1</v>
      </c>
      <c r="P510" s="44"/>
      <c r="Q510" s="44" t="s">
        <v>0</v>
      </c>
      <c r="R510" s="44"/>
      <c r="S510" s="44" t="s">
        <v>1</v>
      </c>
      <c r="T510" s="44"/>
      <c r="U510" s="44" t="s">
        <v>1</v>
      </c>
      <c r="V510" s="44"/>
      <c r="W510" s="44" t="s">
        <v>1</v>
      </c>
      <c r="X510" s="44"/>
      <c r="Y510" s="44" t="s">
        <v>1</v>
      </c>
      <c r="Z510" s="44"/>
      <c r="AA510" s="44" t="s">
        <v>1</v>
      </c>
      <c r="AB510" s="44"/>
      <c r="AC510" s="51">
        <v>45963</v>
      </c>
      <c r="AD510" s="50">
        <v>45963</v>
      </c>
      <c r="AE510" s="40" t="s">
        <v>1</v>
      </c>
      <c r="AF510" s="40" t="s">
        <v>1</v>
      </c>
      <c r="AG510" s="40" t="s">
        <v>1</v>
      </c>
      <c r="AH510" s="36" t="s">
        <v>1</v>
      </c>
      <c r="AI510" s="49">
        <v>0</v>
      </c>
      <c r="AJ510" s="36" t="s">
        <v>1</v>
      </c>
      <c r="AK510" s="10" t="s">
        <v>1</v>
      </c>
      <c r="AL510" s="36" t="s">
        <v>1</v>
      </c>
      <c r="AM510" s="36" t="s">
        <v>1</v>
      </c>
      <c r="AN510" s="35" t="s">
        <v>1</v>
      </c>
      <c r="AO510" s="35" t="s">
        <v>1</v>
      </c>
      <c r="AP510" s="35" t="s">
        <v>1</v>
      </c>
      <c r="AQ510" s="35" t="s">
        <v>1</v>
      </c>
      <c r="AR510" s="82" t="s">
        <v>1</v>
      </c>
      <c r="AS510" s="63"/>
      <c r="AT510" s="32" t="s">
        <v>1</v>
      </c>
      <c r="AU510" s="31"/>
      <c r="AV510" s="32" t="s">
        <v>1</v>
      </c>
      <c r="AW510" s="31"/>
      <c r="AX510" s="32" t="s">
        <v>1</v>
      </c>
      <c r="AY510" s="31"/>
      <c r="AZ510" s="32" t="s">
        <v>1</v>
      </c>
      <c r="BA510" s="31"/>
      <c r="BB510" s="39"/>
      <c r="BC510" s="25"/>
      <c r="BD510" s="24" t="s">
        <v>19</v>
      </c>
      <c r="BE510" s="24" t="s">
        <v>19</v>
      </c>
      <c r="BF510" s="79" t="s">
        <v>51</v>
      </c>
      <c r="BG510" s="79" t="s">
        <v>11</v>
      </c>
      <c r="BH510" s="80" t="s">
        <v>381</v>
      </c>
      <c r="BI510" s="79"/>
      <c r="BJ510" s="54" t="s">
        <v>11</v>
      </c>
      <c r="BK510" s="78" t="s">
        <v>11</v>
      </c>
      <c r="BL510" s="69" t="s">
        <v>11</v>
      </c>
      <c r="BM510" s="78" t="s">
        <v>11</v>
      </c>
      <c r="BN510" s="78" t="s">
        <v>11</v>
      </c>
      <c r="BO510" s="78" t="s">
        <v>11</v>
      </c>
      <c r="BP510" s="78" t="s">
        <v>11</v>
      </c>
      <c r="BQ510" s="21">
        <f>YEAR([1]!BANCO10[[#This Row],[DATA INÍCIO]])</f>
        <v>2025</v>
      </c>
      <c r="BR510" s="21">
        <f>MONTH([1]!BANCO10[[#This Row],[DATA INÍCIO]])</f>
        <v>11</v>
      </c>
      <c r="BS510" s="21" t="e">
        <f>CONCATENATE(#REF!,#REF!)</f>
        <v>#REF!</v>
      </c>
      <c r="BT510" s="21"/>
      <c r="BU510" s="21" t="s">
        <v>1</v>
      </c>
      <c r="BV510" s="21" t="str">
        <f>IF([1]!BANCO10[[#This Row],[SOLUÇÃO]]=BV$1,[1]!BANCO10[[#This Row],[STATUS DA ETAPA]],"")</f>
        <v>CANCELADO</v>
      </c>
      <c r="BW510" s="21" t="str">
        <f>IF([1]!BANCO10[[#This Row],[SOLUÇÃO]]=BW$1,[1]!BANCO10[[#This Row],[STATUS DA ETAPA]],"")</f>
        <v/>
      </c>
      <c r="BX510" s="21" t="str">
        <f>IF([1]!BANCO10[[#This Row],[SOLUÇÃO]]=BX$1,[1]!BANCO10[[#This Row],[STATUS DA ETAPA]],"")</f>
        <v/>
      </c>
      <c r="BY510" s="21" t="str">
        <f>IF([1]!BANCO10[[#This Row],[SOLUÇÃO]]=BY$1,[1]!BANCO10[[#This Row],[STATUS DA ETAPA]],"")</f>
        <v/>
      </c>
      <c r="BZ510" s="21" t="str">
        <f>IF([1]!BANCO10[[#This Row],[SOLUÇÃO]]=BZ$1,[1]!BANCO10[[#This Row],[STATUS DA ETAPA]],"")</f>
        <v/>
      </c>
      <c r="CA510" s="21" t="str">
        <f>IF([1]!BANCO10[[#This Row],[SOLUÇÃO]]=CA$1,[1]!BANCO10[[#This Row],[STATUS DA ETAPA]],"")</f>
        <v/>
      </c>
      <c r="CB510" s="21" t="str">
        <f>IF([1]!BANCO10[[#This Row],[SOLUÇÃO]]=CB$1,[1]!BANCO10[[#This Row],[STATUS DA ETAPA]],"")</f>
        <v/>
      </c>
      <c r="CC510" s="21" t="str">
        <f>IF([1]!BANCO10[[#This Row],[SOLUÇÃO]]=CC$1,[1]!BANCO10[[#This Row],[STATUS DA ETAPA]],"")</f>
        <v/>
      </c>
      <c r="CD510" s="21" t="str">
        <f>IF([1]!BANCO10[[#This Row],[SOLUÇÃO]]=CD$1,[1]!BANCO10[[#This Row],[STATUS DA ETAPA]],"")</f>
        <v/>
      </c>
      <c r="CE510" s="21" t="str">
        <f>IF([1]!BANCO10[[#This Row],[SOLUÇÃO]]=CE$1,[1]!BANCO10[[#This Row],[STATUS DA ETAPA]],"")</f>
        <v/>
      </c>
      <c r="CF510" s="21" t="str">
        <f>IF([1]!BANCO10[[#This Row],[SOLUÇÃO]]=CF$1,[1]!BANCO10[[#This Row],[STATUS DA ETAPA]],"")</f>
        <v/>
      </c>
      <c r="CG510" s="21" t="str">
        <f>IF([1]!BANCO10[[#This Row],[SOLUÇÃO]]=CG$1,[1]!BANCO10[[#This Row],[STATUS DA ETAPA]],"")</f>
        <v/>
      </c>
      <c r="CH510" s="21" t="str">
        <f>IF([1]!BANCO10[[#This Row],[SOLUÇÃO]]=CH$1,[1]!BANCO10[[#This Row],[STATUS DA ETAPA]],"")</f>
        <v/>
      </c>
      <c r="CI510" s="21" t="str">
        <f>IF([1]!BANCO10[[#This Row],[SOLUÇÃO]]=CI$1,[1]!BANCO10[[#This Row],[STATUS DA ETAPA]],"")</f>
        <v/>
      </c>
      <c r="CJ510" s="21" t="str">
        <f>IF([1]!BANCO10[[#This Row],[SOLUÇÃO]]=CJ$1,[1]!BANCO10[[#This Row],[STATUS DA ETAPA]],"")</f>
        <v/>
      </c>
      <c r="CK510" s="21" t="str">
        <f>IF([1]!BANCO10[[#This Row],[SOLUÇÃO]]=CK$1,[1]!BANCO10[[#This Row],[STATUS DA ETAPA]],"")</f>
        <v/>
      </c>
      <c r="CL510" s="22" t="str">
        <f>IF([1]!BANCO10[[#This Row],[SOLUÇÃO]]=CL$1,[1]!BANCO10[[#This Row],[STATUS DA ETAPA]],"")</f>
        <v/>
      </c>
      <c r="CM510" s="64" t="str">
        <f>IF([1]!BANCO10[[#This Row],[SOLUÇÃO]]=CM$1,[1]!BANCO10[[#This Row],[STATUS DA ETAPA]],"")</f>
        <v/>
      </c>
      <c r="CN510" s="64" t="str">
        <f>IF([1]!BANCO10[[#This Row],[SOLUÇÃO]]=CN$1,[1]!BANCO10[[#This Row],[STATUS DA ETAPA]],"")</f>
        <v/>
      </c>
      <c r="CO510" s="64" t="str">
        <f>IF([1]!BANCO10[[#This Row],[SOLUÇÃO]]=CO$1,[1]!BANCO10[[#This Row],[STATUS DA ETAPA]],"")</f>
        <v/>
      </c>
      <c r="CP510" s="64" t="str">
        <f>IF([1]!BANCO10[[#This Row],[SOLUÇÃO]]=CP$1,[1]!BANCO10[[#This Row],[STATUS DA ETAPA]],"")</f>
        <v/>
      </c>
      <c r="CQ510" s="64" t="str">
        <f>IF([1]!BANCO10[[#This Row],[SOLUÇÃO]]=CQ$1,[1]!BANCO10[[#This Row],[STATUS DA ETAPA]],"")</f>
        <v/>
      </c>
      <c r="CR510" s="64" t="str">
        <f>IF([1]!BANCO10[[#This Row],[SOLUÇÃO]]=CR$1,[1]!BANCO10[[#This Row],[STATUS DA ETAPA]],"")</f>
        <v/>
      </c>
      <c r="CS510" s="64" t="str">
        <f>IF([1]!BANCO10[[#This Row],[SOLUÇÃO]]=CS$1,[1]!BANCO10[[#This Row],[STATUS DA ETAPA]],"")</f>
        <v/>
      </c>
      <c r="CT510" s="64" t="str">
        <f>IF([1]!BANCO10[[#This Row],[SOLUÇÃO]]=CT$1,[1]!BANCO10[[#This Row],[STATUS DA ETAPA]],"")</f>
        <v/>
      </c>
      <c r="CU510" s="64" t="str">
        <f>IF([1]!BANCO10[[#This Row],[SOLUÇÃO]]=CU$1,[1]!BANCO10[[#This Row],[STATUS DA ETAPA]],"")</f>
        <v/>
      </c>
      <c r="CV510" s="64" t="str">
        <f>IF([1]!BANCO10[[#This Row],[SOLUÇÃO]]=CV$1,[1]!BANCO10[[#This Row],[STATUS DA ETAPA]],"")</f>
        <v/>
      </c>
    </row>
    <row r="511" spans="1:100">
      <c r="A511" s="44" t="s">
        <v>1</v>
      </c>
      <c r="B511" s="44"/>
      <c r="C511" s="44" t="s">
        <v>1</v>
      </c>
      <c r="D511" s="44"/>
      <c r="E511" s="44" t="s">
        <v>1</v>
      </c>
      <c r="F511" s="44"/>
      <c r="G511" s="44" t="s">
        <v>1</v>
      </c>
      <c r="H511" s="44"/>
      <c r="I511" s="45" t="s">
        <v>1</v>
      </c>
      <c r="J511" s="46"/>
      <c r="K511" s="45" t="s">
        <v>1</v>
      </c>
      <c r="L511" s="33"/>
      <c r="M511" s="45" t="s">
        <v>1</v>
      </c>
      <c r="N511" s="33"/>
      <c r="O511" s="44" t="s">
        <v>2</v>
      </c>
      <c r="P511" s="44">
        <v>44964</v>
      </c>
      <c r="Q511" s="44" t="s">
        <v>0</v>
      </c>
      <c r="R511" s="44"/>
      <c r="S511" s="44" t="s">
        <v>1</v>
      </c>
      <c r="T511" s="44"/>
      <c r="U511" s="44" t="s">
        <v>1</v>
      </c>
      <c r="V511" s="44"/>
      <c r="W511" s="44" t="s">
        <v>1</v>
      </c>
      <c r="X511" s="44"/>
      <c r="Y511" s="44" t="s">
        <v>1</v>
      </c>
      <c r="Z511" s="44"/>
      <c r="AA511" s="44" t="s">
        <v>1</v>
      </c>
      <c r="AB511" s="44"/>
      <c r="AC511" s="51">
        <v>44963</v>
      </c>
      <c r="AD511" s="50">
        <v>44963</v>
      </c>
      <c r="AE511" s="40" t="s">
        <v>1</v>
      </c>
      <c r="AF511" s="40" t="s">
        <v>1</v>
      </c>
      <c r="AG511" s="40" t="s">
        <v>5</v>
      </c>
      <c r="AH511" s="36" t="s">
        <v>1</v>
      </c>
      <c r="AI511" s="49">
        <v>0</v>
      </c>
      <c r="AJ511" s="36" t="s">
        <v>1</v>
      </c>
      <c r="AK511" s="10" t="s">
        <v>1</v>
      </c>
      <c r="AL511" s="36" t="s">
        <v>1</v>
      </c>
      <c r="AM511" s="36" t="s">
        <v>1</v>
      </c>
      <c r="AN511" s="35" t="s">
        <v>1</v>
      </c>
      <c r="AO511" s="35" t="s">
        <v>1</v>
      </c>
      <c r="AP511" s="35" t="s">
        <v>1</v>
      </c>
      <c r="AQ511" s="35" t="s">
        <v>1</v>
      </c>
      <c r="AR511" s="82" t="s">
        <v>1</v>
      </c>
      <c r="AS511" s="33"/>
      <c r="AT511" s="30"/>
      <c r="AU511" s="55"/>
      <c r="AV511" s="30"/>
      <c r="AW511" s="55"/>
      <c r="AX511" s="30" t="s">
        <v>1</v>
      </c>
      <c r="AY511" s="55"/>
      <c r="AZ511" s="30" t="s">
        <v>1</v>
      </c>
      <c r="BA511" s="66"/>
      <c r="BB511" s="39"/>
      <c r="BC511" s="25"/>
      <c r="BD511" s="24" t="s">
        <v>11</v>
      </c>
      <c r="BE511" s="24" t="s">
        <v>11</v>
      </c>
      <c r="BF511" s="79" t="s">
        <v>21</v>
      </c>
      <c r="BG511" s="79" t="s">
        <v>136</v>
      </c>
      <c r="BH511" s="80" t="s">
        <v>63</v>
      </c>
      <c r="BI511" s="79"/>
      <c r="BJ511" s="54" t="s">
        <v>11</v>
      </c>
      <c r="BK511" s="78" t="s">
        <v>11</v>
      </c>
      <c r="BL511" s="69" t="s">
        <v>11</v>
      </c>
      <c r="BM511" s="78" t="s">
        <v>11</v>
      </c>
      <c r="BN511" s="78" t="s">
        <v>11</v>
      </c>
      <c r="BO511" s="78" t="s">
        <v>11</v>
      </c>
      <c r="BP511" s="78" t="s">
        <v>11</v>
      </c>
      <c r="BQ511" s="21">
        <f>YEAR([1]!BANCO10[[#This Row],[DATA INÍCIO]])</f>
        <v>2023</v>
      </c>
      <c r="BR511" s="21">
        <f>MONTH([1]!BANCO10[[#This Row],[DATA INÍCIO]])</f>
        <v>2</v>
      </c>
      <c r="BS511" s="21" t="e">
        <f>CONCATENATE(#REF!,#REF!)</f>
        <v>#REF!</v>
      </c>
      <c r="BT511" s="21"/>
      <c r="BU511" s="21" t="s">
        <v>380</v>
      </c>
      <c r="BV511" s="21" t="str">
        <f>IF([1]!BANCO10[[#This Row],[SOLUÇÃO]]=BV$1,[1]!BANCO10[[#This Row],[STATUS DA ETAPA]],"")</f>
        <v>CONCLUÍDO</v>
      </c>
      <c r="BW511" s="21" t="str">
        <f>IF([1]!BANCO10[[#This Row],[SOLUÇÃO]]=BW$1,[1]!BANCO10[[#This Row],[STATUS DA ETAPA]],"")</f>
        <v/>
      </c>
      <c r="BX511" s="21" t="str">
        <f>IF([1]!BANCO10[[#This Row],[SOLUÇÃO]]=BX$1,[1]!BANCO10[[#This Row],[STATUS DA ETAPA]],"")</f>
        <v/>
      </c>
      <c r="BY511" s="21" t="str">
        <f>IF([1]!BANCO10[[#This Row],[SOLUÇÃO]]=BY$1,[1]!BANCO10[[#This Row],[STATUS DA ETAPA]],"")</f>
        <v/>
      </c>
      <c r="BZ511" s="21" t="str">
        <f>IF([1]!BANCO10[[#This Row],[SOLUÇÃO]]=BZ$1,[1]!BANCO10[[#This Row],[STATUS DA ETAPA]],"")</f>
        <v/>
      </c>
      <c r="CA511" s="21" t="str">
        <f>IF([1]!BANCO10[[#This Row],[SOLUÇÃO]]=CA$1,[1]!BANCO10[[#This Row],[STATUS DA ETAPA]],"")</f>
        <v/>
      </c>
      <c r="CB511" s="21" t="str">
        <f>IF([1]!BANCO10[[#This Row],[SOLUÇÃO]]=CB$1,[1]!BANCO10[[#This Row],[STATUS DA ETAPA]],"")</f>
        <v/>
      </c>
      <c r="CC511" s="21" t="str">
        <f>IF([1]!BANCO10[[#This Row],[SOLUÇÃO]]=CC$1,[1]!BANCO10[[#This Row],[STATUS DA ETAPA]],"")</f>
        <v/>
      </c>
      <c r="CD511" s="21" t="str">
        <f>IF([1]!BANCO10[[#This Row],[SOLUÇÃO]]=CD$1,[1]!BANCO10[[#This Row],[STATUS DA ETAPA]],"")</f>
        <v/>
      </c>
      <c r="CE511" s="21" t="str">
        <f>IF([1]!BANCO10[[#This Row],[SOLUÇÃO]]=CE$1,[1]!BANCO10[[#This Row],[STATUS DA ETAPA]],"")</f>
        <v/>
      </c>
      <c r="CF511" s="21" t="str">
        <f>IF([1]!BANCO10[[#This Row],[SOLUÇÃO]]=CF$1,[1]!BANCO10[[#This Row],[STATUS DA ETAPA]],"")</f>
        <v/>
      </c>
      <c r="CG511" s="21" t="str">
        <f>IF([1]!BANCO10[[#This Row],[SOLUÇÃO]]=CG$1,[1]!BANCO10[[#This Row],[STATUS DA ETAPA]],"")</f>
        <v/>
      </c>
      <c r="CH511" s="21" t="str">
        <f>IF([1]!BANCO10[[#This Row],[SOLUÇÃO]]=CH$1,[1]!BANCO10[[#This Row],[STATUS DA ETAPA]],"")</f>
        <v/>
      </c>
      <c r="CI511" s="21" t="str">
        <f>IF([1]!BANCO10[[#This Row],[SOLUÇÃO]]=CI$1,[1]!BANCO10[[#This Row],[STATUS DA ETAPA]],"")</f>
        <v/>
      </c>
      <c r="CJ511" s="21" t="str">
        <f>IF([1]!BANCO10[[#This Row],[SOLUÇÃO]]=CJ$1,[1]!BANCO10[[#This Row],[STATUS DA ETAPA]],"")</f>
        <v/>
      </c>
      <c r="CK511" s="21" t="str">
        <f>IF([1]!BANCO10[[#This Row],[SOLUÇÃO]]=CK$1,[1]!BANCO10[[#This Row],[STATUS DA ETAPA]],"")</f>
        <v/>
      </c>
      <c r="CL511" s="22" t="str">
        <f>IF([1]!BANCO10[[#This Row],[SOLUÇÃO]]=CL$1,[1]!BANCO10[[#This Row],[STATUS DA ETAPA]],"")</f>
        <v/>
      </c>
      <c r="CM511" s="64" t="str">
        <f>IF([1]!BANCO10[[#This Row],[SOLUÇÃO]]=CM$1,[1]!BANCO10[[#This Row],[STATUS DA ETAPA]],"")</f>
        <v/>
      </c>
      <c r="CN511" s="64" t="str">
        <f>IF([1]!BANCO10[[#This Row],[SOLUÇÃO]]=CN$1,[1]!BANCO10[[#This Row],[STATUS DA ETAPA]],"")</f>
        <v/>
      </c>
      <c r="CO511" s="64" t="str">
        <f>IF([1]!BANCO10[[#This Row],[SOLUÇÃO]]=CO$1,[1]!BANCO10[[#This Row],[STATUS DA ETAPA]],"")</f>
        <v/>
      </c>
      <c r="CP511" s="64" t="str">
        <f>IF([1]!BANCO10[[#This Row],[SOLUÇÃO]]=CP$1,[1]!BANCO10[[#This Row],[STATUS DA ETAPA]],"")</f>
        <v/>
      </c>
      <c r="CQ511" s="64" t="str">
        <f>IF([1]!BANCO10[[#This Row],[SOLUÇÃO]]=CQ$1,[1]!BANCO10[[#This Row],[STATUS DA ETAPA]],"")</f>
        <v/>
      </c>
      <c r="CR511" s="64" t="str">
        <f>IF([1]!BANCO10[[#This Row],[SOLUÇÃO]]=CR$1,[1]!BANCO10[[#This Row],[STATUS DA ETAPA]],"")</f>
        <v/>
      </c>
      <c r="CS511" s="64" t="str">
        <f>IF([1]!BANCO10[[#This Row],[SOLUÇÃO]]=CS$1,[1]!BANCO10[[#This Row],[STATUS DA ETAPA]],"")</f>
        <v/>
      </c>
      <c r="CT511" s="64" t="str">
        <f>IF([1]!BANCO10[[#This Row],[SOLUÇÃO]]=CT$1,[1]!BANCO10[[#This Row],[STATUS DA ETAPA]],"")</f>
        <v/>
      </c>
      <c r="CU511" s="64" t="str">
        <f>IF([1]!BANCO10[[#This Row],[SOLUÇÃO]]=CU$1,[1]!BANCO10[[#This Row],[STATUS DA ETAPA]],"")</f>
        <v/>
      </c>
      <c r="CV511" s="64" t="str">
        <f>IF([1]!BANCO10[[#This Row],[SOLUÇÃO]]=CV$1,[1]!BANCO10[[#This Row],[STATUS DA ETAPA]],"")</f>
        <v/>
      </c>
    </row>
    <row r="512" spans="1:100">
      <c r="A512" s="44" t="s">
        <v>1</v>
      </c>
      <c r="B512" s="44"/>
      <c r="C512" s="44" t="s">
        <v>1</v>
      </c>
      <c r="D512" s="44"/>
      <c r="E512" s="44" t="s">
        <v>1</v>
      </c>
      <c r="F512" s="44"/>
      <c r="G512" s="44" t="s">
        <v>1</v>
      </c>
      <c r="H512" s="44"/>
      <c r="I512" s="45" t="s">
        <v>1</v>
      </c>
      <c r="J512" s="46"/>
      <c r="K512" s="45" t="s">
        <v>1</v>
      </c>
      <c r="L512" s="33"/>
      <c r="M512" s="45" t="s">
        <v>1</v>
      </c>
      <c r="N512" s="33"/>
      <c r="O512" s="44" t="s">
        <v>2</v>
      </c>
      <c r="P512" s="44">
        <v>44964</v>
      </c>
      <c r="Q512" s="44" t="s">
        <v>2</v>
      </c>
      <c r="R512" s="44">
        <v>44965</v>
      </c>
      <c r="S512" s="44" t="s">
        <v>2</v>
      </c>
      <c r="T512" s="44">
        <v>44965</v>
      </c>
      <c r="U512" s="44"/>
      <c r="V512" s="44"/>
      <c r="W512" s="44" t="s">
        <v>2</v>
      </c>
      <c r="X512" s="44"/>
      <c r="Y512" s="44" t="s">
        <v>2</v>
      </c>
      <c r="Z512" s="44">
        <v>45000</v>
      </c>
      <c r="AA512" s="44" t="s">
        <v>2</v>
      </c>
      <c r="AB512" s="44"/>
      <c r="AC512" s="51">
        <v>45022</v>
      </c>
      <c r="AD512" s="50">
        <v>45083</v>
      </c>
      <c r="AE512" s="40" t="s">
        <v>2</v>
      </c>
      <c r="AF512" s="40" t="s">
        <v>2</v>
      </c>
      <c r="AG512" s="40" t="s">
        <v>5</v>
      </c>
      <c r="AH512" s="36" t="s">
        <v>0</v>
      </c>
      <c r="AI512" s="49">
        <v>0</v>
      </c>
      <c r="AJ512" s="36" t="s">
        <v>6</v>
      </c>
      <c r="AK512" s="10"/>
      <c r="AL512" s="36" t="s">
        <v>61</v>
      </c>
      <c r="AM512" s="36"/>
      <c r="AN512" s="35" t="s">
        <v>1</v>
      </c>
      <c r="AO512" s="35" t="s">
        <v>1</v>
      </c>
      <c r="AP512" s="35" t="s">
        <v>2</v>
      </c>
      <c r="AQ512" s="35" t="s">
        <v>1</v>
      </c>
      <c r="AR512" s="34" t="s">
        <v>1</v>
      </c>
      <c r="AS512" s="33"/>
      <c r="AT512" s="30"/>
      <c r="AU512" s="55"/>
      <c r="AV512" s="30"/>
      <c r="AW512" s="55"/>
      <c r="AX512" s="30" t="s">
        <v>2</v>
      </c>
      <c r="AY512" s="55">
        <v>45083</v>
      </c>
      <c r="AZ512" s="30" t="s">
        <v>2</v>
      </c>
      <c r="BA512" s="66"/>
      <c r="BB512" s="39"/>
      <c r="BC512" s="25"/>
      <c r="BD512" s="24" t="s">
        <v>11</v>
      </c>
      <c r="BE512" s="24" t="s">
        <v>11</v>
      </c>
      <c r="BF512" s="79" t="s">
        <v>21</v>
      </c>
      <c r="BG512" s="79" t="s">
        <v>136</v>
      </c>
      <c r="BH512" s="80" t="s">
        <v>63</v>
      </c>
      <c r="BI512" s="79"/>
      <c r="BJ512" s="54" t="s">
        <v>11</v>
      </c>
      <c r="BK512" s="78" t="s">
        <v>11</v>
      </c>
      <c r="BL512" s="69" t="s">
        <v>11</v>
      </c>
      <c r="BM512" s="78" t="s">
        <v>11</v>
      </c>
      <c r="BN512" s="78" t="s">
        <v>11</v>
      </c>
      <c r="BO512" s="78" t="s">
        <v>11</v>
      </c>
      <c r="BP512" s="78" t="s">
        <v>379</v>
      </c>
      <c r="BQ512" s="21">
        <f>YEAR([1]!BANCO10[[#This Row],[DATA INÍCIO]])</f>
        <v>2023</v>
      </c>
      <c r="BR512" s="21">
        <f>MONTH([1]!BANCO10[[#This Row],[DATA INÍCIO]])</f>
        <v>4</v>
      </c>
      <c r="BS512" s="21" t="e">
        <f>CONCATENATE(#REF!,#REF!)</f>
        <v>#REF!</v>
      </c>
      <c r="BT512" s="21"/>
      <c r="BU512" s="21" t="s">
        <v>378</v>
      </c>
      <c r="BV512" s="21" t="str">
        <f>IF([1]!BANCO10[[#This Row],[SOLUÇÃO]]=BV$1,[1]!BANCO10[[#This Row],[STATUS DA ETAPA]],"")</f>
        <v/>
      </c>
      <c r="BW512" s="21" t="str">
        <f>IF([1]!BANCO10[[#This Row],[SOLUÇÃO]]=BW$1,[1]!BANCO10[[#This Row],[STATUS DA ETAPA]],"")</f>
        <v/>
      </c>
      <c r="BX512" s="21" t="str">
        <f>IF([1]!BANCO10[[#This Row],[SOLUÇÃO]]=BX$1,[1]!BANCO10[[#This Row],[STATUS DA ETAPA]],"")</f>
        <v/>
      </c>
      <c r="BY512" s="21" t="str">
        <f>IF([1]!BANCO10[[#This Row],[SOLUÇÃO]]=BY$1,[1]!BANCO10[[#This Row],[STATUS DA ETAPA]],"")</f>
        <v/>
      </c>
      <c r="BZ512" s="21" t="str">
        <f>IF([1]!BANCO10[[#This Row],[SOLUÇÃO]]=BZ$1,[1]!BANCO10[[#This Row],[STATUS DA ETAPA]],"")</f>
        <v/>
      </c>
      <c r="CA512" s="21" t="str">
        <f>IF([1]!BANCO10[[#This Row],[SOLUÇÃO]]=CA$1,[1]!BANCO10[[#This Row],[STATUS DA ETAPA]],"")</f>
        <v>CONCLUÍDO</v>
      </c>
      <c r="CB512" s="21" t="str">
        <f>IF([1]!BANCO10[[#This Row],[SOLUÇÃO]]=CB$1,[1]!BANCO10[[#This Row],[STATUS DA ETAPA]],"")</f>
        <v/>
      </c>
      <c r="CC512" s="21" t="str">
        <f>IF([1]!BANCO10[[#This Row],[SOLUÇÃO]]=CC$1,[1]!BANCO10[[#This Row],[STATUS DA ETAPA]],"")</f>
        <v/>
      </c>
      <c r="CD512" s="21" t="str">
        <f>IF([1]!BANCO10[[#This Row],[SOLUÇÃO]]=CD$1,[1]!BANCO10[[#This Row],[STATUS DA ETAPA]],"")</f>
        <v/>
      </c>
      <c r="CE512" s="21" t="str">
        <f>IF([1]!BANCO10[[#This Row],[SOLUÇÃO]]=CE$1,[1]!BANCO10[[#This Row],[STATUS DA ETAPA]],"")</f>
        <v/>
      </c>
      <c r="CF512" s="21" t="str">
        <f>IF([1]!BANCO10[[#This Row],[SOLUÇÃO]]=CF$1,[1]!BANCO10[[#This Row],[STATUS DA ETAPA]],"")</f>
        <v/>
      </c>
      <c r="CG512" s="21" t="str">
        <f>IF([1]!BANCO10[[#This Row],[SOLUÇÃO]]=CG$1,[1]!BANCO10[[#This Row],[STATUS DA ETAPA]],"")</f>
        <v/>
      </c>
      <c r="CH512" s="21" t="str">
        <f>IF([1]!BANCO10[[#This Row],[SOLUÇÃO]]=CH$1,[1]!BANCO10[[#This Row],[STATUS DA ETAPA]],"")</f>
        <v/>
      </c>
      <c r="CI512" s="21" t="str">
        <f>IF([1]!BANCO10[[#This Row],[SOLUÇÃO]]=CI$1,[1]!BANCO10[[#This Row],[STATUS DA ETAPA]],"")</f>
        <v/>
      </c>
      <c r="CJ512" s="21" t="str">
        <f>IF([1]!BANCO10[[#This Row],[SOLUÇÃO]]=CJ$1,[1]!BANCO10[[#This Row],[STATUS DA ETAPA]],"")</f>
        <v/>
      </c>
      <c r="CK512" s="21" t="str">
        <f>IF([1]!BANCO10[[#This Row],[SOLUÇÃO]]=CK$1,[1]!BANCO10[[#This Row],[STATUS DA ETAPA]],"")</f>
        <v/>
      </c>
      <c r="CL512" s="22" t="str">
        <f>IF([1]!BANCO10[[#This Row],[SOLUÇÃO]]=CL$1,[1]!BANCO10[[#This Row],[STATUS DA ETAPA]],"")</f>
        <v/>
      </c>
      <c r="CM512" s="64" t="str">
        <f>IF([1]!BANCO10[[#This Row],[SOLUÇÃO]]=CM$1,[1]!BANCO10[[#This Row],[STATUS DA ETAPA]],"")</f>
        <v/>
      </c>
      <c r="CN512" s="64" t="str">
        <f>IF([1]!BANCO10[[#This Row],[SOLUÇÃO]]=CN$1,[1]!BANCO10[[#This Row],[STATUS DA ETAPA]],"")</f>
        <v/>
      </c>
      <c r="CO512" s="64" t="str">
        <f>IF([1]!BANCO10[[#This Row],[SOLUÇÃO]]=CO$1,[1]!BANCO10[[#This Row],[STATUS DA ETAPA]],"")</f>
        <v/>
      </c>
      <c r="CP512" s="64" t="str">
        <f>IF([1]!BANCO10[[#This Row],[SOLUÇÃO]]=CP$1,[1]!BANCO10[[#This Row],[STATUS DA ETAPA]],"")</f>
        <v/>
      </c>
      <c r="CQ512" s="64" t="str">
        <f>IF([1]!BANCO10[[#This Row],[SOLUÇÃO]]=CQ$1,[1]!BANCO10[[#This Row],[STATUS DA ETAPA]],"")</f>
        <v/>
      </c>
      <c r="CR512" s="64" t="str">
        <f>IF([1]!BANCO10[[#This Row],[SOLUÇÃO]]=CR$1,[1]!BANCO10[[#This Row],[STATUS DA ETAPA]],"")</f>
        <v/>
      </c>
      <c r="CS512" s="64" t="str">
        <f>IF([1]!BANCO10[[#This Row],[SOLUÇÃO]]=CS$1,[1]!BANCO10[[#This Row],[STATUS DA ETAPA]],"")</f>
        <v/>
      </c>
      <c r="CT512" s="64" t="str">
        <f>IF([1]!BANCO10[[#This Row],[SOLUÇÃO]]=CT$1,[1]!BANCO10[[#This Row],[STATUS DA ETAPA]],"")</f>
        <v/>
      </c>
      <c r="CU512" s="64" t="str">
        <f>IF([1]!BANCO10[[#This Row],[SOLUÇÃO]]=CU$1,[1]!BANCO10[[#This Row],[STATUS DA ETAPA]],"")</f>
        <v/>
      </c>
      <c r="CV512" s="64" t="str">
        <f>IF([1]!BANCO10[[#This Row],[SOLUÇÃO]]=CV$1,[1]!BANCO10[[#This Row],[STATUS DA ETAPA]],"")</f>
        <v/>
      </c>
    </row>
    <row r="513" spans="1:100">
      <c r="A513" s="44" t="s">
        <v>1</v>
      </c>
      <c r="B513" s="44"/>
      <c r="C513" s="44" t="s">
        <v>1</v>
      </c>
      <c r="D513" s="44"/>
      <c r="E513" s="44" t="s">
        <v>1</v>
      </c>
      <c r="F513" s="44"/>
      <c r="G513" s="44" t="s">
        <v>1</v>
      </c>
      <c r="H513" s="44"/>
      <c r="I513" s="45" t="s">
        <v>1</v>
      </c>
      <c r="J513" s="46"/>
      <c r="K513" s="45" t="s">
        <v>1</v>
      </c>
      <c r="L513" s="33"/>
      <c r="M513" s="45" t="s">
        <v>1</v>
      </c>
      <c r="N513" s="33"/>
      <c r="O513" s="44" t="s">
        <v>1</v>
      </c>
      <c r="P513" s="44"/>
      <c r="Q513" s="44" t="s">
        <v>0</v>
      </c>
      <c r="R513" s="44"/>
      <c r="S513" s="44" t="s">
        <v>1</v>
      </c>
      <c r="T513" s="44"/>
      <c r="U513" s="44" t="s">
        <v>1</v>
      </c>
      <c r="V513" s="44"/>
      <c r="W513" s="44" t="s">
        <v>1</v>
      </c>
      <c r="X513" s="44"/>
      <c r="Y513" s="44" t="s">
        <v>1</v>
      </c>
      <c r="Z513" s="44"/>
      <c r="AA513" s="44" t="s">
        <v>1</v>
      </c>
      <c r="AB513" s="44"/>
      <c r="AC513" s="51">
        <v>45963</v>
      </c>
      <c r="AD513" s="50">
        <v>45963</v>
      </c>
      <c r="AE513" s="41" t="s">
        <v>1</v>
      </c>
      <c r="AF513" s="41" t="s">
        <v>1</v>
      </c>
      <c r="AG513" s="40" t="s">
        <v>5</v>
      </c>
      <c r="AH513" s="36" t="s">
        <v>1</v>
      </c>
      <c r="AI513" s="49">
        <v>0</v>
      </c>
      <c r="AJ513" s="36" t="s">
        <v>1</v>
      </c>
      <c r="AK513" s="10" t="s">
        <v>1</v>
      </c>
      <c r="AL513" s="36" t="s">
        <v>1</v>
      </c>
      <c r="AM513" s="36" t="s">
        <v>1</v>
      </c>
      <c r="AN513" s="35" t="s">
        <v>1</v>
      </c>
      <c r="AO513" s="35" t="s">
        <v>1</v>
      </c>
      <c r="AP513" s="35" t="s">
        <v>1</v>
      </c>
      <c r="AQ513" s="35" t="s">
        <v>1</v>
      </c>
      <c r="AR513" s="82" t="s">
        <v>1</v>
      </c>
      <c r="AS513" s="63"/>
      <c r="AT513" s="32" t="s">
        <v>1</v>
      </c>
      <c r="AU513" s="31"/>
      <c r="AV513" s="32" t="s">
        <v>1</v>
      </c>
      <c r="AW513" s="31"/>
      <c r="AX513" s="32" t="s">
        <v>1</v>
      </c>
      <c r="AY513" s="31"/>
      <c r="AZ513" s="32" t="s">
        <v>1</v>
      </c>
      <c r="BA513" s="31"/>
      <c r="BB513" s="39"/>
      <c r="BC513" s="25" t="s">
        <v>41</v>
      </c>
      <c r="BD513" s="24"/>
      <c r="BE513" s="24"/>
      <c r="BF513" s="79"/>
      <c r="BG513" s="79"/>
      <c r="BH513" s="80"/>
      <c r="BI513" s="79"/>
      <c r="BJ513" s="54"/>
      <c r="BK513" s="78"/>
      <c r="BL513" s="69"/>
      <c r="BM513" s="78"/>
      <c r="BN513" s="78"/>
      <c r="BO513" s="78"/>
      <c r="BP513" s="78" t="s">
        <v>377</v>
      </c>
      <c r="BQ513" s="21">
        <f>YEAR([1]!BANCO10[[#This Row],[DATA INÍCIO]])</f>
        <v>2025</v>
      </c>
      <c r="BR513" s="21">
        <f>MONTH([1]!BANCO10[[#This Row],[DATA INÍCIO]])</f>
        <v>11</v>
      </c>
      <c r="BS513" s="21" t="e">
        <f>CONCATENATE(#REF!,#REF!)</f>
        <v>#REF!</v>
      </c>
      <c r="BT513" s="21"/>
      <c r="BU513" s="21" t="s">
        <v>376</v>
      </c>
      <c r="BV513" s="21" t="str">
        <f>IF([1]!BANCO10[[#This Row],[SOLUÇÃO]]=BV$1,[1]!BANCO10[[#This Row],[STATUS DA ETAPA]],"")</f>
        <v>CANCELADO</v>
      </c>
      <c r="BW513" s="21" t="str">
        <f>IF([1]!BANCO10[[#This Row],[SOLUÇÃO]]=BW$1,[1]!BANCO10[[#This Row],[STATUS DA ETAPA]],"")</f>
        <v/>
      </c>
      <c r="BX513" s="21" t="str">
        <f>IF([1]!BANCO10[[#This Row],[SOLUÇÃO]]=BX$1,[1]!BANCO10[[#This Row],[STATUS DA ETAPA]],"")</f>
        <v/>
      </c>
      <c r="BY513" s="21" t="str">
        <f>IF([1]!BANCO10[[#This Row],[SOLUÇÃO]]=BY$1,[1]!BANCO10[[#This Row],[STATUS DA ETAPA]],"")</f>
        <v/>
      </c>
      <c r="BZ513" s="21" t="str">
        <f>IF([1]!BANCO10[[#This Row],[SOLUÇÃO]]=BZ$1,[1]!BANCO10[[#This Row],[STATUS DA ETAPA]],"")</f>
        <v/>
      </c>
      <c r="CA513" s="21" t="str">
        <f>IF([1]!BANCO10[[#This Row],[SOLUÇÃO]]=CA$1,[1]!BANCO10[[#This Row],[STATUS DA ETAPA]],"")</f>
        <v/>
      </c>
      <c r="CB513" s="21" t="str">
        <f>IF([1]!BANCO10[[#This Row],[SOLUÇÃO]]=CB$1,[1]!BANCO10[[#This Row],[STATUS DA ETAPA]],"")</f>
        <v/>
      </c>
      <c r="CC513" s="21" t="str">
        <f>IF([1]!BANCO10[[#This Row],[SOLUÇÃO]]=CC$1,[1]!BANCO10[[#This Row],[STATUS DA ETAPA]],"")</f>
        <v/>
      </c>
      <c r="CD513" s="21" t="str">
        <f>IF([1]!BANCO10[[#This Row],[SOLUÇÃO]]=CD$1,[1]!BANCO10[[#This Row],[STATUS DA ETAPA]],"")</f>
        <v/>
      </c>
      <c r="CE513" s="21" t="str">
        <f>IF([1]!BANCO10[[#This Row],[SOLUÇÃO]]=CE$1,[1]!BANCO10[[#This Row],[STATUS DA ETAPA]],"")</f>
        <v/>
      </c>
      <c r="CF513" s="21" t="str">
        <f>IF([1]!BANCO10[[#This Row],[SOLUÇÃO]]=CF$1,[1]!BANCO10[[#This Row],[STATUS DA ETAPA]],"")</f>
        <v/>
      </c>
      <c r="CG513" s="21" t="str">
        <f>IF([1]!BANCO10[[#This Row],[SOLUÇÃO]]=CG$1,[1]!BANCO10[[#This Row],[STATUS DA ETAPA]],"")</f>
        <v/>
      </c>
      <c r="CH513" s="21" t="str">
        <f>IF([1]!BANCO10[[#This Row],[SOLUÇÃO]]=CH$1,[1]!BANCO10[[#This Row],[STATUS DA ETAPA]],"")</f>
        <v/>
      </c>
      <c r="CI513" s="21" t="str">
        <f>IF([1]!BANCO10[[#This Row],[SOLUÇÃO]]=CI$1,[1]!BANCO10[[#This Row],[STATUS DA ETAPA]],"")</f>
        <v/>
      </c>
      <c r="CJ513" s="21" t="str">
        <f>IF([1]!BANCO10[[#This Row],[SOLUÇÃO]]=CJ$1,[1]!BANCO10[[#This Row],[STATUS DA ETAPA]],"")</f>
        <v/>
      </c>
      <c r="CK513" s="21" t="str">
        <f>IF([1]!BANCO10[[#This Row],[SOLUÇÃO]]=CK$1,[1]!BANCO10[[#This Row],[STATUS DA ETAPA]],"")</f>
        <v/>
      </c>
      <c r="CL513" s="22" t="str">
        <f>IF([1]!BANCO10[[#This Row],[SOLUÇÃO]]=CL$1,[1]!BANCO10[[#This Row],[STATUS DA ETAPA]],"")</f>
        <v/>
      </c>
      <c r="CM513" s="64" t="str">
        <f>IF([1]!BANCO10[[#This Row],[SOLUÇÃO]]=CM$1,[1]!BANCO10[[#This Row],[STATUS DA ETAPA]],"")</f>
        <v/>
      </c>
      <c r="CN513" s="64" t="str">
        <f>IF([1]!BANCO10[[#This Row],[SOLUÇÃO]]=CN$1,[1]!BANCO10[[#This Row],[STATUS DA ETAPA]],"")</f>
        <v/>
      </c>
      <c r="CO513" s="64" t="str">
        <f>IF([1]!BANCO10[[#This Row],[SOLUÇÃO]]=CO$1,[1]!BANCO10[[#This Row],[STATUS DA ETAPA]],"")</f>
        <v/>
      </c>
      <c r="CP513" s="64" t="str">
        <f>IF([1]!BANCO10[[#This Row],[SOLUÇÃO]]=CP$1,[1]!BANCO10[[#This Row],[STATUS DA ETAPA]],"")</f>
        <v/>
      </c>
      <c r="CQ513" s="64" t="str">
        <f>IF([1]!BANCO10[[#This Row],[SOLUÇÃO]]=CQ$1,[1]!BANCO10[[#This Row],[STATUS DA ETAPA]],"")</f>
        <v/>
      </c>
      <c r="CR513" s="64" t="str">
        <f>IF([1]!BANCO10[[#This Row],[SOLUÇÃO]]=CR$1,[1]!BANCO10[[#This Row],[STATUS DA ETAPA]],"")</f>
        <v/>
      </c>
      <c r="CS513" s="64" t="str">
        <f>IF([1]!BANCO10[[#This Row],[SOLUÇÃO]]=CS$1,[1]!BANCO10[[#This Row],[STATUS DA ETAPA]],"")</f>
        <v/>
      </c>
      <c r="CT513" s="64" t="str">
        <f>IF([1]!BANCO10[[#This Row],[SOLUÇÃO]]=CT$1,[1]!BANCO10[[#This Row],[STATUS DA ETAPA]],"")</f>
        <v/>
      </c>
      <c r="CU513" s="64" t="str">
        <f>IF([1]!BANCO10[[#This Row],[SOLUÇÃO]]=CU$1,[1]!BANCO10[[#This Row],[STATUS DA ETAPA]],"")</f>
        <v/>
      </c>
      <c r="CV513" s="64" t="str">
        <f>IF([1]!BANCO10[[#This Row],[SOLUÇÃO]]=CV$1,[1]!BANCO10[[#This Row],[STATUS DA ETAPA]],"")</f>
        <v/>
      </c>
    </row>
    <row r="514" spans="1:100">
      <c r="A514" s="44" t="s">
        <v>1</v>
      </c>
      <c r="B514" s="44"/>
      <c r="C514" s="44" t="s">
        <v>1</v>
      </c>
      <c r="D514" s="44"/>
      <c r="E514" s="44" t="s">
        <v>1</v>
      </c>
      <c r="F514" s="44"/>
      <c r="G514" s="44" t="s">
        <v>1</v>
      </c>
      <c r="H514" s="44"/>
      <c r="I514" s="45" t="s">
        <v>1</v>
      </c>
      <c r="J514" s="46"/>
      <c r="K514" s="45" t="s">
        <v>1</v>
      </c>
      <c r="L514" s="33"/>
      <c r="M514" s="45" t="s">
        <v>1</v>
      </c>
      <c r="N514" s="33"/>
      <c r="O514" s="44" t="s">
        <v>2</v>
      </c>
      <c r="P514" s="44">
        <v>45188</v>
      </c>
      <c r="Q514" s="44" t="s">
        <v>0</v>
      </c>
      <c r="R514" s="44"/>
      <c r="S514" s="44" t="s">
        <v>1</v>
      </c>
      <c r="T514" s="44"/>
      <c r="U514" s="44" t="s">
        <v>1</v>
      </c>
      <c r="V514" s="44"/>
      <c r="W514" s="44" t="s">
        <v>1</v>
      </c>
      <c r="X514" s="44"/>
      <c r="Y514" s="44" t="s">
        <v>1</v>
      </c>
      <c r="Z514" s="44"/>
      <c r="AA514" s="44" t="s">
        <v>1</v>
      </c>
      <c r="AB514" s="44"/>
      <c r="AC514" s="51">
        <v>44820</v>
      </c>
      <c r="AD514" s="50">
        <v>44820</v>
      </c>
      <c r="AE514" s="40" t="s">
        <v>1</v>
      </c>
      <c r="AF514" s="40" t="s">
        <v>1</v>
      </c>
      <c r="AG514" s="40" t="s">
        <v>5</v>
      </c>
      <c r="AH514" s="36" t="s">
        <v>1</v>
      </c>
      <c r="AI514" s="49">
        <v>0</v>
      </c>
      <c r="AJ514" s="36" t="s">
        <v>1</v>
      </c>
      <c r="AK514" s="10" t="s">
        <v>1</v>
      </c>
      <c r="AL514" s="36" t="s">
        <v>1</v>
      </c>
      <c r="AM514" s="36" t="s">
        <v>1</v>
      </c>
      <c r="AN514" s="35" t="s">
        <v>1</v>
      </c>
      <c r="AO514" s="35" t="s">
        <v>1</v>
      </c>
      <c r="AP514" s="35" t="s">
        <v>1</v>
      </c>
      <c r="AQ514" s="35" t="s">
        <v>1</v>
      </c>
      <c r="AR514" s="82" t="s">
        <v>1</v>
      </c>
      <c r="AS514" s="33"/>
      <c r="AT514" s="30"/>
      <c r="AU514" s="55"/>
      <c r="AV514" s="30"/>
      <c r="AW514" s="55"/>
      <c r="AX514" s="30" t="s">
        <v>1</v>
      </c>
      <c r="AY514" s="55"/>
      <c r="AZ514" s="30" t="s">
        <v>1</v>
      </c>
      <c r="BA514" s="66"/>
      <c r="BB514" s="39" t="s">
        <v>375</v>
      </c>
      <c r="BC514" s="25"/>
      <c r="BD514" s="24" t="s">
        <v>11</v>
      </c>
      <c r="BE514" s="24" t="s">
        <v>11</v>
      </c>
      <c r="BF514" s="79" t="s">
        <v>11</v>
      </c>
      <c r="BG514" s="79" t="s">
        <v>11</v>
      </c>
      <c r="BH514" s="80" t="s">
        <v>11</v>
      </c>
      <c r="BI514" s="79"/>
      <c r="BJ514" s="54" t="s">
        <v>11</v>
      </c>
      <c r="BK514" s="78" t="s">
        <v>11</v>
      </c>
      <c r="BL514" s="69" t="s">
        <v>11</v>
      </c>
      <c r="BM514" s="78" t="s">
        <v>11</v>
      </c>
      <c r="BN514" s="78" t="s">
        <v>11</v>
      </c>
      <c r="BO514" s="78" t="s">
        <v>11</v>
      </c>
      <c r="BP514" s="78" t="s">
        <v>11</v>
      </c>
      <c r="BQ514" s="21">
        <f>YEAR([1]!BANCO10[[#This Row],[DATA INÍCIO]])</f>
        <v>2022</v>
      </c>
      <c r="BR514" s="21">
        <f>MONTH([1]!BANCO10[[#This Row],[DATA INÍCIO]])</f>
        <v>9</v>
      </c>
      <c r="BS514" s="21" t="e">
        <f>CONCATENATE(#REF!,#REF!)</f>
        <v>#REF!</v>
      </c>
      <c r="BT514" s="21"/>
      <c r="BU514" s="21" t="s">
        <v>374</v>
      </c>
      <c r="BV514" s="21" t="str">
        <f>IF([1]!BANCO10[[#This Row],[SOLUÇÃO]]=BV$1,[1]!BANCO10[[#This Row],[STATUS DA ETAPA]],"")</f>
        <v>CONCLUÍDO</v>
      </c>
      <c r="BW514" s="21" t="str">
        <f>IF([1]!BANCO10[[#This Row],[SOLUÇÃO]]=BW$1,[1]!BANCO10[[#This Row],[STATUS DA ETAPA]],"")</f>
        <v/>
      </c>
      <c r="BX514" s="21" t="str">
        <f>IF([1]!BANCO10[[#This Row],[SOLUÇÃO]]=BX$1,[1]!BANCO10[[#This Row],[STATUS DA ETAPA]],"")</f>
        <v/>
      </c>
      <c r="BY514" s="21" t="str">
        <f>IF([1]!BANCO10[[#This Row],[SOLUÇÃO]]=BY$1,[1]!BANCO10[[#This Row],[STATUS DA ETAPA]],"")</f>
        <v/>
      </c>
      <c r="BZ514" s="21" t="str">
        <f>IF([1]!BANCO10[[#This Row],[SOLUÇÃO]]=BZ$1,[1]!BANCO10[[#This Row],[STATUS DA ETAPA]],"")</f>
        <v/>
      </c>
      <c r="CA514" s="21" t="str">
        <f>IF([1]!BANCO10[[#This Row],[SOLUÇÃO]]=CA$1,[1]!BANCO10[[#This Row],[STATUS DA ETAPA]],"")</f>
        <v/>
      </c>
      <c r="CB514" s="21" t="str">
        <f>IF([1]!BANCO10[[#This Row],[SOLUÇÃO]]=CB$1,[1]!BANCO10[[#This Row],[STATUS DA ETAPA]],"")</f>
        <v/>
      </c>
      <c r="CC514" s="21" t="str">
        <f>IF([1]!BANCO10[[#This Row],[SOLUÇÃO]]=CC$1,[1]!BANCO10[[#This Row],[STATUS DA ETAPA]],"")</f>
        <v/>
      </c>
      <c r="CD514" s="21" t="str">
        <f>IF([1]!BANCO10[[#This Row],[SOLUÇÃO]]=CD$1,[1]!BANCO10[[#This Row],[STATUS DA ETAPA]],"")</f>
        <v/>
      </c>
      <c r="CE514" s="21" t="str">
        <f>IF([1]!BANCO10[[#This Row],[SOLUÇÃO]]=CE$1,[1]!BANCO10[[#This Row],[STATUS DA ETAPA]],"")</f>
        <v/>
      </c>
      <c r="CF514" s="21" t="str">
        <f>IF([1]!BANCO10[[#This Row],[SOLUÇÃO]]=CF$1,[1]!BANCO10[[#This Row],[STATUS DA ETAPA]],"")</f>
        <v/>
      </c>
      <c r="CG514" s="21" t="str">
        <f>IF([1]!BANCO10[[#This Row],[SOLUÇÃO]]=CG$1,[1]!BANCO10[[#This Row],[STATUS DA ETAPA]],"")</f>
        <v/>
      </c>
      <c r="CH514" s="21" t="str">
        <f>IF([1]!BANCO10[[#This Row],[SOLUÇÃO]]=CH$1,[1]!BANCO10[[#This Row],[STATUS DA ETAPA]],"")</f>
        <v/>
      </c>
      <c r="CI514" s="21" t="str">
        <f>IF([1]!BANCO10[[#This Row],[SOLUÇÃO]]=CI$1,[1]!BANCO10[[#This Row],[STATUS DA ETAPA]],"")</f>
        <v/>
      </c>
      <c r="CJ514" s="21" t="str">
        <f>IF([1]!BANCO10[[#This Row],[SOLUÇÃO]]=CJ$1,[1]!BANCO10[[#This Row],[STATUS DA ETAPA]],"")</f>
        <v/>
      </c>
      <c r="CK514" s="21" t="str">
        <f>IF([1]!BANCO10[[#This Row],[SOLUÇÃO]]=CK$1,[1]!BANCO10[[#This Row],[STATUS DA ETAPA]],"")</f>
        <v/>
      </c>
      <c r="CL514" s="22" t="str">
        <f>IF([1]!BANCO10[[#This Row],[SOLUÇÃO]]=CL$1,[1]!BANCO10[[#This Row],[STATUS DA ETAPA]],"")</f>
        <v/>
      </c>
      <c r="CM514" s="64" t="str">
        <f>IF([1]!BANCO10[[#This Row],[SOLUÇÃO]]=CM$1,[1]!BANCO10[[#This Row],[STATUS DA ETAPA]],"")</f>
        <v/>
      </c>
      <c r="CN514" s="64" t="str">
        <f>IF([1]!BANCO10[[#This Row],[SOLUÇÃO]]=CN$1,[1]!BANCO10[[#This Row],[STATUS DA ETAPA]],"")</f>
        <v/>
      </c>
      <c r="CO514" s="64" t="str">
        <f>IF([1]!BANCO10[[#This Row],[SOLUÇÃO]]=CO$1,[1]!BANCO10[[#This Row],[STATUS DA ETAPA]],"")</f>
        <v/>
      </c>
      <c r="CP514" s="64" t="str">
        <f>IF([1]!BANCO10[[#This Row],[SOLUÇÃO]]=CP$1,[1]!BANCO10[[#This Row],[STATUS DA ETAPA]],"")</f>
        <v/>
      </c>
      <c r="CQ514" s="64" t="str">
        <f>IF([1]!BANCO10[[#This Row],[SOLUÇÃO]]=CQ$1,[1]!BANCO10[[#This Row],[STATUS DA ETAPA]],"")</f>
        <v/>
      </c>
      <c r="CR514" s="64" t="str">
        <f>IF([1]!BANCO10[[#This Row],[SOLUÇÃO]]=CR$1,[1]!BANCO10[[#This Row],[STATUS DA ETAPA]],"")</f>
        <v/>
      </c>
      <c r="CS514" s="64" t="str">
        <f>IF([1]!BANCO10[[#This Row],[SOLUÇÃO]]=CS$1,[1]!BANCO10[[#This Row],[STATUS DA ETAPA]],"")</f>
        <v/>
      </c>
      <c r="CT514" s="64" t="str">
        <f>IF([1]!BANCO10[[#This Row],[SOLUÇÃO]]=CT$1,[1]!BANCO10[[#This Row],[STATUS DA ETAPA]],"")</f>
        <v/>
      </c>
      <c r="CU514" s="64" t="str">
        <f>IF([1]!BANCO10[[#This Row],[SOLUÇÃO]]=CU$1,[1]!BANCO10[[#This Row],[STATUS DA ETAPA]],"")</f>
        <v/>
      </c>
      <c r="CV514" s="64" t="str">
        <f>IF([1]!BANCO10[[#This Row],[SOLUÇÃO]]=CV$1,[1]!BANCO10[[#This Row],[STATUS DA ETAPA]],"")</f>
        <v/>
      </c>
    </row>
    <row r="515" spans="1:100">
      <c r="A515" s="44" t="s">
        <v>1</v>
      </c>
      <c r="B515" s="44"/>
      <c r="C515" s="44" t="s">
        <v>1</v>
      </c>
      <c r="D515" s="44"/>
      <c r="E515" s="44" t="s">
        <v>1</v>
      </c>
      <c r="F515" s="44"/>
      <c r="G515" s="44" t="s">
        <v>1</v>
      </c>
      <c r="H515" s="44"/>
      <c r="I515" s="45" t="s">
        <v>1</v>
      </c>
      <c r="J515" s="46"/>
      <c r="K515" s="45" t="s">
        <v>1</v>
      </c>
      <c r="L515" s="33"/>
      <c r="M515" s="45" t="s">
        <v>1</v>
      </c>
      <c r="N515" s="33"/>
      <c r="O515" s="44" t="s">
        <v>1</v>
      </c>
      <c r="P515" s="44"/>
      <c r="Q515" s="44" t="s">
        <v>1</v>
      </c>
      <c r="R515" s="44"/>
      <c r="S515" s="44" t="s">
        <v>1</v>
      </c>
      <c r="T515" s="44"/>
      <c r="U515" s="44" t="s">
        <v>1</v>
      </c>
      <c r="V515" s="44"/>
      <c r="W515" s="44" t="s">
        <v>1</v>
      </c>
      <c r="X515" s="44"/>
      <c r="Y515" s="44" t="s">
        <v>1</v>
      </c>
      <c r="Z515" s="44"/>
      <c r="AA515" s="44" t="s">
        <v>1</v>
      </c>
      <c r="AB515" s="44"/>
      <c r="AC515" s="51">
        <v>45842</v>
      </c>
      <c r="AD515" s="50">
        <v>45842</v>
      </c>
      <c r="AE515" s="41" t="s">
        <v>1</v>
      </c>
      <c r="AF515" s="41" t="s">
        <v>1</v>
      </c>
      <c r="AG515" s="40" t="s">
        <v>5</v>
      </c>
      <c r="AH515" s="36" t="s">
        <v>0</v>
      </c>
      <c r="AI515" s="49">
        <v>0</v>
      </c>
      <c r="AJ515" s="36" t="s">
        <v>1</v>
      </c>
      <c r="AK515" s="10" t="s">
        <v>1</v>
      </c>
      <c r="AL515" s="9" t="s">
        <v>1</v>
      </c>
      <c r="AM515" s="9" t="s">
        <v>1</v>
      </c>
      <c r="AN515" s="35" t="s">
        <v>1</v>
      </c>
      <c r="AO515" s="35" t="s">
        <v>1</v>
      </c>
      <c r="AP515" s="35" t="s">
        <v>1</v>
      </c>
      <c r="AQ515" s="35" t="s">
        <v>1</v>
      </c>
      <c r="AR515" s="34" t="s">
        <v>1</v>
      </c>
      <c r="AS515" s="33"/>
      <c r="AT515" s="32" t="s">
        <v>1</v>
      </c>
      <c r="AU515" s="31"/>
      <c r="AV515" s="32" t="s">
        <v>1</v>
      </c>
      <c r="AW515" s="31"/>
      <c r="AX515" s="32" t="s">
        <v>1</v>
      </c>
      <c r="AY515" s="29"/>
      <c r="AZ515" s="32" t="s">
        <v>1</v>
      </c>
      <c r="BA515" s="27"/>
      <c r="BB515" s="26"/>
      <c r="BC515" s="25"/>
      <c r="BD515" s="24"/>
      <c r="BE515" s="24"/>
      <c r="BF515" s="24"/>
      <c r="BG515" s="24"/>
      <c r="BH515" s="24"/>
      <c r="BI515" s="24"/>
      <c r="BJ515" s="24"/>
      <c r="BK515" s="24"/>
      <c r="BL515" s="24"/>
      <c r="BM515" s="24"/>
      <c r="BN515" s="24"/>
      <c r="BO515" s="24"/>
      <c r="BP515" s="24"/>
      <c r="BQ515" s="22">
        <f>YEAR([1]!BANCO10[[#This Row],[DATA INÍCIO]])</f>
        <v>2025</v>
      </c>
      <c r="BR515" s="22">
        <f>MONTH([1]!BANCO10[[#This Row],[DATA INÍCIO]])</f>
        <v>7</v>
      </c>
      <c r="BS515" s="23" t="e">
        <f>CONCATENATE(#REF!,#REF!)</f>
        <v>#REF!</v>
      </c>
      <c r="BT515" s="22"/>
      <c r="BU515" s="22"/>
      <c r="BV515" s="21" t="str">
        <f>IF([1]!BANCO10[[#This Row],[SOLUÇÃO]]=BV$1,[1]!BANCO10[[#This Row],[STATUS DA ETAPA]],"")</f>
        <v>CONCLUÍDO</v>
      </c>
      <c r="BW515" s="21" t="str">
        <f>IF([1]!BANCO10[[#This Row],[SOLUÇÃO]]=BW$1,[1]!BANCO10[[#This Row],[STATUS DA ETAPA]],"")</f>
        <v/>
      </c>
      <c r="BX515" s="21" t="str">
        <f>IF([1]!BANCO10[[#This Row],[SOLUÇÃO]]=BX$1,[1]!BANCO10[[#This Row],[STATUS DA ETAPA]],"")</f>
        <v/>
      </c>
      <c r="BY515" s="21" t="str">
        <f>IF([1]!BANCO10[[#This Row],[SOLUÇÃO]]=BY$1,[1]!BANCO10[[#This Row],[STATUS DA ETAPA]],"")</f>
        <v/>
      </c>
      <c r="BZ515" s="21" t="str">
        <f>IF([1]!BANCO10[[#This Row],[SOLUÇÃO]]=BZ$1,[1]!BANCO10[[#This Row],[STATUS DA ETAPA]],"")</f>
        <v/>
      </c>
      <c r="CA515" s="21" t="str">
        <f>IF([1]!BANCO10[[#This Row],[SOLUÇÃO]]=CA$1,[1]!BANCO10[[#This Row],[STATUS DA ETAPA]],"")</f>
        <v/>
      </c>
      <c r="CB515" s="21" t="str">
        <f>IF([1]!BANCO10[[#This Row],[SOLUÇÃO]]=CB$1,[1]!BANCO10[[#This Row],[STATUS DA ETAPA]],"")</f>
        <v/>
      </c>
      <c r="CC515" s="21" t="str">
        <f>IF([1]!BANCO10[[#This Row],[SOLUÇÃO]]=CC$1,[1]!BANCO10[[#This Row],[STATUS DA ETAPA]],"")</f>
        <v/>
      </c>
      <c r="CD515" s="21" t="str">
        <f>IF([1]!BANCO10[[#This Row],[SOLUÇÃO]]=CD$1,[1]!BANCO10[[#This Row],[STATUS DA ETAPA]],"")</f>
        <v/>
      </c>
      <c r="CE515" s="21" t="str">
        <f>IF([1]!BANCO10[[#This Row],[SOLUÇÃO]]=CE$1,[1]!BANCO10[[#This Row],[STATUS DA ETAPA]],"")</f>
        <v/>
      </c>
      <c r="CF515" s="21" t="str">
        <f>IF([1]!BANCO10[[#This Row],[SOLUÇÃO]]=CF$1,[1]!BANCO10[[#This Row],[STATUS DA ETAPA]],"")</f>
        <v/>
      </c>
      <c r="CG515" s="21" t="str">
        <f>IF([1]!BANCO10[[#This Row],[SOLUÇÃO]]=CG$1,[1]!BANCO10[[#This Row],[STATUS DA ETAPA]],"")</f>
        <v/>
      </c>
      <c r="CH515" s="21" t="str">
        <f>IF([1]!BANCO10[[#This Row],[SOLUÇÃO]]=CH$1,[1]!BANCO10[[#This Row],[STATUS DA ETAPA]],"")</f>
        <v/>
      </c>
      <c r="CI515" s="21" t="str">
        <f>IF([1]!BANCO10[[#This Row],[SOLUÇÃO]]=CI$1,[1]!BANCO10[[#This Row],[STATUS DA ETAPA]],"")</f>
        <v/>
      </c>
      <c r="CJ515" s="21" t="str">
        <f>IF([1]!BANCO10[[#This Row],[SOLUÇÃO]]=CJ$1,[1]!BANCO10[[#This Row],[STATUS DA ETAPA]],"")</f>
        <v/>
      </c>
      <c r="CK515" s="21" t="str">
        <f>IF([1]!BANCO10[[#This Row],[SOLUÇÃO]]=CK$1,[1]!BANCO10[[#This Row],[STATUS DA ETAPA]],"")</f>
        <v/>
      </c>
      <c r="CL515" s="21" t="str">
        <f>IF([1]!BANCO10[[#This Row],[SOLUÇÃO]]=CL$1,[1]!BANCO10[[#This Row],[STATUS DA ETAPA]],"")</f>
        <v/>
      </c>
      <c r="CM515" s="21" t="str">
        <f>IF([1]!BANCO10[[#This Row],[SOLUÇÃO]]=CM$1,[1]!BANCO10[[#This Row],[STATUS DA ETAPA]],"")</f>
        <v/>
      </c>
      <c r="CN515" s="21" t="str">
        <f>IF([1]!BANCO10[[#This Row],[SOLUÇÃO]]=CN$1,[1]!BANCO10[[#This Row],[STATUS DA ETAPA]],"")</f>
        <v/>
      </c>
      <c r="CO515" s="21" t="str">
        <f>IF([1]!BANCO10[[#This Row],[SOLUÇÃO]]=CO$1,[1]!BANCO10[[#This Row],[STATUS DA ETAPA]],"")</f>
        <v/>
      </c>
      <c r="CP515" s="21" t="str">
        <f>IF([1]!BANCO10[[#This Row],[SOLUÇÃO]]=CP$1,[1]!BANCO10[[#This Row],[STATUS DA ETAPA]],"")</f>
        <v/>
      </c>
      <c r="CQ515" s="21" t="str">
        <f>IF([1]!BANCO10[[#This Row],[SOLUÇÃO]]=CQ$1,[1]!BANCO10[[#This Row],[STATUS DA ETAPA]],"")</f>
        <v/>
      </c>
      <c r="CR515" s="21" t="str">
        <f>IF([1]!BANCO10[[#This Row],[SOLUÇÃO]]=CR$1,[1]!BANCO10[[#This Row],[STATUS DA ETAPA]],"")</f>
        <v/>
      </c>
      <c r="CS515" s="21" t="str">
        <f>IF([1]!BANCO10[[#This Row],[SOLUÇÃO]]=CS$1,[1]!BANCO10[[#This Row],[STATUS DA ETAPA]],"")</f>
        <v/>
      </c>
      <c r="CT515" s="21" t="str">
        <f>IF([1]!BANCO10[[#This Row],[SOLUÇÃO]]=CT$1,[1]!BANCO10[[#This Row],[STATUS DA ETAPA]],"")</f>
        <v/>
      </c>
      <c r="CU515" s="21" t="str">
        <f>IF([1]!BANCO10[[#This Row],[SOLUÇÃO]]=CU$1,[1]!BANCO10[[#This Row],[STATUS DA ETAPA]],"")</f>
        <v/>
      </c>
      <c r="CV515" s="21" t="str">
        <f>IF([1]!BANCO10[[#This Row],[SOLUÇÃO]]=CV$1,[1]!BANCO10[[#This Row],[STATUS DA ETAPA]],"")</f>
        <v/>
      </c>
    </row>
    <row r="516" spans="1:100">
      <c r="A516" s="44" t="s">
        <v>2</v>
      </c>
      <c r="B516" s="44">
        <v>45852</v>
      </c>
      <c r="C516" s="44" t="s">
        <v>2</v>
      </c>
      <c r="D516" s="44">
        <v>45863</v>
      </c>
      <c r="E516" s="44" t="s">
        <v>2</v>
      </c>
      <c r="F516" s="44">
        <v>45863</v>
      </c>
      <c r="G516" s="44" t="s">
        <v>2</v>
      </c>
      <c r="H516" s="44">
        <v>45863</v>
      </c>
      <c r="I516" s="45" t="s">
        <v>2</v>
      </c>
      <c r="J516" s="46">
        <v>45889</v>
      </c>
      <c r="K516" s="45" t="s">
        <v>0</v>
      </c>
      <c r="L516" s="33"/>
      <c r="M516" s="45" t="s">
        <v>0</v>
      </c>
      <c r="N516" s="33"/>
      <c r="O516" s="44" t="s">
        <v>1</v>
      </c>
      <c r="P516" s="44"/>
      <c r="Q516" s="44" t="s">
        <v>1</v>
      </c>
      <c r="R516" s="44"/>
      <c r="S516" s="44"/>
      <c r="T516" s="44"/>
      <c r="U516" s="44" t="s">
        <v>1</v>
      </c>
      <c r="V516" s="44"/>
      <c r="W516" s="44" t="s">
        <v>1</v>
      </c>
      <c r="X516" s="44"/>
      <c r="Y516" s="44" t="s">
        <v>1</v>
      </c>
      <c r="Z516" s="44"/>
      <c r="AA516" s="44" t="s">
        <v>1</v>
      </c>
      <c r="AB516" s="44"/>
      <c r="AC516" s="51">
        <v>46022</v>
      </c>
      <c r="AD516" s="50">
        <v>46022</v>
      </c>
      <c r="AE516" s="41" t="s">
        <v>0</v>
      </c>
      <c r="AF516" s="41" t="s">
        <v>0</v>
      </c>
      <c r="AG516" s="40" t="s">
        <v>5</v>
      </c>
      <c r="AH516" s="36" t="s">
        <v>0</v>
      </c>
      <c r="AI516" s="49">
        <v>20140</v>
      </c>
      <c r="AJ516" s="36" t="s">
        <v>3</v>
      </c>
      <c r="AK516" s="21">
        <v>707519</v>
      </c>
      <c r="AL516" s="36" t="s">
        <v>1</v>
      </c>
      <c r="AM516" s="36" t="s">
        <v>1</v>
      </c>
      <c r="AN516" s="35" t="s">
        <v>0</v>
      </c>
      <c r="AO516" s="35" t="s">
        <v>0</v>
      </c>
      <c r="AP516" s="35" t="s">
        <v>0</v>
      </c>
      <c r="AQ516" s="35" t="s">
        <v>0</v>
      </c>
      <c r="AR516" s="34" t="s">
        <v>0</v>
      </c>
      <c r="AS516" s="33"/>
      <c r="AT516" s="32" t="s">
        <v>0</v>
      </c>
      <c r="AU516" s="31"/>
      <c r="AV516" s="32" t="s">
        <v>0</v>
      </c>
      <c r="AW516" s="31"/>
      <c r="AX516" s="32" t="s">
        <v>0</v>
      </c>
      <c r="AY516" s="31"/>
      <c r="AZ516" s="32" t="s">
        <v>0</v>
      </c>
      <c r="BA516" s="31"/>
      <c r="BB516" s="74" t="s">
        <v>7</v>
      </c>
      <c r="BC516" s="25"/>
      <c r="BD516" s="24"/>
      <c r="BE516" s="24"/>
      <c r="BF516" s="24"/>
      <c r="BG516" s="24"/>
      <c r="BH516" s="24"/>
      <c r="BI516" s="24"/>
      <c r="BJ516" s="24"/>
      <c r="BK516" s="24"/>
      <c r="BL516" s="24"/>
      <c r="BM516" s="24"/>
      <c r="BN516" s="24"/>
      <c r="BO516" s="24"/>
      <c r="BP516" s="24"/>
      <c r="BQ516" s="22">
        <f>YEAR([1]!BANCO10[[#This Row],[DATA INÍCIO]])</f>
        <v>2025</v>
      </c>
      <c r="BR516" s="22">
        <f>MONTH([1]!BANCO10[[#This Row],[DATA INÍCIO]])</f>
        <v>12</v>
      </c>
      <c r="BS516" s="23" t="e">
        <f>CONCATENATE(#REF!,#REF!)</f>
        <v>#REF!</v>
      </c>
      <c r="BT516" s="22"/>
      <c r="BU516" s="22"/>
      <c r="BV516" s="21" t="str">
        <f>IF([1]!BANCO10[[#This Row],[SOLUÇÃO]]=BV$1,[1]!BANCO10[[#This Row],[STATUS DA ETAPA]],"")</f>
        <v/>
      </c>
      <c r="BW516" s="21" t="str">
        <f>IF([1]!BANCO10[[#This Row],[SOLUÇÃO]]=BW$1,[1]!BANCO10[[#This Row],[STATUS DA ETAPA]],"")</f>
        <v/>
      </c>
      <c r="BX516" s="21" t="str">
        <f>IF([1]!BANCO10[[#This Row],[SOLUÇÃO]]=BX$1,[1]!BANCO10[[#This Row],[STATUS DA ETAPA]],"")</f>
        <v/>
      </c>
      <c r="BY516" s="21" t="str">
        <f>IF([1]!BANCO10[[#This Row],[SOLUÇÃO]]=BY$1,[1]!BANCO10[[#This Row],[STATUS DA ETAPA]],"")</f>
        <v/>
      </c>
      <c r="BZ516" s="21" t="str">
        <f>IF([1]!BANCO10[[#This Row],[SOLUÇÃO]]=BZ$1,[1]!BANCO10[[#This Row],[STATUS DA ETAPA]],"")</f>
        <v/>
      </c>
      <c r="CA516" s="21" t="str">
        <f>IF([1]!BANCO10[[#This Row],[SOLUÇÃO]]=CA$1,[1]!BANCO10[[#This Row],[STATUS DA ETAPA]],"")</f>
        <v/>
      </c>
      <c r="CB516" s="21" t="str">
        <f>IF([1]!BANCO10[[#This Row],[SOLUÇÃO]]=CB$1,[1]!BANCO10[[#This Row],[STATUS DA ETAPA]],"")</f>
        <v>AGUARDANDO SALDO</v>
      </c>
      <c r="CC516" s="21" t="str">
        <f>IF([1]!BANCO10[[#This Row],[SOLUÇÃO]]=CC$1,[1]!BANCO10[[#This Row],[STATUS DA ETAPA]],"")</f>
        <v/>
      </c>
      <c r="CD516" s="21" t="str">
        <f>IF([1]!BANCO10[[#This Row],[SOLUÇÃO]]=CD$1,[1]!BANCO10[[#This Row],[STATUS DA ETAPA]],"")</f>
        <v/>
      </c>
      <c r="CE516" s="21" t="str">
        <f>IF([1]!BANCO10[[#This Row],[SOLUÇÃO]]=CE$1,[1]!BANCO10[[#This Row],[STATUS DA ETAPA]],"")</f>
        <v/>
      </c>
      <c r="CF516" s="21" t="str">
        <f>IF([1]!BANCO10[[#This Row],[SOLUÇÃO]]=CF$1,[1]!BANCO10[[#This Row],[STATUS DA ETAPA]],"")</f>
        <v/>
      </c>
      <c r="CG516" s="21" t="str">
        <f>IF([1]!BANCO10[[#This Row],[SOLUÇÃO]]=CG$1,[1]!BANCO10[[#This Row],[STATUS DA ETAPA]],"")</f>
        <v/>
      </c>
      <c r="CH516" s="21" t="str">
        <f>IF([1]!BANCO10[[#This Row],[SOLUÇÃO]]=CH$1,[1]!BANCO10[[#This Row],[STATUS DA ETAPA]],"")</f>
        <v/>
      </c>
      <c r="CI516" s="21" t="str">
        <f>IF([1]!BANCO10[[#This Row],[SOLUÇÃO]]=CI$1,[1]!BANCO10[[#This Row],[STATUS DA ETAPA]],"")</f>
        <v/>
      </c>
      <c r="CJ516" s="21" t="str">
        <f>IF([1]!BANCO10[[#This Row],[SOLUÇÃO]]=CJ$1,[1]!BANCO10[[#This Row],[STATUS DA ETAPA]],"")</f>
        <v/>
      </c>
      <c r="CK516" s="21" t="str">
        <f>IF([1]!BANCO10[[#This Row],[SOLUÇÃO]]=CK$1,[1]!BANCO10[[#This Row],[STATUS DA ETAPA]],"")</f>
        <v/>
      </c>
      <c r="CL516" s="21" t="str">
        <f>IF([1]!BANCO10[[#This Row],[SOLUÇÃO]]=CL$1,[1]!BANCO10[[#This Row],[STATUS DA ETAPA]],"")</f>
        <v/>
      </c>
      <c r="CM516" s="21" t="str">
        <f>IF([1]!BANCO10[[#This Row],[SOLUÇÃO]]=CM$1,[1]!BANCO10[[#This Row],[STATUS DA ETAPA]],"")</f>
        <v/>
      </c>
      <c r="CN516" s="21" t="str">
        <f>IF([1]!BANCO10[[#This Row],[SOLUÇÃO]]=CN$1,[1]!BANCO10[[#This Row],[STATUS DA ETAPA]],"")</f>
        <v/>
      </c>
      <c r="CO516" s="21" t="str">
        <f>IF([1]!BANCO10[[#This Row],[SOLUÇÃO]]=CO$1,[1]!BANCO10[[#This Row],[STATUS DA ETAPA]],"")</f>
        <v/>
      </c>
      <c r="CP516" s="21" t="str">
        <f>IF([1]!BANCO10[[#This Row],[SOLUÇÃO]]=CP$1,[1]!BANCO10[[#This Row],[STATUS DA ETAPA]],"")</f>
        <v/>
      </c>
      <c r="CQ516" s="21" t="str">
        <f>IF([1]!BANCO10[[#This Row],[SOLUÇÃO]]=CQ$1,[1]!BANCO10[[#This Row],[STATUS DA ETAPA]],"")</f>
        <v/>
      </c>
      <c r="CR516" s="21" t="str">
        <f>IF([1]!BANCO10[[#This Row],[SOLUÇÃO]]=CR$1,[1]!BANCO10[[#This Row],[STATUS DA ETAPA]],"")</f>
        <v/>
      </c>
      <c r="CS516" s="21" t="str">
        <f>IF([1]!BANCO10[[#This Row],[SOLUÇÃO]]=CS$1,[1]!BANCO10[[#This Row],[STATUS DA ETAPA]],"")</f>
        <v/>
      </c>
      <c r="CT516" s="21" t="str">
        <f>IF([1]!BANCO10[[#This Row],[SOLUÇÃO]]=CT$1,[1]!BANCO10[[#This Row],[STATUS DA ETAPA]],"")</f>
        <v/>
      </c>
      <c r="CU516" s="21" t="str">
        <f>IF([1]!BANCO10[[#This Row],[SOLUÇÃO]]=CU$1,[1]!BANCO10[[#This Row],[STATUS DA ETAPA]],"")</f>
        <v/>
      </c>
      <c r="CV516" s="21" t="str">
        <f>IF([1]!BANCO10[[#This Row],[SOLUÇÃO]]=CV$1,[1]!BANCO10[[#This Row],[STATUS DA ETAPA]],"")</f>
        <v/>
      </c>
    </row>
    <row r="517" spans="1:100">
      <c r="A517" s="44" t="s">
        <v>1</v>
      </c>
      <c r="B517" s="44"/>
      <c r="C517" s="44" t="s">
        <v>1</v>
      </c>
      <c r="D517" s="44"/>
      <c r="E517" s="44" t="s">
        <v>1</v>
      </c>
      <c r="F517" s="44"/>
      <c r="G517" s="44" t="s">
        <v>1</v>
      </c>
      <c r="H517" s="44"/>
      <c r="I517" s="45" t="s">
        <v>1</v>
      </c>
      <c r="J517" s="46"/>
      <c r="K517" s="45" t="s">
        <v>1</v>
      </c>
      <c r="L517" s="33"/>
      <c r="M517" s="45" t="s">
        <v>1</v>
      </c>
      <c r="N517" s="33"/>
      <c r="O517" s="44" t="s">
        <v>2</v>
      </c>
      <c r="P517" s="44">
        <v>44964</v>
      </c>
      <c r="Q517" s="44" t="s">
        <v>0</v>
      </c>
      <c r="R517" s="44"/>
      <c r="S517" s="44" t="s">
        <v>1</v>
      </c>
      <c r="T517" s="44"/>
      <c r="U517" s="44" t="s">
        <v>1</v>
      </c>
      <c r="V517" s="44"/>
      <c r="W517" s="44" t="s">
        <v>1</v>
      </c>
      <c r="X517" s="44"/>
      <c r="Y517" s="44" t="s">
        <v>1</v>
      </c>
      <c r="Z517" s="44"/>
      <c r="AA517" s="44" t="s">
        <v>1</v>
      </c>
      <c r="AB517" s="44"/>
      <c r="AC517" s="51">
        <v>44963</v>
      </c>
      <c r="AD517" s="50">
        <v>44963</v>
      </c>
      <c r="AE517" s="40" t="s">
        <v>1</v>
      </c>
      <c r="AF517" s="40" t="s">
        <v>1</v>
      </c>
      <c r="AG517" s="40" t="s">
        <v>5</v>
      </c>
      <c r="AH517" s="36" t="s">
        <v>1</v>
      </c>
      <c r="AI517" s="49">
        <v>0</v>
      </c>
      <c r="AJ517" s="36" t="s">
        <v>1</v>
      </c>
      <c r="AK517" s="10" t="s">
        <v>1</v>
      </c>
      <c r="AL517" s="36" t="s">
        <v>1</v>
      </c>
      <c r="AM517" s="36" t="s">
        <v>1</v>
      </c>
      <c r="AN517" s="35" t="s">
        <v>1</v>
      </c>
      <c r="AO517" s="35" t="s">
        <v>1</v>
      </c>
      <c r="AP517" s="35" t="s">
        <v>1</v>
      </c>
      <c r="AQ517" s="35" t="s">
        <v>1</v>
      </c>
      <c r="AR517" s="82" t="s">
        <v>1</v>
      </c>
      <c r="AS517" s="33"/>
      <c r="AT517" s="30"/>
      <c r="AU517" s="55"/>
      <c r="AV517" s="30"/>
      <c r="AW517" s="55"/>
      <c r="AX517" s="30" t="s">
        <v>1</v>
      </c>
      <c r="AY517" s="55"/>
      <c r="AZ517" s="30" t="s">
        <v>1</v>
      </c>
      <c r="BA517" s="66"/>
      <c r="BB517" s="39" t="s">
        <v>372</v>
      </c>
      <c r="BC517" s="25"/>
      <c r="BD517" s="24" t="s">
        <v>19</v>
      </c>
      <c r="BE517" s="24" t="s">
        <v>19</v>
      </c>
      <c r="BF517" s="79" t="s">
        <v>51</v>
      </c>
      <c r="BG517" s="79" t="s">
        <v>11</v>
      </c>
      <c r="BH517" s="80" t="s">
        <v>19</v>
      </c>
      <c r="BI517" s="79"/>
      <c r="BJ517" s="54" t="s">
        <v>11</v>
      </c>
      <c r="BK517" s="78" t="s">
        <v>11</v>
      </c>
      <c r="BL517" s="69" t="s">
        <v>11</v>
      </c>
      <c r="BM517" s="78" t="s">
        <v>11</v>
      </c>
      <c r="BN517" s="78" t="s">
        <v>11</v>
      </c>
      <c r="BO517" s="78" t="s">
        <v>11</v>
      </c>
      <c r="BP517" s="78" t="s">
        <v>11</v>
      </c>
      <c r="BQ517" s="21">
        <f>YEAR([1]!BANCO10[[#This Row],[DATA INÍCIO]])</f>
        <v>2023</v>
      </c>
      <c r="BR517" s="21">
        <f>MONTH([1]!BANCO10[[#This Row],[DATA INÍCIO]])</f>
        <v>2</v>
      </c>
      <c r="BS517" s="21" t="e">
        <f>CONCATENATE(#REF!,#REF!)</f>
        <v>#REF!</v>
      </c>
      <c r="BT517" s="21"/>
      <c r="BU517" s="21" t="s">
        <v>373</v>
      </c>
      <c r="BV517" s="21" t="str">
        <f>IF([1]!BANCO10[[#This Row],[SOLUÇÃO]]=BV$1,[1]!BANCO10[[#This Row],[STATUS DA ETAPA]],"")</f>
        <v>CONCLUÍDO</v>
      </c>
      <c r="BW517" s="21" t="str">
        <f>IF([1]!BANCO10[[#This Row],[SOLUÇÃO]]=BW$1,[1]!BANCO10[[#This Row],[STATUS DA ETAPA]],"")</f>
        <v/>
      </c>
      <c r="BX517" s="21" t="str">
        <f>IF([1]!BANCO10[[#This Row],[SOLUÇÃO]]=BX$1,[1]!BANCO10[[#This Row],[STATUS DA ETAPA]],"")</f>
        <v/>
      </c>
      <c r="BY517" s="21" t="str">
        <f>IF([1]!BANCO10[[#This Row],[SOLUÇÃO]]=BY$1,[1]!BANCO10[[#This Row],[STATUS DA ETAPA]],"")</f>
        <v/>
      </c>
      <c r="BZ517" s="21" t="str">
        <f>IF([1]!BANCO10[[#This Row],[SOLUÇÃO]]=BZ$1,[1]!BANCO10[[#This Row],[STATUS DA ETAPA]],"")</f>
        <v/>
      </c>
      <c r="CA517" s="21" t="str">
        <f>IF([1]!BANCO10[[#This Row],[SOLUÇÃO]]=CA$1,[1]!BANCO10[[#This Row],[STATUS DA ETAPA]],"")</f>
        <v/>
      </c>
      <c r="CB517" s="21" t="str">
        <f>IF([1]!BANCO10[[#This Row],[SOLUÇÃO]]=CB$1,[1]!BANCO10[[#This Row],[STATUS DA ETAPA]],"")</f>
        <v/>
      </c>
      <c r="CC517" s="21" t="str">
        <f>IF([1]!BANCO10[[#This Row],[SOLUÇÃO]]=CC$1,[1]!BANCO10[[#This Row],[STATUS DA ETAPA]],"")</f>
        <v/>
      </c>
      <c r="CD517" s="21" t="str">
        <f>IF([1]!BANCO10[[#This Row],[SOLUÇÃO]]=CD$1,[1]!BANCO10[[#This Row],[STATUS DA ETAPA]],"")</f>
        <v/>
      </c>
      <c r="CE517" s="21" t="str">
        <f>IF([1]!BANCO10[[#This Row],[SOLUÇÃO]]=CE$1,[1]!BANCO10[[#This Row],[STATUS DA ETAPA]],"")</f>
        <v/>
      </c>
      <c r="CF517" s="21" t="str">
        <f>IF([1]!BANCO10[[#This Row],[SOLUÇÃO]]=CF$1,[1]!BANCO10[[#This Row],[STATUS DA ETAPA]],"")</f>
        <v/>
      </c>
      <c r="CG517" s="21" t="str">
        <f>IF([1]!BANCO10[[#This Row],[SOLUÇÃO]]=CG$1,[1]!BANCO10[[#This Row],[STATUS DA ETAPA]],"")</f>
        <v/>
      </c>
      <c r="CH517" s="21" t="str">
        <f>IF([1]!BANCO10[[#This Row],[SOLUÇÃO]]=CH$1,[1]!BANCO10[[#This Row],[STATUS DA ETAPA]],"")</f>
        <v/>
      </c>
      <c r="CI517" s="21" t="str">
        <f>IF([1]!BANCO10[[#This Row],[SOLUÇÃO]]=CI$1,[1]!BANCO10[[#This Row],[STATUS DA ETAPA]],"")</f>
        <v/>
      </c>
      <c r="CJ517" s="21" t="str">
        <f>IF([1]!BANCO10[[#This Row],[SOLUÇÃO]]=CJ$1,[1]!BANCO10[[#This Row],[STATUS DA ETAPA]],"")</f>
        <v/>
      </c>
      <c r="CK517" s="21" t="str">
        <f>IF([1]!BANCO10[[#This Row],[SOLUÇÃO]]=CK$1,[1]!BANCO10[[#This Row],[STATUS DA ETAPA]],"")</f>
        <v/>
      </c>
      <c r="CL517" s="22" t="str">
        <f>IF([1]!BANCO10[[#This Row],[SOLUÇÃO]]=CL$1,[1]!BANCO10[[#This Row],[STATUS DA ETAPA]],"")</f>
        <v/>
      </c>
      <c r="CM517" s="64" t="str">
        <f>IF([1]!BANCO10[[#This Row],[SOLUÇÃO]]=CM$1,[1]!BANCO10[[#This Row],[STATUS DA ETAPA]],"")</f>
        <v/>
      </c>
      <c r="CN517" s="64" t="str">
        <f>IF([1]!BANCO10[[#This Row],[SOLUÇÃO]]=CN$1,[1]!BANCO10[[#This Row],[STATUS DA ETAPA]],"")</f>
        <v/>
      </c>
      <c r="CO517" s="64" t="str">
        <f>IF([1]!BANCO10[[#This Row],[SOLUÇÃO]]=CO$1,[1]!BANCO10[[#This Row],[STATUS DA ETAPA]],"")</f>
        <v/>
      </c>
      <c r="CP517" s="64" t="str">
        <f>IF([1]!BANCO10[[#This Row],[SOLUÇÃO]]=CP$1,[1]!BANCO10[[#This Row],[STATUS DA ETAPA]],"")</f>
        <v/>
      </c>
      <c r="CQ517" s="64" t="str">
        <f>IF([1]!BANCO10[[#This Row],[SOLUÇÃO]]=CQ$1,[1]!BANCO10[[#This Row],[STATUS DA ETAPA]],"")</f>
        <v/>
      </c>
      <c r="CR517" s="64" t="str">
        <f>IF([1]!BANCO10[[#This Row],[SOLUÇÃO]]=CR$1,[1]!BANCO10[[#This Row],[STATUS DA ETAPA]],"")</f>
        <v/>
      </c>
      <c r="CS517" s="64" t="str">
        <f>IF([1]!BANCO10[[#This Row],[SOLUÇÃO]]=CS$1,[1]!BANCO10[[#This Row],[STATUS DA ETAPA]],"")</f>
        <v/>
      </c>
      <c r="CT517" s="64" t="str">
        <f>IF([1]!BANCO10[[#This Row],[SOLUÇÃO]]=CT$1,[1]!BANCO10[[#This Row],[STATUS DA ETAPA]],"")</f>
        <v/>
      </c>
      <c r="CU517" s="64" t="str">
        <f>IF([1]!BANCO10[[#This Row],[SOLUÇÃO]]=CU$1,[1]!BANCO10[[#This Row],[STATUS DA ETAPA]],"")</f>
        <v/>
      </c>
      <c r="CV517" s="64" t="str">
        <f>IF([1]!BANCO10[[#This Row],[SOLUÇÃO]]=CV$1,[1]!BANCO10[[#This Row],[STATUS DA ETAPA]],"")</f>
        <v/>
      </c>
    </row>
    <row r="518" spans="1:100">
      <c r="A518" s="44" t="s">
        <v>1</v>
      </c>
      <c r="B518" s="44"/>
      <c r="C518" s="44" t="s">
        <v>1</v>
      </c>
      <c r="D518" s="44"/>
      <c r="E518" s="44" t="s">
        <v>1</v>
      </c>
      <c r="F518" s="44"/>
      <c r="G518" s="44" t="s">
        <v>1</v>
      </c>
      <c r="H518" s="44"/>
      <c r="I518" s="45" t="s">
        <v>1</v>
      </c>
      <c r="J518" s="46"/>
      <c r="K518" s="45" t="s">
        <v>1</v>
      </c>
      <c r="L518" s="33"/>
      <c r="M518" s="45" t="s">
        <v>1</v>
      </c>
      <c r="N518" s="33"/>
      <c r="O518" s="44" t="s">
        <v>2</v>
      </c>
      <c r="P518" s="44">
        <v>44964</v>
      </c>
      <c r="Q518" s="44" t="s">
        <v>2</v>
      </c>
      <c r="R518" s="44">
        <v>45260</v>
      </c>
      <c r="S518" s="44"/>
      <c r="T518" s="44"/>
      <c r="U518" s="44"/>
      <c r="V518" s="44"/>
      <c r="W518" s="44"/>
      <c r="X518" s="44"/>
      <c r="Y518" s="44"/>
      <c r="Z518" s="44"/>
      <c r="AA518" s="44" t="s">
        <v>1</v>
      </c>
      <c r="AB518" s="44"/>
      <c r="AC518" s="51">
        <v>45963</v>
      </c>
      <c r="AD518" s="50">
        <v>45963</v>
      </c>
      <c r="AE518" s="41" t="s">
        <v>1</v>
      </c>
      <c r="AF518" s="41" t="s">
        <v>1</v>
      </c>
      <c r="AG518" s="40" t="s">
        <v>5</v>
      </c>
      <c r="AH518" s="36" t="s">
        <v>0</v>
      </c>
      <c r="AI518" s="49">
        <v>0</v>
      </c>
      <c r="AJ518" s="36"/>
      <c r="AK518" s="10" t="s">
        <v>30</v>
      </c>
      <c r="AL518" s="36" t="s">
        <v>30</v>
      </c>
      <c r="AM518" s="36" t="s">
        <v>30</v>
      </c>
      <c r="AN518" s="35" t="s">
        <v>1</v>
      </c>
      <c r="AO518" s="35" t="s">
        <v>1</v>
      </c>
      <c r="AP518" s="35"/>
      <c r="AQ518" s="35" t="s">
        <v>1</v>
      </c>
      <c r="AR518" s="34" t="s">
        <v>1</v>
      </c>
      <c r="AS518" s="33"/>
      <c r="AT518" s="32"/>
      <c r="AU518" s="31"/>
      <c r="AV518" s="32"/>
      <c r="AW518" s="31"/>
      <c r="AX518" s="30" t="s">
        <v>0</v>
      </c>
      <c r="AY518" s="29"/>
      <c r="AZ518" s="28" t="s">
        <v>0</v>
      </c>
      <c r="BA518" s="27"/>
      <c r="BB518" s="39" t="s">
        <v>372</v>
      </c>
      <c r="BC518" s="25"/>
      <c r="BD518" s="24" t="s">
        <v>19</v>
      </c>
      <c r="BE518" s="24" t="s">
        <v>19</v>
      </c>
      <c r="BF518" s="79" t="s">
        <v>51</v>
      </c>
      <c r="BG518" s="79" t="s">
        <v>11</v>
      </c>
      <c r="BH518" s="80" t="s">
        <v>19</v>
      </c>
      <c r="BI518" s="79"/>
      <c r="BJ518" s="54" t="s">
        <v>11</v>
      </c>
      <c r="BK518" s="78" t="s">
        <v>11</v>
      </c>
      <c r="BL518" s="69">
        <v>45412</v>
      </c>
      <c r="BM518" s="78"/>
      <c r="BN518" s="78" t="s">
        <v>11</v>
      </c>
      <c r="BO518" s="78"/>
      <c r="BP518" s="78" t="s">
        <v>367</v>
      </c>
      <c r="BQ518" s="21">
        <f>YEAR([1]!BANCO10[[#This Row],[DATA INÍCIO]])</f>
        <v>2025</v>
      </c>
      <c r="BR518" s="21">
        <f>MONTH([1]!BANCO10[[#This Row],[DATA INÍCIO]])</f>
        <v>11</v>
      </c>
      <c r="BS518" s="21" t="e">
        <f>CONCATENATE(#REF!,#REF!)</f>
        <v>#REF!</v>
      </c>
      <c r="BT518" s="21"/>
      <c r="BU518" s="21" t="s">
        <v>30</v>
      </c>
      <c r="BV518" s="21" t="str">
        <f>IF([1]!BANCO10[[#This Row],[SOLUÇÃO]]=BV$1,[1]!BANCO10[[#This Row],[STATUS DA ETAPA]],"")</f>
        <v/>
      </c>
      <c r="BW518" s="21" t="str">
        <f>IF([1]!BANCO10[[#This Row],[SOLUÇÃO]]=BW$1,[1]!BANCO10[[#This Row],[STATUS DA ETAPA]],"")</f>
        <v/>
      </c>
      <c r="BX518" s="21" t="str">
        <f>IF([1]!BANCO10[[#This Row],[SOLUÇÃO]]=BX$1,[1]!BANCO10[[#This Row],[STATUS DA ETAPA]],"")</f>
        <v/>
      </c>
      <c r="BY518" s="21" t="str">
        <f>IF([1]!BANCO10[[#This Row],[SOLUÇÃO]]=BY$1,[1]!BANCO10[[#This Row],[STATUS DA ETAPA]],"")</f>
        <v/>
      </c>
      <c r="BZ518" s="21" t="str">
        <f>IF([1]!BANCO10[[#This Row],[SOLUÇÃO]]=BZ$1,[1]!BANCO10[[#This Row],[STATUS DA ETAPA]],"")</f>
        <v/>
      </c>
      <c r="CA518" s="21" t="str">
        <f>IF([1]!BANCO10[[#This Row],[SOLUÇÃO]]=CA$1,[1]!BANCO10[[#This Row],[STATUS DA ETAPA]],"")</f>
        <v>PROSPECÇÃO</v>
      </c>
      <c r="CB518" s="21" t="str">
        <f>IF([1]!BANCO10[[#This Row],[SOLUÇÃO]]=CB$1,[1]!BANCO10[[#This Row],[STATUS DA ETAPA]],"")</f>
        <v/>
      </c>
      <c r="CC518" s="21" t="str">
        <f>IF([1]!BANCO10[[#This Row],[SOLUÇÃO]]=CC$1,[1]!BANCO10[[#This Row],[STATUS DA ETAPA]],"")</f>
        <v/>
      </c>
      <c r="CD518" s="21" t="str">
        <f>IF([1]!BANCO10[[#This Row],[SOLUÇÃO]]=CD$1,[1]!BANCO10[[#This Row],[STATUS DA ETAPA]],"")</f>
        <v/>
      </c>
      <c r="CE518" s="21" t="str">
        <f>IF([1]!BANCO10[[#This Row],[SOLUÇÃO]]=CE$1,[1]!BANCO10[[#This Row],[STATUS DA ETAPA]],"")</f>
        <v/>
      </c>
      <c r="CF518" s="21" t="str">
        <f>IF([1]!BANCO10[[#This Row],[SOLUÇÃO]]=CF$1,[1]!BANCO10[[#This Row],[STATUS DA ETAPA]],"")</f>
        <v/>
      </c>
      <c r="CG518" s="21" t="str">
        <f>IF([1]!BANCO10[[#This Row],[SOLUÇÃO]]=CG$1,[1]!BANCO10[[#This Row],[STATUS DA ETAPA]],"")</f>
        <v/>
      </c>
      <c r="CH518" s="21" t="str">
        <f>IF([1]!BANCO10[[#This Row],[SOLUÇÃO]]=CH$1,[1]!BANCO10[[#This Row],[STATUS DA ETAPA]],"")</f>
        <v/>
      </c>
      <c r="CI518" s="21" t="str">
        <f>IF([1]!BANCO10[[#This Row],[SOLUÇÃO]]=CI$1,[1]!BANCO10[[#This Row],[STATUS DA ETAPA]],"")</f>
        <v/>
      </c>
      <c r="CJ518" s="21" t="str">
        <f>IF([1]!BANCO10[[#This Row],[SOLUÇÃO]]=CJ$1,[1]!BANCO10[[#This Row],[STATUS DA ETAPA]],"")</f>
        <v/>
      </c>
      <c r="CK518" s="21" t="str">
        <f>IF([1]!BANCO10[[#This Row],[SOLUÇÃO]]=CK$1,[1]!BANCO10[[#This Row],[STATUS DA ETAPA]],"")</f>
        <v/>
      </c>
      <c r="CL518" s="22" t="str">
        <f>IF([1]!BANCO10[[#This Row],[SOLUÇÃO]]=CL$1,[1]!BANCO10[[#This Row],[STATUS DA ETAPA]],"")</f>
        <v/>
      </c>
      <c r="CM518" s="64" t="str">
        <f>IF([1]!BANCO10[[#This Row],[SOLUÇÃO]]=CM$1,[1]!BANCO10[[#This Row],[STATUS DA ETAPA]],"")</f>
        <v/>
      </c>
      <c r="CN518" s="64" t="str">
        <f>IF([1]!BANCO10[[#This Row],[SOLUÇÃO]]=CN$1,[1]!BANCO10[[#This Row],[STATUS DA ETAPA]],"")</f>
        <v/>
      </c>
      <c r="CO518" s="64" t="str">
        <f>IF([1]!BANCO10[[#This Row],[SOLUÇÃO]]=CO$1,[1]!BANCO10[[#This Row],[STATUS DA ETAPA]],"")</f>
        <v/>
      </c>
      <c r="CP518" s="64" t="str">
        <f>IF([1]!BANCO10[[#This Row],[SOLUÇÃO]]=CP$1,[1]!BANCO10[[#This Row],[STATUS DA ETAPA]],"")</f>
        <v/>
      </c>
      <c r="CQ518" s="64" t="str">
        <f>IF([1]!BANCO10[[#This Row],[SOLUÇÃO]]=CQ$1,[1]!BANCO10[[#This Row],[STATUS DA ETAPA]],"")</f>
        <v/>
      </c>
      <c r="CR518" s="64" t="str">
        <f>IF([1]!BANCO10[[#This Row],[SOLUÇÃO]]=CR$1,[1]!BANCO10[[#This Row],[STATUS DA ETAPA]],"")</f>
        <v/>
      </c>
      <c r="CS518" s="64" t="str">
        <f>IF([1]!BANCO10[[#This Row],[SOLUÇÃO]]=CS$1,[1]!BANCO10[[#This Row],[STATUS DA ETAPA]],"")</f>
        <v/>
      </c>
      <c r="CT518" s="64" t="str">
        <f>IF([1]!BANCO10[[#This Row],[SOLUÇÃO]]=CT$1,[1]!BANCO10[[#This Row],[STATUS DA ETAPA]],"")</f>
        <v/>
      </c>
      <c r="CU518" s="64" t="str">
        <f>IF([1]!BANCO10[[#This Row],[SOLUÇÃO]]=CU$1,[1]!BANCO10[[#This Row],[STATUS DA ETAPA]],"")</f>
        <v/>
      </c>
      <c r="CV518" s="64" t="str">
        <f>IF([1]!BANCO10[[#This Row],[SOLUÇÃO]]=CV$1,[1]!BANCO10[[#This Row],[STATUS DA ETAPA]],"")</f>
        <v/>
      </c>
    </row>
    <row r="519" spans="1:100">
      <c r="A519" s="44" t="s">
        <v>1</v>
      </c>
      <c r="B519" s="44"/>
      <c r="C519" s="44" t="s">
        <v>1</v>
      </c>
      <c r="D519" s="44"/>
      <c r="E519" s="44" t="s">
        <v>1</v>
      </c>
      <c r="F519" s="44"/>
      <c r="G519" s="44" t="s">
        <v>1</v>
      </c>
      <c r="H519" s="44"/>
      <c r="I519" s="45" t="s">
        <v>1</v>
      </c>
      <c r="J519" s="46"/>
      <c r="K519" s="45" t="s">
        <v>1</v>
      </c>
      <c r="L519" s="33"/>
      <c r="M519" s="45" t="s">
        <v>1</v>
      </c>
      <c r="N519" s="33"/>
      <c r="O519" s="44" t="s">
        <v>2</v>
      </c>
      <c r="P519" s="44">
        <v>45310</v>
      </c>
      <c r="Q519" s="44" t="s">
        <v>1</v>
      </c>
      <c r="R519" s="44"/>
      <c r="S519" s="44" t="s">
        <v>1</v>
      </c>
      <c r="T519" s="44"/>
      <c r="U519" s="44" t="s">
        <v>1</v>
      </c>
      <c r="V519" s="44"/>
      <c r="W519" s="44" t="s">
        <v>1</v>
      </c>
      <c r="X519" s="44"/>
      <c r="Y519" s="44" t="s">
        <v>1</v>
      </c>
      <c r="Z519" s="44"/>
      <c r="AA519" s="44" t="s">
        <v>2</v>
      </c>
      <c r="AB519" s="44">
        <v>45555</v>
      </c>
      <c r="AC519" s="51">
        <v>45568</v>
      </c>
      <c r="AD519" s="50">
        <v>45810</v>
      </c>
      <c r="AE519" s="41" t="s">
        <v>2</v>
      </c>
      <c r="AF519" s="41" t="s">
        <v>2</v>
      </c>
      <c r="AG519" s="76" t="s">
        <v>5</v>
      </c>
      <c r="AH519" s="36" t="s">
        <v>0</v>
      </c>
      <c r="AI519" s="49">
        <v>0</v>
      </c>
      <c r="AJ519" s="36" t="s">
        <v>6</v>
      </c>
      <c r="AK519" s="10" t="s">
        <v>371</v>
      </c>
      <c r="AL519" s="36">
        <v>4712</v>
      </c>
      <c r="AM519" s="36">
        <v>115881</v>
      </c>
      <c r="AN519" s="35" t="s">
        <v>1</v>
      </c>
      <c r="AO519" s="35" t="s">
        <v>1</v>
      </c>
      <c r="AP519" s="35" t="s">
        <v>2</v>
      </c>
      <c r="AQ519" s="35" t="s">
        <v>1</v>
      </c>
      <c r="AR519" s="34" t="s">
        <v>1</v>
      </c>
      <c r="AS519" s="33"/>
      <c r="AT519" s="30" t="s">
        <v>0</v>
      </c>
      <c r="AU519" s="31"/>
      <c r="AV519" s="32" t="s">
        <v>0</v>
      </c>
      <c r="AW519" s="31"/>
      <c r="AX519" s="32" t="s">
        <v>0</v>
      </c>
      <c r="AY519" s="31"/>
      <c r="AZ519" s="32" t="s">
        <v>0</v>
      </c>
      <c r="BA519" s="31"/>
      <c r="BB519" s="39" t="s">
        <v>370</v>
      </c>
      <c r="BC519" s="25"/>
      <c r="BD519" s="24"/>
      <c r="BE519" s="24"/>
      <c r="BF519" s="79"/>
      <c r="BG519" s="79"/>
      <c r="BH519" s="80"/>
      <c r="BI519" s="79"/>
      <c r="BJ519" s="54"/>
      <c r="BK519" s="78"/>
      <c r="BL519" s="69"/>
      <c r="BM519" s="78"/>
      <c r="BN519" s="78"/>
      <c r="BO519" s="78"/>
      <c r="BP519" s="78"/>
      <c r="BQ519" s="21">
        <f>YEAR([1]!BANCO10[[#This Row],[DATA INÍCIO]])</f>
        <v>2024</v>
      </c>
      <c r="BR519" s="21">
        <f>MONTH([1]!BANCO10[[#This Row],[DATA INÍCIO]])</f>
        <v>10</v>
      </c>
      <c r="BS519" s="21" t="e">
        <f>CONCATENATE(#REF!,#REF!)</f>
        <v>#REF!</v>
      </c>
      <c r="BT519" s="21"/>
      <c r="BU519" s="21"/>
      <c r="BV519" s="21" t="str">
        <f>IF([1]!BANCO10[[#This Row],[SOLUÇÃO]]=BV$1,[1]!BANCO10[[#This Row],[STATUS DA ETAPA]],"")</f>
        <v/>
      </c>
      <c r="BW519" s="21" t="str">
        <f>IF([1]!BANCO10[[#This Row],[SOLUÇÃO]]=BW$1,[1]!BANCO10[[#This Row],[STATUS DA ETAPA]],"")</f>
        <v>CONCLUÍDO</v>
      </c>
      <c r="BX519" s="21" t="str">
        <f>IF([1]!BANCO10[[#This Row],[SOLUÇÃO]]=BX$1,[1]!BANCO10[[#This Row],[STATUS DA ETAPA]],"")</f>
        <v/>
      </c>
      <c r="BY519" s="21" t="str">
        <f>IF([1]!BANCO10[[#This Row],[SOLUÇÃO]]=BY$1,[1]!BANCO10[[#This Row],[STATUS DA ETAPA]],"")</f>
        <v/>
      </c>
      <c r="BZ519" s="21" t="str">
        <f>IF([1]!BANCO10[[#This Row],[SOLUÇÃO]]=BZ$1,[1]!BANCO10[[#This Row],[STATUS DA ETAPA]],"")</f>
        <v/>
      </c>
      <c r="CA519" s="21" t="str">
        <f>IF([1]!BANCO10[[#This Row],[SOLUÇÃO]]=CA$1,[1]!BANCO10[[#This Row],[STATUS DA ETAPA]],"")</f>
        <v/>
      </c>
      <c r="CB519" s="21" t="str">
        <f>IF([1]!BANCO10[[#This Row],[SOLUÇÃO]]=CB$1,[1]!BANCO10[[#This Row],[STATUS DA ETAPA]],"")</f>
        <v/>
      </c>
      <c r="CC519" s="21" t="str">
        <f>IF([1]!BANCO10[[#This Row],[SOLUÇÃO]]=CC$1,[1]!BANCO10[[#This Row],[STATUS DA ETAPA]],"")</f>
        <v/>
      </c>
      <c r="CD519" s="21" t="str">
        <f>IF([1]!BANCO10[[#This Row],[SOLUÇÃO]]=CD$1,[1]!BANCO10[[#This Row],[STATUS DA ETAPA]],"")</f>
        <v/>
      </c>
      <c r="CE519" s="21" t="str">
        <f>IF([1]!BANCO10[[#This Row],[SOLUÇÃO]]=CE$1,[1]!BANCO10[[#This Row],[STATUS DA ETAPA]],"")</f>
        <v/>
      </c>
      <c r="CF519" s="21" t="str">
        <f>IF([1]!BANCO10[[#This Row],[SOLUÇÃO]]=CF$1,[1]!BANCO10[[#This Row],[STATUS DA ETAPA]],"")</f>
        <v/>
      </c>
      <c r="CG519" s="21" t="str">
        <f>IF([1]!BANCO10[[#This Row],[SOLUÇÃO]]=CG$1,[1]!BANCO10[[#This Row],[STATUS DA ETAPA]],"")</f>
        <v/>
      </c>
      <c r="CH519" s="21" t="str">
        <f>IF([1]!BANCO10[[#This Row],[SOLUÇÃO]]=CH$1,[1]!BANCO10[[#This Row],[STATUS DA ETAPA]],"")</f>
        <v/>
      </c>
      <c r="CI519" s="21" t="str">
        <f>IF([1]!BANCO10[[#This Row],[SOLUÇÃO]]=CI$1,[1]!BANCO10[[#This Row],[STATUS DA ETAPA]],"")</f>
        <v/>
      </c>
      <c r="CJ519" s="21" t="str">
        <f>IF([1]!BANCO10[[#This Row],[SOLUÇÃO]]=CJ$1,[1]!BANCO10[[#This Row],[STATUS DA ETAPA]],"")</f>
        <v/>
      </c>
      <c r="CK519" s="21" t="str">
        <f>IF([1]!BANCO10[[#This Row],[SOLUÇÃO]]=CK$1,[1]!BANCO10[[#This Row],[STATUS DA ETAPA]],"")</f>
        <v/>
      </c>
      <c r="CL519" s="22" t="str">
        <f>IF([1]!BANCO10[[#This Row],[SOLUÇÃO]]=CL$1,[1]!BANCO10[[#This Row],[STATUS DA ETAPA]],"")</f>
        <v/>
      </c>
      <c r="CM519" s="64" t="str">
        <f>IF([1]!BANCO10[[#This Row],[SOLUÇÃO]]=CM$1,[1]!BANCO10[[#This Row],[STATUS DA ETAPA]],"")</f>
        <v/>
      </c>
      <c r="CN519" s="64" t="str">
        <f>IF([1]!BANCO10[[#This Row],[SOLUÇÃO]]=CN$1,[1]!BANCO10[[#This Row],[STATUS DA ETAPA]],"")</f>
        <v/>
      </c>
      <c r="CO519" s="64" t="str">
        <f>IF([1]!BANCO10[[#This Row],[SOLUÇÃO]]=CO$1,[1]!BANCO10[[#This Row],[STATUS DA ETAPA]],"")</f>
        <v/>
      </c>
      <c r="CP519" s="64" t="str">
        <f>IF([1]!BANCO10[[#This Row],[SOLUÇÃO]]=CP$1,[1]!BANCO10[[#This Row],[STATUS DA ETAPA]],"")</f>
        <v/>
      </c>
      <c r="CQ519" s="64" t="str">
        <f>IF([1]!BANCO10[[#This Row],[SOLUÇÃO]]=CQ$1,[1]!BANCO10[[#This Row],[STATUS DA ETAPA]],"")</f>
        <v/>
      </c>
      <c r="CR519" s="64" t="str">
        <f>IF([1]!BANCO10[[#This Row],[SOLUÇÃO]]=CR$1,[1]!BANCO10[[#This Row],[STATUS DA ETAPA]],"")</f>
        <v/>
      </c>
      <c r="CS519" s="64" t="str">
        <f>IF([1]!BANCO10[[#This Row],[SOLUÇÃO]]=CS$1,[1]!BANCO10[[#This Row],[STATUS DA ETAPA]],"")</f>
        <v/>
      </c>
      <c r="CT519" s="64" t="str">
        <f>IF([1]!BANCO10[[#This Row],[SOLUÇÃO]]=CT$1,[1]!BANCO10[[#This Row],[STATUS DA ETAPA]],"")</f>
        <v/>
      </c>
      <c r="CU519" s="64" t="str">
        <f>IF([1]!BANCO10[[#This Row],[SOLUÇÃO]]=CU$1,[1]!BANCO10[[#This Row],[STATUS DA ETAPA]],"")</f>
        <v/>
      </c>
      <c r="CV519" s="64" t="str">
        <f>IF([1]!BANCO10[[#This Row],[SOLUÇÃO]]=CV$1,[1]!BANCO10[[#This Row],[STATUS DA ETAPA]],"")</f>
        <v/>
      </c>
    </row>
    <row r="520" spans="1:100">
      <c r="A520" s="44" t="s">
        <v>1</v>
      </c>
      <c r="B520" s="44"/>
      <c r="C520" s="44" t="s">
        <v>1</v>
      </c>
      <c r="D520" s="44"/>
      <c r="E520" s="44" t="s">
        <v>1</v>
      </c>
      <c r="F520" s="44"/>
      <c r="G520" s="44" t="s">
        <v>1</v>
      </c>
      <c r="H520" s="44"/>
      <c r="I520" s="45" t="s">
        <v>1</v>
      </c>
      <c r="J520" s="46"/>
      <c r="K520" s="45" t="s">
        <v>1</v>
      </c>
      <c r="L520" s="33"/>
      <c r="M520" s="45" t="s">
        <v>1</v>
      </c>
      <c r="N520" s="33"/>
      <c r="O520" s="44" t="s">
        <v>1</v>
      </c>
      <c r="P520" s="44"/>
      <c r="Q520" s="44" t="s">
        <v>0</v>
      </c>
      <c r="R520" s="44"/>
      <c r="S520" s="44" t="s">
        <v>1</v>
      </c>
      <c r="T520" s="44"/>
      <c r="U520" s="44" t="s">
        <v>1</v>
      </c>
      <c r="V520" s="44"/>
      <c r="W520" s="44" t="s">
        <v>1</v>
      </c>
      <c r="X520" s="44"/>
      <c r="Y520" s="44" t="s">
        <v>1</v>
      </c>
      <c r="Z520" s="44"/>
      <c r="AA520" s="44" t="s">
        <v>1</v>
      </c>
      <c r="AB520" s="44"/>
      <c r="AC520" s="51">
        <v>45963</v>
      </c>
      <c r="AD520" s="50">
        <v>45963</v>
      </c>
      <c r="AE520" s="40" t="s">
        <v>1</v>
      </c>
      <c r="AF520" s="40" t="s">
        <v>1</v>
      </c>
      <c r="AG520" s="40" t="s">
        <v>1</v>
      </c>
      <c r="AH520" s="36" t="s">
        <v>1</v>
      </c>
      <c r="AI520" s="49">
        <v>0</v>
      </c>
      <c r="AJ520" s="36" t="s">
        <v>1</v>
      </c>
      <c r="AK520" s="10" t="s">
        <v>1</v>
      </c>
      <c r="AL520" s="36" t="s">
        <v>1</v>
      </c>
      <c r="AM520" s="36" t="s">
        <v>1</v>
      </c>
      <c r="AN520" s="35" t="s">
        <v>1</v>
      </c>
      <c r="AO520" s="35" t="s">
        <v>1</v>
      </c>
      <c r="AP520" s="35" t="s">
        <v>1</v>
      </c>
      <c r="AQ520" s="35" t="s">
        <v>1</v>
      </c>
      <c r="AR520" s="82" t="s">
        <v>1</v>
      </c>
      <c r="AS520" s="63"/>
      <c r="AT520" s="32" t="s">
        <v>1</v>
      </c>
      <c r="AU520" s="31"/>
      <c r="AV520" s="32" t="s">
        <v>1</v>
      </c>
      <c r="AW520" s="31"/>
      <c r="AX520" s="32" t="s">
        <v>1</v>
      </c>
      <c r="AY520" s="31"/>
      <c r="AZ520" s="32" t="s">
        <v>1</v>
      </c>
      <c r="BA520" s="31"/>
      <c r="BB520" s="39" t="s">
        <v>368</v>
      </c>
      <c r="BC520" s="25"/>
      <c r="BD520" s="24" t="s">
        <v>11</v>
      </c>
      <c r="BE520" s="24" t="s">
        <v>11</v>
      </c>
      <c r="BF520" s="79" t="s">
        <v>11</v>
      </c>
      <c r="BG520" s="79" t="s">
        <v>11</v>
      </c>
      <c r="BH520" s="80" t="s">
        <v>11</v>
      </c>
      <c r="BI520" s="79"/>
      <c r="BJ520" s="54" t="s">
        <v>11</v>
      </c>
      <c r="BK520" s="78" t="s">
        <v>11</v>
      </c>
      <c r="BL520" s="69" t="s">
        <v>11</v>
      </c>
      <c r="BM520" s="78" t="s">
        <v>11</v>
      </c>
      <c r="BN520" s="78" t="s">
        <v>11</v>
      </c>
      <c r="BO520" s="78" t="s">
        <v>11</v>
      </c>
      <c r="BP520" s="78" t="s">
        <v>11</v>
      </c>
      <c r="BQ520" s="21">
        <f>YEAR([1]!BANCO10[[#This Row],[DATA INÍCIO]])</f>
        <v>2025</v>
      </c>
      <c r="BR520" s="21">
        <f>MONTH([1]!BANCO10[[#This Row],[DATA INÍCIO]])</f>
        <v>11</v>
      </c>
      <c r="BS520" s="21" t="e">
        <f>CONCATENATE(#REF!,#REF!)</f>
        <v>#REF!</v>
      </c>
      <c r="BT520" s="21"/>
      <c r="BU520" s="21" t="s">
        <v>369</v>
      </c>
      <c r="BV520" s="21" t="str">
        <f>IF([1]!BANCO10[[#This Row],[SOLUÇÃO]]=BV$1,[1]!BANCO10[[#This Row],[STATUS DA ETAPA]],"")</f>
        <v>CANCELADO</v>
      </c>
      <c r="BW520" s="21" t="str">
        <f>IF([1]!BANCO10[[#This Row],[SOLUÇÃO]]=BW$1,[1]!BANCO10[[#This Row],[STATUS DA ETAPA]],"")</f>
        <v/>
      </c>
      <c r="BX520" s="21" t="str">
        <f>IF([1]!BANCO10[[#This Row],[SOLUÇÃO]]=BX$1,[1]!BANCO10[[#This Row],[STATUS DA ETAPA]],"")</f>
        <v/>
      </c>
      <c r="BY520" s="21" t="str">
        <f>IF([1]!BANCO10[[#This Row],[SOLUÇÃO]]=BY$1,[1]!BANCO10[[#This Row],[STATUS DA ETAPA]],"")</f>
        <v/>
      </c>
      <c r="BZ520" s="21" t="str">
        <f>IF([1]!BANCO10[[#This Row],[SOLUÇÃO]]=BZ$1,[1]!BANCO10[[#This Row],[STATUS DA ETAPA]],"")</f>
        <v/>
      </c>
      <c r="CA520" s="21" t="str">
        <f>IF([1]!BANCO10[[#This Row],[SOLUÇÃO]]=CA$1,[1]!BANCO10[[#This Row],[STATUS DA ETAPA]],"")</f>
        <v/>
      </c>
      <c r="CB520" s="21" t="str">
        <f>IF([1]!BANCO10[[#This Row],[SOLUÇÃO]]=CB$1,[1]!BANCO10[[#This Row],[STATUS DA ETAPA]],"")</f>
        <v/>
      </c>
      <c r="CC520" s="21" t="str">
        <f>IF([1]!BANCO10[[#This Row],[SOLUÇÃO]]=CC$1,[1]!BANCO10[[#This Row],[STATUS DA ETAPA]],"")</f>
        <v/>
      </c>
      <c r="CD520" s="21" t="str">
        <f>IF([1]!BANCO10[[#This Row],[SOLUÇÃO]]=CD$1,[1]!BANCO10[[#This Row],[STATUS DA ETAPA]],"")</f>
        <v/>
      </c>
      <c r="CE520" s="21" t="str">
        <f>IF([1]!BANCO10[[#This Row],[SOLUÇÃO]]=CE$1,[1]!BANCO10[[#This Row],[STATUS DA ETAPA]],"")</f>
        <v/>
      </c>
      <c r="CF520" s="21" t="str">
        <f>IF([1]!BANCO10[[#This Row],[SOLUÇÃO]]=CF$1,[1]!BANCO10[[#This Row],[STATUS DA ETAPA]],"")</f>
        <v/>
      </c>
      <c r="CG520" s="21" t="str">
        <f>IF([1]!BANCO10[[#This Row],[SOLUÇÃO]]=CG$1,[1]!BANCO10[[#This Row],[STATUS DA ETAPA]],"")</f>
        <v/>
      </c>
      <c r="CH520" s="21" t="str">
        <f>IF([1]!BANCO10[[#This Row],[SOLUÇÃO]]=CH$1,[1]!BANCO10[[#This Row],[STATUS DA ETAPA]],"")</f>
        <v/>
      </c>
      <c r="CI520" s="21" t="str">
        <f>IF([1]!BANCO10[[#This Row],[SOLUÇÃO]]=CI$1,[1]!BANCO10[[#This Row],[STATUS DA ETAPA]],"")</f>
        <v/>
      </c>
      <c r="CJ520" s="21" t="str">
        <f>IF([1]!BANCO10[[#This Row],[SOLUÇÃO]]=CJ$1,[1]!BANCO10[[#This Row],[STATUS DA ETAPA]],"")</f>
        <v/>
      </c>
      <c r="CK520" s="21" t="str">
        <f>IF([1]!BANCO10[[#This Row],[SOLUÇÃO]]=CK$1,[1]!BANCO10[[#This Row],[STATUS DA ETAPA]],"")</f>
        <v/>
      </c>
      <c r="CL520" s="22" t="str">
        <f>IF([1]!BANCO10[[#This Row],[SOLUÇÃO]]=CL$1,[1]!BANCO10[[#This Row],[STATUS DA ETAPA]],"")</f>
        <v/>
      </c>
      <c r="CM520" s="64" t="str">
        <f>IF([1]!BANCO10[[#This Row],[SOLUÇÃO]]=CM$1,[1]!BANCO10[[#This Row],[STATUS DA ETAPA]],"")</f>
        <v/>
      </c>
      <c r="CN520" s="64" t="str">
        <f>IF([1]!BANCO10[[#This Row],[SOLUÇÃO]]=CN$1,[1]!BANCO10[[#This Row],[STATUS DA ETAPA]],"")</f>
        <v/>
      </c>
      <c r="CO520" s="64" t="str">
        <f>IF([1]!BANCO10[[#This Row],[SOLUÇÃO]]=CO$1,[1]!BANCO10[[#This Row],[STATUS DA ETAPA]],"")</f>
        <v/>
      </c>
      <c r="CP520" s="64" t="str">
        <f>IF([1]!BANCO10[[#This Row],[SOLUÇÃO]]=CP$1,[1]!BANCO10[[#This Row],[STATUS DA ETAPA]],"")</f>
        <v/>
      </c>
      <c r="CQ520" s="64" t="str">
        <f>IF([1]!BANCO10[[#This Row],[SOLUÇÃO]]=CQ$1,[1]!BANCO10[[#This Row],[STATUS DA ETAPA]],"")</f>
        <v/>
      </c>
      <c r="CR520" s="64" t="str">
        <f>IF([1]!BANCO10[[#This Row],[SOLUÇÃO]]=CR$1,[1]!BANCO10[[#This Row],[STATUS DA ETAPA]],"")</f>
        <v/>
      </c>
      <c r="CS520" s="64" t="str">
        <f>IF([1]!BANCO10[[#This Row],[SOLUÇÃO]]=CS$1,[1]!BANCO10[[#This Row],[STATUS DA ETAPA]],"")</f>
        <v/>
      </c>
      <c r="CT520" s="64" t="str">
        <f>IF([1]!BANCO10[[#This Row],[SOLUÇÃO]]=CT$1,[1]!BANCO10[[#This Row],[STATUS DA ETAPA]],"")</f>
        <v/>
      </c>
      <c r="CU520" s="64" t="str">
        <f>IF([1]!BANCO10[[#This Row],[SOLUÇÃO]]=CU$1,[1]!BANCO10[[#This Row],[STATUS DA ETAPA]],"")</f>
        <v/>
      </c>
      <c r="CV520" s="64" t="str">
        <f>IF([1]!BANCO10[[#This Row],[SOLUÇÃO]]=CV$1,[1]!BANCO10[[#This Row],[STATUS DA ETAPA]],"")</f>
        <v/>
      </c>
    </row>
    <row r="521" spans="1:100">
      <c r="A521" s="44" t="s">
        <v>1</v>
      </c>
      <c r="B521" s="44"/>
      <c r="C521" s="44" t="s">
        <v>1</v>
      </c>
      <c r="D521" s="44"/>
      <c r="E521" s="44" t="s">
        <v>1</v>
      </c>
      <c r="F521" s="44"/>
      <c r="G521" s="44" t="s">
        <v>1</v>
      </c>
      <c r="H521" s="44"/>
      <c r="I521" s="45" t="s">
        <v>1</v>
      </c>
      <c r="J521" s="46"/>
      <c r="K521" s="45" t="s">
        <v>1</v>
      </c>
      <c r="L521" s="33"/>
      <c r="M521" s="45" t="s">
        <v>1</v>
      </c>
      <c r="N521" s="33"/>
      <c r="O521" s="44" t="s">
        <v>2</v>
      </c>
      <c r="P521" s="44">
        <v>44927</v>
      </c>
      <c r="Q521" s="44" t="s">
        <v>2</v>
      </c>
      <c r="R521" s="44">
        <v>44927</v>
      </c>
      <c r="S521" s="44" t="s">
        <v>1</v>
      </c>
      <c r="T521" s="44"/>
      <c r="U521" s="44" t="s">
        <v>2</v>
      </c>
      <c r="V521" s="44">
        <v>44927</v>
      </c>
      <c r="W521" s="44" t="s">
        <v>2</v>
      </c>
      <c r="X521" s="44">
        <v>44927</v>
      </c>
      <c r="Y521" s="44" t="s">
        <v>2</v>
      </c>
      <c r="Z521" s="44">
        <v>44927</v>
      </c>
      <c r="AA521" s="44" t="s">
        <v>1</v>
      </c>
      <c r="AB521" s="44"/>
      <c r="AC521" s="51">
        <v>45963</v>
      </c>
      <c r="AD521" s="50">
        <v>45963</v>
      </c>
      <c r="AE521" s="41" t="s">
        <v>1</v>
      </c>
      <c r="AF521" s="41" t="s">
        <v>1</v>
      </c>
      <c r="AG521" s="40" t="s">
        <v>5</v>
      </c>
      <c r="AH521" s="36" t="s">
        <v>0</v>
      </c>
      <c r="AI521" s="49">
        <v>0</v>
      </c>
      <c r="AJ521" s="36"/>
      <c r="AK521" s="10" t="s">
        <v>30</v>
      </c>
      <c r="AL521" s="36" t="s">
        <v>30</v>
      </c>
      <c r="AM521" s="36" t="s">
        <v>30</v>
      </c>
      <c r="AN521" s="35" t="s">
        <v>1</v>
      </c>
      <c r="AO521" s="35" t="s">
        <v>1</v>
      </c>
      <c r="AP521" s="35"/>
      <c r="AQ521" s="35" t="s">
        <v>1</v>
      </c>
      <c r="AR521" s="34" t="s">
        <v>1</v>
      </c>
      <c r="AS521" s="33"/>
      <c r="AT521" s="32"/>
      <c r="AU521" s="31"/>
      <c r="AV521" s="32"/>
      <c r="AW521" s="31"/>
      <c r="AX521" s="30" t="s">
        <v>0</v>
      </c>
      <c r="AY521" s="29"/>
      <c r="AZ521" s="28" t="s">
        <v>0</v>
      </c>
      <c r="BA521" s="27"/>
      <c r="BB521" s="39" t="s">
        <v>368</v>
      </c>
      <c r="BC521" s="25"/>
      <c r="BD521" s="24" t="s">
        <v>11</v>
      </c>
      <c r="BE521" s="24" t="s">
        <v>11</v>
      </c>
      <c r="BF521" s="79" t="s">
        <v>11</v>
      </c>
      <c r="BG521" s="79" t="s">
        <v>11</v>
      </c>
      <c r="BH521" s="80" t="s">
        <v>11</v>
      </c>
      <c r="BI521" s="79"/>
      <c r="BJ521" s="54" t="s">
        <v>11</v>
      </c>
      <c r="BK521" s="78" t="s">
        <v>11</v>
      </c>
      <c r="BL521" s="69">
        <v>45412</v>
      </c>
      <c r="BM521" s="78" t="s">
        <v>11</v>
      </c>
      <c r="BN521" s="78" t="s">
        <v>11</v>
      </c>
      <c r="BO521" s="78"/>
      <c r="BP521" s="78" t="s">
        <v>367</v>
      </c>
      <c r="BQ521" s="21">
        <f>YEAR([1]!BANCO10[[#This Row],[DATA INÍCIO]])</f>
        <v>2025</v>
      </c>
      <c r="BR521" s="21">
        <f>MONTH([1]!BANCO10[[#This Row],[DATA INÍCIO]])</f>
        <v>11</v>
      </c>
      <c r="BS521" s="21" t="e">
        <f>CONCATENATE(#REF!,#REF!)</f>
        <v>#REF!</v>
      </c>
      <c r="BT521" s="21"/>
      <c r="BU521" s="21" t="s">
        <v>30</v>
      </c>
      <c r="BV521" s="21" t="str">
        <f>IF([1]!BANCO10[[#This Row],[SOLUÇÃO]]=BV$1,[1]!BANCO10[[#This Row],[STATUS DA ETAPA]],"")</f>
        <v/>
      </c>
      <c r="BW521" s="21" t="str">
        <f>IF([1]!BANCO10[[#This Row],[SOLUÇÃO]]=BW$1,[1]!BANCO10[[#This Row],[STATUS DA ETAPA]],"")</f>
        <v/>
      </c>
      <c r="BX521" s="21" t="str">
        <f>IF([1]!BANCO10[[#This Row],[SOLUÇÃO]]=BX$1,[1]!BANCO10[[#This Row],[STATUS DA ETAPA]],"")</f>
        <v/>
      </c>
      <c r="BY521" s="21" t="str">
        <f>IF([1]!BANCO10[[#This Row],[SOLUÇÃO]]=BY$1,[1]!BANCO10[[#This Row],[STATUS DA ETAPA]],"")</f>
        <v/>
      </c>
      <c r="BZ521" s="21" t="str">
        <f>IF([1]!BANCO10[[#This Row],[SOLUÇÃO]]=BZ$1,[1]!BANCO10[[#This Row],[STATUS DA ETAPA]],"")</f>
        <v/>
      </c>
      <c r="CA521" s="21" t="str">
        <f>IF([1]!BANCO10[[#This Row],[SOLUÇÃO]]=CA$1,[1]!BANCO10[[#This Row],[STATUS DA ETAPA]],"")</f>
        <v>PROSPECÇÃO</v>
      </c>
      <c r="CB521" s="21" t="str">
        <f>IF([1]!BANCO10[[#This Row],[SOLUÇÃO]]=CB$1,[1]!BANCO10[[#This Row],[STATUS DA ETAPA]],"")</f>
        <v/>
      </c>
      <c r="CC521" s="21" t="str">
        <f>IF([1]!BANCO10[[#This Row],[SOLUÇÃO]]=CC$1,[1]!BANCO10[[#This Row],[STATUS DA ETAPA]],"")</f>
        <v/>
      </c>
      <c r="CD521" s="21" t="str">
        <f>IF([1]!BANCO10[[#This Row],[SOLUÇÃO]]=CD$1,[1]!BANCO10[[#This Row],[STATUS DA ETAPA]],"")</f>
        <v/>
      </c>
      <c r="CE521" s="21" t="str">
        <f>IF([1]!BANCO10[[#This Row],[SOLUÇÃO]]=CE$1,[1]!BANCO10[[#This Row],[STATUS DA ETAPA]],"")</f>
        <v/>
      </c>
      <c r="CF521" s="21" t="str">
        <f>IF([1]!BANCO10[[#This Row],[SOLUÇÃO]]=CF$1,[1]!BANCO10[[#This Row],[STATUS DA ETAPA]],"")</f>
        <v/>
      </c>
      <c r="CG521" s="21" t="str">
        <f>IF([1]!BANCO10[[#This Row],[SOLUÇÃO]]=CG$1,[1]!BANCO10[[#This Row],[STATUS DA ETAPA]],"")</f>
        <v/>
      </c>
      <c r="CH521" s="21" t="str">
        <f>IF([1]!BANCO10[[#This Row],[SOLUÇÃO]]=CH$1,[1]!BANCO10[[#This Row],[STATUS DA ETAPA]],"")</f>
        <v/>
      </c>
      <c r="CI521" s="21" t="str">
        <f>IF([1]!BANCO10[[#This Row],[SOLUÇÃO]]=CI$1,[1]!BANCO10[[#This Row],[STATUS DA ETAPA]],"")</f>
        <v/>
      </c>
      <c r="CJ521" s="21" t="str">
        <f>IF([1]!BANCO10[[#This Row],[SOLUÇÃO]]=CJ$1,[1]!BANCO10[[#This Row],[STATUS DA ETAPA]],"")</f>
        <v/>
      </c>
      <c r="CK521" s="21" t="str">
        <f>IF([1]!BANCO10[[#This Row],[SOLUÇÃO]]=CK$1,[1]!BANCO10[[#This Row],[STATUS DA ETAPA]],"")</f>
        <v/>
      </c>
      <c r="CL521" s="22" t="str">
        <f>IF([1]!BANCO10[[#This Row],[SOLUÇÃO]]=CL$1,[1]!BANCO10[[#This Row],[STATUS DA ETAPA]],"")</f>
        <v/>
      </c>
      <c r="CM521" s="64" t="str">
        <f>IF([1]!BANCO10[[#This Row],[SOLUÇÃO]]=CM$1,[1]!BANCO10[[#This Row],[STATUS DA ETAPA]],"")</f>
        <v/>
      </c>
      <c r="CN521" s="64" t="str">
        <f>IF([1]!BANCO10[[#This Row],[SOLUÇÃO]]=CN$1,[1]!BANCO10[[#This Row],[STATUS DA ETAPA]],"")</f>
        <v/>
      </c>
      <c r="CO521" s="64" t="str">
        <f>IF([1]!BANCO10[[#This Row],[SOLUÇÃO]]=CO$1,[1]!BANCO10[[#This Row],[STATUS DA ETAPA]],"")</f>
        <v/>
      </c>
      <c r="CP521" s="64" t="str">
        <f>IF([1]!BANCO10[[#This Row],[SOLUÇÃO]]=CP$1,[1]!BANCO10[[#This Row],[STATUS DA ETAPA]],"")</f>
        <v/>
      </c>
      <c r="CQ521" s="64" t="str">
        <f>IF([1]!BANCO10[[#This Row],[SOLUÇÃO]]=CQ$1,[1]!BANCO10[[#This Row],[STATUS DA ETAPA]],"")</f>
        <v/>
      </c>
      <c r="CR521" s="64" t="str">
        <f>IF([1]!BANCO10[[#This Row],[SOLUÇÃO]]=CR$1,[1]!BANCO10[[#This Row],[STATUS DA ETAPA]],"")</f>
        <v/>
      </c>
      <c r="CS521" s="64" t="str">
        <f>IF([1]!BANCO10[[#This Row],[SOLUÇÃO]]=CS$1,[1]!BANCO10[[#This Row],[STATUS DA ETAPA]],"")</f>
        <v/>
      </c>
      <c r="CT521" s="64" t="str">
        <f>IF([1]!BANCO10[[#This Row],[SOLUÇÃO]]=CT$1,[1]!BANCO10[[#This Row],[STATUS DA ETAPA]],"")</f>
        <v/>
      </c>
      <c r="CU521" s="64" t="str">
        <f>IF([1]!BANCO10[[#This Row],[SOLUÇÃO]]=CU$1,[1]!BANCO10[[#This Row],[STATUS DA ETAPA]],"")</f>
        <v/>
      </c>
      <c r="CV521" s="64" t="str">
        <f>IF([1]!BANCO10[[#This Row],[SOLUÇÃO]]=CV$1,[1]!BANCO10[[#This Row],[STATUS DA ETAPA]],"")</f>
        <v/>
      </c>
    </row>
    <row r="522" spans="1:100">
      <c r="A522" s="44" t="s">
        <v>1</v>
      </c>
      <c r="B522" s="44"/>
      <c r="C522" s="44" t="s">
        <v>1</v>
      </c>
      <c r="D522" s="44"/>
      <c r="E522" s="44" t="s">
        <v>1</v>
      </c>
      <c r="F522" s="44"/>
      <c r="G522" s="44" t="s">
        <v>1</v>
      </c>
      <c r="H522" s="44"/>
      <c r="I522" s="45" t="s">
        <v>1</v>
      </c>
      <c r="J522" s="46"/>
      <c r="K522" s="45" t="s">
        <v>1</v>
      </c>
      <c r="L522" s="33"/>
      <c r="M522" s="45" t="s">
        <v>1</v>
      </c>
      <c r="N522" s="33"/>
      <c r="O522" s="44" t="s">
        <v>2</v>
      </c>
      <c r="P522" s="44">
        <v>44963</v>
      </c>
      <c r="Q522" s="44" t="s">
        <v>0</v>
      </c>
      <c r="R522" s="44"/>
      <c r="S522" s="44" t="s">
        <v>1</v>
      </c>
      <c r="T522" s="44"/>
      <c r="U522" s="44" t="s">
        <v>1</v>
      </c>
      <c r="V522" s="44"/>
      <c r="W522" s="44" t="s">
        <v>1</v>
      </c>
      <c r="X522" s="44"/>
      <c r="Y522" s="44" t="s">
        <v>1</v>
      </c>
      <c r="Z522" s="44"/>
      <c r="AA522" s="44" t="s">
        <v>1</v>
      </c>
      <c r="AB522" s="44"/>
      <c r="AC522" s="84">
        <v>44958</v>
      </c>
      <c r="AD522" s="83">
        <v>44958</v>
      </c>
      <c r="AE522" s="40" t="s">
        <v>1</v>
      </c>
      <c r="AF522" s="40" t="s">
        <v>1</v>
      </c>
      <c r="AG522" s="40" t="s">
        <v>5</v>
      </c>
      <c r="AH522" s="36" t="s">
        <v>1</v>
      </c>
      <c r="AI522" s="49">
        <v>0</v>
      </c>
      <c r="AJ522" s="36" t="s">
        <v>1</v>
      </c>
      <c r="AK522" s="10" t="s">
        <v>1</v>
      </c>
      <c r="AL522" s="36" t="s">
        <v>1</v>
      </c>
      <c r="AM522" s="36" t="s">
        <v>1</v>
      </c>
      <c r="AN522" s="35" t="s">
        <v>1</v>
      </c>
      <c r="AO522" s="35" t="s">
        <v>1</v>
      </c>
      <c r="AP522" s="35" t="s">
        <v>1</v>
      </c>
      <c r="AQ522" s="35" t="s">
        <v>1</v>
      </c>
      <c r="AR522" s="82" t="s">
        <v>1</v>
      </c>
      <c r="AS522" s="33"/>
      <c r="AT522" s="30"/>
      <c r="AU522" s="55"/>
      <c r="AV522" s="30"/>
      <c r="AW522" s="55"/>
      <c r="AX522" s="30" t="s">
        <v>1</v>
      </c>
      <c r="AY522" s="55"/>
      <c r="AZ522" s="30" t="s">
        <v>1</v>
      </c>
      <c r="BA522" s="66"/>
      <c r="BB522" s="39"/>
      <c r="BC522" s="25"/>
      <c r="BD522" s="24" t="s">
        <v>11</v>
      </c>
      <c r="BE522" s="24" t="s">
        <v>11</v>
      </c>
      <c r="BF522" s="79" t="s">
        <v>19</v>
      </c>
      <c r="BG522" s="79" t="s">
        <v>19</v>
      </c>
      <c r="BH522" s="80" t="s">
        <v>19</v>
      </c>
      <c r="BI522" s="79"/>
      <c r="BJ522" s="54" t="s">
        <v>11</v>
      </c>
      <c r="BK522" s="78" t="s">
        <v>11</v>
      </c>
      <c r="BL522" s="69" t="s">
        <v>11</v>
      </c>
      <c r="BM522" s="78" t="s">
        <v>11</v>
      </c>
      <c r="BN522" s="78" t="s">
        <v>11</v>
      </c>
      <c r="BO522" s="78" t="s">
        <v>11</v>
      </c>
      <c r="BP522" s="78" t="s">
        <v>11</v>
      </c>
      <c r="BQ522" s="21">
        <f>YEAR([1]!BANCO10[[#This Row],[DATA INÍCIO]])</f>
        <v>2023</v>
      </c>
      <c r="BR522" s="21">
        <f>MONTH([1]!BANCO10[[#This Row],[DATA INÍCIO]])</f>
        <v>2</v>
      </c>
      <c r="BS522" s="21" t="e">
        <f>CONCATENATE(#REF!,#REF!)</f>
        <v>#REF!</v>
      </c>
      <c r="BT522" s="21"/>
      <c r="BU522" s="21" t="s">
        <v>366</v>
      </c>
      <c r="BV522" s="21" t="str">
        <f>IF([1]!BANCO10[[#This Row],[SOLUÇÃO]]=BV$1,[1]!BANCO10[[#This Row],[STATUS DA ETAPA]],"")</f>
        <v>CONCLUÍDO</v>
      </c>
      <c r="BW522" s="21" t="str">
        <f>IF([1]!BANCO10[[#This Row],[SOLUÇÃO]]=BW$1,[1]!BANCO10[[#This Row],[STATUS DA ETAPA]],"")</f>
        <v/>
      </c>
      <c r="BX522" s="21" t="str">
        <f>IF([1]!BANCO10[[#This Row],[SOLUÇÃO]]=BX$1,[1]!BANCO10[[#This Row],[STATUS DA ETAPA]],"")</f>
        <v/>
      </c>
      <c r="BY522" s="21" t="str">
        <f>IF([1]!BANCO10[[#This Row],[SOLUÇÃO]]=BY$1,[1]!BANCO10[[#This Row],[STATUS DA ETAPA]],"")</f>
        <v/>
      </c>
      <c r="BZ522" s="21" t="str">
        <f>IF([1]!BANCO10[[#This Row],[SOLUÇÃO]]=BZ$1,[1]!BANCO10[[#This Row],[STATUS DA ETAPA]],"")</f>
        <v/>
      </c>
      <c r="CA522" s="21" t="str">
        <f>IF([1]!BANCO10[[#This Row],[SOLUÇÃO]]=CA$1,[1]!BANCO10[[#This Row],[STATUS DA ETAPA]],"")</f>
        <v/>
      </c>
      <c r="CB522" s="21" t="str">
        <f>IF([1]!BANCO10[[#This Row],[SOLUÇÃO]]=CB$1,[1]!BANCO10[[#This Row],[STATUS DA ETAPA]],"")</f>
        <v/>
      </c>
      <c r="CC522" s="21" t="str">
        <f>IF([1]!BANCO10[[#This Row],[SOLUÇÃO]]=CC$1,[1]!BANCO10[[#This Row],[STATUS DA ETAPA]],"")</f>
        <v/>
      </c>
      <c r="CD522" s="21" t="str">
        <f>IF([1]!BANCO10[[#This Row],[SOLUÇÃO]]=CD$1,[1]!BANCO10[[#This Row],[STATUS DA ETAPA]],"")</f>
        <v/>
      </c>
      <c r="CE522" s="21" t="str">
        <f>IF([1]!BANCO10[[#This Row],[SOLUÇÃO]]=CE$1,[1]!BANCO10[[#This Row],[STATUS DA ETAPA]],"")</f>
        <v/>
      </c>
      <c r="CF522" s="21" t="str">
        <f>IF([1]!BANCO10[[#This Row],[SOLUÇÃO]]=CF$1,[1]!BANCO10[[#This Row],[STATUS DA ETAPA]],"")</f>
        <v/>
      </c>
      <c r="CG522" s="21" t="str">
        <f>IF([1]!BANCO10[[#This Row],[SOLUÇÃO]]=CG$1,[1]!BANCO10[[#This Row],[STATUS DA ETAPA]],"")</f>
        <v/>
      </c>
      <c r="CH522" s="21" t="str">
        <f>IF([1]!BANCO10[[#This Row],[SOLUÇÃO]]=CH$1,[1]!BANCO10[[#This Row],[STATUS DA ETAPA]],"")</f>
        <v/>
      </c>
      <c r="CI522" s="21" t="str">
        <f>IF([1]!BANCO10[[#This Row],[SOLUÇÃO]]=CI$1,[1]!BANCO10[[#This Row],[STATUS DA ETAPA]],"")</f>
        <v/>
      </c>
      <c r="CJ522" s="21" t="str">
        <f>IF([1]!BANCO10[[#This Row],[SOLUÇÃO]]=CJ$1,[1]!BANCO10[[#This Row],[STATUS DA ETAPA]],"")</f>
        <v/>
      </c>
      <c r="CK522" s="21" t="str">
        <f>IF([1]!BANCO10[[#This Row],[SOLUÇÃO]]=CK$1,[1]!BANCO10[[#This Row],[STATUS DA ETAPA]],"")</f>
        <v/>
      </c>
      <c r="CL522" s="22" t="str">
        <f>IF([1]!BANCO10[[#This Row],[SOLUÇÃO]]=CL$1,[1]!BANCO10[[#This Row],[STATUS DA ETAPA]],"")</f>
        <v/>
      </c>
      <c r="CM522" s="64" t="str">
        <f>IF([1]!BANCO10[[#This Row],[SOLUÇÃO]]=CM$1,[1]!BANCO10[[#This Row],[STATUS DA ETAPA]],"")</f>
        <v/>
      </c>
      <c r="CN522" s="64" t="str">
        <f>IF([1]!BANCO10[[#This Row],[SOLUÇÃO]]=CN$1,[1]!BANCO10[[#This Row],[STATUS DA ETAPA]],"")</f>
        <v/>
      </c>
      <c r="CO522" s="64" t="str">
        <f>IF([1]!BANCO10[[#This Row],[SOLUÇÃO]]=CO$1,[1]!BANCO10[[#This Row],[STATUS DA ETAPA]],"")</f>
        <v/>
      </c>
      <c r="CP522" s="64" t="str">
        <f>IF([1]!BANCO10[[#This Row],[SOLUÇÃO]]=CP$1,[1]!BANCO10[[#This Row],[STATUS DA ETAPA]],"")</f>
        <v/>
      </c>
      <c r="CQ522" s="64" t="str">
        <f>IF([1]!BANCO10[[#This Row],[SOLUÇÃO]]=CQ$1,[1]!BANCO10[[#This Row],[STATUS DA ETAPA]],"")</f>
        <v/>
      </c>
      <c r="CR522" s="64" t="str">
        <f>IF([1]!BANCO10[[#This Row],[SOLUÇÃO]]=CR$1,[1]!BANCO10[[#This Row],[STATUS DA ETAPA]],"")</f>
        <v/>
      </c>
      <c r="CS522" s="64" t="str">
        <f>IF([1]!BANCO10[[#This Row],[SOLUÇÃO]]=CS$1,[1]!BANCO10[[#This Row],[STATUS DA ETAPA]],"")</f>
        <v/>
      </c>
      <c r="CT522" s="64" t="str">
        <f>IF([1]!BANCO10[[#This Row],[SOLUÇÃO]]=CT$1,[1]!BANCO10[[#This Row],[STATUS DA ETAPA]],"")</f>
        <v/>
      </c>
      <c r="CU522" s="64" t="str">
        <f>IF([1]!BANCO10[[#This Row],[SOLUÇÃO]]=CU$1,[1]!BANCO10[[#This Row],[STATUS DA ETAPA]],"")</f>
        <v/>
      </c>
      <c r="CV522" s="64" t="str">
        <f>IF([1]!BANCO10[[#This Row],[SOLUÇÃO]]=CV$1,[1]!BANCO10[[#This Row],[STATUS DA ETAPA]],"")</f>
        <v/>
      </c>
    </row>
    <row r="523" spans="1:100">
      <c r="A523" s="44" t="s">
        <v>1</v>
      </c>
      <c r="B523" s="44"/>
      <c r="C523" s="44" t="s">
        <v>1</v>
      </c>
      <c r="D523" s="44"/>
      <c r="E523" s="44" t="s">
        <v>1</v>
      </c>
      <c r="F523" s="44"/>
      <c r="G523" s="44" t="s">
        <v>1</v>
      </c>
      <c r="H523" s="44"/>
      <c r="I523" s="45" t="s">
        <v>1</v>
      </c>
      <c r="J523" s="46"/>
      <c r="K523" s="45" t="s">
        <v>1</v>
      </c>
      <c r="L523" s="33"/>
      <c r="M523" s="45" t="s">
        <v>1</v>
      </c>
      <c r="N523" s="33"/>
      <c r="O523" s="44" t="s">
        <v>2</v>
      </c>
      <c r="P523" s="44">
        <v>44963</v>
      </c>
      <c r="Q523" s="44" t="s">
        <v>2</v>
      </c>
      <c r="R523" s="44">
        <v>44966</v>
      </c>
      <c r="S523" s="44" t="s">
        <v>2</v>
      </c>
      <c r="T523" s="44">
        <v>44966</v>
      </c>
      <c r="U523" s="44"/>
      <c r="V523" s="44"/>
      <c r="W523" s="44" t="s">
        <v>2</v>
      </c>
      <c r="X523" s="44"/>
      <c r="Y523" s="44" t="s">
        <v>2</v>
      </c>
      <c r="Z523" s="44">
        <v>45000</v>
      </c>
      <c r="AA523" s="44" t="s">
        <v>2</v>
      </c>
      <c r="AB523" s="44"/>
      <c r="AC523" s="84">
        <v>45042</v>
      </c>
      <c r="AD523" s="83">
        <v>45132</v>
      </c>
      <c r="AE523" s="40" t="s">
        <v>2</v>
      </c>
      <c r="AF523" s="40" t="s">
        <v>2</v>
      </c>
      <c r="AG523" s="40" t="s">
        <v>5</v>
      </c>
      <c r="AH523" s="36" t="s">
        <v>0</v>
      </c>
      <c r="AI523" s="49">
        <v>0</v>
      </c>
      <c r="AJ523" s="36"/>
      <c r="AK523" s="10"/>
      <c r="AL523" s="36" t="s">
        <v>22</v>
      </c>
      <c r="AM523" s="36" t="s">
        <v>1</v>
      </c>
      <c r="AN523" s="35" t="s">
        <v>1</v>
      </c>
      <c r="AO523" s="35" t="s">
        <v>1</v>
      </c>
      <c r="AP523" s="35" t="s">
        <v>2</v>
      </c>
      <c r="AQ523" s="35" t="s">
        <v>1</v>
      </c>
      <c r="AR523" s="34" t="s">
        <v>1</v>
      </c>
      <c r="AS523" s="33"/>
      <c r="AT523" s="30"/>
      <c r="AU523" s="55"/>
      <c r="AV523" s="30"/>
      <c r="AW523" s="55"/>
      <c r="AX523" s="30" t="s">
        <v>2</v>
      </c>
      <c r="AY523" s="55">
        <v>45133</v>
      </c>
      <c r="AZ523" s="30" t="s">
        <v>2</v>
      </c>
      <c r="BA523" s="66"/>
      <c r="BB523" s="39"/>
      <c r="BC523" s="25"/>
      <c r="BD523" s="24" t="s">
        <v>11</v>
      </c>
      <c r="BE523" s="24" t="s">
        <v>11</v>
      </c>
      <c r="BF523" s="79" t="s">
        <v>19</v>
      </c>
      <c r="BG523" s="79" t="s">
        <v>19</v>
      </c>
      <c r="BH523" s="80" t="s">
        <v>19</v>
      </c>
      <c r="BI523" s="79"/>
      <c r="BJ523" s="54" t="s">
        <v>11</v>
      </c>
      <c r="BK523" s="78" t="s">
        <v>11</v>
      </c>
      <c r="BL523" s="69" t="s">
        <v>11</v>
      </c>
      <c r="BM523" s="78" t="s">
        <v>11</v>
      </c>
      <c r="BN523" s="78" t="s">
        <v>11</v>
      </c>
      <c r="BO523" s="78" t="s">
        <v>11</v>
      </c>
      <c r="BP523" s="78" t="s">
        <v>11</v>
      </c>
      <c r="BQ523" s="21">
        <f>YEAR([1]!BANCO10[[#This Row],[DATA INÍCIO]])</f>
        <v>2023</v>
      </c>
      <c r="BR523" s="21">
        <f>MONTH([1]!BANCO10[[#This Row],[DATA INÍCIO]])</f>
        <v>4</v>
      </c>
      <c r="BS523" s="21" t="e">
        <f>CONCATENATE(#REF!,#REF!)</f>
        <v>#REF!</v>
      </c>
      <c r="BT523" s="21"/>
      <c r="BU523" s="21" t="s">
        <v>365</v>
      </c>
      <c r="BV523" s="21" t="str">
        <f>IF([1]!BANCO10[[#This Row],[SOLUÇÃO]]=BV$1,[1]!BANCO10[[#This Row],[STATUS DA ETAPA]],"")</f>
        <v/>
      </c>
      <c r="BW523" s="21" t="str">
        <f>IF([1]!BANCO10[[#This Row],[SOLUÇÃO]]=BW$1,[1]!BANCO10[[#This Row],[STATUS DA ETAPA]],"")</f>
        <v/>
      </c>
      <c r="BX523" s="21" t="str">
        <f>IF([1]!BANCO10[[#This Row],[SOLUÇÃO]]=BX$1,[1]!BANCO10[[#This Row],[STATUS DA ETAPA]],"")</f>
        <v/>
      </c>
      <c r="BY523" s="21" t="str">
        <f>IF([1]!BANCO10[[#This Row],[SOLUÇÃO]]=BY$1,[1]!BANCO10[[#This Row],[STATUS DA ETAPA]],"")</f>
        <v/>
      </c>
      <c r="BZ523" s="21" t="str">
        <f>IF([1]!BANCO10[[#This Row],[SOLUÇÃO]]=BZ$1,[1]!BANCO10[[#This Row],[STATUS DA ETAPA]],"")</f>
        <v/>
      </c>
      <c r="CA523" s="21" t="str">
        <f>IF([1]!BANCO10[[#This Row],[SOLUÇÃO]]=CA$1,[1]!BANCO10[[#This Row],[STATUS DA ETAPA]],"")</f>
        <v>CONCLUÍDO</v>
      </c>
      <c r="CB523" s="21" t="str">
        <f>IF([1]!BANCO10[[#This Row],[SOLUÇÃO]]=CB$1,[1]!BANCO10[[#This Row],[STATUS DA ETAPA]],"")</f>
        <v/>
      </c>
      <c r="CC523" s="21" t="str">
        <f>IF([1]!BANCO10[[#This Row],[SOLUÇÃO]]=CC$1,[1]!BANCO10[[#This Row],[STATUS DA ETAPA]],"")</f>
        <v/>
      </c>
      <c r="CD523" s="21" t="str">
        <f>IF([1]!BANCO10[[#This Row],[SOLUÇÃO]]=CD$1,[1]!BANCO10[[#This Row],[STATUS DA ETAPA]],"")</f>
        <v/>
      </c>
      <c r="CE523" s="21" t="str">
        <f>IF([1]!BANCO10[[#This Row],[SOLUÇÃO]]=CE$1,[1]!BANCO10[[#This Row],[STATUS DA ETAPA]],"")</f>
        <v/>
      </c>
      <c r="CF523" s="21" t="str">
        <f>IF([1]!BANCO10[[#This Row],[SOLUÇÃO]]=CF$1,[1]!BANCO10[[#This Row],[STATUS DA ETAPA]],"")</f>
        <v/>
      </c>
      <c r="CG523" s="21" t="str">
        <f>IF([1]!BANCO10[[#This Row],[SOLUÇÃO]]=CG$1,[1]!BANCO10[[#This Row],[STATUS DA ETAPA]],"")</f>
        <v/>
      </c>
      <c r="CH523" s="21" t="str">
        <f>IF([1]!BANCO10[[#This Row],[SOLUÇÃO]]=CH$1,[1]!BANCO10[[#This Row],[STATUS DA ETAPA]],"")</f>
        <v/>
      </c>
      <c r="CI523" s="21" t="str">
        <f>IF([1]!BANCO10[[#This Row],[SOLUÇÃO]]=CI$1,[1]!BANCO10[[#This Row],[STATUS DA ETAPA]],"")</f>
        <v/>
      </c>
      <c r="CJ523" s="21" t="str">
        <f>IF([1]!BANCO10[[#This Row],[SOLUÇÃO]]=CJ$1,[1]!BANCO10[[#This Row],[STATUS DA ETAPA]],"")</f>
        <v/>
      </c>
      <c r="CK523" s="21" t="str">
        <f>IF([1]!BANCO10[[#This Row],[SOLUÇÃO]]=CK$1,[1]!BANCO10[[#This Row],[STATUS DA ETAPA]],"")</f>
        <v/>
      </c>
      <c r="CL523" s="22" t="str">
        <f>IF([1]!BANCO10[[#This Row],[SOLUÇÃO]]=CL$1,[1]!BANCO10[[#This Row],[STATUS DA ETAPA]],"")</f>
        <v/>
      </c>
      <c r="CM523" s="64" t="str">
        <f>IF([1]!BANCO10[[#This Row],[SOLUÇÃO]]=CM$1,[1]!BANCO10[[#This Row],[STATUS DA ETAPA]],"")</f>
        <v/>
      </c>
      <c r="CN523" s="64" t="str">
        <f>IF([1]!BANCO10[[#This Row],[SOLUÇÃO]]=CN$1,[1]!BANCO10[[#This Row],[STATUS DA ETAPA]],"")</f>
        <v/>
      </c>
      <c r="CO523" s="64" t="str">
        <f>IF([1]!BANCO10[[#This Row],[SOLUÇÃO]]=CO$1,[1]!BANCO10[[#This Row],[STATUS DA ETAPA]],"")</f>
        <v/>
      </c>
      <c r="CP523" s="64" t="str">
        <f>IF([1]!BANCO10[[#This Row],[SOLUÇÃO]]=CP$1,[1]!BANCO10[[#This Row],[STATUS DA ETAPA]],"")</f>
        <v/>
      </c>
      <c r="CQ523" s="64" t="str">
        <f>IF([1]!BANCO10[[#This Row],[SOLUÇÃO]]=CQ$1,[1]!BANCO10[[#This Row],[STATUS DA ETAPA]],"")</f>
        <v/>
      </c>
      <c r="CR523" s="64" t="str">
        <f>IF([1]!BANCO10[[#This Row],[SOLUÇÃO]]=CR$1,[1]!BANCO10[[#This Row],[STATUS DA ETAPA]],"")</f>
        <v/>
      </c>
      <c r="CS523" s="64" t="str">
        <f>IF([1]!BANCO10[[#This Row],[SOLUÇÃO]]=CS$1,[1]!BANCO10[[#This Row],[STATUS DA ETAPA]],"")</f>
        <v/>
      </c>
      <c r="CT523" s="64" t="str">
        <f>IF([1]!BANCO10[[#This Row],[SOLUÇÃO]]=CT$1,[1]!BANCO10[[#This Row],[STATUS DA ETAPA]],"")</f>
        <v/>
      </c>
      <c r="CU523" s="64" t="str">
        <f>IF([1]!BANCO10[[#This Row],[SOLUÇÃO]]=CU$1,[1]!BANCO10[[#This Row],[STATUS DA ETAPA]],"")</f>
        <v/>
      </c>
      <c r="CV523" s="64" t="str">
        <f>IF([1]!BANCO10[[#This Row],[SOLUÇÃO]]=CV$1,[1]!BANCO10[[#This Row],[STATUS DA ETAPA]],"")</f>
        <v/>
      </c>
    </row>
    <row r="524" spans="1:100">
      <c r="A524" s="44" t="s">
        <v>1</v>
      </c>
      <c r="B524" s="44"/>
      <c r="C524" s="44" t="s">
        <v>1</v>
      </c>
      <c r="D524" s="44"/>
      <c r="E524" s="44" t="s">
        <v>1</v>
      </c>
      <c r="F524" s="44"/>
      <c r="G524" s="44" t="s">
        <v>1</v>
      </c>
      <c r="H524" s="44"/>
      <c r="I524" s="45" t="s">
        <v>1</v>
      </c>
      <c r="J524" s="46"/>
      <c r="K524" s="45" t="s">
        <v>1</v>
      </c>
      <c r="L524" s="33"/>
      <c r="M524" s="45" t="s">
        <v>1</v>
      </c>
      <c r="N524" s="33"/>
      <c r="O524" s="44" t="s">
        <v>2</v>
      </c>
      <c r="P524" s="44">
        <v>44963</v>
      </c>
      <c r="Q524" s="44" t="s">
        <v>2</v>
      </c>
      <c r="R524" s="44">
        <v>45378</v>
      </c>
      <c r="S524" s="44" t="s">
        <v>2</v>
      </c>
      <c r="T524" s="44">
        <v>45378</v>
      </c>
      <c r="U524" s="44" t="s">
        <v>2</v>
      </c>
      <c r="V524" s="44">
        <v>45379</v>
      </c>
      <c r="W524" s="44" t="s">
        <v>2</v>
      </c>
      <c r="X524" s="44"/>
      <c r="Y524" s="44" t="s">
        <v>2</v>
      </c>
      <c r="Z524" s="44"/>
      <c r="AA524" s="44" t="s">
        <v>2</v>
      </c>
      <c r="AB524" s="44"/>
      <c r="AC524" s="84">
        <v>45422</v>
      </c>
      <c r="AD524" s="83">
        <v>45629</v>
      </c>
      <c r="AE524" s="40" t="s">
        <v>2</v>
      </c>
      <c r="AF524" s="40" t="s">
        <v>2</v>
      </c>
      <c r="AG524" s="40" t="s">
        <v>4</v>
      </c>
      <c r="AH524" s="36" t="s">
        <v>0</v>
      </c>
      <c r="AI524" s="49">
        <v>0</v>
      </c>
      <c r="AJ524" s="36" t="s">
        <v>6</v>
      </c>
      <c r="AK524" s="10">
        <v>2300</v>
      </c>
      <c r="AL524" s="36" t="s">
        <v>89</v>
      </c>
      <c r="AM524" s="36" t="s">
        <v>30</v>
      </c>
      <c r="AN524" s="35" t="s">
        <v>1</v>
      </c>
      <c r="AO524" s="35" t="s">
        <v>1</v>
      </c>
      <c r="AP524" s="35" t="s">
        <v>2</v>
      </c>
      <c r="AQ524" s="35" t="s">
        <v>1</v>
      </c>
      <c r="AR524" s="33" t="s">
        <v>1</v>
      </c>
      <c r="AS524" s="33"/>
      <c r="AT524" s="28"/>
      <c r="AU524" s="55"/>
      <c r="AV524" s="28"/>
      <c r="AW524" s="55"/>
      <c r="AX524" s="28" t="s">
        <v>2</v>
      </c>
      <c r="AY524" s="55">
        <v>45630</v>
      </c>
      <c r="AZ524" s="30" t="s">
        <v>0</v>
      </c>
      <c r="BA524" s="91"/>
      <c r="BB524" s="39" t="s">
        <v>364</v>
      </c>
      <c r="BC524" s="25" t="s">
        <v>31</v>
      </c>
      <c r="BD524" s="24" t="s">
        <v>11</v>
      </c>
      <c r="BE524" s="24" t="s">
        <v>11</v>
      </c>
      <c r="BF524" s="79" t="s">
        <v>19</v>
      </c>
      <c r="BG524" s="79" t="s">
        <v>19</v>
      </c>
      <c r="BH524" s="80" t="s">
        <v>19</v>
      </c>
      <c r="BI524" s="79"/>
      <c r="BJ524" s="54" t="s">
        <v>19</v>
      </c>
      <c r="BK524" s="78" t="s">
        <v>19</v>
      </c>
      <c r="BL524" s="69">
        <v>45391</v>
      </c>
      <c r="BM524" s="78" t="s">
        <v>18</v>
      </c>
      <c r="BN524" s="78" t="s">
        <v>11</v>
      </c>
      <c r="BO524" s="78"/>
      <c r="BP524" s="78" t="s">
        <v>126</v>
      </c>
      <c r="BQ524" s="21">
        <f>YEAR([1]!BANCO10[[#This Row],[DATA INÍCIO]])</f>
        <v>2024</v>
      </c>
      <c r="BR524" s="21">
        <f>MONTH([1]!BANCO10[[#This Row],[DATA INÍCIO]])</f>
        <v>5</v>
      </c>
      <c r="BS524" s="21" t="e">
        <f>CONCATENATE(#REF!,#REF!)</f>
        <v>#REF!</v>
      </c>
      <c r="BT524" s="21"/>
      <c r="BU524" s="21" t="s">
        <v>363</v>
      </c>
      <c r="BV524" s="21" t="str">
        <f>IF([1]!BANCO10[[#This Row],[SOLUÇÃO]]=BV$1,[1]!BANCO10[[#This Row],[STATUS DA ETAPA]],"")</f>
        <v/>
      </c>
      <c r="BW524" s="21" t="str">
        <f>IF([1]!BANCO10[[#This Row],[SOLUÇÃO]]=BW$1,[1]!BANCO10[[#This Row],[STATUS DA ETAPA]],"")</f>
        <v/>
      </c>
      <c r="BX524" s="21" t="str">
        <f>IF([1]!BANCO10[[#This Row],[SOLUÇÃO]]=BX$1,[1]!BANCO10[[#This Row],[STATUS DA ETAPA]],"")</f>
        <v>CONCLUÍDO</v>
      </c>
      <c r="BY524" s="21" t="str">
        <f>IF([1]!BANCO10[[#This Row],[SOLUÇÃO]]=BY$1,[1]!BANCO10[[#This Row],[STATUS DA ETAPA]],"")</f>
        <v/>
      </c>
      <c r="BZ524" s="21" t="str">
        <f>IF([1]!BANCO10[[#This Row],[SOLUÇÃO]]=BZ$1,[1]!BANCO10[[#This Row],[STATUS DA ETAPA]],"")</f>
        <v/>
      </c>
      <c r="CA524" s="21" t="str">
        <f>IF([1]!BANCO10[[#This Row],[SOLUÇÃO]]=CA$1,[1]!BANCO10[[#This Row],[STATUS DA ETAPA]],"")</f>
        <v/>
      </c>
      <c r="CB524" s="21" t="str">
        <f>IF([1]!BANCO10[[#This Row],[SOLUÇÃO]]=CB$1,[1]!BANCO10[[#This Row],[STATUS DA ETAPA]],"")</f>
        <v/>
      </c>
      <c r="CC524" s="21" t="str">
        <f>IF([1]!BANCO10[[#This Row],[SOLUÇÃO]]=CC$1,[1]!BANCO10[[#This Row],[STATUS DA ETAPA]],"")</f>
        <v/>
      </c>
      <c r="CD524" s="21" t="str">
        <f>IF([1]!BANCO10[[#This Row],[SOLUÇÃO]]=CD$1,[1]!BANCO10[[#This Row],[STATUS DA ETAPA]],"")</f>
        <v/>
      </c>
      <c r="CE524" s="21" t="str">
        <f>IF([1]!BANCO10[[#This Row],[SOLUÇÃO]]=CE$1,[1]!BANCO10[[#This Row],[STATUS DA ETAPA]],"")</f>
        <v/>
      </c>
      <c r="CF524" s="21" t="str">
        <f>IF([1]!BANCO10[[#This Row],[SOLUÇÃO]]=CF$1,[1]!BANCO10[[#This Row],[STATUS DA ETAPA]],"")</f>
        <v/>
      </c>
      <c r="CG524" s="21" t="str">
        <f>IF([1]!BANCO10[[#This Row],[SOLUÇÃO]]=CG$1,[1]!BANCO10[[#This Row],[STATUS DA ETAPA]],"")</f>
        <v/>
      </c>
      <c r="CH524" s="21" t="str">
        <f>IF([1]!BANCO10[[#This Row],[SOLUÇÃO]]=CH$1,[1]!BANCO10[[#This Row],[STATUS DA ETAPA]],"")</f>
        <v/>
      </c>
      <c r="CI524" s="21" t="str">
        <f>IF([1]!BANCO10[[#This Row],[SOLUÇÃO]]=CI$1,[1]!BANCO10[[#This Row],[STATUS DA ETAPA]],"")</f>
        <v/>
      </c>
      <c r="CJ524" s="21" t="str">
        <f>IF([1]!BANCO10[[#This Row],[SOLUÇÃO]]=CJ$1,[1]!BANCO10[[#This Row],[STATUS DA ETAPA]],"")</f>
        <v/>
      </c>
      <c r="CK524" s="21" t="str">
        <f>IF([1]!BANCO10[[#This Row],[SOLUÇÃO]]=CK$1,[1]!BANCO10[[#This Row],[STATUS DA ETAPA]],"")</f>
        <v/>
      </c>
      <c r="CL524" s="22" t="str">
        <f>IF([1]!BANCO10[[#This Row],[SOLUÇÃO]]=CL$1,[1]!BANCO10[[#This Row],[STATUS DA ETAPA]],"")</f>
        <v/>
      </c>
      <c r="CM524" s="64" t="str">
        <f>IF([1]!BANCO10[[#This Row],[SOLUÇÃO]]=CM$1,[1]!BANCO10[[#This Row],[STATUS DA ETAPA]],"")</f>
        <v/>
      </c>
      <c r="CN524" s="64" t="str">
        <f>IF([1]!BANCO10[[#This Row],[SOLUÇÃO]]=CN$1,[1]!BANCO10[[#This Row],[STATUS DA ETAPA]],"")</f>
        <v/>
      </c>
      <c r="CO524" s="64" t="str">
        <f>IF([1]!BANCO10[[#This Row],[SOLUÇÃO]]=CO$1,[1]!BANCO10[[#This Row],[STATUS DA ETAPA]],"")</f>
        <v/>
      </c>
      <c r="CP524" s="64" t="str">
        <f>IF([1]!BANCO10[[#This Row],[SOLUÇÃO]]=CP$1,[1]!BANCO10[[#This Row],[STATUS DA ETAPA]],"")</f>
        <v/>
      </c>
      <c r="CQ524" s="64" t="str">
        <f>IF([1]!BANCO10[[#This Row],[SOLUÇÃO]]=CQ$1,[1]!BANCO10[[#This Row],[STATUS DA ETAPA]],"")</f>
        <v/>
      </c>
      <c r="CR524" s="64" t="str">
        <f>IF([1]!BANCO10[[#This Row],[SOLUÇÃO]]=CR$1,[1]!BANCO10[[#This Row],[STATUS DA ETAPA]],"")</f>
        <v/>
      </c>
      <c r="CS524" s="64" t="str">
        <f>IF([1]!BANCO10[[#This Row],[SOLUÇÃO]]=CS$1,[1]!BANCO10[[#This Row],[STATUS DA ETAPA]],"")</f>
        <v/>
      </c>
      <c r="CT524" s="64" t="str">
        <f>IF([1]!BANCO10[[#This Row],[SOLUÇÃO]]=CT$1,[1]!BANCO10[[#This Row],[STATUS DA ETAPA]],"")</f>
        <v/>
      </c>
      <c r="CU524" s="64" t="str">
        <f>IF([1]!BANCO10[[#This Row],[SOLUÇÃO]]=CU$1,[1]!BANCO10[[#This Row],[STATUS DA ETAPA]],"")</f>
        <v/>
      </c>
      <c r="CV524" s="64" t="str">
        <f>IF([1]!BANCO10[[#This Row],[SOLUÇÃO]]=CV$1,[1]!BANCO10[[#This Row],[STATUS DA ETAPA]],"")</f>
        <v/>
      </c>
    </row>
    <row r="525" spans="1:100">
      <c r="A525" s="44" t="s">
        <v>1</v>
      </c>
      <c r="B525" s="44"/>
      <c r="C525" s="44" t="s">
        <v>1</v>
      </c>
      <c r="D525" s="44"/>
      <c r="E525" s="44" t="s">
        <v>1</v>
      </c>
      <c r="F525" s="44"/>
      <c r="G525" s="44" t="s">
        <v>1</v>
      </c>
      <c r="H525" s="44"/>
      <c r="I525" s="45" t="s">
        <v>1</v>
      </c>
      <c r="J525" s="46"/>
      <c r="K525" s="45" t="s">
        <v>1</v>
      </c>
      <c r="L525" s="33"/>
      <c r="M525" s="45" t="s">
        <v>1</v>
      </c>
      <c r="N525" s="33"/>
      <c r="O525" s="44" t="s">
        <v>1</v>
      </c>
      <c r="P525" s="44"/>
      <c r="Q525" s="44" t="s">
        <v>1</v>
      </c>
      <c r="R525" s="44"/>
      <c r="S525" s="44" t="s">
        <v>1</v>
      </c>
      <c r="T525" s="44"/>
      <c r="U525" s="44" t="s">
        <v>1</v>
      </c>
      <c r="V525" s="44"/>
      <c r="W525" s="44" t="s">
        <v>1</v>
      </c>
      <c r="X525" s="44"/>
      <c r="Y525" s="44" t="s">
        <v>1</v>
      </c>
      <c r="Z525" s="44"/>
      <c r="AA525" s="44" t="s">
        <v>1</v>
      </c>
      <c r="AB525" s="44"/>
      <c r="AC525" s="84">
        <v>45552</v>
      </c>
      <c r="AD525" s="83">
        <v>45552</v>
      </c>
      <c r="AE525" s="41" t="s">
        <v>1</v>
      </c>
      <c r="AF525" s="41" t="s">
        <v>1</v>
      </c>
      <c r="AG525" s="40" t="s">
        <v>5</v>
      </c>
      <c r="AH525" s="36" t="s">
        <v>1</v>
      </c>
      <c r="AI525" s="49">
        <v>0</v>
      </c>
      <c r="AJ525" s="36" t="s">
        <v>1</v>
      </c>
      <c r="AK525" s="10" t="s">
        <v>1</v>
      </c>
      <c r="AL525" s="36" t="s">
        <v>1</v>
      </c>
      <c r="AM525" s="36" t="s">
        <v>1</v>
      </c>
      <c r="AN525" s="35" t="s">
        <v>1</v>
      </c>
      <c r="AO525" s="35" t="s">
        <v>1</v>
      </c>
      <c r="AP525" s="35" t="s">
        <v>1</v>
      </c>
      <c r="AQ525" s="35" t="s">
        <v>1</v>
      </c>
      <c r="AR525" s="34" t="s">
        <v>1</v>
      </c>
      <c r="AS525" s="33"/>
      <c r="AT525" s="32" t="s">
        <v>1</v>
      </c>
      <c r="AU525" s="31"/>
      <c r="AV525" s="32" t="s">
        <v>1</v>
      </c>
      <c r="AW525" s="31"/>
      <c r="AX525" s="30" t="s">
        <v>0</v>
      </c>
      <c r="AY525" s="29"/>
      <c r="AZ525" s="28" t="s">
        <v>0</v>
      </c>
      <c r="BA525" s="27"/>
      <c r="BB525" s="39" t="s">
        <v>362</v>
      </c>
      <c r="BC525" s="25"/>
      <c r="BD525" s="24"/>
      <c r="BE525" s="24"/>
      <c r="BF525" s="79"/>
      <c r="BG525" s="79"/>
      <c r="BH525" s="80"/>
      <c r="BI525" s="79"/>
      <c r="BJ525" s="54"/>
      <c r="BK525" s="78"/>
      <c r="BL525" s="69"/>
      <c r="BM525" s="78"/>
      <c r="BN525" s="78"/>
      <c r="BO525" s="78"/>
      <c r="BP525" s="78"/>
      <c r="BQ525" s="21">
        <f>YEAR([1]!BANCO10[[#This Row],[DATA INÍCIO]])</f>
        <v>2024</v>
      </c>
      <c r="BR525" s="21">
        <f>MONTH([1]!BANCO10[[#This Row],[DATA INÍCIO]])</f>
        <v>9</v>
      </c>
      <c r="BS525" s="21" t="e">
        <f>CONCATENATE(#REF!,#REF!)</f>
        <v>#REF!</v>
      </c>
      <c r="BT525" s="21"/>
      <c r="BU525" s="21"/>
      <c r="BV525" s="21" t="str">
        <f>IF([1]!BANCO10[[#This Row],[SOLUÇÃO]]=BV$1,[1]!BANCO10[[#This Row],[STATUS DA ETAPA]],"")</f>
        <v>CONCLUÍDO</v>
      </c>
      <c r="BW525" s="21" t="str">
        <f>IF([1]!BANCO10[[#This Row],[SOLUÇÃO]]=BW$1,[1]!BANCO10[[#This Row],[STATUS DA ETAPA]],"")</f>
        <v/>
      </c>
      <c r="BX525" s="21" t="str">
        <f>IF([1]!BANCO10[[#This Row],[SOLUÇÃO]]=BX$1,[1]!BANCO10[[#This Row],[STATUS DA ETAPA]],"")</f>
        <v/>
      </c>
      <c r="BY525" s="21" t="str">
        <f>IF([1]!BANCO10[[#This Row],[SOLUÇÃO]]=BY$1,[1]!BANCO10[[#This Row],[STATUS DA ETAPA]],"")</f>
        <v/>
      </c>
      <c r="BZ525" s="21" t="str">
        <f>IF([1]!BANCO10[[#This Row],[SOLUÇÃO]]=BZ$1,[1]!BANCO10[[#This Row],[STATUS DA ETAPA]],"")</f>
        <v/>
      </c>
      <c r="CA525" s="21" t="str">
        <f>IF([1]!BANCO10[[#This Row],[SOLUÇÃO]]=CA$1,[1]!BANCO10[[#This Row],[STATUS DA ETAPA]],"")</f>
        <v/>
      </c>
      <c r="CB525" s="21" t="str">
        <f>IF([1]!BANCO10[[#This Row],[SOLUÇÃO]]=CB$1,[1]!BANCO10[[#This Row],[STATUS DA ETAPA]],"")</f>
        <v/>
      </c>
      <c r="CC525" s="21" t="str">
        <f>IF([1]!BANCO10[[#This Row],[SOLUÇÃO]]=CC$1,[1]!BANCO10[[#This Row],[STATUS DA ETAPA]],"")</f>
        <v/>
      </c>
      <c r="CD525" s="21" t="str">
        <f>IF([1]!BANCO10[[#This Row],[SOLUÇÃO]]=CD$1,[1]!BANCO10[[#This Row],[STATUS DA ETAPA]],"")</f>
        <v/>
      </c>
      <c r="CE525" s="21" t="str">
        <f>IF([1]!BANCO10[[#This Row],[SOLUÇÃO]]=CE$1,[1]!BANCO10[[#This Row],[STATUS DA ETAPA]],"")</f>
        <v/>
      </c>
      <c r="CF525" s="21" t="str">
        <f>IF([1]!BANCO10[[#This Row],[SOLUÇÃO]]=CF$1,[1]!BANCO10[[#This Row],[STATUS DA ETAPA]],"")</f>
        <v/>
      </c>
      <c r="CG525" s="21" t="str">
        <f>IF([1]!BANCO10[[#This Row],[SOLUÇÃO]]=CG$1,[1]!BANCO10[[#This Row],[STATUS DA ETAPA]],"")</f>
        <v/>
      </c>
      <c r="CH525" s="21" t="str">
        <f>IF([1]!BANCO10[[#This Row],[SOLUÇÃO]]=CH$1,[1]!BANCO10[[#This Row],[STATUS DA ETAPA]],"")</f>
        <v/>
      </c>
      <c r="CI525" s="21" t="str">
        <f>IF([1]!BANCO10[[#This Row],[SOLUÇÃO]]=CI$1,[1]!BANCO10[[#This Row],[STATUS DA ETAPA]],"")</f>
        <v/>
      </c>
      <c r="CJ525" s="21" t="str">
        <f>IF([1]!BANCO10[[#This Row],[SOLUÇÃO]]=CJ$1,[1]!BANCO10[[#This Row],[STATUS DA ETAPA]],"")</f>
        <v/>
      </c>
      <c r="CK525" s="21" t="str">
        <f>IF([1]!BANCO10[[#This Row],[SOLUÇÃO]]=CK$1,[1]!BANCO10[[#This Row],[STATUS DA ETAPA]],"")</f>
        <v/>
      </c>
      <c r="CL525" s="22" t="str">
        <f>IF([1]!BANCO10[[#This Row],[SOLUÇÃO]]=CL$1,[1]!BANCO10[[#This Row],[STATUS DA ETAPA]],"")</f>
        <v/>
      </c>
      <c r="CM525" s="64" t="str">
        <f>IF([1]!BANCO10[[#This Row],[SOLUÇÃO]]=CM$1,[1]!BANCO10[[#This Row],[STATUS DA ETAPA]],"")</f>
        <v/>
      </c>
      <c r="CN525" s="64" t="str">
        <f>IF([1]!BANCO10[[#This Row],[SOLUÇÃO]]=CN$1,[1]!BANCO10[[#This Row],[STATUS DA ETAPA]],"")</f>
        <v/>
      </c>
      <c r="CO525" s="64" t="str">
        <f>IF([1]!BANCO10[[#This Row],[SOLUÇÃO]]=CO$1,[1]!BANCO10[[#This Row],[STATUS DA ETAPA]],"")</f>
        <v/>
      </c>
      <c r="CP525" s="64" t="str">
        <f>IF([1]!BANCO10[[#This Row],[SOLUÇÃO]]=CP$1,[1]!BANCO10[[#This Row],[STATUS DA ETAPA]],"")</f>
        <v/>
      </c>
      <c r="CQ525" s="64" t="str">
        <f>IF([1]!BANCO10[[#This Row],[SOLUÇÃO]]=CQ$1,[1]!BANCO10[[#This Row],[STATUS DA ETAPA]],"")</f>
        <v/>
      </c>
      <c r="CR525" s="64" t="str">
        <f>IF([1]!BANCO10[[#This Row],[SOLUÇÃO]]=CR$1,[1]!BANCO10[[#This Row],[STATUS DA ETAPA]],"")</f>
        <v/>
      </c>
      <c r="CS525" s="64" t="str">
        <f>IF([1]!BANCO10[[#This Row],[SOLUÇÃO]]=CS$1,[1]!BANCO10[[#This Row],[STATUS DA ETAPA]],"")</f>
        <v/>
      </c>
      <c r="CT525" s="64" t="str">
        <f>IF([1]!BANCO10[[#This Row],[SOLUÇÃO]]=CT$1,[1]!BANCO10[[#This Row],[STATUS DA ETAPA]],"")</f>
        <v/>
      </c>
      <c r="CU525" s="64" t="str">
        <f>IF([1]!BANCO10[[#This Row],[SOLUÇÃO]]=CU$1,[1]!BANCO10[[#This Row],[STATUS DA ETAPA]],"")</f>
        <v/>
      </c>
      <c r="CV525" s="64" t="str">
        <f>IF([1]!BANCO10[[#This Row],[SOLUÇÃO]]=CV$1,[1]!BANCO10[[#This Row],[STATUS DA ETAPA]],"")</f>
        <v/>
      </c>
    </row>
    <row r="526" spans="1:100">
      <c r="A526" s="44" t="s">
        <v>1</v>
      </c>
      <c r="B526" s="44"/>
      <c r="C526" s="44" t="s">
        <v>1</v>
      </c>
      <c r="D526" s="44"/>
      <c r="E526" s="44" t="s">
        <v>1</v>
      </c>
      <c r="F526" s="44"/>
      <c r="G526" s="44" t="s">
        <v>1</v>
      </c>
      <c r="H526" s="44"/>
      <c r="I526" s="45" t="s">
        <v>1</v>
      </c>
      <c r="J526" s="46"/>
      <c r="K526" s="45" t="s">
        <v>1</v>
      </c>
      <c r="L526" s="33"/>
      <c r="M526" s="45" t="s">
        <v>1</v>
      </c>
      <c r="N526" s="33"/>
      <c r="O526" s="44" t="s">
        <v>2</v>
      </c>
      <c r="P526" s="44">
        <v>45531</v>
      </c>
      <c r="Q526" s="44" t="s">
        <v>2</v>
      </c>
      <c r="R526" s="44">
        <v>45536</v>
      </c>
      <c r="S526" s="44" t="s">
        <v>2</v>
      </c>
      <c r="T526" s="44">
        <v>45607</v>
      </c>
      <c r="U526" s="44" t="s">
        <v>1</v>
      </c>
      <c r="V526" s="44"/>
      <c r="W526" s="44" t="s">
        <v>1</v>
      </c>
      <c r="X526" s="44"/>
      <c r="Y526" s="44" t="s">
        <v>1</v>
      </c>
      <c r="Z526" s="44"/>
      <c r="AA526" s="44" t="s">
        <v>1</v>
      </c>
      <c r="AB526" s="44"/>
      <c r="AC526" s="51">
        <v>45665</v>
      </c>
      <c r="AD526" s="50">
        <v>45771</v>
      </c>
      <c r="AE526" s="41" t="s">
        <v>2</v>
      </c>
      <c r="AF526" s="41" t="s">
        <v>2</v>
      </c>
      <c r="AG526" s="40" t="s">
        <v>5</v>
      </c>
      <c r="AH526" s="36" t="s">
        <v>0</v>
      </c>
      <c r="AI526" s="49">
        <v>0</v>
      </c>
      <c r="AJ526" s="36" t="s">
        <v>6</v>
      </c>
      <c r="AK526" s="10">
        <v>574645</v>
      </c>
      <c r="AL526" s="36" t="s">
        <v>1</v>
      </c>
      <c r="AM526" s="36" t="s">
        <v>1</v>
      </c>
      <c r="AN526" s="35" t="s">
        <v>2</v>
      </c>
      <c r="AO526" s="35" t="s">
        <v>2</v>
      </c>
      <c r="AP526" s="35" t="s">
        <v>2</v>
      </c>
      <c r="AQ526" s="35" t="s">
        <v>2</v>
      </c>
      <c r="AR526" s="34" t="s">
        <v>2</v>
      </c>
      <c r="AS526" s="33">
        <v>45786</v>
      </c>
      <c r="AT526" s="32" t="s">
        <v>1</v>
      </c>
      <c r="AU526" s="31"/>
      <c r="AV526" s="32" t="s">
        <v>1</v>
      </c>
      <c r="AW526" s="31"/>
      <c r="AX526" s="30" t="s">
        <v>2</v>
      </c>
      <c r="AY526" s="29">
        <v>45786</v>
      </c>
      <c r="AZ526" s="28" t="s">
        <v>0</v>
      </c>
      <c r="BA526" s="27"/>
      <c r="BB526" s="95" t="s">
        <v>143</v>
      </c>
      <c r="BC526" s="25" t="s">
        <v>41</v>
      </c>
      <c r="BD526" s="24"/>
      <c r="BE526" s="24"/>
      <c r="BF526" s="79"/>
      <c r="BG526" s="79"/>
      <c r="BH526" s="80"/>
      <c r="BI526" s="79"/>
      <c r="BJ526" s="54"/>
      <c r="BK526" s="78"/>
      <c r="BL526" s="69"/>
      <c r="BM526" s="78"/>
      <c r="BN526" s="78"/>
      <c r="BO526" s="78"/>
      <c r="BP526" s="78"/>
      <c r="BQ526" s="21">
        <f>YEAR([1]!BANCO10[[#This Row],[DATA INÍCIO]])</f>
        <v>2025</v>
      </c>
      <c r="BR526" s="21">
        <f>MONTH([1]!BANCO10[[#This Row],[DATA INÍCIO]])</f>
        <v>1</v>
      </c>
      <c r="BS526" s="21" t="e">
        <f>CONCATENATE(#REF!,#REF!)</f>
        <v>#REF!</v>
      </c>
      <c r="BT526" s="21"/>
      <c r="BU526" s="21"/>
      <c r="BV526" s="21" t="str">
        <f>IF([1]!BANCO10[[#This Row],[SOLUÇÃO]]=BV$1,[1]!BANCO10[[#This Row],[STATUS DA ETAPA]],"")</f>
        <v/>
      </c>
      <c r="BW526" s="21" t="str">
        <f>IF([1]!BANCO10[[#This Row],[SOLUÇÃO]]=BW$1,[1]!BANCO10[[#This Row],[STATUS DA ETAPA]],"")</f>
        <v/>
      </c>
      <c r="BX526" s="21" t="str">
        <f>IF([1]!BANCO10[[#This Row],[SOLUÇÃO]]=BX$1,[1]!BANCO10[[#This Row],[STATUS DA ETAPA]],"")</f>
        <v/>
      </c>
      <c r="BY526" s="21" t="str">
        <f>IF([1]!BANCO10[[#This Row],[SOLUÇÃO]]=BY$1,[1]!BANCO10[[#This Row],[STATUS DA ETAPA]],"")</f>
        <v/>
      </c>
      <c r="BZ526" s="21" t="str">
        <f>IF([1]!BANCO10[[#This Row],[SOLUÇÃO]]=BZ$1,[1]!BANCO10[[#This Row],[STATUS DA ETAPA]],"")</f>
        <v/>
      </c>
      <c r="CA526" s="21" t="str">
        <f>IF([1]!BANCO10[[#This Row],[SOLUÇÃO]]=CA$1,[1]!BANCO10[[#This Row],[STATUS DA ETAPA]],"")</f>
        <v/>
      </c>
      <c r="CB526" s="21" t="str">
        <f>IF([1]!BANCO10[[#This Row],[SOLUÇÃO]]=CB$1,[1]!BANCO10[[#This Row],[STATUS DA ETAPA]],"")</f>
        <v>CONCLUÍDO</v>
      </c>
      <c r="CC526" s="21" t="str">
        <f>IF([1]!BANCO10[[#This Row],[SOLUÇÃO]]=CC$1,[1]!BANCO10[[#This Row],[STATUS DA ETAPA]],"")</f>
        <v/>
      </c>
      <c r="CD526" s="21" t="str">
        <f>IF([1]!BANCO10[[#This Row],[SOLUÇÃO]]=CD$1,[1]!BANCO10[[#This Row],[STATUS DA ETAPA]],"")</f>
        <v/>
      </c>
      <c r="CE526" s="21" t="str">
        <f>IF([1]!BANCO10[[#This Row],[SOLUÇÃO]]=CE$1,[1]!BANCO10[[#This Row],[STATUS DA ETAPA]],"")</f>
        <v/>
      </c>
      <c r="CF526" s="21" t="str">
        <f>IF([1]!BANCO10[[#This Row],[SOLUÇÃO]]=CF$1,[1]!BANCO10[[#This Row],[STATUS DA ETAPA]],"")</f>
        <v/>
      </c>
      <c r="CG526" s="21" t="str">
        <f>IF([1]!BANCO10[[#This Row],[SOLUÇÃO]]=CG$1,[1]!BANCO10[[#This Row],[STATUS DA ETAPA]],"")</f>
        <v/>
      </c>
      <c r="CH526" s="21" t="str">
        <f>IF([1]!BANCO10[[#This Row],[SOLUÇÃO]]=CH$1,[1]!BANCO10[[#This Row],[STATUS DA ETAPA]],"")</f>
        <v/>
      </c>
      <c r="CI526" s="21" t="str">
        <f>IF([1]!BANCO10[[#This Row],[SOLUÇÃO]]=CI$1,[1]!BANCO10[[#This Row],[STATUS DA ETAPA]],"")</f>
        <v/>
      </c>
      <c r="CJ526" s="21" t="str">
        <f>IF([1]!BANCO10[[#This Row],[SOLUÇÃO]]=CJ$1,[1]!BANCO10[[#This Row],[STATUS DA ETAPA]],"")</f>
        <v/>
      </c>
      <c r="CK526" s="21" t="str">
        <f>IF([1]!BANCO10[[#This Row],[SOLUÇÃO]]=CK$1,[1]!BANCO10[[#This Row],[STATUS DA ETAPA]],"")</f>
        <v/>
      </c>
      <c r="CL526" s="22" t="str">
        <f>IF([1]!BANCO10[[#This Row],[SOLUÇÃO]]=CL$1,[1]!BANCO10[[#This Row],[STATUS DA ETAPA]],"")</f>
        <v/>
      </c>
      <c r="CM526" s="64" t="str">
        <f>IF([1]!BANCO10[[#This Row],[SOLUÇÃO]]=CM$1,[1]!BANCO10[[#This Row],[STATUS DA ETAPA]],"")</f>
        <v/>
      </c>
      <c r="CN526" s="64" t="str">
        <f>IF([1]!BANCO10[[#This Row],[SOLUÇÃO]]=CN$1,[1]!BANCO10[[#This Row],[STATUS DA ETAPA]],"")</f>
        <v/>
      </c>
      <c r="CO526" s="64" t="str">
        <f>IF([1]!BANCO10[[#This Row],[SOLUÇÃO]]=CO$1,[1]!BANCO10[[#This Row],[STATUS DA ETAPA]],"")</f>
        <v/>
      </c>
      <c r="CP526" s="64" t="str">
        <f>IF([1]!BANCO10[[#This Row],[SOLUÇÃO]]=CP$1,[1]!BANCO10[[#This Row],[STATUS DA ETAPA]],"")</f>
        <v/>
      </c>
      <c r="CQ526" s="64" t="str">
        <f>IF([1]!BANCO10[[#This Row],[SOLUÇÃO]]=CQ$1,[1]!BANCO10[[#This Row],[STATUS DA ETAPA]],"")</f>
        <v/>
      </c>
      <c r="CR526" s="64" t="str">
        <f>IF([1]!BANCO10[[#This Row],[SOLUÇÃO]]=CR$1,[1]!BANCO10[[#This Row],[STATUS DA ETAPA]],"")</f>
        <v/>
      </c>
      <c r="CS526" s="64" t="str">
        <f>IF([1]!BANCO10[[#This Row],[SOLUÇÃO]]=CS$1,[1]!BANCO10[[#This Row],[STATUS DA ETAPA]],"")</f>
        <v/>
      </c>
      <c r="CT526" s="64" t="str">
        <f>IF([1]!BANCO10[[#This Row],[SOLUÇÃO]]=CT$1,[1]!BANCO10[[#This Row],[STATUS DA ETAPA]],"")</f>
        <v/>
      </c>
      <c r="CU526" s="64" t="str">
        <f>IF([1]!BANCO10[[#This Row],[SOLUÇÃO]]=CU$1,[1]!BANCO10[[#This Row],[STATUS DA ETAPA]],"")</f>
        <v/>
      </c>
      <c r="CV526" s="64" t="str">
        <f>IF([1]!BANCO10[[#This Row],[SOLUÇÃO]]=CV$1,[1]!BANCO10[[#This Row],[STATUS DA ETAPA]],"")</f>
        <v/>
      </c>
    </row>
    <row r="527" spans="1:100">
      <c r="A527" s="44" t="s">
        <v>1</v>
      </c>
      <c r="B527" s="44"/>
      <c r="C527" s="44" t="s">
        <v>1</v>
      </c>
      <c r="D527" s="44"/>
      <c r="E527" s="44" t="s">
        <v>1</v>
      </c>
      <c r="F527" s="44"/>
      <c r="G527" s="44" t="s">
        <v>1</v>
      </c>
      <c r="H527" s="44"/>
      <c r="I527" s="45" t="s">
        <v>1</v>
      </c>
      <c r="J527" s="46"/>
      <c r="K527" s="45" t="s">
        <v>1</v>
      </c>
      <c r="L527" s="33"/>
      <c r="M527" s="45" t="s">
        <v>1</v>
      </c>
      <c r="N527" s="33"/>
      <c r="O527" s="44" t="s">
        <v>1</v>
      </c>
      <c r="P527" s="44"/>
      <c r="Q527" s="44" t="s">
        <v>1</v>
      </c>
      <c r="R527" s="44"/>
      <c r="S527" s="44" t="s">
        <v>1</v>
      </c>
      <c r="T527" s="44"/>
      <c r="U527" s="44" t="s">
        <v>1</v>
      </c>
      <c r="V527" s="44"/>
      <c r="W527" s="44" t="s">
        <v>1</v>
      </c>
      <c r="X527" s="44"/>
      <c r="Y527" s="44" t="s">
        <v>1</v>
      </c>
      <c r="Z527" s="44"/>
      <c r="AA527" s="44" t="s">
        <v>1</v>
      </c>
      <c r="AB527" s="44"/>
      <c r="AC527" s="51">
        <v>45807</v>
      </c>
      <c r="AD527" s="50">
        <v>45807</v>
      </c>
      <c r="AE527" s="41" t="s">
        <v>1</v>
      </c>
      <c r="AF527" s="41" t="s">
        <v>1</v>
      </c>
      <c r="AG527" s="40" t="s">
        <v>4</v>
      </c>
      <c r="AH527" s="36" t="s">
        <v>0</v>
      </c>
      <c r="AI527" s="49">
        <v>0</v>
      </c>
      <c r="AJ527" s="36" t="s">
        <v>1</v>
      </c>
      <c r="AK527" s="10" t="s">
        <v>1</v>
      </c>
      <c r="AL527" s="36" t="s">
        <v>1</v>
      </c>
      <c r="AM527" s="36" t="s">
        <v>1</v>
      </c>
      <c r="AN527" s="35" t="s">
        <v>1</v>
      </c>
      <c r="AO527" s="35" t="s">
        <v>1</v>
      </c>
      <c r="AP527" s="35" t="s">
        <v>1</v>
      </c>
      <c r="AQ527" s="35" t="s">
        <v>2</v>
      </c>
      <c r="AR527" s="34" t="s">
        <v>0</v>
      </c>
      <c r="AS527" s="33"/>
      <c r="AT527" s="30" t="s">
        <v>0</v>
      </c>
      <c r="AU527" s="31"/>
      <c r="AV527" s="30" t="s">
        <v>0</v>
      </c>
      <c r="AW527" s="31"/>
      <c r="AX527" s="30" t="s">
        <v>0</v>
      </c>
      <c r="AY527" s="29"/>
      <c r="AZ527" s="28" t="s">
        <v>0</v>
      </c>
      <c r="BA527" s="27"/>
      <c r="BB527" s="26"/>
      <c r="BC527" s="25"/>
      <c r="BD527" s="24"/>
      <c r="BE527" s="24"/>
      <c r="BF527" s="24"/>
      <c r="BG527" s="24"/>
      <c r="BH527" s="24"/>
      <c r="BI527" s="24"/>
      <c r="BJ527" s="24"/>
      <c r="BK527" s="24"/>
      <c r="BL527" s="24"/>
      <c r="BM527" s="24"/>
      <c r="BN527" s="24"/>
      <c r="BO527" s="24"/>
      <c r="BP527" s="24"/>
      <c r="BQ527" s="22">
        <f>YEAR([1]!BANCO10[[#This Row],[DATA INÍCIO]])</f>
        <v>2025</v>
      </c>
      <c r="BR527" s="22">
        <f>MONTH([1]!BANCO10[[#This Row],[DATA INÍCIO]])</f>
        <v>5</v>
      </c>
      <c r="BS527" s="23" t="e">
        <f>CONCATENATE(#REF!,#REF!)</f>
        <v>#REF!</v>
      </c>
      <c r="BT527" s="22"/>
      <c r="BU527" s="22"/>
      <c r="BV527" s="21" t="str">
        <f>IF([1]!BANCO10[[#This Row],[SOLUÇÃO]]=BV$1,[1]!BANCO10[[#This Row],[STATUS DA ETAPA]],"")</f>
        <v/>
      </c>
      <c r="BW527" s="21" t="str">
        <f>IF([1]!BANCO10[[#This Row],[SOLUÇÃO]]=BW$1,[1]!BANCO10[[#This Row],[STATUS DA ETAPA]],"")</f>
        <v/>
      </c>
      <c r="BX527" s="21" t="str">
        <f>IF([1]!BANCO10[[#This Row],[SOLUÇÃO]]=BX$1,[1]!BANCO10[[#This Row],[STATUS DA ETAPA]],"")</f>
        <v/>
      </c>
      <c r="BY527" s="21" t="str">
        <f>IF([1]!BANCO10[[#This Row],[SOLUÇÃO]]=BY$1,[1]!BANCO10[[#This Row],[STATUS DA ETAPA]],"")</f>
        <v/>
      </c>
      <c r="BZ527" s="21" t="str">
        <f>IF([1]!BANCO10[[#This Row],[SOLUÇÃO]]=BZ$1,[1]!BANCO10[[#This Row],[STATUS DA ETAPA]],"")</f>
        <v/>
      </c>
      <c r="CA527" s="21" t="str">
        <f>IF([1]!BANCO10[[#This Row],[SOLUÇÃO]]=CA$1,[1]!BANCO10[[#This Row],[STATUS DA ETAPA]],"")</f>
        <v/>
      </c>
      <c r="CB527" s="21" t="str">
        <f>IF([1]!BANCO10[[#This Row],[SOLUÇÃO]]=CB$1,[1]!BANCO10[[#This Row],[STATUS DA ETAPA]],"")</f>
        <v/>
      </c>
      <c r="CC527" s="21" t="str">
        <f>IF([1]!BANCO10[[#This Row],[SOLUÇÃO]]=CC$1,[1]!BANCO10[[#This Row],[STATUS DA ETAPA]],"")</f>
        <v/>
      </c>
      <c r="CD527" s="21" t="str">
        <f>IF([1]!BANCO10[[#This Row],[SOLUÇÃO]]=CD$1,[1]!BANCO10[[#This Row],[STATUS DA ETAPA]],"")</f>
        <v/>
      </c>
      <c r="CE527" s="21" t="str">
        <f>IF([1]!BANCO10[[#This Row],[SOLUÇÃO]]=CE$1,[1]!BANCO10[[#This Row],[STATUS DA ETAPA]],"")</f>
        <v/>
      </c>
      <c r="CF527" s="21" t="str">
        <f>IF([1]!BANCO10[[#This Row],[SOLUÇÃO]]=CF$1,[1]!BANCO10[[#This Row],[STATUS DA ETAPA]],"")</f>
        <v/>
      </c>
      <c r="CG527" s="21" t="str">
        <f>IF([1]!BANCO10[[#This Row],[SOLUÇÃO]]=CG$1,[1]!BANCO10[[#This Row],[STATUS DA ETAPA]],"")</f>
        <v/>
      </c>
      <c r="CH527" s="21" t="str">
        <f>IF([1]!BANCO10[[#This Row],[SOLUÇÃO]]=CH$1,[1]!BANCO10[[#This Row],[STATUS DA ETAPA]],"")</f>
        <v/>
      </c>
      <c r="CI527" s="21" t="str">
        <f>IF([1]!BANCO10[[#This Row],[SOLUÇÃO]]=CI$1,[1]!BANCO10[[#This Row],[STATUS DA ETAPA]],"")</f>
        <v/>
      </c>
      <c r="CJ527" s="21" t="str">
        <f>IF([1]!BANCO10[[#This Row],[SOLUÇÃO]]=CJ$1,[1]!BANCO10[[#This Row],[STATUS DA ETAPA]],"")</f>
        <v/>
      </c>
      <c r="CK527" s="21" t="str">
        <f>IF([1]!BANCO10[[#This Row],[SOLUÇÃO]]=CK$1,[1]!BANCO10[[#This Row],[STATUS DA ETAPA]],"")</f>
        <v/>
      </c>
      <c r="CL527" s="21" t="str">
        <f>IF([1]!BANCO10[[#This Row],[SOLUÇÃO]]=CL$1,[1]!BANCO10[[#This Row],[STATUS DA ETAPA]],"")</f>
        <v/>
      </c>
      <c r="CM527" s="21" t="str">
        <f>IF([1]!BANCO10[[#This Row],[SOLUÇÃO]]=CM$1,[1]!BANCO10[[#This Row],[STATUS DA ETAPA]],"")</f>
        <v/>
      </c>
      <c r="CN527" s="21" t="str">
        <f>IF([1]!BANCO10[[#This Row],[SOLUÇÃO]]=CN$1,[1]!BANCO10[[#This Row],[STATUS DA ETAPA]],"")</f>
        <v/>
      </c>
      <c r="CO527" s="21" t="str">
        <f>IF([1]!BANCO10[[#This Row],[SOLUÇÃO]]=CO$1,[1]!BANCO10[[#This Row],[STATUS DA ETAPA]],"")</f>
        <v/>
      </c>
      <c r="CP527" s="21" t="str">
        <f>IF([1]!BANCO10[[#This Row],[SOLUÇÃO]]=CP$1,[1]!BANCO10[[#This Row],[STATUS DA ETAPA]],"")</f>
        <v/>
      </c>
      <c r="CQ527" s="21" t="str">
        <f>IF([1]!BANCO10[[#This Row],[SOLUÇÃO]]=CQ$1,[1]!BANCO10[[#This Row],[STATUS DA ETAPA]],"")</f>
        <v/>
      </c>
      <c r="CR527" s="21" t="str">
        <f>IF([1]!BANCO10[[#This Row],[SOLUÇÃO]]=CR$1,[1]!BANCO10[[#This Row],[STATUS DA ETAPA]],"")</f>
        <v/>
      </c>
      <c r="CS527" s="21" t="str">
        <f>IF([1]!BANCO10[[#This Row],[SOLUÇÃO]]=CS$1,[1]!BANCO10[[#This Row],[STATUS DA ETAPA]],"")</f>
        <v/>
      </c>
      <c r="CT527" s="21" t="str">
        <f>IF([1]!BANCO10[[#This Row],[SOLUÇÃO]]=CT$1,[1]!BANCO10[[#This Row],[STATUS DA ETAPA]],"")</f>
        <v/>
      </c>
      <c r="CU527" s="21" t="str">
        <f>IF([1]!BANCO10[[#This Row],[SOLUÇÃO]]=CU$1,[1]!BANCO10[[#This Row],[STATUS DA ETAPA]],"")</f>
        <v/>
      </c>
      <c r="CV527" s="21" t="str">
        <f>IF([1]!BANCO10[[#This Row],[SOLUÇÃO]]=CV$1,[1]!BANCO10[[#This Row],[STATUS DA ETAPA]],"")</f>
        <v/>
      </c>
    </row>
    <row r="528" spans="1:100">
      <c r="A528" s="44" t="s">
        <v>1</v>
      </c>
      <c r="B528" s="44"/>
      <c r="C528" s="44" t="s">
        <v>1</v>
      </c>
      <c r="D528" s="44"/>
      <c r="E528" s="44" t="s">
        <v>1</v>
      </c>
      <c r="F528" s="44"/>
      <c r="G528" s="44" t="s">
        <v>1</v>
      </c>
      <c r="H528" s="44"/>
      <c r="I528" s="45" t="s">
        <v>1</v>
      </c>
      <c r="J528" s="46"/>
      <c r="K528" s="45" t="s">
        <v>1</v>
      </c>
      <c r="L528" s="33"/>
      <c r="M528" s="45" t="s">
        <v>1</v>
      </c>
      <c r="N528" s="33"/>
      <c r="O528" s="44" t="s">
        <v>1</v>
      </c>
      <c r="P528" s="44"/>
      <c r="Q528" s="44" t="s">
        <v>1</v>
      </c>
      <c r="R528" s="44"/>
      <c r="S528" s="44" t="s">
        <v>1</v>
      </c>
      <c r="T528" s="44"/>
      <c r="U528" s="44" t="s">
        <v>2</v>
      </c>
      <c r="V528" s="44"/>
      <c r="W528" s="44" t="s">
        <v>2</v>
      </c>
      <c r="X528" s="44"/>
      <c r="Y528" s="44" t="s">
        <v>2</v>
      </c>
      <c r="Z528" s="44"/>
      <c r="AA528" s="44" t="s">
        <v>2</v>
      </c>
      <c r="AB528" s="44"/>
      <c r="AC528" s="51">
        <v>45813</v>
      </c>
      <c r="AD528" s="50">
        <v>45923</v>
      </c>
      <c r="AE528" s="68" t="s">
        <v>2</v>
      </c>
      <c r="AF528" s="68" t="s">
        <v>2</v>
      </c>
      <c r="AG528" s="76" t="s">
        <v>4</v>
      </c>
      <c r="AH528" s="36" t="s">
        <v>0</v>
      </c>
      <c r="AI528" s="49">
        <v>0</v>
      </c>
      <c r="AJ528" s="36" t="s">
        <v>6</v>
      </c>
      <c r="AK528" s="10" t="s">
        <v>361</v>
      </c>
      <c r="AL528" s="36">
        <v>7498</v>
      </c>
      <c r="AM528" s="36">
        <v>118596</v>
      </c>
      <c r="AN528" s="35" t="s">
        <v>1</v>
      </c>
      <c r="AO528" s="35" t="s">
        <v>1</v>
      </c>
      <c r="AP528" s="35" t="s">
        <v>0</v>
      </c>
      <c r="AQ528" s="35" t="s">
        <v>1</v>
      </c>
      <c r="AR528" s="34" t="s">
        <v>1</v>
      </c>
      <c r="AS528" s="33"/>
      <c r="AT528" s="30" t="s">
        <v>2</v>
      </c>
      <c r="AU528" s="31">
        <v>45926</v>
      </c>
      <c r="AV528" s="28" t="s">
        <v>0</v>
      </c>
      <c r="AW528" s="31"/>
      <c r="AX528" s="30" t="s">
        <v>0</v>
      </c>
      <c r="AY528" s="29"/>
      <c r="AZ528" s="28" t="s">
        <v>0</v>
      </c>
      <c r="BA528" s="27"/>
      <c r="BB528" s="95"/>
      <c r="BC528" s="25" t="s">
        <v>360</v>
      </c>
      <c r="BD528" s="24"/>
      <c r="BE528" s="24"/>
      <c r="BF528" s="24"/>
      <c r="BG528" s="24"/>
      <c r="BH528" s="24"/>
      <c r="BI528" s="24"/>
      <c r="BJ528" s="24"/>
      <c r="BK528" s="24"/>
      <c r="BL528" s="24"/>
      <c r="BM528" s="24"/>
      <c r="BN528" s="24"/>
      <c r="BO528" s="24"/>
      <c r="BP528" s="24"/>
      <c r="BQ528" s="22">
        <f>YEAR([1]!BANCO10[[#This Row],[DATA INÍCIO]])</f>
        <v>2025</v>
      </c>
      <c r="BR528" s="22">
        <f>MONTH([1]!BANCO10[[#This Row],[DATA INÍCIO]])</f>
        <v>6</v>
      </c>
      <c r="BS528" s="23" t="e">
        <f>CONCATENATE(#REF!,#REF!)</f>
        <v>#REF!</v>
      </c>
      <c r="BT528" s="22"/>
      <c r="BU528" s="22"/>
      <c r="BV528" s="21" t="str">
        <f>IF([1]!BANCO10[[#This Row],[SOLUÇÃO]]=BV$1,[1]!BANCO10[[#This Row],[STATUS DA ETAPA]],"")</f>
        <v/>
      </c>
      <c r="BW528" s="21" t="str">
        <f>IF([1]!BANCO10[[#This Row],[SOLUÇÃO]]=BW$1,[1]!BANCO10[[#This Row],[STATUS DA ETAPA]],"")</f>
        <v/>
      </c>
      <c r="BX528" s="21" t="str">
        <f>IF([1]!BANCO10[[#This Row],[SOLUÇÃO]]=BX$1,[1]!BANCO10[[#This Row],[STATUS DA ETAPA]],"")</f>
        <v/>
      </c>
      <c r="BY528" s="21" t="str">
        <f>IF([1]!BANCO10[[#This Row],[SOLUÇÃO]]=BY$1,[1]!BANCO10[[#This Row],[STATUS DA ETAPA]],"")</f>
        <v/>
      </c>
      <c r="BZ528" s="21" t="str">
        <f>IF([1]!BANCO10[[#This Row],[SOLUÇÃO]]=BZ$1,[1]!BANCO10[[#This Row],[STATUS DA ETAPA]],"")</f>
        <v/>
      </c>
      <c r="CA528" s="21" t="str">
        <f>IF([1]!BANCO10[[#This Row],[SOLUÇÃO]]=CA$1,[1]!BANCO10[[#This Row],[STATUS DA ETAPA]],"")</f>
        <v/>
      </c>
      <c r="CB528" s="21" t="str">
        <f>IF([1]!BANCO10[[#This Row],[SOLUÇÃO]]=CB$1,[1]!BANCO10[[#This Row],[STATUS DA ETAPA]],"")</f>
        <v/>
      </c>
      <c r="CC528" s="21" t="str">
        <f>IF([1]!BANCO10[[#This Row],[SOLUÇÃO]]=CC$1,[1]!BANCO10[[#This Row],[STATUS DA ETAPA]],"")</f>
        <v/>
      </c>
      <c r="CD528" s="21" t="str">
        <f>IF([1]!BANCO10[[#This Row],[SOLUÇÃO]]=CD$1,[1]!BANCO10[[#This Row],[STATUS DA ETAPA]],"")</f>
        <v/>
      </c>
      <c r="CE528" s="21" t="str">
        <f>IF([1]!BANCO10[[#This Row],[SOLUÇÃO]]=CE$1,[1]!BANCO10[[#This Row],[STATUS DA ETAPA]],"")</f>
        <v/>
      </c>
      <c r="CF528" s="21" t="str">
        <f>IF([1]!BANCO10[[#This Row],[SOLUÇÃO]]=CF$1,[1]!BANCO10[[#This Row],[STATUS DA ETAPA]],"")</f>
        <v/>
      </c>
      <c r="CG528" s="21" t="str">
        <f>IF([1]!BANCO10[[#This Row],[SOLUÇÃO]]=CG$1,[1]!BANCO10[[#This Row],[STATUS DA ETAPA]],"")</f>
        <v/>
      </c>
      <c r="CH528" s="21" t="str">
        <f>IF([1]!BANCO10[[#This Row],[SOLUÇÃO]]=CH$1,[1]!BANCO10[[#This Row],[STATUS DA ETAPA]],"")</f>
        <v/>
      </c>
      <c r="CI528" s="21" t="str">
        <f>IF([1]!BANCO10[[#This Row],[SOLUÇÃO]]=CI$1,[1]!BANCO10[[#This Row],[STATUS DA ETAPA]],"")</f>
        <v/>
      </c>
      <c r="CJ528" s="21" t="str">
        <f>IF([1]!BANCO10[[#This Row],[SOLUÇÃO]]=CJ$1,[1]!BANCO10[[#This Row],[STATUS DA ETAPA]],"")</f>
        <v/>
      </c>
      <c r="CK528" s="21" t="str">
        <f>IF([1]!BANCO10[[#This Row],[SOLUÇÃO]]=CK$1,[1]!BANCO10[[#This Row],[STATUS DA ETAPA]],"")</f>
        <v/>
      </c>
      <c r="CL528" s="21" t="str">
        <f>IF([1]!BANCO10[[#This Row],[SOLUÇÃO]]=CL$1,[1]!BANCO10[[#This Row],[STATUS DA ETAPA]],"")</f>
        <v/>
      </c>
      <c r="CM528" s="21" t="str">
        <f>IF([1]!BANCO10[[#This Row],[SOLUÇÃO]]=CM$1,[1]!BANCO10[[#This Row],[STATUS DA ETAPA]],"")</f>
        <v/>
      </c>
      <c r="CN528" s="21" t="str">
        <f>IF([1]!BANCO10[[#This Row],[SOLUÇÃO]]=CN$1,[1]!BANCO10[[#This Row],[STATUS DA ETAPA]],"")</f>
        <v/>
      </c>
      <c r="CO528" s="21" t="str">
        <f>IF([1]!BANCO10[[#This Row],[SOLUÇÃO]]=CO$1,[1]!BANCO10[[#This Row],[STATUS DA ETAPA]],"")</f>
        <v>CONCLUÍDO</v>
      </c>
      <c r="CP528" s="21" t="str">
        <f>IF([1]!BANCO10[[#This Row],[SOLUÇÃO]]=CP$1,[1]!BANCO10[[#This Row],[STATUS DA ETAPA]],"")</f>
        <v/>
      </c>
      <c r="CQ528" s="21" t="str">
        <f>IF([1]!BANCO10[[#This Row],[SOLUÇÃO]]=CQ$1,[1]!BANCO10[[#This Row],[STATUS DA ETAPA]],"")</f>
        <v/>
      </c>
      <c r="CR528" s="21" t="str">
        <f>IF([1]!BANCO10[[#This Row],[SOLUÇÃO]]=CR$1,[1]!BANCO10[[#This Row],[STATUS DA ETAPA]],"")</f>
        <v/>
      </c>
      <c r="CS528" s="21" t="str">
        <f>IF([1]!BANCO10[[#This Row],[SOLUÇÃO]]=CS$1,[1]!BANCO10[[#This Row],[STATUS DA ETAPA]],"")</f>
        <v/>
      </c>
      <c r="CT528" s="21" t="str">
        <f>IF([1]!BANCO10[[#This Row],[SOLUÇÃO]]=CT$1,[1]!BANCO10[[#This Row],[STATUS DA ETAPA]],"")</f>
        <v/>
      </c>
      <c r="CU528" s="21" t="str">
        <f>IF([1]!BANCO10[[#This Row],[SOLUÇÃO]]=CU$1,[1]!BANCO10[[#This Row],[STATUS DA ETAPA]],"")</f>
        <v/>
      </c>
      <c r="CV528" s="21" t="str">
        <f>IF([1]!BANCO10[[#This Row],[SOLUÇÃO]]=CV$1,[1]!BANCO10[[#This Row],[STATUS DA ETAPA]],"")</f>
        <v/>
      </c>
    </row>
    <row r="529" spans="1:100">
      <c r="A529" s="44" t="s">
        <v>1</v>
      </c>
      <c r="B529" s="44"/>
      <c r="C529" s="44" t="s">
        <v>1</v>
      </c>
      <c r="D529" s="44"/>
      <c r="E529" s="44" t="s">
        <v>1</v>
      </c>
      <c r="F529" s="44"/>
      <c r="G529" s="44" t="s">
        <v>1</v>
      </c>
      <c r="H529" s="44"/>
      <c r="I529" s="45" t="s">
        <v>1</v>
      </c>
      <c r="J529" s="46"/>
      <c r="K529" s="45" t="s">
        <v>1</v>
      </c>
      <c r="L529" s="33"/>
      <c r="M529" s="45" t="s">
        <v>1</v>
      </c>
      <c r="N529" s="33"/>
      <c r="O529" s="44" t="s">
        <v>2</v>
      </c>
      <c r="P529" s="44">
        <v>44974</v>
      </c>
      <c r="Q529" s="44" t="s">
        <v>0</v>
      </c>
      <c r="R529" s="44"/>
      <c r="S529" s="44" t="s">
        <v>1</v>
      </c>
      <c r="T529" s="44"/>
      <c r="U529" s="44" t="s">
        <v>1</v>
      </c>
      <c r="V529" s="44"/>
      <c r="W529" s="44" t="s">
        <v>1</v>
      </c>
      <c r="X529" s="44"/>
      <c r="Y529" s="44" t="s">
        <v>1</v>
      </c>
      <c r="Z529" s="44"/>
      <c r="AA529" s="44" t="s">
        <v>1</v>
      </c>
      <c r="AB529" s="44"/>
      <c r="AC529" s="51">
        <v>44973</v>
      </c>
      <c r="AD529" s="50">
        <v>44973</v>
      </c>
      <c r="AE529" s="40" t="s">
        <v>1</v>
      </c>
      <c r="AF529" s="40" t="s">
        <v>1</v>
      </c>
      <c r="AG529" s="40" t="s">
        <v>5</v>
      </c>
      <c r="AH529" s="36" t="s">
        <v>1</v>
      </c>
      <c r="AI529" s="49">
        <v>0</v>
      </c>
      <c r="AJ529" s="36" t="s">
        <v>1</v>
      </c>
      <c r="AK529" s="10" t="s">
        <v>1</v>
      </c>
      <c r="AL529" s="36" t="s">
        <v>1</v>
      </c>
      <c r="AM529" s="36" t="s">
        <v>1</v>
      </c>
      <c r="AN529" s="35" t="s">
        <v>1</v>
      </c>
      <c r="AO529" s="35" t="s">
        <v>1</v>
      </c>
      <c r="AP529" s="35" t="s">
        <v>1</v>
      </c>
      <c r="AQ529" s="35" t="s">
        <v>1</v>
      </c>
      <c r="AR529" s="82" t="s">
        <v>1</v>
      </c>
      <c r="AS529" s="33"/>
      <c r="AT529" s="30"/>
      <c r="AU529" s="55"/>
      <c r="AV529" s="30"/>
      <c r="AW529" s="55"/>
      <c r="AX529" s="30" t="s">
        <v>1</v>
      </c>
      <c r="AY529" s="55"/>
      <c r="AZ529" s="30" t="s">
        <v>1</v>
      </c>
      <c r="BA529" s="66"/>
      <c r="BB529" s="39"/>
      <c r="BC529" s="25"/>
      <c r="BD529" s="24" t="s">
        <v>11</v>
      </c>
      <c r="BE529" s="24" t="s">
        <v>11</v>
      </c>
      <c r="BF529" s="79" t="s">
        <v>248</v>
      </c>
      <c r="BG529" s="79" t="s">
        <v>358</v>
      </c>
      <c r="BH529" s="80" t="s">
        <v>234</v>
      </c>
      <c r="BI529" s="79"/>
      <c r="BJ529" s="54" t="s">
        <v>11</v>
      </c>
      <c r="BK529" s="78" t="s">
        <v>11</v>
      </c>
      <c r="BL529" s="69" t="s">
        <v>11</v>
      </c>
      <c r="BM529" s="78" t="s">
        <v>11</v>
      </c>
      <c r="BN529" s="78" t="s">
        <v>11</v>
      </c>
      <c r="BO529" s="78" t="s">
        <v>11</v>
      </c>
      <c r="BP529" s="78" t="s">
        <v>11</v>
      </c>
      <c r="BQ529" s="21">
        <f>YEAR([1]!BANCO10[[#This Row],[DATA INÍCIO]])</f>
        <v>2023</v>
      </c>
      <c r="BR529" s="21">
        <f>MONTH([1]!BANCO10[[#This Row],[DATA INÍCIO]])</f>
        <v>2</v>
      </c>
      <c r="BS529" s="21" t="e">
        <f>CONCATENATE(#REF!,#REF!)</f>
        <v>#REF!</v>
      </c>
      <c r="BT529" s="21"/>
      <c r="BU529" s="21" t="s">
        <v>359</v>
      </c>
      <c r="BV529" s="21" t="str">
        <f>IF([1]!BANCO10[[#This Row],[SOLUÇÃO]]=BV$1,[1]!BANCO10[[#This Row],[STATUS DA ETAPA]],"")</f>
        <v>CONCLUÍDO</v>
      </c>
      <c r="BW529" s="21" t="str">
        <f>IF([1]!BANCO10[[#This Row],[SOLUÇÃO]]=BW$1,[1]!BANCO10[[#This Row],[STATUS DA ETAPA]],"")</f>
        <v/>
      </c>
      <c r="BX529" s="21" t="str">
        <f>IF([1]!BANCO10[[#This Row],[SOLUÇÃO]]=BX$1,[1]!BANCO10[[#This Row],[STATUS DA ETAPA]],"")</f>
        <v/>
      </c>
      <c r="BY529" s="21" t="str">
        <f>IF([1]!BANCO10[[#This Row],[SOLUÇÃO]]=BY$1,[1]!BANCO10[[#This Row],[STATUS DA ETAPA]],"")</f>
        <v/>
      </c>
      <c r="BZ529" s="21" t="str">
        <f>IF([1]!BANCO10[[#This Row],[SOLUÇÃO]]=BZ$1,[1]!BANCO10[[#This Row],[STATUS DA ETAPA]],"")</f>
        <v/>
      </c>
      <c r="CA529" s="21" t="str">
        <f>IF([1]!BANCO10[[#This Row],[SOLUÇÃO]]=CA$1,[1]!BANCO10[[#This Row],[STATUS DA ETAPA]],"")</f>
        <v/>
      </c>
      <c r="CB529" s="21" t="str">
        <f>IF([1]!BANCO10[[#This Row],[SOLUÇÃO]]=CB$1,[1]!BANCO10[[#This Row],[STATUS DA ETAPA]],"")</f>
        <v/>
      </c>
      <c r="CC529" s="21" t="str">
        <f>IF([1]!BANCO10[[#This Row],[SOLUÇÃO]]=CC$1,[1]!BANCO10[[#This Row],[STATUS DA ETAPA]],"")</f>
        <v/>
      </c>
      <c r="CD529" s="21" t="str">
        <f>IF([1]!BANCO10[[#This Row],[SOLUÇÃO]]=CD$1,[1]!BANCO10[[#This Row],[STATUS DA ETAPA]],"")</f>
        <v/>
      </c>
      <c r="CE529" s="21" t="str">
        <f>IF([1]!BANCO10[[#This Row],[SOLUÇÃO]]=CE$1,[1]!BANCO10[[#This Row],[STATUS DA ETAPA]],"")</f>
        <v/>
      </c>
      <c r="CF529" s="21" t="str">
        <f>IF([1]!BANCO10[[#This Row],[SOLUÇÃO]]=CF$1,[1]!BANCO10[[#This Row],[STATUS DA ETAPA]],"")</f>
        <v/>
      </c>
      <c r="CG529" s="21" t="str">
        <f>IF([1]!BANCO10[[#This Row],[SOLUÇÃO]]=CG$1,[1]!BANCO10[[#This Row],[STATUS DA ETAPA]],"")</f>
        <v/>
      </c>
      <c r="CH529" s="21" t="str">
        <f>IF([1]!BANCO10[[#This Row],[SOLUÇÃO]]=CH$1,[1]!BANCO10[[#This Row],[STATUS DA ETAPA]],"")</f>
        <v/>
      </c>
      <c r="CI529" s="21" t="str">
        <f>IF([1]!BANCO10[[#This Row],[SOLUÇÃO]]=CI$1,[1]!BANCO10[[#This Row],[STATUS DA ETAPA]],"")</f>
        <v/>
      </c>
      <c r="CJ529" s="21" t="str">
        <f>IF([1]!BANCO10[[#This Row],[SOLUÇÃO]]=CJ$1,[1]!BANCO10[[#This Row],[STATUS DA ETAPA]],"")</f>
        <v/>
      </c>
      <c r="CK529" s="21" t="str">
        <f>IF([1]!BANCO10[[#This Row],[SOLUÇÃO]]=CK$1,[1]!BANCO10[[#This Row],[STATUS DA ETAPA]],"")</f>
        <v/>
      </c>
      <c r="CL529" s="22" t="str">
        <f>IF([1]!BANCO10[[#This Row],[SOLUÇÃO]]=CL$1,[1]!BANCO10[[#This Row],[STATUS DA ETAPA]],"")</f>
        <v/>
      </c>
      <c r="CM529" s="64" t="str">
        <f>IF([1]!BANCO10[[#This Row],[SOLUÇÃO]]=CM$1,[1]!BANCO10[[#This Row],[STATUS DA ETAPA]],"")</f>
        <v/>
      </c>
      <c r="CN529" s="64" t="str">
        <f>IF([1]!BANCO10[[#This Row],[SOLUÇÃO]]=CN$1,[1]!BANCO10[[#This Row],[STATUS DA ETAPA]],"")</f>
        <v/>
      </c>
      <c r="CO529" s="64" t="str">
        <f>IF([1]!BANCO10[[#This Row],[SOLUÇÃO]]=CO$1,[1]!BANCO10[[#This Row],[STATUS DA ETAPA]],"")</f>
        <v/>
      </c>
      <c r="CP529" s="64" t="str">
        <f>IF([1]!BANCO10[[#This Row],[SOLUÇÃO]]=CP$1,[1]!BANCO10[[#This Row],[STATUS DA ETAPA]],"")</f>
        <v/>
      </c>
      <c r="CQ529" s="64" t="str">
        <f>IF([1]!BANCO10[[#This Row],[SOLUÇÃO]]=CQ$1,[1]!BANCO10[[#This Row],[STATUS DA ETAPA]],"")</f>
        <v/>
      </c>
      <c r="CR529" s="64" t="str">
        <f>IF([1]!BANCO10[[#This Row],[SOLUÇÃO]]=CR$1,[1]!BANCO10[[#This Row],[STATUS DA ETAPA]],"")</f>
        <v/>
      </c>
      <c r="CS529" s="64" t="str">
        <f>IF([1]!BANCO10[[#This Row],[SOLUÇÃO]]=CS$1,[1]!BANCO10[[#This Row],[STATUS DA ETAPA]],"")</f>
        <v/>
      </c>
      <c r="CT529" s="64" t="str">
        <f>IF([1]!BANCO10[[#This Row],[SOLUÇÃO]]=CT$1,[1]!BANCO10[[#This Row],[STATUS DA ETAPA]],"")</f>
        <v/>
      </c>
      <c r="CU529" s="64" t="str">
        <f>IF([1]!BANCO10[[#This Row],[SOLUÇÃO]]=CU$1,[1]!BANCO10[[#This Row],[STATUS DA ETAPA]],"")</f>
        <v/>
      </c>
      <c r="CV529" s="64" t="str">
        <f>IF([1]!BANCO10[[#This Row],[SOLUÇÃO]]=CV$1,[1]!BANCO10[[#This Row],[STATUS DA ETAPA]],"")</f>
        <v/>
      </c>
    </row>
    <row r="530" spans="1:100">
      <c r="A530" s="44" t="s">
        <v>1</v>
      </c>
      <c r="B530" s="44"/>
      <c r="C530" s="44" t="s">
        <v>1</v>
      </c>
      <c r="D530" s="44"/>
      <c r="E530" s="44" t="s">
        <v>1</v>
      </c>
      <c r="F530" s="44"/>
      <c r="G530" s="44" t="s">
        <v>1</v>
      </c>
      <c r="H530" s="44"/>
      <c r="I530" s="45" t="s">
        <v>1</v>
      </c>
      <c r="J530" s="46"/>
      <c r="K530" s="45" t="s">
        <v>1</v>
      </c>
      <c r="L530" s="33"/>
      <c r="M530" s="45" t="s">
        <v>1</v>
      </c>
      <c r="N530" s="33"/>
      <c r="O530" s="44" t="s">
        <v>2</v>
      </c>
      <c r="P530" s="44">
        <v>44974</v>
      </c>
      <c r="Q530" s="44" t="s">
        <v>2</v>
      </c>
      <c r="R530" s="44">
        <v>45001</v>
      </c>
      <c r="S530" s="44" t="s">
        <v>2</v>
      </c>
      <c r="T530" s="44">
        <v>45016</v>
      </c>
      <c r="U530" s="44" t="s">
        <v>2</v>
      </c>
      <c r="V530" s="44">
        <v>45016</v>
      </c>
      <c r="W530" s="44" t="s">
        <v>2</v>
      </c>
      <c r="X530" s="44"/>
      <c r="Y530" s="44" t="s">
        <v>2</v>
      </c>
      <c r="Z530" s="44">
        <v>45016</v>
      </c>
      <c r="AA530" s="44" t="s">
        <v>2</v>
      </c>
      <c r="AB530" s="44"/>
      <c r="AC530" s="51">
        <v>45107</v>
      </c>
      <c r="AD530" s="50">
        <v>45240</v>
      </c>
      <c r="AE530" s="40" t="s">
        <v>2</v>
      </c>
      <c r="AF530" s="40" t="s">
        <v>2</v>
      </c>
      <c r="AG530" s="40" t="s">
        <v>5</v>
      </c>
      <c r="AH530" s="36" t="s">
        <v>0</v>
      </c>
      <c r="AI530" s="49">
        <v>0</v>
      </c>
      <c r="AJ530" s="36"/>
      <c r="AK530" s="10"/>
      <c r="AL530" s="36" t="s">
        <v>22</v>
      </c>
      <c r="AM530" s="36" t="s">
        <v>1</v>
      </c>
      <c r="AN530" s="35" t="s">
        <v>1</v>
      </c>
      <c r="AO530" s="35" t="s">
        <v>1</v>
      </c>
      <c r="AP530" s="35" t="s">
        <v>2</v>
      </c>
      <c r="AQ530" s="35" t="s">
        <v>1</v>
      </c>
      <c r="AR530" s="34" t="s">
        <v>1</v>
      </c>
      <c r="AS530" s="33"/>
      <c r="AT530" s="30"/>
      <c r="AU530" s="55"/>
      <c r="AV530" s="30"/>
      <c r="AW530" s="55"/>
      <c r="AX530" s="30" t="s">
        <v>2</v>
      </c>
      <c r="AY530" s="55">
        <v>45240</v>
      </c>
      <c r="AZ530" s="30" t="s">
        <v>2</v>
      </c>
      <c r="BA530" s="66"/>
      <c r="BB530" s="39"/>
      <c r="BC530" s="25"/>
      <c r="BD530" s="24" t="s">
        <v>11</v>
      </c>
      <c r="BE530" s="24" t="s">
        <v>11</v>
      </c>
      <c r="BF530" s="79" t="s">
        <v>248</v>
      </c>
      <c r="BG530" s="79" t="s">
        <v>358</v>
      </c>
      <c r="BH530" s="80" t="s">
        <v>234</v>
      </c>
      <c r="BI530" s="79"/>
      <c r="BJ530" s="54" t="s">
        <v>11</v>
      </c>
      <c r="BK530" s="78" t="s">
        <v>11</v>
      </c>
      <c r="BL530" s="69">
        <v>45393</v>
      </c>
      <c r="BM530" s="78" t="s">
        <v>18</v>
      </c>
      <c r="BN530" s="78" t="s">
        <v>11</v>
      </c>
      <c r="BO530" s="78"/>
      <c r="BP530" s="78" t="s">
        <v>286</v>
      </c>
      <c r="BQ530" s="21">
        <f>YEAR([1]!BANCO10[[#This Row],[DATA INÍCIO]])</f>
        <v>2023</v>
      </c>
      <c r="BR530" s="21">
        <f>MONTH([1]!BANCO10[[#This Row],[DATA INÍCIO]])</f>
        <v>6</v>
      </c>
      <c r="BS530" s="21" t="e">
        <f>CONCATENATE(#REF!,#REF!)</f>
        <v>#REF!</v>
      </c>
      <c r="BT530" s="21"/>
      <c r="BU530" s="21" t="s">
        <v>357</v>
      </c>
      <c r="BV530" s="21" t="str">
        <f>IF([1]!BANCO10[[#This Row],[SOLUÇÃO]]=BV$1,[1]!BANCO10[[#This Row],[STATUS DA ETAPA]],"")</f>
        <v/>
      </c>
      <c r="BW530" s="21" t="str">
        <f>IF([1]!BANCO10[[#This Row],[SOLUÇÃO]]=BW$1,[1]!BANCO10[[#This Row],[STATUS DA ETAPA]],"")</f>
        <v/>
      </c>
      <c r="BX530" s="21" t="str">
        <f>IF([1]!BANCO10[[#This Row],[SOLUÇÃO]]=BX$1,[1]!BANCO10[[#This Row],[STATUS DA ETAPA]],"")</f>
        <v/>
      </c>
      <c r="BY530" s="21" t="str">
        <f>IF([1]!BANCO10[[#This Row],[SOLUÇÃO]]=BY$1,[1]!BANCO10[[#This Row],[STATUS DA ETAPA]],"")</f>
        <v/>
      </c>
      <c r="BZ530" s="21" t="str">
        <f>IF([1]!BANCO10[[#This Row],[SOLUÇÃO]]=BZ$1,[1]!BANCO10[[#This Row],[STATUS DA ETAPA]],"")</f>
        <v/>
      </c>
      <c r="CA530" s="21" t="str">
        <f>IF([1]!BANCO10[[#This Row],[SOLUÇÃO]]=CA$1,[1]!BANCO10[[#This Row],[STATUS DA ETAPA]],"")</f>
        <v>CONCLUÍDO</v>
      </c>
      <c r="CB530" s="21" t="str">
        <f>IF([1]!BANCO10[[#This Row],[SOLUÇÃO]]=CB$1,[1]!BANCO10[[#This Row],[STATUS DA ETAPA]],"")</f>
        <v/>
      </c>
      <c r="CC530" s="21" t="str">
        <f>IF([1]!BANCO10[[#This Row],[SOLUÇÃO]]=CC$1,[1]!BANCO10[[#This Row],[STATUS DA ETAPA]],"")</f>
        <v/>
      </c>
      <c r="CD530" s="21" t="str">
        <f>IF([1]!BANCO10[[#This Row],[SOLUÇÃO]]=CD$1,[1]!BANCO10[[#This Row],[STATUS DA ETAPA]],"")</f>
        <v/>
      </c>
      <c r="CE530" s="21" t="str">
        <f>IF([1]!BANCO10[[#This Row],[SOLUÇÃO]]=CE$1,[1]!BANCO10[[#This Row],[STATUS DA ETAPA]],"")</f>
        <v/>
      </c>
      <c r="CF530" s="21" t="str">
        <f>IF([1]!BANCO10[[#This Row],[SOLUÇÃO]]=CF$1,[1]!BANCO10[[#This Row],[STATUS DA ETAPA]],"")</f>
        <v/>
      </c>
      <c r="CG530" s="21" t="str">
        <f>IF([1]!BANCO10[[#This Row],[SOLUÇÃO]]=CG$1,[1]!BANCO10[[#This Row],[STATUS DA ETAPA]],"")</f>
        <v/>
      </c>
      <c r="CH530" s="21" t="str">
        <f>IF([1]!BANCO10[[#This Row],[SOLUÇÃO]]=CH$1,[1]!BANCO10[[#This Row],[STATUS DA ETAPA]],"")</f>
        <v/>
      </c>
      <c r="CI530" s="21" t="str">
        <f>IF([1]!BANCO10[[#This Row],[SOLUÇÃO]]=CI$1,[1]!BANCO10[[#This Row],[STATUS DA ETAPA]],"")</f>
        <v/>
      </c>
      <c r="CJ530" s="21" t="str">
        <f>IF([1]!BANCO10[[#This Row],[SOLUÇÃO]]=CJ$1,[1]!BANCO10[[#This Row],[STATUS DA ETAPA]],"")</f>
        <v/>
      </c>
      <c r="CK530" s="21" t="str">
        <f>IF([1]!BANCO10[[#This Row],[SOLUÇÃO]]=CK$1,[1]!BANCO10[[#This Row],[STATUS DA ETAPA]],"")</f>
        <v/>
      </c>
      <c r="CL530" s="22" t="str">
        <f>IF([1]!BANCO10[[#This Row],[SOLUÇÃO]]=CL$1,[1]!BANCO10[[#This Row],[STATUS DA ETAPA]],"")</f>
        <v/>
      </c>
      <c r="CM530" s="64" t="str">
        <f>IF([1]!BANCO10[[#This Row],[SOLUÇÃO]]=CM$1,[1]!BANCO10[[#This Row],[STATUS DA ETAPA]],"")</f>
        <v/>
      </c>
      <c r="CN530" s="64" t="str">
        <f>IF([1]!BANCO10[[#This Row],[SOLUÇÃO]]=CN$1,[1]!BANCO10[[#This Row],[STATUS DA ETAPA]],"")</f>
        <v/>
      </c>
      <c r="CO530" s="64" t="str">
        <f>IF([1]!BANCO10[[#This Row],[SOLUÇÃO]]=CO$1,[1]!BANCO10[[#This Row],[STATUS DA ETAPA]],"")</f>
        <v/>
      </c>
      <c r="CP530" s="64" t="str">
        <f>IF([1]!BANCO10[[#This Row],[SOLUÇÃO]]=CP$1,[1]!BANCO10[[#This Row],[STATUS DA ETAPA]],"")</f>
        <v/>
      </c>
      <c r="CQ530" s="64" t="str">
        <f>IF([1]!BANCO10[[#This Row],[SOLUÇÃO]]=CQ$1,[1]!BANCO10[[#This Row],[STATUS DA ETAPA]],"")</f>
        <v/>
      </c>
      <c r="CR530" s="64" t="str">
        <f>IF([1]!BANCO10[[#This Row],[SOLUÇÃO]]=CR$1,[1]!BANCO10[[#This Row],[STATUS DA ETAPA]],"")</f>
        <v/>
      </c>
      <c r="CS530" s="64" t="str">
        <f>IF([1]!BANCO10[[#This Row],[SOLUÇÃO]]=CS$1,[1]!BANCO10[[#This Row],[STATUS DA ETAPA]],"")</f>
        <v/>
      </c>
      <c r="CT530" s="64" t="str">
        <f>IF([1]!BANCO10[[#This Row],[SOLUÇÃO]]=CT$1,[1]!BANCO10[[#This Row],[STATUS DA ETAPA]],"")</f>
        <v/>
      </c>
      <c r="CU530" s="64" t="str">
        <f>IF([1]!BANCO10[[#This Row],[SOLUÇÃO]]=CU$1,[1]!BANCO10[[#This Row],[STATUS DA ETAPA]],"")</f>
        <v/>
      </c>
      <c r="CV530" s="64" t="str">
        <f>IF([1]!BANCO10[[#This Row],[SOLUÇÃO]]=CV$1,[1]!BANCO10[[#This Row],[STATUS DA ETAPA]],"")</f>
        <v/>
      </c>
    </row>
    <row r="531" spans="1:100">
      <c r="A531" s="44" t="s">
        <v>1</v>
      </c>
      <c r="B531" s="44"/>
      <c r="C531" s="44" t="s">
        <v>1</v>
      </c>
      <c r="D531" s="44"/>
      <c r="E531" s="44" t="s">
        <v>1</v>
      </c>
      <c r="F531" s="44"/>
      <c r="G531" s="44" t="s">
        <v>1</v>
      </c>
      <c r="H531" s="44"/>
      <c r="I531" s="45" t="s">
        <v>1</v>
      </c>
      <c r="J531" s="46"/>
      <c r="K531" s="45" t="s">
        <v>1</v>
      </c>
      <c r="L531" s="33"/>
      <c r="M531" s="45" t="s">
        <v>1</v>
      </c>
      <c r="N531" s="33"/>
      <c r="O531" s="44" t="s">
        <v>2</v>
      </c>
      <c r="P531" s="44">
        <v>45005</v>
      </c>
      <c r="Q531" s="44" t="s">
        <v>0</v>
      </c>
      <c r="R531" s="44"/>
      <c r="S531" s="44" t="s">
        <v>1</v>
      </c>
      <c r="T531" s="44"/>
      <c r="U531" s="44" t="s">
        <v>1</v>
      </c>
      <c r="V531" s="44"/>
      <c r="W531" s="44" t="s">
        <v>1</v>
      </c>
      <c r="X531" s="44"/>
      <c r="Y531" s="44" t="s">
        <v>1</v>
      </c>
      <c r="Z531" s="44"/>
      <c r="AA531" s="44" t="s">
        <v>1</v>
      </c>
      <c r="AB531" s="44"/>
      <c r="AC531" s="51">
        <v>45002</v>
      </c>
      <c r="AD531" s="50">
        <v>45002</v>
      </c>
      <c r="AE531" s="40" t="s">
        <v>1</v>
      </c>
      <c r="AF531" s="40" t="s">
        <v>1</v>
      </c>
      <c r="AG531" s="40" t="s">
        <v>5</v>
      </c>
      <c r="AH531" s="36" t="s">
        <v>1</v>
      </c>
      <c r="AI531" s="49">
        <v>0</v>
      </c>
      <c r="AJ531" s="36" t="s">
        <v>1</v>
      </c>
      <c r="AK531" s="10" t="s">
        <v>1</v>
      </c>
      <c r="AL531" s="36" t="s">
        <v>1</v>
      </c>
      <c r="AM531" s="36" t="s">
        <v>1</v>
      </c>
      <c r="AN531" s="35" t="s">
        <v>1</v>
      </c>
      <c r="AO531" s="35" t="s">
        <v>1</v>
      </c>
      <c r="AP531" s="35" t="s">
        <v>1</v>
      </c>
      <c r="AQ531" s="35" t="s">
        <v>1</v>
      </c>
      <c r="AR531" s="82" t="s">
        <v>1</v>
      </c>
      <c r="AS531" s="33"/>
      <c r="AT531" s="30"/>
      <c r="AU531" s="55"/>
      <c r="AV531" s="30"/>
      <c r="AW531" s="55"/>
      <c r="AX531" s="30" t="s">
        <v>1</v>
      </c>
      <c r="AY531" s="55"/>
      <c r="AZ531" s="30" t="s">
        <v>1</v>
      </c>
      <c r="BA531" s="66"/>
      <c r="BB531" s="39" t="s">
        <v>19</v>
      </c>
      <c r="BC531" s="25"/>
      <c r="BD531" s="24" t="s">
        <v>11</v>
      </c>
      <c r="BE531" s="24" t="s">
        <v>11</v>
      </c>
      <c r="BF531" s="79" t="s">
        <v>21</v>
      </c>
      <c r="BG531" s="79" t="s">
        <v>80</v>
      </c>
      <c r="BH531" s="80" t="s">
        <v>234</v>
      </c>
      <c r="BI531" s="79"/>
      <c r="BJ531" s="54" t="s">
        <v>11</v>
      </c>
      <c r="BK531" s="78" t="s">
        <v>11</v>
      </c>
      <c r="BL531" s="69" t="s">
        <v>11</v>
      </c>
      <c r="BM531" s="78" t="s">
        <v>11</v>
      </c>
      <c r="BN531" s="78" t="s">
        <v>11</v>
      </c>
      <c r="BO531" s="78" t="s">
        <v>11</v>
      </c>
      <c r="BP531" s="78" t="s">
        <v>11</v>
      </c>
      <c r="BQ531" s="21">
        <f>YEAR([1]!BANCO10[[#This Row],[DATA INÍCIO]])</f>
        <v>2023</v>
      </c>
      <c r="BR531" s="21">
        <f>MONTH([1]!BANCO10[[#This Row],[DATA INÍCIO]])</f>
        <v>3</v>
      </c>
      <c r="BS531" s="21" t="e">
        <f>CONCATENATE(#REF!,#REF!)</f>
        <v>#REF!</v>
      </c>
      <c r="BT531" s="21"/>
      <c r="BU531" s="21" t="s">
        <v>356</v>
      </c>
      <c r="BV531" s="21" t="str">
        <f>IF([1]!BANCO10[[#This Row],[SOLUÇÃO]]=BV$1,[1]!BANCO10[[#This Row],[STATUS DA ETAPA]],"")</f>
        <v>CONCLUÍDO</v>
      </c>
      <c r="BW531" s="21" t="str">
        <f>IF([1]!BANCO10[[#This Row],[SOLUÇÃO]]=BW$1,[1]!BANCO10[[#This Row],[STATUS DA ETAPA]],"")</f>
        <v/>
      </c>
      <c r="BX531" s="21" t="str">
        <f>IF([1]!BANCO10[[#This Row],[SOLUÇÃO]]=BX$1,[1]!BANCO10[[#This Row],[STATUS DA ETAPA]],"")</f>
        <v/>
      </c>
      <c r="BY531" s="21" t="str">
        <f>IF([1]!BANCO10[[#This Row],[SOLUÇÃO]]=BY$1,[1]!BANCO10[[#This Row],[STATUS DA ETAPA]],"")</f>
        <v/>
      </c>
      <c r="BZ531" s="21" t="str">
        <f>IF([1]!BANCO10[[#This Row],[SOLUÇÃO]]=BZ$1,[1]!BANCO10[[#This Row],[STATUS DA ETAPA]],"")</f>
        <v/>
      </c>
      <c r="CA531" s="21" t="str">
        <f>IF([1]!BANCO10[[#This Row],[SOLUÇÃO]]=CA$1,[1]!BANCO10[[#This Row],[STATUS DA ETAPA]],"")</f>
        <v/>
      </c>
      <c r="CB531" s="21" t="str">
        <f>IF([1]!BANCO10[[#This Row],[SOLUÇÃO]]=CB$1,[1]!BANCO10[[#This Row],[STATUS DA ETAPA]],"")</f>
        <v/>
      </c>
      <c r="CC531" s="21" t="str">
        <f>IF([1]!BANCO10[[#This Row],[SOLUÇÃO]]=CC$1,[1]!BANCO10[[#This Row],[STATUS DA ETAPA]],"")</f>
        <v/>
      </c>
      <c r="CD531" s="21" t="str">
        <f>IF([1]!BANCO10[[#This Row],[SOLUÇÃO]]=CD$1,[1]!BANCO10[[#This Row],[STATUS DA ETAPA]],"")</f>
        <v/>
      </c>
      <c r="CE531" s="21" t="str">
        <f>IF([1]!BANCO10[[#This Row],[SOLUÇÃO]]=CE$1,[1]!BANCO10[[#This Row],[STATUS DA ETAPA]],"")</f>
        <v/>
      </c>
      <c r="CF531" s="21" t="str">
        <f>IF([1]!BANCO10[[#This Row],[SOLUÇÃO]]=CF$1,[1]!BANCO10[[#This Row],[STATUS DA ETAPA]],"")</f>
        <v/>
      </c>
      <c r="CG531" s="21" t="str">
        <f>IF([1]!BANCO10[[#This Row],[SOLUÇÃO]]=CG$1,[1]!BANCO10[[#This Row],[STATUS DA ETAPA]],"")</f>
        <v/>
      </c>
      <c r="CH531" s="21" t="str">
        <f>IF([1]!BANCO10[[#This Row],[SOLUÇÃO]]=CH$1,[1]!BANCO10[[#This Row],[STATUS DA ETAPA]],"")</f>
        <v/>
      </c>
      <c r="CI531" s="21" t="str">
        <f>IF([1]!BANCO10[[#This Row],[SOLUÇÃO]]=CI$1,[1]!BANCO10[[#This Row],[STATUS DA ETAPA]],"")</f>
        <v/>
      </c>
      <c r="CJ531" s="21" t="str">
        <f>IF([1]!BANCO10[[#This Row],[SOLUÇÃO]]=CJ$1,[1]!BANCO10[[#This Row],[STATUS DA ETAPA]],"")</f>
        <v/>
      </c>
      <c r="CK531" s="21" t="str">
        <f>IF([1]!BANCO10[[#This Row],[SOLUÇÃO]]=CK$1,[1]!BANCO10[[#This Row],[STATUS DA ETAPA]],"")</f>
        <v/>
      </c>
      <c r="CL531" s="22" t="str">
        <f>IF([1]!BANCO10[[#This Row],[SOLUÇÃO]]=CL$1,[1]!BANCO10[[#This Row],[STATUS DA ETAPA]],"")</f>
        <v/>
      </c>
      <c r="CM531" s="64" t="str">
        <f>IF([1]!BANCO10[[#This Row],[SOLUÇÃO]]=CM$1,[1]!BANCO10[[#This Row],[STATUS DA ETAPA]],"")</f>
        <v/>
      </c>
      <c r="CN531" s="64" t="str">
        <f>IF([1]!BANCO10[[#This Row],[SOLUÇÃO]]=CN$1,[1]!BANCO10[[#This Row],[STATUS DA ETAPA]],"")</f>
        <v/>
      </c>
      <c r="CO531" s="64" t="str">
        <f>IF([1]!BANCO10[[#This Row],[SOLUÇÃO]]=CO$1,[1]!BANCO10[[#This Row],[STATUS DA ETAPA]],"")</f>
        <v/>
      </c>
      <c r="CP531" s="64" t="str">
        <f>IF([1]!BANCO10[[#This Row],[SOLUÇÃO]]=CP$1,[1]!BANCO10[[#This Row],[STATUS DA ETAPA]],"")</f>
        <v/>
      </c>
      <c r="CQ531" s="64" t="str">
        <f>IF([1]!BANCO10[[#This Row],[SOLUÇÃO]]=CQ$1,[1]!BANCO10[[#This Row],[STATUS DA ETAPA]],"")</f>
        <v/>
      </c>
      <c r="CR531" s="64" t="str">
        <f>IF([1]!BANCO10[[#This Row],[SOLUÇÃO]]=CR$1,[1]!BANCO10[[#This Row],[STATUS DA ETAPA]],"")</f>
        <v/>
      </c>
      <c r="CS531" s="64" t="str">
        <f>IF([1]!BANCO10[[#This Row],[SOLUÇÃO]]=CS$1,[1]!BANCO10[[#This Row],[STATUS DA ETAPA]],"")</f>
        <v/>
      </c>
      <c r="CT531" s="64" t="str">
        <f>IF([1]!BANCO10[[#This Row],[SOLUÇÃO]]=CT$1,[1]!BANCO10[[#This Row],[STATUS DA ETAPA]],"")</f>
        <v/>
      </c>
      <c r="CU531" s="64" t="str">
        <f>IF([1]!BANCO10[[#This Row],[SOLUÇÃO]]=CU$1,[1]!BANCO10[[#This Row],[STATUS DA ETAPA]],"")</f>
        <v/>
      </c>
      <c r="CV531" s="64" t="str">
        <f>IF([1]!BANCO10[[#This Row],[SOLUÇÃO]]=CV$1,[1]!BANCO10[[#This Row],[STATUS DA ETAPA]],"")</f>
        <v/>
      </c>
    </row>
    <row r="532" spans="1:100">
      <c r="A532" s="44" t="s">
        <v>1</v>
      </c>
      <c r="B532" s="44"/>
      <c r="C532" s="44" t="s">
        <v>1</v>
      </c>
      <c r="D532" s="44"/>
      <c r="E532" s="44" t="s">
        <v>1</v>
      </c>
      <c r="F532" s="44"/>
      <c r="G532" s="44" t="s">
        <v>1</v>
      </c>
      <c r="H532" s="44"/>
      <c r="I532" s="45" t="s">
        <v>1</v>
      </c>
      <c r="J532" s="46"/>
      <c r="K532" s="45" t="s">
        <v>1</v>
      </c>
      <c r="L532" s="33"/>
      <c r="M532" s="45" t="s">
        <v>1</v>
      </c>
      <c r="N532" s="33"/>
      <c r="O532" s="44" t="s">
        <v>2</v>
      </c>
      <c r="P532" s="44">
        <v>45005</v>
      </c>
      <c r="Q532" s="44" t="s">
        <v>2</v>
      </c>
      <c r="R532" s="44">
        <v>45005</v>
      </c>
      <c r="S532" s="44" t="s">
        <v>2</v>
      </c>
      <c r="T532" s="44">
        <v>45005</v>
      </c>
      <c r="U532" s="44" t="s">
        <v>2</v>
      </c>
      <c r="V532" s="44">
        <v>45005</v>
      </c>
      <c r="W532" s="44" t="s">
        <v>2</v>
      </c>
      <c r="X532" s="44"/>
      <c r="Y532" s="44" t="s">
        <v>2</v>
      </c>
      <c r="Z532" s="44">
        <v>45016</v>
      </c>
      <c r="AA532" s="44" t="s">
        <v>2</v>
      </c>
      <c r="AB532" s="44"/>
      <c r="AC532" s="51">
        <v>45099</v>
      </c>
      <c r="AD532" s="50">
        <v>45223</v>
      </c>
      <c r="AE532" s="40" t="s">
        <v>2</v>
      </c>
      <c r="AF532" s="40" t="s">
        <v>2</v>
      </c>
      <c r="AG532" s="40" t="s">
        <v>5</v>
      </c>
      <c r="AH532" s="36" t="s">
        <v>0</v>
      </c>
      <c r="AI532" s="49">
        <v>0</v>
      </c>
      <c r="AJ532" s="36"/>
      <c r="AK532" s="10"/>
      <c r="AL532" s="36" t="s">
        <v>22</v>
      </c>
      <c r="AM532" s="36" t="s">
        <v>1</v>
      </c>
      <c r="AN532" s="35" t="s">
        <v>1</v>
      </c>
      <c r="AO532" s="35" t="s">
        <v>1</v>
      </c>
      <c r="AP532" s="35" t="s">
        <v>2</v>
      </c>
      <c r="AQ532" s="35" t="s">
        <v>1</v>
      </c>
      <c r="AR532" s="34" t="s">
        <v>1</v>
      </c>
      <c r="AS532" s="33"/>
      <c r="AT532" s="30"/>
      <c r="AU532" s="55"/>
      <c r="AV532" s="30"/>
      <c r="AW532" s="55"/>
      <c r="AX532" s="30" t="s">
        <v>2</v>
      </c>
      <c r="AY532" s="55">
        <v>45224</v>
      </c>
      <c r="AZ532" s="30" t="s">
        <v>2</v>
      </c>
      <c r="BA532" s="66"/>
      <c r="BB532" s="39"/>
      <c r="BC532" s="25"/>
      <c r="BD532" s="24" t="s">
        <v>11</v>
      </c>
      <c r="BE532" s="24" t="s">
        <v>11</v>
      </c>
      <c r="BF532" s="79" t="s">
        <v>21</v>
      </c>
      <c r="BG532" s="79" t="s">
        <v>80</v>
      </c>
      <c r="BH532" s="80" t="s">
        <v>234</v>
      </c>
      <c r="BI532" s="79"/>
      <c r="BJ532" s="54" t="s">
        <v>37</v>
      </c>
      <c r="BK532" s="78" t="s">
        <v>19</v>
      </c>
      <c r="BL532" s="69">
        <v>45393</v>
      </c>
      <c r="BM532" s="78" t="s">
        <v>18</v>
      </c>
      <c r="BN532" s="78" t="s">
        <v>11</v>
      </c>
      <c r="BO532" s="78"/>
      <c r="BP532" s="78" t="s">
        <v>286</v>
      </c>
      <c r="BQ532" s="21">
        <f>YEAR([1]!BANCO10[[#This Row],[DATA INÍCIO]])</f>
        <v>2023</v>
      </c>
      <c r="BR532" s="21">
        <f>MONTH([1]!BANCO10[[#This Row],[DATA INÍCIO]])</f>
        <v>6</v>
      </c>
      <c r="BS532" s="21" t="e">
        <f>CONCATENATE(#REF!,#REF!)</f>
        <v>#REF!</v>
      </c>
      <c r="BT532" s="21"/>
      <c r="BU532" s="21" t="s">
        <v>355</v>
      </c>
      <c r="BV532" s="21" t="str">
        <f>IF([1]!BANCO10[[#This Row],[SOLUÇÃO]]=BV$1,[1]!BANCO10[[#This Row],[STATUS DA ETAPA]],"")</f>
        <v/>
      </c>
      <c r="BW532" s="21" t="str">
        <f>IF([1]!BANCO10[[#This Row],[SOLUÇÃO]]=BW$1,[1]!BANCO10[[#This Row],[STATUS DA ETAPA]],"")</f>
        <v/>
      </c>
      <c r="BX532" s="21" t="str">
        <f>IF([1]!BANCO10[[#This Row],[SOLUÇÃO]]=BX$1,[1]!BANCO10[[#This Row],[STATUS DA ETAPA]],"")</f>
        <v/>
      </c>
      <c r="BY532" s="21" t="str">
        <f>IF([1]!BANCO10[[#This Row],[SOLUÇÃO]]=BY$1,[1]!BANCO10[[#This Row],[STATUS DA ETAPA]],"")</f>
        <v/>
      </c>
      <c r="BZ532" s="21" t="str">
        <f>IF([1]!BANCO10[[#This Row],[SOLUÇÃO]]=BZ$1,[1]!BANCO10[[#This Row],[STATUS DA ETAPA]],"")</f>
        <v/>
      </c>
      <c r="CA532" s="21" t="str">
        <f>IF([1]!BANCO10[[#This Row],[SOLUÇÃO]]=CA$1,[1]!BANCO10[[#This Row],[STATUS DA ETAPA]],"")</f>
        <v>CONCLUÍDO</v>
      </c>
      <c r="CB532" s="21" t="str">
        <f>IF([1]!BANCO10[[#This Row],[SOLUÇÃO]]=CB$1,[1]!BANCO10[[#This Row],[STATUS DA ETAPA]],"")</f>
        <v/>
      </c>
      <c r="CC532" s="21" t="str">
        <f>IF([1]!BANCO10[[#This Row],[SOLUÇÃO]]=CC$1,[1]!BANCO10[[#This Row],[STATUS DA ETAPA]],"")</f>
        <v/>
      </c>
      <c r="CD532" s="21" t="str">
        <f>IF([1]!BANCO10[[#This Row],[SOLUÇÃO]]=CD$1,[1]!BANCO10[[#This Row],[STATUS DA ETAPA]],"")</f>
        <v/>
      </c>
      <c r="CE532" s="21" t="str">
        <f>IF([1]!BANCO10[[#This Row],[SOLUÇÃO]]=CE$1,[1]!BANCO10[[#This Row],[STATUS DA ETAPA]],"")</f>
        <v/>
      </c>
      <c r="CF532" s="21" t="str">
        <f>IF([1]!BANCO10[[#This Row],[SOLUÇÃO]]=CF$1,[1]!BANCO10[[#This Row],[STATUS DA ETAPA]],"")</f>
        <v/>
      </c>
      <c r="CG532" s="21" t="str">
        <f>IF([1]!BANCO10[[#This Row],[SOLUÇÃO]]=CG$1,[1]!BANCO10[[#This Row],[STATUS DA ETAPA]],"")</f>
        <v/>
      </c>
      <c r="CH532" s="21" t="str">
        <f>IF([1]!BANCO10[[#This Row],[SOLUÇÃO]]=CH$1,[1]!BANCO10[[#This Row],[STATUS DA ETAPA]],"")</f>
        <v/>
      </c>
      <c r="CI532" s="21" t="str">
        <f>IF([1]!BANCO10[[#This Row],[SOLUÇÃO]]=CI$1,[1]!BANCO10[[#This Row],[STATUS DA ETAPA]],"")</f>
        <v/>
      </c>
      <c r="CJ532" s="21" t="str">
        <f>IF([1]!BANCO10[[#This Row],[SOLUÇÃO]]=CJ$1,[1]!BANCO10[[#This Row],[STATUS DA ETAPA]],"")</f>
        <v/>
      </c>
      <c r="CK532" s="21" t="str">
        <f>IF([1]!BANCO10[[#This Row],[SOLUÇÃO]]=CK$1,[1]!BANCO10[[#This Row],[STATUS DA ETAPA]],"")</f>
        <v/>
      </c>
      <c r="CL532" s="22" t="str">
        <f>IF([1]!BANCO10[[#This Row],[SOLUÇÃO]]=CL$1,[1]!BANCO10[[#This Row],[STATUS DA ETAPA]],"")</f>
        <v/>
      </c>
      <c r="CM532" s="64" t="str">
        <f>IF([1]!BANCO10[[#This Row],[SOLUÇÃO]]=CM$1,[1]!BANCO10[[#This Row],[STATUS DA ETAPA]],"")</f>
        <v/>
      </c>
      <c r="CN532" s="64" t="str">
        <f>IF([1]!BANCO10[[#This Row],[SOLUÇÃO]]=CN$1,[1]!BANCO10[[#This Row],[STATUS DA ETAPA]],"")</f>
        <v/>
      </c>
      <c r="CO532" s="64" t="str">
        <f>IF([1]!BANCO10[[#This Row],[SOLUÇÃO]]=CO$1,[1]!BANCO10[[#This Row],[STATUS DA ETAPA]],"")</f>
        <v/>
      </c>
      <c r="CP532" s="64" t="str">
        <f>IF([1]!BANCO10[[#This Row],[SOLUÇÃO]]=CP$1,[1]!BANCO10[[#This Row],[STATUS DA ETAPA]],"")</f>
        <v/>
      </c>
      <c r="CQ532" s="64" t="str">
        <f>IF([1]!BANCO10[[#This Row],[SOLUÇÃO]]=CQ$1,[1]!BANCO10[[#This Row],[STATUS DA ETAPA]],"")</f>
        <v/>
      </c>
      <c r="CR532" s="64" t="str">
        <f>IF([1]!BANCO10[[#This Row],[SOLUÇÃO]]=CR$1,[1]!BANCO10[[#This Row],[STATUS DA ETAPA]],"")</f>
        <v/>
      </c>
      <c r="CS532" s="64" t="str">
        <f>IF([1]!BANCO10[[#This Row],[SOLUÇÃO]]=CS$1,[1]!BANCO10[[#This Row],[STATUS DA ETAPA]],"")</f>
        <v/>
      </c>
      <c r="CT532" s="64" t="str">
        <f>IF([1]!BANCO10[[#This Row],[SOLUÇÃO]]=CT$1,[1]!BANCO10[[#This Row],[STATUS DA ETAPA]],"")</f>
        <v/>
      </c>
      <c r="CU532" s="64" t="str">
        <f>IF([1]!BANCO10[[#This Row],[SOLUÇÃO]]=CU$1,[1]!BANCO10[[#This Row],[STATUS DA ETAPA]],"")</f>
        <v/>
      </c>
      <c r="CV532" s="64" t="str">
        <f>IF([1]!BANCO10[[#This Row],[SOLUÇÃO]]=CV$1,[1]!BANCO10[[#This Row],[STATUS DA ETAPA]],"")</f>
        <v/>
      </c>
    </row>
    <row r="533" spans="1:100">
      <c r="A533" s="44" t="s">
        <v>1</v>
      </c>
      <c r="B533" s="44"/>
      <c r="C533" s="44" t="s">
        <v>1</v>
      </c>
      <c r="D533" s="44"/>
      <c r="E533" s="44" t="s">
        <v>1</v>
      </c>
      <c r="F533" s="44"/>
      <c r="G533" s="44" t="s">
        <v>1</v>
      </c>
      <c r="H533" s="44"/>
      <c r="I533" s="45" t="s">
        <v>1</v>
      </c>
      <c r="J533" s="46"/>
      <c r="K533" s="45" t="s">
        <v>1</v>
      </c>
      <c r="L533" s="33"/>
      <c r="M533" s="45" t="s">
        <v>1</v>
      </c>
      <c r="N533" s="33"/>
      <c r="O533" s="44" t="s">
        <v>2</v>
      </c>
      <c r="P533" s="44">
        <v>44971</v>
      </c>
      <c r="Q533" s="44" t="s">
        <v>2</v>
      </c>
      <c r="R533" s="44">
        <v>44972</v>
      </c>
      <c r="S533" s="44" t="s">
        <v>2</v>
      </c>
      <c r="T533" s="44">
        <v>45057</v>
      </c>
      <c r="U533" s="44" t="s">
        <v>2</v>
      </c>
      <c r="V533" s="44">
        <v>45057</v>
      </c>
      <c r="W533" s="44" t="s">
        <v>2</v>
      </c>
      <c r="X533" s="44"/>
      <c r="Y533" s="44" t="s">
        <v>2</v>
      </c>
      <c r="Z533" s="44">
        <v>45064</v>
      </c>
      <c r="AA533" s="44" t="s">
        <v>2</v>
      </c>
      <c r="AB533" s="44"/>
      <c r="AC533" s="51">
        <v>45071</v>
      </c>
      <c r="AD533" s="51">
        <v>45194</v>
      </c>
      <c r="AE533" s="40" t="s">
        <v>2</v>
      </c>
      <c r="AF533" s="40" t="s">
        <v>2</v>
      </c>
      <c r="AG533" s="40" t="s">
        <v>5</v>
      </c>
      <c r="AH533" s="36" t="s">
        <v>0</v>
      </c>
      <c r="AI533" s="49">
        <v>0</v>
      </c>
      <c r="AJ533" s="36"/>
      <c r="AK533" s="10"/>
      <c r="AL533" s="36" t="s">
        <v>22</v>
      </c>
      <c r="AM533" s="36" t="s">
        <v>1</v>
      </c>
      <c r="AN533" s="35" t="s">
        <v>1</v>
      </c>
      <c r="AO533" s="35" t="s">
        <v>1</v>
      </c>
      <c r="AP533" s="35" t="s">
        <v>2</v>
      </c>
      <c r="AQ533" s="35" t="s">
        <v>1</v>
      </c>
      <c r="AR533" s="34" t="s">
        <v>1</v>
      </c>
      <c r="AS533" s="33"/>
      <c r="AT533" s="30"/>
      <c r="AU533" s="55"/>
      <c r="AV533" s="30"/>
      <c r="AW533" s="55"/>
      <c r="AX533" s="30" t="s">
        <v>2</v>
      </c>
      <c r="AY533" s="55">
        <v>45194</v>
      </c>
      <c r="AZ533" s="30" t="s">
        <v>2</v>
      </c>
      <c r="BA533" s="66"/>
      <c r="BB533" s="39"/>
      <c r="BC533" s="25"/>
      <c r="BD533" s="24" t="s">
        <v>11</v>
      </c>
      <c r="BE533" s="24" t="s">
        <v>11</v>
      </c>
      <c r="BF533" s="79" t="s">
        <v>88</v>
      </c>
      <c r="BG533" s="79" t="s">
        <v>21</v>
      </c>
      <c r="BH533" s="80" t="s">
        <v>18</v>
      </c>
      <c r="BI533" s="79" t="s">
        <v>243</v>
      </c>
      <c r="BJ533" s="54" t="s">
        <v>11</v>
      </c>
      <c r="BK533" s="78" t="s">
        <v>11</v>
      </c>
      <c r="BL533" s="69" t="s">
        <v>11</v>
      </c>
      <c r="BM533" s="78" t="s">
        <v>11</v>
      </c>
      <c r="BN533" s="78" t="s">
        <v>11</v>
      </c>
      <c r="BO533" s="78" t="s">
        <v>11</v>
      </c>
      <c r="BP533" s="78" t="s">
        <v>11</v>
      </c>
      <c r="BQ533" s="21">
        <f>YEAR([1]!BANCO10[[#This Row],[DATA INÍCIO]])</f>
        <v>2023</v>
      </c>
      <c r="BR533" s="21">
        <f>MONTH([1]!BANCO10[[#This Row],[DATA INÍCIO]])</f>
        <v>5</v>
      </c>
      <c r="BS533" s="21" t="e">
        <f>CONCATENATE(#REF!,#REF!)</f>
        <v>#REF!</v>
      </c>
      <c r="BT533" s="21"/>
      <c r="BU533" s="21" t="s">
        <v>354</v>
      </c>
      <c r="BV533" s="21" t="str">
        <f>IF([1]!BANCO10[[#This Row],[SOLUÇÃO]]=BV$1,[1]!BANCO10[[#This Row],[STATUS DA ETAPA]],"")</f>
        <v/>
      </c>
      <c r="BW533" s="21" t="str">
        <f>IF([1]!BANCO10[[#This Row],[SOLUÇÃO]]=BW$1,[1]!BANCO10[[#This Row],[STATUS DA ETAPA]],"")</f>
        <v/>
      </c>
      <c r="BX533" s="21" t="str">
        <f>IF([1]!BANCO10[[#This Row],[SOLUÇÃO]]=BX$1,[1]!BANCO10[[#This Row],[STATUS DA ETAPA]],"")</f>
        <v/>
      </c>
      <c r="BY533" s="21" t="str">
        <f>IF([1]!BANCO10[[#This Row],[SOLUÇÃO]]=BY$1,[1]!BANCO10[[#This Row],[STATUS DA ETAPA]],"")</f>
        <v/>
      </c>
      <c r="BZ533" s="21" t="str">
        <f>IF([1]!BANCO10[[#This Row],[SOLUÇÃO]]=BZ$1,[1]!BANCO10[[#This Row],[STATUS DA ETAPA]],"")</f>
        <v/>
      </c>
      <c r="CA533" s="21" t="str">
        <f>IF([1]!BANCO10[[#This Row],[SOLUÇÃO]]=CA$1,[1]!BANCO10[[#This Row],[STATUS DA ETAPA]],"")</f>
        <v>CONCLUÍDO</v>
      </c>
      <c r="CB533" s="21" t="str">
        <f>IF([1]!BANCO10[[#This Row],[SOLUÇÃO]]=CB$1,[1]!BANCO10[[#This Row],[STATUS DA ETAPA]],"")</f>
        <v/>
      </c>
      <c r="CC533" s="21" t="str">
        <f>IF([1]!BANCO10[[#This Row],[SOLUÇÃO]]=CC$1,[1]!BANCO10[[#This Row],[STATUS DA ETAPA]],"")</f>
        <v/>
      </c>
      <c r="CD533" s="21" t="str">
        <f>IF([1]!BANCO10[[#This Row],[SOLUÇÃO]]=CD$1,[1]!BANCO10[[#This Row],[STATUS DA ETAPA]],"")</f>
        <v/>
      </c>
      <c r="CE533" s="21" t="str">
        <f>IF([1]!BANCO10[[#This Row],[SOLUÇÃO]]=CE$1,[1]!BANCO10[[#This Row],[STATUS DA ETAPA]],"")</f>
        <v/>
      </c>
      <c r="CF533" s="21" t="str">
        <f>IF([1]!BANCO10[[#This Row],[SOLUÇÃO]]=CF$1,[1]!BANCO10[[#This Row],[STATUS DA ETAPA]],"")</f>
        <v/>
      </c>
      <c r="CG533" s="21" t="str">
        <f>IF([1]!BANCO10[[#This Row],[SOLUÇÃO]]=CG$1,[1]!BANCO10[[#This Row],[STATUS DA ETAPA]],"")</f>
        <v/>
      </c>
      <c r="CH533" s="21" t="str">
        <f>IF([1]!BANCO10[[#This Row],[SOLUÇÃO]]=CH$1,[1]!BANCO10[[#This Row],[STATUS DA ETAPA]],"")</f>
        <v/>
      </c>
      <c r="CI533" s="21" t="str">
        <f>IF([1]!BANCO10[[#This Row],[SOLUÇÃO]]=CI$1,[1]!BANCO10[[#This Row],[STATUS DA ETAPA]],"")</f>
        <v/>
      </c>
      <c r="CJ533" s="21" t="str">
        <f>IF([1]!BANCO10[[#This Row],[SOLUÇÃO]]=CJ$1,[1]!BANCO10[[#This Row],[STATUS DA ETAPA]],"")</f>
        <v/>
      </c>
      <c r="CK533" s="21" t="str">
        <f>IF([1]!BANCO10[[#This Row],[SOLUÇÃO]]=CK$1,[1]!BANCO10[[#This Row],[STATUS DA ETAPA]],"")</f>
        <v/>
      </c>
      <c r="CL533" s="22" t="str">
        <f>IF([1]!BANCO10[[#This Row],[SOLUÇÃO]]=CL$1,[1]!BANCO10[[#This Row],[STATUS DA ETAPA]],"")</f>
        <v/>
      </c>
      <c r="CM533" s="64" t="str">
        <f>IF([1]!BANCO10[[#This Row],[SOLUÇÃO]]=CM$1,[1]!BANCO10[[#This Row],[STATUS DA ETAPA]],"")</f>
        <v/>
      </c>
      <c r="CN533" s="64" t="str">
        <f>IF([1]!BANCO10[[#This Row],[SOLUÇÃO]]=CN$1,[1]!BANCO10[[#This Row],[STATUS DA ETAPA]],"")</f>
        <v/>
      </c>
      <c r="CO533" s="64" t="str">
        <f>IF([1]!BANCO10[[#This Row],[SOLUÇÃO]]=CO$1,[1]!BANCO10[[#This Row],[STATUS DA ETAPA]],"")</f>
        <v/>
      </c>
      <c r="CP533" s="64" t="str">
        <f>IF([1]!BANCO10[[#This Row],[SOLUÇÃO]]=CP$1,[1]!BANCO10[[#This Row],[STATUS DA ETAPA]],"")</f>
        <v/>
      </c>
      <c r="CQ533" s="64" t="str">
        <f>IF([1]!BANCO10[[#This Row],[SOLUÇÃO]]=CQ$1,[1]!BANCO10[[#This Row],[STATUS DA ETAPA]],"")</f>
        <v/>
      </c>
      <c r="CR533" s="64" t="str">
        <f>IF([1]!BANCO10[[#This Row],[SOLUÇÃO]]=CR$1,[1]!BANCO10[[#This Row],[STATUS DA ETAPA]],"")</f>
        <v/>
      </c>
      <c r="CS533" s="64" t="str">
        <f>IF([1]!BANCO10[[#This Row],[SOLUÇÃO]]=CS$1,[1]!BANCO10[[#This Row],[STATUS DA ETAPA]],"")</f>
        <v/>
      </c>
      <c r="CT533" s="64" t="str">
        <f>IF([1]!BANCO10[[#This Row],[SOLUÇÃO]]=CT$1,[1]!BANCO10[[#This Row],[STATUS DA ETAPA]],"")</f>
        <v/>
      </c>
      <c r="CU533" s="64" t="str">
        <f>IF([1]!BANCO10[[#This Row],[SOLUÇÃO]]=CU$1,[1]!BANCO10[[#This Row],[STATUS DA ETAPA]],"")</f>
        <v/>
      </c>
      <c r="CV533" s="64" t="str">
        <f>IF([1]!BANCO10[[#This Row],[SOLUÇÃO]]=CV$1,[1]!BANCO10[[#This Row],[STATUS DA ETAPA]],"")</f>
        <v/>
      </c>
    </row>
    <row r="534" spans="1:100">
      <c r="A534" s="44" t="s">
        <v>1</v>
      </c>
      <c r="B534" s="44"/>
      <c r="C534" s="44" t="s">
        <v>1</v>
      </c>
      <c r="D534" s="44"/>
      <c r="E534" s="44" t="s">
        <v>1</v>
      </c>
      <c r="F534" s="44"/>
      <c r="G534" s="44" t="s">
        <v>1</v>
      </c>
      <c r="H534" s="44"/>
      <c r="I534" s="45" t="s">
        <v>1</v>
      </c>
      <c r="J534" s="46"/>
      <c r="K534" s="45" t="s">
        <v>1</v>
      </c>
      <c r="L534" s="33"/>
      <c r="M534" s="45" t="s">
        <v>1</v>
      </c>
      <c r="N534" s="33"/>
      <c r="O534" s="44" t="s">
        <v>2</v>
      </c>
      <c r="P534" s="44">
        <v>44971</v>
      </c>
      <c r="Q534" s="44" t="s">
        <v>0</v>
      </c>
      <c r="R534" s="44"/>
      <c r="S534" s="44" t="s">
        <v>1</v>
      </c>
      <c r="T534" s="44"/>
      <c r="U534" s="44" t="s">
        <v>1</v>
      </c>
      <c r="V534" s="44"/>
      <c r="W534" s="44" t="s">
        <v>1</v>
      </c>
      <c r="X534" s="44"/>
      <c r="Y534" s="44" t="s">
        <v>1</v>
      </c>
      <c r="Z534" s="44"/>
      <c r="AA534" s="44" t="s">
        <v>1</v>
      </c>
      <c r="AB534" s="44"/>
      <c r="AC534" s="51">
        <v>45274</v>
      </c>
      <c r="AD534" s="50">
        <v>45274</v>
      </c>
      <c r="AE534" s="40" t="s">
        <v>1</v>
      </c>
      <c r="AF534" s="40" t="s">
        <v>1</v>
      </c>
      <c r="AG534" s="40" t="s">
        <v>5</v>
      </c>
      <c r="AH534" s="36" t="s">
        <v>1</v>
      </c>
      <c r="AI534" s="49">
        <v>0</v>
      </c>
      <c r="AJ534" s="36" t="s">
        <v>1</v>
      </c>
      <c r="AK534" s="10" t="s">
        <v>1</v>
      </c>
      <c r="AL534" s="36" t="s">
        <v>1</v>
      </c>
      <c r="AM534" s="36" t="s">
        <v>1</v>
      </c>
      <c r="AN534" s="35" t="s">
        <v>1</v>
      </c>
      <c r="AO534" s="35" t="s">
        <v>1</v>
      </c>
      <c r="AP534" s="35" t="s">
        <v>1</v>
      </c>
      <c r="AQ534" s="35" t="s">
        <v>1</v>
      </c>
      <c r="AR534" s="82" t="s">
        <v>1</v>
      </c>
      <c r="AS534" s="33"/>
      <c r="AT534" s="30"/>
      <c r="AU534" s="55"/>
      <c r="AV534" s="30"/>
      <c r="AW534" s="55"/>
      <c r="AX534" s="30" t="s">
        <v>1</v>
      </c>
      <c r="AY534" s="55"/>
      <c r="AZ534" s="30" t="s">
        <v>1</v>
      </c>
      <c r="BA534" s="66"/>
      <c r="BB534" s="39"/>
      <c r="BC534" s="25"/>
      <c r="BD534" s="24" t="s">
        <v>11</v>
      </c>
      <c r="BE534" s="24" t="s">
        <v>11</v>
      </c>
      <c r="BF534" s="79" t="s">
        <v>88</v>
      </c>
      <c r="BG534" s="79" t="s">
        <v>21</v>
      </c>
      <c r="BH534" s="80" t="s">
        <v>18</v>
      </c>
      <c r="BI534" s="79" t="s">
        <v>243</v>
      </c>
      <c r="BJ534" s="54" t="s">
        <v>11</v>
      </c>
      <c r="BK534" s="78" t="s">
        <v>11</v>
      </c>
      <c r="BL534" s="69" t="s">
        <v>11</v>
      </c>
      <c r="BM534" s="78" t="s">
        <v>11</v>
      </c>
      <c r="BN534" s="78" t="s">
        <v>11</v>
      </c>
      <c r="BO534" s="78" t="s">
        <v>11</v>
      </c>
      <c r="BP534" s="78" t="s">
        <v>11</v>
      </c>
      <c r="BQ534" s="21">
        <f>YEAR([1]!BANCO10[[#This Row],[DATA INÍCIO]])</f>
        <v>2023</v>
      </c>
      <c r="BR534" s="21">
        <f>MONTH([1]!BANCO10[[#This Row],[DATA INÍCIO]])</f>
        <v>12</v>
      </c>
      <c r="BS534" s="21" t="e">
        <f>CONCATENATE(#REF!,#REF!)</f>
        <v>#REF!</v>
      </c>
      <c r="BT534" s="21"/>
      <c r="BU534" s="21" t="s">
        <v>353</v>
      </c>
      <c r="BV534" s="21" t="str">
        <f>IF([1]!BANCO10[[#This Row],[SOLUÇÃO]]=BV$1,[1]!BANCO10[[#This Row],[STATUS DA ETAPA]],"")</f>
        <v>CONCLUÍDO</v>
      </c>
      <c r="BW534" s="21" t="str">
        <f>IF([1]!BANCO10[[#This Row],[SOLUÇÃO]]=BW$1,[1]!BANCO10[[#This Row],[STATUS DA ETAPA]],"")</f>
        <v/>
      </c>
      <c r="BX534" s="21" t="str">
        <f>IF([1]!BANCO10[[#This Row],[SOLUÇÃO]]=BX$1,[1]!BANCO10[[#This Row],[STATUS DA ETAPA]],"")</f>
        <v/>
      </c>
      <c r="BY534" s="21" t="str">
        <f>IF([1]!BANCO10[[#This Row],[SOLUÇÃO]]=BY$1,[1]!BANCO10[[#This Row],[STATUS DA ETAPA]],"")</f>
        <v/>
      </c>
      <c r="BZ534" s="21" t="str">
        <f>IF([1]!BANCO10[[#This Row],[SOLUÇÃO]]=BZ$1,[1]!BANCO10[[#This Row],[STATUS DA ETAPA]],"")</f>
        <v/>
      </c>
      <c r="CA534" s="21" t="str">
        <f>IF([1]!BANCO10[[#This Row],[SOLUÇÃO]]=CA$1,[1]!BANCO10[[#This Row],[STATUS DA ETAPA]],"")</f>
        <v/>
      </c>
      <c r="CB534" s="21" t="str">
        <f>IF([1]!BANCO10[[#This Row],[SOLUÇÃO]]=CB$1,[1]!BANCO10[[#This Row],[STATUS DA ETAPA]],"")</f>
        <v/>
      </c>
      <c r="CC534" s="21" t="str">
        <f>IF([1]!BANCO10[[#This Row],[SOLUÇÃO]]=CC$1,[1]!BANCO10[[#This Row],[STATUS DA ETAPA]],"")</f>
        <v/>
      </c>
      <c r="CD534" s="21" t="str">
        <f>IF([1]!BANCO10[[#This Row],[SOLUÇÃO]]=CD$1,[1]!BANCO10[[#This Row],[STATUS DA ETAPA]],"")</f>
        <v/>
      </c>
      <c r="CE534" s="21" t="str">
        <f>IF([1]!BANCO10[[#This Row],[SOLUÇÃO]]=CE$1,[1]!BANCO10[[#This Row],[STATUS DA ETAPA]],"")</f>
        <v/>
      </c>
      <c r="CF534" s="21" t="str">
        <f>IF([1]!BANCO10[[#This Row],[SOLUÇÃO]]=CF$1,[1]!BANCO10[[#This Row],[STATUS DA ETAPA]],"")</f>
        <v/>
      </c>
      <c r="CG534" s="21" t="str">
        <f>IF([1]!BANCO10[[#This Row],[SOLUÇÃO]]=CG$1,[1]!BANCO10[[#This Row],[STATUS DA ETAPA]],"")</f>
        <v/>
      </c>
      <c r="CH534" s="21" t="str">
        <f>IF([1]!BANCO10[[#This Row],[SOLUÇÃO]]=CH$1,[1]!BANCO10[[#This Row],[STATUS DA ETAPA]],"")</f>
        <v/>
      </c>
      <c r="CI534" s="21" t="str">
        <f>IF([1]!BANCO10[[#This Row],[SOLUÇÃO]]=CI$1,[1]!BANCO10[[#This Row],[STATUS DA ETAPA]],"")</f>
        <v/>
      </c>
      <c r="CJ534" s="21" t="str">
        <f>IF([1]!BANCO10[[#This Row],[SOLUÇÃO]]=CJ$1,[1]!BANCO10[[#This Row],[STATUS DA ETAPA]],"")</f>
        <v/>
      </c>
      <c r="CK534" s="21" t="str">
        <f>IF([1]!BANCO10[[#This Row],[SOLUÇÃO]]=CK$1,[1]!BANCO10[[#This Row],[STATUS DA ETAPA]],"")</f>
        <v/>
      </c>
      <c r="CL534" s="22" t="str">
        <f>IF([1]!BANCO10[[#This Row],[SOLUÇÃO]]=CL$1,[1]!BANCO10[[#This Row],[STATUS DA ETAPA]],"")</f>
        <v/>
      </c>
      <c r="CM534" s="64" t="str">
        <f>IF([1]!BANCO10[[#This Row],[SOLUÇÃO]]=CM$1,[1]!BANCO10[[#This Row],[STATUS DA ETAPA]],"")</f>
        <v/>
      </c>
      <c r="CN534" s="64" t="str">
        <f>IF([1]!BANCO10[[#This Row],[SOLUÇÃO]]=CN$1,[1]!BANCO10[[#This Row],[STATUS DA ETAPA]],"")</f>
        <v/>
      </c>
      <c r="CO534" s="64" t="str">
        <f>IF([1]!BANCO10[[#This Row],[SOLUÇÃO]]=CO$1,[1]!BANCO10[[#This Row],[STATUS DA ETAPA]],"")</f>
        <v/>
      </c>
      <c r="CP534" s="64" t="str">
        <f>IF([1]!BANCO10[[#This Row],[SOLUÇÃO]]=CP$1,[1]!BANCO10[[#This Row],[STATUS DA ETAPA]],"")</f>
        <v/>
      </c>
      <c r="CQ534" s="64" t="str">
        <f>IF([1]!BANCO10[[#This Row],[SOLUÇÃO]]=CQ$1,[1]!BANCO10[[#This Row],[STATUS DA ETAPA]],"")</f>
        <v/>
      </c>
      <c r="CR534" s="64" t="str">
        <f>IF([1]!BANCO10[[#This Row],[SOLUÇÃO]]=CR$1,[1]!BANCO10[[#This Row],[STATUS DA ETAPA]],"")</f>
        <v/>
      </c>
      <c r="CS534" s="64" t="str">
        <f>IF([1]!BANCO10[[#This Row],[SOLUÇÃO]]=CS$1,[1]!BANCO10[[#This Row],[STATUS DA ETAPA]],"")</f>
        <v/>
      </c>
      <c r="CT534" s="64" t="str">
        <f>IF([1]!BANCO10[[#This Row],[SOLUÇÃO]]=CT$1,[1]!BANCO10[[#This Row],[STATUS DA ETAPA]],"")</f>
        <v/>
      </c>
      <c r="CU534" s="64" t="str">
        <f>IF([1]!BANCO10[[#This Row],[SOLUÇÃO]]=CU$1,[1]!BANCO10[[#This Row],[STATUS DA ETAPA]],"")</f>
        <v/>
      </c>
      <c r="CV534" s="64" t="str">
        <f>IF([1]!BANCO10[[#This Row],[SOLUÇÃO]]=CV$1,[1]!BANCO10[[#This Row],[STATUS DA ETAPA]],"")</f>
        <v/>
      </c>
    </row>
    <row r="535" spans="1:100">
      <c r="A535" s="44" t="s">
        <v>1</v>
      </c>
      <c r="B535" s="44"/>
      <c r="C535" s="44" t="s">
        <v>1</v>
      </c>
      <c r="D535" s="44"/>
      <c r="E535" s="44" t="s">
        <v>1</v>
      </c>
      <c r="F535" s="44"/>
      <c r="G535" s="44" t="s">
        <v>1</v>
      </c>
      <c r="H535" s="44"/>
      <c r="I535" s="45" t="s">
        <v>1</v>
      </c>
      <c r="J535" s="46"/>
      <c r="K535" s="45" t="s">
        <v>1</v>
      </c>
      <c r="L535" s="33"/>
      <c r="M535" s="45" t="s">
        <v>1</v>
      </c>
      <c r="N535" s="33"/>
      <c r="O535" s="44" t="s">
        <v>2</v>
      </c>
      <c r="P535" s="44">
        <v>44971</v>
      </c>
      <c r="Q535" s="44" t="s">
        <v>2</v>
      </c>
      <c r="R535" s="44">
        <v>45371</v>
      </c>
      <c r="S535" s="44" t="s">
        <v>2</v>
      </c>
      <c r="T535" s="44">
        <v>45378</v>
      </c>
      <c r="U535" s="44" t="s">
        <v>2</v>
      </c>
      <c r="V535" s="44">
        <v>45378</v>
      </c>
      <c r="W535" s="44" t="s">
        <v>2</v>
      </c>
      <c r="X535" s="44"/>
      <c r="Y535" s="44" t="s">
        <v>2</v>
      </c>
      <c r="Z535" s="44">
        <v>45383</v>
      </c>
      <c r="AA535" s="44" t="s">
        <v>2</v>
      </c>
      <c r="AB535" s="44"/>
      <c r="AC535" s="51">
        <v>45412</v>
      </c>
      <c r="AD535" s="50">
        <v>45624</v>
      </c>
      <c r="AE535" s="40" t="s">
        <v>2</v>
      </c>
      <c r="AF535" s="40" t="s">
        <v>2</v>
      </c>
      <c r="AG535" s="40" t="s">
        <v>4</v>
      </c>
      <c r="AH535" s="36" t="s">
        <v>0</v>
      </c>
      <c r="AI535" s="49">
        <v>0</v>
      </c>
      <c r="AJ535" s="36" t="s">
        <v>6</v>
      </c>
      <c r="AK535" s="10" t="s">
        <v>352</v>
      </c>
      <c r="AL535" s="36" t="s">
        <v>89</v>
      </c>
      <c r="AM535" s="36" t="s">
        <v>351</v>
      </c>
      <c r="AN535" s="35" t="s">
        <v>1</v>
      </c>
      <c r="AO535" s="35" t="s">
        <v>1</v>
      </c>
      <c r="AP535" s="35" t="s">
        <v>2</v>
      </c>
      <c r="AQ535" s="35" t="s">
        <v>1</v>
      </c>
      <c r="AR535" s="34" t="s">
        <v>1</v>
      </c>
      <c r="AS535" s="33"/>
      <c r="AT535" s="30"/>
      <c r="AU535" s="55"/>
      <c r="AV535" s="30"/>
      <c r="AW535" s="55"/>
      <c r="AX535" s="30" t="s">
        <v>2</v>
      </c>
      <c r="AY535" s="55">
        <v>45618</v>
      </c>
      <c r="AZ535" s="30" t="s">
        <v>0</v>
      </c>
      <c r="BA535" s="55"/>
      <c r="BB535" s="39" t="s">
        <v>350</v>
      </c>
      <c r="BC535" s="25" t="s">
        <v>31</v>
      </c>
      <c r="BD535" s="24" t="s">
        <v>11</v>
      </c>
      <c r="BE535" s="24" t="s">
        <v>11</v>
      </c>
      <c r="BF535" s="79" t="s">
        <v>88</v>
      </c>
      <c r="BG535" s="79" t="s">
        <v>21</v>
      </c>
      <c r="BH535" s="80" t="s">
        <v>18</v>
      </c>
      <c r="BI535" s="79" t="s">
        <v>243</v>
      </c>
      <c r="BJ535" s="54" t="s">
        <v>11</v>
      </c>
      <c r="BK535" s="78" t="s">
        <v>11</v>
      </c>
      <c r="BL535" s="69">
        <v>45389</v>
      </c>
      <c r="BM535" s="78" t="s">
        <v>18</v>
      </c>
      <c r="BN535" s="78" t="s">
        <v>11</v>
      </c>
      <c r="BO535" s="78"/>
      <c r="BP535" s="78" t="s">
        <v>86</v>
      </c>
      <c r="BQ535" s="21">
        <f>YEAR([1]!BANCO10[[#This Row],[DATA INÍCIO]])</f>
        <v>2024</v>
      </c>
      <c r="BR535" s="21">
        <f>MONTH([1]!BANCO10[[#This Row],[DATA INÍCIO]])</f>
        <v>4</v>
      </c>
      <c r="BS535" s="21" t="e">
        <f>CONCATENATE(#REF!,#REF!)</f>
        <v>#REF!</v>
      </c>
      <c r="BT535" s="21"/>
      <c r="BU535" s="21" t="s">
        <v>349</v>
      </c>
      <c r="BV535" s="21" t="str">
        <f>IF([1]!BANCO10[[#This Row],[SOLUÇÃO]]=BV$1,[1]!BANCO10[[#This Row],[STATUS DA ETAPA]],"")</f>
        <v/>
      </c>
      <c r="BW535" s="21" t="str">
        <f>IF([1]!BANCO10[[#This Row],[SOLUÇÃO]]=BW$1,[1]!BANCO10[[#This Row],[STATUS DA ETAPA]],"")</f>
        <v/>
      </c>
      <c r="BX535" s="21" t="str">
        <f>IF([1]!BANCO10[[#This Row],[SOLUÇÃO]]=BX$1,[1]!BANCO10[[#This Row],[STATUS DA ETAPA]],"")</f>
        <v>CONCLUÍDO</v>
      </c>
      <c r="BY535" s="21" t="str">
        <f>IF([1]!BANCO10[[#This Row],[SOLUÇÃO]]=BY$1,[1]!BANCO10[[#This Row],[STATUS DA ETAPA]],"")</f>
        <v/>
      </c>
      <c r="BZ535" s="21" t="str">
        <f>IF([1]!BANCO10[[#This Row],[SOLUÇÃO]]=BZ$1,[1]!BANCO10[[#This Row],[STATUS DA ETAPA]],"")</f>
        <v/>
      </c>
      <c r="CA535" s="21" t="str">
        <f>IF([1]!BANCO10[[#This Row],[SOLUÇÃO]]=CA$1,[1]!BANCO10[[#This Row],[STATUS DA ETAPA]],"")</f>
        <v/>
      </c>
      <c r="CB535" s="21" t="str">
        <f>IF([1]!BANCO10[[#This Row],[SOLUÇÃO]]=CB$1,[1]!BANCO10[[#This Row],[STATUS DA ETAPA]],"")</f>
        <v/>
      </c>
      <c r="CC535" s="21" t="str">
        <f>IF([1]!BANCO10[[#This Row],[SOLUÇÃO]]=CC$1,[1]!BANCO10[[#This Row],[STATUS DA ETAPA]],"")</f>
        <v/>
      </c>
      <c r="CD535" s="21" t="str">
        <f>IF([1]!BANCO10[[#This Row],[SOLUÇÃO]]=CD$1,[1]!BANCO10[[#This Row],[STATUS DA ETAPA]],"")</f>
        <v/>
      </c>
      <c r="CE535" s="21" t="str">
        <f>IF([1]!BANCO10[[#This Row],[SOLUÇÃO]]=CE$1,[1]!BANCO10[[#This Row],[STATUS DA ETAPA]],"")</f>
        <v/>
      </c>
      <c r="CF535" s="21" t="str">
        <f>IF([1]!BANCO10[[#This Row],[SOLUÇÃO]]=CF$1,[1]!BANCO10[[#This Row],[STATUS DA ETAPA]],"")</f>
        <v/>
      </c>
      <c r="CG535" s="21" t="str">
        <f>IF([1]!BANCO10[[#This Row],[SOLUÇÃO]]=CG$1,[1]!BANCO10[[#This Row],[STATUS DA ETAPA]],"")</f>
        <v/>
      </c>
      <c r="CH535" s="21" t="str">
        <f>IF([1]!BANCO10[[#This Row],[SOLUÇÃO]]=CH$1,[1]!BANCO10[[#This Row],[STATUS DA ETAPA]],"")</f>
        <v/>
      </c>
      <c r="CI535" s="21" t="str">
        <f>IF([1]!BANCO10[[#This Row],[SOLUÇÃO]]=CI$1,[1]!BANCO10[[#This Row],[STATUS DA ETAPA]],"")</f>
        <v/>
      </c>
      <c r="CJ535" s="21" t="str">
        <f>IF([1]!BANCO10[[#This Row],[SOLUÇÃO]]=CJ$1,[1]!BANCO10[[#This Row],[STATUS DA ETAPA]],"")</f>
        <v/>
      </c>
      <c r="CK535" s="21" t="str">
        <f>IF([1]!BANCO10[[#This Row],[SOLUÇÃO]]=CK$1,[1]!BANCO10[[#This Row],[STATUS DA ETAPA]],"")</f>
        <v/>
      </c>
      <c r="CL535" s="22" t="str">
        <f>IF([1]!BANCO10[[#This Row],[SOLUÇÃO]]=CL$1,[1]!BANCO10[[#This Row],[STATUS DA ETAPA]],"")</f>
        <v/>
      </c>
      <c r="CM535" s="64" t="str">
        <f>IF([1]!BANCO10[[#This Row],[SOLUÇÃO]]=CM$1,[1]!BANCO10[[#This Row],[STATUS DA ETAPA]],"")</f>
        <v/>
      </c>
      <c r="CN535" s="64" t="str">
        <f>IF([1]!BANCO10[[#This Row],[SOLUÇÃO]]=CN$1,[1]!BANCO10[[#This Row],[STATUS DA ETAPA]],"")</f>
        <v/>
      </c>
      <c r="CO535" s="64" t="str">
        <f>IF([1]!BANCO10[[#This Row],[SOLUÇÃO]]=CO$1,[1]!BANCO10[[#This Row],[STATUS DA ETAPA]],"")</f>
        <v/>
      </c>
      <c r="CP535" s="64" t="str">
        <f>IF([1]!BANCO10[[#This Row],[SOLUÇÃO]]=CP$1,[1]!BANCO10[[#This Row],[STATUS DA ETAPA]],"")</f>
        <v/>
      </c>
      <c r="CQ535" s="64" t="str">
        <f>IF([1]!BANCO10[[#This Row],[SOLUÇÃO]]=CQ$1,[1]!BANCO10[[#This Row],[STATUS DA ETAPA]],"")</f>
        <v/>
      </c>
      <c r="CR535" s="64" t="str">
        <f>IF([1]!BANCO10[[#This Row],[SOLUÇÃO]]=CR$1,[1]!BANCO10[[#This Row],[STATUS DA ETAPA]],"")</f>
        <v/>
      </c>
      <c r="CS535" s="64" t="str">
        <f>IF([1]!BANCO10[[#This Row],[SOLUÇÃO]]=CS$1,[1]!BANCO10[[#This Row],[STATUS DA ETAPA]],"")</f>
        <v/>
      </c>
      <c r="CT535" s="64" t="str">
        <f>IF([1]!BANCO10[[#This Row],[SOLUÇÃO]]=CT$1,[1]!BANCO10[[#This Row],[STATUS DA ETAPA]],"")</f>
        <v/>
      </c>
      <c r="CU535" s="64" t="str">
        <f>IF([1]!BANCO10[[#This Row],[SOLUÇÃO]]=CU$1,[1]!BANCO10[[#This Row],[STATUS DA ETAPA]],"")</f>
        <v/>
      </c>
      <c r="CV535" s="64" t="str">
        <f>IF([1]!BANCO10[[#This Row],[SOLUÇÃO]]=CV$1,[1]!BANCO10[[#This Row],[STATUS DA ETAPA]],"")</f>
        <v/>
      </c>
    </row>
    <row r="536" spans="1:100">
      <c r="A536" s="44" t="s">
        <v>2</v>
      </c>
      <c r="B536" s="44">
        <v>45908</v>
      </c>
      <c r="C536" s="44" t="s">
        <v>2</v>
      </c>
      <c r="D536" s="44">
        <v>45908</v>
      </c>
      <c r="E536" s="44" t="s">
        <v>2</v>
      </c>
      <c r="F536" s="44">
        <v>45912</v>
      </c>
      <c r="G536" s="44" t="s">
        <v>2</v>
      </c>
      <c r="H536" s="44">
        <v>45912</v>
      </c>
      <c r="I536" s="45" t="s">
        <v>2</v>
      </c>
      <c r="J536" s="46">
        <v>45908</v>
      </c>
      <c r="K536" s="45" t="s">
        <v>0</v>
      </c>
      <c r="L536" s="33"/>
      <c r="M536" s="45" t="s">
        <v>0</v>
      </c>
      <c r="N536" s="33"/>
      <c r="O536" s="44" t="s">
        <v>1</v>
      </c>
      <c r="P536" s="44"/>
      <c r="Q536" s="44" t="s">
        <v>2</v>
      </c>
      <c r="R536" s="44">
        <v>45910</v>
      </c>
      <c r="S536" s="44"/>
      <c r="T536" s="44"/>
      <c r="U536" s="44" t="s">
        <v>1</v>
      </c>
      <c r="V536" s="44"/>
      <c r="W536" s="44" t="s">
        <v>1</v>
      </c>
      <c r="X536" s="44"/>
      <c r="Y536" s="44" t="s">
        <v>1</v>
      </c>
      <c r="Z536" s="44"/>
      <c r="AA536" s="44" t="s">
        <v>1</v>
      </c>
      <c r="AB536" s="44"/>
      <c r="AC536" s="51">
        <v>46022</v>
      </c>
      <c r="AD536" s="50">
        <v>46022</v>
      </c>
      <c r="AE536" s="41" t="s">
        <v>0</v>
      </c>
      <c r="AF536" s="41" t="s">
        <v>0</v>
      </c>
      <c r="AG536" s="40" t="s">
        <v>5</v>
      </c>
      <c r="AH536" s="36" t="s">
        <v>0</v>
      </c>
      <c r="AI536" s="49">
        <v>20140</v>
      </c>
      <c r="AJ536" s="36" t="s">
        <v>3</v>
      </c>
      <c r="AK536" s="21">
        <v>711338</v>
      </c>
      <c r="AL536" s="36" t="s">
        <v>1</v>
      </c>
      <c r="AM536" s="36" t="s">
        <v>1</v>
      </c>
      <c r="AN536" s="35" t="s">
        <v>0</v>
      </c>
      <c r="AO536" s="35" t="s">
        <v>0</v>
      </c>
      <c r="AP536" s="35" t="s">
        <v>0</v>
      </c>
      <c r="AQ536" s="35" t="s">
        <v>0</v>
      </c>
      <c r="AR536" s="34" t="s">
        <v>0</v>
      </c>
      <c r="AS536" s="33"/>
      <c r="AT536" s="32" t="s">
        <v>0</v>
      </c>
      <c r="AU536" s="31"/>
      <c r="AV536" s="32" t="s">
        <v>0</v>
      </c>
      <c r="AW536" s="31"/>
      <c r="AX536" s="32" t="s">
        <v>0</v>
      </c>
      <c r="AY536" s="31"/>
      <c r="AZ536" s="32" t="s">
        <v>0</v>
      </c>
      <c r="BA536" s="31"/>
      <c r="BB536" s="74" t="s">
        <v>224</v>
      </c>
      <c r="BC536" s="25"/>
      <c r="BD536" s="24"/>
      <c r="BE536" s="24"/>
      <c r="BF536" s="24"/>
      <c r="BG536" s="24"/>
      <c r="BH536" s="24"/>
      <c r="BI536" s="24"/>
      <c r="BJ536" s="24"/>
      <c r="BK536" s="24"/>
      <c r="BL536" s="24"/>
      <c r="BM536" s="24"/>
      <c r="BN536" s="24"/>
      <c r="BO536" s="24"/>
      <c r="BP536" s="24"/>
      <c r="BQ536" s="22">
        <f>YEAR([1]!BANCO10[[#This Row],[DATA INÍCIO]])</f>
        <v>2025</v>
      </c>
      <c r="BR536" s="22">
        <f>MONTH([1]!BANCO10[[#This Row],[DATA INÍCIO]])</f>
        <v>12</v>
      </c>
      <c r="BS536" s="23" t="e">
        <f>CONCATENATE(#REF!,#REF!)</f>
        <v>#REF!</v>
      </c>
      <c r="BT536" s="22"/>
      <c r="BU536" s="22"/>
      <c r="BV536" s="21" t="str">
        <f>IF([1]!BANCO10[[#This Row],[SOLUÇÃO]]=BV$1,[1]!BANCO10[[#This Row],[STATUS DA ETAPA]],"")</f>
        <v/>
      </c>
      <c r="BW536" s="21" t="str">
        <f>IF([1]!BANCO10[[#This Row],[SOLUÇÃO]]=BW$1,[1]!BANCO10[[#This Row],[STATUS DA ETAPA]],"")</f>
        <v/>
      </c>
      <c r="BX536" s="21" t="str">
        <f>IF([1]!BANCO10[[#This Row],[SOLUÇÃO]]=BX$1,[1]!BANCO10[[#This Row],[STATUS DA ETAPA]],"")</f>
        <v/>
      </c>
      <c r="BY536" s="21" t="str">
        <f>IF([1]!BANCO10[[#This Row],[SOLUÇÃO]]=BY$1,[1]!BANCO10[[#This Row],[STATUS DA ETAPA]],"")</f>
        <v/>
      </c>
      <c r="BZ536" s="21" t="str">
        <f>IF([1]!BANCO10[[#This Row],[SOLUÇÃO]]=BZ$1,[1]!BANCO10[[#This Row],[STATUS DA ETAPA]],"")</f>
        <v/>
      </c>
      <c r="CA536" s="21" t="str">
        <f>IF([1]!BANCO10[[#This Row],[SOLUÇÃO]]=CA$1,[1]!BANCO10[[#This Row],[STATUS DA ETAPA]],"")</f>
        <v/>
      </c>
      <c r="CB536" s="21" t="str">
        <f>IF([1]!BANCO10[[#This Row],[SOLUÇÃO]]=CB$1,[1]!BANCO10[[#This Row],[STATUS DA ETAPA]],"")</f>
        <v>AGUARDANDO SALDO</v>
      </c>
      <c r="CC536" s="21" t="str">
        <f>IF([1]!BANCO10[[#This Row],[SOLUÇÃO]]=CC$1,[1]!BANCO10[[#This Row],[STATUS DA ETAPA]],"")</f>
        <v/>
      </c>
      <c r="CD536" s="21" t="str">
        <f>IF([1]!BANCO10[[#This Row],[SOLUÇÃO]]=CD$1,[1]!BANCO10[[#This Row],[STATUS DA ETAPA]],"")</f>
        <v/>
      </c>
      <c r="CE536" s="21" t="str">
        <f>IF([1]!BANCO10[[#This Row],[SOLUÇÃO]]=CE$1,[1]!BANCO10[[#This Row],[STATUS DA ETAPA]],"")</f>
        <v/>
      </c>
      <c r="CF536" s="21" t="str">
        <f>IF([1]!BANCO10[[#This Row],[SOLUÇÃO]]=CF$1,[1]!BANCO10[[#This Row],[STATUS DA ETAPA]],"")</f>
        <v/>
      </c>
      <c r="CG536" s="21" t="str">
        <f>IF([1]!BANCO10[[#This Row],[SOLUÇÃO]]=CG$1,[1]!BANCO10[[#This Row],[STATUS DA ETAPA]],"")</f>
        <v/>
      </c>
      <c r="CH536" s="21" t="str">
        <f>IF([1]!BANCO10[[#This Row],[SOLUÇÃO]]=CH$1,[1]!BANCO10[[#This Row],[STATUS DA ETAPA]],"")</f>
        <v/>
      </c>
      <c r="CI536" s="21" t="str">
        <f>IF([1]!BANCO10[[#This Row],[SOLUÇÃO]]=CI$1,[1]!BANCO10[[#This Row],[STATUS DA ETAPA]],"")</f>
        <v/>
      </c>
      <c r="CJ536" s="21" t="str">
        <f>IF([1]!BANCO10[[#This Row],[SOLUÇÃO]]=CJ$1,[1]!BANCO10[[#This Row],[STATUS DA ETAPA]],"")</f>
        <v/>
      </c>
      <c r="CK536" s="21" t="str">
        <f>IF([1]!BANCO10[[#This Row],[SOLUÇÃO]]=CK$1,[1]!BANCO10[[#This Row],[STATUS DA ETAPA]],"")</f>
        <v/>
      </c>
      <c r="CL536" s="21" t="str">
        <f>IF([1]!BANCO10[[#This Row],[SOLUÇÃO]]=CL$1,[1]!BANCO10[[#This Row],[STATUS DA ETAPA]],"")</f>
        <v/>
      </c>
      <c r="CM536" s="21" t="str">
        <f>IF([1]!BANCO10[[#This Row],[SOLUÇÃO]]=CM$1,[1]!BANCO10[[#This Row],[STATUS DA ETAPA]],"")</f>
        <v/>
      </c>
      <c r="CN536" s="21" t="str">
        <f>IF([1]!BANCO10[[#This Row],[SOLUÇÃO]]=CN$1,[1]!BANCO10[[#This Row],[STATUS DA ETAPA]],"")</f>
        <v/>
      </c>
      <c r="CO536" s="21" t="str">
        <f>IF([1]!BANCO10[[#This Row],[SOLUÇÃO]]=CO$1,[1]!BANCO10[[#This Row],[STATUS DA ETAPA]],"")</f>
        <v/>
      </c>
      <c r="CP536" s="21" t="str">
        <f>IF([1]!BANCO10[[#This Row],[SOLUÇÃO]]=CP$1,[1]!BANCO10[[#This Row],[STATUS DA ETAPA]],"")</f>
        <v/>
      </c>
      <c r="CQ536" s="21" t="str">
        <f>IF([1]!BANCO10[[#This Row],[SOLUÇÃO]]=CQ$1,[1]!BANCO10[[#This Row],[STATUS DA ETAPA]],"")</f>
        <v/>
      </c>
      <c r="CR536" s="21" t="str">
        <f>IF([1]!BANCO10[[#This Row],[SOLUÇÃO]]=CR$1,[1]!BANCO10[[#This Row],[STATUS DA ETAPA]],"")</f>
        <v/>
      </c>
      <c r="CS536" s="21" t="str">
        <f>IF([1]!BANCO10[[#This Row],[SOLUÇÃO]]=CS$1,[1]!BANCO10[[#This Row],[STATUS DA ETAPA]],"")</f>
        <v/>
      </c>
      <c r="CT536" s="21" t="str">
        <f>IF([1]!BANCO10[[#This Row],[SOLUÇÃO]]=CT$1,[1]!BANCO10[[#This Row],[STATUS DA ETAPA]],"")</f>
        <v/>
      </c>
      <c r="CU536" s="21" t="str">
        <f>IF([1]!BANCO10[[#This Row],[SOLUÇÃO]]=CU$1,[1]!BANCO10[[#This Row],[STATUS DA ETAPA]],"")</f>
        <v/>
      </c>
      <c r="CV536" s="21" t="str">
        <f>IF([1]!BANCO10[[#This Row],[SOLUÇÃO]]=CV$1,[1]!BANCO10[[#This Row],[STATUS DA ETAPA]],"")</f>
        <v/>
      </c>
    </row>
    <row r="537" spans="1:100">
      <c r="A537" s="44" t="s">
        <v>2</v>
      </c>
      <c r="B537" s="44">
        <v>45890</v>
      </c>
      <c r="C537" s="44" t="s">
        <v>2</v>
      </c>
      <c r="D537" s="44">
        <v>45890</v>
      </c>
      <c r="E537" s="44" t="s">
        <v>2</v>
      </c>
      <c r="F537" s="44">
        <v>45905</v>
      </c>
      <c r="G537" s="44" t="s">
        <v>2</v>
      </c>
      <c r="H537" s="44">
        <v>45905</v>
      </c>
      <c r="I537" s="45" t="s">
        <v>2</v>
      </c>
      <c r="J537" s="46">
        <v>45906</v>
      </c>
      <c r="K537" s="45" t="s">
        <v>0</v>
      </c>
      <c r="L537" s="33"/>
      <c r="M537" s="45" t="s">
        <v>0</v>
      </c>
      <c r="N537" s="33"/>
      <c r="O537" s="44" t="s">
        <v>1</v>
      </c>
      <c r="P537" s="44"/>
      <c r="Q537" s="44" t="s">
        <v>1</v>
      </c>
      <c r="R537" s="44"/>
      <c r="S537" s="44"/>
      <c r="T537" s="44"/>
      <c r="U537" s="44" t="s">
        <v>1</v>
      </c>
      <c r="V537" s="44"/>
      <c r="W537" s="44" t="s">
        <v>1</v>
      </c>
      <c r="X537" s="44"/>
      <c r="Y537" s="44" t="s">
        <v>1</v>
      </c>
      <c r="Z537" s="44"/>
      <c r="AA537" s="44" t="s">
        <v>1</v>
      </c>
      <c r="AB537" s="44"/>
      <c r="AC537" s="51">
        <v>46022</v>
      </c>
      <c r="AD537" s="50">
        <v>46022</v>
      </c>
      <c r="AE537" s="41" t="s">
        <v>0</v>
      </c>
      <c r="AF537" s="41" t="s">
        <v>0</v>
      </c>
      <c r="AG537" s="40" t="s">
        <v>5</v>
      </c>
      <c r="AH537" s="36" t="s">
        <v>0</v>
      </c>
      <c r="AI537" s="49">
        <v>14440</v>
      </c>
      <c r="AJ537" s="36" t="s">
        <v>3</v>
      </c>
      <c r="AK537" s="10">
        <v>711246</v>
      </c>
      <c r="AL537" s="36" t="s">
        <v>1</v>
      </c>
      <c r="AM537" s="36" t="s">
        <v>1</v>
      </c>
      <c r="AN537" s="35" t="s">
        <v>0</v>
      </c>
      <c r="AO537" s="35" t="s">
        <v>0</v>
      </c>
      <c r="AP537" s="35" t="s">
        <v>0</v>
      </c>
      <c r="AQ537" s="35" t="s">
        <v>0</v>
      </c>
      <c r="AR537" s="34" t="s">
        <v>0</v>
      </c>
      <c r="AS537" s="33"/>
      <c r="AT537" s="32" t="s">
        <v>0</v>
      </c>
      <c r="AU537" s="31"/>
      <c r="AV537" s="32" t="s">
        <v>0</v>
      </c>
      <c r="AW537" s="31"/>
      <c r="AX537" s="32" t="s">
        <v>0</v>
      </c>
      <c r="AY537" s="31"/>
      <c r="AZ537" s="32" t="s">
        <v>0</v>
      </c>
      <c r="BA537" s="31"/>
      <c r="BB537" s="26" t="s">
        <v>7</v>
      </c>
      <c r="BC537" s="25" t="s">
        <v>348</v>
      </c>
      <c r="BD537" s="24"/>
      <c r="BE537" s="24"/>
      <c r="BF537" s="24"/>
      <c r="BG537" s="24"/>
      <c r="BH537" s="24"/>
      <c r="BI537" s="24"/>
      <c r="BJ537" s="24"/>
      <c r="BK537" s="24"/>
      <c r="BL537" s="24"/>
      <c r="BM537" s="24"/>
      <c r="BN537" s="24"/>
      <c r="BO537" s="24"/>
      <c r="BP537" s="24"/>
      <c r="BQ537" s="22">
        <f>YEAR([1]!BANCO10[[#This Row],[DATA INÍCIO]])</f>
        <v>2025</v>
      </c>
      <c r="BR537" s="22">
        <f>MONTH([1]!BANCO10[[#This Row],[DATA INÍCIO]])</f>
        <v>12</v>
      </c>
      <c r="BS537" s="23" t="e">
        <f>CONCATENATE(#REF!,#REF!)</f>
        <v>#REF!</v>
      </c>
      <c r="BT537" s="22"/>
      <c r="BU537" s="22"/>
      <c r="BV537" s="21" t="str">
        <f>IF([1]!BANCO10[[#This Row],[SOLUÇÃO]]=BV$1,[1]!BANCO10[[#This Row],[STATUS DA ETAPA]],"")</f>
        <v/>
      </c>
      <c r="BW537" s="21" t="str">
        <f>IF([1]!BANCO10[[#This Row],[SOLUÇÃO]]=BW$1,[1]!BANCO10[[#This Row],[STATUS DA ETAPA]],"")</f>
        <v/>
      </c>
      <c r="BX537" s="21" t="str">
        <f>IF([1]!BANCO10[[#This Row],[SOLUÇÃO]]=BX$1,[1]!BANCO10[[#This Row],[STATUS DA ETAPA]],"")</f>
        <v/>
      </c>
      <c r="BY537" s="21" t="str">
        <f>IF([1]!BANCO10[[#This Row],[SOLUÇÃO]]=BY$1,[1]!BANCO10[[#This Row],[STATUS DA ETAPA]],"")</f>
        <v/>
      </c>
      <c r="BZ537" s="21" t="str">
        <f>IF([1]!BANCO10[[#This Row],[SOLUÇÃO]]=BZ$1,[1]!BANCO10[[#This Row],[STATUS DA ETAPA]],"")</f>
        <v/>
      </c>
      <c r="CA537" s="21" t="str">
        <f>IF([1]!BANCO10[[#This Row],[SOLUÇÃO]]=CA$1,[1]!BANCO10[[#This Row],[STATUS DA ETAPA]],"")</f>
        <v/>
      </c>
      <c r="CB537" s="21" t="str">
        <f>IF([1]!BANCO10[[#This Row],[SOLUÇÃO]]=CB$1,[1]!BANCO10[[#This Row],[STATUS DA ETAPA]],"")</f>
        <v>AGUARDANDO SALDO</v>
      </c>
      <c r="CC537" s="21" t="str">
        <f>IF([1]!BANCO10[[#This Row],[SOLUÇÃO]]=CC$1,[1]!BANCO10[[#This Row],[STATUS DA ETAPA]],"")</f>
        <v/>
      </c>
      <c r="CD537" s="21" t="str">
        <f>IF([1]!BANCO10[[#This Row],[SOLUÇÃO]]=CD$1,[1]!BANCO10[[#This Row],[STATUS DA ETAPA]],"")</f>
        <v/>
      </c>
      <c r="CE537" s="21" t="str">
        <f>IF([1]!BANCO10[[#This Row],[SOLUÇÃO]]=CE$1,[1]!BANCO10[[#This Row],[STATUS DA ETAPA]],"")</f>
        <v/>
      </c>
      <c r="CF537" s="21" t="str">
        <f>IF([1]!BANCO10[[#This Row],[SOLUÇÃO]]=CF$1,[1]!BANCO10[[#This Row],[STATUS DA ETAPA]],"")</f>
        <v/>
      </c>
      <c r="CG537" s="21" t="str">
        <f>IF([1]!BANCO10[[#This Row],[SOLUÇÃO]]=CG$1,[1]!BANCO10[[#This Row],[STATUS DA ETAPA]],"")</f>
        <v/>
      </c>
      <c r="CH537" s="21" t="str">
        <f>IF([1]!BANCO10[[#This Row],[SOLUÇÃO]]=CH$1,[1]!BANCO10[[#This Row],[STATUS DA ETAPA]],"")</f>
        <v/>
      </c>
      <c r="CI537" s="21" t="str">
        <f>IF([1]!BANCO10[[#This Row],[SOLUÇÃO]]=CI$1,[1]!BANCO10[[#This Row],[STATUS DA ETAPA]],"")</f>
        <v/>
      </c>
      <c r="CJ537" s="21" t="str">
        <f>IF([1]!BANCO10[[#This Row],[SOLUÇÃO]]=CJ$1,[1]!BANCO10[[#This Row],[STATUS DA ETAPA]],"")</f>
        <v/>
      </c>
      <c r="CK537" s="21" t="str">
        <f>IF([1]!BANCO10[[#This Row],[SOLUÇÃO]]=CK$1,[1]!BANCO10[[#This Row],[STATUS DA ETAPA]],"")</f>
        <v/>
      </c>
      <c r="CL537" s="21" t="str">
        <f>IF([1]!BANCO10[[#This Row],[SOLUÇÃO]]=CL$1,[1]!BANCO10[[#This Row],[STATUS DA ETAPA]],"")</f>
        <v/>
      </c>
      <c r="CM537" s="21" t="str">
        <f>IF([1]!BANCO10[[#This Row],[SOLUÇÃO]]=CM$1,[1]!BANCO10[[#This Row],[STATUS DA ETAPA]],"")</f>
        <v/>
      </c>
      <c r="CN537" s="21" t="str">
        <f>IF([1]!BANCO10[[#This Row],[SOLUÇÃO]]=CN$1,[1]!BANCO10[[#This Row],[STATUS DA ETAPA]],"")</f>
        <v/>
      </c>
      <c r="CO537" s="21" t="str">
        <f>IF([1]!BANCO10[[#This Row],[SOLUÇÃO]]=CO$1,[1]!BANCO10[[#This Row],[STATUS DA ETAPA]],"")</f>
        <v/>
      </c>
      <c r="CP537" s="21" t="str">
        <f>IF([1]!BANCO10[[#This Row],[SOLUÇÃO]]=CP$1,[1]!BANCO10[[#This Row],[STATUS DA ETAPA]],"")</f>
        <v/>
      </c>
      <c r="CQ537" s="21" t="str">
        <f>IF([1]!BANCO10[[#This Row],[SOLUÇÃO]]=CQ$1,[1]!BANCO10[[#This Row],[STATUS DA ETAPA]],"")</f>
        <v/>
      </c>
      <c r="CR537" s="21" t="str">
        <f>IF([1]!BANCO10[[#This Row],[SOLUÇÃO]]=CR$1,[1]!BANCO10[[#This Row],[STATUS DA ETAPA]],"")</f>
        <v/>
      </c>
      <c r="CS537" s="21" t="str">
        <f>IF([1]!BANCO10[[#This Row],[SOLUÇÃO]]=CS$1,[1]!BANCO10[[#This Row],[STATUS DA ETAPA]],"")</f>
        <v/>
      </c>
      <c r="CT537" s="21" t="str">
        <f>IF([1]!BANCO10[[#This Row],[SOLUÇÃO]]=CT$1,[1]!BANCO10[[#This Row],[STATUS DA ETAPA]],"")</f>
        <v/>
      </c>
      <c r="CU537" s="21" t="str">
        <f>IF([1]!BANCO10[[#This Row],[SOLUÇÃO]]=CU$1,[1]!BANCO10[[#This Row],[STATUS DA ETAPA]],"")</f>
        <v/>
      </c>
      <c r="CV537" s="21" t="str">
        <f>IF([1]!BANCO10[[#This Row],[SOLUÇÃO]]=CV$1,[1]!BANCO10[[#This Row],[STATUS DA ETAPA]],"")</f>
        <v/>
      </c>
    </row>
    <row r="538" spans="1:100">
      <c r="A538" s="44" t="s">
        <v>2</v>
      </c>
      <c r="B538" s="44">
        <v>45698</v>
      </c>
      <c r="C538" s="44" t="s">
        <v>2</v>
      </c>
      <c r="D538" s="44">
        <v>45705</v>
      </c>
      <c r="E538" s="44" t="s">
        <v>2</v>
      </c>
      <c r="F538" s="44">
        <v>45706</v>
      </c>
      <c r="G538" s="44" t="s">
        <v>2</v>
      </c>
      <c r="H538" s="44">
        <v>45706</v>
      </c>
      <c r="I538" s="45" t="s">
        <v>2</v>
      </c>
      <c r="J538" s="46">
        <v>45700</v>
      </c>
      <c r="K538" s="45" t="s">
        <v>2</v>
      </c>
      <c r="L538" s="33">
        <v>45694</v>
      </c>
      <c r="M538" s="45" t="s">
        <v>2</v>
      </c>
      <c r="N538" s="33">
        <v>45695</v>
      </c>
      <c r="O538" s="44" t="s">
        <v>1</v>
      </c>
      <c r="P538" s="44"/>
      <c r="Q538" s="44" t="s">
        <v>2</v>
      </c>
      <c r="R538" s="44"/>
      <c r="S538" s="44" t="s">
        <v>2</v>
      </c>
      <c r="T538" s="44">
        <v>45708</v>
      </c>
      <c r="U538" s="44" t="s">
        <v>1</v>
      </c>
      <c r="V538" s="44"/>
      <c r="W538" s="44" t="s">
        <v>1</v>
      </c>
      <c r="X538" s="44"/>
      <c r="Y538" s="44" t="s">
        <v>1</v>
      </c>
      <c r="Z538" s="44"/>
      <c r="AA538" s="44" t="s">
        <v>1</v>
      </c>
      <c r="AB538" s="44"/>
      <c r="AC538" s="51">
        <v>45785</v>
      </c>
      <c r="AD538" s="50">
        <v>45889</v>
      </c>
      <c r="AE538" s="41" t="s">
        <v>2</v>
      </c>
      <c r="AF538" s="41" t="s">
        <v>2</v>
      </c>
      <c r="AG538" s="40" t="s">
        <v>5</v>
      </c>
      <c r="AH538" s="36" t="s">
        <v>0</v>
      </c>
      <c r="AI538" s="49">
        <v>14440</v>
      </c>
      <c r="AJ538" s="36" t="s">
        <v>6</v>
      </c>
      <c r="AK538" s="10">
        <v>664905</v>
      </c>
      <c r="AL538" s="36" t="s">
        <v>1</v>
      </c>
      <c r="AM538" s="36" t="s">
        <v>1</v>
      </c>
      <c r="AN538" s="35" t="s">
        <v>2</v>
      </c>
      <c r="AO538" s="35" t="s">
        <v>2</v>
      </c>
      <c r="AP538" s="35" t="s">
        <v>2</v>
      </c>
      <c r="AQ538" s="35" t="s">
        <v>2</v>
      </c>
      <c r="AR538" s="34" t="s">
        <v>2</v>
      </c>
      <c r="AS538" s="33">
        <v>45889</v>
      </c>
      <c r="AT538" s="32" t="s">
        <v>1</v>
      </c>
      <c r="AU538" s="31"/>
      <c r="AV538" s="32" t="s">
        <v>1</v>
      </c>
      <c r="AW538" s="31"/>
      <c r="AX538" s="30" t="s">
        <v>2</v>
      </c>
      <c r="AY538" s="31">
        <v>45889</v>
      </c>
      <c r="AZ538" s="32" t="s">
        <v>0</v>
      </c>
      <c r="BA538" s="31"/>
      <c r="BB538" s="92" t="s">
        <v>68</v>
      </c>
      <c r="BC538" s="22">
        <v>0</v>
      </c>
      <c r="BD538" s="24"/>
      <c r="BE538" s="24"/>
      <c r="BF538" s="24"/>
      <c r="BG538" s="24"/>
      <c r="BH538" s="24"/>
      <c r="BI538" s="24"/>
      <c r="BJ538" s="24"/>
      <c r="BK538" s="24"/>
      <c r="BL538" s="24"/>
      <c r="BM538" s="24"/>
      <c r="BN538" s="24"/>
      <c r="BO538" s="24"/>
      <c r="BP538" s="24"/>
      <c r="BQ538" s="22">
        <f>YEAR([1]!BANCO10[[#This Row],[DATA INÍCIO]])</f>
        <v>2025</v>
      </c>
      <c r="BR538" s="22">
        <f>MONTH([1]!BANCO10[[#This Row],[DATA INÍCIO]])</f>
        <v>5</v>
      </c>
      <c r="BS538" s="23" t="e">
        <f>CONCATENATE(#REF!,#REF!)</f>
        <v>#REF!</v>
      </c>
      <c r="BT538" s="22"/>
      <c r="BU538" s="22"/>
      <c r="BV538" s="21" t="str">
        <f>IF([1]!BANCO10[[#This Row],[SOLUÇÃO]]=BV$1,[1]!BANCO10[[#This Row],[STATUS DA ETAPA]],"")</f>
        <v/>
      </c>
      <c r="BW538" s="21" t="str">
        <f>IF([1]!BANCO10[[#This Row],[SOLUÇÃO]]=BW$1,[1]!BANCO10[[#This Row],[STATUS DA ETAPA]],"")</f>
        <v/>
      </c>
      <c r="BX538" s="21" t="str">
        <f>IF([1]!BANCO10[[#This Row],[SOLUÇÃO]]=BX$1,[1]!BANCO10[[#This Row],[STATUS DA ETAPA]],"")</f>
        <v/>
      </c>
      <c r="BY538" s="21" t="str">
        <f>IF([1]!BANCO10[[#This Row],[SOLUÇÃO]]=BY$1,[1]!BANCO10[[#This Row],[STATUS DA ETAPA]],"")</f>
        <v/>
      </c>
      <c r="BZ538" s="21" t="str">
        <f>IF([1]!BANCO10[[#This Row],[SOLUÇÃO]]=BZ$1,[1]!BANCO10[[#This Row],[STATUS DA ETAPA]],"")</f>
        <v/>
      </c>
      <c r="CA538" s="21" t="str">
        <f>IF([1]!BANCO10[[#This Row],[SOLUÇÃO]]=CA$1,[1]!BANCO10[[#This Row],[STATUS DA ETAPA]],"")</f>
        <v/>
      </c>
      <c r="CB538" s="21" t="str">
        <f>IF([1]!BANCO10[[#This Row],[SOLUÇÃO]]=CB$1,[1]!BANCO10[[#This Row],[STATUS DA ETAPA]],"")</f>
        <v>CONCLUÍDO</v>
      </c>
      <c r="CC538" s="21" t="str">
        <f>IF([1]!BANCO10[[#This Row],[SOLUÇÃO]]=CC$1,[1]!BANCO10[[#This Row],[STATUS DA ETAPA]],"")</f>
        <v/>
      </c>
      <c r="CD538" s="21" t="str">
        <f>IF([1]!BANCO10[[#This Row],[SOLUÇÃO]]=CD$1,[1]!BANCO10[[#This Row],[STATUS DA ETAPA]],"")</f>
        <v/>
      </c>
      <c r="CE538" s="21" t="str">
        <f>IF([1]!BANCO10[[#This Row],[SOLUÇÃO]]=CE$1,[1]!BANCO10[[#This Row],[STATUS DA ETAPA]],"")</f>
        <v/>
      </c>
      <c r="CF538" s="21" t="str">
        <f>IF([1]!BANCO10[[#This Row],[SOLUÇÃO]]=CF$1,[1]!BANCO10[[#This Row],[STATUS DA ETAPA]],"")</f>
        <v/>
      </c>
      <c r="CG538" s="21" t="str">
        <f>IF([1]!BANCO10[[#This Row],[SOLUÇÃO]]=CG$1,[1]!BANCO10[[#This Row],[STATUS DA ETAPA]],"")</f>
        <v/>
      </c>
      <c r="CH538" s="21" t="str">
        <f>IF([1]!BANCO10[[#This Row],[SOLUÇÃO]]=CH$1,[1]!BANCO10[[#This Row],[STATUS DA ETAPA]],"")</f>
        <v/>
      </c>
      <c r="CI538" s="21" t="str">
        <f>IF([1]!BANCO10[[#This Row],[SOLUÇÃO]]=CI$1,[1]!BANCO10[[#This Row],[STATUS DA ETAPA]],"")</f>
        <v/>
      </c>
      <c r="CJ538" s="21" t="str">
        <f>IF([1]!BANCO10[[#This Row],[SOLUÇÃO]]=CJ$1,[1]!BANCO10[[#This Row],[STATUS DA ETAPA]],"")</f>
        <v/>
      </c>
      <c r="CK538" s="21" t="str">
        <f>IF([1]!BANCO10[[#This Row],[SOLUÇÃO]]=CK$1,[1]!BANCO10[[#This Row],[STATUS DA ETAPA]],"")</f>
        <v/>
      </c>
      <c r="CL538" s="21" t="str">
        <f>IF([1]!BANCO10[[#This Row],[SOLUÇÃO]]=CL$1,[1]!BANCO10[[#This Row],[STATUS DA ETAPA]],"")</f>
        <v/>
      </c>
      <c r="CM538" s="21" t="str">
        <f>IF([1]!BANCO10[[#This Row],[SOLUÇÃO]]=CM$1,[1]!BANCO10[[#This Row],[STATUS DA ETAPA]],"")</f>
        <v/>
      </c>
      <c r="CN538" s="21" t="str">
        <f>IF([1]!BANCO10[[#This Row],[SOLUÇÃO]]=CN$1,[1]!BANCO10[[#This Row],[STATUS DA ETAPA]],"")</f>
        <v/>
      </c>
      <c r="CO538" s="21" t="str">
        <f>IF([1]!BANCO10[[#This Row],[SOLUÇÃO]]=CO$1,[1]!BANCO10[[#This Row],[STATUS DA ETAPA]],"")</f>
        <v/>
      </c>
      <c r="CP538" s="21" t="str">
        <f>IF([1]!BANCO10[[#This Row],[SOLUÇÃO]]=CP$1,[1]!BANCO10[[#This Row],[STATUS DA ETAPA]],"")</f>
        <v/>
      </c>
      <c r="CQ538" s="21" t="str">
        <f>IF([1]!BANCO10[[#This Row],[SOLUÇÃO]]=CQ$1,[1]!BANCO10[[#This Row],[STATUS DA ETAPA]],"")</f>
        <v/>
      </c>
      <c r="CR538" s="21" t="str">
        <f>IF([1]!BANCO10[[#This Row],[SOLUÇÃO]]=CR$1,[1]!BANCO10[[#This Row],[STATUS DA ETAPA]],"")</f>
        <v/>
      </c>
      <c r="CS538" s="21" t="str">
        <f>IF([1]!BANCO10[[#This Row],[SOLUÇÃO]]=CS$1,[1]!BANCO10[[#This Row],[STATUS DA ETAPA]],"")</f>
        <v/>
      </c>
      <c r="CT538" s="21" t="str">
        <f>IF([1]!BANCO10[[#This Row],[SOLUÇÃO]]=CT$1,[1]!BANCO10[[#This Row],[STATUS DA ETAPA]],"")</f>
        <v/>
      </c>
      <c r="CU538" s="21" t="str">
        <f>IF([1]!BANCO10[[#This Row],[SOLUÇÃO]]=CU$1,[1]!BANCO10[[#This Row],[STATUS DA ETAPA]],"")</f>
        <v/>
      </c>
      <c r="CV538" s="21" t="str">
        <f>IF([1]!BANCO10[[#This Row],[SOLUÇÃO]]=CV$1,[1]!BANCO10[[#This Row],[STATUS DA ETAPA]],"")</f>
        <v/>
      </c>
    </row>
    <row r="539" spans="1:100">
      <c r="A539" s="44" t="s">
        <v>1</v>
      </c>
      <c r="B539" s="44"/>
      <c r="C539" s="44" t="s">
        <v>1</v>
      </c>
      <c r="D539" s="44"/>
      <c r="E539" s="44" t="s">
        <v>1</v>
      </c>
      <c r="F539" s="44"/>
      <c r="G539" s="44" t="s">
        <v>1</v>
      </c>
      <c r="H539" s="44"/>
      <c r="I539" s="45" t="s">
        <v>1</v>
      </c>
      <c r="J539" s="46"/>
      <c r="K539" s="45" t="s">
        <v>1</v>
      </c>
      <c r="L539" s="33"/>
      <c r="M539" s="45" t="s">
        <v>1</v>
      </c>
      <c r="N539" s="33"/>
      <c r="O539" s="44" t="s">
        <v>1</v>
      </c>
      <c r="P539" s="44"/>
      <c r="Q539" s="44" t="s">
        <v>1</v>
      </c>
      <c r="R539" s="44" t="s">
        <v>1</v>
      </c>
      <c r="S539" s="44" t="s">
        <v>1</v>
      </c>
      <c r="T539" s="44"/>
      <c r="U539" s="44" t="s">
        <v>1</v>
      </c>
      <c r="V539" s="44"/>
      <c r="W539" s="44" t="s">
        <v>1</v>
      </c>
      <c r="X539" s="44"/>
      <c r="Y539" s="44" t="s">
        <v>1</v>
      </c>
      <c r="Z539" s="44"/>
      <c r="AA539" s="44" t="s">
        <v>1</v>
      </c>
      <c r="AB539" s="44"/>
      <c r="AC539" s="51">
        <v>45713</v>
      </c>
      <c r="AD539" s="50">
        <v>45713</v>
      </c>
      <c r="AE539" s="41" t="s">
        <v>1</v>
      </c>
      <c r="AF539" s="41" t="s">
        <v>1</v>
      </c>
      <c r="AG539" s="40" t="s">
        <v>5</v>
      </c>
      <c r="AH539" s="36" t="s">
        <v>2</v>
      </c>
      <c r="AI539" s="49">
        <v>0</v>
      </c>
      <c r="AJ539" s="36" t="s">
        <v>1</v>
      </c>
      <c r="AK539" s="10" t="s">
        <v>1</v>
      </c>
      <c r="AL539" s="36" t="s">
        <v>1</v>
      </c>
      <c r="AM539" s="36" t="s">
        <v>1</v>
      </c>
      <c r="AN539" s="35" t="s">
        <v>1</v>
      </c>
      <c r="AO539" s="35" t="s">
        <v>1</v>
      </c>
      <c r="AP539" s="35" t="s">
        <v>1</v>
      </c>
      <c r="AQ539" s="35" t="s">
        <v>1</v>
      </c>
      <c r="AR539" s="82" t="s">
        <v>1</v>
      </c>
      <c r="AS539" s="33"/>
      <c r="AT539" s="32" t="s">
        <v>1</v>
      </c>
      <c r="AU539" s="31"/>
      <c r="AV539" s="32" t="s">
        <v>1</v>
      </c>
      <c r="AW539" s="31"/>
      <c r="AX539" s="32" t="s">
        <v>1</v>
      </c>
      <c r="AY539" s="31"/>
      <c r="AZ539" s="32" t="s">
        <v>1</v>
      </c>
      <c r="BA539" s="31"/>
      <c r="BB539" s="26"/>
      <c r="BC539" s="25"/>
      <c r="BD539" s="24"/>
      <c r="BE539" s="24"/>
      <c r="BF539" s="24"/>
      <c r="BG539" s="24"/>
      <c r="BH539" s="24"/>
      <c r="BI539" s="24"/>
      <c r="BJ539" s="24"/>
      <c r="BK539" s="24"/>
      <c r="BL539" s="24"/>
      <c r="BM539" s="24"/>
      <c r="BN539" s="24"/>
      <c r="BO539" s="24"/>
      <c r="BP539" s="24"/>
      <c r="BQ539" s="22">
        <f>YEAR([1]!BANCO10[[#This Row],[DATA INÍCIO]])</f>
        <v>2025</v>
      </c>
      <c r="BR539" s="22">
        <f>MONTH([1]!BANCO10[[#This Row],[DATA INÍCIO]])</f>
        <v>2</v>
      </c>
      <c r="BS539" s="23" t="e">
        <f>CONCATENATE(#REF!,#REF!)</f>
        <v>#REF!</v>
      </c>
      <c r="BT539" s="22"/>
      <c r="BU539" s="22"/>
      <c r="BV539" s="21" t="str">
        <f>IF([1]!BANCO10[[#This Row],[SOLUÇÃO]]=BV$1,[1]!BANCO10[[#This Row],[STATUS DA ETAPA]],"")</f>
        <v>CONCLUÍDO</v>
      </c>
      <c r="BW539" s="21" t="str">
        <f>IF([1]!BANCO10[[#This Row],[SOLUÇÃO]]=BW$1,[1]!BANCO10[[#This Row],[STATUS DA ETAPA]],"")</f>
        <v/>
      </c>
      <c r="BX539" s="21" t="str">
        <f>IF([1]!BANCO10[[#This Row],[SOLUÇÃO]]=BX$1,[1]!BANCO10[[#This Row],[STATUS DA ETAPA]],"")</f>
        <v/>
      </c>
      <c r="BY539" s="21" t="str">
        <f>IF([1]!BANCO10[[#This Row],[SOLUÇÃO]]=BY$1,[1]!BANCO10[[#This Row],[STATUS DA ETAPA]],"")</f>
        <v/>
      </c>
      <c r="BZ539" s="21" t="str">
        <f>IF([1]!BANCO10[[#This Row],[SOLUÇÃO]]=BZ$1,[1]!BANCO10[[#This Row],[STATUS DA ETAPA]],"")</f>
        <v/>
      </c>
      <c r="CA539" s="21" t="str">
        <f>IF([1]!BANCO10[[#This Row],[SOLUÇÃO]]=CA$1,[1]!BANCO10[[#This Row],[STATUS DA ETAPA]],"")</f>
        <v/>
      </c>
      <c r="CB539" s="21" t="str">
        <f>IF([1]!BANCO10[[#This Row],[SOLUÇÃO]]=CB$1,[1]!BANCO10[[#This Row],[STATUS DA ETAPA]],"")</f>
        <v/>
      </c>
      <c r="CC539" s="21" t="str">
        <f>IF([1]!BANCO10[[#This Row],[SOLUÇÃO]]=CC$1,[1]!BANCO10[[#This Row],[STATUS DA ETAPA]],"")</f>
        <v/>
      </c>
      <c r="CD539" s="21" t="str">
        <f>IF([1]!BANCO10[[#This Row],[SOLUÇÃO]]=CD$1,[1]!BANCO10[[#This Row],[STATUS DA ETAPA]],"")</f>
        <v/>
      </c>
      <c r="CE539" s="21" t="str">
        <f>IF([1]!BANCO10[[#This Row],[SOLUÇÃO]]=CE$1,[1]!BANCO10[[#This Row],[STATUS DA ETAPA]],"")</f>
        <v/>
      </c>
      <c r="CF539" s="21" t="str">
        <f>IF([1]!BANCO10[[#This Row],[SOLUÇÃO]]=CF$1,[1]!BANCO10[[#This Row],[STATUS DA ETAPA]],"")</f>
        <v/>
      </c>
      <c r="CG539" s="21" t="str">
        <f>IF([1]!BANCO10[[#This Row],[SOLUÇÃO]]=CG$1,[1]!BANCO10[[#This Row],[STATUS DA ETAPA]],"")</f>
        <v/>
      </c>
      <c r="CH539" s="21" t="str">
        <f>IF([1]!BANCO10[[#This Row],[SOLUÇÃO]]=CH$1,[1]!BANCO10[[#This Row],[STATUS DA ETAPA]],"")</f>
        <v/>
      </c>
      <c r="CI539" s="21" t="str">
        <f>IF([1]!BANCO10[[#This Row],[SOLUÇÃO]]=CI$1,[1]!BANCO10[[#This Row],[STATUS DA ETAPA]],"")</f>
        <v/>
      </c>
      <c r="CJ539" s="21" t="str">
        <f>IF([1]!BANCO10[[#This Row],[SOLUÇÃO]]=CJ$1,[1]!BANCO10[[#This Row],[STATUS DA ETAPA]],"")</f>
        <v/>
      </c>
      <c r="CK539" s="21" t="str">
        <f>IF([1]!BANCO10[[#This Row],[SOLUÇÃO]]=CK$1,[1]!BANCO10[[#This Row],[STATUS DA ETAPA]],"")</f>
        <v/>
      </c>
      <c r="CL539" s="21" t="str">
        <f>IF([1]!BANCO10[[#This Row],[SOLUÇÃO]]=CL$1,[1]!BANCO10[[#This Row],[STATUS DA ETAPA]],"")</f>
        <v/>
      </c>
      <c r="CM539" s="21" t="str">
        <f>IF([1]!BANCO10[[#This Row],[SOLUÇÃO]]=CM$1,[1]!BANCO10[[#This Row],[STATUS DA ETAPA]],"")</f>
        <v/>
      </c>
      <c r="CN539" s="21" t="str">
        <f>IF([1]!BANCO10[[#This Row],[SOLUÇÃO]]=CN$1,[1]!BANCO10[[#This Row],[STATUS DA ETAPA]],"")</f>
        <v/>
      </c>
      <c r="CO539" s="21" t="str">
        <f>IF([1]!BANCO10[[#This Row],[SOLUÇÃO]]=CO$1,[1]!BANCO10[[#This Row],[STATUS DA ETAPA]],"")</f>
        <v/>
      </c>
      <c r="CP539" s="21" t="str">
        <f>IF([1]!BANCO10[[#This Row],[SOLUÇÃO]]=CP$1,[1]!BANCO10[[#This Row],[STATUS DA ETAPA]],"")</f>
        <v/>
      </c>
      <c r="CQ539" s="21" t="str">
        <f>IF([1]!BANCO10[[#This Row],[SOLUÇÃO]]=CQ$1,[1]!BANCO10[[#This Row],[STATUS DA ETAPA]],"")</f>
        <v/>
      </c>
      <c r="CR539" s="21" t="str">
        <f>IF([1]!BANCO10[[#This Row],[SOLUÇÃO]]=CR$1,[1]!BANCO10[[#This Row],[STATUS DA ETAPA]],"")</f>
        <v/>
      </c>
      <c r="CS539" s="21" t="str">
        <f>IF([1]!BANCO10[[#This Row],[SOLUÇÃO]]=CS$1,[1]!BANCO10[[#This Row],[STATUS DA ETAPA]],"")</f>
        <v/>
      </c>
      <c r="CT539" s="21" t="str">
        <f>IF([1]!BANCO10[[#This Row],[SOLUÇÃO]]=CT$1,[1]!BANCO10[[#This Row],[STATUS DA ETAPA]],"")</f>
        <v/>
      </c>
      <c r="CU539" s="21" t="str">
        <f>IF([1]!BANCO10[[#This Row],[SOLUÇÃO]]=CU$1,[1]!BANCO10[[#This Row],[STATUS DA ETAPA]],"")</f>
        <v/>
      </c>
      <c r="CV539" s="21" t="str">
        <f>IF([1]!BANCO10[[#This Row],[SOLUÇÃO]]=CV$1,[1]!BANCO10[[#This Row],[STATUS DA ETAPA]],"")</f>
        <v/>
      </c>
    </row>
    <row r="540" spans="1:100">
      <c r="A540" s="44" t="s">
        <v>1</v>
      </c>
      <c r="B540" s="44"/>
      <c r="C540" s="44" t="s">
        <v>1</v>
      </c>
      <c r="D540" s="44"/>
      <c r="E540" s="44" t="s">
        <v>1</v>
      </c>
      <c r="F540" s="44"/>
      <c r="G540" s="44" t="s">
        <v>1</v>
      </c>
      <c r="H540" s="44"/>
      <c r="I540" s="45" t="s">
        <v>1</v>
      </c>
      <c r="J540" s="46"/>
      <c r="K540" s="45" t="s">
        <v>1</v>
      </c>
      <c r="L540" s="33"/>
      <c r="M540" s="45" t="s">
        <v>1</v>
      </c>
      <c r="N540" s="33"/>
      <c r="O540" s="44" t="s">
        <v>0</v>
      </c>
      <c r="P540" s="44"/>
      <c r="Q540" s="44" t="s">
        <v>0</v>
      </c>
      <c r="R540" s="44"/>
      <c r="S540" s="44" t="s">
        <v>0</v>
      </c>
      <c r="T540" s="44"/>
      <c r="U540" s="44"/>
      <c r="V540" s="44"/>
      <c r="W540" s="44"/>
      <c r="X540" s="44"/>
      <c r="Y540" s="44"/>
      <c r="Z540" s="44"/>
      <c r="AA540" s="44"/>
      <c r="AB540" s="44"/>
      <c r="AC540" s="51">
        <v>45963</v>
      </c>
      <c r="AD540" s="50">
        <v>45963</v>
      </c>
      <c r="AE540" s="41" t="s">
        <v>1</v>
      </c>
      <c r="AF540" s="41" t="s">
        <v>1</v>
      </c>
      <c r="AG540" s="76" t="s">
        <v>5</v>
      </c>
      <c r="AH540" s="36" t="s">
        <v>0</v>
      </c>
      <c r="AI540" s="49">
        <v>0</v>
      </c>
      <c r="AJ540" s="36" t="s">
        <v>1</v>
      </c>
      <c r="AK540" s="10" t="s">
        <v>1</v>
      </c>
      <c r="AL540" s="36" t="s">
        <v>1</v>
      </c>
      <c r="AM540" s="36" t="s">
        <v>1</v>
      </c>
      <c r="AN540" s="35" t="s">
        <v>1</v>
      </c>
      <c r="AO540" s="35" t="s">
        <v>1</v>
      </c>
      <c r="AP540" s="35" t="s">
        <v>1</v>
      </c>
      <c r="AQ540" s="35" t="s">
        <v>1</v>
      </c>
      <c r="AR540" s="34" t="s">
        <v>1</v>
      </c>
      <c r="AS540" s="33"/>
      <c r="AT540" s="32" t="s">
        <v>0</v>
      </c>
      <c r="AU540" s="31"/>
      <c r="AV540" s="32" t="s">
        <v>0</v>
      </c>
      <c r="AW540" s="31"/>
      <c r="AX540" s="30" t="s">
        <v>0</v>
      </c>
      <c r="AY540" s="29"/>
      <c r="AZ540" s="28" t="s">
        <v>0</v>
      </c>
      <c r="BA540" s="27"/>
      <c r="BB540" s="74" t="s">
        <v>347</v>
      </c>
      <c r="BC540" s="25"/>
      <c r="BD540" s="24"/>
      <c r="BE540" s="24"/>
      <c r="BF540" s="24"/>
      <c r="BG540" s="24"/>
      <c r="BH540" s="24"/>
      <c r="BI540" s="24"/>
      <c r="BJ540" s="24"/>
      <c r="BK540" s="24"/>
      <c r="BL540" s="24"/>
      <c r="BM540" s="24"/>
      <c r="BN540" s="24"/>
      <c r="BO540" s="24"/>
      <c r="BP540" s="24"/>
      <c r="BQ540" s="22">
        <f>YEAR([1]!BANCO10[[#This Row],[DATA INÍCIO]])</f>
        <v>2025</v>
      </c>
      <c r="BR540" s="22">
        <f>MONTH([1]!BANCO10[[#This Row],[DATA INÍCIO]])</f>
        <v>11</v>
      </c>
      <c r="BS540" s="23" t="e">
        <f>CONCATENATE(#REF!,#REF!)</f>
        <v>#REF!</v>
      </c>
      <c r="BT540" s="22"/>
      <c r="BU540" s="22"/>
      <c r="BV540" s="21" t="str">
        <f>IF([1]!BANCO10[[#This Row],[SOLUÇÃO]]=BV$1,[1]!BANCO10[[#This Row],[STATUS DA ETAPA]],"")</f>
        <v/>
      </c>
      <c r="BW540" s="21" t="str">
        <f>IF([1]!BANCO10[[#This Row],[SOLUÇÃO]]=BW$1,[1]!BANCO10[[#This Row],[STATUS DA ETAPA]],"")</f>
        <v/>
      </c>
      <c r="BX540" s="21" t="str">
        <f>IF([1]!BANCO10[[#This Row],[SOLUÇÃO]]=BX$1,[1]!BANCO10[[#This Row],[STATUS DA ETAPA]],"")</f>
        <v/>
      </c>
      <c r="BY540" s="21" t="str">
        <f>IF([1]!BANCO10[[#This Row],[SOLUÇÃO]]=BY$1,[1]!BANCO10[[#This Row],[STATUS DA ETAPA]],"")</f>
        <v/>
      </c>
      <c r="BZ540" s="21" t="str">
        <f>IF([1]!BANCO10[[#This Row],[SOLUÇÃO]]=BZ$1,[1]!BANCO10[[#This Row],[STATUS DA ETAPA]],"")</f>
        <v/>
      </c>
      <c r="CA540" s="21" t="str">
        <f>IF([1]!BANCO10[[#This Row],[SOLUÇÃO]]=CA$1,[1]!BANCO10[[#This Row],[STATUS DA ETAPA]],"")</f>
        <v>CANCELADO</v>
      </c>
      <c r="CB540" s="21" t="str">
        <f>IF([1]!BANCO10[[#This Row],[SOLUÇÃO]]=CB$1,[1]!BANCO10[[#This Row],[STATUS DA ETAPA]],"")</f>
        <v/>
      </c>
      <c r="CC540" s="21" t="str">
        <f>IF([1]!BANCO10[[#This Row],[SOLUÇÃO]]=CC$1,[1]!BANCO10[[#This Row],[STATUS DA ETAPA]],"")</f>
        <v/>
      </c>
      <c r="CD540" s="21" t="str">
        <f>IF([1]!BANCO10[[#This Row],[SOLUÇÃO]]=CD$1,[1]!BANCO10[[#This Row],[STATUS DA ETAPA]],"")</f>
        <v/>
      </c>
      <c r="CE540" s="21" t="str">
        <f>IF([1]!BANCO10[[#This Row],[SOLUÇÃO]]=CE$1,[1]!BANCO10[[#This Row],[STATUS DA ETAPA]],"")</f>
        <v/>
      </c>
      <c r="CF540" s="21" t="str">
        <f>IF([1]!BANCO10[[#This Row],[SOLUÇÃO]]=CF$1,[1]!BANCO10[[#This Row],[STATUS DA ETAPA]],"")</f>
        <v/>
      </c>
      <c r="CG540" s="21" t="str">
        <f>IF([1]!BANCO10[[#This Row],[SOLUÇÃO]]=CG$1,[1]!BANCO10[[#This Row],[STATUS DA ETAPA]],"")</f>
        <v/>
      </c>
      <c r="CH540" s="21" t="str">
        <f>IF([1]!BANCO10[[#This Row],[SOLUÇÃO]]=CH$1,[1]!BANCO10[[#This Row],[STATUS DA ETAPA]],"")</f>
        <v/>
      </c>
      <c r="CI540" s="21" t="str">
        <f>IF([1]!BANCO10[[#This Row],[SOLUÇÃO]]=CI$1,[1]!BANCO10[[#This Row],[STATUS DA ETAPA]],"")</f>
        <v/>
      </c>
      <c r="CJ540" s="21" t="str">
        <f>IF([1]!BANCO10[[#This Row],[SOLUÇÃO]]=CJ$1,[1]!BANCO10[[#This Row],[STATUS DA ETAPA]],"")</f>
        <v/>
      </c>
      <c r="CK540" s="21" t="str">
        <f>IF([1]!BANCO10[[#This Row],[SOLUÇÃO]]=CK$1,[1]!BANCO10[[#This Row],[STATUS DA ETAPA]],"")</f>
        <v/>
      </c>
      <c r="CL540" s="21" t="str">
        <f>IF([1]!BANCO10[[#This Row],[SOLUÇÃO]]=CL$1,[1]!BANCO10[[#This Row],[STATUS DA ETAPA]],"")</f>
        <v/>
      </c>
      <c r="CM540" s="21" t="str">
        <f>IF([1]!BANCO10[[#This Row],[SOLUÇÃO]]=CM$1,[1]!BANCO10[[#This Row],[STATUS DA ETAPA]],"")</f>
        <v/>
      </c>
      <c r="CN540" s="21" t="str">
        <f>IF([1]!BANCO10[[#This Row],[SOLUÇÃO]]=CN$1,[1]!BANCO10[[#This Row],[STATUS DA ETAPA]],"")</f>
        <v/>
      </c>
      <c r="CO540" s="21" t="str">
        <f>IF([1]!BANCO10[[#This Row],[SOLUÇÃO]]=CO$1,[1]!BANCO10[[#This Row],[STATUS DA ETAPA]],"")</f>
        <v/>
      </c>
      <c r="CP540" s="21" t="str">
        <f>IF([1]!BANCO10[[#This Row],[SOLUÇÃO]]=CP$1,[1]!BANCO10[[#This Row],[STATUS DA ETAPA]],"")</f>
        <v/>
      </c>
      <c r="CQ540" s="21" t="str">
        <f>IF([1]!BANCO10[[#This Row],[SOLUÇÃO]]=CQ$1,[1]!BANCO10[[#This Row],[STATUS DA ETAPA]],"")</f>
        <v/>
      </c>
      <c r="CR540" s="21" t="str">
        <f>IF([1]!BANCO10[[#This Row],[SOLUÇÃO]]=CR$1,[1]!BANCO10[[#This Row],[STATUS DA ETAPA]],"")</f>
        <v/>
      </c>
      <c r="CS540" s="21" t="str">
        <f>IF([1]!BANCO10[[#This Row],[SOLUÇÃO]]=CS$1,[1]!BANCO10[[#This Row],[STATUS DA ETAPA]],"")</f>
        <v/>
      </c>
      <c r="CT540" s="21" t="str">
        <f>IF([1]!BANCO10[[#This Row],[SOLUÇÃO]]=CT$1,[1]!BANCO10[[#This Row],[STATUS DA ETAPA]],"")</f>
        <v/>
      </c>
      <c r="CU540" s="21" t="str">
        <f>IF([1]!BANCO10[[#This Row],[SOLUÇÃO]]=CU$1,[1]!BANCO10[[#This Row],[STATUS DA ETAPA]],"")</f>
        <v/>
      </c>
      <c r="CV540" s="21" t="str">
        <f>IF([1]!BANCO10[[#This Row],[SOLUÇÃO]]=CV$1,[1]!BANCO10[[#This Row],[STATUS DA ETAPA]],"")</f>
        <v/>
      </c>
    </row>
    <row r="541" spans="1:100">
      <c r="A541" s="44" t="s">
        <v>1</v>
      </c>
      <c r="B541" s="44"/>
      <c r="C541" s="44" t="s">
        <v>1</v>
      </c>
      <c r="D541" s="44"/>
      <c r="E541" s="44" t="s">
        <v>1</v>
      </c>
      <c r="F541" s="44"/>
      <c r="G541" s="44" t="s">
        <v>1</v>
      </c>
      <c r="H541" s="44"/>
      <c r="I541" s="45" t="s">
        <v>1</v>
      </c>
      <c r="J541" s="46"/>
      <c r="K541" s="45" t="s">
        <v>1</v>
      </c>
      <c r="L541" s="33"/>
      <c r="M541" s="45" t="s">
        <v>1</v>
      </c>
      <c r="N541" s="33"/>
      <c r="O541" s="44" t="s">
        <v>2</v>
      </c>
      <c r="P541" s="44">
        <v>44805</v>
      </c>
      <c r="Q541" s="44" t="s">
        <v>0</v>
      </c>
      <c r="R541" s="44"/>
      <c r="S541" s="44" t="s">
        <v>1</v>
      </c>
      <c r="T541" s="44"/>
      <c r="U541" s="44" t="s">
        <v>1</v>
      </c>
      <c r="V541" s="44"/>
      <c r="W541" s="44" t="s">
        <v>1</v>
      </c>
      <c r="X541" s="44"/>
      <c r="Y541" s="44" t="s">
        <v>1</v>
      </c>
      <c r="Z541" s="44"/>
      <c r="AA541" s="44" t="s">
        <v>1</v>
      </c>
      <c r="AB541" s="44"/>
      <c r="AC541" s="51">
        <v>44803</v>
      </c>
      <c r="AD541" s="50">
        <v>44803</v>
      </c>
      <c r="AE541" s="40" t="s">
        <v>1</v>
      </c>
      <c r="AF541" s="40" t="s">
        <v>1</v>
      </c>
      <c r="AG541" s="40" t="s">
        <v>5</v>
      </c>
      <c r="AH541" s="36" t="s">
        <v>1</v>
      </c>
      <c r="AI541" s="49">
        <v>0</v>
      </c>
      <c r="AJ541" s="36" t="s">
        <v>1</v>
      </c>
      <c r="AK541" s="10" t="s">
        <v>1</v>
      </c>
      <c r="AL541" s="36" t="s">
        <v>1</v>
      </c>
      <c r="AM541" s="36" t="s">
        <v>1</v>
      </c>
      <c r="AN541" s="35" t="s">
        <v>1</v>
      </c>
      <c r="AO541" s="35" t="s">
        <v>1</v>
      </c>
      <c r="AP541" s="35" t="s">
        <v>1</v>
      </c>
      <c r="AQ541" s="35" t="s">
        <v>1</v>
      </c>
      <c r="AR541" s="82" t="s">
        <v>1</v>
      </c>
      <c r="AS541" s="33"/>
      <c r="AT541" s="30"/>
      <c r="AU541" s="55"/>
      <c r="AV541" s="30"/>
      <c r="AW541" s="55"/>
      <c r="AX541" s="30" t="s">
        <v>1</v>
      </c>
      <c r="AY541" s="55"/>
      <c r="AZ541" s="30" t="s">
        <v>1</v>
      </c>
      <c r="BA541" s="66"/>
      <c r="BB541" s="39"/>
      <c r="BC541" s="25"/>
      <c r="BD541" s="24" t="s">
        <v>11</v>
      </c>
      <c r="BE541" s="24" t="s">
        <v>11</v>
      </c>
      <c r="BF541" s="79" t="s">
        <v>21</v>
      </c>
      <c r="BG541" s="79" t="s">
        <v>11</v>
      </c>
      <c r="BH541" s="80" t="s">
        <v>18</v>
      </c>
      <c r="BI541" s="79" t="s">
        <v>21</v>
      </c>
      <c r="BJ541" s="54" t="s">
        <v>11</v>
      </c>
      <c r="BK541" s="78" t="s">
        <v>11</v>
      </c>
      <c r="BL541" s="69" t="s">
        <v>11</v>
      </c>
      <c r="BM541" s="78" t="s">
        <v>11</v>
      </c>
      <c r="BN541" s="78" t="s">
        <v>11</v>
      </c>
      <c r="BO541" s="78" t="s">
        <v>11</v>
      </c>
      <c r="BP541" s="78" t="s">
        <v>11</v>
      </c>
      <c r="BQ541" s="21">
        <f>YEAR([1]!BANCO10[[#This Row],[DATA INÍCIO]])</f>
        <v>2022</v>
      </c>
      <c r="BR541" s="21">
        <f>MONTH([1]!BANCO10[[#This Row],[DATA INÍCIO]])</f>
        <v>8</v>
      </c>
      <c r="BS541" s="21" t="e">
        <f>CONCATENATE(#REF!,#REF!)</f>
        <v>#REF!</v>
      </c>
      <c r="BT541" s="21"/>
      <c r="BU541" s="21" t="s">
        <v>346</v>
      </c>
      <c r="BV541" s="21" t="str">
        <f>IF([1]!BANCO10[[#This Row],[SOLUÇÃO]]=BV$1,[1]!BANCO10[[#This Row],[STATUS DA ETAPA]],"")</f>
        <v>CONCLUÍDO</v>
      </c>
      <c r="BW541" s="21" t="str">
        <f>IF([1]!BANCO10[[#This Row],[SOLUÇÃO]]=BW$1,[1]!BANCO10[[#This Row],[STATUS DA ETAPA]],"")</f>
        <v/>
      </c>
      <c r="BX541" s="21" t="str">
        <f>IF([1]!BANCO10[[#This Row],[SOLUÇÃO]]=BX$1,[1]!BANCO10[[#This Row],[STATUS DA ETAPA]],"")</f>
        <v/>
      </c>
      <c r="BY541" s="21" t="str">
        <f>IF([1]!BANCO10[[#This Row],[SOLUÇÃO]]=BY$1,[1]!BANCO10[[#This Row],[STATUS DA ETAPA]],"")</f>
        <v/>
      </c>
      <c r="BZ541" s="21" t="str">
        <f>IF([1]!BANCO10[[#This Row],[SOLUÇÃO]]=BZ$1,[1]!BANCO10[[#This Row],[STATUS DA ETAPA]],"")</f>
        <v/>
      </c>
      <c r="CA541" s="21" t="str">
        <f>IF([1]!BANCO10[[#This Row],[SOLUÇÃO]]=CA$1,[1]!BANCO10[[#This Row],[STATUS DA ETAPA]],"")</f>
        <v/>
      </c>
      <c r="CB541" s="21" t="str">
        <f>IF([1]!BANCO10[[#This Row],[SOLUÇÃO]]=CB$1,[1]!BANCO10[[#This Row],[STATUS DA ETAPA]],"")</f>
        <v/>
      </c>
      <c r="CC541" s="21" t="str">
        <f>IF([1]!BANCO10[[#This Row],[SOLUÇÃO]]=CC$1,[1]!BANCO10[[#This Row],[STATUS DA ETAPA]],"")</f>
        <v/>
      </c>
      <c r="CD541" s="21" t="str">
        <f>IF([1]!BANCO10[[#This Row],[SOLUÇÃO]]=CD$1,[1]!BANCO10[[#This Row],[STATUS DA ETAPA]],"")</f>
        <v/>
      </c>
      <c r="CE541" s="21" t="str">
        <f>IF([1]!BANCO10[[#This Row],[SOLUÇÃO]]=CE$1,[1]!BANCO10[[#This Row],[STATUS DA ETAPA]],"")</f>
        <v/>
      </c>
      <c r="CF541" s="21" t="str">
        <f>IF([1]!BANCO10[[#This Row],[SOLUÇÃO]]=CF$1,[1]!BANCO10[[#This Row],[STATUS DA ETAPA]],"")</f>
        <v/>
      </c>
      <c r="CG541" s="21" t="str">
        <f>IF([1]!BANCO10[[#This Row],[SOLUÇÃO]]=CG$1,[1]!BANCO10[[#This Row],[STATUS DA ETAPA]],"")</f>
        <v/>
      </c>
      <c r="CH541" s="21" t="str">
        <f>IF([1]!BANCO10[[#This Row],[SOLUÇÃO]]=CH$1,[1]!BANCO10[[#This Row],[STATUS DA ETAPA]],"")</f>
        <v/>
      </c>
      <c r="CI541" s="21" t="str">
        <f>IF([1]!BANCO10[[#This Row],[SOLUÇÃO]]=CI$1,[1]!BANCO10[[#This Row],[STATUS DA ETAPA]],"")</f>
        <v/>
      </c>
      <c r="CJ541" s="21" t="str">
        <f>IF([1]!BANCO10[[#This Row],[SOLUÇÃO]]=CJ$1,[1]!BANCO10[[#This Row],[STATUS DA ETAPA]],"")</f>
        <v/>
      </c>
      <c r="CK541" s="21" t="str">
        <f>IF([1]!BANCO10[[#This Row],[SOLUÇÃO]]=CK$1,[1]!BANCO10[[#This Row],[STATUS DA ETAPA]],"")</f>
        <v/>
      </c>
      <c r="CL541" s="22" t="str">
        <f>IF([1]!BANCO10[[#This Row],[SOLUÇÃO]]=CL$1,[1]!BANCO10[[#This Row],[STATUS DA ETAPA]],"")</f>
        <v/>
      </c>
      <c r="CM541" s="64" t="str">
        <f>IF([1]!BANCO10[[#This Row],[SOLUÇÃO]]=CM$1,[1]!BANCO10[[#This Row],[STATUS DA ETAPA]],"")</f>
        <v/>
      </c>
      <c r="CN541" s="64" t="str">
        <f>IF([1]!BANCO10[[#This Row],[SOLUÇÃO]]=CN$1,[1]!BANCO10[[#This Row],[STATUS DA ETAPA]],"")</f>
        <v/>
      </c>
      <c r="CO541" s="64" t="str">
        <f>IF([1]!BANCO10[[#This Row],[SOLUÇÃO]]=CO$1,[1]!BANCO10[[#This Row],[STATUS DA ETAPA]],"")</f>
        <v/>
      </c>
      <c r="CP541" s="64" t="str">
        <f>IF([1]!BANCO10[[#This Row],[SOLUÇÃO]]=CP$1,[1]!BANCO10[[#This Row],[STATUS DA ETAPA]],"")</f>
        <v/>
      </c>
      <c r="CQ541" s="64" t="str">
        <f>IF([1]!BANCO10[[#This Row],[SOLUÇÃO]]=CQ$1,[1]!BANCO10[[#This Row],[STATUS DA ETAPA]],"")</f>
        <v/>
      </c>
      <c r="CR541" s="64" t="str">
        <f>IF([1]!BANCO10[[#This Row],[SOLUÇÃO]]=CR$1,[1]!BANCO10[[#This Row],[STATUS DA ETAPA]],"")</f>
        <v/>
      </c>
      <c r="CS541" s="64" t="str">
        <f>IF([1]!BANCO10[[#This Row],[SOLUÇÃO]]=CS$1,[1]!BANCO10[[#This Row],[STATUS DA ETAPA]],"")</f>
        <v/>
      </c>
      <c r="CT541" s="64" t="str">
        <f>IF([1]!BANCO10[[#This Row],[SOLUÇÃO]]=CT$1,[1]!BANCO10[[#This Row],[STATUS DA ETAPA]],"")</f>
        <v/>
      </c>
      <c r="CU541" s="64" t="str">
        <f>IF([1]!BANCO10[[#This Row],[SOLUÇÃO]]=CU$1,[1]!BANCO10[[#This Row],[STATUS DA ETAPA]],"")</f>
        <v/>
      </c>
      <c r="CV541" s="64" t="str">
        <f>IF([1]!BANCO10[[#This Row],[SOLUÇÃO]]=CV$1,[1]!BANCO10[[#This Row],[STATUS DA ETAPA]],"")</f>
        <v/>
      </c>
    </row>
    <row r="542" spans="1:100">
      <c r="A542" s="44" t="s">
        <v>1</v>
      </c>
      <c r="B542" s="44"/>
      <c r="C542" s="44" t="s">
        <v>1</v>
      </c>
      <c r="D542" s="44"/>
      <c r="E542" s="44" t="s">
        <v>1</v>
      </c>
      <c r="F542" s="44"/>
      <c r="G542" s="44" t="s">
        <v>1</v>
      </c>
      <c r="H542" s="44"/>
      <c r="I542" s="45" t="s">
        <v>1</v>
      </c>
      <c r="J542" s="46"/>
      <c r="K542" s="45" t="s">
        <v>1</v>
      </c>
      <c r="L542" s="33"/>
      <c r="M542" s="45" t="s">
        <v>1</v>
      </c>
      <c r="N542" s="33"/>
      <c r="O542" s="44" t="s">
        <v>2</v>
      </c>
      <c r="P542" s="44">
        <v>44805</v>
      </c>
      <c r="Q542" s="44" t="s">
        <v>2</v>
      </c>
      <c r="R542" s="44">
        <v>44835</v>
      </c>
      <c r="S542" s="44" t="s">
        <v>2</v>
      </c>
      <c r="T542" s="44">
        <v>44882</v>
      </c>
      <c r="U542" s="44" t="s">
        <v>1</v>
      </c>
      <c r="V542" s="44"/>
      <c r="W542" s="44" t="s">
        <v>2</v>
      </c>
      <c r="X542" s="44"/>
      <c r="Y542" s="44" t="s">
        <v>2</v>
      </c>
      <c r="Z542" s="44">
        <v>44926</v>
      </c>
      <c r="AA542" s="44" t="s">
        <v>2</v>
      </c>
      <c r="AB542" s="44"/>
      <c r="AC542" s="51">
        <v>44945</v>
      </c>
      <c r="AD542" s="50">
        <v>45131</v>
      </c>
      <c r="AE542" s="40" t="s">
        <v>2</v>
      </c>
      <c r="AF542" s="41" t="s">
        <v>2</v>
      </c>
      <c r="AG542" s="40" t="s">
        <v>5</v>
      </c>
      <c r="AH542" s="36" t="s">
        <v>0</v>
      </c>
      <c r="AI542" s="49">
        <v>0</v>
      </c>
      <c r="AJ542" s="36"/>
      <c r="AK542" s="10"/>
      <c r="AL542" s="36" t="s">
        <v>22</v>
      </c>
      <c r="AM542" s="36" t="s">
        <v>1</v>
      </c>
      <c r="AN542" s="35" t="s">
        <v>1</v>
      </c>
      <c r="AO542" s="35" t="s">
        <v>1</v>
      </c>
      <c r="AP542" s="35" t="s">
        <v>2</v>
      </c>
      <c r="AQ542" s="35" t="s">
        <v>1</v>
      </c>
      <c r="AR542" s="34" t="s">
        <v>1</v>
      </c>
      <c r="AS542" s="33"/>
      <c r="AT542" s="30"/>
      <c r="AU542" s="55"/>
      <c r="AV542" s="30"/>
      <c r="AW542" s="55"/>
      <c r="AX542" s="30" t="s">
        <v>2</v>
      </c>
      <c r="AY542" s="55">
        <v>45131</v>
      </c>
      <c r="AZ542" s="30" t="s">
        <v>2</v>
      </c>
      <c r="BA542" s="66"/>
      <c r="BB542" s="39"/>
      <c r="BC542" s="25"/>
      <c r="BD542" s="24" t="s">
        <v>11</v>
      </c>
      <c r="BE542" s="24" t="s">
        <v>11</v>
      </c>
      <c r="BF542" s="79" t="s">
        <v>21</v>
      </c>
      <c r="BG542" s="79" t="s">
        <v>11</v>
      </c>
      <c r="BH542" s="80" t="s">
        <v>18</v>
      </c>
      <c r="BI542" s="79" t="s">
        <v>21</v>
      </c>
      <c r="BJ542" s="54" t="s">
        <v>11</v>
      </c>
      <c r="BK542" s="78" t="s">
        <v>11</v>
      </c>
      <c r="BL542" s="69">
        <v>45391</v>
      </c>
      <c r="BM542" s="78" t="s">
        <v>18</v>
      </c>
      <c r="BN542" s="78" t="s">
        <v>11</v>
      </c>
      <c r="BO542" s="78"/>
      <c r="BP542" s="78" t="s">
        <v>188</v>
      </c>
      <c r="BQ542" s="21">
        <f>YEAR([1]!BANCO10[[#This Row],[DATA INÍCIO]])</f>
        <v>2023</v>
      </c>
      <c r="BR542" s="21">
        <f>MONTH([1]!BANCO10[[#This Row],[DATA INÍCIO]])</f>
        <v>1</v>
      </c>
      <c r="BS542" s="21" t="e">
        <f>CONCATENATE(#REF!,#REF!)</f>
        <v>#REF!</v>
      </c>
      <c r="BT542" s="21"/>
      <c r="BU542" s="21" t="s">
        <v>345</v>
      </c>
      <c r="BV542" s="21" t="str">
        <f>IF([1]!BANCO10[[#This Row],[SOLUÇÃO]]=BV$1,[1]!BANCO10[[#This Row],[STATUS DA ETAPA]],"")</f>
        <v/>
      </c>
      <c r="BW542" s="21" t="str">
        <f>IF([1]!BANCO10[[#This Row],[SOLUÇÃO]]=BW$1,[1]!BANCO10[[#This Row],[STATUS DA ETAPA]],"")</f>
        <v/>
      </c>
      <c r="BX542" s="21" t="str">
        <f>IF([1]!BANCO10[[#This Row],[SOLUÇÃO]]=BX$1,[1]!BANCO10[[#This Row],[STATUS DA ETAPA]],"")</f>
        <v/>
      </c>
      <c r="BY542" s="21" t="str">
        <f>IF([1]!BANCO10[[#This Row],[SOLUÇÃO]]=BY$1,[1]!BANCO10[[#This Row],[STATUS DA ETAPA]],"")</f>
        <v/>
      </c>
      <c r="BZ542" s="21" t="str">
        <f>IF([1]!BANCO10[[#This Row],[SOLUÇÃO]]=BZ$1,[1]!BANCO10[[#This Row],[STATUS DA ETAPA]],"")</f>
        <v/>
      </c>
      <c r="CA542" s="21" t="str">
        <f>IF([1]!BANCO10[[#This Row],[SOLUÇÃO]]=CA$1,[1]!BANCO10[[#This Row],[STATUS DA ETAPA]],"")</f>
        <v>CONCLUÍDO</v>
      </c>
      <c r="CB542" s="21" t="str">
        <f>IF([1]!BANCO10[[#This Row],[SOLUÇÃO]]=CB$1,[1]!BANCO10[[#This Row],[STATUS DA ETAPA]],"")</f>
        <v/>
      </c>
      <c r="CC542" s="21" t="str">
        <f>IF([1]!BANCO10[[#This Row],[SOLUÇÃO]]=CC$1,[1]!BANCO10[[#This Row],[STATUS DA ETAPA]],"")</f>
        <v/>
      </c>
      <c r="CD542" s="21" t="str">
        <f>IF([1]!BANCO10[[#This Row],[SOLUÇÃO]]=CD$1,[1]!BANCO10[[#This Row],[STATUS DA ETAPA]],"")</f>
        <v/>
      </c>
      <c r="CE542" s="21" t="str">
        <f>IF([1]!BANCO10[[#This Row],[SOLUÇÃO]]=CE$1,[1]!BANCO10[[#This Row],[STATUS DA ETAPA]],"")</f>
        <v/>
      </c>
      <c r="CF542" s="21" t="str">
        <f>IF([1]!BANCO10[[#This Row],[SOLUÇÃO]]=CF$1,[1]!BANCO10[[#This Row],[STATUS DA ETAPA]],"")</f>
        <v/>
      </c>
      <c r="CG542" s="21" t="str">
        <f>IF([1]!BANCO10[[#This Row],[SOLUÇÃO]]=CG$1,[1]!BANCO10[[#This Row],[STATUS DA ETAPA]],"")</f>
        <v/>
      </c>
      <c r="CH542" s="21" t="str">
        <f>IF([1]!BANCO10[[#This Row],[SOLUÇÃO]]=CH$1,[1]!BANCO10[[#This Row],[STATUS DA ETAPA]],"")</f>
        <v/>
      </c>
      <c r="CI542" s="21" t="str">
        <f>IF([1]!BANCO10[[#This Row],[SOLUÇÃO]]=CI$1,[1]!BANCO10[[#This Row],[STATUS DA ETAPA]],"")</f>
        <v/>
      </c>
      <c r="CJ542" s="21" t="str">
        <f>IF([1]!BANCO10[[#This Row],[SOLUÇÃO]]=CJ$1,[1]!BANCO10[[#This Row],[STATUS DA ETAPA]],"")</f>
        <v/>
      </c>
      <c r="CK542" s="21" t="str">
        <f>IF([1]!BANCO10[[#This Row],[SOLUÇÃO]]=CK$1,[1]!BANCO10[[#This Row],[STATUS DA ETAPA]],"")</f>
        <v/>
      </c>
      <c r="CL542" s="22" t="str">
        <f>IF([1]!BANCO10[[#This Row],[SOLUÇÃO]]=CL$1,[1]!BANCO10[[#This Row],[STATUS DA ETAPA]],"")</f>
        <v/>
      </c>
      <c r="CM542" s="64" t="str">
        <f>IF([1]!BANCO10[[#This Row],[SOLUÇÃO]]=CM$1,[1]!BANCO10[[#This Row],[STATUS DA ETAPA]],"")</f>
        <v/>
      </c>
      <c r="CN542" s="64" t="str">
        <f>IF([1]!BANCO10[[#This Row],[SOLUÇÃO]]=CN$1,[1]!BANCO10[[#This Row],[STATUS DA ETAPA]],"")</f>
        <v/>
      </c>
      <c r="CO542" s="64" t="str">
        <f>IF([1]!BANCO10[[#This Row],[SOLUÇÃO]]=CO$1,[1]!BANCO10[[#This Row],[STATUS DA ETAPA]],"")</f>
        <v/>
      </c>
      <c r="CP542" s="64" t="str">
        <f>IF([1]!BANCO10[[#This Row],[SOLUÇÃO]]=CP$1,[1]!BANCO10[[#This Row],[STATUS DA ETAPA]],"")</f>
        <v/>
      </c>
      <c r="CQ542" s="64" t="str">
        <f>IF([1]!BANCO10[[#This Row],[SOLUÇÃO]]=CQ$1,[1]!BANCO10[[#This Row],[STATUS DA ETAPA]],"")</f>
        <v/>
      </c>
      <c r="CR542" s="64" t="str">
        <f>IF([1]!BANCO10[[#This Row],[SOLUÇÃO]]=CR$1,[1]!BANCO10[[#This Row],[STATUS DA ETAPA]],"")</f>
        <v/>
      </c>
      <c r="CS542" s="64" t="str">
        <f>IF([1]!BANCO10[[#This Row],[SOLUÇÃO]]=CS$1,[1]!BANCO10[[#This Row],[STATUS DA ETAPA]],"")</f>
        <v/>
      </c>
      <c r="CT542" s="64" t="str">
        <f>IF([1]!BANCO10[[#This Row],[SOLUÇÃO]]=CT$1,[1]!BANCO10[[#This Row],[STATUS DA ETAPA]],"")</f>
        <v/>
      </c>
      <c r="CU542" s="64" t="str">
        <f>IF([1]!BANCO10[[#This Row],[SOLUÇÃO]]=CU$1,[1]!BANCO10[[#This Row],[STATUS DA ETAPA]],"")</f>
        <v/>
      </c>
      <c r="CV542" s="64" t="str">
        <f>IF([1]!BANCO10[[#This Row],[SOLUÇÃO]]=CV$1,[1]!BANCO10[[#This Row],[STATUS DA ETAPA]],"")</f>
        <v/>
      </c>
    </row>
    <row r="543" spans="1:100">
      <c r="A543" s="44" t="s">
        <v>1</v>
      </c>
      <c r="B543" s="44"/>
      <c r="C543" s="44" t="s">
        <v>1</v>
      </c>
      <c r="D543" s="44"/>
      <c r="E543" s="44" t="s">
        <v>1</v>
      </c>
      <c r="F543" s="44"/>
      <c r="G543" s="44" t="s">
        <v>1</v>
      </c>
      <c r="H543" s="44"/>
      <c r="I543" s="45" t="s">
        <v>1</v>
      </c>
      <c r="J543" s="46"/>
      <c r="K543" s="45" t="s">
        <v>1</v>
      </c>
      <c r="L543" s="33"/>
      <c r="M543" s="45" t="s">
        <v>1</v>
      </c>
      <c r="N543" s="33"/>
      <c r="O543" s="44" t="s">
        <v>2</v>
      </c>
      <c r="P543" s="44">
        <v>44805</v>
      </c>
      <c r="Q543" s="44" t="s">
        <v>2</v>
      </c>
      <c r="R543" s="44">
        <v>44835</v>
      </c>
      <c r="S543" s="44" t="s">
        <v>2</v>
      </c>
      <c r="T543" s="44">
        <v>44882</v>
      </c>
      <c r="U543" s="44" t="s">
        <v>2</v>
      </c>
      <c r="V543" s="44"/>
      <c r="W543" s="44" t="s">
        <v>2</v>
      </c>
      <c r="X543" s="44"/>
      <c r="Y543" s="44" t="s">
        <v>2</v>
      </c>
      <c r="Z543" s="44"/>
      <c r="AA543" s="44" t="s">
        <v>2</v>
      </c>
      <c r="AB543" s="44"/>
      <c r="AC543" s="51">
        <v>45520</v>
      </c>
      <c r="AD543" s="50">
        <v>45604</v>
      </c>
      <c r="AE543" s="40" t="s">
        <v>2</v>
      </c>
      <c r="AF543" s="40" t="s">
        <v>2</v>
      </c>
      <c r="AG543" s="40" t="s">
        <v>5</v>
      </c>
      <c r="AH543" s="36" t="s">
        <v>0</v>
      </c>
      <c r="AI543" s="49">
        <v>0</v>
      </c>
      <c r="AJ543" s="36" t="s">
        <v>6</v>
      </c>
      <c r="AK543" s="10" t="s">
        <v>344</v>
      </c>
      <c r="AL543" s="36">
        <v>4742</v>
      </c>
      <c r="AM543" s="36"/>
      <c r="AN543" s="35" t="s">
        <v>1</v>
      </c>
      <c r="AO543" s="35" t="s">
        <v>1</v>
      </c>
      <c r="AP543" s="35" t="s">
        <v>2</v>
      </c>
      <c r="AQ543" s="35" t="s">
        <v>1</v>
      </c>
      <c r="AR543" s="34" t="s">
        <v>1</v>
      </c>
      <c r="AS543" s="33"/>
      <c r="AT543" s="30"/>
      <c r="AU543" s="55"/>
      <c r="AV543" s="30"/>
      <c r="AW543" s="55"/>
      <c r="AX543" s="30" t="s">
        <v>2</v>
      </c>
      <c r="AY543" s="55">
        <v>45610</v>
      </c>
      <c r="AZ543" s="30" t="s">
        <v>2</v>
      </c>
      <c r="BA543" s="55">
        <v>45625</v>
      </c>
      <c r="BB543" s="39"/>
      <c r="BC543" s="25"/>
      <c r="BD543" s="24"/>
      <c r="BE543" s="24"/>
      <c r="BF543" s="79"/>
      <c r="BG543" s="79"/>
      <c r="BH543" s="80"/>
      <c r="BI543" s="79"/>
      <c r="BJ543" s="54"/>
      <c r="BK543" s="78"/>
      <c r="BL543" s="69">
        <v>45514</v>
      </c>
      <c r="BM543" s="78" t="s">
        <v>18</v>
      </c>
      <c r="BN543" s="78" t="s">
        <v>11</v>
      </c>
      <c r="BO543" s="78"/>
      <c r="BP543" s="78" t="s">
        <v>343</v>
      </c>
      <c r="BQ543" s="21">
        <f>YEAR([1]!BANCO10[[#This Row],[DATA INÍCIO]])</f>
        <v>2024</v>
      </c>
      <c r="BR543" s="21">
        <f>MONTH([1]!BANCO10[[#This Row],[DATA INÍCIO]])</f>
        <v>8</v>
      </c>
      <c r="BS543" s="21" t="e">
        <f>CONCATENATE(#REF!,#REF!)</f>
        <v>#REF!</v>
      </c>
      <c r="BT543" s="21"/>
      <c r="BU543" s="21" t="s">
        <v>342</v>
      </c>
      <c r="BV543" s="21" t="str">
        <f>IF([1]!BANCO10[[#This Row],[SOLUÇÃO]]=BV$1,[1]!BANCO10[[#This Row],[STATUS DA ETAPA]],"")</f>
        <v/>
      </c>
      <c r="BW543" s="21" t="str">
        <f>IF([1]!BANCO10[[#This Row],[SOLUÇÃO]]=BW$1,[1]!BANCO10[[#This Row],[STATUS DA ETAPA]],"")</f>
        <v/>
      </c>
      <c r="BX543" s="21" t="str">
        <f>IF([1]!BANCO10[[#This Row],[SOLUÇÃO]]=BX$1,[1]!BANCO10[[#This Row],[STATUS DA ETAPA]],"")</f>
        <v/>
      </c>
      <c r="BY543" s="21" t="str">
        <f>IF([1]!BANCO10[[#This Row],[SOLUÇÃO]]=BY$1,[1]!BANCO10[[#This Row],[STATUS DA ETAPA]],"")</f>
        <v/>
      </c>
      <c r="BZ543" s="21" t="str">
        <f>IF([1]!BANCO10[[#This Row],[SOLUÇÃO]]=BZ$1,[1]!BANCO10[[#This Row],[STATUS DA ETAPA]],"")</f>
        <v/>
      </c>
      <c r="CA543" s="21" t="str">
        <f>IF([1]!BANCO10[[#This Row],[SOLUÇÃO]]=CA$1,[1]!BANCO10[[#This Row],[STATUS DA ETAPA]],"")</f>
        <v/>
      </c>
      <c r="CB543" s="21" t="str">
        <f>IF([1]!BANCO10[[#This Row],[SOLUÇÃO]]=CB$1,[1]!BANCO10[[#This Row],[STATUS DA ETAPA]],"")</f>
        <v/>
      </c>
      <c r="CC543" s="21" t="str">
        <f>IF([1]!BANCO10[[#This Row],[SOLUÇÃO]]=CC$1,[1]!BANCO10[[#This Row],[STATUS DA ETAPA]],"")</f>
        <v/>
      </c>
      <c r="CD543" s="21" t="str">
        <f>IF([1]!BANCO10[[#This Row],[SOLUÇÃO]]=CD$1,[1]!BANCO10[[#This Row],[STATUS DA ETAPA]],"")</f>
        <v/>
      </c>
      <c r="CE543" s="21" t="str">
        <f>IF([1]!BANCO10[[#This Row],[SOLUÇÃO]]=CE$1,[1]!BANCO10[[#This Row],[STATUS DA ETAPA]],"")</f>
        <v/>
      </c>
      <c r="CF543" s="21" t="str">
        <f>IF([1]!BANCO10[[#This Row],[SOLUÇÃO]]=CF$1,[1]!BANCO10[[#This Row],[STATUS DA ETAPA]],"")</f>
        <v/>
      </c>
      <c r="CG543" s="21" t="str">
        <f>IF([1]!BANCO10[[#This Row],[SOLUÇÃO]]=CG$1,[1]!BANCO10[[#This Row],[STATUS DA ETAPA]],"")</f>
        <v/>
      </c>
      <c r="CH543" s="21" t="str">
        <f>IF([1]!BANCO10[[#This Row],[SOLUÇÃO]]=CH$1,[1]!BANCO10[[#This Row],[STATUS DA ETAPA]],"")</f>
        <v/>
      </c>
      <c r="CI543" s="21" t="str">
        <f>IF([1]!BANCO10[[#This Row],[SOLUÇÃO]]=CI$1,[1]!BANCO10[[#This Row],[STATUS DA ETAPA]],"")</f>
        <v/>
      </c>
      <c r="CJ543" s="21" t="str">
        <f>IF([1]!BANCO10[[#This Row],[SOLUÇÃO]]=CJ$1,[1]!BANCO10[[#This Row],[STATUS DA ETAPA]],"")</f>
        <v/>
      </c>
      <c r="CK543" s="21" t="str">
        <f>IF([1]!BANCO10[[#This Row],[SOLUÇÃO]]=CK$1,[1]!BANCO10[[#This Row],[STATUS DA ETAPA]],"")</f>
        <v/>
      </c>
      <c r="CL543" s="22" t="str">
        <f>IF([1]!BANCO10[[#This Row],[SOLUÇÃO]]=CL$1,[1]!BANCO10[[#This Row],[STATUS DA ETAPA]],"")</f>
        <v>CONCLUÍDO</v>
      </c>
      <c r="CM543" s="64" t="str">
        <f>IF([1]!BANCO10[[#This Row],[SOLUÇÃO]]=CM$1,[1]!BANCO10[[#This Row],[STATUS DA ETAPA]],"")</f>
        <v/>
      </c>
      <c r="CN543" s="64" t="str">
        <f>IF([1]!BANCO10[[#This Row],[SOLUÇÃO]]=CN$1,[1]!BANCO10[[#This Row],[STATUS DA ETAPA]],"")</f>
        <v/>
      </c>
      <c r="CO543" s="64" t="str">
        <f>IF([1]!BANCO10[[#This Row],[SOLUÇÃO]]=CO$1,[1]!BANCO10[[#This Row],[STATUS DA ETAPA]],"")</f>
        <v/>
      </c>
      <c r="CP543" s="64" t="str">
        <f>IF([1]!BANCO10[[#This Row],[SOLUÇÃO]]=CP$1,[1]!BANCO10[[#This Row],[STATUS DA ETAPA]],"")</f>
        <v/>
      </c>
      <c r="CQ543" s="64" t="str">
        <f>IF([1]!BANCO10[[#This Row],[SOLUÇÃO]]=CQ$1,[1]!BANCO10[[#This Row],[STATUS DA ETAPA]],"")</f>
        <v/>
      </c>
      <c r="CR543" s="64" t="str">
        <f>IF([1]!BANCO10[[#This Row],[SOLUÇÃO]]=CR$1,[1]!BANCO10[[#This Row],[STATUS DA ETAPA]],"")</f>
        <v/>
      </c>
      <c r="CS543" s="64" t="str">
        <f>IF([1]!BANCO10[[#This Row],[SOLUÇÃO]]=CS$1,[1]!BANCO10[[#This Row],[STATUS DA ETAPA]],"")</f>
        <v/>
      </c>
      <c r="CT543" s="64" t="str">
        <f>IF([1]!BANCO10[[#This Row],[SOLUÇÃO]]=CT$1,[1]!BANCO10[[#This Row],[STATUS DA ETAPA]],"")</f>
        <v/>
      </c>
      <c r="CU543" s="64" t="str">
        <f>IF([1]!BANCO10[[#This Row],[SOLUÇÃO]]=CU$1,[1]!BANCO10[[#This Row],[STATUS DA ETAPA]],"")</f>
        <v/>
      </c>
      <c r="CV543" s="64" t="str">
        <f>IF([1]!BANCO10[[#This Row],[SOLUÇÃO]]=CV$1,[1]!BANCO10[[#This Row],[STATUS DA ETAPA]],"")</f>
        <v/>
      </c>
    </row>
    <row r="544" spans="1:100">
      <c r="A544" s="44" t="s">
        <v>2</v>
      </c>
      <c r="B544" s="44">
        <v>45713</v>
      </c>
      <c r="C544" s="44" t="s">
        <v>2</v>
      </c>
      <c r="D544" s="44">
        <v>45713</v>
      </c>
      <c r="E544" s="44" t="s">
        <v>2</v>
      </c>
      <c r="F544" s="44">
        <v>45713</v>
      </c>
      <c r="G544" s="44" t="s">
        <v>2</v>
      </c>
      <c r="H544" s="44">
        <v>45713</v>
      </c>
      <c r="I544" s="45" t="s">
        <v>2</v>
      </c>
      <c r="J544" s="46">
        <v>45715</v>
      </c>
      <c r="K544" s="45" t="s">
        <v>2</v>
      </c>
      <c r="L544" s="33">
        <v>45712</v>
      </c>
      <c r="M544" s="45" t="s">
        <v>2</v>
      </c>
      <c r="N544" s="33">
        <v>45713</v>
      </c>
      <c r="O544" s="44" t="s">
        <v>1</v>
      </c>
      <c r="P544" s="44"/>
      <c r="Q544" s="44" t="s">
        <v>1</v>
      </c>
      <c r="R544" s="44"/>
      <c r="S544" s="44" t="s">
        <v>2</v>
      </c>
      <c r="T544" s="44">
        <v>45708</v>
      </c>
      <c r="U544" s="44" t="s">
        <v>1</v>
      </c>
      <c r="V544" s="44"/>
      <c r="W544" s="44" t="s">
        <v>1</v>
      </c>
      <c r="X544" s="44"/>
      <c r="Y544" s="44" t="s">
        <v>1</v>
      </c>
      <c r="Z544" s="44"/>
      <c r="AA544" s="44" t="s">
        <v>1</v>
      </c>
      <c r="AB544" s="44"/>
      <c r="AC544" s="51">
        <v>46022</v>
      </c>
      <c r="AD544" s="50">
        <v>46022</v>
      </c>
      <c r="AE544" s="41" t="s">
        <v>0</v>
      </c>
      <c r="AF544" s="41" t="s">
        <v>0</v>
      </c>
      <c r="AG544" s="40" t="s">
        <v>5</v>
      </c>
      <c r="AH544" s="36" t="s">
        <v>0</v>
      </c>
      <c r="AI544" s="49">
        <v>14440</v>
      </c>
      <c r="AJ544" s="36" t="s">
        <v>3</v>
      </c>
      <c r="AK544" s="10">
        <v>678854</v>
      </c>
      <c r="AL544" s="36" t="s">
        <v>1</v>
      </c>
      <c r="AM544" s="36" t="s">
        <v>1</v>
      </c>
      <c r="AN544" s="35" t="s">
        <v>0</v>
      </c>
      <c r="AO544" s="35" t="s">
        <v>0</v>
      </c>
      <c r="AP544" s="35" t="s">
        <v>0</v>
      </c>
      <c r="AQ544" s="35" t="s">
        <v>0</v>
      </c>
      <c r="AR544" s="34" t="s">
        <v>0</v>
      </c>
      <c r="AS544" s="33"/>
      <c r="AT544" s="32" t="s">
        <v>0</v>
      </c>
      <c r="AU544" s="31"/>
      <c r="AV544" s="32" t="s">
        <v>0</v>
      </c>
      <c r="AW544" s="31"/>
      <c r="AX544" s="32" t="s">
        <v>0</v>
      </c>
      <c r="AY544" s="31"/>
      <c r="AZ544" s="32" t="s">
        <v>0</v>
      </c>
      <c r="BA544" s="31"/>
      <c r="BB544" s="26" t="s">
        <v>7</v>
      </c>
      <c r="BC544" s="25" t="s">
        <v>84</v>
      </c>
      <c r="BD544" s="24"/>
      <c r="BE544" s="24"/>
      <c r="BF544" s="24"/>
      <c r="BG544" s="24"/>
      <c r="BH544" s="24"/>
      <c r="BI544" s="24"/>
      <c r="BJ544" s="24"/>
      <c r="BK544" s="24"/>
      <c r="BL544" s="24"/>
      <c r="BM544" s="24"/>
      <c r="BN544" s="24"/>
      <c r="BO544" s="24"/>
      <c r="BP544" s="24"/>
      <c r="BQ544" s="22">
        <f>YEAR([1]!BANCO10[[#This Row],[DATA INÍCIO]])</f>
        <v>2025</v>
      </c>
      <c r="BR544" s="22">
        <f>MONTH([1]!BANCO10[[#This Row],[DATA INÍCIO]])</f>
        <v>12</v>
      </c>
      <c r="BS544" s="23" t="e">
        <f>CONCATENATE(#REF!,#REF!)</f>
        <v>#REF!</v>
      </c>
      <c r="BT544" s="22"/>
      <c r="BU544" s="22"/>
      <c r="BV544" s="21" t="str">
        <f>IF([1]!BANCO10[[#This Row],[SOLUÇÃO]]=BV$1,[1]!BANCO10[[#This Row],[STATUS DA ETAPA]],"")</f>
        <v/>
      </c>
      <c r="BW544" s="21" t="str">
        <f>IF([1]!BANCO10[[#This Row],[SOLUÇÃO]]=BW$1,[1]!BANCO10[[#This Row],[STATUS DA ETAPA]],"")</f>
        <v/>
      </c>
      <c r="BX544" s="21" t="str">
        <f>IF([1]!BANCO10[[#This Row],[SOLUÇÃO]]=BX$1,[1]!BANCO10[[#This Row],[STATUS DA ETAPA]],"")</f>
        <v/>
      </c>
      <c r="BY544" s="21" t="str">
        <f>IF([1]!BANCO10[[#This Row],[SOLUÇÃO]]=BY$1,[1]!BANCO10[[#This Row],[STATUS DA ETAPA]],"")</f>
        <v/>
      </c>
      <c r="BZ544" s="21" t="str">
        <f>IF([1]!BANCO10[[#This Row],[SOLUÇÃO]]=BZ$1,[1]!BANCO10[[#This Row],[STATUS DA ETAPA]],"")</f>
        <v/>
      </c>
      <c r="CA544" s="21" t="str">
        <f>IF([1]!BANCO10[[#This Row],[SOLUÇÃO]]=CA$1,[1]!BANCO10[[#This Row],[STATUS DA ETAPA]],"")</f>
        <v/>
      </c>
      <c r="CB544" s="21" t="str">
        <f>IF([1]!BANCO10[[#This Row],[SOLUÇÃO]]=CB$1,[1]!BANCO10[[#This Row],[STATUS DA ETAPA]],"")</f>
        <v>AGUARDANDO SALDO</v>
      </c>
      <c r="CC544" s="21" t="str">
        <f>IF([1]!BANCO10[[#This Row],[SOLUÇÃO]]=CC$1,[1]!BANCO10[[#This Row],[STATUS DA ETAPA]],"")</f>
        <v/>
      </c>
      <c r="CD544" s="21" t="str">
        <f>IF([1]!BANCO10[[#This Row],[SOLUÇÃO]]=CD$1,[1]!BANCO10[[#This Row],[STATUS DA ETAPA]],"")</f>
        <v/>
      </c>
      <c r="CE544" s="21" t="str">
        <f>IF([1]!BANCO10[[#This Row],[SOLUÇÃO]]=CE$1,[1]!BANCO10[[#This Row],[STATUS DA ETAPA]],"")</f>
        <v/>
      </c>
      <c r="CF544" s="21" t="str">
        <f>IF([1]!BANCO10[[#This Row],[SOLUÇÃO]]=CF$1,[1]!BANCO10[[#This Row],[STATUS DA ETAPA]],"")</f>
        <v/>
      </c>
      <c r="CG544" s="21" t="str">
        <f>IF([1]!BANCO10[[#This Row],[SOLUÇÃO]]=CG$1,[1]!BANCO10[[#This Row],[STATUS DA ETAPA]],"")</f>
        <v/>
      </c>
      <c r="CH544" s="21" t="str">
        <f>IF([1]!BANCO10[[#This Row],[SOLUÇÃO]]=CH$1,[1]!BANCO10[[#This Row],[STATUS DA ETAPA]],"")</f>
        <v/>
      </c>
      <c r="CI544" s="21" t="str">
        <f>IF([1]!BANCO10[[#This Row],[SOLUÇÃO]]=CI$1,[1]!BANCO10[[#This Row],[STATUS DA ETAPA]],"")</f>
        <v/>
      </c>
      <c r="CJ544" s="21" t="str">
        <f>IF([1]!BANCO10[[#This Row],[SOLUÇÃO]]=CJ$1,[1]!BANCO10[[#This Row],[STATUS DA ETAPA]],"")</f>
        <v/>
      </c>
      <c r="CK544" s="21" t="str">
        <f>IF([1]!BANCO10[[#This Row],[SOLUÇÃO]]=CK$1,[1]!BANCO10[[#This Row],[STATUS DA ETAPA]],"")</f>
        <v/>
      </c>
      <c r="CL544" s="21" t="str">
        <f>IF([1]!BANCO10[[#This Row],[SOLUÇÃO]]=CL$1,[1]!BANCO10[[#This Row],[STATUS DA ETAPA]],"")</f>
        <v/>
      </c>
      <c r="CM544" s="21" t="str">
        <f>IF([1]!BANCO10[[#This Row],[SOLUÇÃO]]=CM$1,[1]!BANCO10[[#This Row],[STATUS DA ETAPA]],"")</f>
        <v/>
      </c>
      <c r="CN544" s="21" t="str">
        <f>IF([1]!BANCO10[[#This Row],[SOLUÇÃO]]=CN$1,[1]!BANCO10[[#This Row],[STATUS DA ETAPA]],"")</f>
        <v/>
      </c>
      <c r="CO544" s="21" t="str">
        <f>IF([1]!BANCO10[[#This Row],[SOLUÇÃO]]=CO$1,[1]!BANCO10[[#This Row],[STATUS DA ETAPA]],"")</f>
        <v/>
      </c>
      <c r="CP544" s="21" t="str">
        <f>IF([1]!BANCO10[[#This Row],[SOLUÇÃO]]=CP$1,[1]!BANCO10[[#This Row],[STATUS DA ETAPA]],"")</f>
        <v/>
      </c>
      <c r="CQ544" s="21" t="str">
        <f>IF([1]!BANCO10[[#This Row],[SOLUÇÃO]]=CQ$1,[1]!BANCO10[[#This Row],[STATUS DA ETAPA]],"")</f>
        <v/>
      </c>
      <c r="CR544" s="21" t="str">
        <f>IF([1]!BANCO10[[#This Row],[SOLUÇÃO]]=CR$1,[1]!BANCO10[[#This Row],[STATUS DA ETAPA]],"")</f>
        <v/>
      </c>
      <c r="CS544" s="21" t="str">
        <f>IF([1]!BANCO10[[#This Row],[SOLUÇÃO]]=CS$1,[1]!BANCO10[[#This Row],[STATUS DA ETAPA]],"")</f>
        <v/>
      </c>
      <c r="CT544" s="21" t="str">
        <f>IF([1]!BANCO10[[#This Row],[SOLUÇÃO]]=CT$1,[1]!BANCO10[[#This Row],[STATUS DA ETAPA]],"")</f>
        <v/>
      </c>
      <c r="CU544" s="21" t="str">
        <f>IF([1]!BANCO10[[#This Row],[SOLUÇÃO]]=CU$1,[1]!BANCO10[[#This Row],[STATUS DA ETAPA]],"")</f>
        <v/>
      </c>
      <c r="CV544" s="21" t="str">
        <f>IF([1]!BANCO10[[#This Row],[SOLUÇÃO]]=CV$1,[1]!BANCO10[[#This Row],[STATUS DA ETAPA]],"")</f>
        <v/>
      </c>
    </row>
    <row r="545" spans="1:100">
      <c r="A545" s="44" t="s">
        <v>2</v>
      </c>
      <c r="B545" s="44">
        <v>45700</v>
      </c>
      <c r="C545" s="44" t="s">
        <v>2</v>
      </c>
      <c r="D545" s="44">
        <v>45700</v>
      </c>
      <c r="E545" s="44" t="s">
        <v>2</v>
      </c>
      <c r="F545" s="44">
        <v>45702</v>
      </c>
      <c r="G545" s="44" t="s">
        <v>2</v>
      </c>
      <c r="H545" s="44">
        <v>45702</v>
      </c>
      <c r="I545" s="45" t="s">
        <v>2</v>
      </c>
      <c r="J545" s="46">
        <v>45700</v>
      </c>
      <c r="K545" s="45" t="s">
        <v>2</v>
      </c>
      <c r="L545" s="33">
        <v>45694</v>
      </c>
      <c r="M545" s="45" t="s">
        <v>2</v>
      </c>
      <c r="N545" s="33">
        <v>45695</v>
      </c>
      <c r="O545" s="44" t="s">
        <v>1</v>
      </c>
      <c r="P545" s="44"/>
      <c r="Q545" s="44" t="s">
        <v>2</v>
      </c>
      <c r="R545" s="44"/>
      <c r="S545" s="44" t="s">
        <v>341</v>
      </c>
      <c r="T545" s="44">
        <v>45692</v>
      </c>
      <c r="U545" s="44" t="s">
        <v>1</v>
      </c>
      <c r="V545" s="44"/>
      <c r="W545" s="44" t="s">
        <v>1</v>
      </c>
      <c r="X545" s="44"/>
      <c r="Y545" s="44" t="s">
        <v>1</v>
      </c>
      <c r="Z545" s="44"/>
      <c r="AA545" s="44" t="s">
        <v>1</v>
      </c>
      <c r="AB545" s="44"/>
      <c r="AC545" s="51">
        <v>45786</v>
      </c>
      <c r="AD545" s="50">
        <v>45869</v>
      </c>
      <c r="AE545" s="41" t="s">
        <v>2</v>
      </c>
      <c r="AF545" s="41" t="s">
        <v>2</v>
      </c>
      <c r="AG545" s="40" t="s">
        <v>5</v>
      </c>
      <c r="AH545" s="36" t="s">
        <v>0</v>
      </c>
      <c r="AI545" s="49">
        <v>20140</v>
      </c>
      <c r="AJ545" s="36" t="s">
        <v>6</v>
      </c>
      <c r="AK545" s="10">
        <v>664935</v>
      </c>
      <c r="AL545" s="36" t="s">
        <v>1</v>
      </c>
      <c r="AM545" s="36" t="s">
        <v>1</v>
      </c>
      <c r="AN545" s="35" t="s">
        <v>2</v>
      </c>
      <c r="AO545" s="35" t="s">
        <v>2</v>
      </c>
      <c r="AP545" s="35" t="s">
        <v>2</v>
      </c>
      <c r="AQ545" s="35" t="s">
        <v>2</v>
      </c>
      <c r="AR545" s="34" t="s">
        <v>2</v>
      </c>
      <c r="AS545" s="33">
        <v>45891</v>
      </c>
      <c r="AT545" s="32" t="s">
        <v>1</v>
      </c>
      <c r="AU545" s="31"/>
      <c r="AV545" s="32" t="s">
        <v>1</v>
      </c>
      <c r="AW545" s="31"/>
      <c r="AX545" s="32" t="s">
        <v>2</v>
      </c>
      <c r="AY545" s="31">
        <v>45891</v>
      </c>
      <c r="AZ545" s="32" t="s">
        <v>0</v>
      </c>
      <c r="BA545" s="31"/>
      <c r="BB545" s="109"/>
      <c r="BC545" s="22">
        <v>0</v>
      </c>
      <c r="BD545" s="24"/>
      <c r="BE545" s="24"/>
      <c r="BF545" s="24"/>
      <c r="BG545" s="24"/>
      <c r="BH545" s="24"/>
      <c r="BI545" s="24"/>
      <c r="BJ545" s="24"/>
      <c r="BK545" s="24"/>
      <c r="BL545" s="24"/>
      <c r="BM545" s="24"/>
      <c r="BN545" s="24"/>
      <c r="BO545" s="24"/>
      <c r="BP545" s="24"/>
      <c r="BQ545" s="22">
        <f>YEAR([1]!BANCO10[[#This Row],[DATA INÍCIO]])</f>
        <v>2025</v>
      </c>
      <c r="BR545" s="22">
        <f>MONTH([1]!BANCO10[[#This Row],[DATA INÍCIO]])</f>
        <v>5</v>
      </c>
      <c r="BS545" s="23" t="e">
        <f>CONCATENATE(#REF!,#REF!)</f>
        <v>#REF!</v>
      </c>
      <c r="BT545" s="22"/>
      <c r="BU545" s="22"/>
      <c r="BV545" s="21" t="str">
        <f>IF([1]!BANCO10[[#This Row],[SOLUÇÃO]]=BV$1,[1]!BANCO10[[#This Row],[STATUS DA ETAPA]],"")</f>
        <v/>
      </c>
      <c r="BW545" s="21" t="str">
        <f>IF([1]!BANCO10[[#This Row],[SOLUÇÃO]]=BW$1,[1]!BANCO10[[#This Row],[STATUS DA ETAPA]],"")</f>
        <v/>
      </c>
      <c r="BX545" s="21" t="str">
        <f>IF([1]!BANCO10[[#This Row],[SOLUÇÃO]]=BX$1,[1]!BANCO10[[#This Row],[STATUS DA ETAPA]],"")</f>
        <v/>
      </c>
      <c r="BY545" s="21" t="str">
        <f>IF([1]!BANCO10[[#This Row],[SOLUÇÃO]]=BY$1,[1]!BANCO10[[#This Row],[STATUS DA ETAPA]],"")</f>
        <v/>
      </c>
      <c r="BZ545" s="21" t="str">
        <f>IF([1]!BANCO10[[#This Row],[SOLUÇÃO]]=BZ$1,[1]!BANCO10[[#This Row],[STATUS DA ETAPA]],"")</f>
        <v/>
      </c>
      <c r="CA545" s="21" t="str">
        <f>IF([1]!BANCO10[[#This Row],[SOLUÇÃO]]=CA$1,[1]!BANCO10[[#This Row],[STATUS DA ETAPA]],"")</f>
        <v/>
      </c>
      <c r="CB545" s="21" t="str">
        <f>IF([1]!BANCO10[[#This Row],[SOLUÇÃO]]=CB$1,[1]!BANCO10[[#This Row],[STATUS DA ETAPA]],"")</f>
        <v>CONCLUÍDO</v>
      </c>
      <c r="CC545" s="21" t="str">
        <f>IF([1]!BANCO10[[#This Row],[SOLUÇÃO]]=CC$1,[1]!BANCO10[[#This Row],[STATUS DA ETAPA]],"")</f>
        <v/>
      </c>
      <c r="CD545" s="21" t="str">
        <f>IF([1]!BANCO10[[#This Row],[SOLUÇÃO]]=CD$1,[1]!BANCO10[[#This Row],[STATUS DA ETAPA]],"")</f>
        <v/>
      </c>
      <c r="CE545" s="21" t="str">
        <f>IF([1]!BANCO10[[#This Row],[SOLUÇÃO]]=CE$1,[1]!BANCO10[[#This Row],[STATUS DA ETAPA]],"")</f>
        <v/>
      </c>
      <c r="CF545" s="21" t="str">
        <f>IF([1]!BANCO10[[#This Row],[SOLUÇÃO]]=CF$1,[1]!BANCO10[[#This Row],[STATUS DA ETAPA]],"")</f>
        <v/>
      </c>
      <c r="CG545" s="21" t="str">
        <f>IF([1]!BANCO10[[#This Row],[SOLUÇÃO]]=CG$1,[1]!BANCO10[[#This Row],[STATUS DA ETAPA]],"")</f>
        <v/>
      </c>
      <c r="CH545" s="21" t="str">
        <f>IF([1]!BANCO10[[#This Row],[SOLUÇÃO]]=CH$1,[1]!BANCO10[[#This Row],[STATUS DA ETAPA]],"")</f>
        <v/>
      </c>
      <c r="CI545" s="21" t="str">
        <f>IF([1]!BANCO10[[#This Row],[SOLUÇÃO]]=CI$1,[1]!BANCO10[[#This Row],[STATUS DA ETAPA]],"")</f>
        <v/>
      </c>
      <c r="CJ545" s="21" t="str">
        <f>IF([1]!BANCO10[[#This Row],[SOLUÇÃO]]=CJ$1,[1]!BANCO10[[#This Row],[STATUS DA ETAPA]],"")</f>
        <v/>
      </c>
      <c r="CK545" s="21" t="str">
        <f>IF([1]!BANCO10[[#This Row],[SOLUÇÃO]]=CK$1,[1]!BANCO10[[#This Row],[STATUS DA ETAPA]],"")</f>
        <v/>
      </c>
      <c r="CL545" s="21" t="str">
        <f>IF([1]!BANCO10[[#This Row],[SOLUÇÃO]]=CL$1,[1]!BANCO10[[#This Row],[STATUS DA ETAPA]],"")</f>
        <v/>
      </c>
      <c r="CM545" s="21" t="str">
        <f>IF([1]!BANCO10[[#This Row],[SOLUÇÃO]]=CM$1,[1]!BANCO10[[#This Row],[STATUS DA ETAPA]],"")</f>
        <v/>
      </c>
      <c r="CN545" s="21" t="str">
        <f>IF([1]!BANCO10[[#This Row],[SOLUÇÃO]]=CN$1,[1]!BANCO10[[#This Row],[STATUS DA ETAPA]],"")</f>
        <v/>
      </c>
      <c r="CO545" s="21" t="str">
        <f>IF([1]!BANCO10[[#This Row],[SOLUÇÃO]]=CO$1,[1]!BANCO10[[#This Row],[STATUS DA ETAPA]],"")</f>
        <v/>
      </c>
      <c r="CP545" s="21" t="str">
        <f>IF([1]!BANCO10[[#This Row],[SOLUÇÃO]]=CP$1,[1]!BANCO10[[#This Row],[STATUS DA ETAPA]],"")</f>
        <v/>
      </c>
      <c r="CQ545" s="21" t="str">
        <f>IF([1]!BANCO10[[#This Row],[SOLUÇÃO]]=CQ$1,[1]!BANCO10[[#This Row],[STATUS DA ETAPA]],"")</f>
        <v/>
      </c>
      <c r="CR545" s="21" t="str">
        <f>IF([1]!BANCO10[[#This Row],[SOLUÇÃO]]=CR$1,[1]!BANCO10[[#This Row],[STATUS DA ETAPA]],"")</f>
        <v/>
      </c>
      <c r="CS545" s="21" t="str">
        <f>IF([1]!BANCO10[[#This Row],[SOLUÇÃO]]=CS$1,[1]!BANCO10[[#This Row],[STATUS DA ETAPA]],"")</f>
        <v/>
      </c>
      <c r="CT545" s="21" t="str">
        <f>IF([1]!BANCO10[[#This Row],[SOLUÇÃO]]=CT$1,[1]!BANCO10[[#This Row],[STATUS DA ETAPA]],"")</f>
        <v/>
      </c>
      <c r="CU545" s="21" t="str">
        <f>IF([1]!BANCO10[[#This Row],[SOLUÇÃO]]=CU$1,[1]!BANCO10[[#This Row],[STATUS DA ETAPA]],"")</f>
        <v/>
      </c>
      <c r="CV545" s="21" t="str">
        <f>IF([1]!BANCO10[[#This Row],[SOLUÇÃO]]=CV$1,[1]!BANCO10[[#This Row],[STATUS DA ETAPA]],"")</f>
        <v/>
      </c>
    </row>
    <row r="546" spans="1:100">
      <c r="A546" s="44" t="s">
        <v>1</v>
      </c>
      <c r="B546" s="44"/>
      <c r="C546" s="44" t="s">
        <v>1</v>
      </c>
      <c r="D546" s="44"/>
      <c r="E546" s="44" t="s">
        <v>1</v>
      </c>
      <c r="F546" s="44"/>
      <c r="G546" s="44" t="s">
        <v>1</v>
      </c>
      <c r="H546" s="44"/>
      <c r="I546" s="45" t="s">
        <v>1</v>
      </c>
      <c r="J546" s="46"/>
      <c r="K546" s="45" t="s">
        <v>1</v>
      </c>
      <c r="L546" s="33"/>
      <c r="M546" s="45" t="s">
        <v>1</v>
      </c>
      <c r="N546" s="33"/>
      <c r="O546" s="44" t="s">
        <v>1</v>
      </c>
      <c r="P546" s="44"/>
      <c r="Q546" s="44" t="s">
        <v>1</v>
      </c>
      <c r="R546" s="44" t="s">
        <v>1</v>
      </c>
      <c r="S546" s="44" t="s">
        <v>1</v>
      </c>
      <c r="T546" s="44"/>
      <c r="U546" s="44" t="s">
        <v>1</v>
      </c>
      <c r="V546" s="44"/>
      <c r="W546" s="44" t="s">
        <v>1</v>
      </c>
      <c r="X546" s="44"/>
      <c r="Y546" s="44" t="s">
        <v>1</v>
      </c>
      <c r="Z546" s="44"/>
      <c r="AA546" s="44" t="s">
        <v>1</v>
      </c>
      <c r="AB546" s="44"/>
      <c r="AC546" s="51">
        <v>45713</v>
      </c>
      <c r="AD546" s="50">
        <v>45713</v>
      </c>
      <c r="AE546" s="41" t="s">
        <v>1</v>
      </c>
      <c r="AF546" s="41" t="s">
        <v>1</v>
      </c>
      <c r="AG546" s="40" t="s">
        <v>5</v>
      </c>
      <c r="AH546" s="36" t="s">
        <v>2</v>
      </c>
      <c r="AI546" s="49">
        <v>0</v>
      </c>
      <c r="AJ546" s="36" t="s">
        <v>1</v>
      </c>
      <c r="AK546" s="10" t="s">
        <v>1</v>
      </c>
      <c r="AL546" s="36" t="s">
        <v>1</v>
      </c>
      <c r="AM546" s="36" t="s">
        <v>1</v>
      </c>
      <c r="AN546" s="35" t="s">
        <v>1</v>
      </c>
      <c r="AO546" s="35" t="s">
        <v>1</v>
      </c>
      <c r="AP546" s="35" t="s">
        <v>1</v>
      </c>
      <c r="AQ546" s="35" t="s">
        <v>1</v>
      </c>
      <c r="AR546" s="82" t="s">
        <v>1</v>
      </c>
      <c r="AS546" s="33"/>
      <c r="AT546" s="32" t="s">
        <v>1</v>
      </c>
      <c r="AU546" s="31"/>
      <c r="AV546" s="32" t="s">
        <v>1</v>
      </c>
      <c r="AW546" s="31"/>
      <c r="AX546" s="32" t="s">
        <v>1</v>
      </c>
      <c r="AY546" s="31"/>
      <c r="AZ546" s="32" t="s">
        <v>1</v>
      </c>
      <c r="BA546" s="31"/>
      <c r="BB546" s="26"/>
      <c r="BC546" s="25"/>
      <c r="BD546" s="24"/>
      <c r="BE546" s="24"/>
      <c r="BF546" s="24"/>
      <c r="BG546" s="24"/>
      <c r="BH546" s="24"/>
      <c r="BI546" s="24"/>
      <c r="BJ546" s="24"/>
      <c r="BK546" s="24"/>
      <c r="BL546" s="24"/>
      <c r="BM546" s="24"/>
      <c r="BN546" s="24"/>
      <c r="BO546" s="24"/>
      <c r="BP546" s="24"/>
      <c r="BQ546" s="22">
        <f>YEAR([1]!BANCO10[[#This Row],[DATA INÍCIO]])</f>
        <v>2025</v>
      </c>
      <c r="BR546" s="22">
        <f>MONTH([1]!BANCO10[[#This Row],[DATA INÍCIO]])</f>
        <v>2</v>
      </c>
      <c r="BS546" s="23" t="e">
        <f>CONCATENATE(#REF!,#REF!)</f>
        <v>#REF!</v>
      </c>
      <c r="BT546" s="22"/>
      <c r="BU546" s="22"/>
      <c r="BV546" s="21" t="str">
        <f>IF([1]!BANCO10[[#This Row],[SOLUÇÃO]]=BV$1,[1]!BANCO10[[#This Row],[STATUS DA ETAPA]],"")</f>
        <v>CONCLUÍDO</v>
      </c>
      <c r="BW546" s="21" t="str">
        <f>IF([1]!BANCO10[[#This Row],[SOLUÇÃO]]=BW$1,[1]!BANCO10[[#This Row],[STATUS DA ETAPA]],"")</f>
        <v/>
      </c>
      <c r="BX546" s="21" t="str">
        <f>IF([1]!BANCO10[[#This Row],[SOLUÇÃO]]=BX$1,[1]!BANCO10[[#This Row],[STATUS DA ETAPA]],"")</f>
        <v/>
      </c>
      <c r="BY546" s="21" t="str">
        <f>IF([1]!BANCO10[[#This Row],[SOLUÇÃO]]=BY$1,[1]!BANCO10[[#This Row],[STATUS DA ETAPA]],"")</f>
        <v/>
      </c>
      <c r="BZ546" s="21" t="str">
        <f>IF([1]!BANCO10[[#This Row],[SOLUÇÃO]]=BZ$1,[1]!BANCO10[[#This Row],[STATUS DA ETAPA]],"")</f>
        <v/>
      </c>
      <c r="CA546" s="21" t="str">
        <f>IF([1]!BANCO10[[#This Row],[SOLUÇÃO]]=CA$1,[1]!BANCO10[[#This Row],[STATUS DA ETAPA]],"")</f>
        <v/>
      </c>
      <c r="CB546" s="21" t="str">
        <f>IF([1]!BANCO10[[#This Row],[SOLUÇÃO]]=CB$1,[1]!BANCO10[[#This Row],[STATUS DA ETAPA]],"")</f>
        <v/>
      </c>
      <c r="CC546" s="21" t="str">
        <f>IF([1]!BANCO10[[#This Row],[SOLUÇÃO]]=CC$1,[1]!BANCO10[[#This Row],[STATUS DA ETAPA]],"")</f>
        <v/>
      </c>
      <c r="CD546" s="21" t="str">
        <f>IF([1]!BANCO10[[#This Row],[SOLUÇÃO]]=CD$1,[1]!BANCO10[[#This Row],[STATUS DA ETAPA]],"")</f>
        <v/>
      </c>
      <c r="CE546" s="21" t="str">
        <f>IF([1]!BANCO10[[#This Row],[SOLUÇÃO]]=CE$1,[1]!BANCO10[[#This Row],[STATUS DA ETAPA]],"")</f>
        <v/>
      </c>
      <c r="CF546" s="21" t="str">
        <f>IF([1]!BANCO10[[#This Row],[SOLUÇÃO]]=CF$1,[1]!BANCO10[[#This Row],[STATUS DA ETAPA]],"")</f>
        <v/>
      </c>
      <c r="CG546" s="21" t="str">
        <f>IF([1]!BANCO10[[#This Row],[SOLUÇÃO]]=CG$1,[1]!BANCO10[[#This Row],[STATUS DA ETAPA]],"")</f>
        <v/>
      </c>
      <c r="CH546" s="21" t="str">
        <f>IF([1]!BANCO10[[#This Row],[SOLUÇÃO]]=CH$1,[1]!BANCO10[[#This Row],[STATUS DA ETAPA]],"")</f>
        <v/>
      </c>
      <c r="CI546" s="21" t="str">
        <f>IF([1]!BANCO10[[#This Row],[SOLUÇÃO]]=CI$1,[1]!BANCO10[[#This Row],[STATUS DA ETAPA]],"")</f>
        <v/>
      </c>
      <c r="CJ546" s="21" t="str">
        <f>IF([1]!BANCO10[[#This Row],[SOLUÇÃO]]=CJ$1,[1]!BANCO10[[#This Row],[STATUS DA ETAPA]],"")</f>
        <v/>
      </c>
      <c r="CK546" s="21" t="str">
        <f>IF([1]!BANCO10[[#This Row],[SOLUÇÃO]]=CK$1,[1]!BANCO10[[#This Row],[STATUS DA ETAPA]],"")</f>
        <v/>
      </c>
      <c r="CL546" s="21" t="str">
        <f>IF([1]!BANCO10[[#This Row],[SOLUÇÃO]]=CL$1,[1]!BANCO10[[#This Row],[STATUS DA ETAPA]],"")</f>
        <v/>
      </c>
      <c r="CM546" s="21" t="str">
        <f>IF([1]!BANCO10[[#This Row],[SOLUÇÃO]]=CM$1,[1]!BANCO10[[#This Row],[STATUS DA ETAPA]],"")</f>
        <v/>
      </c>
      <c r="CN546" s="21" t="str">
        <f>IF([1]!BANCO10[[#This Row],[SOLUÇÃO]]=CN$1,[1]!BANCO10[[#This Row],[STATUS DA ETAPA]],"")</f>
        <v/>
      </c>
      <c r="CO546" s="21" t="str">
        <f>IF([1]!BANCO10[[#This Row],[SOLUÇÃO]]=CO$1,[1]!BANCO10[[#This Row],[STATUS DA ETAPA]],"")</f>
        <v/>
      </c>
      <c r="CP546" s="21" t="str">
        <f>IF([1]!BANCO10[[#This Row],[SOLUÇÃO]]=CP$1,[1]!BANCO10[[#This Row],[STATUS DA ETAPA]],"")</f>
        <v/>
      </c>
      <c r="CQ546" s="21" t="str">
        <f>IF([1]!BANCO10[[#This Row],[SOLUÇÃO]]=CQ$1,[1]!BANCO10[[#This Row],[STATUS DA ETAPA]],"")</f>
        <v/>
      </c>
      <c r="CR546" s="21" t="str">
        <f>IF([1]!BANCO10[[#This Row],[SOLUÇÃO]]=CR$1,[1]!BANCO10[[#This Row],[STATUS DA ETAPA]],"")</f>
        <v/>
      </c>
      <c r="CS546" s="21" t="str">
        <f>IF([1]!BANCO10[[#This Row],[SOLUÇÃO]]=CS$1,[1]!BANCO10[[#This Row],[STATUS DA ETAPA]],"")</f>
        <v/>
      </c>
      <c r="CT546" s="21" t="str">
        <f>IF([1]!BANCO10[[#This Row],[SOLUÇÃO]]=CT$1,[1]!BANCO10[[#This Row],[STATUS DA ETAPA]],"")</f>
        <v/>
      </c>
      <c r="CU546" s="21" t="str">
        <f>IF([1]!BANCO10[[#This Row],[SOLUÇÃO]]=CU$1,[1]!BANCO10[[#This Row],[STATUS DA ETAPA]],"")</f>
        <v/>
      </c>
      <c r="CV546" s="21" t="str">
        <f>IF([1]!BANCO10[[#This Row],[SOLUÇÃO]]=CV$1,[1]!BANCO10[[#This Row],[STATUS DA ETAPA]],"")</f>
        <v/>
      </c>
    </row>
    <row r="547" spans="1:100">
      <c r="A547" s="44" t="s">
        <v>2</v>
      </c>
      <c r="B547" s="44">
        <v>45700</v>
      </c>
      <c r="C547" s="44" t="s">
        <v>2</v>
      </c>
      <c r="D547" s="44">
        <v>45701</v>
      </c>
      <c r="E547" s="44" t="s">
        <v>2</v>
      </c>
      <c r="F547" s="44">
        <v>45702</v>
      </c>
      <c r="G547" s="44" t="s">
        <v>2</v>
      </c>
      <c r="H547" s="44">
        <v>45705</v>
      </c>
      <c r="I547" s="45" t="s">
        <v>2</v>
      </c>
      <c r="J547" s="46">
        <v>45707</v>
      </c>
      <c r="K547" s="45" t="s">
        <v>2</v>
      </c>
      <c r="L547" s="33">
        <v>45708</v>
      </c>
      <c r="M547" s="45" t="s">
        <v>2</v>
      </c>
      <c r="N547" s="33">
        <v>45713</v>
      </c>
      <c r="O547" s="44" t="s">
        <v>1</v>
      </c>
      <c r="P547" s="44"/>
      <c r="Q547" s="44" t="s">
        <v>2</v>
      </c>
      <c r="R547" s="44"/>
      <c r="S547" s="44" t="s">
        <v>2</v>
      </c>
      <c r="T547" s="44">
        <v>45708</v>
      </c>
      <c r="U547" s="44" t="s">
        <v>1</v>
      </c>
      <c r="V547" s="44"/>
      <c r="W547" s="44" t="s">
        <v>1</v>
      </c>
      <c r="X547" s="44"/>
      <c r="Y547" s="44" t="s">
        <v>1</v>
      </c>
      <c r="Z547" s="44"/>
      <c r="AA547" s="44" t="s">
        <v>1</v>
      </c>
      <c r="AB547" s="44"/>
      <c r="AC547" s="51">
        <v>45751</v>
      </c>
      <c r="AD547" s="50">
        <v>45863</v>
      </c>
      <c r="AE547" s="41" t="s">
        <v>2</v>
      </c>
      <c r="AF547" s="41" t="s">
        <v>2</v>
      </c>
      <c r="AG547" s="40" t="s">
        <v>5</v>
      </c>
      <c r="AH547" s="36" t="s">
        <v>0</v>
      </c>
      <c r="AI547" s="49">
        <v>20140</v>
      </c>
      <c r="AJ547" s="36" t="s">
        <v>6</v>
      </c>
      <c r="AK547" s="10">
        <v>666205</v>
      </c>
      <c r="AL547" s="36" t="s">
        <v>1</v>
      </c>
      <c r="AM547" s="36" t="s">
        <v>1</v>
      </c>
      <c r="AN547" s="35" t="s">
        <v>2</v>
      </c>
      <c r="AO547" s="35" t="s">
        <v>2</v>
      </c>
      <c r="AP547" s="35" t="s">
        <v>2</v>
      </c>
      <c r="AQ547" s="35" t="s">
        <v>2</v>
      </c>
      <c r="AR547" s="34" t="s">
        <v>2</v>
      </c>
      <c r="AS547" s="33">
        <v>45889</v>
      </c>
      <c r="AT547" s="32" t="s">
        <v>1</v>
      </c>
      <c r="AU547" s="31"/>
      <c r="AV547" s="32" t="s">
        <v>1</v>
      </c>
      <c r="AW547" s="31"/>
      <c r="AX547" s="30" t="s">
        <v>2</v>
      </c>
      <c r="AY547" s="31">
        <v>45889</v>
      </c>
      <c r="AZ547" s="32" t="s">
        <v>0</v>
      </c>
      <c r="BA547" s="31"/>
      <c r="BB547" s="92" t="s">
        <v>68</v>
      </c>
      <c r="BC547" s="22">
        <v>32</v>
      </c>
      <c r="BD547" s="24"/>
      <c r="BE547" s="24"/>
      <c r="BF547" s="24"/>
      <c r="BG547" s="24"/>
      <c r="BH547" s="24"/>
      <c r="BI547" s="24"/>
      <c r="BJ547" s="24"/>
      <c r="BK547" s="24"/>
      <c r="BL547" s="24"/>
      <c r="BM547" s="24"/>
      <c r="BN547" s="24"/>
      <c r="BO547" s="24"/>
      <c r="BP547" s="24"/>
      <c r="BQ547" s="22">
        <f>YEAR([1]!BANCO10[[#This Row],[DATA INÍCIO]])</f>
        <v>2025</v>
      </c>
      <c r="BR547" s="22">
        <f>MONTH([1]!BANCO10[[#This Row],[DATA INÍCIO]])</f>
        <v>4</v>
      </c>
      <c r="BS547" s="23" t="e">
        <f>CONCATENATE(#REF!,#REF!)</f>
        <v>#REF!</v>
      </c>
      <c r="BT547" s="22"/>
      <c r="BU547" s="22"/>
      <c r="BV547" s="21" t="str">
        <f>IF([1]!BANCO10[[#This Row],[SOLUÇÃO]]=BV$1,[1]!BANCO10[[#This Row],[STATUS DA ETAPA]],"")</f>
        <v/>
      </c>
      <c r="BW547" s="21" t="str">
        <f>IF([1]!BANCO10[[#This Row],[SOLUÇÃO]]=BW$1,[1]!BANCO10[[#This Row],[STATUS DA ETAPA]],"")</f>
        <v/>
      </c>
      <c r="BX547" s="21" t="str">
        <f>IF([1]!BANCO10[[#This Row],[SOLUÇÃO]]=BX$1,[1]!BANCO10[[#This Row],[STATUS DA ETAPA]],"")</f>
        <v/>
      </c>
      <c r="BY547" s="21" t="str">
        <f>IF([1]!BANCO10[[#This Row],[SOLUÇÃO]]=BY$1,[1]!BANCO10[[#This Row],[STATUS DA ETAPA]],"")</f>
        <v/>
      </c>
      <c r="BZ547" s="21" t="str">
        <f>IF([1]!BANCO10[[#This Row],[SOLUÇÃO]]=BZ$1,[1]!BANCO10[[#This Row],[STATUS DA ETAPA]],"")</f>
        <v/>
      </c>
      <c r="CA547" s="21" t="str">
        <f>IF([1]!BANCO10[[#This Row],[SOLUÇÃO]]=CA$1,[1]!BANCO10[[#This Row],[STATUS DA ETAPA]],"")</f>
        <v/>
      </c>
      <c r="CB547" s="21" t="str">
        <f>IF([1]!BANCO10[[#This Row],[SOLUÇÃO]]=CB$1,[1]!BANCO10[[#This Row],[STATUS DA ETAPA]],"")</f>
        <v>CONCLUÍDO</v>
      </c>
      <c r="CC547" s="21" t="str">
        <f>IF([1]!BANCO10[[#This Row],[SOLUÇÃO]]=CC$1,[1]!BANCO10[[#This Row],[STATUS DA ETAPA]],"")</f>
        <v/>
      </c>
      <c r="CD547" s="21" t="str">
        <f>IF([1]!BANCO10[[#This Row],[SOLUÇÃO]]=CD$1,[1]!BANCO10[[#This Row],[STATUS DA ETAPA]],"")</f>
        <v/>
      </c>
      <c r="CE547" s="21" t="str">
        <f>IF([1]!BANCO10[[#This Row],[SOLUÇÃO]]=CE$1,[1]!BANCO10[[#This Row],[STATUS DA ETAPA]],"")</f>
        <v/>
      </c>
      <c r="CF547" s="21" t="str">
        <f>IF([1]!BANCO10[[#This Row],[SOLUÇÃO]]=CF$1,[1]!BANCO10[[#This Row],[STATUS DA ETAPA]],"")</f>
        <v/>
      </c>
      <c r="CG547" s="21" t="str">
        <f>IF([1]!BANCO10[[#This Row],[SOLUÇÃO]]=CG$1,[1]!BANCO10[[#This Row],[STATUS DA ETAPA]],"")</f>
        <v/>
      </c>
      <c r="CH547" s="21" t="str">
        <f>IF([1]!BANCO10[[#This Row],[SOLUÇÃO]]=CH$1,[1]!BANCO10[[#This Row],[STATUS DA ETAPA]],"")</f>
        <v/>
      </c>
      <c r="CI547" s="21" t="str">
        <f>IF([1]!BANCO10[[#This Row],[SOLUÇÃO]]=CI$1,[1]!BANCO10[[#This Row],[STATUS DA ETAPA]],"")</f>
        <v/>
      </c>
      <c r="CJ547" s="21" t="str">
        <f>IF([1]!BANCO10[[#This Row],[SOLUÇÃO]]=CJ$1,[1]!BANCO10[[#This Row],[STATUS DA ETAPA]],"")</f>
        <v/>
      </c>
      <c r="CK547" s="21" t="str">
        <f>IF([1]!BANCO10[[#This Row],[SOLUÇÃO]]=CK$1,[1]!BANCO10[[#This Row],[STATUS DA ETAPA]],"")</f>
        <v/>
      </c>
      <c r="CL547" s="21" t="str">
        <f>IF([1]!BANCO10[[#This Row],[SOLUÇÃO]]=CL$1,[1]!BANCO10[[#This Row],[STATUS DA ETAPA]],"")</f>
        <v/>
      </c>
      <c r="CM547" s="21" t="str">
        <f>IF([1]!BANCO10[[#This Row],[SOLUÇÃO]]=CM$1,[1]!BANCO10[[#This Row],[STATUS DA ETAPA]],"")</f>
        <v/>
      </c>
      <c r="CN547" s="21" t="str">
        <f>IF([1]!BANCO10[[#This Row],[SOLUÇÃO]]=CN$1,[1]!BANCO10[[#This Row],[STATUS DA ETAPA]],"")</f>
        <v/>
      </c>
      <c r="CO547" s="21" t="str">
        <f>IF([1]!BANCO10[[#This Row],[SOLUÇÃO]]=CO$1,[1]!BANCO10[[#This Row],[STATUS DA ETAPA]],"")</f>
        <v/>
      </c>
      <c r="CP547" s="21" t="str">
        <f>IF([1]!BANCO10[[#This Row],[SOLUÇÃO]]=CP$1,[1]!BANCO10[[#This Row],[STATUS DA ETAPA]],"")</f>
        <v/>
      </c>
      <c r="CQ547" s="21" t="str">
        <f>IF([1]!BANCO10[[#This Row],[SOLUÇÃO]]=CQ$1,[1]!BANCO10[[#This Row],[STATUS DA ETAPA]],"")</f>
        <v/>
      </c>
      <c r="CR547" s="21" t="str">
        <f>IF([1]!BANCO10[[#This Row],[SOLUÇÃO]]=CR$1,[1]!BANCO10[[#This Row],[STATUS DA ETAPA]],"")</f>
        <v/>
      </c>
      <c r="CS547" s="21" t="str">
        <f>IF([1]!BANCO10[[#This Row],[SOLUÇÃO]]=CS$1,[1]!BANCO10[[#This Row],[STATUS DA ETAPA]],"")</f>
        <v/>
      </c>
      <c r="CT547" s="21" t="str">
        <f>IF([1]!BANCO10[[#This Row],[SOLUÇÃO]]=CT$1,[1]!BANCO10[[#This Row],[STATUS DA ETAPA]],"")</f>
        <v/>
      </c>
      <c r="CU547" s="21" t="str">
        <f>IF([1]!BANCO10[[#This Row],[SOLUÇÃO]]=CU$1,[1]!BANCO10[[#This Row],[STATUS DA ETAPA]],"")</f>
        <v/>
      </c>
      <c r="CV547" s="21" t="str">
        <f>IF([1]!BANCO10[[#This Row],[SOLUÇÃO]]=CV$1,[1]!BANCO10[[#This Row],[STATUS DA ETAPA]],"")</f>
        <v/>
      </c>
    </row>
    <row r="548" spans="1:100">
      <c r="A548" s="44" t="s">
        <v>1</v>
      </c>
      <c r="B548" s="44"/>
      <c r="C548" s="44" t="s">
        <v>1</v>
      </c>
      <c r="D548" s="44"/>
      <c r="E548" s="44" t="s">
        <v>1</v>
      </c>
      <c r="F548" s="44"/>
      <c r="G548" s="44" t="s">
        <v>1</v>
      </c>
      <c r="H548" s="44"/>
      <c r="I548" s="45" t="s">
        <v>1</v>
      </c>
      <c r="J548" s="46"/>
      <c r="K548" s="45" t="s">
        <v>1</v>
      </c>
      <c r="L548" s="33"/>
      <c r="M548" s="45" t="s">
        <v>1</v>
      </c>
      <c r="N548" s="33"/>
      <c r="O548" s="44" t="s">
        <v>1</v>
      </c>
      <c r="P548" s="44"/>
      <c r="Q548" s="44" t="s">
        <v>1</v>
      </c>
      <c r="R548" s="44"/>
      <c r="S548" s="44" t="s">
        <v>1</v>
      </c>
      <c r="T548" s="44"/>
      <c r="U548" s="44" t="s">
        <v>1</v>
      </c>
      <c r="V548" s="44"/>
      <c r="W548" s="44" t="s">
        <v>1</v>
      </c>
      <c r="X548" s="44"/>
      <c r="Y548" s="44" t="s">
        <v>1</v>
      </c>
      <c r="Z548" s="44"/>
      <c r="AA548" s="44" t="s">
        <v>1</v>
      </c>
      <c r="AB548" s="44"/>
      <c r="AC548" s="84">
        <v>45536</v>
      </c>
      <c r="AD548" s="83">
        <v>45536</v>
      </c>
      <c r="AE548" s="41" t="s">
        <v>1</v>
      </c>
      <c r="AF548" s="41" t="s">
        <v>1</v>
      </c>
      <c r="AG548" s="40" t="s">
        <v>5</v>
      </c>
      <c r="AH548" s="36" t="s">
        <v>1</v>
      </c>
      <c r="AI548" s="49">
        <v>0</v>
      </c>
      <c r="AJ548" s="36" t="s">
        <v>1</v>
      </c>
      <c r="AK548" s="10" t="s">
        <v>1</v>
      </c>
      <c r="AL548" s="36" t="s">
        <v>1</v>
      </c>
      <c r="AM548" s="36" t="s">
        <v>1</v>
      </c>
      <c r="AN548" s="35" t="s">
        <v>1</v>
      </c>
      <c r="AO548" s="35" t="s">
        <v>1</v>
      </c>
      <c r="AP548" s="35" t="s">
        <v>1</v>
      </c>
      <c r="AQ548" s="35" t="s">
        <v>1</v>
      </c>
      <c r="AR548" s="48" t="s">
        <v>1</v>
      </c>
      <c r="AS548" s="33"/>
      <c r="AT548" s="88"/>
      <c r="AU548" s="25"/>
      <c r="AV548" s="88"/>
      <c r="AW548" s="25"/>
      <c r="AX548" s="88" t="s">
        <v>1</v>
      </c>
      <c r="AY548" s="25"/>
      <c r="AZ548" s="88" t="s">
        <v>1</v>
      </c>
      <c r="BA548" s="87"/>
      <c r="BB548" s="39"/>
      <c r="BC548" s="25"/>
      <c r="BD548" s="24"/>
      <c r="BE548" s="24"/>
      <c r="BF548" s="79"/>
      <c r="BG548" s="79"/>
      <c r="BH548" s="80"/>
      <c r="BI548" s="79"/>
      <c r="BJ548" s="54"/>
      <c r="BK548" s="78"/>
      <c r="BL548" s="69"/>
      <c r="BM548" s="78"/>
      <c r="BN548" s="78"/>
      <c r="BO548" s="78"/>
      <c r="BP548" s="78"/>
      <c r="BQ548" s="21">
        <f>YEAR([1]!BANCO10[[#This Row],[DATA INÍCIO]])</f>
        <v>2024</v>
      </c>
      <c r="BR548" s="21">
        <f>MONTH([1]!BANCO10[[#This Row],[DATA INÍCIO]])</f>
        <v>9</v>
      </c>
      <c r="BS548" s="21" t="e">
        <f>CONCATENATE(#REF!,#REF!)</f>
        <v>#REF!</v>
      </c>
      <c r="BT548" s="21"/>
      <c r="BU548" s="21"/>
      <c r="BV548" s="21" t="str">
        <f>IF([1]!BANCO10[[#This Row],[SOLUÇÃO]]=BV$1,[1]!BANCO10[[#This Row],[STATUS DA ETAPA]],"")</f>
        <v>CONCLUÍDO</v>
      </c>
      <c r="BW548" s="21" t="str">
        <f>IF([1]!BANCO10[[#This Row],[SOLUÇÃO]]=BW$1,[1]!BANCO10[[#This Row],[STATUS DA ETAPA]],"")</f>
        <v/>
      </c>
      <c r="BX548" s="21" t="str">
        <f>IF([1]!BANCO10[[#This Row],[SOLUÇÃO]]=BX$1,[1]!BANCO10[[#This Row],[STATUS DA ETAPA]],"")</f>
        <v/>
      </c>
      <c r="BY548" s="21" t="str">
        <f>IF([1]!BANCO10[[#This Row],[SOLUÇÃO]]=BY$1,[1]!BANCO10[[#This Row],[STATUS DA ETAPA]],"")</f>
        <v/>
      </c>
      <c r="BZ548" s="21" t="str">
        <f>IF([1]!BANCO10[[#This Row],[SOLUÇÃO]]=BZ$1,[1]!BANCO10[[#This Row],[STATUS DA ETAPA]],"")</f>
        <v/>
      </c>
      <c r="CA548" s="21" t="str">
        <f>IF([1]!BANCO10[[#This Row],[SOLUÇÃO]]=CA$1,[1]!BANCO10[[#This Row],[STATUS DA ETAPA]],"")</f>
        <v/>
      </c>
      <c r="CB548" s="21" t="str">
        <f>IF([1]!BANCO10[[#This Row],[SOLUÇÃO]]=CB$1,[1]!BANCO10[[#This Row],[STATUS DA ETAPA]],"")</f>
        <v/>
      </c>
      <c r="CC548" s="21" t="str">
        <f>IF([1]!BANCO10[[#This Row],[SOLUÇÃO]]=CC$1,[1]!BANCO10[[#This Row],[STATUS DA ETAPA]],"")</f>
        <v/>
      </c>
      <c r="CD548" s="21" t="str">
        <f>IF([1]!BANCO10[[#This Row],[SOLUÇÃO]]=CD$1,[1]!BANCO10[[#This Row],[STATUS DA ETAPA]],"")</f>
        <v/>
      </c>
      <c r="CE548" s="21" t="str">
        <f>IF([1]!BANCO10[[#This Row],[SOLUÇÃO]]=CE$1,[1]!BANCO10[[#This Row],[STATUS DA ETAPA]],"")</f>
        <v/>
      </c>
      <c r="CF548" s="21" t="str">
        <f>IF([1]!BANCO10[[#This Row],[SOLUÇÃO]]=CF$1,[1]!BANCO10[[#This Row],[STATUS DA ETAPA]],"")</f>
        <v/>
      </c>
      <c r="CG548" s="21" t="str">
        <f>IF([1]!BANCO10[[#This Row],[SOLUÇÃO]]=CG$1,[1]!BANCO10[[#This Row],[STATUS DA ETAPA]],"")</f>
        <v/>
      </c>
      <c r="CH548" s="21" t="str">
        <f>IF([1]!BANCO10[[#This Row],[SOLUÇÃO]]=CH$1,[1]!BANCO10[[#This Row],[STATUS DA ETAPA]],"")</f>
        <v/>
      </c>
      <c r="CI548" s="21" t="str">
        <f>IF([1]!BANCO10[[#This Row],[SOLUÇÃO]]=CI$1,[1]!BANCO10[[#This Row],[STATUS DA ETAPA]],"")</f>
        <v/>
      </c>
      <c r="CJ548" s="21" t="str">
        <f>IF([1]!BANCO10[[#This Row],[SOLUÇÃO]]=CJ$1,[1]!BANCO10[[#This Row],[STATUS DA ETAPA]],"")</f>
        <v/>
      </c>
      <c r="CK548" s="21" t="str">
        <f>IF([1]!BANCO10[[#This Row],[SOLUÇÃO]]=CK$1,[1]!BANCO10[[#This Row],[STATUS DA ETAPA]],"")</f>
        <v/>
      </c>
      <c r="CL548" s="22" t="str">
        <f>IF([1]!BANCO10[[#This Row],[SOLUÇÃO]]=CL$1,[1]!BANCO10[[#This Row],[STATUS DA ETAPA]],"")</f>
        <v/>
      </c>
      <c r="CM548" s="64" t="str">
        <f>IF([1]!BANCO10[[#This Row],[SOLUÇÃO]]=CM$1,[1]!BANCO10[[#This Row],[STATUS DA ETAPA]],"")</f>
        <v/>
      </c>
      <c r="CN548" s="64" t="str">
        <f>IF([1]!BANCO10[[#This Row],[SOLUÇÃO]]=CN$1,[1]!BANCO10[[#This Row],[STATUS DA ETAPA]],"")</f>
        <v/>
      </c>
      <c r="CO548" s="64" t="str">
        <f>IF([1]!BANCO10[[#This Row],[SOLUÇÃO]]=CO$1,[1]!BANCO10[[#This Row],[STATUS DA ETAPA]],"")</f>
        <v/>
      </c>
      <c r="CP548" s="64" t="str">
        <f>IF([1]!BANCO10[[#This Row],[SOLUÇÃO]]=CP$1,[1]!BANCO10[[#This Row],[STATUS DA ETAPA]],"")</f>
        <v/>
      </c>
      <c r="CQ548" s="64" t="str">
        <f>IF([1]!BANCO10[[#This Row],[SOLUÇÃO]]=CQ$1,[1]!BANCO10[[#This Row],[STATUS DA ETAPA]],"")</f>
        <v/>
      </c>
      <c r="CR548" s="64" t="str">
        <f>IF([1]!BANCO10[[#This Row],[SOLUÇÃO]]=CR$1,[1]!BANCO10[[#This Row],[STATUS DA ETAPA]],"")</f>
        <v/>
      </c>
      <c r="CS548" s="64" t="str">
        <f>IF([1]!BANCO10[[#This Row],[SOLUÇÃO]]=CS$1,[1]!BANCO10[[#This Row],[STATUS DA ETAPA]],"")</f>
        <v/>
      </c>
      <c r="CT548" s="64" t="str">
        <f>IF([1]!BANCO10[[#This Row],[SOLUÇÃO]]=CT$1,[1]!BANCO10[[#This Row],[STATUS DA ETAPA]],"")</f>
        <v/>
      </c>
      <c r="CU548" s="64" t="str">
        <f>IF([1]!BANCO10[[#This Row],[SOLUÇÃO]]=CU$1,[1]!BANCO10[[#This Row],[STATUS DA ETAPA]],"")</f>
        <v/>
      </c>
      <c r="CV548" s="64" t="str">
        <f>IF([1]!BANCO10[[#This Row],[SOLUÇÃO]]=CV$1,[1]!BANCO10[[#This Row],[STATUS DA ETAPA]],"")</f>
        <v/>
      </c>
    </row>
    <row r="549" spans="1:100">
      <c r="A549" s="44" t="s">
        <v>1</v>
      </c>
      <c r="B549" s="44"/>
      <c r="C549" s="44" t="s">
        <v>1</v>
      </c>
      <c r="D549" s="44"/>
      <c r="E549" s="44" t="s">
        <v>1</v>
      </c>
      <c r="F549" s="44"/>
      <c r="G549" s="44" t="s">
        <v>1</v>
      </c>
      <c r="H549" s="44"/>
      <c r="I549" s="45" t="s">
        <v>1</v>
      </c>
      <c r="J549" s="46"/>
      <c r="K549" s="45" t="s">
        <v>1</v>
      </c>
      <c r="L549" s="33"/>
      <c r="M549" s="45" t="s">
        <v>1</v>
      </c>
      <c r="N549" s="33"/>
      <c r="O549" s="44" t="s">
        <v>2</v>
      </c>
      <c r="P549" s="44">
        <v>45531</v>
      </c>
      <c r="Q549" s="44" t="s">
        <v>2</v>
      </c>
      <c r="R549" s="44">
        <v>45536</v>
      </c>
      <c r="S549" s="44" t="s">
        <v>2</v>
      </c>
      <c r="T549" s="44">
        <v>45594</v>
      </c>
      <c r="U549" s="44" t="s">
        <v>1</v>
      </c>
      <c r="V549" s="44"/>
      <c r="W549" s="44" t="s">
        <v>1</v>
      </c>
      <c r="X549" s="44"/>
      <c r="Y549" s="44" t="s">
        <v>1</v>
      </c>
      <c r="Z549" s="44"/>
      <c r="AA549" s="44" t="s">
        <v>1</v>
      </c>
      <c r="AB549" s="44"/>
      <c r="AC549" s="51">
        <v>45688</v>
      </c>
      <c r="AD549" s="50">
        <v>45800</v>
      </c>
      <c r="AE549" s="41" t="s">
        <v>2</v>
      </c>
      <c r="AF549" s="41" t="s">
        <v>2</v>
      </c>
      <c r="AG549" s="40" t="s">
        <v>5</v>
      </c>
      <c r="AH549" s="36" t="s">
        <v>0</v>
      </c>
      <c r="AI549" s="49">
        <v>0</v>
      </c>
      <c r="AJ549" s="36" t="s">
        <v>6</v>
      </c>
      <c r="AK549" s="10">
        <v>577531</v>
      </c>
      <c r="AL549" s="36" t="s">
        <v>1</v>
      </c>
      <c r="AM549" s="36" t="s">
        <v>1</v>
      </c>
      <c r="AN549" s="35" t="s">
        <v>2</v>
      </c>
      <c r="AO549" s="35" t="s">
        <v>2</v>
      </c>
      <c r="AP549" s="35" t="s">
        <v>2</v>
      </c>
      <c r="AQ549" s="35" t="s">
        <v>2</v>
      </c>
      <c r="AR549" s="34" t="s">
        <v>2</v>
      </c>
      <c r="AS549" s="33">
        <v>45804</v>
      </c>
      <c r="AT549" s="32" t="s">
        <v>1</v>
      </c>
      <c r="AU549" s="31"/>
      <c r="AV549" s="32" t="s">
        <v>1</v>
      </c>
      <c r="AW549" s="31"/>
      <c r="AX549" s="30" t="s">
        <v>2</v>
      </c>
      <c r="AY549" s="29">
        <v>45805</v>
      </c>
      <c r="AZ549" s="28" t="s">
        <v>0</v>
      </c>
      <c r="BA549" s="27"/>
      <c r="BB549" s="95" t="s">
        <v>143</v>
      </c>
      <c r="BC549" s="25" t="s">
        <v>41</v>
      </c>
      <c r="BD549" s="24"/>
      <c r="BE549" s="24"/>
      <c r="BF549" s="79"/>
      <c r="BG549" s="79"/>
      <c r="BH549" s="80"/>
      <c r="BI549" s="79"/>
      <c r="BJ549" s="54"/>
      <c r="BK549" s="78"/>
      <c r="BL549" s="69"/>
      <c r="BM549" s="78"/>
      <c r="BN549" s="78"/>
      <c r="BO549" s="78"/>
      <c r="BP549" s="78"/>
      <c r="BQ549" s="21">
        <f>YEAR([1]!BANCO10[[#This Row],[DATA INÍCIO]])</f>
        <v>2025</v>
      </c>
      <c r="BR549" s="21">
        <f>MONTH([1]!BANCO10[[#This Row],[DATA INÍCIO]])</f>
        <v>1</v>
      </c>
      <c r="BS549" s="21" t="e">
        <f>CONCATENATE(#REF!,#REF!)</f>
        <v>#REF!</v>
      </c>
      <c r="BT549" s="21"/>
      <c r="BU549" s="21"/>
      <c r="BV549" s="21" t="str">
        <f>IF([1]!BANCO10[[#This Row],[SOLUÇÃO]]=BV$1,[1]!BANCO10[[#This Row],[STATUS DA ETAPA]],"")</f>
        <v/>
      </c>
      <c r="BW549" s="21" t="str">
        <f>IF([1]!BANCO10[[#This Row],[SOLUÇÃO]]=BW$1,[1]!BANCO10[[#This Row],[STATUS DA ETAPA]],"")</f>
        <v/>
      </c>
      <c r="BX549" s="21" t="str">
        <f>IF([1]!BANCO10[[#This Row],[SOLUÇÃO]]=BX$1,[1]!BANCO10[[#This Row],[STATUS DA ETAPA]],"")</f>
        <v/>
      </c>
      <c r="BY549" s="21" t="str">
        <f>IF([1]!BANCO10[[#This Row],[SOLUÇÃO]]=BY$1,[1]!BANCO10[[#This Row],[STATUS DA ETAPA]],"")</f>
        <v/>
      </c>
      <c r="BZ549" s="21" t="str">
        <f>IF([1]!BANCO10[[#This Row],[SOLUÇÃO]]=BZ$1,[1]!BANCO10[[#This Row],[STATUS DA ETAPA]],"")</f>
        <v/>
      </c>
      <c r="CA549" s="21" t="str">
        <f>IF([1]!BANCO10[[#This Row],[SOLUÇÃO]]=CA$1,[1]!BANCO10[[#This Row],[STATUS DA ETAPA]],"")</f>
        <v/>
      </c>
      <c r="CB549" s="21" t="str">
        <f>IF([1]!BANCO10[[#This Row],[SOLUÇÃO]]=CB$1,[1]!BANCO10[[#This Row],[STATUS DA ETAPA]],"")</f>
        <v>CONCLUÍDO</v>
      </c>
      <c r="CC549" s="21" t="str">
        <f>IF([1]!BANCO10[[#This Row],[SOLUÇÃO]]=CC$1,[1]!BANCO10[[#This Row],[STATUS DA ETAPA]],"")</f>
        <v/>
      </c>
      <c r="CD549" s="21" t="str">
        <f>IF([1]!BANCO10[[#This Row],[SOLUÇÃO]]=CD$1,[1]!BANCO10[[#This Row],[STATUS DA ETAPA]],"")</f>
        <v/>
      </c>
      <c r="CE549" s="21" t="str">
        <f>IF([1]!BANCO10[[#This Row],[SOLUÇÃO]]=CE$1,[1]!BANCO10[[#This Row],[STATUS DA ETAPA]],"")</f>
        <v/>
      </c>
      <c r="CF549" s="21" t="str">
        <f>IF([1]!BANCO10[[#This Row],[SOLUÇÃO]]=CF$1,[1]!BANCO10[[#This Row],[STATUS DA ETAPA]],"")</f>
        <v/>
      </c>
      <c r="CG549" s="21" t="str">
        <f>IF([1]!BANCO10[[#This Row],[SOLUÇÃO]]=CG$1,[1]!BANCO10[[#This Row],[STATUS DA ETAPA]],"")</f>
        <v/>
      </c>
      <c r="CH549" s="21" t="str">
        <f>IF([1]!BANCO10[[#This Row],[SOLUÇÃO]]=CH$1,[1]!BANCO10[[#This Row],[STATUS DA ETAPA]],"")</f>
        <v/>
      </c>
      <c r="CI549" s="21" t="str">
        <f>IF([1]!BANCO10[[#This Row],[SOLUÇÃO]]=CI$1,[1]!BANCO10[[#This Row],[STATUS DA ETAPA]],"")</f>
        <v/>
      </c>
      <c r="CJ549" s="21" t="str">
        <f>IF([1]!BANCO10[[#This Row],[SOLUÇÃO]]=CJ$1,[1]!BANCO10[[#This Row],[STATUS DA ETAPA]],"")</f>
        <v/>
      </c>
      <c r="CK549" s="21" t="str">
        <f>IF([1]!BANCO10[[#This Row],[SOLUÇÃO]]=CK$1,[1]!BANCO10[[#This Row],[STATUS DA ETAPA]],"")</f>
        <v/>
      </c>
      <c r="CL549" s="22" t="str">
        <f>IF([1]!BANCO10[[#This Row],[SOLUÇÃO]]=CL$1,[1]!BANCO10[[#This Row],[STATUS DA ETAPA]],"")</f>
        <v/>
      </c>
      <c r="CM549" s="64" t="str">
        <f>IF([1]!BANCO10[[#This Row],[SOLUÇÃO]]=CM$1,[1]!BANCO10[[#This Row],[STATUS DA ETAPA]],"")</f>
        <v/>
      </c>
      <c r="CN549" s="64" t="str">
        <f>IF([1]!BANCO10[[#This Row],[SOLUÇÃO]]=CN$1,[1]!BANCO10[[#This Row],[STATUS DA ETAPA]],"")</f>
        <v/>
      </c>
      <c r="CO549" s="64" t="str">
        <f>IF([1]!BANCO10[[#This Row],[SOLUÇÃO]]=CO$1,[1]!BANCO10[[#This Row],[STATUS DA ETAPA]],"")</f>
        <v/>
      </c>
      <c r="CP549" s="64" t="str">
        <f>IF([1]!BANCO10[[#This Row],[SOLUÇÃO]]=CP$1,[1]!BANCO10[[#This Row],[STATUS DA ETAPA]],"")</f>
        <v/>
      </c>
      <c r="CQ549" s="64" t="str">
        <f>IF([1]!BANCO10[[#This Row],[SOLUÇÃO]]=CQ$1,[1]!BANCO10[[#This Row],[STATUS DA ETAPA]],"")</f>
        <v/>
      </c>
      <c r="CR549" s="64" t="str">
        <f>IF([1]!BANCO10[[#This Row],[SOLUÇÃO]]=CR$1,[1]!BANCO10[[#This Row],[STATUS DA ETAPA]],"")</f>
        <v/>
      </c>
      <c r="CS549" s="64" t="str">
        <f>IF([1]!BANCO10[[#This Row],[SOLUÇÃO]]=CS$1,[1]!BANCO10[[#This Row],[STATUS DA ETAPA]],"")</f>
        <v/>
      </c>
      <c r="CT549" s="64" t="str">
        <f>IF([1]!BANCO10[[#This Row],[SOLUÇÃO]]=CT$1,[1]!BANCO10[[#This Row],[STATUS DA ETAPA]],"")</f>
        <v/>
      </c>
      <c r="CU549" s="64" t="str">
        <f>IF([1]!BANCO10[[#This Row],[SOLUÇÃO]]=CU$1,[1]!BANCO10[[#This Row],[STATUS DA ETAPA]],"")</f>
        <v/>
      </c>
      <c r="CV549" s="64" t="str">
        <f>IF([1]!BANCO10[[#This Row],[SOLUÇÃO]]=CV$1,[1]!BANCO10[[#This Row],[STATUS DA ETAPA]],"")</f>
        <v/>
      </c>
    </row>
    <row r="550" spans="1:100">
      <c r="A550" s="44" t="s">
        <v>1</v>
      </c>
      <c r="B550" s="44"/>
      <c r="C550" s="44" t="s">
        <v>1</v>
      </c>
      <c r="D550" s="44"/>
      <c r="E550" s="44" t="s">
        <v>1</v>
      </c>
      <c r="F550" s="44"/>
      <c r="G550" s="44" t="s">
        <v>1</v>
      </c>
      <c r="H550" s="44"/>
      <c r="I550" s="45" t="s">
        <v>1</v>
      </c>
      <c r="J550" s="46"/>
      <c r="K550" s="45" t="s">
        <v>1</v>
      </c>
      <c r="L550" s="33"/>
      <c r="M550" s="45" t="s">
        <v>1</v>
      </c>
      <c r="N550" s="33"/>
      <c r="O550" s="44" t="s">
        <v>1</v>
      </c>
      <c r="P550" s="44"/>
      <c r="Q550" s="44" t="s">
        <v>1</v>
      </c>
      <c r="R550" s="44"/>
      <c r="S550" s="44" t="s">
        <v>1</v>
      </c>
      <c r="T550" s="44"/>
      <c r="U550" s="44" t="s">
        <v>1</v>
      </c>
      <c r="V550" s="44"/>
      <c r="W550" s="44" t="s">
        <v>1</v>
      </c>
      <c r="X550" s="44"/>
      <c r="Y550" s="44" t="s">
        <v>1</v>
      </c>
      <c r="Z550" s="44"/>
      <c r="AA550" s="44" t="s">
        <v>1</v>
      </c>
      <c r="AB550" s="44"/>
      <c r="AC550" s="51">
        <v>45807</v>
      </c>
      <c r="AD550" s="50">
        <v>45807</v>
      </c>
      <c r="AE550" s="41" t="s">
        <v>1</v>
      </c>
      <c r="AF550" s="41" t="s">
        <v>1</v>
      </c>
      <c r="AG550" s="40" t="s">
        <v>4</v>
      </c>
      <c r="AH550" s="36" t="s">
        <v>0</v>
      </c>
      <c r="AI550" s="49">
        <v>0</v>
      </c>
      <c r="AJ550" s="36" t="s">
        <v>1</v>
      </c>
      <c r="AK550" s="10" t="s">
        <v>1</v>
      </c>
      <c r="AL550" s="36" t="s">
        <v>1</v>
      </c>
      <c r="AM550" s="36" t="s">
        <v>1</v>
      </c>
      <c r="AN550" s="35" t="s">
        <v>1</v>
      </c>
      <c r="AO550" s="35" t="s">
        <v>1</v>
      </c>
      <c r="AP550" s="35" t="s">
        <v>1</v>
      </c>
      <c r="AQ550" s="35" t="s">
        <v>2</v>
      </c>
      <c r="AR550" s="34" t="s">
        <v>0</v>
      </c>
      <c r="AS550" s="33"/>
      <c r="AT550" s="30" t="s">
        <v>0</v>
      </c>
      <c r="AU550" s="31"/>
      <c r="AV550" s="30" t="s">
        <v>0</v>
      </c>
      <c r="AW550" s="31"/>
      <c r="AX550" s="30" t="s">
        <v>0</v>
      </c>
      <c r="AY550" s="29"/>
      <c r="AZ550" s="28" t="s">
        <v>0</v>
      </c>
      <c r="BA550" s="27"/>
      <c r="BB550" s="26"/>
      <c r="BC550" s="25"/>
      <c r="BD550" s="24"/>
      <c r="BE550" s="24"/>
      <c r="BF550" s="24"/>
      <c r="BG550" s="24"/>
      <c r="BH550" s="24"/>
      <c r="BI550" s="24"/>
      <c r="BJ550" s="24"/>
      <c r="BK550" s="24"/>
      <c r="BL550" s="24"/>
      <c r="BM550" s="24"/>
      <c r="BN550" s="24"/>
      <c r="BO550" s="24"/>
      <c r="BP550" s="24"/>
      <c r="BQ550" s="22">
        <f>YEAR([1]!BANCO10[[#This Row],[DATA INÍCIO]])</f>
        <v>2025</v>
      </c>
      <c r="BR550" s="22">
        <f>MONTH([1]!BANCO10[[#This Row],[DATA INÍCIO]])</f>
        <v>5</v>
      </c>
      <c r="BS550" s="23" t="e">
        <f>CONCATENATE(#REF!,#REF!)</f>
        <v>#REF!</v>
      </c>
      <c r="BT550" s="22"/>
      <c r="BU550" s="22"/>
      <c r="BV550" s="21" t="str">
        <f>IF([1]!BANCO10[[#This Row],[SOLUÇÃO]]=BV$1,[1]!BANCO10[[#This Row],[STATUS DA ETAPA]],"")</f>
        <v/>
      </c>
      <c r="BW550" s="21" t="str">
        <f>IF([1]!BANCO10[[#This Row],[SOLUÇÃO]]=BW$1,[1]!BANCO10[[#This Row],[STATUS DA ETAPA]],"")</f>
        <v/>
      </c>
      <c r="BX550" s="21" t="str">
        <f>IF([1]!BANCO10[[#This Row],[SOLUÇÃO]]=BX$1,[1]!BANCO10[[#This Row],[STATUS DA ETAPA]],"")</f>
        <v/>
      </c>
      <c r="BY550" s="21" t="str">
        <f>IF([1]!BANCO10[[#This Row],[SOLUÇÃO]]=BY$1,[1]!BANCO10[[#This Row],[STATUS DA ETAPA]],"")</f>
        <v/>
      </c>
      <c r="BZ550" s="21" t="str">
        <f>IF([1]!BANCO10[[#This Row],[SOLUÇÃO]]=BZ$1,[1]!BANCO10[[#This Row],[STATUS DA ETAPA]],"")</f>
        <v/>
      </c>
      <c r="CA550" s="21" t="str">
        <f>IF([1]!BANCO10[[#This Row],[SOLUÇÃO]]=CA$1,[1]!BANCO10[[#This Row],[STATUS DA ETAPA]],"")</f>
        <v/>
      </c>
      <c r="CB550" s="21" t="str">
        <f>IF([1]!BANCO10[[#This Row],[SOLUÇÃO]]=CB$1,[1]!BANCO10[[#This Row],[STATUS DA ETAPA]],"")</f>
        <v/>
      </c>
      <c r="CC550" s="21" t="str">
        <f>IF([1]!BANCO10[[#This Row],[SOLUÇÃO]]=CC$1,[1]!BANCO10[[#This Row],[STATUS DA ETAPA]],"")</f>
        <v/>
      </c>
      <c r="CD550" s="21" t="str">
        <f>IF([1]!BANCO10[[#This Row],[SOLUÇÃO]]=CD$1,[1]!BANCO10[[#This Row],[STATUS DA ETAPA]],"")</f>
        <v/>
      </c>
      <c r="CE550" s="21" t="str">
        <f>IF([1]!BANCO10[[#This Row],[SOLUÇÃO]]=CE$1,[1]!BANCO10[[#This Row],[STATUS DA ETAPA]],"")</f>
        <v/>
      </c>
      <c r="CF550" s="21" t="str">
        <f>IF([1]!BANCO10[[#This Row],[SOLUÇÃO]]=CF$1,[1]!BANCO10[[#This Row],[STATUS DA ETAPA]],"")</f>
        <v/>
      </c>
      <c r="CG550" s="21" t="str">
        <f>IF([1]!BANCO10[[#This Row],[SOLUÇÃO]]=CG$1,[1]!BANCO10[[#This Row],[STATUS DA ETAPA]],"")</f>
        <v/>
      </c>
      <c r="CH550" s="21" t="str">
        <f>IF([1]!BANCO10[[#This Row],[SOLUÇÃO]]=CH$1,[1]!BANCO10[[#This Row],[STATUS DA ETAPA]],"")</f>
        <v/>
      </c>
      <c r="CI550" s="21" t="str">
        <f>IF([1]!BANCO10[[#This Row],[SOLUÇÃO]]=CI$1,[1]!BANCO10[[#This Row],[STATUS DA ETAPA]],"")</f>
        <v/>
      </c>
      <c r="CJ550" s="21" t="str">
        <f>IF([1]!BANCO10[[#This Row],[SOLUÇÃO]]=CJ$1,[1]!BANCO10[[#This Row],[STATUS DA ETAPA]],"")</f>
        <v/>
      </c>
      <c r="CK550" s="21" t="str">
        <f>IF([1]!BANCO10[[#This Row],[SOLUÇÃO]]=CK$1,[1]!BANCO10[[#This Row],[STATUS DA ETAPA]],"")</f>
        <v/>
      </c>
      <c r="CL550" s="21" t="str">
        <f>IF([1]!BANCO10[[#This Row],[SOLUÇÃO]]=CL$1,[1]!BANCO10[[#This Row],[STATUS DA ETAPA]],"")</f>
        <v/>
      </c>
      <c r="CM550" s="21" t="str">
        <f>IF([1]!BANCO10[[#This Row],[SOLUÇÃO]]=CM$1,[1]!BANCO10[[#This Row],[STATUS DA ETAPA]],"")</f>
        <v/>
      </c>
      <c r="CN550" s="21" t="str">
        <f>IF([1]!BANCO10[[#This Row],[SOLUÇÃO]]=CN$1,[1]!BANCO10[[#This Row],[STATUS DA ETAPA]],"")</f>
        <v/>
      </c>
      <c r="CO550" s="21" t="str">
        <f>IF([1]!BANCO10[[#This Row],[SOLUÇÃO]]=CO$1,[1]!BANCO10[[#This Row],[STATUS DA ETAPA]],"")</f>
        <v/>
      </c>
      <c r="CP550" s="21" t="str">
        <f>IF([1]!BANCO10[[#This Row],[SOLUÇÃO]]=CP$1,[1]!BANCO10[[#This Row],[STATUS DA ETAPA]],"")</f>
        <v/>
      </c>
      <c r="CQ550" s="21" t="str">
        <f>IF([1]!BANCO10[[#This Row],[SOLUÇÃO]]=CQ$1,[1]!BANCO10[[#This Row],[STATUS DA ETAPA]],"")</f>
        <v/>
      </c>
      <c r="CR550" s="21" t="str">
        <f>IF([1]!BANCO10[[#This Row],[SOLUÇÃO]]=CR$1,[1]!BANCO10[[#This Row],[STATUS DA ETAPA]],"")</f>
        <v/>
      </c>
      <c r="CS550" s="21" t="str">
        <f>IF([1]!BANCO10[[#This Row],[SOLUÇÃO]]=CS$1,[1]!BANCO10[[#This Row],[STATUS DA ETAPA]],"")</f>
        <v/>
      </c>
      <c r="CT550" s="21" t="str">
        <f>IF([1]!BANCO10[[#This Row],[SOLUÇÃO]]=CT$1,[1]!BANCO10[[#This Row],[STATUS DA ETAPA]],"")</f>
        <v/>
      </c>
      <c r="CU550" s="21" t="str">
        <f>IF([1]!BANCO10[[#This Row],[SOLUÇÃO]]=CU$1,[1]!BANCO10[[#This Row],[STATUS DA ETAPA]],"")</f>
        <v/>
      </c>
      <c r="CV550" s="21" t="str">
        <f>IF([1]!BANCO10[[#This Row],[SOLUÇÃO]]=CV$1,[1]!BANCO10[[#This Row],[STATUS DA ETAPA]],"")</f>
        <v/>
      </c>
    </row>
    <row r="551" spans="1:100">
      <c r="A551" s="44" t="s">
        <v>1</v>
      </c>
      <c r="B551" s="44"/>
      <c r="C551" s="44" t="s">
        <v>1</v>
      </c>
      <c r="D551" s="44"/>
      <c r="E551" s="44" t="s">
        <v>1</v>
      </c>
      <c r="F551" s="44"/>
      <c r="G551" s="44" t="s">
        <v>1</v>
      </c>
      <c r="H551" s="44"/>
      <c r="I551" s="45" t="s">
        <v>1</v>
      </c>
      <c r="J551" s="46"/>
      <c r="K551" s="45" t="s">
        <v>1</v>
      </c>
      <c r="L551" s="33"/>
      <c r="M551" s="45" t="s">
        <v>1</v>
      </c>
      <c r="N551" s="33"/>
      <c r="O551" s="44" t="s">
        <v>1</v>
      </c>
      <c r="P551" s="44"/>
      <c r="Q551" s="44" t="s">
        <v>1</v>
      </c>
      <c r="R551" s="44"/>
      <c r="S551" s="44" t="s">
        <v>1</v>
      </c>
      <c r="T551" s="44"/>
      <c r="U551" s="44" t="s">
        <v>1</v>
      </c>
      <c r="V551" s="44"/>
      <c r="W551" s="44" t="s">
        <v>1</v>
      </c>
      <c r="X551" s="44"/>
      <c r="Y551" s="44" t="s">
        <v>1</v>
      </c>
      <c r="Z551" s="44"/>
      <c r="AA551" s="44" t="s">
        <v>2</v>
      </c>
      <c r="AB551" s="44"/>
      <c r="AC551" s="51">
        <v>45874</v>
      </c>
      <c r="AD551" s="50">
        <v>45925</v>
      </c>
      <c r="AE551" s="68" t="s">
        <v>2</v>
      </c>
      <c r="AF551" s="68" t="s">
        <v>2</v>
      </c>
      <c r="AG551" s="76" t="s">
        <v>4</v>
      </c>
      <c r="AH551" s="36" t="s">
        <v>0</v>
      </c>
      <c r="AI551" s="49">
        <v>0</v>
      </c>
      <c r="AJ551" s="36" t="s">
        <v>6</v>
      </c>
      <c r="AK551" s="128" t="s">
        <v>340</v>
      </c>
      <c r="AL551" s="36">
        <v>0</v>
      </c>
      <c r="AM551" s="36">
        <v>0</v>
      </c>
      <c r="AN551" s="35" t="s">
        <v>1</v>
      </c>
      <c r="AO551" s="35" t="s">
        <v>1</v>
      </c>
      <c r="AP551" s="35" t="s">
        <v>2</v>
      </c>
      <c r="AQ551" s="35" t="s">
        <v>1</v>
      </c>
      <c r="AR551" s="34" t="s">
        <v>1</v>
      </c>
      <c r="AS551" s="33"/>
      <c r="AT551" s="30" t="s">
        <v>2</v>
      </c>
      <c r="AU551" s="31">
        <v>45926</v>
      </c>
      <c r="AV551" s="28" t="s">
        <v>0</v>
      </c>
      <c r="AW551" s="31"/>
      <c r="AX551" s="30" t="s">
        <v>0</v>
      </c>
      <c r="AY551" s="29"/>
      <c r="AZ551" s="28" t="s">
        <v>0</v>
      </c>
      <c r="BA551" s="27"/>
      <c r="BB551" s="39">
        <v>45834</v>
      </c>
      <c r="BC551" s="39" t="s">
        <v>297</v>
      </c>
      <c r="BD551" s="24"/>
      <c r="BE551" s="24"/>
      <c r="BF551" s="24"/>
      <c r="BG551" s="24"/>
      <c r="BH551" s="24"/>
      <c r="BI551" s="24"/>
      <c r="BJ551" s="24"/>
      <c r="BK551" s="24"/>
      <c r="BL551" s="24"/>
      <c r="BM551" s="24"/>
      <c r="BN551" s="24"/>
      <c r="BO551" s="24"/>
      <c r="BP551" s="24"/>
      <c r="BQ551" s="22">
        <f>YEAR([1]!BANCO10[[#This Row],[DATA INÍCIO]])</f>
        <v>2025</v>
      </c>
      <c r="BR551" s="22">
        <f>MONTH([1]!BANCO10[[#This Row],[DATA INÍCIO]])</f>
        <v>8</v>
      </c>
      <c r="BS551" s="23" t="e">
        <f>CONCATENATE(#REF!,#REF!)</f>
        <v>#REF!</v>
      </c>
      <c r="BT551" s="22"/>
      <c r="BU551" s="22"/>
      <c r="BV551" s="21" t="str">
        <f>IF([1]!BANCO10[[#This Row],[SOLUÇÃO]]=BV$1,[1]!BANCO10[[#This Row],[STATUS DA ETAPA]],"")</f>
        <v/>
      </c>
      <c r="BW551" s="21" t="str">
        <f>IF([1]!BANCO10[[#This Row],[SOLUÇÃO]]=BW$1,[1]!BANCO10[[#This Row],[STATUS DA ETAPA]],"")</f>
        <v>CONCLUÍDO</v>
      </c>
      <c r="BX551" s="21" t="str">
        <f>IF([1]!BANCO10[[#This Row],[SOLUÇÃO]]=BX$1,[1]!BANCO10[[#This Row],[STATUS DA ETAPA]],"")</f>
        <v/>
      </c>
      <c r="BY551" s="21" t="str">
        <f>IF([1]!BANCO10[[#This Row],[SOLUÇÃO]]=BY$1,[1]!BANCO10[[#This Row],[STATUS DA ETAPA]],"")</f>
        <v/>
      </c>
      <c r="BZ551" s="21" t="str">
        <f>IF([1]!BANCO10[[#This Row],[SOLUÇÃO]]=BZ$1,[1]!BANCO10[[#This Row],[STATUS DA ETAPA]],"")</f>
        <v/>
      </c>
      <c r="CA551" s="21" t="str">
        <f>IF([1]!BANCO10[[#This Row],[SOLUÇÃO]]=CA$1,[1]!BANCO10[[#This Row],[STATUS DA ETAPA]],"")</f>
        <v/>
      </c>
      <c r="CB551" s="21" t="str">
        <f>IF([1]!BANCO10[[#This Row],[SOLUÇÃO]]=CB$1,[1]!BANCO10[[#This Row],[STATUS DA ETAPA]],"")</f>
        <v/>
      </c>
      <c r="CC551" s="21" t="str">
        <f>IF([1]!BANCO10[[#This Row],[SOLUÇÃO]]=CC$1,[1]!BANCO10[[#This Row],[STATUS DA ETAPA]],"")</f>
        <v/>
      </c>
      <c r="CD551" s="21" t="str">
        <f>IF([1]!BANCO10[[#This Row],[SOLUÇÃO]]=CD$1,[1]!BANCO10[[#This Row],[STATUS DA ETAPA]],"")</f>
        <v/>
      </c>
      <c r="CE551" s="21" t="str">
        <f>IF([1]!BANCO10[[#This Row],[SOLUÇÃO]]=CE$1,[1]!BANCO10[[#This Row],[STATUS DA ETAPA]],"")</f>
        <v/>
      </c>
      <c r="CF551" s="21" t="str">
        <f>IF([1]!BANCO10[[#This Row],[SOLUÇÃO]]=CF$1,[1]!BANCO10[[#This Row],[STATUS DA ETAPA]],"")</f>
        <v/>
      </c>
      <c r="CG551" s="21" t="str">
        <f>IF([1]!BANCO10[[#This Row],[SOLUÇÃO]]=CG$1,[1]!BANCO10[[#This Row],[STATUS DA ETAPA]],"")</f>
        <v/>
      </c>
      <c r="CH551" s="21" t="str">
        <f>IF([1]!BANCO10[[#This Row],[SOLUÇÃO]]=CH$1,[1]!BANCO10[[#This Row],[STATUS DA ETAPA]],"")</f>
        <v/>
      </c>
      <c r="CI551" s="21" t="str">
        <f>IF([1]!BANCO10[[#This Row],[SOLUÇÃO]]=CI$1,[1]!BANCO10[[#This Row],[STATUS DA ETAPA]],"")</f>
        <v/>
      </c>
      <c r="CJ551" s="21" t="str">
        <f>IF([1]!BANCO10[[#This Row],[SOLUÇÃO]]=CJ$1,[1]!BANCO10[[#This Row],[STATUS DA ETAPA]],"")</f>
        <v/>
      </c>
      <c r="CK551" s="21" t="str">
        <f>IF([1]!BANCO10[[#This Row],[SOLUÇÃO]]=CK$1,[1]!BANCO10[[#This Row],[STATUS DA ETAPA]],"")</f>
        <v/>
      </c>
      <c r="CL551" s="21" t="str">
        <f>IF([1]!BANCO10[[#This Row],[SOLUÇÃO]]=CL$1,[1]!BANCO10[[#This Row],[STATUS DA ETAPA]],"")</f>
        <v/>
      </c>
      <c r="CM551" s="21" t="str">
        <f>IF([1]!BANCO10[[#This Row],[SOLUÇÃO]]=CM$1,[1]!BANCO10[[#This Row],[STATUS DA ETAPA]],"")</f>
        <v/>
      </c>
      <c r="CN551" s="21" t="str">
        <f>IF([1]!BANCO10[[#This Row],[SOLUÇÃO]]=CN$1,[1]!BANCO10[[#This Row],[STATUS DA ETAPA]],"")</f>
        <v/>
      </c>
      <c r="CO551" s="21" t="str">
        <f>IF([1]!BANCO10[[#This Row],[SOLUÇÃO]]=CO$1,[1]!BANCO10[[#This Row],[STATUS DA ETAPA]],"")</f>
        <v/>
      </c>
      <c r="CP551" s="21" t="str">
        <f>IF([1]!BANCO10[[#This Row],[SOLUÇÃO]]=CP$1,[1]!BANCO10[[#This Row],[STATUS DA ETAPA]],"")</f>
        <v/>
      </c>
      <c r="CQ551" s="21" t="str">
        <f>IF([1]!BANCO10[[#This Row],[SOLUÇÃO]]=CQ$1,[1]!BANCO10[[#This Row],[STATUS DA ETAPA]],"")</f>
        <v/>
      </c>
      <c r="CR551" s="21" t="str">
        <f>IF([1]!BANCO10[[#This Row],[SOLUÇÃO]]=CR$1,[1]!BANCO10[[#This Row],[STATUS DA ETAPA]],"")</f>
        <v/>
      </c>
      <c r="CS551" s="21" t="str">
        <f>IF([1]!BANCO10[[#This Row],[SOLUÇÃO]]=CS$1,[1]!BANCO10[[#This Row],[STATUS DA ETAPA]],"")</f>
        <v/>
      </c>
      <c r="CT551" s="21" t="str">
        <f>IF([1]!BANCO10[[#This Row],[SOLUÇÃO]]=CT$1,[1]!BANCO10[[#This Row],[STATUS DA ETAPA]],"")</f>
        <v/>
      </c>
      <c r="CU551" s="21" t="str">
        <f>IF([1]!BANCO10[[#This Row],[SOLUÇÃO]]=CU$1,[1]!BANCO10[[#This Row],[STATUS DA ETAPA]],"")</f>
        <v/>
      </c>
      <c r="CV551" s="21" t="str">
        <f>IF([1]!BANCO10[[#This Row],[SOLUÇÃO]]=CV$1,[1]!BANCO10[[#This Row],[STATUS DA ETAPA]],"")</f>
        <v/>
      </c>
    </row>
    <row r="552" spans="1:100">
      <c r="A552" s="44" t="s">
        <v>1</v>
      </c>
      <c r="B552" s="44"/>
      <c r="C552" s="44" t="s">
        <v>1</v>
      </c>
      <c r="D552" s="44"/>
      <c r="E552" s="44" t="s">
        <v>1</v>
      </c>
      <c r="F552" s="44"/>
      <c r="G552" s="44" t="s">
        <v>1</v>
      </c>
      <c r="H552" s="44"/>
      <c r="I552" s="45" t="s">
        <v>1</v>
      </c>
      <c r="J552" s="46"/>
      <c r="K552" s="45" t="s">
        <v>1</v>
      </c>
      <c r="L552" s="33"/>
      <c r="M552" s="45" t="s">
        <v>1</v>
      </c>
      <c r="N552" s="33"/>
      <c r="O552" s="44" t="s">
        <v>2</v>
      </c>
      <c r="P552" s="44">
        <v>44963</v>
      </c>
      <c r="Q552" s="44" t="s">
        <v>0</v>
      </c>
      <c r="R552" s="44"/>
      <c r="S552" s="44" t="s">
        <v>1</v>
      </c>
      <c r="T552" s="44"/>
      <c r="U552" s="44" t="s">
        <v>1</v>
      </c>
      <c r="V552" s="44"/>
      <c r="W552" s="44" t="s">
        <v>1</v>
      </c>
      <c r="X552" s="44"/>
      <c r="Y552" s="44" t="s">
        <v>1</v>
      </c>
      <c r="Z552" s="44"/>
      <c r="AA552" s="44" t="s">
        <v>1</v>
      </c>
      <c r="AB552" s="44"/>
      <c r="AC552" s="51">
        <v>44956</v>
      </c>
      <c r="AD552" s="51">
        <v>44956</v>
      </c>
      <c r="AE552" s="40" t="s">
        <v>1</v>
      </c>
      <c r="AF552" s="40" t="s">
        <v>1</v>
      </c>
      <c r="AG552" s="40" t="s">
        <v>5</v>
      </c>
      <c r="AH552" s="36" t="s">
        <v>1</v>
      </c>
      <c r="AI552" s="49">
        <v>0</v>
      </c>
      <c r="AJ552" s="36" t="s">
        <v>1</v>
      </c>
      <c r="AK552" s="10" t="s">
        <v>1</v>
      </c>
      <c r="AL552" s="36" t="s">
        <v>1</v>
      </c>
      <c r="AM552" s="36" t="s">
        <v>1</v>
      </c>
      <c r="AN552" s="35" t="s">
        <v>1</v>
      </c>
      <c r="AO552" s="35" t="s">
        <v>1</v>
      </c>
      <c r="AP552" s="35" t="s">
        <v>1</v>
      </c>
      <c r="AQ552" s="35" t="s">
        <v>1</v>
      </c>
      <c r="AR552" s="82" t="s">
        <v>1</v>
      </c>
      <c r="AS552" s="33"/>
      <c r="AT552" s="30"/>
      <c r="AU552" s="55"/>
      <c r="AV552" s="30"/>
      <c r="AW552" s="55"/>
      <c r="AX552" s="30" t="s">
        <v>1</v>
      </c>
      <c r="AY552" s="55"/>
      <c r="AZ552" s="30" t="s">
        <v>1</v>
      </c>
      <c r="BA552" s="66"/>
      <c r="BB552" s="39"/>
      <c r="BC552" s="25"/>
      <c r="BD552" s="24" t="s">
        <v>11</v>
      </c>
      <c r="BE552" s="24" t="s">
        <v>11</v>
      </c>
      <c r="BF552" s="79" t="s">
        <v>21</v>
      </c>
      <c r="BG552" s="79" t="s">
        <v>136</v>
      </c>
      <c r="BH552" s="80" t="s">
        <v>234</v>
      </c>
      <c r="BI552" s="79"/>
      <c r="BJ552" s="54" t="s">
        <v>11</v>
      </c>
      <c r="BK552" s="78" t="s">
        <v>11</v>
      </c>
      <c r="BL552" s="69" t="s">
        <v>11</v>
      </c>
      <c r="BM552" s="78" t="s">
        <v>11</v>
      </c>
      <c r="BN552" s="78" t="s">
        <v>11</v>
      </c>
      <c r="BO552" s="78" t="s">
        <v>11</v>
      </c>
      <c r="BP552" s="78" t="s">
        <v>11</v>
      </c>
      <c r="BQ552" s="21">
        <f>YEAR([1]!BANCO10[[#This Row],[DATA INÍCIO]])</f>
        <v>2023</v>
      </c>
      <c r="BR552" s="21">
        <f>MONTH([1]!BANCO10[[#This Row],[DATA INÍCIO]])</f>
        <v>1</v>
      </c>
      <c r="BS552" s="21" t="e">
        <f>CONCATENATE(#REF!,#REF!)</f>
        <v>#REF!</v>
      </c>
      <c r="BT552" s="21"/>
      <c r="BU552" s="21" t="s">
        <v>339</v>
      </c>
      <c r="BV552" s="21" t="str">
        <f>IF([1]!BANCO10[[#This Row],[SOLUÇÃO]]=BV$1,[1]!BANCO10[[#This Row],[STATUS DA ETAPA]],"")</f>
        <v>CONCLUÍDO</v>
      </c>
      <c r="BW552" s="21" t="str">
        <f>IF([1]!BANCO10[[#This Row],[SOLUÇÃO]]=BW$1,[1]!BANCO10[[#This Row],[STATUS DA ETAPA]],"")</f>
        <v/>
      </c>
      <c r="BX552" s="21" t="str">
        <f>IF([1]!BANCO10[[#This Row],[SOLUÇÃO]]=BX$1,[1]!BANCO10[[#This Row],[STATUS DA ETAPA]],"")</f>
        <v/>
      </c>
      <c r="BY552" s="21" t="str">
        <f>IF([1]!BANCO10[[#This Row],[SOLUÇÃO]]=BY$1,[1]!BANCO10[[#This Row],[STATUS DA ETAPA]],"")</f>
        <v/>
      </c>
      <c r="BZ552" s="21" t="str">
        <f>IF([1]!BANCO10[[#This Row],[SOLUÇÃO]]=BZ$1,[1]!BANCO10[[#This Row],[STATUS DA ETAPA]],"")</f>
        <v/>
      </c>
      <c r="CA552" s="21" t="str">
        <f>IF([1]!BANCO10[[#This Row],[SOLUÇÃO]]=CA$1,[1]!BANCO10[[#This Row],[STATUS DA ETAPA]],"")</f>
        <v/>
      </c>
      <c r="CB552" s="21" t="str">
        <f>IF([1]!BANCO10[[#This Row],[SOLUÇÃO]]=CB$1,[1]!BANCO10[[#This Row],[STATUS DA ETAPA]],"")</f>
        <v/>
      </c>
      <c r="CC552" s="21" t="str">
        <f>IF([1]!BANCO10[[#This Row],[SOLUÇÃO]]=CC$1,[1]!BANCO10[[#This Row],[STATUS DA ETAPA]],"")</f>
        <v/>
      </c>
      <c r="CD552" s="21" t="str">
        <f>IF([1]!BANCO10[[#This Row],[SOLUÇÃO]]=CD$1,[1]!BANCO10[[#This Row],[STATUS DA ETAPA]],"")</f>
        <v/>
      </c>
      <c r="CE552" s="21" t="str">
        <f>IF([1]!BANCO10[[#This Row],[SOLUÇÃO]]=CE$1,[1]!BANCO10[[#This Row],[STATUS DA ETAPA]],"")</f>
        <v/>
      </c>
      <c r="CF552" s="21" t="str">
        <f>IF([1]!BANCO10[[#This Row],[SOLUÇÃO]]=CF$1,[1]!BANCO10[[#This Row],[STATUS DA ETAPA]],"")</f>
        <v/>
      </c>
      <c r="CG552" s="21" t="str">
        <f>IF([1]!BANCO10[[#This Row],[SOLUÇÃO]]=CG$1,[1]!BANCO10[[#This Row],[STATUS DA ETAPA]],"")</f>
        <v/>
      </c>
      <c r="CH552" s="21" t="str">
        <f>IF([1]!BANCO10[[#This Row],[SOLUÇÃO]]=CH$1,[1]!BANCO10[[#This Row],[STATUS DA ETAPA]],"")</f>
        <v/>
      </c>
      <c r="CI552" s="21" t="str">
        <f>IF([1]!BANCO10[[#This Row],[SOLUÇÃO]]=CI$1,[1]!BANCO10[[#This Row],[STATUS DA ETAPA]],"")</f>
        <v/>
      </c>
      <c r="CJ552" s="21" t="str">
        <f>IF([1]!BANCO10[[#This Row],[SOLUÇÃO]]=CJ$1,[1]!BANCO10[[#This Row],[STATUS DA ETAPA]],"")</f>
        <v/>
      </c>
      <c r="CK552" s="21" t="str">
        <f>IF([1]!BANCO10[[#This Row],[SOLUÇÃO]]=CK$1,[1]!BANCO10[[#This Row],[STATUS DA ETAPA]],"")</f>
        <v/>
      </c>
      <c r="CL552" s="22" t="str">
        <f>IF([1]!BANCO10[[#This Row],[SOLUÇÃO]]=CL$1,[1]!BANCO10[[#This Row],[STATUS DA ETAPA]],"")</f>
        <v/>
      </c>
      <c r="CM552" s="64" t="str">
        <f>IF([1]!BANCO10[[#This Row],[SOLUÇÃO]]=CM$1,[1]!BANCO10[[#This Row],[STATUS DA ETAPA]],"")</f>
        <v/>
      </c>
      <c r="CN552" s="64" t="str">
        <f>IF([1]!BANCO10[[#This Row],[SOLUÇÃO]]=CN$1,[1]!BANCO10[[#This Row],[STATUS DA ETAPA]],"")</f>
        <v/>
      </c>
      <c r="CO552" s="64" t="str">
        <f>IF([1]!BANCO10[[#This Row],[SOLUÇÃO]]=CO$1,[1]!BANCO10[[#This Row],[STATUS DA ETAPA]],"")</f>
        <v/>
      </c>
      <c r="CP552" s="64" t="str">
        <f>IF([1]!BANCO10[[#This Row],[SOLUÇÃO]]=CP$1,[1]!BANCO10[[#This Row],[STATUS DA ETAPA]],"")</f>
        <v/>
      </c>
      <c r="CQ552" s="64" t="str">
        <f>IF([1]!BANCO10[[#This Row],[SOLUÇÃO]]=CQ$1,[1]!BANCO10[[#This Row],[STATUS DA ETAPA]],"")</f>
        <v/>
      </c>
      <c r="CR552" s="64" t="str">
        <f>IF([1]!BANCO10[[#This Row],[SOLUÇÃO]]=CR$1,[1]!BANCO10[[#This Row],[STATUS DA ETAPA]],"")</f>
        <v/>
      </c>
      <c r="CS552" s="64" t="str">
        <f>IF([1]!BANCO10[[#This Row],[SOLUÇÃO]]=CS$1,[1]!BANCO10[[#This Row],[STATUS DA ETAPA]],"")</f>
        <v/>
      </c>
      <c r="CT552" s="64" t="str">
        <f>IF([1]!BANCO10[[#This Row],[SOLUÇÃO]]=CT$1,[1]!BANCO10[[#This Row],[STATUS DA ETAPA]],"")</f>
        <v/>
      </c>
      <c r="CU552" s="64" t="str">
        <f>IF([1]!BANCO10[[#This Row],[SOLUÇÃO]]=CU$1,[1]!BANCO10[[#This Row],[STATUS DA ETAPA]],"")</f>
        <v/>
      </c>
      <c r="CV552" s="64" t="str">
        <f>IF([1]!BANCO10[[#This Row],[SOLUÇÃO]]=CV$1,[1]!BANCO10[[#This Row],[STATUS DA ETAPA]],"")</f>
        <v/>
      </c>
    </row>
    <row r="553" spans="1:100">
      <c r="A553" s="44" t="s">
        <v>1</v>
      </c>
      <c r="B553" s="44"/>
      <c r="C553" s="44" t="s">
        <v>1</v>
      </c>
      <c r="D553" s="44"/>
      <c r="E553" s="44" t="s">
        <v>1</v>
      </c>
      <c r="F553" s="44"/>
      <c r="G553" s="44" t="s">
        <v>1</v>
      </c>
      <c r="H553" s="44"/>
      <c r="I553" s="45" t="s">
        <v>1</v>
      </c>
      <c r="J553" s="46"/>
      <c r="K553" s="45" t="s">
        <v>1</v>
      </c>
      <c r="L553" s="33"/>
      <c r="M553" s="45" t="s">
        <v>1</v>
      </c>
      <c r="N553" s="33"/>
      <c r="O553" s="44" t="s">
        <v>2</v>
      </c>
      <c r="P553" s="44">
        <v>44963</v>
      </c>
      <c r="Q553" s="44" t="s">
        <v>2</v>
      </c>
      <c r="R553" s="44">
        <v>44964</v>
      </c>
      <c r="S553" s="44" t="s">
        <v>1</v>
      </c>
      <c r="T553" s="44"/>
      <c r="U553" s="44"/>
      <c r="V553" s="44"/>
      <c r="W553" s="44" t="s">
        <v>2</v>
      </c>
      <c r="X553" s="44"/>
      <c r="Y553" s="44" t="s">
        <v>2</v>
      </c>
      <c r="Z553" s="44">
        <v>45002</v>
      </c>
      <c r="AA553" s="44" t="s">
        <v>2</v>
      </c>
      <c r="AB553" s="44"/>
      <c r="AC553" s="51">
        <v>45041</v>
      </c>
      <c r="AD553" s="50">
        <v>45174</v>
      </c>
      <c r="AE553" s="40" t="s">
        <v>2</v>
      </c>
      <c r="AF553" s="41" t="s">
        <v>2</v>
      </c>
      <c r="AG553" s="40" t="s">
        <v>5</v>
      </c>
      <c r="AH553" s="36" t="s">
        <v>0</v>
      </c>
      <c r="AI553" s="49">
        <v>0</v>
      </c>
      <c r="AJ553" s="36" t="s">
        <v>6</v>
      </c>
      <c r="AK553" s="10"/>
      <c r="AL553" s="36" t="s">
        <v>22</v>
      </c>
      <c r="AM553" s="36"/>
      <c r="AN553" s="35" t="s">
        <v>1</v>
      </c>
      <c r="AO553" s="35" t="s">
        <v>1</v>
      </c>
      <c r="AP553" s="35" t="s">
        <v>2</v>
      </c>
      <c r="AQ553" s="35" t="s">
        <v>1</v>
      </c>
      <c r="AR553" s="34" t="s">
        <v>1</v>
      </c>
      <c r="AS553" s="33"/>
      <c r="AT553" s="30"/>
      <c r="AU553" s="55"/>
      <c r="AV553" s="30"/>
      <c r="AW553" s="55"/>
      <c r="AX553" s="30" t="s">
        <v>2</v>
      </c>
      <c r="AY553" s="55">
        <v>45174</v>
      </c>
      <c r="AZ553" s="30" t="s">
        <v>2</v>
      </c>
      <c r="BA553" s="66"/>
      <c r="BB553" s="39"/>
      <c r="BC553" s="25" t="s">
        <v>338</v>
      </c>
      <c r="BD553" s="24" t="s">
        <v>11</v>
      </c>
      <c r="BE553" s="24" t="s">
        <v>11</v>
      </c>
      <c r="BF553" s="79" t="s">
        <v>21</v>
      </c>
      <c r="BG553" s="79" t="s">
        <v>136</v>
      </c>
      <c r="BH553" s="80" t="s">
        <v>234</v>
      </c>
      <c r="BI553" s="79"/>
      <c r="BJ553" s="54" t="s">
        <v>11</v>
      </c>
      <c r="BK553" s="78" t="s">
        <v>11</v>
      </c>
      <c r="BL553" s="69" t="s">
        <v>11</v>
      </c>
      <c r="BM553" s="78" t="s">
        <v>11</v>
      </c>
      <c r="BN553" s="78" t="s">
        <v>11</v>
      </c>
      <c r="BO553" s="78" t="s">
        <v>11</v>
      </c>
      <c r="BP553" s="78" t="s">
        <v>337</v>
      </c>
      <c r="BQ553" s="21">
        <f>YEAR([1]!BANCO10[[#This Row],[DATA INÍCIO]])</f>
        <v>2023</v>
      </c>
      <c r="BR553" s="21">
        <f>MONTH([1]!BANCO10[[#This Row],[DATA INÍCIO]])</f>
        <v>4</v>
      </c>
      <c r="BS553" s="21" t="e">
        <f>CONCATENATE(#REF!,#REF!)</f>
        <v>#REF!</v>
      </c>
      <c r="BT553" s="21"/>
      <c r="BU553" s="21" t="s">
        <v>336</v>
      </c>
      <c r="BV553" s="21" t="str">
        <f>IF([1]!BANCO10[[#This Row],[SOLUÇÃO]]=BV$1,[1]!BANCO10[[#This Row],[STATUS DA ETAPA]],"")</f>
        <v/>
      </c>
      <c r="BW553" s="21" t="str">
        <f>IF([1]!BANCO10[[#This Row],[SOLUÇÃO]]=BW$1,[1]!BANCO10[[#This Row],[STATUS DA ETAPA]],"")</f>
        <v/>
      </c>
      <c r="BX553" s="21" t="str">
        <f>IF([1]!BANCO10[[#This Row],[SOLUÇÃO]]=BX$1,[1]!BANCO10[[#This Row],[STATUS DA ETAPA]],"")</f>
        <v/>
      </c>
      <c r="BY553" s="21" t="str">
        <f>IF([1]!BANCO10[[#This Row],[SOLUÇÃO]]=BY$1,[1]!BANCO10[[#This Row],[STATUS DA ETAPA]],"")</f>
        <v/>
      </c>
      <c r="BZ553" s="21" t="str">
        <f>IF([1]!BANCO10[[#This Row],[SOLUÇÃO]]=BZ$1,[1]!BANCO10[[#This Row],[STATUS DA ETAPA]],"")</f>
        <v/>
      </c>
      <c r="CA553" s="21" t="str">
        <f>IF([1]!BANCO10[[#This Row],[SOLUÇÃO]]=CA$1,[1]!BANCO10[[#This Row],[STATUS DA ETAPA]],"")</f>
        <v>CONCLUÍDO</v>
      </c>
      <c r="CB553" s="21" t="str">
        <f>IF([1]!BANCO10[[#This Row],[SOLUÇÃO]]=CB$1,[1]!BANCO10[[#This Row],[STATUS DA ETAPA]],"")</f>
        <v/>
      </c>
      <c r="CC553" s="21" t="str">
        <f>IF([1]!BANCO10[[#This Row],[SOLUÇÃO]]=CC$1,[1]!BANCO10[[#This Row],[STATUS DA ETAPA]],"")</f>
        <v/>
      </c>
      <c r="CD553" s="21" t="str">
        <f>IF([1]!BANCO10[[#This Row],[SOLUÇÃO]]=CD$1,[1]!BANCO10[[#This Row],[STATUS DA ETAPA]],"")</f>
        <v/>
      </c>
      <c r="CE553" s="21" t="str">
        <f>IF([1]!BANCO10[[#This Row],[SOLUÇÃO]]=CE$1,[1]!BANCO10[[#This Row],[STATUS DA ETAPA]],"")</f>
        <v/>
      </c>
      <c r="CF553" s="21" t="str">
        <f>IF([1]!BANCO10[[#This Row],[SOLUÇÃO]]=CF$1,[1]!BANCO10[[#This Row],[STATUS DA ETAPA]],"")</f>
        <v/>
      </c>
      <c r="CG553" s="21" t="str">
        <f>IF([1]!BANCO10[[#This Row],[SOLUÇÃO]]=CG$1,[1]!BANCO10[[#This Row],[STATUS DA ETAPA]],"")</f>
        <v/>
      </c>
      <c r="CH553" s="21" t="str">
        <f>IF([1]!BANCO10[[#This Row],[SOLUÇÃO]]=CH$1,[1]!BANCO10[[#This Row],[STATUS DA ETAPA]],"")</f>
        <v/>
      </c>
      <c r="CI553" s="21" t="str">
        <f>IF([1]!BANCO10[[#This Row],[SOLUÇÃO]]=CI$1,[1]!BANCO10[[#This Row],[STATUS DA ETAPA]],"")</f>
        <v/>
      </c>
      <c r="CJ553" s="21" t="str">
        <f>IF([1]!BANCO10[[#This Row],[SOLUÇÃO]]=CJ$1,[1]!BANCO10[[#This Row],[STATUS DA ETAPA]],"")</f>
        <v/>
      </c>
      <c r="CK553" s="21" t="str">
        <f>IF([1]!BANCO10[[#This Row],[SOLUÇÃO]]=CK$1,[1]!BANCO10[[#This Row],[STATUS DA ETAPA]],"")</f>
        <v/>
      </c>
      <c r="CL553" s="22" t="str">
        <f>IF([1]!BANCO10[[#This Row],[SOLUÇÃO]]=CL$1,[1]!BANCO10[[#This Row],[STATUS DA ETAPA]],"")</f>
        <v/>
      </c>
      <c r="CM553" s="64" t="str">
        <f>IF([1]!BANCO10[[#This Row],[SOLUÇÃO]]=CM$1,[1]!BANCO10[[#This Row],[STATUS DA ETAPA]],"")</f>
        <v/>
      </c>
      <c r="CN553" s="64" t="str">
        <f>IF([1]!BANCO10[[#This Row],[SOLUÇÃO]]=CN$1,[1]!BANCO10[[#This Row],[STATUS DA ETAPA]],"")</f>
        <v/>
      </c>
      <c r="CO553" s="64" t="str">
        <f>IF([1]!BANCO10[[#This Row],[SOLUÇÃO]]=CO$1,[1]!BANCO10[[#This Row],[STATUS DA ETAPA]],"")</f>
        <v/>
      </c>
      <c r="CP553" s="64" t="str">
        <f>IF([1]!BANCO10[[#This Row],[SOLUÇÃO]]=CP$1,[1]!BANCO10[[#This Row],[STATUS DA ETAPA]],"")</f>
        <v/>
      </c>
      <c r="CQ553" s="64" t="str">
        <f>IF([1]!BANCO10[[#This Row],[SOLUÇÃO]]=CQ$1,[1]!BANCO10[[#This Row],[STATUS DA ETAPA]],"")</f>
        <v/>
      </c>
      <c r="CR553" s="64" t="str">
        <f>IF([1]!BANCO10[[#This Row],[SOLUÇÃO]]=CR$1,[1]!BANCO10[[#This Row],[STATUS DA ETAPA]],"")</f>
        <v/>
      </c>
      <c r="CS553" s="64" t="str">
        <f>IF([1]!BANCO10[[#This Row],[SOLUÇÃO]]=CS$1,[1]!BANCO10[[#This Row],[STATUS DA ETAPA]],"")</f>
        <v/>
      </c>
      <c r="CT553" s="64" t="str">
        <f>IF([1]!BANCO10[[#This Row],[SOLUÇÃO]]=CT$1,[1]!BANCO10[[#This Row],[STATUS DA ETAPA]],"")</f>
        <v/>
      </c>
      <c r="CU553" s="64" t="str">
        <f>IF([1]!BANCO10[[#This Row],[SOLUÇÃO]]=CU$1,[1]!BANCO10[[#This Row],[STATUS DA ETAPA]],"")</f>
        <v/>
      </c>
      <c r="CV553" s="64" t="str">
        <f>IF([1]!BANCO10[[#This Row],[SOLUÇÃO]]=CV$1,[1]!BANCO10[[#This Row],[STATUS DA ETAPA]],"")</f>
        <v/>
      </c>
    </row>
    <row r="554" spans="1:100">
      <c r="A554" s="44" t="s">
        <v>2</v>
      </c>
      <c r="B554" s="44">
        <v>45698</v>
      </c>
      <c r="C554" s="44" t="s">
        <v>2</v>
      </c>
      <c r="D554" s="44">
        <v>45705</v>
      </c>
      <c r="E554" s="44" t="s">
        <v>2</v>
      </c>
      <c r="F554" s="44">
        <v>45708</v>
      </c>
      <c r="G554" s="44" t="s">
        <v>2</v>
      </c>
      <c r="H554" s="44">
        <v>45708</v>
      </c>
      <c r="I554" s="45" t="s">
        <v>2</v>
      </c>
      <c r="J554" s="46">
        <v>45702</v>
      </c>
      <c r="K554" s="45" t="s">
        <v>2</v>
      </c>
      <c r="L554" s="33">
        <v>45694</v>
      </c>
      <c r="M554" s="45" t="s">
        <v>2</v>
      </c>
      <c r="N554" s="33">
        <v>45695</v>
      </c>
      <c r="O554" s="44" t="s">
        <v>1</v>
      </c>
      <c r="P554" s="44"/>
      <c r="Q554" s="44" t="s">
        <v>2</v>
      </c>
      <c r="R554" s="44"/>
      <c r="S554" s="44" t="s">
        <v>2</v>
      </c>
      <c r="T554" s="44">
        <v>45708</v>
      </c>
      <c r="U554" s="44" t="s">
        <v>1</v>
      </c>
      <c r="V554" s="44"/>
      <c r="W554" s="44" t="s">
        <v>1</v>
      </c>
      <c r="X554" s="44"/>
      <c r="Y554" s="44" t="s">
        <v>1</v>
      </c>
      <c r="Z554" s="44"/>
      <c r="AA554" s="44" t="s">
        <v>1</v>
      </c>
      <c r="AB554" s="44"/>
      <c r="AC554" s="51">
        <v>45783</v>
      </c>
      <c r="AD554" s="50">
        <v>45797</v>
      </c>
      <c r="AE554" s="41" t="s">
        <v>2</v>
      </c>
      <c r="AF554" s="41" t="s">
        <v>2</v>
      </c>
      <c r="AG554" s="40" t="s">
        <v>5</v>
      </c>
      <c r="AH554" s="36" t="s">
        <v>0</v>
      </c>
      <c r="AI554" s="49">
        <v>20140</v>
      </c>
      <c r="AJ554" s="36" t="s">
        <v>6</v>
      </c>
      <c r="AK554" s="10">
        <v>665274</v>
      </c>
      <c r="AL554" s="36" t="s">
        <v>1</v>
      </c>
      <c r="AM554" s="36" t="s">
        <v>1</v>
      </c>
      <c r="AN554" s="35" t="s">
        <v>2</v>
      </c>
      <c r="AO554" s="35" t="s">
        <v>2</v>
      </c>
      <c r="AP554" s="35" t="s">
        <v>2</v>
      </c>
      <c r="AQ554" s="35" t="s">
        <v>2</v>
      </c>
      <c r="AR554" s="34" t="s">
        <v>2</v>
      </c>
      <c r="AS554" s="33">
        <v>45889</v>
      </c>
      <c r="AT554" s="32" t="s">
        <v>1</v>
      </c>
      <c r="AU554" s="31"/>
      <c r="AV554" s="32" t="s">
        <v>1</v>
      </c>
      <c r="AW554" s="31"/>
      <c r="AX554" s="30" t="s">
        <v>2</v>
      </c>
      <c r="AY554" s="31">
        <v>45889</v>
      </c>
      <c r="AZ554" s="32" t="s">
        <v>0</v>
      </c>
      <c r="BA554" s="31"/>
      <c r="BB554" s="92" t="s">
        <v>68</v>
      </c>
      <c r="BC554" s="22" t="s">
        <v>335</v>
      </c>
      <c r="BD554" s="24"/>
      <c r="BE554" s="24"/>
      <c r="BF554" s="24"/>
      <c r="BG554" s="24"/>
      <c r="BH554" s="24"/>
      <c r="BI554" s="24"/>
      <c r="BJ554" s="24"/>
      <c r="BK554" s="24"/>
      <c r="BL554" s="24"/>
      <c r="BM554" s="24"/>
      <c r="BN554" s="24"/>
      <c r="BO554" s="24"/>
      <c r="BP554" s="24"/>
      <c r="BQ554" s="22">
        <f>YEAR([1]!BANCO10[[#This Row],[DATA INÍCIO]])</f>
        <v>2025</v>
      </c>
      <c r="BR554" s="22">
        <f>MONTH([1]!BANCO10[[#This Row],[DATA INÍCIO]])</f>
        <v>5</v>
      </c>
      <c r="BS554" s="23" t="e">
        <f>CONCATENATE(#REF!,#REF!)</f>
        <v>#REF!</v>
      </c>
      <c r="BT554" s="22"/>
      <c r="BU554" s="22"/>
      <c r="BV554" s="21" t="str">
        <f>IF([1]!BANCO10[[#This Row],[SOLUÇÃO]]=BV$1,[1]!BANCO10[[#This Row],[STATUS DA ETAPA]],"")</f>
        <v/>
      </c>
      <c r="BW554" s="21" t="str">
        <f>IF([1]!BANCO10[[#This Row],[SOLUÇÃO]]=BW$1,[1]!BANCO10[[#This Row],[STATUS DA ETAPA]],"")</f>
        <v/>
      </c>
      <c r="BX554" s="21" t="str">
        <f>IF([1]!BANCO10[[#This Row],[SOLUÇÃO]]=BX$1,[1]!BANCO10[[#This Row],[STATUS DA ETAPA]],"")</f>
        <v/>
      </c>
      <c r="BY554" s="21" t="str">
        <f>IF([1]!BANCO10[[#This Row],[SOLUÇÃO]]=BY$1,[1]!BANCO10[[#This Row],[STATUS DA ETAPA]],"")</f>
        <v/>
      </c>
      <c r="BZ554" s="21" t="str">
        <f>IF([1]!BANCO10[[#This Row],[SOLUÇÃO]]=BZ$1,[1]!BANCO10[[#This Row],[STATUS DA ETAPA]],"")</f>
        <v/>
      </c>
      <c r="CA554" s="21" t="str">
        <f>IF([1]!BANCO10[[#This Row],[SOLUÇÃO]]=CA$1,[1]!BANCO10[[#This Row],[STATUS DA ETAPA]],"")</f>
        <v/>
      </c>
      <c r="CB554" s="21" t="str">
        <f>IF([1]!BANCO10[[#This Row],[SOLUÇÃO]]=CB$1,[1]!BANCO10[[#This Row],[STATUS DA ETAPA]],"")</f>
        <v>CONCLUÍDO</v>
      </c>
      <c r="CC554" s="21" t="str">
        <f>IF([1]!BANCO10[[#This Row],[SOLUÇÃO]]=CC$1,[1]!BANCO10[[#This Row],[STATUS DA ETAPA]],"")</f>
        <v/>
      </c>
      <c r="CD554" s="21" t="str">
        <f>IF([1]!BANCO10[[#This Row],[SOLUÇÃO]]=CD$1,[1]!BANCO10[[#This Row],[STATUS DA ETAPA]],"")</f>
        <v/>
      </c>
      <c r="CE554" s="21" t="str">
        <f>IF([1]!BANCO10[[#This Row],[SOLUÇÃO]]=CE$1,[1]!BANCO10[[#This Row],[STATUS DA ETAPA]],"")</f>
        <v/>
      </c>
      <c r="CF554" s="21" t="str">
        <f>IF([1]!BANCO10[[#This Row],[SOLUÇÃO]]=CF$1,[1]!BANCO10[[#This Row],[STATUS DA ETAPA]],"")</f>
        <v/>
      </c>
      <c r="CG554" s="21" t="str">
        <f>IF([1]!BANCO10[[#This Row],[SOLUÇÃO]]=CG$1,[1]!BANCO10[[#This Row],[STATUS DA ETAPA]],"")</f>
        <v/>
      </c>
      <c r="CH554" s="21" t="str">
        <f>IF([1]!BANCO10[[#This Row],[SOLUÇÃO]]=CH$1,[1]!BANCO10[[#This Row],[STATUS DA ETAPA]],"")</f>
        <v/>
      </c>
      <c r="CI554" s="21" t="str">
        <f>IF([1]!BANCO10[[#This Row],[SOLUÇÃO]]=CI$1,[1]!BANCO10[[#This Row],[STATUS DA ETAPA]],"")</f>
        <v/>
      </c>
      <c r="CJ554" s="21" t="str">
        <f>IF([1]!BANCO10[[#This Row],[SOLUÇÃO]]=CJ$1,[1]!BANCO10[[#This Row],[STATUS DA ETAPA]],"")</f>
        <v/>
      </c>
      <c r="CK554" s="21" t="str">
        <f>IF([1]!BANCO10[[#This Row],[SOLUÇÃO]]=CK$1,[1]!BANCO10[[#This Row],[STATUS DA ETAPA]],"")</f>
        <v/>
      </c>
      <c r="CL554" s="21" t="str">
        <f>IF([1]!BANCO10[[#This Row],[SOLUÇÃO]]=CL$1,[1]!BANCO10[[#This Row],[STATUS DA ETAPA]],"")</f>
        <v/>
      </c>
      <c r="CM554" s="21" t="str">
        <f>IF([1]!BANCO10[[#This Row],[SOLUÇÃO]]=CM$1,[1]!BANCO10[[#This Row],[STATUS DA ETAPA]],"")</f>
        <v/>
      </c>
      <c r="CN554" s="21" t="str">
        <f>IF([1]!BANCO10[[#This Row],[SOLUÇÃO]]=CN$1,[1]!BANCO10[[#This Row],[STATUS DA ETAPA]],"")</f>
        <v/>
      </c>
      <c r="CO554" s="21" t="str">
        <f>IF([1]!BANCO10[[#This Row],[SOLUÇÃO]]=CO$1,[1]!BANCO10[[#This Row],[STATUS DA ETAPA]],"")</f>
        <v/>
      </c>
      <c r="CP554" s="21" t="str">
        <f>IF([1]!BANCO10[[#This Row],[SOLUÇÃO]]=CP$1,[1]!BANCO10[[#This Row],[STATUS DA ETAPA]],"")</f>
        <v/>
      </c>
      <c r="CQ554" s="21" t="str">
        <f>IF([1]!BANCO10[[#This Row],[SOLUÇÃO]]=CQ$1,[1]!BANCO10[[#This Row],[STATUS DA ETAPA]],"")</f>
        <v/>
      </c>
      <c r="CR554" s="21" t="str">
        <f>IF([1]!BANCO10[[#This Row],[SOLUÇÃO]]=CR$1,[1]!BANCO10[[#This Row],[STATUS DA ETAPA]],"")</f>
        <v/>
      </c>
      <c r="CS554" s="21" t="str">
        <f>IF([1]!BANCO10[[#This Row],[SOLUÇÃO]]=CS$1,[1]!BANCO10[[#This Row],[STATUS DA ETAPA]],"")</f>
        <v/>
      </c>
      <c r="CT554" s="21" t="str">
        <f>IF([1]!BANCO10[[#This Row],[SOLUÇÃO]]=CT$1,[1]!BANCO10[[#This Row],[STATUS DA ETAPA]],"")</f>
        <v/>
      </c>
      <c r="CU554" s="21" t="str">
        <f>IF([1]!BANCO10[[#This Row],[SOLUÇÃO]]=CU$1,[1]!BANCO10[[#This Row],[STATUS DA ETAPA]],"")</f>
        <v/>
      </c>
      <c r="CV554" s="21" t="str">
        <f>IF([1]!BANCO10[[#This Row],[SOLUÇÃO]]=CV$1,[1]!BANCO10[[#This Row],[STATUS DA ETAPA]],"")</f>
        <v/>
      </c>
    </row>
    <row r="555" spans="1:100">
      <c r="A555" s="44" t="s">
        <v>1</v>
      </c>
      <c r="B555" s="44"/>
      <c r="C555" s="44" t="s">
        <v>1</v>
      </c>
      <c r="D555" s="44"/>
      <c r="E555" s="44" t="s">
        <v>1</v>
      </c>
      <c r="F555" s="44"/>
      <c r="G555" s="44" t="s">
        <v>1</v>
      </c>
      <c r="H555" s="44"/>
      <c r="I555" s="45" t="s">
        <v>1</v>
      </c>
      <c r="J555" s="46"/>
      <c r="K555" s="45" t="s">
        <v>1</v>
      </c>
      <c r="L555" s="33"/>
      <c r="M555" s="45" t="s">
        <v>1</v>
      </c>
      <c r="N555" s="33"/>
      <c r="O555" s="44" t="s">
        <v>1</v>
      </c>
      <c r="P555" s="44"/>
      <c r="Q555" s="44" t="s">
        <v>1</v>
      </c>
      <c r="R555" s="44" t="s">
        <v>1</v>
      </c>
      <c r="S555" s="44" t="s">
        <v>1</v>
      </c>
      <c r="T555" s="44"/>
      <c r="U555" s="44" t="s">
        <v>1</v>
      </c>
      <c r="V555" s="44"/>
      <c r="W555" s="44" t="s">
        <v>1</v>
      </c>
      <c r="X555" s="44"/>
      <c r="Y555" s="44" t="s">
        <v>1</v>
      </c>
      <c r="Z555" s="44"/>
      <c r="AA555" s="44" t="s">
        <v>1</v>
      </c>
      <c r="AB555" s="44"/>
      <c r="AC555" s="51">
        <v>45713</v>
      </c>
      <c r="AD555" s="50">
        <v>45713</v>
      </c>
      <c r="AE555" s="41" t="s">
        <v>1</v>
      </c>
      <c r="AF555" s="41" t="s">
        <v>1</v>
      </c>
      <c r="AG555" s="40" t="s">
        <v>5</v>
      </c>
      <c r="AH555" s="36" t="s">
        <v>2</v>
      </c>
      <c r="AI555" s="49">
        <v>0</v>
      </c>
      <c r="AJ555" s="36" t="s">
        <v>1</v>
      </c>
      <c r="AK555" s="10" t="s">
        <v>1</v>
      </c>
      <c r="AL555" s="36" t="s">
        <v>1</v>
      </c>
      <c r="AM555" s="36" t="s">
        <v>1</v>
      </c>
      <c r="AN555" s="35" t="s">
        <v>1</v>
      </c>
      <c r="AO555" s="35" t="s">
        <v>1</v>
      </c>
      <c r="AP555" s="35" t="s">
        <v>1</v>
      </c>
      <c r="AQ555" s="35" t="s">
        <v>1</v>
      </c>
      <c r="AR555" s="82" t="s">
        <v>1</v>
      </c>
      <c r="AS555" s="33"/>
      <c r="AT555" s="32" t="s">
        <v>1</v>
      </c>
      <c r="AU555" s="31"/>
      <c r="AV555" s="32" t="s">
        <v>1</v>
      </c>
      <c r="AW555" s="31"/>
      <c r="AX555" s="32" t="s">
        <v>1</v>
      </c>
      <c r="AY555" s="31"/>
      <c r="AZ555" s="32" t="s">
        <v>1</v>
      </c>
      <c r="BA555" s="31"/>
      <c r="BB555" s="26"/>
      <c r="BC555" s="25"/>
      <c r="BD555" s="24"/>
      <c r="BE555" s="24"/>
      <c r="BF555" s="24"/>
      <c r="BG555" s="24"/>
      <c r="BH555" s="24"/>
      <c r="BI555" s="24"/>
      <c r="BJ555" s="24"/>
      <c r="BK555" s="24"/>
      <c r="BL555" s="24"/>
      <c r="BM555" s="24"/>
      <c r="BN555" s="24"/>
      <c r="BO555" s="24"/>
      <c r="BP555" s="24"/>
      <c r="BQ555" s="22">
        <f>YEAR([1]!BANCO10[[#This Row],[DATA INÍCIO]])</f>
        <v>2025</v>
      </c>
      <c r="BR555" s="22">
        <f>MONTH([1]!BANCO10[[#This Row],[DATA INÍCIO]])</f>
        <v>2</v>
      </c>
      <c r="BS555" s="23" t="e">
        <f>CONCATENATE(#REF!,#REF!)</f>
        <v>#REF!</v>
      </c>
      <c r="BT555" s="22"/>
      <c r="BU555" s="22"/>
      <c r="BV555" s="21" t="str">
        <f>IF([1]!BANCO10[[#This Row],[SOLUÇÃO]]=BV$1,[1]!BANCO10[[#This Row],[STATUS DA ETAPA]],"")</f>
        <v>CONCLUÍDO</v>
      </c>
      <c r="BW555" s="21" t="str">
        <f>IF([1]!BANCO10[[#This Row],[SOLUÇÃO]]=BW$1,[1]!BANCO10[[#This Row],[STATUS DA ETAPA]],"")</f>
        <v/>
      </c>
      <c r="BX555" s="21" t="str">
        <f>IF([1]!BANCO10[[#This Row],[SOLUÇÃO]]=BX$1,[1]!BANCO10[[#This Row],[STATUS DA ETAPA]],"")</f>
        <v/>
      </c>
      <c r="BY555" s="21" t="str">
        <f>IF([1]!BANCO10[[#This Row],[SOLUÇÃO]]=BY$1,[1]!BANCO10[[#This Row],[STATUS DA ETAPA]],"")</f>
        <v/>
      </c>
      <c r="BZ555" s="21" t="str">
        <f>IF([1]!BANCO10[[#This Row],[SOLUÇÃO]]=BZ$1,[1]!BANCO10[[#This Row],[STATUS DA ETAPA]],"")</f>
        <v/>
      </c>
      <c r="CA555" s="21" t="str">
        <f>IF([1]!BANCO10[[#This Row],[SOLUÇÃO]]=CA$1,[1]!BANCO10[[#This Row],[STATUS DA ETAPA]],"")</f>
        <v/>
      </c>
      <c r="CB555" s="21" t="str">
        <f>IF([1]!BANCO10[[#This Row],[SOLUÇÃO]]=CB$1,[1]!BANCO10[[#This Row],[STATUS DA ETAPA]],"")</f>
        <v/>
      </c>
      <c r="CC555" s="21" t="str">
        <f>IF([1]!BANCO10[[#This Row],[SOLUÇÃO]]=CC$1,[1]!BANCO10[[#This Row],[STATUS DA ETAPA]],"")</f>
        <v/>
      </c>
      <c r="CD555" s="21" t="str">
        <f>IF([1]!BANCO10[[#This Row],[SOLUÇÃO]]=CD$1,[1]!BANCO10[[#This Row],[STATUS DA ETAPA]],"")</f>
        <v/>
      </c>
      <c r="CE555" s="21" t="str">
        <f>IF([1]!BANCO10[[#This Row],[SOLUÇÃO]]=CE$1,[1]!BANCO10[[#This Row],[STATUS DA ETAPA]],"")</f>
        <v/>
      </c>
      <c r="CF555" s="21" t="str">
        <f>IF([1]!BANCO10[[#This Row],[SOLUÇÃO]]=CF$1,[1]!BANCO10[[#This Row],[STATUS DA ETAPA]],"")</f>
        <v/>
      </c>
      <c r="CG555" s="21" t="str">
        <f>IF([1]!BANCO10[[#This Row],[SOLUÇÃO]]=CG$1,[1]!BANCO10[[#This Row],[STATUS DA ETAPA]],"")</f>
        <v/>
      </c>
      <c r="CH555" s="21" t="str">
        <f>IF([1]!BANCO10[[#This Row],[SOLUÇÃO]]=CH$1,[1]!BANCO10[[#This Row],[STATUS DA ETAPA]],"")</f>
        <v/>
      </c>
      <c r="CI555" s="21" t="str">
        <f>IF([1]!BANCO10[[#This Row],[SOLUÇÃO]]=CI$1,[1]!BANCO10[[#This Row],[STATUS DA ETAPA]],"")</f>
        <v/>
      </c>
      <c r="CJ555" s="21" t="str">
        <f>IF([1]!BANCO10[[#This Row],[SOLUÇÃO]]=CJ$1,[1]!BANCO10[[#This Row],[STATUS DA ETAPA]],"")</f>
        <v/>
      </c>
      <c r="CK555" s="21" t="str">
        <f>IF([1]!BANCO10[[#This Row],[SOLUÇÃO]]=CK$1,[1]!BANCO10[[#This Row],[STATUS DA ETAPA]],"")</f>
        <v/>
      </c>
      <c r="CL555" s="21" t="str">
        <f>IF([1]!BANCO10[[#This Row],[SOLUÇÃO]]=CL$1,[1]!BANCO10[[#This Row],[STATUS DA ETAPA]],"")</f>
        <v/>
      </c>
      <c r="CM555" s="21" t="str">
        <f>IF([1]!BANCO10[[#This Row],[SOLUÇÃO]]=CM$1,[1]!BANCO10[[#This Row],[STATUS DA ETAPA]],"")</f>
        <v/>
      </c>
      <c r="CN555" s="21" t="str">
        <f>IF([1]!BANCO10[[#This Row],[SOLUÇÃO]]=CN$1,[1]!BANCO10[[#This Row],[STATUS DA ETAPA]],"")</f>
        <v/>
      </c>
      <c r="CO555" s="21" t="str">
        <f>IF([1]!BANCO10[[#This Row],[SOLUÇÃO]]=CO$1,[1]!BANCO10[[#This Row],[STATUS DA ETAPA]],"")</f>
        <v/>
      </c>
      <c r="CP555" s="21" t="str">
        <f>IF([1]!BANCO10[[#This Row],[SOLUÇÃO]]=CP$1,[1]!BANCO10[[#This Row],[STATUS DA ETAPA]],"")</f>
        <v/>
      </c>
      <c r="CQ555" s="21" t="str">
        <f>IF([1]!BANCO10[[#This Row],[SOLUÇÃO]]=CQ$1,[1]!BANCO10[[#This Row],[STATUS DA ETAPA]],"")</f>
        <v/>
      </c>
      <c r="CR555" s="21" t="str">
        <f>IF([1]!BANCO10[[#This Row],[SOLUÇÃO]]=CR$1,[1]!BANCO10[[#This Row],[STATUS DA ETAPA]],"")</f>
        <v/>
      </c>
      <c r="CS555" s="21" t="str">
        <f>IF([1]!BANCO10[[#This Row],[SOLUÇÃO]]=CS$1,[1]!BANCO10[[#This Row],[STATUS DA ETAPA]],"")</f>
        <v/>
      </c>
      <c r="CT555" s="21" t="str">
        <f>IF([1]!BANCO10[[#This Row],[SOLUÇÃO]]=CT$1,[1]!BANCO10[[#This Row],[STATUS DA ETAPA]],"")</f>
        <v/>
      </c>
      <c r="CU555" s="21" t="str">
        <f>IF([1]!BANCO10[[#This Row],[SOLUÇÃO]]=CU$1,[1]!BANCO10[[#This Row],[STATUS DA ETAPA]],"")</f>
        <v/>
      </c>
      <c r="CV555" s="21" t="str">
        <f>IF([1]!BANCO10[[#This Row],[SOLUÇÃO]]=CV$1,[1]!BANCO10[[#This Row],[STATUS DA ETAPA]],"")</f>
        <v/>
      </c>
    </row>
    <row r="556" spans="1:100">
      <c r="A556" s="44" t="s">
        <v>1</v>
      </c>
      <c r="B556" s="44"/>
      <c r="C556" s="44" t="s">
        <v>1</v>
      </c>
      <c r="D556" s="44"/>
      <c r="E556" s="44" t="s">
        <v>1</v>
      </c>
      <c r="F556" s="44"/>
      <c r="G556" s="44" t="s">
        <v>1</v>
      </c>
      <c r="H556" s="44"/>
      <c r="I556" s="45" t="s">
        <v>1</v>
      </c>
      <c r="J556" s="46"/>
      <c r="K556" s="45" t="s">
        <v>1</v>
      </c>
      <c r="L556" s="33"/>
      <c r="M556" s="45" t="s">
        <v>1</v>
      </c>
      <c r="N556" s="33"/>
      <c r="O556" s="44" t="s">
        <v>2</v>
      </c>
      <c r="P556" s="44">
        <v>45020</v>
      </c>
      <c r="Q556" s="44" t="s">
        <v>0</v>
      </c>
      <c r="R556" s="44"/>
      <c r="S556" s="44" t="s">
        <v>1</v>
      </c>
      <c r="T556" s="44"/>
      <c r="U556" s="44" t="s">
        <v>1</v>
      </c>
      <c r="V556" s="44"/>
      <c r="W556" s="44" t="s">
        <v>1</v>
      </c>
      <c r="X556" s="44"/>
      <c r="Y556" s="44" t="s">
        <v>1</v>
      </c>
      <c r="Z556" s="44"/>
      <c r="AA556" s="44" t="s">
        <v>1</v>
      </c>
      <c r="AB556" s="44"/>
      <c r="AC556" s="51">
        <v>45014</v>
      </c>
      <c r="AD556" s="51">
        <v>45014</v>
      </c>
      <c r="AE556" s="40" t="s">
        <v>1</v>
      </c>
      <c r="AF556" s="40" t="s">
        <v>1</v>
      </c>
      <c r="AG556" s="40" t="s">
        <v>5</v>
      </c>
      <c r="AH556" s="36" t="s">
        <v>1</v>
      </c>
      <c r="AI556" s="49">
        <v>0</v>
      </c>
      <c r="AJ556" s="36" t="s">
        <v>1</v>
      </c>
      <c r="AK556" s="10" t="s">
        <v>1</v>
      </c>
      <c r="AL556" s="36" t="s">
        <v>1</v>
      </c>
      <c r="AM556" s="36" t="s">
        <v>1</v>
      </c>
      <c r="AN556" s="35" t="s">
        <v>1</v>
      </c>
      <c r="AO556" s="35" t="s">
        <v>1</v>
      </c>
      <c r="AP556" s="35" t="s">
        <v>1</v>
      </c>
      <c r="AQ556" s="35" t="s">
        <v>1</v>
      </c>
      <c r="AR556" s="82" t="s">
        <v>1</v>
      </c>
      <c r="AS556" s="33"/>
      <c r="AT556" s="30"/>
      <c r="AU556" s="55"/>
      <c r="AV556" s="30"/>
      <c r="AW556" s="55"/>
      <c r="AX556" s="30" t="s">
        <v>1</v>
      </c>
      <c r="AY556" s="55"/>
      <c r="AZ556" s="30" t="s">
        <v>1</v>
      </c>
      <c r="BA556" s="66"/>
      <c r="BB556" s="39" t="s">
        <v>334</v>
      </c>
      <c r="BC556" s="25"/>
      <c r="BD556" s="24" t="s">
        <v>11</v>
      </c>
      <c r="BE556" s="24" t="s">
        <v>11</v>
      </c>
      <c r="BF556" s="79" t="s">
        <v>11</v>
      </c>
      <c r="BG556" s="79" t="s">
        <v>11</v>
      </c>
      <c r="BH556" s="80" t="s">
        <v>11</v>
      </c>
      <c r="BI556" s="79"/>
      <c r="BJ556" s="54" t="s">
        <v>11</v>
      </c>
      <c r="BK556" s="78" t="s">
        <v>11</v>
      </c>
      <c r="BL556" s="69" t="s">
        <v>11</v>
      </c>
      <c r="BM556" s="78" t="s">
        <v>11</v>
      </c>
      <c r="BN556" s="78" t="s">
        <v>11</v>
      </c>
      <c r="BO556" s="78" t="s">
        <v>11</v>
      </c>
      <c r="BP556" s="78" t="s">
        <v>11</v>
      </c>
      <c r="BQ556" s="21">
        <f>YEAR([1]!BANCO10[[#This Row],[DATA INÍCIO]])</f>
        <v>2023</v>
      </c>
      <c r="BR556" s="21">
        <f>MONTH([1]!BANCO10[[#This Row],[DATA INÍCIO]])</f>
        <v>3</v>
      </c>
      <c r="BS556" s="21" t="e">
        <f>CONCATENATE(#REF!,#REF!)</f>
        <v>#REF!</v>
      </c>
      <c r="BT556" s="21"/>
      <c r="BU556" s="21" t="s">
        <v>333</v>
      </c>
      <c r="BV556" s="21" t="str">
        <f>IF([1]!BANCO10[[#This Row],[SOLUÇÃO]]=BV$1,[1]!BANCO10[[#This Row],[STATUS DA ETAPA]],"")</f>
        <v>CONCLUÍDO</v>
      </c>
      <c r="BW556" s="21" t="str">
        <f>IF([1]!BANCO10[[#This Row],[SOLUÇÃO]]=BW$1,[1]!BANCO10[[#This Row],[STATUS DA ETAPA]],"")</f>
        <v/>
      </c>
      <c r="BX556" s="21" t="str">
        <f>IF([1]!BANCO10[[#This Row],[SOLUÇÃO]]=BX$1,[1]!BANCO10[[#This Row],[STATUS DA ETAPA]],"")</f>
        <v/>
      </c>
      <c r="BY556" s="21" t="str">
        <f>IF([1]!BANCO10[[#This Row],[SOLUÇÃO]]=BY$1,[1]!BANCO10[[#This Row],[STATUS DA ETAPA]],"")</f>
        <v/>
      </c>
      <c r="BZ556" s="21" t="str">
        <f>IF([1]!BANCO10[[#This Row],[SOLUÇÃO]]=BZ$1,[1]!BANCO10[[#This Row],[STATUS DA ETAPA]],"")</f>
        <v/>
      </c>
      <c r="CA556" s="21" t="str">
        <f>IF([1]!BANCO10[[#This Row],[SOLUÇÃO]]=CA$1,[1]!BANCO10[[#This Row],[STATUS DA ETAPA]],"")</f>
        <v/>
      </c>
      <c r="CB556" s="21" t="str">
        <f>IF([1]!BANCO10[[#This Row],[SOLUÇÃO]]=CB$1,[1]!BANCO10[[#This Row],[STATUS DA ETAPA]],"")</f>
        <v/>
      </c>
      <c r="CC556" s="21" t="str">
        <f>IF([1]!BANCO10[[#This Row],[SOLUÇÃO]]=CC$1,[1]!BANCO10[[#This Row],[STATUS DA ETAPA]],"")</f>
        <v/>
      </c>
      <c r="CD556" s="21" t="str">
        <f>IF([1]!BANCO10[[#This Row],[SOLUÇÃO]]=CD$1,[1]!BANCO10[[#This Row],[STATUS DA ETAPA]],"")</f>
        <v/>
      </c>
      <c r="CE556" s="21" t="str">
        <f>IF([1]!BANCO10[[#This Row],[SOLUÇÃO]]=CE$1,[1]!BANCO10[[#This Row],[STATUS DA ETAPA]],"")</f>
        <v/>
      </c>
      <c r="CF556" s="21" t="str">
        <f>IF([1]!BANCO10[[#This Row],[SOLUÇÃO]]=CF$1,[1]!BANCO10[[#This Row],[STATUS DA ETAPA]],"")</f>
        <v/>
      </c>
      <c r="CG556" s="21" t="str">
        <f>IF([1]!BANCO10[[#This Row],[SOLUÇÃO]]=CG$1,[1]!BANCO10[[#This Row],[STATUS DA ETAPA]],"")</f>
        <v/>
      </c>
      <c r="CH556" s="21" t="str">
        <f>IF([1]!BANCO10[[#This Row],[SOLUÇÃO]]=CH$1,[1]!BANCO10[[#This Row],[STATUS DA ETAPA]],"")</f>
        <v/>
      </c>
      <c r="CI556" s="21" t="str">
        <f>IF([1]!BANCO10[[#This Row],[SOLUÇÃO]]=CI$1,[1]!BANCO10[[#This Row],[STATUS DA ETAPA]],"")</f>
        <v/>
      </c>
      <c r="CJ556" s="21" t="str">
        <f>IF([1]!BANCO10[[#This Row],[SOLUÇÃO]]=CJ$1,[1]!BANCO10[[#This Row],[STATUS DA ETAPA]],"")</f>
        <v/>
      </c>
      <c r="CK556" s="21" t="str">
        <f>IF([1]!BANCO10[[#This Row],[SOLUÇÃO]]=CK$1,[1]!BANCO10[[#This Row],[STATUS DA ETAPA]],"")</f>
        <v/>
      </c>
      <c r="CL556" s="22" t="str">
        <f>IF([1]!BANCO10[[#This Row],[SOLUÇÃO]]=CL$1,[1]!BANCO10[[#This Row],[STATUS DA ETAPA]],"")</f>
        <v/>
      </c>
      <c r="CM556" s="64" t="str">
        <f>IF([1]!BANCO10[[#This Row],[SOLUÇÃO]]=CM$1,[1]!BANCO10[[#This Row],[STATUS DA ETAPA]],"")</f>
        <v/>
      </c>
      <c r="CN556" s="64" t="str">
        <f>IF([1]!BANCO10[[#This Row],[SOLUÇÃO]]=CN$1,[1]!BANCO10[[#This Row],[STATUS DA ETAPA]],"")</f>
        <v/>
      </c>
      <c r="CO556" s="64" t="str">
        <f>IF([1]!BANCO10[[#This Row],[SOLUÇÃO]]=CO$1,[1]!BANCO10[[#This Row],[STATUS DA ETAPA]],"")</f>
        <v/>
      </c>
      <c r="CP556" s="64" t="str">
        <f>IF([1]!BANCO10[[#This Row],[SOLUÇÃO]]=CP$1,[1]!BANCO10[[#This Row],[STATUS DA ETAPA]],"")</f>
        <v/>
      </c>
      <c r="CQ556" s="64" t="str">
        <f>IF([1]!BANCO10[[#This Row],[SOLUÇÃO]]=CQ$1,[1]!BANCO10[[#This Row],[STATUS DA ETAPA]],"")</f>
        <v/>
      </c>
      <c r="CR556" s="64" t="str">
        <f>IF([1]!BANCO10[[#This Row],[SOLUÇÃO]]=CR$1,[1]!BANCO10[[#This Row],[STATUS DA ETAPA]],"")</f>
        <v/>
      </c>
      <c r="CS556" s="64" t="str">
        <f>IF([1]!BANCO10[[#This Row],[SOLUÇÃO]]=CS$1,[1]!BANCO10[[#This Row],[STATUS DA ETAPA]],"")</f>
        <v/>
      </c>
      <c r="CT556" s="64" t="str">
        <f>IF([1]!BANCO10[[#This Row],[SOLUÇÃO]]=CT$1,[1]!BANCO10[[#This Row],[STATUS DA ETAPA]],"")</f>
        <v/>
      </c>
      <c r="CU556" s="64" t="str">
        <f>IF([1]!BANCO10[[#This Row],[SOLUÇÃO]]=CU$1,[1]!BANCO10[[#This Row],[STATUS DA ETAPA]],"")</f>
        <v/>
      </c>
      <c r="CV556" s="64" t="str">
        <f>IF([1]!BANCO10[[#This Row],[SOLUÇÃO]]=CV$1,[1]!BANCO10[[#This Row],[STATUS DA ETAPA]],"")</f>
        <v/>
      </c>
    </row>
    <row r="557" spans="1:100">
      <c r="A557" s="44" t="s">
        <v>1</v>
      </c>
      <c r="B557" s="44"/>
      <c r="C557" s="44" t="s">
        <v>1</v>
      </c>
      <c r="D557" s="44"/>
      <c r="E557" s="44" t="s">
        <v>1</v>
      </c>
      <c r="F557" s="44"/>
      <c r="G557" s="44" t="s">
        <v>1</v>
      </c>
      <c r="H557" s="44"/>
      <c r="I557" s="45" t="s">
        <v>1</v>
      </c>
      <c r="J557" s="46"/>
      <c r="K557" s="45" t="s">
        <v>1</v>
      </c>
      <c r="L557" s="33"/>
      <c r="M557" s="45" t="s">
        <v>1</v>
      </c>
      <c r="N557" s="33"/>
      <c r="O557" s="44" t="s">
        <v>1</v>
      </c>
      <c r="P557" s="44"/>
      <c r="Q557" s="44" t="s">
        <v>1</v>
      </c>
      <c r="R557" s="44"/>
      <c r="S557" s="44" t="s">
        <v>1</v>
      </c>
      <c r="T557" s="44"/>
      <c r="U557" s="44" t="s">
        <v>1</v>
      </c>
      <c r="V557" s="44"/>
      <c r="W557" s="44" t="s">
        <v>1</v>
      </c>
      <c r="X557" s="44"/>
      <c r="Y557" s="44" t="s">
        <v>1</v>
      </c>
      <c r="Z557" s="44"/>
      <c r="AA557" s="44" t="s">
        <v>1</v>
      </c>
      <c r="AB557" s="44"/>
      <c r="AC557" s="51">
        <v>45408</v>
      </c>
      <c r="AD557" s="51">
        <v>45408</v>
      </c>
      <c r="AE557" s="41" t="s">
        <v>1</v>
      </c>
      <c r="AF557" s="41" t="s">
        <v>1</v>
      </c>
      <c r="AG557" s="40" t="s">
        <v>5</v>
      </c>
      <c r="AH557" s="36" t="s">
        <v>1</v>
      </c>
      <c r="AI557" s="49">
        <v>0</v>
      </c>
      <c r="AJ557" s="36" t="s">
        <v>1</v>
      </c>
      <c r="AK557" s="10" t="s">
        <v>1</v>
      </c>
      <c r="AL557" s="36" t="s">
        <v>1</v>
      </c>
      <c r="AM557" s="36" t="s">
        <v>1</v>
      </c>
      <c r="AN557" s="35" t="s">
        <v>1</v>
      </c>
      <c r="AO557" s="35" t="s">
        <v>1</v>
      </c>
      <c r="AP557" s="35" t="s">
        <v>1</v>
      </c>
      <c r="AQ557" s="35" t="s">
        <v>1</v>
      </c>
      <c r="AR557" s="82" t="s">
        <v>1</v>
      </c>
      <c r="AS557" s="33"/>
      <c r="AT557" s="30"/>
      <c r="AU557" s="55"/>
      <c r="AV557" s="30"/>
      <c r="AW557" s="55"/>
      <c r="AX557" s="30" t="s">
        <v>1</v>
      </c>
      <c r="AY557" s="55"/>
      <c r="AZ557" s="30" t="s">
        <v>1</v>
      </c>
      <c r="BA557" s="55"/>
      <c r="BB557" s="39"/>
      <c r="BC557" s="25" t="s">
        <v>41</v>
      </c>
      <c r="BD557" s="24"/>
      <c r="BE557" s="24"/>
      <c r="BF557" s="79"/>
      <c r="BG557" s="79"/>
      <c r="BH557" s="80"/>
      <c r="BI557" s="79"/>
      <c r="BJ557" s="54"/>
      <c r="BK557" s="78"/>
      <c r="BL557" s="69"/>
      <c r="BM557" s="78"/>
      <c r="BN557" s="78"/>
      <c r="BO557" s="78"/>
      <c r="BP557" s="78"/>
      <c r="BQ557" s="21">
        <f>YEAR([1]!BANCO10[[#This Row],[DATA INÍCIO]])</f>
        <v>2024</v>
      </c>
      <c r="BR557" s="21">
        <f>MONTH([1]!BANCO10[[#This Row],[DATA INÍCIO]])</f>
        <v>4</v>
      </c>
      <c r="BS557" s="21" t="e">
        <f>CONCATENATE(#REF!,#REF!)</f>
        <v>#REF!</v>
      </c>
      <c r="BT557" s="21"/>
      <c r="BU557" s="21" t="s">
        <v>332</v>
      </c>
      <c r="BV557" s="21" t="str">
        <f>IF([1]!BANCO10[[#This Row],[SOLUÇÃO]]=BV$1,[1]!BANCO10[[#This Row],[STATUS DA ETAPA]],"")</f>
        <v>CONCLUÍDO</v>
      </c>
      <c r="BW557" s="21" t="str">
        <f>IF([1]!BANCO10[[#This Row],[SOLUÇÃO]]=BW$1,[1]!BANCO10[[#This Row],[STATUS DA ETAPA]],"")</f>
        <v/>
      </c>
      <c r="BX557" s="21" t="str">
        <f>IF([1]!BANCO10[[#This Row],[SOLUÇÃO]]=BX$1,[1]!BANCO10[[#This Row],[STATUS DA ETAPA]],"")</f>
        <v/>
      </c>
      <c r="BY557" s="21" t="str">
        <f>IF([1]!BANCO10[[#This Row],[SOLUÇÃO]]=BY$1,[1]!BANCO10[[#This Row],[STATUS DA ETAPA]],"")</f>
        <v/>
      </c>
      <c r="BZ557" s="21" t="str">
        <f>IF([1]!BANCO10[[#This Row],[SOLUÇÃO]]=BZ$1,[1]!BANCO10[[#This Row],[STATUS DA ETAPA]],"")</f>
        <v/>
      </c>
      <c r="CA557" s="21" t="str">
        <f>IF([1]!BANCO10[[#This Row],[SOLUÇÃO]]=CA$1,[1]!BANCO10[[#This Row],[STATUS DA ETAPA]],"")</f>
        <v/>
      </c>
      <c r="CB557" s="21" t="str">
        <f>IF([1]!BANCO10[[#This Row],[SOLUÇÃO]]=CB$1,[1]!BANCO10[[#This Row],[STATUS DA ETAPA]],"")</f>
        <v/>
      </c>
      <c r="CC557" s="21" t="str">
        <f>IF([1]!BANCO10[[#This Row],[SOLUÇÃO]]=CC$1,[1]!BANCO10[[#This Row],[STATUS DA ETAPA]],"")</f>
        <v/>
      </c>
      <c r="CD557" s="21" t="str">
        <f>IF([1]!BANCO10[[#This Row],[SOLUÇÃO]]=CD$1,[1]!BANCO10[[#This Row],[STATUS DA ETAPA]],"")</f>
        <v/>
      </c>
      <c r="CE557" s="21" t="str">
        <f>IF([1]!BANCO10[[#This Row],[SOLUÇÃO]]=CE$1,[1]!BANCO10[[#This Row],[STATUS DA ETAPA]],"")</f>
        <v/>
      </c>
      <c r="CF557" s="21" t="str">
        <f>IF([1]!BANCO10[[#This Row],[SOLUÇÃO]]=CF$1,[1]!BANCO10[[#This Row],[STATUS DA ETAPA]],"")</f>
        <v/>
      </c>
      <c r="CG557" s="21" t="str">
        <f>IF([1]!BANCO10[[#This Row],[SOLUÇÃO]]=CG$1,[1]!BANCO10[[#This Row],[STATUS DA ETAPA]],"")</f>
        <v/>
      </c>
      <c r="CH557" s="21" t="str">
        <f>IF([1]!BANCO10[[#This Row],[SOLUÇÃO]]=CH$1,[1]!BANCO10[[#This Row],[STATUS DA ETAPA]],"")</f>
        <v/>
      </c>
      <c r="CI557" s="21" t="str">
        <f>IF([1]!BANCO10[[#This Row],[SOLUÇÃO]]=CI$1,[1]!BANCO10[[#This Row],[STATUS DA ETAPA]],"")</f>
        <v/>
      </c>
      <c r="CJ557" s="21" t="str">
        <f>IF([1]!BANCO10[[#This Row],[SOLUÇÃO]]=CJ$1,[1]!BANCO10[[#This Row],[STATUS DA ETAPA]],"")</f>
        <v/>
      </c>
      <c r="CK557" s="21" t="str">
        <f>IF([1]!BANCO10[[#This Row],[SOLUÇÃO]]=CK$1,[1]!BANCO10[[#This Row],[STATUS DA ETAPA]],"")</f>
        <v/>
      </c>
      <c r="CL557" s="22" t="str">
        <f>IF([1]!BANCO10[[#This Row],[SOLUÇÃO]]=CL$1,[1]!BANCO10[[#This Row],[STATUS DA ETAPA]],"")</f>
        <v/>
      </c>
      <c r="CM557" s="64" t="str">
        <f>IF([1]!BANCO10[[#This Row],[SOLUÇÃO]]=CM$1,[1]!BANCO10[[#This Row],[STATUS DA ETAPA]],"")</f>
        <v/>
      </c>
      <c r="CN557" s="64" t="str">
        <f>IF([1]!BANCO10[[#This Row],[SOLUÇÃO]]=CN$1,[1]!BANCO10[[#This Row],[STATUS DA ETAPA]],"")</f>
        <v/>
      </c>
      <c r="CO557" s="64" t="str">
        <f>IF([1]!BANCO10[[#This Row],[SOLUÇÃO]]=CO$1,[1]!BANCO10[[#This Row],[STATUS DA ETAPA]],"")</f>
        <v/>
      </c>
      <c r="CP557" s="64" t="str">
        <f>IF([1]!BANCO10[[#This Row],[SOLUÇÃO]]=CP$1,[1]!BANCO10[[#This Row],[STATUS DA ETAPA]],"")</f>
        <v/>
      </c>
      <c r="CQ557" s="64" t="str">
        <f>IF([1]!BANCO10[[#This Row],[SOLUÇÃO]]=CQ$1,[1]!BANCO10[[#This Row],[STATUS DA ETAPA]],"")</f>
        <v/>
      </c>
      <c r="CR557" s="64" t="str">
        <f>IF([1]!BANCO10[[#This Row],[SOLUÇÃO]]=CR$1,[1]!BANCO10[[#This Row],[STATUS DA ETAPA]],"")</f>
        <v/>
      </c>
      <c r="CS557" s="64" t="str">
        <f>IF([1]!BANCO10[[#This Row],[SOLUÇÃO]]=CS$1,[1]!BANCO10[[#This Row],[STATUS DA ETAPA]],"")</f>
        <v/>
      </c>
      <c r="CT557" s="64" t="str">
        <f>IF([1]!BANCO10[[#This Row],[SOLUÇÃO]]=CT$1,[1]!BANCO10[[#This Row],[STATUS DA ETAPA]],"")</f>
        <v/>
      </c>
      <c r="CU557" s="64" t="str">
        <f>IF([1]!BANCO10[[#This Row],[SOLUÇÃO]]=CU$1,[1]!BANCO10[[#This Row],[STATUS DA ETAPA]],"")</f>
        <v/>
      </c>
      <c r="CV557" s="64" t="str">
        <f>IF([1]!BANCO10[[#This Row],[SOLUÇÃO]]=CV$1,[1]!BANCO10[[#This Row],[STATUS DA ETAPA]],"")</f>
        <v/>
      </c>
    </row>
    <row r="558" spans="1:100">
      <c r="A558" s="44" t="s">
        <v>2</v>
      </c>
      <c r="B558" s="44">
        <v>45383</v>
      </c>
      <c r="C558" s="44" t="s">
        <v>2</v>
      </c>
      <c r="D558" s="44">
        <v>45383</v>
      </c>
      <c r="E558" s="44" t="s">
        <v>2</v>
      </c>
      <c r="F558" s="44">
        <v>45383</v>
      </c>
      <c r="G558" s="44" t="s">
        <v>2</v>
      </c>
      <c r="H558" s="44">
        <v>45383</v>
      </c>
      <c r="I558" s="45" t="s">
        <v>2</v>
      </c>
      <c r="J558" s="46">
        <v>45536</v>
      </c>
      <c r="K558" s="45" t="s">
        <v>2</v>
      </c>
      <c r="L558" s="33">
        <v>45536</v>
      </c>
      <c r="M558" s="45" t="s">
        <v>2</v>
      </c>
      <c r="N558" s="33">
        <v>45536</v>
      </c>
      <c r="O558" s="44" t="s">
        <v>2</v>
      </c>
      <c r="P558" s="44">
        <v>45506</v>
      </c>
      <c r="Q558" s="44" t="s">
        <v>2</v>
      </c>
      <c r="R558" s="44">
        <v>45509</v>
      </c>
      <c r="S558" s="44" t="s">
        <v>2</v>
      </c>
      <c r="T558" s="44">
        <v>45536</v>
      </c>
      <c r="U558" s="44" t="s">
        <v>1</v>
      </c>
      <c r="V558" s="44"/>
      <c r="W558" s="44" t="s">
        <v>1</v>
      </c>
      <c r="X558" s="44"/>
      <c r="Y558" s="44" t="s">
        <v>1</v>
      </c>
      <c r="Z558" s="44"/>
      <c r="AA558" s="44" t="s">
        <v>1</v>
      </c>
      <c r="AB558" s="44"/>
      <c r="AC558" s="51">
        <v>45435</v>
      </c>
      <c r="AD558" s="50">
        <v>45561</v>
      </c>
      <c r="AE558" s="41" t="s">
        <v>2</v>
      </c>
      <c r="AF558" s="41" t="s">
        <v>2</v>
      </c>
      <c r="AG558" s="40" t="s">
        <v>5</v>
      </c>
      <c r="AH558" s="36" t="s">
        <v>0</v>
      </c>
      <c r="AI558" s="49">
        <v>0</v>
      </c>
      <c r="AJ558" s="36" t="s">
        <v>6</v>
      </c>
      <c r="AK558" s="10" t="s">
        <v>1</v>
      </c>
      <c r="AL558" s="36" t="s">
        <v>1</v>
      </c>
      <c r="AM558" s="36" t="s">
        <v>1</v>
      </c>
      <c r="AN558" s="35" t="s">
        <v>2</v>
      </c>
      <c r="AO558" s="35" t="s">
        <v>2</v>
      </c>
      <c r="AP558" s="35" t="s">
        <v>2</v>
      </c>
      <c r="AQ558" s="35" t="s">
        <v>2</v>
      </c>
      <c r="AR558" s="34" t="s">
        <v>2</v>
      </c>
      <c r="AS558" s="33">
        <v>45614</v>
      </c>
      <c r="AT558" s="30" t="s">
        <v>1</v>
      </c>
      <c r="AU558" s="31"/>
      <c r="AV558" s="30" t="s">
        <v>1</v>
      </c>
      <c r="AW558" s="31"/>
      <c r="AX558" s="30" t="s">
        <v>2</v>
      </c>
      <c r="AY558" s="31">
        <v>45614</v>
      </c>
      <c r="AZ558" s="30" t="s">
        <v>0</v>
      </c>
      <c r="BA558" s="55"/>
      <c r="BB558" s="39"/>
      <c r="BC558" s="25" t="s">
        <v>45</v>
      </c>
      <c r="BD558" s="24"/>
      <c r="BE558" s="24"/>
      <c r="BF558" s="79"/>
      <c r="BG558" s="79"/>
      <c r="BH558" s="80"/>
      <c r="BI558" s="79"/>
      <c r="BJ558" s="54"/>
      <c r="BK558" s="78"/>
      <c r="BL558" s="69"/>
      <c r="BM558" s="78"/>
      <c r="BN558" s="78"/>
      <c r="BO558" s="78"/>
      <c r="BP558" s="78"/>
      <c r="BQ558" s="21">
        <f>YEAR([1]!BANCO10[[#This Row],[DATA INÍCIO]])</f>
        <v>2024</v>
      </c>
      <c r="BR558" s="21">
        <f>MONTH([1]!BANCO10[[#This Row],[DATA INÍCIO]])</f>
        <v>5</v>
      </c>
      <c r="BS558" s="21" t="e">
        <f>CONCATENATE(#REF!,#REF!)</f>
        <v>#REF!</v>
      </c>
      <c r="BT558" s="21"/>
      <c r="BU558" s="21" t="s">
        <v>331</v>
      </c>
      <c r="BV558" s="21" t="str">
        <f>IF([1]!BANCO10[[#This Row],[SOLUÇÃO]]=BV$1,[1]!BANCO10[[#This Row],[STATUS DA ETAPA]],"")</f>
        <v/>
      </c>
      <c r="BW558" s="21" t="str">
        <f>IF([1]!BANCO10[[#This Row],[SOLUÇÃO]]=BW$1,[1]!BANCO10[[#This Row],[STATUS DA ETAPA]],"")</f>
        <v/>
      </c>
      <c r="BX558" s="21" t="str">
        <f>IF([1]!BANCO10[[#This Row],[SOLUÇÃO]]=BX$1,[1]!BANCO10[[#This Row],[STATUS DA ETAPA]],"")</f>
        <v/>
      </c>
      <c r="BY558" s="21" t="str">
        <f>IF([1]!BANCO10[[#This Row],[SOLUÇÃO]]=BY$1,[1]!BANCO10[[#This Row],[STATUS DA ETAPA]],"")</f>
        <v/>
      </c>
      <c r="BZ558" s="21" t="str">
        <f>IF([1]!BANCO10[[#This Row],[SOLUÇÃO]]=BZ$1,[1]!BANCO10[[#This Row],[STATUS DA ETAPA]],"")</f>
        <v/>
      </c>
      <c r="CA558" s="21" t="str">
        <f>IF([1]!BANCO10[[#This Row],[SOLUÇÃO]]=CA$1,[1]!BANCO10[[#This Row],[STATUS DA ETAPA]],"")</f>
        <v/>
      </c>
      <c r="CB558" s="21" t="str">
        <f>IF([1]!BANCO10[[#This Row],[SOLUÇÃO]]=CB$1,[1]!BANCO10[[#This Row],[STATUS DA ETAPA]],"")</f>
        <v>CONCLUÍDO</v>
      </c>
      <c r="CC558" s="21" t="str">
        <f>IF([1]!BANCO10[[#This Row],[SOLUÇÃO]]=CC$1,[1]!BANCO10[[#This Row],[STATUS DA ETAPA]],"")</f>
        <v/>
      </c>
      <c r="CD558" s="21" t="str">
        <f>IF([1]!BANCO10[[#This Row],[SOLUÇÃO]]=CD$1,[1]!BANCO10[[#This Row],[STATUS DA ETAPA]],"")</f>
        <v/>
      </c>
      <c r="CE558" s="21" t="str">
        <f>IF([1]!BANCO10[[#This Row],[SOLUÇÃO]]=CE$1,[1]!BANCO10[[#This Row],[STATUS DA ETAPA]],"")</f>
        <v/>
      </c>
      <c r="CF558" s="21" t="str">
        <f>IF([1]!BANCO10[[#This Row],[SOLUÇÃO]]=CF$1,[1]!BANCO10[[#This Row],[STATUS DA ETAPA]],"")</f>
        <v/>
      </c>
      <c r="CG558" s="21" t="str">
        <f>IF([1]!BANCO10[[#This Row],[SOLUÇÃO]]=CG$1,[1]!BANCO10[[#This Row],[STATUS DA ETAPA]],"")</f>
        <v/>
      </c>
      <c r="CH558" s="21" t="str">
        <f>IF([1]!BANCO10[[#This Row],[SOLUÇÃO]]=CH$1,[1]!BANCO10[[#This Row],[STATUS DA ETAPA]],"")</f>
        <v/>
      </c>
      <c r="CI558" s="21" t="str">
        <f>IF([1]!BANCO10[[#This Row],[SOLUÇÃO]]=CI$1,[1]!BANCO10[[#This Row],[STATUS DA ETAPA]],"")</f>
        <v/>
      </c>
      <c r="CJ558" s="21" t="str">
        <f>IF([1]!BANCO10[[#This Row],[SOLUÇÃO]]=CJ$1,[1]!BANCO10[[#This Row],[STATUS DA ETAPA]],"")</f>
        <v/>
      </c>
      <c r="CK558" s="21" t="str">
        <f>IF([1]!BANCO10[[#This Row],[SOLUÇÃO]]=CK$1,[1]!BANCO10[[#This Row],[STATUS DA ETAPA]],"")</f>
        <v/>
      </c>
      <c r="CL558" s="22" t="str">
        <f>IF([1]!BANCO10[[#This Row],[SOLUÇÃO]]=CL$1,[1]!BANCO10[[#This Row],[STATUS DA ETAPA]],"")</f>
        <v/>
      </c>
      <c r="CM558" s="64" t="str">
        <f>IF([1]!BANCO10[[#This Row],[SOLUÇÃO]]=CM$1,[1]!BANCO10[[#This Row],[STATUS DA ETAPA]],"")</f>
        <v/>
      </c>
      <c r="CN558" s="64" t="str">
        <f>IF([1]!BANCO10[[#This Row],[SOLUÇÃO]]=CN$1,[1]!BANCO10[[#This Row],[STATUS DA ETAPA]],"")</f>
        <v/>
      </c>
      <c r="CO558" s="64" t="str">
        <f>IF([1]!BANCO10[[#This Row],[SOLUÇÃO]]=CO$1,[1]!BANCO10[[#This Row],[STATUS DA ETAPA]],"")</f>
        <v/>
      </c>
      <c r="CP558" s="64" t="str">
        <f>IF([1]!BANCO10[[#This Row],[SOLUÇÃO]]=CP$1,[1]!BANCO10[[#This Row],[STATUS DA ETAPA]],"")</f>
        <v/>
      </c>
      <c r="CQ558" s="64" t="str">
        <f>IF([1]!BANCO10[[#This Row],[SOLUÇÃO]]=CQ$1,[1]!BANCO10[[#This Row],[STATUS DA ETAPA]],"")</f>
        <v/>
      </c>
      <c r="CR558" s="64" t="str">
        <f>IF([1]!BANCO10[[#This Row],[SOLUÇÃO]]=CR$1,[1]!BANCO10[[#This Row],[STATUS DA ETAPA]],"")</f>
        <v/>
      </c>
      <c r="CS558" s="64" t="str">
        <f>IF([1]!BANCO10[[#This Row],[SOLUÇÃO]]=CS$1,[1]!BANCO10[[#This Row],[STATUS DA ETAPA]],"")</f>
        <v/>
      </c>
      <c r="CT558" s="64" t="str">
        <f>IF([1]!BANCO10[[#This Row],[SOLUÇÃO]]=CT$1,[1]!BANCO10[[#This Row],[STATUS DA ETAPA]],"")</f>
        <v/>
      </c>
      <c r="CU558" s="64" t="str">
        <f>IF([1]!BANCO10[[#This Row],[SOLUÇÃO]]=CU$1,[1]!BANCO10[[#This Row],[STATUS DA ETAPA]],"")</f>
        <v/>
      </c>
      <c r="CV558" s="64" t="str">
        <f>IF([1]!BANCO10[[#This Row],[SOLUÇÃO]]=CV$1,[1]!BANCO10[[#This Row],[STATUS DA ETAPA]],"")</f>
        <v/>
      </c>
    </row>
    <row r="559" spans="1:100">
      <c r="A559" s="44" t="s">
        <v>1</v>
      </c>
      <c r="B559" s="44"/>
      <c r="C559" s="44" t="s">
        <v>1</v>
      </c>
      <c r="D559" s="44"/>
      <c r="E559" s="44" t="s">
        <v>1</v>
      </c>
      <c r="F559" s="44"/>
      <c r="G559" s="44" t="s">
        <v>1</v>
      </c>
      <c r="H559" s="44"/>
      <c r="I559" s="45" t="s">
        <v>1</v>
      </c>
      <c r="J559" s="46"/>
      <c r="K559" s="45" t="s">
        <v>1</v>
      </c>
      <c r="L559" s="33"/>
      <c r="M559" s="45" t="s">
        <v>1</v>
      </c>
      <c r="N559" s="33"/>
      <c r="O559" s="44" t="s">
        <v>1</v>
      </c>
      <c r="P559" s="44"/>
      <c r="Q559" s="44" t="s">
        <v>1</v>
      </c>
      <c r="R559" s="44" t="s">
        <v>1</v>
      </c>
      <c r="S559" s="44" t="s">
        <v>1</v>
      </c>
      <c r="T559" s="44"/>
      <c r="U559" s="44" t="s">
        <v>1</v>
      </c>
      <c r="V559" s="44"/>
      <c r="W559" s="44" t="s">
        <v>1</v>
      </c>
      <c r="X559" s="44"/>
      <c r="Y559" s="44" t="s">
        <v>1</v>
      </c>
      <c r="Z559" s="44"/>
      <c r="AA559" s="44" t="s">
        <v>1</v>
      </c>
      <c r="AB559" s="44"/>
      <c r="AC559" s="51">
        <v>45636</v>
      </c>
      <c r="AD559" s="51">
        <v>45636</v>
      </c>
      <c r="AE559" s="41" t="s">
        <v>1</v>
      </c>
      <c r="AF559" s="41" t="s">
        <v>1</v>
      </c>
      <c r="AG559" s="40" t="s">
        <v>4</v>
      </c>
      <c r="AH559" s="36" t="s">
        <v>0</v>
      </c>
      <c r="AI559" s="49">
        <v>0</v>
      </c>
      <c r="AJ559" s="36" t="s">
        <v>1</v>
      </c>
      <c r="AK559" s="10" t="s">
        <v>1</v>
      </c>
      <c r="AL559" s="36" t="s">
        <v>1</v>
      </c>
      <c r="AM559" s="36" t="s">
        <v>1</v>
      </c>
      <c r="AN559" s="35" t="s">
        <v>1</v>
      </c>
      <c r="AO559" s="35" t="s">
        <v>1</v>
      </c>
      <c r="AP559" s="35" t="s">
        <v>1</v>
      </c>
      <c r="AQ559" s="35" t="s">
        <v>2</v>
      </c>
      <c r="AR559" s="34" t="s">
        <v>0</v>
      </c>
      <c r="AS559" s="33"/>
      <c r="AT559" s="30" t="s">
        <v>0</v>
      </c>
      <c r="AU559" s="31"/>
      <c r="AV559" s="30" t="s">
        <v>0</v>
      </c>
      <c r="AW559" s="31"/>
      <c r="AX559" s="30" t="s">
        <v>0</v>
      </c>
      <c r="AY559" s="29"/>
      <c r="AZ559" s="28" t="s">
        <v>0</v>
      </c>
      <c r="BA559" s="27"/>
      <c r="BB559" s="26"/>
      <c r="BC559" s="25"/>
      <c r="BD559" s="24"/>
      <c r="BE559" s="24"/>
      <c r="BF559" s="24"/>
      <c r="BG559" s="24"/>
      <c r="BH559" s="24"/>
      <c r="BI559" s="24"/>
      <c r="BJ559" s="24"/>
      <c r="BK559" s="24"/>
      <c r="BL559" s="24"/>
      <c r="BM559" s="24"/>
      <c r="BN559" s="24"/>
      <c r="BO559" s="24"/>
      <c r="BP559" s="24"/>
      <c r="BQ559" s="22">
        <f>YEAR([1]!BANCO10[[#This Row],[DATA INÍCIO]])</f>
        <v>2024</v>
      </c>
      <c r="BR559" s="22">
        <f>MONTH([1]!BANCO10[[#This Row],[DATA INÍCIO]])</f>
        <v>12</v>
      </c>
      <c r="BS559" s="23" t="e">
        <f>CONCATENATE(#REF!,#REF!)</f>
        <v>#REF!</v>
      </c>
      <c r="BT559" s="22"/>
      <c r="BU559" s="22"/>
      <c r="BV559" s="21" t="str">
        <f>IF([1]!BANCO10[[#This Row],[SOLUÇÃO]]=BV$1,[1]!BANCO10[[#This Row],[STATUS DA ETAPA]],"")</f>
        <v/>
      </c>
      <c r="BW559" s="21" t="str">
        <f>IF([1]!BANCO10[[#This Row],[SOLUÇÃO]]=BW$1,[1]!BANCO10[[#This Row],[STATUS DA ETAPA]],"")</f>
        <v/>
      </c>
      <c r="BX559" s="21" t="str">
        <f>IF([1]!BANCO10[[#This Row],[SOLUÇÃO]]=BX$1,[1]!BANCO10[[#This Row],[STATUS DA ETAPA]],"")</f>
        <v/>
      </c>
      <c r="BY559" s="21" t="str">
        <f>IF([1]!BANCO10[[#This Row],[SOLUÇÃO]]=BY$1,[1]!BANCO10[[#This Row],[STATUS DA ETAPA]],"")</f>
        <v/>
      </c>
      <c r="BZ559" s="21" t="str">
        <f>IF([1]!BANCO10[[#This Row],[SOLUÇÃO]]=BZ$1,[1]!BANCO10[[#This Row],[STATUS DA ETAPA]],"")</f>
        <v/>
      </c>
      <c r="CA559" s="21" t="str">
        <f>IF([1]!BANCO10[[#This Row],[SOLUÇÃO]]=CA$1,[1]!BANCO10[[#This Row],[STATUS DA ETAPA]],"")</f>
        <v/>
      </c>
      <c r="CB559" s="21" t="str">
        <f>IF([1]!BANCO10[[#This Row],[SOLUÇÃO]]=CB$1,[1]!BANCO10[[#This Row],[STATUS DA ETAPA]],"")</f>
        <v/>
      </c>
      <c r="CC559" s="21" t="str">
        <f>IF([1]!BANCO10[[#This Row],[SOLUÇÃO]]=CC$1,[1]!BANCO10[[#This Row],[STATUS DA ETAPA]],"")</f>
        <v/>
      </c>
      <c r="CD559" s="21" t="str">
        <f>IF([1]!BANCO10[[#This Row],[SOLUÇÃO]]=CD$1,[1]!BANCO10[[#This Row],[STATUS DA ETAPA]],"")</f>
        <v/>
      </c>
      <c r="CE559" s="21" t="str">
        <f>IF([1]!BANCO10[[#This Row],[SOLUÇÃO]]=CE$1,[1]!BANCO10[[#This Row],[STATUS DA ETAPA]],"")</f>
        <v/>
      </c>
      <c r="CF559" s="21" t="str">
        <f>IF([1]!BANCO10[[#This Row],[SOLUÇÃO]]=CF$1,[1]!BANCO10[[#This Row],[STATUS DA ETAPA]],"")</f>
        <v/>
      </c>
      <c r="CG559" s="21" t="str">
        <f>IF([1]!BANCO10[[#This Row],[SOLUÇÃO]]=CG$1,[1]!BANCO10[[#This Row],[STATUS DA ETAPA]],"")</f>
        <v/>
      </c>
      <c r="CH559" s="21" t="str">
        <f>IF([1]!BANCO10[[#This Row],[SOLUÇÃO]]=CH$1,[1]!BANCO10[[#This Row],[STATUS DA ETAPA]],"")</f>
        <v/>
      </c>
      <c r="CI559" s="21" t="str">
        <f>IF([1]!BANCO10[[#This Row],[SOLUÇÃO]]=CI$1,[1]!BANCO10[[#This Row],[STATUS DA ETAPA]],"")</f>
        <v/>
      </c>
      <c r="CJ559" s="21" t="str">
        <f>IF([1]!BANCO10[[#This Row],[SOLUÇÃO]]=CJ$1,[1]!BANCO10[[#This Row],[STATUS DA ETAPA]],"")</f>
        <v/>
      </c>
      <c r="CK559" s="21" t="str">
        <f>IF([1]!BANCO10[[#This Row],[SOLUÇÃO]]=CK$1,[1]!BANCO10[[#This Row],[STATUS DA ETAPA]],"")</f>
        <v/>
      </c>
      <c r="CL559" s="21" t="str">
        <f>IF([1]!BANCO10[[#This Row],[SOLUÇÃO]]=CL$1,[1]!BANCO10[[#This Row],[STATUS DA ETAPA]],"")</f>
        <v/>
      </c>
      <c r="CM559" s="21" t="str">
        <f>IF([1]!BANCO10[[#This Row],[SOLUÇÃO]]=CM$1,[1]!BANCO10[[#This Row],[STATUS DA ETAPA]],"")</f>
        <v/>
      </c>
      <c r="CN559" s="21" t="str">
        <f>IF([1]!BANCO10[[#This Row],[SOLUÇÃO]]=CN$1,[1]!BANCO10[[#This Row],[STATUS DA ETAPA]],"")</f>
        <v/>
      </c>
      <c r="CO559" s="21" t="str">
        <f>IF([1]!BANCO10[[#This Row],[SOLUÇÃO]]=CO$1,[1]!BANCO10[[#This Row],[STATUS DA ETAPA]],"")</f>
        <v/>
      </c>
      <c r="CP559" s="21" t="str">
        <f>IF([1]!BANCO10[[#This Row],[SOLUÇÃO]]=CP$1,[1]!BANCO10[[#This Row],[STATUS DA ETAPA]],"")</f>
        <v/>
      </c>
      <c r="CQ559" s="21" t="str">
        <f>IF([1]!BANCO10[[#This Row],[SOLUÇÃO]]=CQ$1,[1]!BANCO10[[#This Row],[STATUS DA ETAPA]],"")</f>
        <v/>
      </c>
      <c r="CR559" s="21" t="str">
        <f>IF([1]!BANCO10[[#This Row],[SOLUÇÃO]]=CR$1,[1]!BANCO10[[#This Row],[STATUS DA ETAPA]],"")</f>
        <v/>
      </c>
      <c r="CS559" s="21" t="str">
        <f>IF([1]!BANCO10[[#This Row],[SOLUÇÃO]]=CS$1,[1]!BANCO10[[#This Row],[STATUS DA ETAPA]],"")</f>
        <v/>
      </c>
      <c r="CT559" s="21" t="str">
        <f>IF([1]!BANCO10[[#This Row],[SOLUÇÃO]]=CT$1,[1]!BANCO10[[#This Row],[STATUS DA ETAPA]],"")</f>
        <v/>
      </c>
      <c r="CU559" s="21" t="str">
        <f>IF([1]!BANCO10[[#This Row],[SOLUÇÃO]]=CU$1,[1]!BANCO10[[#This Row],[STATUS DA ETAPA]],"")</f>
        <v/>
      </c>
      <c r="CV559" s="21" t="str">
        <f>IF([1]!BANCO10[[#This Row],[SOLUÇÃO]]=CV$1,[1]!BANCO10[[#This Row],[STATUS DA ETAPA]],"")</f>
        <v/>
      </c>
    </row>
    <row r="560" spans="1:100">
      <c r="A560" s="44" t="s">
        <v>1</v>
      </c>
      <c r="B560" s="44"/>
      <c r="C560" s="44" t="s">
        <v>1</v>
      </c>
      <c r="D560" s="44"/>
      <c r="E560" s="44" t="s">
        <v>1</v>
      </c>
      <c r="F560" s="44"/>
      <c r="G560" s="44" t="s">
        <v>1</v>
      </c>
      <c r="H560" s="44"/>
      <c r="I560" s="45" t="s">
        <v>1</v>
      </c>
      <c r="J560" s="46"/>
      <c r="K560" s="45" t="s">
        <v>1</v>
      </c>
      <c r="L560" s="33"/>
      <c r="M560" s="45" t="s">
        <v>1</v>
      </c>
      <c r="N560" s="33"/>
      <c r="O560" s="44" t="s">
        <v>1</v>
      </c>
      <c r="P560" s="44"/>
      <c r="Q560" s="44" t="s">
        <v>1</v>
      </c>
      <c r="R560" s="44"/>
      <c r="S560" s="44" t="s">
        <v>1</v>
      </c>
      <c r="T560" s="44"/>
      <c r="U560" s="44" t="s">
        <v>1</v>
      </c>
      <c r="V560" s="44"/>
      <c r="W560" s="44" t="s">
        <v>1</v>
      </c>
      <c r="X560" s="44"/>
      <c r="Y560" s="44" t="s">
        <v>1</v>
      </c>
      <c r="Z560" s="44"/>
      <c r="AA560" s="44" t="s">
        <v>1</v>
      </c>
      <c r="AB560" s="44"/>
      <c r="AC560" s="51">
        <v>45963</v>
      </c>
      <c r="AD560" s="50">
        <v>45963</v>
      </c>
      <c r="AE560" s="40" t="s">
        <v>1</v>
      </c>
      <c r="AF560" s="40" t="s">
        <v>1</v>
      </c>
      <c r="AG560" s="40" t="s">
        <v>1</v>
      </c>
      <c r="AH560" s="36" t="s">
        <v>1</v>
      </c>
      <c r="AI560" s="49">
        <v>0</v>
      </c>
      <c r="AJ560" s="36" t="s">
        <v>1</v>
      </c>
      <c r="AK560" s="10" t="s">
        <v>1</v>
      </c>
      <c r="AL560" s="36" t="s">
        <v>1</v>
      </c>
      <c r="AM560" s="36" t="s">
        <v>1</v>
      </c>
      <c r="AN560" s="35" t="s">
        <v>1</v>
      </c>
      <c r="AO560" s="35" t="s">
        <v>1</v>
      </c>
      <c r="AP560" s="35" t="s">
        <v>1</v>
      </c>
      <c r="AQ560" s="35" t="s">
        <v>1</v>
      </c>
      <c r="AR560" s="34" t="s">
        <v>1</v>
      </c>
      <c r="AS560" s="63"/>
      <c r="AT560" s="32" t="s">
        <v>1</v>
      </c>
      <c r="AU560" s="31"/>
      <c r="AV560" s="32" t="s">
        <v>1</v>
      </c>
      <c r="AW560" s="31"/>
      <c r="AX560" s="32" t="s">
        <v>1</v>
      </c>
      <c r="AY560" s="31"/>
      <c r="AZ560" s="32" t="s">
        <v>1</v>
      </c>
      <c r="BA560" s="31"/>
      <c r="BB560" s="39" t="s">
        <v>329</v>
      </c>
      <c r="BC560" s="25"/>
      <c r="BD560" s="24" t="s">
        <v>11</v>
      </c>
      <c r="BE560" s="24" t="s">
        <v>11</v>
      </c>
      <c r="BF560" s="79" t="s">
        <v>11</v>
      </c>
      <c r="BG560" s="79" t="s">
        <v>11</v>
      </c>
      <c r="BH560" s="80" t="s">
        <v>11</v>
      </c>
      <c r="BI560" s="79"/>
      <c r="BJ560" s="54" t="s">
        <v>11</v>
      </c>
      <c r="BK560" s="78" t="s">
        <v>11</v>
      </c>
      <c r="BL560" s="69" t="s">
        <v>11</v>
      </c>
      <c r="BM560" s="78" t="s">
        <v>11</v>
      </c>
      <c r="BN560" s="78" t="s">
        <v>11</v>
      </c>
      <c r="BO560" s="78" t="s">
        <v>11</v>
      </c>
      <c r="BP560" s="78" t="s">
        <v>330</v>
      </c>
      <c r="BQ560" s="21">
        <f>YEAR([1]!BANCO10[[#This Row],[DATA INÍCIO]])</f>
        <v>2025</v>
      </c>
      <c r="BR560" s="21">
        <f>MONTH([1]!BANCO10[[#This Row],[DATA INÍCIO]])</f>
        <v>11</v>
      </c>
      <c r="BS560" s="21" t="e">
        <f>CONCATENATE(#REF!,#REF!)</f>
        <v>#REF!</v>
      </c>
      <c r="BT560" s="21"/>
      <c r="BU560" s="21" t="s">
        <v>1</v>
      </c>
      <c r="BV560" s="21" t="str">
        <f>IF([1]!BANCO10[[#This Row],[SOLUÇÃO]]=BV$1,[1]!BANCO10[[#This Row],[STATUS DA ETAPA]],"")</f>
        <v/>
      </c>
      <c r="BW560" s="21" t="str">
        <f>IF([1]!BANCO10[[#This Row],[SOLUÇÃO]]=BW$1,[1]!BANCO10[[#This Row],[STATUS DA ETAPA]],"")</f>
        <v/>
      </c>
      <c r="BX560" s="21" t="str">
        <f>IF([1]!BANCO10[[#This Row],[SOLUÇÃO]]=BX$1,[1]!BANCO10[[#This Row],[STATUS DA ETAPA]],"")</f>
        <v/>
      </c>
      <c r="BY560" s="21" t="str">
        <f>IF([1]!BANCO10[[#This Row],[SOLUÇÃO]]=BY$1,[1]!BANCO10[[#This Row],[STATUS DA ETAPA]],"")</f>
        <v/>
      </c>
      <c r="BZ560" s="21" t="str">
        <f>IF([1]!BANCO10[[#This Row],[SOLUÇÃO]]=BZ$1,[1]!BANCO10[[#This Row],[STATUS DA ETAPA]],"")</f>
        <v/>
      </c>
      <c r="CA560" s="21" t="str">
        <f>IF([1]!BANCO10[[#This Row],[SOLUÇÃO]]=CA$1,[1]!BANCO10[[#This Row],[STATUS DA ETAPA]],"")</f>
        <v>CANCELADO</v>
      </c>
      <c r="CB560" s="21" t="str">
        <f>IF([1]!BANCO10[[#This Row],[SOLUÇÃO]]=CB$1,[1]!BANCO10[[#This Row],[STATUS DA ETAPA]],"")</f>
        <v/>
      </c>
      <c r="CC560" s="21" t="str">
        <f>IF([1]!BANCO10[[#This Row],[SOLUÇÃO]]=CC$1,[1]!BANCO10[[#This Row],[STATUS DA ETAPA]],"")</f>
        <v/>
      </c>
      <c r="CD560" s="21" t="str">
        <f>IF([1]!BANCO10[[#This Row],[SOLUÇÃO]]=CD$1,[1]!BANCO10[[#This Row],[STATUS DA ETAPA]],"")</f>
        <v/>
      </c>
      <c r="CE560" s="21" t="str">
        <f>IF([1]!BANCO10[[#This Row],[SOLUÇÃO]]=CE$1,[1]!BANCO10[[#This Row],[STATUS DA ETAPA]],"")</f>
        <v/>
      </c>
      <c r="CF560" s="21" t="str">
        <f>IF([1]!BANCO10[[#This Row],[SOLUÇÃO]]=CF$1,[1]!BANCO10[[#This Row],[STATUS DA ETAPA]],"")</f>
        <v/>
      </c>
      <c r="CG560" s="21" t="str">
        <f>IF([1]!BANCO10[[#This Row],[SOLUÇÃO]]=CG$1,[1]!BANCO10[[#This Row],[STATUS DA ETAPA]],"")</f>
        <v/>
      </c>
      <c r="CH560" s="21" t="str">
        <f>IF([1]!BANCO10[[#This Row],[SOLUÇÃO]]=CH$1,[1]!BANCO10[[#This Row],[STATUS DA ETAPA]],"")</f>
        <v/>
      </c>
      <c r="CI560" s="21" t="str">
        <f>IF([1]!BANCO10[[#This Row],[SOLUÇÃO]]=CI$1,[1]!BANCO10[[#This Row],[STATUS DA ETAPA]],"")</f>
        <v/>
      </c>
      <c r="CJ560" s="21" t="str">
        <f>IF([1]!BANCO10[[#This Row],[SOLUÇÃO]]=CJ$1,[1]!BANCO10[[#This Row],[STATUS DA ETAPA]],"")</f>
        <v/>
      </c>
      <c r="CK560" s="21" t="str">
        <f>IF([1]!BANCO10[[#This Row],[SOLUÇÃO]]=CK$1,[1]!BANCO10[[#This Row],[STATUS DA ETAPA]],"")</f>
        <v/>
      </c>
      <c r="CL560" s="22" t="str">
        <f>IF([1]!BANCO10[[#This Row],[SOLUÇÃO]]=CL$1,[1]!BANCO10[[#This Row],[STATUS DA ETAPA]],"")</f>
        <v/>
      </c>
      <c r="CM560" s="64" t="str">
        <f>IF([1]!BANCO10[[#This Row],[SOLUÇÃO]]=CM$1,[1]!BANCO10[[#This Row],[STATUS DA ETAPA]],"")</f>
        <v/>
      </c>
      <c r="CN560" s="64" t="str">
        <f>IF([1]!BANCO10[[#This Row],[SOLUÇÃO]]=CN$1,[1]!BANCO10[[#This Row],[STATUS DA ETAPA]],"")</f>
        <v/>
      </c>
      <c r="CO560" s="64" t="str">
        <f>IF([1]!BANCO10[[#This Row],[SOLUÇÃO]]=CO$1,[1]!BANCO10[[#This Row],[STATUS DA ETAPA]],"")</f>
        <v/>
      </c>
      <c r="CP560" s="64" t="str">
        <f>IF([1]!BANCO10[[#This Row],[SOLUÇÃO]]=CP$1,[1]!BANCO10[[#This Row],[STATUS DA ETAPA]],"")</f>
        <v/>
      </c>
      <c r="CQ560" s="64" t="str">
        <f>IF([1]!BANCO10[[#This Row],[SOLUÇÃO]]=CQ$1,[1]!BANCO10[[#This Row],[STATUS DA ETAPA]],"")</f>
        <v/>
      </c>
      <c r="CR560" s="64" t="str">
        <f>IF([1]!BANCO10[[#This Row],[SOLUÇÃO]]=CR$1,[1]!BANCO10[[#This Row],[STATUS DA ETAPA]],"")</f>
        <v/>
      </c>
      <c r="CS560" s="64" t="str">
        <f>IF([1]!BANCO10[[#This Row],[SOLUÇÃO]]=CS$1,[1]!BANCO10[[#This Row],[STATUS DA ETAPA]],"")</f>
        <v/>
      </c>
      <c r="CT560" s="64" t="str">
        <f>IF([1]!BANCO10[[#This Row],[SOLUÇÃO]]=CT$1,[1]!BANCO10[[#This Row],[STATUS DA ETAPA]],"")</f>
        <v/>
      </c>
      <c r="CU560" s="64" t="str">
        <f>IF([1]!BANCO10[[#This Row],[SOLUÇÃO]]=CU$1,[1]!BANCO10[[#This Row],[STATUS DA ETAPA]],"")</f>
        <v/>
      </c>
      <c r="CV560" s="64" t="str">
        <f>IF([1]!BANCO10[[#This Row],[SOLUÇÃO]]=CV$1,[1]!BANCO10[[#This Row],[STATUS DA ETAPA]],"")</f>
        <v/>
      </c>
    </row>
    <row r="561" spans="1:100">
      <c r="A561" s="44" t="s">
        <v>1</v>
      </c>
      <c r="B561" s="44"/>
      <c r="C561" s="44" t="s">
        <v>1</v>
      </c>
      <c r="D561" s="44"/>
      <c r="E561" s="44" t="s">
        <v>1</v>
      </c>
      <c r="F561" s="44"/>
      <c r="G561" s="44" t="s">
        <v>1</v>
      </c>
      <c r="H561" s="44"/>
      <c r="I561" s="45" t="s">
        <v>1</v>
      </c>
      <c r="J561" s="46"/>
      <c r="K561" s="45" t="s">
        <v>1</v>
      </c>
      <c r="L561" s="33"/>
      <c r="M561" s="45" t="s">
        <v>1</v>
      </c>
      <c r="N561" s="33"/>
      <c r="O561" s="44" t="s">
        <v>2</v>
      </c>
      <c r="P561" s="44">
        <v>44888</v>
      </c>
      <c r="Q561" s="44" t="s">
        <v>0</v>
      </c>
      <c r="R561" s="44"/>
      <c r="S561" s="44" t="s">
        <v>1</v>
      </c>
      <c r="T561" s="44"/>
      <c r="U561" s="44" t="s">
        <v>1</v>
      </c>
      <c r="V561" s="44"/>
      <c r="W561" s="44" t="s">
        <v>1</v>
      </c>
      <c r="X561" s="44"/>
      <c r="Y561" s="44" t="s">
        <v>1</v>
      </c>
      <c r="Z561" s="44"/>
      <c r="AA561" s="44" t="s">
        <v>1</v>
      </c>
      <c r="AB561" s="44"/>
      <c r="AC561" s="51">
        <v>44888</v>
      </c>
      <c r="AD561" s="51">
        <v>44888</v>
      </c>
      <c r="AE561" s="40" t="s">
        <v>1</v>
      </c>
      <c r="AF561" s="40" t="s">
        <v>1</v>
      </c>
      <c r="AG561" s="40" t="s">
        <v>5</v>
      </c>
      <c r="AH561" s="36" t="s">
        <v>1</v>
      </c>
      <c r="AI561" s="49">
        <v>0</v>
      </c>
      <c r="AJ561" s="36" t="s">
        <v>1</v>
      </c>
      <c r="AK561" s="10" t="s">
        <v>1</v>
      </c>
      <c r="AL561" s="36" t="s">
        <v>1</v>
      </c>
      <c r="AM561" s="36" t="s">
        <v>1</v>
      </c>
      <c r="AN561" s="35" t="s">
        <v>1</v>
      </c>
      <c r="AO561" s="35" t="s">
        <v>1</v>
      </c>
      <c r="AP561" s="35" t="s">
        <v>1</v>
      </c>
      <c r="AQ561" s="35" t="s">
        <v>1</v>
      </c>
      <c r="AR561" s="82" t="s">
        <v>1</v>
      </c>
      <c r="AS561" s="33"/>
      <c r="AT561" s="30"/>
      <c r="AU561" s="31"/>
      <c r="AV561" s="30"/>
      <c r="AW561" s="31"/>
      <c r="AX561" s="30" t="s">
        <v>1</v>
      </c>
      <c r="AY561" s="31"/>
      <c r="AZ561" s="30" t="s">
        <v>1</v>
      </c>
      <c r="BA561" s="55"/>
      <c r="BB561" s="39" t="s">
        <v>329</v>
      </c>
      <c r="BC561" s="25"/>
      <c r="BD561" s="24" t="s">
        <v>11</v>
      </c>
      <c r="BE561" s="24" t="s">
        <v>11</v>
      </c>
      <c r="BF561" s="79" t="s">
        <v>11</v>
      </c>
      <c r="BG561" s="79" t="s">
        <v>11</v>
      </c>
      <c r="BH561" s="80" t="s">
        <v>11</v>
      </c>
      <c r="BI561" s="79"/>
      <c r="BJ561" s="54" t="s">
        <v>11</v>
      </c>
      <c r="BK561" s="78" t="s">
        <v>11</v>
      </c>
      <c r="BL561" s="69" t="s">
        <v>11</v>
      </c>
      <c r="BM561" s="78" t="s">
        <v>11</v>
      </c>
      <c r="BN561" s="78" t="s">
        <v>11</v>
      </c>
      <c r="BO561" s="78" t="s">
        <v>11</v>
      </c>
      <c r="BP561" s="78" t="s">
        <v>11</v>
      </c>
      <c r="BQ561" s="21">
        <f>YEAR([1]!BANCO10[[#This Row],[DATA INÍCIO]])</f>
        <v>2022</v>
      </c>
      <c r="BR561" s="21">
        <f>MONTH([1]!BANCO10[[#This Row],[DATA INÍCIO]])</f>
        <v>11</v>
      </c>
      <c r="BS561" s="21" t="e">
        <f>CONCATENATE(#REF!,#REF!)</f>
        <v>#REF!</v>
      </c>
      <c r="BT561" s="21"/>
      <c r="BU561" s="21" t="s">
        <v>328</v>
      </c>
      <c r="BV561" s="21" t="str">
        <f>IF([1]!BANCO10[[#This Row],[SOLUÇÃO]]=BV$1,[1]!BANCO10[[#This Row],[STATUS DA ETAPA]],"")</f>
        <v>CONCLUÍDO</v>
      </c>
      <c r="BW561" s="21" t="str">
        <f>IF([1]!BANCO10[[#This Row],[SOLUÇÃO]]=BW$1,[1]!BANCO10[[#This Row],[STATUS DA ETAPA]],"")</f>
        <v/>
      </c>
      <c r="BX561" s="21" t="str">
        <f>IF([1]!BANCO10[[#This Row],[SOLUÇÃO]]=BX$1,[1]!BANCO10[[#This Row],[STATUS DA ETAPA]],"")</f>
        <v/>
      </c>
      <c r="BY561" s="21" t="str">
        <f>IF([1]!BANCO10[[#This Row],[SOLUÇÃO]]=BY$1,[1]!BANCO10[[#This Row],[STATUS DA ETAPA]],"")</f>
        <v/>
      </c>
      <c r="BZ561" s="21" t="str">
        <f>IF([1]!BANCO10[[#This Row],[SOLUÇÃO]]=BZ$1,[1]!BANCO10[[#This Row],[STATUS DA ETAPA]],"")</f>
        <v/>
      </c>
      <c r="CA561" s="21" t="str">
        <f>IF([1]!BANCO10[[#This Row],[SOLUÇÃO]]=CA$1,[1]!BANCO10[[#This Row],[STATUS DA ETAPA]],"")</f>
        <v/>
      </c>
      <c r="CB561" s="21" t="str">
        <f>IF([1]!BANCO10[[#This Row],[SOLUÇÃO]]=CB$1,[1]!BANCO10[[#This Row],[STATUS DA ETAPA]],"")</f>
        <v/>
      </c>
      <c r="CC561" s="21" t="str">
        <f>IF([1]!BANCO10[[#This Row],[SOLUÇÃO]]=CC$1,[1]!BANCO10[[#This Row],[STATUS DA ETAPA]],"")</f>
        <v/>
      </c>
      <c r="CD561" s="21" t="str">
        <f>IF([1]!BANCO10[[#This Row],[SOLUÇÃO]]=CD$1,[1]!BANCO10[[#This Row],[STATUS DA ETAPA]],"")</f>
        <v/>
      </c>
      <c r="CE561" s="21" t="str">
        <f>IF([1]!BANCO10[[#This Row],[SOLUÇÃO]]=CE$1,[1]!BANCO10[[#This Row],[STATUS DA ETAPA]],"")</f>
        <v/>
      </c>
      <c r="CF561" s="21" t="str">
        <f>IF([1]!BANCO10[[#This Row],[SOLUÇÃO]]=CF$1,[1]!BANCO10[[#This Row],[STATUS DA ETAPA]],"")</f>
        <v/>
      </c>
      <c r="CG561" s="21" t="str">
        <f>IF([1]!BANCO10[[#This Row],[SOLUÇÃO]]=CG$1,[1]!BANCO10[[#This Row],[STATUS DA ETAPA]],"")</f>
        <v/>
      </c>
      <c r="CH561" s="21" t="str">
        <f>IF([1]!BANCO10[[#This Row],[SOLUÇÃO]]=CH$1,[1]!BANCO10[[#This Row],[STATUS DA ETAPA]],"")</f>
        <v/>
      </c>
      <c r="CI561" s="21" t="str">
        <f>IF([1]!BANCO10[[#This Row],[SOLUÇÃO]]=CI$1,[1]!BANCO10[[#This Row],[STATUS DA ETAPA]],"")</f>
        <v/>
      </c>
      <c r="CJ561" s="21" t="str">
        <f>IF([1]!BANCO10[[#This Row],[SOLUÇÃO]]=CJ$1,[1]!BANCO10[[#This Row],[STATUS DA ETAPA]],"")</f>
        <v/>
      </c>
      <c r="CK561" s="21" t="str">
        <f>IF([1]!BANCO10[[#This Row],[SOLUÇÃO]]=CK$1,[1]!BANCO10[[#This Row],[STATUS DA ETAPA]],"")</f>
        <v/>
      </c>
      <c r="CL561" s="22" t="str">
        <f>IF([1]!BANCO10[[#This Row],[SOLUÇÃO]]=CL$1,[1]!BANCO10[[#This Row],[STATUS DA ETAPA]],"")</f>
        <v/>
      </c>
      <c r="CM561" s="64" t="str">
        <f>IF([1]!BANCO10[[#This Row],[SOLUÇÃO]]=CM$1,[1]!BANCO10[[#This Row],[STATUS DA ETAPA]],"")</f>
        <v/>
      </c>
      <c r="CN561" s="64" t="str">
        <f>IF([1]!BANCO10[[#This Row],[SOLUÇÃO]]=CN$1,[1]!BANCO10[[#This Row],[STATUS DA ETAPA]],"")</f>
        <v/>
      </c>
      <c r="CO561" s="64" t="str">
        <f>IF([1]!BANCO10[[#This Row],[SOLUÇÃO]]=CO$1,[1]!BANCO10[[#This Row],[STATUS DA ETAPA]],"")</f>
        <v/>
      </c>
      <c r="CP561" s="64" t="str">
        <f>IF([1]!BANCO10[[#This Row],[SOLUÇÃO]]=CP$1,[1]!BANCO10[[#This Row],[STATUS DA ETAPA]],"")</f>
        <v/>
      </c>
      <c r="CQ561" s="64" t="str">
        <f>IF([1]!BANCO10[[#This Row],[SOLUÇÃO]]=CQ$1,[1]!BANCO10[[#This Row],[STATUS DA ETAPA]],"")</f>
        <v/>
      </c>
      <c r="CR561" s="64" t="str">
        <f>IF([1]!BANCO10[[#This Row],[SOLUÇÃO]]=CR$1,[1]!BANCO10[[#This Row],[STATUS DA ETAPA]],"")</f>
        <v/>
      </c>
      <c r="CS561" s="64" t="str">
        <f>IF([1]!BANCO10[[#This Row],[SOLUÇÃO]]=CS$1,[1]!BANCO10[[#This Row],[STATUS DA ETAPA]],"")</f>
        <v/>
      </c>
      <c r="CT561" s="64" t="str">
        <f>IF([1]!BANCO10[[#This Row],[SOLUÇÃO]]=CT$1,[1]!BANCO10[[#This Row],[STATUS DA ETAPA]],"")</f>
        <v/>
      </c>
      <c r="CU561" s="64" t="str">
        <f>IF([1]!BANCO10[[#This Row],[SOLUÇÃO]]=CU$1,[1]!BANCO10[[#This Row],[STATUS DA ETAPA]],"")</f>
        <v/>
      </c>
      <c r="CV561" s="64" t="str">
        <f>IF([1]!BANCO10[[#This Row],[SOLUÇÃO]]=CV$1,[1]!BANCO10[[#This Row],[STATUS DA ETAPA]],"")</f>
        <v/>
      </c>
    </row>
    <row r="562" spans="1:100">
      <c r="A562" s="44" t="s">
        <v>2</v>
      </c>
      <c r="B562" s="44">
        <v>45700</v>
      </c>
      <c r="C562" s="44" t="s">
        <v>2</v>
      </c>
      <c r="D562" s="44">
        <v>45701</v>
      </c>
      <c r="E562" s="44" t="s">
        <v>2</v>
      </c>
      <c r="F562" s="44">
        <v>45702</v>
      </c>
      <c r="G562" s="44" t="s">
        <v>2</v>
      </c>
      <c r="H562" s="44">
        <v>45702</v>
      </c>
      <c r="I562" s="45" t="s">
        <v>2</v>
      </c>
      <c r="J562" s="46">
        <v>45707</v>
      </c>
      <c r="K562" s="45" t="s">
        <v>2</v>
      </c>
      <c r="L562" s="33">
        <v>45694</v>
      </c>
      <c r="M562" s="45" t="s">
        <v>2</v>
      </c>
      <c r="N562" s="33">
        <v>45695</v>
      </c>
      <c r="O562" s="44" t="s">
        <v>1</v>
      </c>
      <c r="P562" s="44"/>
      <c r="Q562" s="44" t="s">
        <v>2</v>
      </c>
      <c r="R562" s="44"/>
      <c r="S562" s="44" t="s">
        <v>2</v>
      </c>
      <c r="T562" s="44">
        <v>45700</v>
      </c>
      <c r="U562" s="44" t="s">
        <v>1</v>
      </c>
      <c r="V562" s="44"/>
      <c r="W562" s="44" t="s">
        <v>1</v>
      </c>
      <c r="X562" s="44"/>
      <c r="Y562" s="44" t="s">
        <v>1</v>
      </c>
      <c r="Z562" s="44"/>
      <c r="AA562" s="44" t="s">
        <v>1</v>
      </c>
      <c r="AB562" s="44"/>
      <c r="AC562" s="51">
        <v>45776</v>
      </c>
      <c r="AD562" s="50">
        <v>45869</v>
      </c>
      <c r="AE562" s="41" t="s">
        <v>2</v>
      </c>
      <c r="AF562" s="41" t="s">
        <v>2</v>
      </c>
      <c r="AG562" s="40" t="s">
        <v>5</v>
      </c>
      <c r="AH562" s="36" t="s">
        <v>0</v>
      </c>
      <c r="AI562" s="49">
        <v>20140</v>
      </c>
      <c r="AJ562" s="36" t="s">
        <v>6</v>
      </c>
      <c r="AK562" s="10">
        <v>665284</v>
      </c>
      <c r="AL562" s="36" t="s">
        <v>1</v>
      </c>
      <c r="AM562" s="36" t="s">
        <v>1</v>
      </c>
      <c r="AN562" s="35" t="s">
        <v>2</v>
      </c>
      <c r="AO562" s="35" t="s">
        <v>2</v>
      </c>
      <c r="AP562" s="35" t="s">
        <v>2</v>
      </c>
      <c r="AQ562" s="35" t="s">
        <v>2</v>
      </c>
      <c r="AR562" s="34" t="s">
        <v>2</v>
      </c>
      <c r="AS562" s="33">
        <v>45818</v>
      </c>
      <c r="AT562" s="32" t="s">
        <v>1</v>
      </c>
      <c r="AU562" s="31"/>
      <c r="AV562" s="32" t="s">
        <v>1</v>
      </c>
      <c r="AW562" s="31"/>
      <c r="AX562" s="30" t="s">
        <v>2</v>
      </c>
      <c r="AY562" s="31">
        <v>45880</v>
      </c>
      <c r="AZ562" s="32" t="s">
        <v>0</v>
      </c>
      <c r="BA562" s="31"/>
      <c r="BB562" s="92" t="s">
        <v>68</v>
      </c>
      <c r="BC562" s="74">
        <v>0</v>
      </c>
      <c r="BD562" s="24"/>
      <c r="BE562" s="24"/>
      <c r="BF562" s="24"/>
      <c r="BG562" s="24"/>
      <c r="BH562" s="24"/>
      <c r="BI562" s="24"/>
      <c r="BJ562" s="24"/>
      <c r="BK562" s="24"/>
      <c r="BL562" s="24"/>
      <c r="BM562" s="24"/>
      <c r="BN562" s="24"/>
      <c r="BO562" s="24"/>
      <c r="BP562" s="24"/>
      <c r="BQ562" s="22">
        <f>YEAR([1]!BANCO10[[#This Row],[DATA INÍCIO]])</f>
        <v>2025</v>
      </c>
      <c r="BR562" s="22">
        <f>MONTH([1]!BANCO10[[#This Row],[DATA INÍCIO]])</f>
        <v>4</v>
      </c>
      <c r="BS562" s="23" t="e">
        <f>CONCATENATE(#REF!,#REF!)</f>
        <v>#REF!</v>
      </c>
      <c r="BT562" s="22"/>
      <c r="BU562" s="22"/>
      <c r="BV562" s="21" t="str">
        <f>IF([1]!BANCO10[[#This Row],[SOLUÇÃO]]=BV$1,[1]!BANCO10[[#This Row],[STATUS DA ETAPA]],"")</f>
        <v/>
      </c>
      <c r="BW562" s="21" t="str">
        <f>IF([1]!BANCO10[[#This Row],[SOLUÇÃO]]=BW$1,[1]!BANCO10[[#This Row],[STATUS DA ETAPA]],"")</f>
        <v/>
      </c>
      <c r="BX562" s="21" t="str">
        <f>IF([1]!BANCO10[[#This Row],[SOLUÇÃO]]=BX$1,[1]!BANCO10[[#This Row],[STATUS DA ETAPA]],"")</f>
        <v/>
      </c>
      <c r="BY562" s="21" t="str">
        <f>IF([1]!BANCO10[[#This Row],[SOLUÇÃO]]=BY$1,[1]!BANCO10[[#This Row],[STATUS DA ETAPA]],"")</f>
        <v/>
      </c>
      <c r="BZ562" s="21" t="str">
        <f>IF([1]!BANCO10[[#This Row],[SOLUÇÃO]]=BZ$1,[1]!BANCO10[[#This Row],[STATUS DA ETAPA]],"")</f>
        <v/>
      </c>
      <c r="CA562" s="21" t="str">
        <f>IF([1]!BANCO10[[#This Row],[SOLUÇÃO]]=CA$1,[1]!BANCO10[[#This Row],[STATUS DA ETAPA]],"")</f>
        <v/>
      </c>
      <c r="CB562" s="21" t="str">
        <f>IF([1]!BANCO10[[#This Row],[SOLUÇÃO]]=CB$1,[1]!BANCO10[[#This Row],[STATUS DA ETAPA]],"")</f>
        <v>CONCLUÍDO</v>
      </c>
      <c r="CC562" s="21" t="str">
        <f>IF([1]!BANCO10[[#This Row],[SOLUÇÃO]]=CC$1,[1]!BANCO10[[#This Row],[STATUS DA ETAPA]],"")</f>
        <v/>
      </c>
      <c r="CD562" s="21" t="str">
        <f>IF([1]!BANCO10[[#This Row],[SOLUÇÃO]]=CD$1,[1]!BANCO10[[#This Row],[STATUS DA ETAPA]],"")</f>
        <v/>
      </c>
      <c r="CE562" s="21" t="str">
        <f>IF([1]!BANCO10[[#This Row],[SOLUÇÃO]]=CE$1,[1]!BANCO10[[#This Row],[STATUS DA ETAPA]],"")</f>
        <v/>
      </c>
      <c r="CF562" s="21" t="str">
        <f>IF([1]!BANCO10[[#This Row],[SOLUÇÃO]]=CF$1,[1]!BANCO10[[#This Row],[STATUS DA ETAPA]],"")</f>
        <v/>
      </c>
      <c r="CG562" s="21" t="str">
        <f>IF([1]!BANCO10[[#This Row],[SOLUÇÃO]]=CG$1,[1]!BANCO10[[#This Row],[STATUS DA ETAPA]],"")</f>
        <v/>
      </c>
      <c r="CH562" s="21" t="str">
        <f>IF([1]!BANCO10[[#This Row],[SOLUÇÃO]]=CH$1,[1]!BANCO10[[#This Row],[STATUS DA ETAPA]],"")</f>
        <v/>
      </c>
      <c r="CI562" s="21" t="str">
        <f>IF([1]!BANCO10[[#This Row],[SOLUÇÃO]]=CI$1,[1]!BANCO10[[#This Row],[STATUS DA ETAPA]],"")</f>
        <v/>
      </c>
      <c r="CJ562" s="21" t="str">
        <f>IF([1]!BANCO10[[#This Row],[SOLUÇÃO]]=CJ$1,[1]!BANCO10[[#This Row],[STATUS DA ETAPA]],"")</f>
        <v/>
      </c>
      <c r="CK562" s="21" t="str">
        <f>IF([1]!BANCO10[[#This Row],[SOLUÇÃO]]=CK$1,[1]!BANCO10[[#This Row],[STATUS DA ETAPA]],"")</f>
        <v/>
      </c>
      <c r="CL562" s="21" t="str">
        <f>IF([1]!BANCO10[[#This Row],[SOLUÇÃO]]=CL$1,[1]!BANCO10[[#This Row],[STATUS DA ETAPA]],"")</f>
        <v/>
      </c>
      <c r="CM562" s="21" t="str">
        <f>IF([1]!BANCO10[[#This Row],[SOLUÇÃO]]=CM$1,[1]!BANCO10[[#This Row],[STATUS DA ETAPA]],"")</f>
        <v/>
      </c>
      <c r="CN562" s="21" t="str">
        <f>IF([1]!BANCO10[[#This Row],[SOLUÇÃO]]=CN$1,[1]!BANCO10[[#This Row],[STATUS DA ETAPA]],"")</f>
        <v/>
      </c>
      <c r="CO562" s="21" t="str">
        <f>IF([1]!BANCO10[[#This Row],[SOLUÇÃO]]=CO$1,[1]!BANCO10[[#This Row],[STATUS DA ETAPA]],"")</f>
        <v/>
      </c>
      <c r="CP562" s="21" t="str">
        <f>IF([1]!BANCO10[[#This Row],[SOLUÇÃO]]=CP$1,[1]!BANCO10[[#This Row],[STATUS DA ETAPA]],"")</f>
        <v/>
      </c>
      <c r="CQ562" s="21" t="str">
        <f>IF([1]!BANCO10[[#This Row],[SOLUÇÃO]]=CQ$1,[1]!BANCO10[[#This Row],[STATUS DA ETAPA]],"")</f>
        <v/>
      </c>
      <c r="CR562" s="21" t="str">
        <f>IF([1]!BANCO10[[#This Row],[SOLUÇÃO]]=CR$1,[1]!BANCO10[[#This Row],[STATUS DA ETAPA]],"")</f>
        <v/>
      </c>
      <c r="CS562" s="21" t="str">
        <f>IF([1]!BANCO10[[#This Row],[SOLUÇÃO]]=CS$1,[1]!BANCO10[[#This Row],[STATUS DA ETAPA]],"")</f>
        <v/>
      </c>
      <c r="CT562" s="21" t="str">
        <f>IF([1]!BANCO10[[#This Row],[SOLUÇÃO]]=CT$1,[1]!BANCO10[[#This Row],[STATUS DA ETAPA]],"")</f>
        <v/>
      </c>
      <c r="CU562" s="21" t="str">
        <f>IF([1]!BANCO10[[#This Row],[SOLUÇÃO]]=CU$1,[1]!BANCO10[[#This Row],[STATUS DA ETAPA]],"")</f>
        <v/>
      </c>
      <c r="CV562" s="21" t="str">
        <f>IF([1]!BANCO10[[#This Row],[SOLUÇÃO]]=CV$1,[1]!BANCO10[[#This Row],[STATUS DA ETAPA]],"")</f>
        <v/>
      </c>
    </row>
    <row r="563" spans="1:100">
      <c r="A563" s="44" t="s">
        <v>1</v>
      </c>
      <c r="B563" s="44"/>
      <c r="C563" s="44" t="s">
        <v>1</v>
      </c>
      <c r="D563" s="44"/>
      <c r="E563" s="44" t="s">
        <v>1</v>
      </c>
      <c r="F563" s="44"/>
      <c r="G563" s="44" t="s">
        <v>1</v>
      </c>
      <c r="H563" s="44"/>
      <c r="I563" s="45" t="s">
        <v>1</v>
      </c>
      <c r="J563" s="46"/>
      <c r="K563" s="45" t="s">
        <v>1</v>
      </c>
      <c r="L563" s="33"/>
      <c r="M563" s="45" t="s">
        <v>1</v>
      </c>
      <c r="N563" s="33"/>
      <c r="O563" s="44" t="s">
        <v>2</v>
      </c>
      <c r="P563" s="44">
        <v>45310</v>
      </c>
      <c r="Q563" s="44" t="s">
        <v>1</v>
      </c>
      <c r="R563" s="44"/>
      <c r="S563" s="44" t="s">
        <v>1</v>
      </c>
      <c r="T563" s="44"/>
      <c r="U563" s="44" t="s">
        <v>1</v>
      </c>
      <c r="V563" s="44"/>
      <c r="W563" s="44" t="s">
        <v>1</v>
      </c>
      <c r="X563" s="44"/>
      <c r="Y563" s="44" t="s">
        <v>1</v>
      </c>
      <c r="Z563" s="44"/>
      <c r="AA563" s="44" t="s">
        <v>2</v>
      </c>
      <c r="AB563" s="44"/>
      <c r="AC563" s="51">
        <v>45469</v>
      </c>
      <c r="AD563" s="50">
        <v>45642</v>
      </c>
      <c r="AE563" s="40" t="s">
        <v>2</v>
      </c>
      <c r="AF563" s="41" t="s">
        <v>2</v>
      </c>
      <c r="AG563" s="40" t="s">
        <v>4</v>
      </c>
      <c r="AH563" s="36" t="s">
        <v>0</v>
      </c>
      <c r="AI563" s="49">
        <v>0</v>
      </c>
      <c r="AJ563" s="36" t="s">
        <v>6</v>
      </c>
      <c r="AK563" s="10">
        <v>2946</v>
      </c>
      <c r="AL563" s="36">
        <v>4702</v>
      </c>
      <c r="AM563" s="36">
        <v>0</v>
      </c>
      <c r="AN563" s="35" t="s">
        <v>1</v>
      </c>
      <c r="AO563" s="35" t="s">
        <v>1</v>
      </c>
      <c r="AP563" s="35" t="s">
        <v>2</v>
      </c>
      <c r="AQ563" s="35" t="s">
        <v>1</v>
      </c>
      <c r="AR563" s="34" t="s">
        <v>1</v>
      </c>
      <c r="AS563" s="33"/>
      <c r="AT563" s="28"/>
      <c r="AU563" s="55"/>
      <c r="AV563" s="28"/>
      <c r="AW563" s="55"/>
      <c r="AX563" s="28" t="s">
        <v>2</v>
      </c>
      <c r="AY563" s="55">
        <v>45642</v>
      </c>
      <c r="AZ563" s="30" t="s">
        <v>0</v>
      </c>
      <c r="BA563" s="55"/>
      <c r="BB563" s="74" t="s">
        <v>181</v>
      </c>
      <c r="BC563" s="39" t="s">
        <v>31</v>
      </c>
      <c r="BD563" s="24"/>
      <c r="BE563" s="24"/>
      <c r="BF563" s="79"/>
      <c r="BG563" s="79"/>
      <c r="BH563" s="80"/>
      <c r="BI563" s="79"/>
      <c r="BJ563" s="54"/>
      <c r="BK563" s="78"/>
      <c r="BL563" s="69"/>
      <c r="BM563" s="78"/>
      <c r="BN563" s="78"/>
      <c r="BO563" s="78"/>
      <c r="BP563" s="78"/>
      <c r="BQ563" s="21">
        <f>YEAR([1]!BANCO10[[#This Row],[DATA INÍCIO]])</f>
        <v>2024</v>
      </c>
      <c r="BR563" s="21">
        <f>MONTH([1]!BANCO10[[#This Row],[DATA INÍCIO]])</f>
        <v>6</v>
      </c>
      <c r="BS563" s="21" t="e">
        <f>CONCATENATE(#REF!,#REF!)</f>
        <v>#REF!</v>
      </c>
      <c r="BT563" s="21"/>
      <c r="BU563" s="21" t="s">
        <v>327</v>
      </c>
      <c r="BV563" s="21" t="str">
        <f>IF([1]!BANCO10[[#This Row],[SOLUÇÃO]]=BV$1,[1]!BANCO10[[#This Row],[STATUS DA ETAPA]],"")</f>
        <v/>
      </c>
      <c r="BW563" s="21" t="str">
        <f>IF([1]!BANCO10[[#This Row],[SOLUÇÃO]]=BW$1,[1]!BANCO10[[#This Row],[STATUS DA ETAPA]],"")</f>
        <v/>
      </c>
      <c r="BX563" s="21" t="str">
        <f>IF([1]!BANCO10[[#This Row],[SOLUÇÃO]]=BX$1,[1]!BANCO10[[#This Row],[STATUS DA ETAPA]],"")</f>
        <v/>
      </c>
      <c r="BY563" s="21" t="str">
        <f>IF([1]!BANCO10[[#This Row],[SOLUÇÃO]]=BY$1,[1]!BANCO10[[#This Row],[STATUS DA ETAPA]],"")</f>
        <v/>
      </c>
      <c r="BZ563" s="21" t="str">
        <f>IF([1]!BANCO10[[#This Row],[SOLUÇÃO]]=BZ$1,[1]!BANCO10[[#This Row],[STATUS DA ETAPA]],"")</f>
        <v>CONCLUÍDO</v>
      </c>
      <c r="CA563" s="21" t="str">
        <f>IF([1]!BANCO10[[#This Row],[SOLUÇÃO]]=CA$1,[1]!BANCO10[[#This Row],[STATUS DA ETAPA]],"")</f>
        <v/>
      </c>
      <c r="CB563" s="21" t="str">
        <f>IF([1]!BANCO10[[#This Row],[SOLUÇÃO]]=CB$1,[1]!BANCO10[[#This Row],[STATUS DA ETAPA]],"")</f>
        <v/>
      </c>
      <c r="CC563" s="21" t="str">
        <f>IF([1]!BANCO10[[#This Row],[SOLUÇÃO]]=CC$1,[1]!BANCO10[[#This Row],[STATUS DA ETAPA]],"")</f>
        <v/>
      </c>
      <c r="CD563" s="21" t="str">
        <f>IF([1]!BANCO10[[#This Row],[SOLUÇÃO]]=CD$1,[1]!BANCO10[[#This Row],[STATUS DA ETAPA]],"")</f>
        <v/>
      </c>
      <c r="CE563" s="21" t="str">
        <f>IF([1]!BANCO10[[#This Row],[SOLUÇÃO]]=CE$1,[1]!BANCO10[[#This Row],[STATUS DA ETAPA]],"")</f>
        <v/>
      </c>
      <c r="CF563" s="21" t="str">
        <f>IF([1]!BANCO10[[#This Row],[SOLUÇÃO]]=CF$1,[1]!BANCO10[[#This Row],[STATUS DA ETAPA]],"")</f>
        <v/>
      </c>
      <c r="CG563" s="21" t="str">
        <f>IF([1]!BANCO10[[#This Row],[SOLUÇÃO]]=CG$1,[1]!BANCO10[[#This Row],[STATUS DA ETAPA]],"")</f>
        <v/>
      </c>
      <c r="CH563" s="21" t="str">
        <f>IF([1]!BANCO10[[#This Row],[SOLUÇÃO]]=CH$1,[1]!BANCO10[[#This Row],[STATUS DA ETAPA]],"")</f>
        <v/>
      </c>
      <c r="CI563" s="21" t="str">
        <f>IF([1]!BANCO10[[#This Row],[SOLUÇÃO]]=CI$1,[1]!BANCO10[[#This Row],[STATUS DA ETAPA]],"")</f>
        <v/>
      </c>
      <c r="CJ563" s="21" t="str">
        <f>IF([1]!BANCO10[[#This Row],[SOLUÇÃO]]=CJ$1,[1]!BANCO10[[#This Row],[STATUS DA ETAPA]],"")</f>
        <v/>
      </c>
      <c r="CK563" s="21" t="str">
        <f>IF([1]!BANCO10[[#This Row],[SOLUÇÃO]]=CK$1,[1]!BANCO10[[#This Row],[STATUS DA ETAPA]],"")</f>
        <v/>
      </c>
      <c r="CL563" s="22" t="str">
        <f>IF([1]!BANCO10[[#This Row],[SOLUÇÃO]]=CL$1,[1]!BANCO10[[#This Row],[STATUS DA ETAPA]],"")</f>
        <v/>
      </c>
      <c r="CM563" s="64" t="str">
        <f>IF([1]!BANCO10[[#This Row],[SOLUÇÃO]]=CM$1,[1]!BANCO10[[#This Row],[STATUS DA ETAPA]],"")</f>
        <v/>
      </c>
      <c r="CN563" s="64" t="str">
        <f>IF([1]!BANCO10[[#This Row],[SOLUÇÃO]]=CN$1,[1]!BANCO10[[#This Row],[STATUS DA ETAPA]],"")</f>
        <v/>
      </c>
      <c r="CO563" s="64" t="str">
        <f>IF([1]!BANCO10[[#This Row],[SOLUÇÃO]]=CO$1,[1]!BANCO10[[#This Row],[STATUS DA ETAPA]],"")</f>
        <v/>
      </c>
      <c r="CP563" s="64" t="str">
        <f>IF([1]!BANCO10[[#This Row],[SOLUÇÃO]]=CP$1,[1]!BANCO10[[#This Row],[STATUS DA ETAPA]],"")</f>
        <v/>
      </c>
      <c r="CQ563" s="64" t="str">
        <f>IF([1]!BANCO10[[#This Row],[SOLUÇÃO]]=CQ$1,[1]!BANCO10[[#This Row],[STATUS DA ETAPA]],"")</f>
        <v/>
      </c>
      <c r="CR563" s="64" t="str">
        <f>IF([1]!BANCO10[[#This Row],[SOLUÇÃO]]=CR$1,[1]!BANCO10[[#This Row],[STATUS DA ETAPA]],"")</f>
        <v/>
      </c>
      <c r="CS563" s="64" t="str">
        <f>IF([1]!BANCO10[[#This Row],[SOLUÇÃO]]=CS$1,[1]!BANCO10[[#This Row],[STATUS DA ETAPA]],"")</f>
        <v/>
      </c>
      <c r="CT563" s="64" t="str">
        <f>IF([1]!BANCO10[[#This Row],[SOLUÇÃO]]=CT$1,[1]!BANCO10[[#This Row],[STATUS DA ETAPA]],"")</f>
        <v/>
      </c>
      <c r="CU563" s="64" t="str">
        <f>IF([1]!BANCO10[[#This Row],[SOLUÇÃO]]=CU$1,[1]!BANCO10[[#This Row],[STATUS DA ETAPA]],"")</f>
        <v/>
      </c>
      <c r="CV563" s="64" t="str">
        <f>IF([1]!BANCO10[[#This Row],[SOLUÇÃO]]=CV$1,[1]!BANCO10[[#This Row],[STATUS DA ETAPA]],"")</f>
        <v/>
      </c>
    </row>
    <row r="564" spans="1:100">
      <c r="A564" s="44" t="s">
        <v>1</v>
      </c>
      <c r="B564" s="44"/>
      <c r="C564" s="44" t="s">
        <v>1</v>
      </c>
      <c r="D564" s="44"/>
      <c r="E564" s="44" t="s">
        <v>1</v>
      </c>
      <c r="F564" s="44"/>
      <c r="G564" s="44" t="s">
        <v>1</v>
      </c>
      <c r="H564" s="44"/>
      <c r="I564" s="45" t="s">
        <v>1</v>
      </c>
      <c r="J564" s="46"/>
      <c r="K564" s="45" t="s">
        <v>1</v>
      </c>
      <c r="L564" s="33"/>
      <c r="M564" s="45" t="s">
        <v>1</v>
      </c>
      <c r="N564" s="33"/>
      <c r="O564" s="44" t="s">
        <v>1</v>
      </c>
      <c r="P564" s="44"/>
      <c r="Q564" s="44" t="s">
        <v>1</v>
      </c>
      <c r="R564" s="44"/>
      <c r="S564" s="44" t="s">
        <v>1</v>
      </c>
      <c r="T564" s="44"/>
      <c r="U564" s="44" t="s">
        <v>1</v>
      </c>
      <c r="V564" s="44"/>
      <c r="W564" s="44" t="s">
        <v>1</v>
      </c>
      <c r="X564" s="44"/>
      <c r="Y564" s="44" t="s">
        <v>1</v>
      </c>
      <c r="Z564" s="44"/>
      <c r="AA564" s="44" t="s">
        <v>1</v>
      </c>
      <c r="AB564" s="44"/>
      <c r="AC564" s="51">
        <v>45413</v>
      </c>
      <c r="AD564" s="50">
        <v>45413</v>
      </c>
      <c r="AE564" s="40" t="s">
        <v>1</v>
      </c>
      <c r="AF564" s="40" t="s">
        <v>1</v>
      </c>
      <c r="AG564" s="76" t="s">
        <v>5</v>
      </c>
      <c r="AH564" s="36" t="s">
        <v>1</v>
      </c>
      <c r="AI564" s="49">
        <v>0</v>
      </c>
      <c r="AJ564" s="36" t="s">
        <v>1</v>
      </c>
      <c r="AK564" s="10" t="s">
        <v>1</v>
      </c>
      <c r="AL564" s="36" t="s">
        <v>1</v>
      </c>
      <c r="AM564" s="36" t="s">
        <v>1</v>
      </c>
      <c r="AN564" s="35" t="s">
        <v>1</v>
      </c>
      <c r="AO564" s="35" t="s">
        <v>1</v>
      </c>
      <c r="AP564" s="35" t="s">
        <v>1</v>
      </c>
      <c r="AQ564" s="35" t="s">
        <v>1</v>
      </c>
      <c r="AR564" s="82" t="s">
        <v>1</v>
      </c>
      <c r="AS564" s="33"/>
      <c r="AT564" s="30"/>
      <c r="AU564" s="55"/>
      <c r="AV564" s="30"/>
      <c r="AW564" s="55"/>
      <c r="AX564" s="30" t="s">
        <v>1</v>
      </c>
      <c r="AY564" s="55"/>
      <c r="AZ564" s="30" t="s">
        <v>1</v>
      </c>
      <c r="BA564" s="55"/>
      <c r="BB564" s="39"/>
      <c r="BC564" s="39"/>
      <c r="BD564" s="24"/>
      <c r="BE564" s="24"/>
      <c r="BF564" s="79"/>
      <c r="BG564" s="79"/>
      <c r="BH564" s="80"/>
      <c r="BI564" s="79"/>
      <c r="BJ564" s="54"/>
      <c r="BK564" s="78"/>
      <c r="BL564" s="69"/>
      <c r="BM564" s="78"/>
      <c r="BN564" s="78"/>
      <c r="BO564" s="78"/>
      <c r="BP564" s="78"/>
      <c r="BQ564" s="21">
        <f>YEAR([1]!BANCO10[[#This Row],[DATA INÍCIO]])</f>
        <v>2024</v>
      </c>
      <c r="BR564" s="21">
        <f>MONTH([1]!BANCO10[[#This Row],[DATA INÍCIO]])</f>
        <v>5</v>
      </c>
      <c r="BS564" s="21" t="e">
        <f>CONCATENATE(#REF!,#REF!)</f>
        <v>#REF!</v>
      </c>
      <c r="BT564" s="21"/>
      <c r="BU564" s="21">
        <v>0</v>
      </c>
      <c r="BV564" s="21" t="str">
        <f>IF([1]!BANCO10[[#This Row],[SOLUÇÃO]]=BV$1,[1]!BANCO10[[#This Row],[STATUS DA ETAPA]],"")</f>
        <v>CONCLUÍDO</v>
      </c>
      <c r="BW564" s="21" t="str">
        <f>IF([1]!BANCO10[[#This Row],[SOLUÇÃO]]=BW$1,[1]!BANCO10[[#This Row],[STATUS DA ETAPA]],"")</f>
        <v/>
      </c>
      <c r="BX564" s="21" t="str">
        <f>IF([1]!BANCO10[[#This Row],[SOLUÇÃO]]=BX$1,[1]!BANCO10[[#This Row],[STATUS DA ETAPA]],"")</f>
        <v/>
      </c>
      <c r="BY564" s="21" t="str">
        <f>IF([1]!BANCO10[[#This Row],[SOLUÇÃO]]=BY$1,[1]!BANCO10[[#This Row],[STATUS DA ETAPA]],"")</f>
        <v/>
      </c>
      <c r="BZ564" s="21" t="str">
        <f>IF([1]!BANCO10[[#This Row],[SOLUÇÃO]]=BZ$1,[1]!BANCO10[[#This Row],[STATUS DA ETAPA]],"")</f>
        <v/>
      </c>
      <c r="CA564" s="21" t="str">
        <f>IF([1]!BANCO10[[#This Row],[SOLUÇÃO]]=CA$1,[1]!BANCO10[[#This Row],[STATUS DA ETAPA]],"")</f>
        <v/>
      </c>
      <c r="CB564" s="21" t="str">
        <f>IF([1]!BANCO10[[#This Row],[SOLUÇÃO]]=CB$1,[1]!BANCO10[[#This Row],[STATUS DA ETAPA]],"")</f>
        <v/>
      </c>
      <c r="CC564" s="21" t="str">
        <f>IF([1]!BANCO10[[#This Row],[SOLUÇÃO]]=CC$1,[1]!BANCO10[[#This Row],[STATUS DA ETAPA]],"")</f>
        <v/>
      </c>
      <c r="CD564" s="21" t="str">
        <f>IF([1]!BANCO10[[#This Row],[SOLUÇÃO]]=CD$1,[1]!BANCO10[[#This Row],[STATUS DA ETAPA]],"")</f>
        <v/>
      </c>
      <c r="CE564" s="21" t="str">
        <f>IF([1]!BANCO10[[#This Row],[SOLUÇÃO]]=CE$1,[1]!BANCO10[[#This Row],[STATUS DA ETAPA]],"")</f>
        <v/>
      </c>
      <c r="CF564" s="21" t="str">
        <f>IF([1]!BANCO10[[#This Row],[SOLUÇÃO]]=CF$1,[1]!BANCO10[[#This Row],[STATUS DA ETAPA]],"")</f>
        <v/>
      </c>
      <c r="CG564" s="21" t="str">
        <f>IF([1]!BANCO10[[#This Row],[SOLUÇÃO]]=CG$1,[1]!BANCO10[[#This Row],[STATUS DA ETAPA]],"")</f>
        <v/>
      </c>
      <c r="CH564" s="21" t="str">
        <f>IF([1]!BANCO10[[#This Row],[SOLUÇÃO]]=CH$1,[1]!BANCO10[[#This Row],[STATUS DA ETAPA]],"")</f>
        <v/>
      </c>
      <c r="CI564" s="21" t="str">
        <f>IF([1]!BANCO10[[#This Row],[SOLUÇÃO]]=CI$1,[1]!BANCO10[[#This Row],[STATUS DA ETAPA]],"")</f>
        <v/>
      </c>
      <c r="CJ564" s="21" t="str">
        <f>IF([1]!BANCO10[[#This Row],[SOLUÇÃO]]=CJ$1,[1]!BANCO10[[#This Row],[STATUS DA ETAPA]],"")</f>
        <v/>
      </c>
      <c r="CK564" s="21" t="str">
        <f>IF([1]!BANCO10[[#This Row],[SOLUÇÃO]]=CK$1,[1]!BANCO10[[#This Row],[STATUS DA ETAPA]],"")</f>
        <v/>
      </c>
      <c r="CL564" s="22" t="str">
        <f>IF([1]!BANCO10[[#This Row],[SOLUÇÃO]]=CL$1,[1]!BANCO10[[#This Row],[STATUS DA ETAPA]],"")</f>
        <v/>
      </c>
      <c r="CM564" s="64" t="str">
        <f>IF([1]!BANCO10[[#This Row],[SOLUÇÃO]]=CM$1,[1]!BANCO10[[#This Row],[STATUS DA ETAPA]],"")</f>
        <v/>
      </c>
      <c r="CN564" s="64" t="str">
        <f>IF([1]!BANCO10[[#This Row],[SOLUÇÃO]]=CN$1,[1]!BANCO10[[#This Row],[STATUS DA ETAPA]],"")</f>
        <v/>
      </c>
      <c r="CO564" s="64" t="str">
        <f>IF([1]!BANCO10[[#This Row],[SOLUÇÃO]]=CO$1,[1]!BANCO10[[#This Row],[STATUS DA ETAPA]],"")</f>
        <v/>
      </c>
      <c r="CP564" s="64" t="str">
        <f>IF([1]!BANCO10[[#This Row],[SOLUÇÃO]]=CP$1,[1]!BANCO10[[#This Row],[STATUS DA ETAPA]],"")</f>
        <v/>
      </c>
      <c r="CQ564" s="64" t="str">
        <f>IF([1]!BANCO10[[#This Row],[SOLUÇÃO]]=CQ$1,[1]!BANCO10[[#This Row],[STATUS DA ETAPA]],"")</f>
        <v/>
      </c>
      <c r="CR564" s="64" t="str">
        <f>IF([1]!BANCO10[[#This Row],[SOLUÇÃO]]=CR$1,[1]!BANCO10[[#This Row],[STATUS DA ETAPA]],"")</f>
        <v/>
      </c>
      <c r="CS564" s="64" t="str">
        <f>IF([1]!BANCO10[[#This Row],[SOLUÇÃO]]=CS$1,[1]!BANCO10[[#This Row],[STATUS DA ETAPA]],"")</f>
        <v/>
      </c>
      <c r="CT564" s="64" t="str">
        <f>IF([1]!BANCO10[[#This Row],[SOLUÇÃO]]=CT$1,[1]!BANCO10[[#This Row],[STATUS DA ETAPA]],"")</f>
        <v/>
      </c>
      <c r="CU564" s="64" t="str">
        <f>IF([1]!BANCO10[[#This Row],[SOLUÇÃO]]=CU$1,[1]!BANCO10[[#This Row],[STATUS DA ETAPA]],"")</f>
        <v/>
      </c>
      <c r="CV564" s="64" t="str">
        <f>IF([1]!BANCO10[[#This Row],[SOLUÇÃO]]=CV$1,[1]!BANCO10[[#This Row],[STATUS DA ETAPA]],"")</f>
        <v/>
      </c>
    </row>
    <row r="565" spans="1:100">
      <c r="A565" s="44" t="s">
        <v>1</v>
      </c>
      <c r="B565" s="44"/>
      <c r="C565" s="44" t="s">
        <v>1</v>
      </c>
      <c r="D565" s="44"/>
      <c r="E565" s="44" t="s">
        <v>1</v>
      </c>
      <c r="F565" s="44"/>
      <c r="G565" s="44" t="s">
        <v>1</v>
      </c>
      <c r="H565" s="44"/>
      <c r="I565" s="45" t="s">
        <v>1</v>
      </c>
      <c r="J565" s="46"/>
      <c r="K565" s="45" t="s">
        <v>1</v>
      </c>
      <c r="L565" s="33"/>
      <c r="M565" s="45" t="s">
        <v>1</v>
      </c>
      <c r="N565" s="33"/>
      <c r="O565" s="44" t="s">
        <v>2</v>
      </c>
      <c r="P565" s="44">
        <v>45293</v>
      </c>
      <c r="Q565" s="44" t="s">
        <v>0</v>
      </c>
      <c r="R565" s="44"/>
      <c r="S565" s="44" t="s">
        <v>1</v>
      </c>
      <c r="T565" s="44"/>
      <c r="U565" s="44" t="s">
        <v>1</v>
      </c>
      <c r="V565" s="44"/>
      <c r="W565" s="44" t="s">
        <v>1</v>
      </c>
      <c r="X565" s="44"/>
      <c r="Y565" s="44" t="s">
        <v>1</v>
      </c>
      <c r="Z565" s="44"/>
      <c r="AA565" s="44" t="s">
        <v>1</v>
      </c>
      <c r="AB565" s="44"/>
      <c r="AC565" s="51">
        <v>44926</v>
      </c>
      <c r="AD565" s="50">
        <v>44926</v>
      </c>
      <c r="AE565" s="40" t="s">
        <v>1</v>
      </c>
      <c r="AF565" s="40" t="s">
        <v>1</v>
      </c>
      <c r="AG565" s="40" t="s">
        <v>5</v>
      </c>
      <c r="AH565" s="36" t="s">
        <v>1</v>
      </c>
      <c r="AI565" s="49">
        <v>0</v>
      </c>
      <c r="AJ565" s="36" t="s">
        <v>1</v>
      </c>
      <c r="AK565" s="10" t="s">
        <v>1</v>
      </c>
      <c r="AL565" s="36" t="s">
        <v>1</v>
      </c>
      <c r="AM565" s="36" t="s">
        <v>1</v>
      </c>
      <c r="AN565" s="35" t="s">
        <v>1</v>
      </c>
      <c r="AO565" s="35" t="s">
        <v>1</v>
      </c>
      <c r="AP565" s="35" t="s">
        <v>1</v>
      </c>
      <c r="AQ565" s="35" t="s">
        <v>1</v>
      </c>
      <c r="AR565" s="82" t="s">
        <v>1</v>
      </c>
      <c r="AS565" s="33"/>
      <c r="AT565" s="30"/>
      <c r="AU565" s="55"/>
      <c r="AV565" s="30"/>
      <c r="AW565" s="55"/>
      <c r="AX565" s="30" t="s">
        <v>1</v>
      </c>
      <c r="AY565" s="55"/>
      <c r="AZ565" s="30" t="s">
        <v>1</v>
      </c>
      <c r="BA565" s="66"/>
      <c r="BB565" s="39"/>
      <c r="BC565" s="25"/>
      <c r="BD565" s="24" t="s">
        <v>11</v>
      </c>
      <c r="BE565" s="24" t="s">
        <v>11</v>
      </c>
      <c r="BF565" s="79" t="s">
        <v>21</v>
      </c>
      <c r="BG565" s="79" t="s">
        <v>64</v>
      </c>
      <c r="BH565" s="80" t="s">
        <v>234</v>
      </c>
      <c r="BI565" s="79"/>
      <c r="BJ565" s="54" t="s">
        <v>11</v>
      </c>
      <c r="BK565" s="78" t="s">
        <v>11</v>
      </c>
      <c r="BL565" s="69" t="s">
        <v>11</v>
      </c>
      <c r="BM565" s="78" t="s">
        <v>11</v>
      </c>
      <c r="BN565" s="78" t="s">
        <v>11</v>
      </c>
      <c r="BO565" s="78" t="s">
        <v>11</v>
      </c>
      <c r="BP565" s="78" t="s">
        <v>11</v>
      </c>
      <c r="BQ565" s="21">
        <f>YEAR([1]!BANCO10[[#This Row],[DATA INÍCIO]])</f>
        <v>2022</v>
      </c>
      <c r="BR565" s="21">
        <f>MONTH([1]!BANCO10[[#This Row],[DATA INÍCIO]])</f>
        <v>12</v>
      </c>
      <c r="BS565" s="21" t="e">
        <f>CONCATENATE(#REF!,#REF!)</f>
        <v>#REF!</v>
      </c>
      <c r="BT565" s="21"/>
      <c r="BU565" s="21" t="s">
        <v>326</v>
      </c>
      <c r="BV565" s="21" t="str">
        <f>IF([1]!BANCO10[[#This Row],[SOLUÇÃO]]=BV$1,[1]!BANCO10[[#This Row],[STATUS DA ETAPA]],"")</f>
        <v>CONCLUÍDO</v>
      </c>
      <c r="BW565" s="21" t="str">
        <f>IF([1]!BANCO10[[#This Row],[SOLUÇÃO]]=BW$1,[1]!BANCO10[[#This Row],[STATUS DA ETAPA]],"")</f>
        <v/>
      </c>
      <c r="BX565" s="21" t="str">
        <f>IF([1]!BANCO10[[#This Row],[SOLUÇÃO]]=BX$1,[1]!BANCO10[[#This Row],[STATUS DA ETAPA]],"")</f>
        <v/>
      </c>
      <c r="BY565" s="21" t="str">
        <f>IF([1]!BANCO10[[#This Row],[SOLUÇÃO]]=BY$1,[1]!BANCO10[[#This Row],[STATUS DA ETAPA]],"")</f>
        <v/>
      </c>
      <c r="BZ565" s="21" t="str">
        <f>IF([1]!BANCO10[[#This Row],[SOLUÇÃO]]=BZ$1,[1]!BANCO10[[#This Row],[STATUS DA ETAPA]],"")</f>
        <v/>
      </c>
      <c r="CA565" s="21" t="str">
        <f>IF([1]!BANCO10[[#This Row],[SOLUÇÃO]]=CA$1,[1]!BANCO10[[#This Row],[STATUS DA ETAPA]],"")</f>
        <v/>
      </c>
      <c r="CB565" s="21" t="str">
        <f>IF([1]!BANCO10[[#This Row],[SOLUÇÃO]]=CB$1,[1]!BANCO10[[#This Row],[STATUS DA ETAPA]],"")</f>
        <v/>
      </c>
      <c r="CC565" s="21" t="str">
        <f>IF([1]!BANCO10[[#This Row],[SOLUÇÃO]]=CC$1,[1]!BANCO10[[#This Row],[STATUS DA ETAPA]],"")</f>
        <v/>
      </c>
      <c r="CD565" s="21" t="str">
        <f>IF([1]!BANCO10[[#This Row],[SOLUÇÃO]]=CD$1,[1]!BANCO10[[#This Row],[STATUS DA ETAPA]],"")</f>
        <v/>
      </c>
      <c r="CE565" s="21" t="str">
        <f>IF([1]!BANCO10[[#This Row],[SOLUÇÃO]]=CE$1,[1]!BANCO10[[#This Row],[STATUS DA ETAPA]],"")</f>
        <v/>
      </c>
      <c r="CF565" s="21" t="str">
        <f>IF([1]!BANCO10[[#This Row],[SOLUÇÃO]]=CF$1,[1]!BANCO10[[#This Row],[STATUS DA ETAPA]],"")</f>
        <v/>
      </c>
      <c r="CG565" s="21" t="str">
        <f>IF([1]!BANCO10[[#This Row],[SOLUÇÃO]]=CG$1,[1]!BANCO10[[#This Row],[STATUS DA ETAPA]],"")</f>
        <v/>
      </c>
      <c r="CH565" s="21" t="str">
        <f>IF([1]!BANCO10[[#This Row],[SOLUÇÃO]]=CH$1,[1]!BANCO10[[#This Row],[STATUS DA ETAPA]],"")</f>
        <v/>
      </c>
      <c r="CI565" s="21" t="str">
        <f>IF([1]!BANCO10[[#This Row],[SOLUÇÃO]]=CI$1,[1]!BANCO10[[#This Row],[STATUS DA ETAPA]],"")</f>
        <v/>
      </c>
      <c r="CJ565" s="21" t="str">
        <f>IF([1]!BANCO10[[#This Row],[SOLUÇÃO]]=CJ$1,[1]!BANCO10[[#This Row],[STATUS DA ETAPA]],"")</f>
        <v/>
      </c>
      <c r="CK565" s="21" t="str">
        <f>IF([1]!BANCO10[[#This Row],[SOLUÇÃO]]=CK$1,[1]!BANCO10[[#This Row],[STATUS DA ETAPA]],"")</f>
        <v/>
      </c>
      <c r="CL565" s="22" t="str">
        <f>IF([1]!BANCO10[[#This Row],[SOLUÇÃO]]=CL$1,[1]!BANCO10[[#This Row],[STATUS DA ETAPA]],"")</f>
        <v/>
      </c>
      <c r="CM565" s="64" t="str">
        <f>IF([1]!BANCO10[[#This Row],[SOLUÇÃO]]=CM$1,[1]!BANCO10[[#This Row],[STATUS DA ETAPA]],"")</f>
        <v/>
      </c>
      <c r="CN565" s="64" t="str">
        <f>IF([1]!BANCO10[[#This Row],[SOLUÇÃO]]=CN$1,[1]!BANCO10[[#This Row],[STATUS DA ETAPA]],"")</f>
        <v/>
      </c>
      <c r="CO565" s="64" t="str">
        <f>IF([1]!BANCO10[[#This Row],[SOLUÇÃO]]=CO$1,[1]!BANCO10[[#This Row],[STATUS DA ETAPA]],"")</f>
        <v/>
      </c>
      <c r="CP565" s="64" t="str">
        <f>IF([1]!BANCO10[[#This Row],[SOLUÇÃO]]=CP$1,[1]!BANCO10[[#This Row],[STATUS DA ETAPA]],"")</f>
        <v/>
      </c>
      <c r="CQ565" s="64" t="str">
        <f>IF([1]!BANCO10[[#This Row],[SOLUÇÃO]]=CQ$1,[1]!BANCO10[[#This Row],[STATUS DA ETAPA]],"")</f>
        <v/>
      </c>
      <c r="CR565" s="64" t="str">
        <f>IF([1]!BANCO10[[#This Row],[SOLUÇÃO]]=CR$1,[1]!BANCO10[[#This Row],[STATUS DA ETAPA]],"")</f>
        <v/>
      </c>
      <c r="CS565" s="64" t="str">
        <f>IF([1]!BANCO10[[#This Row],[SOLUÇÃO]]=CS$1,[1]!BANCO10[[#This Row],[STATUS DA ETAPA]],"")</f>
        <v/>
      </c>
      <c r="CT565" s="64" t="str">
        <f>IF([1]!BANCO10[[#This Row],[SOLUÇÃO]]=CT$1,[1]!BANCO10[[#This Row],[STATUS DA ETAPA]],"")</f>
        <v/>
      </c>
      <c r="CU565" s="64" t="str">
        <f>IF([1]!BANCO10[[#This Row],[SOLUÇÃO]]=CU$1,[1]!BANCO10[[#This Row],[STATUS DA ETAPA]],"")</f>
        <v/>
      </c>
      <c r="CV565" s="64" t="str">
        <f>IF([1]!BANCO10[[#This Row],[SOLUÇÃO]]=CV$1,[1]!BANCO10[[#This Row],[STATUS DA ETAPA]],"")</f>
        <v/>
      </c>
    </row>
    <row r="566" spans="1:100">
      <c r="A566" s="44" t="s">
        <v>1</v>
      </c>
      <c r="B566" s="44"/>
      <c r="C566" s="44" t="s">
        <v>1</v>
      </c>
      <c r="D566" s="44"/>
      <c r="E566" s="44" t="s">
        <v>1</v>
      </c>
      <c r="F566" s="44"/>
      <c r="G566" s="44" t="s">
        <v>1</v>
      </c>
      <c r="H566" s="44"/>
      <c r="I566" s="45" t="s">
        <v>1</v>
      </c>
      <c r="J566" s="46"/>
      <c r="K566" s="45" t="s">
        <v>1</v>
      </c>
      <c r="L566" s="33"/>
      <c r="M566" s="45" t="s">
        <v>1</v>
      </c>
      <c r="N566" s="33"/>
      <c r="O566" s="44" t="s">
        <v>2</v>
      </c>
      <c r="P566" s="44">
        <v>45293</v>
      </c>
      <c r="Q566" s="44" t="s">
        <v>2</v>
      </c>
      <c r="R566" s="44">
        <v>44928</v>
      </c>
      <c r="S566" s="44" t="s">
        <v>1</v>
      </c>
      <c r="T566" s="44"/>
      <c r="U566" s="44" t="s">
        <v>1</v>
      </c>
      <c r="V566" s="44"/>
      <c r="W566" s="44" t="s">
        <v>2</v>
      </c>
      <c r="X566" s="44"/>
      <c r="Y566" s="44" t="s">
        <v>2</v>
      </c>
      <c r="Z566" s="44">
        <v>44926</v>
      </c>
      <c r="AA566" s="44" t="s">
        <v>2</v>
      </c>
      <c r="AB566" s="44"/>
      <c r="AC566" s="51">
        <v>44960</v>
      </c>
      <c r="AD566" s="50">
        <v>45061</v>
      </c>
      <c r="AE566" s="40" t="s">
        <v>2</v>
      </c>
      <c r="AF566" s="40" t="s">
        <v>2</v>
      </c>
      <c r="AG566" s="40" t="s">
        <v>5</v>
      </c>
      <c r="AH566" s="36" t="s">
        <v>0</v>
      </c>
      <c r="AI566" s="49">
        <v>0</v>
      </c>
      <c r="AJ566" s="36"/>
      <c r="AK566" s="10"/>
      <c r="AL566" s="36" t="s">
        <v>22</v>
      </c>
      <c r="AM566" s="36" t="s">
        <v>1</v>
      </c>
      <c r="AN566" s="35" t="s">
        <v>1</v>
      </c>
      <c r="AO566" s="35" t="s">
        <v>1</v>
      </c>
      <c r="AP566" s="35" t="s">
        <v>2</v>
      </c>
      <c r="AQ566" s="35" t="s">
        <v>1</v>
      </c>
      <c r="AR566" s="34" t="s">
        <v>1</v>
      </c>
      <c r="AS566" s="33"/>
      <c r="AT566" s="30"/>
      <c r="AU566" s="55"/>
      <c r="AV566" s="30"/>
      <c r="AW566" s="55"/>
      <c r="AX566" s="30" t="s">
        <v>2</v>
      </c>
      <c r="AY566" s="55">
        <v>45062</v>
      </c>
      <c r="AZ566" s="30" t="s">
        <v>2</v>
      </c>
      <c r="BA566" s="66"/>
      <c r="BB566" s="39"/>
      <c r="BC566" s="25"/>
      <c r="BD566" s="24" t="s">
        <v>11</v>
      </c>
      <c r="BE566" s="24" t="s">
        <v>11</v>
      </c>
      <c r="BF566" s="79" t="s">
        <v>21</v>
      </c>
      <c r="BG566" s="79" t="s">
        <v>64</v>
      </c>
      <c r="BH566" s="80" t="s">
        <v>234</v>
      </c>
      <c r="BI566" s="79"/>
      <c r="BJ566" s="54" t="s">
        <v>11</v>
      </c>
      <c r="BK566" s="78" t="s">
        <v>11</v>
      </c>
      <c r="BL566" s="69" t="s">
        <v>11</v>
      </c>
      <c r="BM566" s="78" t="s">
        <v>11</v>
      </c>
      <c r="BN566" s="78" t="s">
        <v>11</v>
      </c>
      <c r="BO566" s="78" t="s">
        <v>11</v>
      </c>
      <c r="BP566" s="78" t="s">
        <v>11</v>
      </c>
      <c r="BQ566" s="21">
        <f>YEAR([1]!BANCO10[[#This Row],[DATA INÍCIO]])</f>
        <v>2023</v>
      </c>
      <c r="BR566" s="21">
        <f>MONTH([1]!BANCO10[[#This Row],[DATA INÍCIO]])</f>
        <v>2</v>
      </c>
      <c r="BS566" s="21" t="e">
        <f>CONCATENATE(#REF!,#REF!)</f>
        <v>#REF!</v>
      </c>
      <c r="BT566" s="21"/>
      <c r="BU566" s="21" t="s">
        <v>325</v>
      </c>
      <c r="BV566" s="21" t="str">
        <f>IF([1]!BANCO10[[#This Row],[SOLUÇÃO]]=BV$1,[1]!BANCO10[[#This Row],[STATUS DA ETAPA]],"")</f>
        <v/>
      </c>
      <c r="BW566" s="21" t="str">
        <f>IF([1]!BANCO10[[#This Row],[SOLUÇÃO]]=BW$1,[1]!BANCO10[[#This Row],[STATUS DA ETAPA]],"")</f>
        <v/>
      </c>
      <c r="BX566" s="21" t="str">
        <f>IF([1]!BANCO10[[#This Row],[SOLUÇÃO]]=BX$1,[1]!BANCO10[[#This Row],[STATUS DA ETAPA]],"")</f>
        <v/>
      </c>
      <c r="BY566" s="21" t="str">
        <f>IF([1]!BANCO10[[#This Row],[SOLUÇÃO]]=BY$1,[1]!BANCO10[[#This Row],[STATUS DA ETAPA]],"")</f>
        <v/>
      </c>
      <c r="BZ566" s="21" t="str">
        <f>IF([1]!BANCO10[[#This Row],[SOLUÇÃO]]=BZ$1,[1]!BANCO10[[#This Row],[STATUS DA ETAPA]],"")</f>
        <v/>
      </c>
      <c r="CA566" s="21" t="str">
        <f>IF([1]!BANCO10[[#This Row],[SOLUÇÃO]]=CA$1,[1]!BANCO10[[#This Row],[STATUS DA ETAPA]],"")</f>
        <v>CONCLUÍDO</v>
      </c>
      <c r="CB566" s="21" t="str">
        <f>IF([1]!BANCO10[[#This Row],[SOLUÇÃO]]=CB$1,[1]!BANCO10[[#This Row],[STATUS DA ETAPA]],"")</f>
        <v/>
      </c>
      <c r="CC566" s="21" t="str">
        <f>IF([1]!BANCO10[[#This Row],[SOLUÇÃO]]=CC$1,[1]!BANCO10[[#This Row],[STATUS DA ETAPA]],"")</f>
        <v/>
      </c>
      <c r="CD566" s="21" t="str">
        <f>IF([1]!BANCO10[[#This Row],[SOLUÇÃO]]=CD$1,[1]!BANCO10[[#This Row],[STATUS DA ETAPA]],"")</f>
        <v/>
      </c>
      <c r="CE566" s="21" t="str">
        <f>IF([1]!BANCO10[[#This Row],[SOLUÇÃO]]=CE$1,[1]!BANCO10[[#This Row],[STATUS DA ETAPA]],"")</f>
        <v/>
      </c>
      <c r="CF566" s="21" t="str">
        <f>IF([1]!BANCO10[[#This Row],[SOLUÇÃO]]=CF$1,[1]!BANCO10[[#This Row],[STATUS DA ETAPA]],"")</f>
        <v/>
      </c>
      <c r="CG566" s="21" t="str">
        <f>IF([1]!BANCO10[[#This Row],[SOLUÇÃO]]=CG$1,[1]!BANCO10[[#This Row],[STATUS DA ETAPA]],"")</f>
        <v/>
      </c>
      <c r="CH566" s="21" t="str">
        <f>IF([1]!BANCO10[[#This Row],[SOLUÇÃO]]=CH$1,[1]!BANCO10[[#This Row],[STATUS DA ETAPA]],"")</f>
        <v/>
      </c>
      <c r="CI566" s="21" t="str">
        <f>IF([1]!BANCO10[[#This Row],[SOLUÇÃO]]=CI$1,[1]!BANCO10[[#This Row],[STATUS DA ETAPA]],"")</f>
        <v/>
      </c>
      <c r="CJ566" s="21" t="str">
        <f>IF([1]!BANCO10[[#This Row],[SOLUÇÃO]]=CJ$1,[1]!BANCO10[[#This Row],[STATUS DA ETAPA]],"")</f>
        <v/>
      </c>
      <c r="CK566" s="21" t="str">
        <f>IF([1]!BANCO10[[#This Row],[SOLUÇÃO]]=CK$1,[1]!BANCO10[[#This Row],[STATUS DA ETAPA]],"")</f>
        <v/>
      </c>
      <c r="CL566" s="22" t="str">
        <f>IF([1]!BANCO10[[#This Row],[SOLUÇÃO]]=CL$1,[1]!BANCO10[[#This Row],[STATUS DA ETAPA]],"")</f>
        <v/>
      </c>
      <c r="CM566" s="64" t="str">
        <f>IF([1]!BANCO10[[#This Row],[SOLUÇÃO]]=CM$1,[1]!BANCO10[[#This Row],[STATUS DA ETAPA]],"")</f>
        <v/>
      </c>
      <c r="CN566" s="64" t="str">
        <f>IF([1]!BANCO10[[#This Row],[SOLUÇÃO]]=CN$1,[1]!BANCO10[[#This Row],[STATUS DA ETAPA]],"")</f>
        <v/>
      </c>
      <c r="CO566" s="64" t="str">
        <f>IF([1]!BANCO10[[#This Row],[SOLUÇÃO]]=CO$1,[1]!BANCO10[[#This Row],[STATUS DA ETAPA]],"")</f>
        <v/>
      </c>
      <c r="CP566" s="64" t="str">
        <f>IF([1]!BANCO10[[#This Row],[SOLUÇÃO]]=CP$1,[1]!BANCO10[[#This Row],[STATUS DA ETAPA]],"")</f>
        <v/>
      </c>
      <c r="CQ566" s="64" t="str">
        <f>IF([1]!BANCO10[[#This Row],[SOLUÇÃO]]=CQ$1,[1]!BANCO10[[#This Row],[STATUS DA ETAPA]],"")</f>
        <v/>
      </c>
      <c r="CR566" s="64" t="str">
        <f>IF([1]!BANCO10[[#This Row],[SOLUÇÃO]]=CR$1,[1]!BANCO10[[#This Row],[STATUS DA ETAPA]],"")</f>
        <v/>
      </c>
      <c r="CS566" s="64" t="str">
        <f>IF([1]!BANCO10[[#This Row],[SOLUÇÃO]]=CS$1,[1]!BANCO10[[#This Row],[STATUS DA ETAPA]],"")</f>
        <v/>
      </c>
      <c r="CT566" s="64" t="str">
        <f>IF([1]!BANCO10[[#This Row],[SOLUÇÃO]]=CT$1,[1]!BANCO10[[#This Row],[STATUS DA ETAPA]],"")</f>
        <v/>
      </c>
      <c r="CU566" s="64" t="str">
        <f>IF([1]!BANCO10[[#This Row],[SOLUÇÃO]]=CU$1,[1]!BANCO10[[#This Row],[STATUS DA ETAPA]],"")</f>
        <v/>
      </c>
      <c r="CV566" s="64" t="str">
        <f>IF([1]!BANCO10[[#This Row],[SOLUÇÃO]]=CV$1,[1]!BANCO10[[#This Row],[STATUS DA ETAPA]],"")</f>
        <v/>
      </c>
    </row>
    <row r="567" spans="1:100">
      <c r="A567" s="44" t="s">
        <v>1</v>
      </c>
      <c r="B567" s="44"/>
      <c r="C567" s="44" t="s">
        <v>1</v>
      </c>
      <c r="D567" s="44"/>
      <c r="E567" s="44" t="s">
        <v>1</v>
      </c>
      <c r="F567" s="44"/>
      <c r="G567" s="44" t="s">
        <v>1</v>
      </c>
      <c r="H567" s="44"/>
      <c r="I567" s="45" t="s">
        <v>1</v>
      </c>
      <c r="J567" s="46"/>
      <c r="K567" s="45" t="s">
        <v>1</v>
      </c>
      <c r="L567" s="33"/>
      <c r="M567" s="45" t="s">
        <v>1</v>
      </c>
      <c r="N567" s="33"/>
      <c r="O567" s="44" t="s">
        <v>2</v>
      </c>
      <c r="P567" s="44">
        <v>45293</v>
      </c>
      <c r="Q567" s="44" t="s">
        <v>2</v>
      </c>
      <c r="R567" s="44">
        <v>45139</v>
      </c>
      <c r="S567" s="44" t="s">
        <v>1</v>
      </c>
      <c r="T567" s="44"/>
      <c r="U567" s="44" t="s">
        <v>1</v>
      </c>
      <c r="V567" s="44"/>
      <c r="W567" s="44" t="s">
        <v>1</v>
      </c>
      <c r="X567" s="44"/>
      <c r="Y567" s="44" t="s">
        <v>2</v>
      </c>
      <c r="Z567" s="44">
        <v>45139</v>
      </c>
      <c r="AA567" s="44" t="s">
        <v>2</v>
      </c>
      <c r="AB567" s="44"/>
      <c r="AC567" s="51">
        <v>45146</v>
      </c>
      <c r="AD567" s="50">
        <v>45273</v>
      </c>
      <c r="AE567" s="40" t="s">
        <v>2</v>
      </c>
      <c r="AF567" s="40" t="s">
        <v>2</v>
      </c>
      <c r="AG567" s="40" t="s">
        <v>5</v>
      </c>
      <c r="AH567" s="36" t="s">
        <v>0</v>
      </c>
      <c r="AI567" s="49">
        <v>0</v>
      </c>
      <c r="AJ567" s="36" t="s">
        <v>6</v>
      </c>
      <c r="AK567" s="10">
        <v>0</v>
      </c>
      <c r="AL567" s="36">
        <v>0</v>
      </c>
      <c r="AM567" s="36">
        <v>0</v>
      </c>
      <c r="AN567" s="35" t="s">
        <v>1</v>
      </c>
      <c r="AO567" s="35" t="s">
        <v>1</v>
      </c>
      <c r="AP567" s="35" t="s">
        <v>2</v>
      </c>
      <c r="AQ567" s="35" t="s">
        <v>1</v>
      </c>
      <c r="AR567" s="34" t="s">
        <v>1</v>
      </c>
      <c r="AS567" s="33"/>
      <c r="AT567" s="30"/>
      <c r="AU567" s="55"/>
      <c r="AV567" s="30"/>
      <c r="AW567" s="55"/>
      <c r="AX567" s="30" t="s">
        <v>2</v>
      </c>
      <c r="AY567" s="55">
        <v>45279</v>
      </c>
      <c r="AZ567" s="30" t="s">
        <v>1</v>
      </c>
      <c r="BA567" s="66"/>
      <c r="BB567" s="39"/>
      <c r="BC567" s="25"/>
      <c r="BD567" s="24" t="s">
        <v>11</v>
      </c>
      <c r="BE567" s="24" t="s">
        <v>11</v>
      </c>
      <c r="BF567" s="79" t="s">
        <v>21</v>
      </c>
      <c r="BG567" s="79" t="s">
        <v>64</v>
      </c>
      <c r="BH567" s="80" t="s">
        <v>234</v>
      </c>
      <c r="BI567" s="79"/>
      <c r="BJ567" s="54" t="s">
        <v>11</v>
      </c>
      <c r="BK567" s="78" t="s">
        <v>11</v>
      </c>
      <c r="BL567" s="69" t="s">
        <v>11</v>
      </c>
      <c r="BM567" s="78" t="s">
        <v>11</v>
      </c>
      <c r="BN567" s="78" t="s">
        <v>11</v>
      </c>
      <c r="BO567" s="78" t="s">
        <v>11</v>
      </c>
      <c r="BP567" s="78" t="s">
        <v>11</v>
      </c>
      <c r="BQ567" s="21">
        <f>YEAR([1]!BANCO10[[#This Row],[DATA INÍCIO]])</f>
        <v>2023</v>
      </c>
      <c r="BR567" s="21">
        <f>MONTH([1]!BANCO10[[#This Row],[DATA INÍCIO]])</f>
        <v>8</v>
      </c>
      <c r="BS567" s="21" t="e">
        <f>CONCATENATE(#REF!,#REF!)</f>
        <v>#REF!</v>
      </c>
      <c r="BT567" s="21"/>
      <c r="BU567" s="21" t="s">
        <v>324</v>
      </c>
      <c r="BV567" s="21" t="str">
        <f>IF([1]!BANCO10[[#This Row],[SOLUÇÃO]]=BV$1,[1]!BANCO10[[#This Row],[STATUS DA ETAPA]],"")</f>
        <v/>
      </c>
      <c r="BW567" s="21" t="str">
        <f>IF([1]!BANCO10[[#This Row],[SOLUÇÃO]]=BW$1,[1]!BANCO10[[#This Row],[STATUS DA ETAPA]],"")</f>
        <v/>
      </c>
      <c r="BX567" s="21" t="str">
        <f>IF([1]!BANCO10[[#This Row],[SOLUÇÃO]]=BX$1,[1]!BANCO10[[#This Row],[STATUS DA ETAPA]],"")</f>
        <v/>
      </c>
      <c r="BY567" s="21" t="str">
        <f>IF([1]!BANCO10[[#This Row],[SOLUÇÃO]]=BY$1,[1]!BANCO10[[#This Row],[STATUS DA ETAPA]],"")</f>
        <v/>
      </c>
      <c r="BZ567" s="21" t="str">
        <f>IF([1]!BANCO10[[#This Row],[SOLUÇÃO]]=BZ$1,[1]!BANCO10[[#This Row],[STATUS DA ETAPA]],"")</f>
        <v/>
      </c>
      <c r="CA567" s="21" t="str">
        <f>IF([1]!BANCO10[[#This Row],[SOLUÇÃO]]=CA$1,[1]!BANCO10[[#This Row],[STATUS DA ETAPA]],"")</f>
        <v/>
      </c>
      <c r="CB567" s="21" t="str">
        <f>IF([1]!BANCO10[[#This Row],[SOLUÇÃO]]=CB$1,[1]!BANCO10[[#This Row],[STATUS DA ETAPA]],"")</f>
        <v/>
      </c>
      <c r="CC567" s="21" t="str">
        <f>IF([1]!BANCO10[[#This Row],[SOLUÇÃO]]=CC$1,[1]!BANCO10[[#This Row],[STATUS DA ETAPA]],"")</f>
        <v/>
      </c>
      <c r="CD567" s="21" t="str">
        <f>IF([1]!BANCO10[[#This Row],[SOLUÇÃO]]=CD$1,[1]!BANCO10[[#This Row],[STATUS DA ETAPA]],"")</f>
        <v/>
      </c>
      <c r="CE567" s="21" t="str">
        <f>IF([1]!BANCO10[[#This Row],[SOLUÇÃO]]=CE$1,[1]!BANCO10[[#This Row],[STATUS DA ETAPA]],"")</f>
        <v/>
      </c>
      <c r="CF567" s="21" t="str">
        <f>IF([1]!BANCO10[[#This Row],[SOLUÇÃO]]=CF$1,[1]!BANCO10[[#This Row],[STATUS DA ETAPA]],"")</f>
        <v/>
      </c>
      <c r="CG567" s="21" t="str">
        <f>IF([1]!BANCO10[[#This Row],[SOLUÇÃO]]=CG$1,[1]!BANCO10[[#This Row],[STATUS DA ETAPA]],"")</f>
        <v/>
      </c>
      <c r="CH567" s="21" t="str">
        <f>IF([1]!BANCO10[[#This Row],[SOLUÇÃO]]=CH$1,[1]!BANCO10[[#This Row],[STATUS DA ETAPA]],"")</f>
        <v/>
      </c>
      <c r="CI567" s="21" t="str">
        <f>IF([1]!BANCO10[[#This Row],[SOLUÇÃO]]=CI$1,[1]!BANCO10[[#This Row],[STATUS DA ETAPA]],"")</f>
        <v/>
      </c>
      <c r="CJ567" s="21" t="str">
        <f>IF([1]!BANCO10[[#This Row],[SOLUÇÃO]]=CJ$1,[1]!BANCO10[[#This Row],[STATUS DA ETAPA]],"")</f>
        <v/>
      </c>
      <c r="CK567" s="21" t="str">
        <f>IF([1]!BANCO10[[#This Row],[SOLUÇÃO]]=CK$1,[1]!BANCO10[[#This Row],[STATUS DA ETAPA]],"")</f>
        <v/>
      </c>
      <c r="CL567" s="22" t="str">
        <f>IF([1]!BANCO10[[#This Row],[SOLUÇÃO]]=CL$1,[1]!BANCO10[[#This Row],[STATUS DA ETAPA]],"")</f>
        <v/>
      </c>
      <c r="CM567" s="64" t="str">
        <f>IF([1]!BANCO10[[#This Row],[SOLUÇÃO]]=CM$1,[1]!BANCO10[[#This Row],[STATUS DA ETAPA]],"")</f>
        <v/>
      </c>
      <c r="CN567" s="64" t="str">
        <f>IF([1]!BANCO10[[#This Row],[SOLUÇÃO]]=CN$1,[1]!BANCO10[[#This Row],[STATUS DA ETAPA]],"")</f>
        <v/>
      </c>
      <c r="CO567" s="64" t="str">
        <f>IF([1]!BANCO10[[#This Row],[SOLUÇÃO]]=CO$1,[1]!BANCO10[[#This Row],[STATUS DA ETAPA]],"")</f>
        <v>CONCLUÍDO</v>
      </c>
      <c r="CP567" s="64" t="str">
        <f>IF([1]!BANCO10[[#This Row],[SOLUÇÃO]]=CP$1,[1]!BANCO10[[#This Row],[STATUS DA ETAPA]],"")</f>
        <v/>
      </c>
      <c r="CQ567" s="64" t="str">
        <f>IF([1]!BANCO10[[#This Row],[SOLUÇÃO]]=CQ$1,[1]!BANCO10[[#This Row],[STATUS DA ETAPA]],"")</f>
        <v/>
      </c>
      <c r="CR567" s="64" t="str">
        <f>IF([1]!BANCO10[[#This Row],[SOLUÇÃO]]=CR$1,[1]!BANCO10[[#This Row],[STATUS DA ETAPA]],"")</f>
        <v/>
      </c>
      <c r="CS567" s="64" t="str">
        <f>IF([1]!BANCO10[[#This Row],[SOLUÇÃO]]=CS$1,[1]!BANCO10[[#This Row],[STATUS DA ETAPA]],"")</f>
        <v/>
      </c>
      <c r="CT567" s="64" t="str">
        <f>IF([1]!BANCO10[[#This Row],[SOLUÇÃO]]=CT$1,[1]!BANCO10[[#This Row],[STATUS DA ETAPA]],"")</f>
        <v/>
      </c>
      <c r="CU567" s="64" t="str">
        <f>IF([1]!BANCO10[[#This Row],[SOLUÇÃO]]=CU$1,[1]!BANCO10[[#This Row],[STATUS DA ETAPA]],"")</f>
        <v/>
      </c>
      <c r="CV567" s="64" t="str">
        <f>IF([1]!BANCO10[[#This Row],[SOLUÇÃO]]=CV$1,[1]!BANCO10[[#This Row],[STATUS DA ETAPA]],"")</f>
        <v/>
      </c>
    </row>
    <row r="568" spans="1:100">
      <c r="A568" s="44" t="s">
        <v>1</v>
      </c>
      <c r="B568" s="44"/>
      <c r="C568" s="44" t="s">
        <v>1</v>
      </c>
      <c r="D568" s="44"/>
      <c r="E568" s="44" t="s">
        <v>1</v>
      </c>
      <c r="F568" s="44"/>
      <c r="G568" s="44" t="s">
        <v>1</v>
      </c>
      <c r="H568" s="44"/>
      <c r="I568" s="45" t="s">
        <v>1</v>
      </c>
      <c r="J568" s="46"/>
      <c r="K568" s="45" t="s">
        <v>1</v>
      </c>
      <c r="L568" s="33"/>
      <c r="M568" s="45" t="s">
        <v>1</v>
      </c>
      <c r="N568" s="33"/>
      <c r="O568" s="44" t="s">
        <v>2</v>
      </c>
      <c r="P568" s="44">
        <v>45293</v>
      </c>
      <c r="Q568" s="44" t="s">
        <v>2</v>
      </c>
      <c r="R568" s="44">
        <v>45107</v>
      </c>
      <c r="S568" s="44" t="s">
        <v>2</v>
      </c>
      <c r="T568" s="44">
        <v>45107</v>
      </c>
      <c r="U568" s="44" t="s">
        <v>1</v>
      </c>
      <c r="V568" s="44"/>
      <c r="W568" s="44" t="s">
        <v>1</v>
      </c>
      <c r="X568" s="44"/>
      <c r="Y568" s="44" t="s">
        <v>1</v>
      </c>
      <c r="Z568" s="44"/>
      <c r="AA568" s="44" t="s">
        <v>1</v>
      </c>
      <c r="AB568" s="44"/>
      <c r="AC568" s="51">
        <v>45149</v>
      </c>
      <c r="AD568" s="50">
        <v>45356</v>
      </c>
      <c r="AE568" s="40" t="s">
        <v>2</v>
      </c>
      <c r="AF568" s="40" t="s">
        <v>2</v>
      </c>
      <c r="AG568" s="40" t="s">
        <v>5</v>
      </c>
      <c r="AH568" s="36" t="s">
        <v>0</v>
      </c>
      <c r="AI568" s="49">
        <v>0</v>
      </c>
      <c r="AJ568" s="36" t="s">
        <v>6</v>
      </c>
      <c r="AK568" s="10">
        <v>0</v>
      </c>
      <c r="AL568" s="36" t="s">
        <v>1</v>
      </c>
      <c r="AM568" s="36">
        <v>0</v>
      </c>
      <c r="AN568" s="35" t="s">
        <v>0</v>
      </c>
      <c r="AO568" s="35" t="s">
        <v>0</v>
      </c>
      <c r="AP568" s="35" t="s">
        <v>2</v>
      </c>
      <c r="AQ568" s="35" t="s">
        <v>1</v>
      </c>
      <c r="AR568" s="34" t="s">
        <v>1</v>
      </c>
      <c r="AS568" s="33"/>
      <c r="AT568" s="30"/>
      <c r="AU568" s="55"/>
      <c r="AV568" s="30"/>
      <c r="AW568" s="55"/>
      <c r="AX568" s="30" t="s">
        <v>2</v>
      </c>
      <c r="AY568" s="55">
        <v>45356</v>
      </c>
      <c r="AZ568" s="30" t="s">
        <v>1</v>
      </c>
      <c r="BA568" s="55"/>
      <c r="BB568" s="39" t="s">
        <v>323</v>
      </c>
      <c r="BC568" s="25"/>
      <c r="BD568" s="24" t="s">
        <v>11</v>
      </c>
      <c r="BE568" s="24" t="s">
        <v>11</v>
      </c>
      <c r="BF568" s="79" t="s">
        <v>21</v>
      </c>
      <c r="BG568" s="79" t="s">
        <v>64</v>
      </c>
      <c r="BH568" s="80" t="s">
        <v>234</v>
      </c>
      <c r="BI568" s="79"/>
      <c r="BJ568" s="54" t="s">
        <v>11</v>
      </c>
      <c r="BK568" s="78" t="s">
        <v>11</v>
      </c>
      <c r="BL568" s="69" t="s">
        <v>11</v>
      </c>
      <c r="BM568" s="78" t="s">
        <v>11</v>
      </c>
      <c r="BN568" s="78" t="s">
        <v>11</v>
      </c>
      <c r="BO568" s="78" t="s">
        <v>11</v>
      </c>
      <c r="BP568" s="78" t="s">
        <v>11</v>
      </c>
      <c r="BQ568" s="21">
        <f>YEAR([1]!BANCO10[[#This Row],[DATA INÍCIO]])</f>
        <v>2023</v>
      </c>
      <c r="BR568" s="21">
        <f>MONTH([1]!BANCO10[[#This Row],[DATA INÍCIO]])</f>
        <v>8</v>
      </c>
      <c r="BS568" s="21" t="e">
        <f>CONCATENATE(#REF!,#REF!)</f>
        <v>#REF!</v>
      </c>
      <c r="BT568" s="21"/>
      <c r="BU568" s="21" t="s">
        <v>322</v>
      </c>
      <c r="BV568" s="21" t="str">
        <f>IF([1]!BANCO10[[#This Row],[SOLUÇÃO]]=BV$1,[1]!BANCO10[[#This Row],[STATUS DA ETAPA]],"")</f>
        <v/>
      </c>
      <c r="BW568" s="21" t="str">
        <f>IF([1]!BANCO10[[#This Row],[SOLUÇÃO]]=BW$1,[1]!BANCO10[[#This Row],[STATUS DA ETAPA]],"")</f>
        <v/>
      </c>
      <c r="BX568" s="21" t="str">
        <f>IF([1]!BANCO10[[#This Row],[SOLUÇÃO]]=BX$1,[1]!BANCO10[[#This Row],[STATUS DA ETAPA]],"")</f>
        <v/>
      </c>
      <c r="BY568" s="21" t="str">
        <f>IF([1]!BANCO10[[#This Row],[SOLUÇÃO]]=BY$1,[1]!BANCO10[[#This Row],[STATUS DA ETAPA]],"")</f>
        <v/>
      </c>
      <c r="BZ568" s="21" t="str">
        <f>IF([1]!BANCO10[[#This Row],[SOLUÇÃO]]=BZ$1,[1]!BANCO10[[#This Row],[STATUS DA ETAPA]],"")</f>
        <v/>
      </c>
      <c r="CA568" s="21" t="str">
        <f>IF([1]!BANCO10[[#This Row],[SOLUÇÃO]]=CA$1,[1]!BANCO10[[#This Row],[STATUS DA ETAPA]],"")</f>
        <v/>
      </c>
      <c r="CB568" s="21" t="str">
        <f>IF([1]!BANCO10[[#This Row],[SOLUÇÃO]]=CB$1,[1]!BANCO10[[#This Row],[STATUS DA ETAPA]],"")</f>
        <v/>
      </c>
      <c r="CC568" s="21" t="str">
        <f>IF([1]!BANCO10[[#This Row],[SOLUÇÃO]]=CC$1,[1]!BANCO10[[#This Row],[STATUS DA ETAPA]],"")</f>
        <v/>
      </c>
      <c r="CD568" s="21" t="str">
        <f>IF([1]!BANCO10[[#This Row],[SOLUÇÃO]]=CD$1,[1]!BANCO10[[#This Row],[STATUS DA ETAPA]],"")</f>
        <v/>
      </c>
      <c r="CE568" s="21" t="str">
        <f>IF([1]!BANCO10[[#This Row],[SOLUÇÃO]]=CE$1,[1]!BANCO10[[#This Row],[STATUS DA ETAPA]],"")</f>
        <v/>
      </c>
      <c r="CF568" s="21" t="str">
        <f>IF([1]!BANCO10[[#This Row],[SOLUÇÃO]]=CF$1,[1]!BANCO10[[#This Row],[STATUS DA ETAPA]],"")</f>
        <v/>
      </c>
      <c r="CG568" s="21" t="str">
        <f>IF([1]!BANCO10[[#This Row],[SOLUÇÃO]]=CG$1,[1]!BANCO10[[#This Row],[STATUS DA ETAPA]],"")</f>
        <v/>
      </c>
      <c r="CH568" s="21" t="str">
        <f>IF([1]!BANCO10[[#This Row],[SOLUÇÃO]]=CH$1,[1]!BANCO10[[#This Row],[STATUS DA ETAPA]],"")</f>
        <v>CONCLUÍDO</v>
      </c>
      <c r="CI568" s="21" t="str">
        <f>IF([1]!BANCO10[[#This Row],[SOLUÇÃO]]=CI$1,[1]!BANCO10[[#This Row],[STATUS DA ETAPA]],"")</f>
        <v/>
      </c>
      <c r="CJ568" s="21" t="str">
        <f>IF([1]!BANCO10[[#This Row],[SOLUÇÃO]]=CJ$1,[1]!BANCO10[[#This Row],[STATUS DA ETAPA]],"")</f>
        <v/>
      </c>
      <c r="CK568" s="21" t="str">
        <f>IF([1]!BANCO10[[#This Row],[SOLUÇÃO]]=CK$1,[1]!BANCO10[[#This Row],[STATUS DA ETAPA]],"")</f>
        <v/>
      </c>
      <c r="CL568" s="22" t="str">
        <f>IF([1]!BANCO10[[#This Row],[SOLUÇÃO]]=CL$1,[1]!BANCO10[[#This Row],[STATUS DA ETAPA]],"")</f>
        <v/>
      </c>
      <c r="CM568" s="64" t="str">
        <f>IF([1]!BANCO10[[#This Row],[SOLUÇÃO]]=CM$1,[1]!BANCO10[[#This Row],[STATUS DA ETAPA]],"")</f>
        <v/>
      </c>
      <c r="CN568" s="64" t="str">
        <f>IF([1]!BANCO10[[#This Row],[SOLUÇÃO]]=CN$1,[1]!BANCO10[[#This Row],[STATUS DA ETAPA]],"")</f>
        <v/>
      </c>
      <c r="CO568" s="64" t="str">
        <f>IF([1]!BANCO10[[#This Row],[SOLUÇÃO]]=CO$1,[1]!BANCO10[[#This Row],[STATUS DA ETAPA]],"")</f>
        <v/>
      </c>
      <c r="CP568" s="64" t="str">
        <f>IF([1]!BANCO10[[#This Row],[SOLUÇÃO]]=CP$1,[1]!BANCO10[[#This Row],[STATUS DA ETAPA]],"")</f>
        <v/>
      </c>
      <c r="CQ568" s="64" t="str">
        <f>IF([1]!BANCO10[[#This Row],[SOLUÇÃO]]=CQ$1,[1]!BANCO10[[#This Row],[STATUS DA ETAPA]],"")</f>
        <v/>
      </c>
      <c r="CR568" s="64" t="str">
        <f>IF([1]!BANCO10[[#This Row],[SOLUÇÃO]]=CR$1,[1]!BANCO10[[#This Row],[STATUS DA ETAPA]],"")</f>
        <v/>
      </c>
      <c r="CS568" s="64" t="str">
        <f>IF([1]!BANCO10[[#This Row],[SOLUÇÃO]]=CS$1,[1]!BANCO10[[#This Row],[STATUS DA ETAPA]],"")</f>
        <v/>
      </c>
      <c r="CT568" s="64" t="str">
        <f>IF([1]!BANCO10[[#This Row],[SOLUÇÃO]]=CT$1,[1]!BANCO10[[#This Row],[STATUS DA ETAPA]],"")</f>
        <v/>
      </c>
      <c r="CU568" s="64" t="str">
        <f>IF([1]!BANCO10[[#This Row],[SOLUÇÃO]]=CU$1,[1]!BANCO10[[#This Row],[STATUS DA ETAPA]],"")</f>
        <v/>
      </c>
      <c r="CV568" s="64" t="str">
        <f>IF([1]!BANCO10[[#This Row],[SOLUÇÃO]]=CV$1,[1]!BANCO10[[#This Row],[STATUS DA ETAPA]],"")</f>
        <v/>
      </c>
    </row>
    <row r="569" spans="1:100">
      <c r="A569" s="44" t="s">
        <v>1</v>
      </c>
      <c r="B569" s="44"/>
      <c r="C569" s="44" t="s">
        <v>1</v>
      </c>
      <c r="D569" s="44"/>
      <c r="E569" s="44" t="s">
        <v>1</v>
      </c>
      <c r="F569" s="44"/>
      <c r="G569" s="44" t="s">
        <v>1</v>
      </c>
      <c r="H569" s="44"/>
      <c r="I569" s="45" t="s">
        <v>1</v>
      </c>
      <c r="J569" s="46"/>
      <c r="K569" s="45" t="s">
        <v>1</v>
      </c>
      <c r="L569" s="33"/>
      <c r="M569" s="45" t="s">
        <v>1</v>
      </c>
      <c r="N569" s="33"/>
      <c r="O569" s="44" t="s">
        <v>2</v>
      </c>
      <c r="P569" s="44">
        <v>45293</v>
      </c>
      <c r="Q569" s="44" t="s">
        <v>2</v>
      </c>
      <c r="R569" s="44">
        <v>45299</v>
      </c>
      <c r="S569" s="44" t="s">
        <v>2</v>
      </c>
      <c r="T569" s="44">
        <v>45379</v>
      </c>
      <c r="U569" s="44" t="s">
        <v>2</v>
      </c>
      <c r="V569" s="44">
        <v>45379</v>
      </c>
      <c r="W569" s="44" t="s">
        <v>2</v>
      </c>
      <c r="X569" s="44"/>
      <c r="Y569" s="44" t="s">
        <v>2</v>
      </c>
      <c r="Z569" s="44">
        <v>45379</v>
      </c>
      <c r="AA569" s="44" t="s">
        <v>2</v>
      </c>
      <c r="AB569" s="44"/>
      <c r="AC569" s="51">
        <v>45408</v>
      </c>
      <c r="AD569" s="50">
        <v>45523</v>
      </c>
      <c r="AE569" s="40" t="s">
        <v>2</v>
      </c>
      <c r="AF569" s="40" t="s">
        <v>2</v>
      </c>
      <c r="AG569" s="40" t="s">
        <v>5</v>
      </c>
      <c r="AH569" s="36" t="s">
        <v>0</v>
      </c>
      <c r="AI569" s="49">
        <v>0</v>
      </c>
      <c r="AJ569" s="36" t="s">
        <v>6</v>
      </c>
      <c r="AK569" s="10">
        <v>0</v>
      </c>
      <c r="AL569" s="36">
        <v>4742</v>
      </c>
      <c r="AM569" s="36">
        <v>0</v>
      </c>
      <c r="AN569" s="35" t="s">
        <v>1</v>
      </c>
      <c r="AO569" s="35" t="s">
        <v>1</v>
      </c>
      <c r="AP569" s="35" t="s">
        <v>2</v>
      </c>
      <c r="AQ569" s="35" t="s">
        <v>1</v>
      </c>
      <c r="AR569" s="34" t="s">
        <v>1</v>
      </c>
      <c r="AS569" s="33"/>
      <c r="AT569" s="30"/>
      <c r="AU569" s="55"/>
      <c r="AV569" s="30"/>
      <c r="AW569" s="55"/>
      <c r="AX569" s="30" t="s">
        <v>2</v>
      </c>
      <c r="AY569" s="55">
        <v>45523</v>
      </c>
      <c r="AZ569" s="30" t="s">
        <v>0</v>
      </c>
      <c r="BA569" s="55"/>
      <c r="BB569" s="39" t="s">
        <v>321</v>
      </c>
      <c r="BC569" s="25"/>
      <c r="BD569" s="24"/>
      <c r="BE569" s="24"/>
      <c r="BF569" s="79"/>
      <c r="BG569" s="79"/>
      <c r="BH569" s="80"/>
      <c r="BI569" s="79"/>
      <c r="BJ569" s="54"/>
      <c r="BK569" s="78"/>
      <c r="BL569" s="69">
        <v>45390</v>
      </c>
      <c r="BM569" s="78" t="s">
        <v>18</v>
      </c>
      <c r="BN569" s="78" t="s">
        <v>11</v>
      </c>
      <c r="BO569" s="78"/>
      <c r="BP569" s="78" t="s">
        <v>201</v>
      </c>
      <c r="BQ569" s="21">
        <f>YEAR([1]!BANCO10[[#This Row],[DATA INÍCIO]])</f>
        <v>2024</v>
      </c>
      <c r="BR569" s="21">
        <f>MONTH([1]!BANCO10[[#This Row],[DATA INÍCIO]])</f>
        <v>4</v>
      </c>
      <c r="BS569" s="21" t="e">
        <f>CONCATENATE(#REF!,#REF!)</f>
        <v>#REF!</v>
      </c>
      <c r="BT569" s="21"/>
      <c r="BU569" s="21" t="s">
        <v>320</v>
      </c>
      <c r="BV569" s="21" t="str">
        <f>IF([1]!BANCO10[[#This Row],[SOLUÇÃO]]=BV$1,[1]!BANCO10[[#This Row],[STATUS DA ETAPA]],"")</f>
        <v/>
      </c>
      <c r="BW569" s="21" t="str">
        <f>IF([1]!BANCO10[[#This Row],[SOLUÇÃO]]=BW$1,[1]!BANCO10[[#This Row],[STATUS DA ETAPA]],"")</f>
        <v/>
      </c>
      <c r="BX569" s="21" t="str">
        <f>IF([1]!BANCO10[[#This Row],[SOLUÇÃO]]=BX$1,[1]!BANCO10[[#This Row],[STATUS DA ETAPA]],"")</f>
        <v/>
      </c>
      <c r="BY569" s="21" t="str">
        <f>IF([1]!BANCO10[[#This Row],[SOLUÇÃO]]=BY$1,[1]!BANCO10[[#This Row],[STATUS DA ETAPA]],"")</f>
        <v/>
      </c>
      <c r="BZ569" s="21" t="str">
        <f>IF([1]!BANCO10[[#This Row],[SOLUÇÃO]]=BZ$1,[1]!BANCO10[[#This Row],[STATUS DA ETAPA]],"")</f>
        <v/>
      </c>
      <c r="CA569" s="21" t="str">
        <f>IF([1]!BANCO10[[#This Row],[SOLUÇÃO]]=CA$1,[1]!BANCO10[[#This Row],[STATUS DA ETAPA]],"")</f>
        <v/>
      </c>
      <c r="CB569" s="21" t="str">
        <f>IF([1]!BANCO10[[#This Row],[SOLUÇÃO]]=CB$1,[1]!BANCO10[[#This Row],[STATUS DA ETAPA]],"")</f>
        <v/>
      </c>
      <c r="CC569" s="21" t="str">
        <f>IF([1]!BANCO10[[#This Row],[SOLUÇÃO]]=CC$1,[1]!BANCO10[[#This Row],[STATUS DA ETAPA]],"")</f>
        <v/>
      </c>
      <c r="CD569" s="21" t="str">
        <f>IF([1]!BANCO10[[#This Row],[SOLUÇÃO]]=CD$1,[1]!BANCO10[[#This Row],[STATUS DA ETAPA]],"")</f>
        <v/>
      </c>
      <c r="CE569" s="21" t="str">
        <f>IF([1]!BANCO10[[#This Row],[SOLUÇÃO]]=CE$1,[1]!BANCO10[[#This Row],[STATUS DA ETAPA]],"")</f>
        <v/>
      </c>
      <c r="CF569" s="21" t="str">
        <f>IF([1]!BANCO10[[#This Row],[SOLUÇÃO]]=CF$1,[1]!BANCO10[[#This Row],[STATUS DA ETAPA]],"")</f>
        <v/>
      </c>
      <c r="CG569" s="21" t="str">
        <f>IF([1]!BANCO10[[#This Row],[SOLUÇÃO]]=CG$1,[1]!BANCO10[[#This Row],[STATUS DA ETAPA]],"")</f>
        <v/>
      </c>
      <c r="CH569" s="21" t="str">
        <f>IF([1]!BANCO10[[#This Row],[SOLUÇÃO]]=CH$1,[1]!BANCO10[[#This Row],[STATUS DA ETAPA]],"")</f>
        <v/>
      </c>
      <c r="CI569" s="21" t="str">
        <f>IF([1]!BANCO10[[#This Row],[SOLUÇÃO]]=CI$1,[1]!BANCO10[[#This Row],[STATUS DA ETAPA]],"")</f>
        <v/>
      </c>
      <c r="CJ569" s="21" t="str">
        <f>IF([1]!BANCO10[[#This Row],[SOLUÇÃO]]=CJ$1,[1]!BANCO10[[#This Row],[STATUS DA ETAPA]],"")</f>
        <v/>
      </c>
      <c r="CK569" s="21" t="str">
        <f>IF([1]!BANCO10[[#This Row],[SOLUÇÃO]]=CK$1,[1]!BANCO10[[#This Row],[STATUS DA ETAPA]],"")</f>
        <v/>
      </c>
      <c r="CL569" s="22" t="str">
        <f>IF([1]!BANCO10[[#This Row],[SOLUÇÃO]]=CL$1,[1]!BANCO10[[#This Row],[STATUS DA ETAPA]],"")</f>
        <v>CONCLUÍDO</v>
      </c>
      <c r="CM569" s="64" t="str">
        <f>IF([1]!BANCO10[[#This Row],[SOLUÇÃO]]=CM$1,[1]!BANCO10[[#This Row],[STATUS DA ETAPA]],"")</f>
        <v/>
      </c>
      <c r="CN569" s="64" t="str">
        <f>IF([1]!BANCO10[[#This Row],[SOLUÇÃO]]=CN$1,[1]!BANCO10[[#This Row],[STATUS DA ETAPA]],"")</f>
        <v/>
      </c>
      <c r="CO569" s="64" t="str">
        <f>IF([1]!BANCO10[[#This Row],[SOLUÇÃO]]=CO$1,[1]!BANCO10[[#This Row],[STATUS DA ETAPA]],"")</f>
        <v/>
      </c>
      <c r="CP569" s="64" t="str">
        <f>IF([1]!BANCO10[[#This Row],[SOLUÇÃO]]=CP$1,[1]!BANCO10[[#This Row],[STATUS DA ETAPA]],"")</f>
        <v/>
      </c>
      <c r="CQ569" s="64" t="str">
        <f>IF([1]!BANCO10[[#This Row],[SOLUÇÃO]]=CQ$1,[1]!BANCO10[[#This Row],[STATUS DA ETAPA]],"")</f>
        <v/>
      </c>
      <c r="CR569" s="64" t="str">
        <f>IF([1]!BANCO10[[#This Row],[SOLUÇÃO]]=CR$1,[1]!BANCO10[[#This Row],[STATUS DA ETAPA]],"")</f>
        <v/>
      </c>
      <c r="CS569" s="64" t="str">
        <f>IF([1]!BANCO10[[#This Row],[SOLUÇÃO]]=CS$1,[1]!BANCO10[[#This Row],[STATUS DA ETAPA]],"")</f>
        <v/>
      </c>
      <c r="CT569" s="64" t="str">
        <f>IF([1]!BANCO10[[#This Row],[SOLUÇÃO]]=CT$1,[1]!BANCO10[[#This Row],[STATUS DA ETAPA]],"")</f>
        <v/>
      </c>
      <c r="CU569" s="64" t="str">
        <f>IF([1]!BANCO10[[#This Row],[SOLUÇÃO]]=CU$1,[1]!BANCO10[[#This Row],[STATUS DA ETAPA]],"")</f>
        <v/>
      </c>
      <c r="CV569" s="64" t="str">
        <f>IF([1]!BANCO10[[#This Row],[SOLUÇÃO]]=CV$1,[1]!BANCO10[[#This Row],[STATUS DA ETAPA]],"")</f>
        <v/>
      </c>
    </row>
    <row r="570" spans="1:100">
      <c r="A570" s="44" t="s">
        <v>1</v>
      </c>
      <c r="B570" s="44"/>
      <c r="C570" s="44" t="s">
        <v>1</v>
      </c>
      <c r="D570" s="44"/>
      <c r="E570" s="44" t="s">
        <v>1</v>
      </c>
      <c r="F570" s="44"/>
      <c r="G570" s="44" t="s">
        <v>1</v>
      </c>
      <c r="H570" s="44"/>
      <c r="I570" s="45" t="s">
        <v>1</v>
      </c>
      <c r="J570" s="46"/>
      <c r="K570" s="45" t="s">
        <v>1</v>
      </c>
      <c r="L570" s="33"/>
      <c r="M570" s="45" t="s">
        <v>1</v>
      </c>
      <c r="N570" s="33"/>
      <c r="O570" s="44"/>
      <c r="P570" s="44"/>
      <c r="Q570" s="44"/>
      <c r="R570" s="44"/>
      <c r="S570" s="44"/>
      <c r="T570" s="44"/>
      <c r="U570" s="44"/>
      <c r="V570" s="44"/>
      <c r="W570" s="44"/>
      <c r="X570" s="44"/>
      <c r="Y570" s="44"/>
      <c r="Z570" s="44"/>
      <c r="AA570" s="44"/>
      <c r="AB570" s="44"/>
      <c r="AC570" s="51">
        <v>46022</v>
      </c>
      <c r="AD570" s="50">
        <v>46022</v>
      </c>
      <c r="AE570" s="41" t="s">
        <v>1</v>
      </c>
      <c r="AF570" s="41" t="s">
        <v>1</v>
      </c>
      <c r="AG570" s="40" t="s">
        <v>5</v>
      </c>
      <c r="AH570" s="36" t="s">
        <v>0</v>
      </c>
      <c r="AI570" s="49">
        <v>0</v>
      </c>
      <c r="AJ570" s="36" t="s">
        <v>1</v>
      </c>
      <c r="AK570" s="9" t="s">
        <v>1</v>
      </c>
      <c r="AL570" s="36" t="s">
        <v>1</v>
      </c>
      <c r="AM570" s="36" t="s">
        <v>1</v>
      </c>
      <c r="AN570" s="35" t="s">
        <v>0</v>
      </c>
      <c r="AO570" s="35" t="s">
        <v>0</v>
      </c>
      <c r="AP570" s="35" t="s">
        <v>0</v>
      </c>
      <c r="AQ570" s="35" t="s">
        <v>0</v>
      </c>
      <c r="AR570" s="34" t="s">
        <v>1</v>
      </c>
      <c r="AS570" s="33"/>
      <c r="AT570" s="32" t="s">
        <v>1</v>
      </c>
      <c r="AU570" s="31"/>
      <c r="AV570" s="32" t="s">
        <v>1</v>
      </c>
      <c r="AW570" s="31"/>
      <c r="AX570" s="30" t="s">
        <v>0</v>
      </c>
      <c r="AY570" s="29"/>
      <c r="AZ570" s="28" t="s">
        <v>0</v>
      </c>
      <c r="BA570" s="81"/>
      <c r="BB570" s="74" t="s">
        <v>319</v>
      </c>
      <c r="BC570" s="25"/>
      <c r="BD570" s="24"/>
      <c r="BE570" s="24"/>
      <c r="BF570" s="24"/>
      <c r="BG570" s="24"/>
      <c r="BH570" s="24"/>
      <c r="BI570" s="24"/>
      <c r="BJ570" s="24"/>
      <c r="BK570" s="24"/>
      <c r="BL570" s="24"/>
      <c r="BM570" s="24"/>
      <c r="BN570" s="24"/>
      <c r="BO570" s="24"/>
      <c r="BP570" s="24"/>
      <c r="BQ570" s="22">
        <f>YEAR([1]!BANCO10[[#This Row],[DATA INÍCIO]])</f>
        <v>2025</v>
      </c>
      <c r="BR570" s="22">
        <f>MONTH([1]!BANCO10[[#This Row],[DATA INÍCIO]])</f>
        <v>12</v>
      </c>
      <c r="BS570" s="23" t="e">
        <f>CONCATENATE(#REF!,#REF!)</f>
        <v>#REF!</v>
      </c>
      <c r="BT570" s="22"/>
      <c r="BU570" s="22"/>
      <c r="BV570" s="21" t="str">
        <f>IF([1]!BANCO10[[#This Row],[SOLUÇÃO]]=BV$1,[1]!BANCO10[[#This Row],[STATUS DA ETAPA]],"")</f>
        <v/>
      </c>
      <c r="BW570" s="21" t="str">
        <f>IF([1]!BANCO10[[#This Row],[SOLUÇÃO]]=BW$1,[1]!BANCO10[[#This Row],[STATUS DA ETAPA]],"")</f>
        <v/>
      </c>
      <c r="BX570" s="21" t="str">
        <f>IF([1]!BANCO10[[#This Row],[SOLUÇÃO]]=BX$1,[1]!BANCO10[[#This Row],[STATUS DA ETAPA]],"")</f>
        <v/>
      </c>
      <c r="BY570" s="21" t="str">
        <f>IF([1]!BANCO10[[#This Row],[SOLUÇÃO]]=BY$1,[1]!BANCO10[[#This Row],[STATUS DA ETAPA]],"")</f>
        <v/>
      </c>
      <c r="BZ570" s="21" t="str">
        <f>IF([1]!BANCO10[[#This Row],[SOLUÇÃO]]=BZ$1,[1]!BANCO10[[#This Row],[STATUS DA ETAPA]],"")</f>
        <v/>
      </c>
      <c r="CA570" s="21" t="str">
        <f>IF([1]!BANCO10[[#This Row],[SOLUÇÃO]]=CA$1,[1]!BANCO10[[#This Row],[STATUS DA ETAPA]],"")</f>
        <v/>
      </c>
      <c r="CB570" s="21" t="str">
        <f>IF([1]!BANCO10[[#This Row],[SOLUÇÃO]]=CB$1,[1]!BANCO10[[#This Row],[STATUS DA ETAPA]],"")</f>
        <v/>
      </c>
      <c r="CC570" s="21" t="str">
        <f>IF([1]!BANCO10[[#This Row],[SOLUÇÃO]]=CC$1,[1]!BANCO10[[#This Row],[STATUS DA ETAPA]],"")</f>
        <v/>
      </c>
      <c r="CD570" s="21" t="str">
        <f>IF([1]!BANCO10[[#This Row],[SOLUÇÃO]]=CD$1,[1]!BANCO10[[#This Row],[STATUS DA ETAPA]],"")</f>
        <v/>
      </c>
      <c r="CE570" s="21" t="str">
        <f>IF([1]!BANCO10[[#This Row],[SOLUÇÃO]]=CE$1,[1]!BANCO10[[#This Row],[STATUS DA ETAPA]],"")</f>
        <v/>
      </c>
      <c r="CF570" s="21" t="str">
        <f>IF([1]!BANCO10[[#This Row],[SOLUÇÃO]]=CF$1,[1]!BANCO10[[#This Row],[STATUS DA ETAPA]],"")</f>
        <v/>
      </c>
      <c r="CG570" s="21" t="str">
        <f>IF([1]!BANCO10[[#This Row],[SOLUÇÃO]]=CG$1,[1]!BANCO10[[#This Row],[STATUS DA ETAPA]],"")</f>
        <v/>
      </c>
      <c r="CH570" s="21" t="str">
        <f>IF([1]!BANCO10[[#This Row],[SOLUÇÃO]]=CH$1,[1]!BANCO10[[#This Row],[STATUS DA ETAPA]],"")</f>
        <v/>
      </c>
      <c r="CI570" s="21" t="str">
        <f>IF([1]!BANCO10[[#This Row],[SOLUÇÃO]]=CI$1,[1]!BANCO10[[#This Row],[STATUS DA ETAPA]],"")</f>
        <v/>
      </c>
      <c r="CJ570" s="21" t="str">
        <f>IF([1]!BANCO10[[#This Row],[SOLUÇÃO]]=CJ$1,[1]!BANCO10[[#This Row],[STATUS DA ETAPA]],"")</f>
        <v/>
      </c>
      <c r="CK570" s="21" t="str">
        <f>IF([1]!BANCO10[[#This Row],[SOLUÇÃO]]=CK$1,[1]!BANCO10[[#This Row],[STATUS DA ETAPA]],"")</f>
        <v/>
      </c>
      <c r="CL570" s="21" t="str">
        <f>IF([1]!BANCO10[[#This Row],[SOLUÇÃO]]=CL$1,[1]!BANCO10[[#This Row],[STATUS DA ETAPA]],"")</f>
        <v/>
      </c>
      <c r="CM570" s="21" t="str">
        <f>IF([1]!BANCO10[[#This Row],[SOLUÇÃO]]=CM$1,[1]!BANCO10[[#This Row],[STATUS DA ETAPA]],"")</f>
        <v/>
      </c>
      <c r="CN570" s="21" t="str">
        <f>IF([1]!BANCO10[[#This Row],[SOLUÇÃO]]=CN$1,[1]!BANCO10[[#This Row],[STATUS DA ETAPA]],"")</f>
        <v/>
      </c>
      <c r="CO570" s="21" t="str">
        <f>IF([1]!BANCO10[[#This Row],[SOLUÇÃO]]=CO$1,[1]!BANCO10[[#This Row],[STATUS DA ETAPA]],"")</f>
        <v/>
      </c>
      <c r="CP570" s="21" t="str">
        <f>IF([1]!BANCO10[[#This Row],[SOLUÇÃO]]=CP$1,[1]!BANCO10[[#This Row],[STATUS DA ETAPA]],"")</f>
        <v/>
      </c>
      <c r="CQ570" s="21" t="str">
        <f>IF([1]!BANCO10[[#This Row],[SOLUÇÃO]]=CQ$1,[1]!BANCO10[[#This Row],[STATUS DA ETAPA]],"")</f>
        <v/>
      </c>
      <c r="CR570" s="21" t="str">
        <f>IF([1]!BANCO10[[#This Row],[SOLUÇÃO]]=CR$1,[1]!BANCO10[[#This Row],[STATUS DA ETAPA]],"")</f>
        <v/>
      </c>
      <c r="CS570" s="21" t="str">
        <f>IF([1]!BANCO10[[#This Row],[SOLUÇÃO]]=CS$1,[1]!BANCO10[[#This Row],[STATUS DA ETAPA]],"")</f>
        <v/>
      </c>
      <c r="CT570" s="21" t="str">
        <f>IF([1]!BANCO10[[#This Row],[SOLUÇÃO]]=CT$1,[1]!BANCO10[[#This Row],[STATUS DA ETAPA]],"")</f>
        <v/>
      </c>
      <c r="CU570" s="21" t="str">
        <f>IF([1]!BANCO10[[#This Row],[SOLUÇÃO]]=CU$1,[1]!BANCO10[[#This Row],[STATUS DA ETAPA]],"")</f>
        <v/>
      </c>
      <c r="CV570" s="21" t="str">
        <f>IF([1]!BANCO10[[#This Row],[SOLUÇÃO]]=CV$1,[1]!BANCO10[[#This Row],[STATUS DA ETAPA]],"")</f>
        <v/>
      </c>
    </row>
    <row r="571" spans="1:100">
      <c r="A571" s="44" t="s">
        <v>1</v>
      </c>
      <c r="B571" s="44"/>
      <c r="C571" s="44" t="s">
        <v>1</v>
      </c>
      <c r="D571" s="44"/>
      <c r="E571" s="44" t="s">
        <v>1</v>
      </c>
      <c r="F571" s="44"/>
      <c r="G571" s="44" t="s">
        <v>1</v>
      </c>
      <c r="H571" s="44"/>
      <c r="I571" s="45" t="s">
        <v>1</v>
      </c>
      <c r="J571" s="46"/>
      <c r="K571" s="45" t="s">
        <v>1</v>
      </c>
      <c r="L571" s="33"/>
      <c r="M571" s="45" t="s">
        <v>1</v>
      </c>
      <c r="N571" s="33"/>
      <c r="O571" s="44" t="s">
        <v>2</v>
      </c>
      <c r="P571" s="44">
        <v>44971</v>
      </c>
      <c r="Q571" s="44" t="s">
        <v>0</v>
      </c>
      <c r="R571" s="44"/>
      <c r="S571" s="44" t="s">
        <v>1</v>
      </c>
      <c r="T571" s="44"/>
      <c r="U571" s="44" t="s">
        <v>1</v>
      </c>
      <c r="V571" s="44"/>
      <c r="W571" s="44" t="s">
        <v>1</v>
      </c>
      <c r="X571" s="44"/>
      <c r="Y571" s="44" t="s">
        <v>1</v>
      </c>
      <c r="Z571" s="44"/>
      <c r="AA571" s="44" t="s">
        <v>1</v>
      </c>
      <c r="AB571" s="44"/>
      <c r="AC571" s="51">
        <v>44970</v>
      </c>
      <c r="AD571" s="50">
        <v>44970</v>
      </c>
      <c r="AE571" s="40" t="s">
        <v>1</v>
      </c>
      <c r="AF571" s="40" t="s">
        <v>1</v>
      </c>
      <c r="AG571" s="40" t="s">
        <v>5</v>
      </c>
      <c r="AH571" s="36" t="s">
        <v>1</v>
      </c>
      <c r="AI571" s="49">
        <v>0</v>
      </c>
      <c r="AJ571" s="36" t="s">
        <v>1</v>
      </c>
      <c r="AK571" s="10" t="s">
        <v>1</v>
      </c>
      <c r="AL571" s="36" t="s">
        <v>1</v>
      </c>
      <c r="AM571" s="36" t="s">
        <v>1</v>
      </c>
      <c r="AN571" s="35" t="s">
        <v>1</v>
      </c>
      <c r="AO571" s="35" t="s">
        <v>1</v>
      </c>
      <c r="AP571" s="35" t="s">
        <v>1</v>
      </c>
      <c r="AQ571" s="35" t="s">
        <v>1</v>
      </c>
      <c r="AR571" s="82" t="s">
        <v>1</v>
      </c>
      <c r="AS571" s="33"/>
      <c r="AT571" s="30"/>
      <c r="AU571" s="55"/>
      <c r="AV571" s="30"/>
      <c r="AW571" s="55"/>
      <c r="AX571" s="30" t="s">
        <v>1</v>
      </c>
      <c r="AY571" s="55"/>
      <c r="AZ571" s="30" t="s">
        <v>1</v>
      </c>
      <c r="BA571" s="66"/>
      <c r="BB571" s="39"/>
      <c r="BC571" s="25"/>
      <c r="BD571" s="24" t="s">
        <v>11</v>
      </c>
      <c r="BE571" s="24" t="s">
        <v>11</v>
      </c>
      <c r="BF571" s="79" t="s">
        <v>88</v>
      </c>
      <c r="BG571" s="79" t="s">
        <v>11</v>
      </c>
      <c r="BH571" s="80" t="s">
        <v>18</v>
      </c>
      <c r="BI571" s="79" t="s">
        <v>87</v>
      </c>
      <c r="BJ571" s="54" t="s">
        <v>11</v>
      </c>
      <c r="BK571" s="78" t="s">
        <v>11</v>
      </c>
      <c r="BL571" s="69" t="s">
        <v>11</v>
      </c>
      <c r="BM571" s="78" t="s">
        <v>11</v>
      </c>
      <c r="BN571" s="78" t="s">
        <v>11</v>
      </c>
      <c r="BO571" s="78" t="s">
        <v>11</v>
      </c>
      <c r="BP571" s="78" t="s">
        <v>11</v>
      </c>
      <c r="BQ571" s="21">
        <f>YEAR([1]!BANCO10[[#This Row],[DATA INÍCIO]])</f>
        <v>2023</v>
      </c>
      <c r="BR571" s="21">
        <f>MONTH([1]!BANCO10[[#This Row],[DATA INÍCIO]])</f>
        <v>2</v>
      </c>
      <c r="BS571" s="21" t="e">
        <f>CONCATENATE(#REF!,#REF!)</f>
        <v>#REF!</v>
      </c>
      <c r="BT571" s="21"/>
      <c r="BU571" s="21" t="s">
        <v>318</v>
      </c>
      <c r="BV571" s="21" t="str">
        <f>IF([1]!BANCO10[[#This Row],[SOLUÇÃO]]=BV$1,[1]!BANCO10[[#This Row],[STATUS DA ETAPA]],"")</f>
        <v>CONCLUÍDO</v>
      </c>
      <c r="BW571" s="21" t="str">
        <f>IF([1]!BANCO10[[#This Row],[SOLUÇÃO]]=BW$1,[1]!BANCO10[[#This Row],[STATUS DA ETAPA]],"")</f>
        <v/>
      </c>
      <c r="BX571" s="21" t="str">
        <f>IF([1]!BANCO10[[#This Row],[SOLUÇÃO]]=BX$1,[1]!BANCO10[[#This Row],[STATUS DA ETAPA]],"")</f>
        <v/>
      </c>
      <c r="BY571" s="21" t="str">
        <f>IF([1]!BANCO10[[#This Row],[SOLUÇÃO]]=BY$1,[1]!BANCO10[[#This Row],[STATUS DA ETAPA]],"")</f>
        <v/>
      </c>
      <c r="BZ571" s="21" t="str">
        <f>IF([1]!BANCO10[[#This Row],[SOLUÇÃO]]=BZ$1,[1]!BANCO10[[#This Row],[STATUS DA ETAPA]],"")</f>
        <v/>
      </c>
      <c r="CA571" s="21" t="str">
        <f>IF([1]!BANCO10[[#This Row],[SOLUÇÃO]]=CA$1,[1]!BANCO10[[#This Row],[STATUS DA ETAPA]],"")</f>
        <v/>
      </c>
      <c r="CB571" s="21" t="str">
        <f>IF([1]!BANCO10[[#This Row],[SOLUÇÃO]]=CB$1,[1]!BANCO10[[#This Row],[STATUS DA ETAPA]],"")</f>
        <v/>
      </c>
      <c r="CC571" s="21" t="str">
        <f>IF([1]!BANCO10[[#This Row],[SOLUÇÃO]]=CC$1,[1]!BANCO10[[#This Row],[STATUS DA ETAPA]],"")</f>
        <v/>
      </c>
      <c r="CD571" s="21" t="str">
        <f>IF([1]!BANCO10[[#This Row],[SOLUÇÃO]]=CD$1,[1]!BANCO10[[#This Row],[STATUS DA ETAPA]],"")</f>
        <v/>
      </c>
      <c r="CE571" s="21" t="str">
        <f>IF([1]!BANCO10[[#This Row],[SOLUÇÃO]]=CE$1,[1]!BANCO10[[#This Row],[STATUS DA ETAPA]],"")</f>
        <v/>
      </c>
      <c r="CF571" s="21" t="str">
        <f>IF([1]!BANCO10[[#This Row],[SOLUÇÃO]]=CF$1,[1]!BANCO10[[#This Row],[STATUS DA ETAPA]],"")</f>
        <v/>
      </c>
      <c r="CG571" s="21" t="str">
        <f>IF([1]!BANCO10[[#This Row],[SOLUÇÃO]]=CG$1,[1]!BANCO10[[#This Row],[STATUS DA ETAPA]],"")</f>
        <v/>
      </c>
      <c r="CH571" s="21" t="str">
        <f>IF([1]!BANCO10[[#This Row],[SOLUÇÃO]]=CH$1,[1]!BANCO10[[#This Row],[STATUS DA ETAPA]],"")</f>
        <v/>
      </c>
      <c r="CI571" s="21" t="str">
        <f>IF([1]!BANCO10[[#This Row],[SOLUÇÃO]]=CI$1,[1]!BANCO10[[#This Row],[STATUS DA ETAPA]],"")</f>
        <v/>
      </c>
      <c r="CJ571" s="21" t="str">
        <f>IF([1]!BANCO10[[#This Row],[SOLUÇÃO]]=CJ$1,[1]!BANCO10[[#This Row],[STATUS DA ETAPA]],"")</f>
        <v/>
      </c>
      <c r="CK571" s="21" t="str">
        <f>IF([1]!BANCO10[[#This Row],[SOLUÇÃO]]=CK$1,[1]!BANCO10[[#This Row],[STATUS DA ETAPA]],"")</f>
        <v/>
      </c>
      <c r="CL571" s="22" t="str">
        <f>IF([1]!BANCO10[[#This Row],[SOLUÇÃO]]=CL$1,[1]!BANCO10[[#This Row],[STATUS DA ETAPA]],"")</f>
        <v/>
      </c>
      <c r="CM571" s="64" t="str">
        <f>IF([1]!BANCO10[[#This Row],[SOLUÇÃO]]=CM$1,[1]!BANCO10[[#This Row],[STATUS DA ETAPA]],"")</f>
        <v/>
      </c>
      <c r="CN571" s="64" t="str">
        <f>IF([1]!BANCO10[[#This Row],[SOLUÇÃO]]=CN$1,[1]!BANCO10[[#This Row],[STATUS DA ETAPA]],"")</f>
        <v/>
      </c>
      <c r="CO571" s="64" t="str">
        <f>IF([1]!BANCO10[[#This Row],[SOLUÇÃO]]=CO$1,[1]!BANCO10[[#This Row],[STATUS DA ETAPA]],"")</f>
        <v/>
      </c>
      <c r="CP571" s="64" t="str">
        <f>IF([1]!BANCO10[[#This Row],[SOLUÇÃO]]=CP$1,[1]!BANCO10[[#This Row],[STATUS DA ETAPA]],"")</f>
        <v/>
      </c>
      <c r="CQ571" s="64" t="str">
        <f>IF([1]!BANCO10[[#This Row],[SOLUÇÃO]]=CQ$1,[1]!BANCO10[[#This Row],[STATUS DA ETAPA]],"")</f>
        <v/>
      </c>
      <c r="CR571" s="64" t="str">
        <f>IF([1]!BANCO10[[#This Row],[SOLUÇÃO]]=CR$1,[1]!BANCO10[[#This Row],[STATUS DA ETAPA]],"")</f>
        <v/>
      </c>
      <c r="CS571" s="64" t="str">
        <f>IF([1]!BANCO10[[#This Row],[SOLUÇÃO]]=CS$1,[1]!BANCO10[[#This Row],[STATUS DA ETAPA]],"")</f>
        <v/>
      </c>
      <c r="CT571" s="64" t="str">
        <f>IF([1]!BANCO10[[#This Row],[SOLUÇÃO]]=CT$1,[1]!BANCO10[[#This Row],[STATUS DA ETAPA]],"")</f>
        <v/>
      </c>
      <c r="CU571" s="64" t="str">
        <f>IF([1]!BANCO10[[#This Row],[SOLUÇÃO]]=CU$1,[1]!BANCO10[[#This Row],[STATUS DA ETAPA]],"")</f>
        <v/>
      </c>
      <c r="CV571" s="64" t="str">
        <f>IF([1]!BANCO10[[#This Row],[SOLUÇÃO]]=CV$1,[1]!BANCO10[[#This Row],[STATUS DA ETAPA]],"")</f>
        <v/>
      </c>
    </row>
    <row r="572" spans="1:100">
      <c r="A572" s="44" t="s">
        <v>1</v>
      </c>
      <c r="B572" s="44"/>
      <c r="C572" s="44" t="s">
        <v>1</v>
      </c>
      <c r="D572" s="44"/>
      <c r="E572" s="44" t="s">
        <v>1</v>
      </c>
      <c r="F572" s="44"/>
      <c r="G572" s="44" t="s">
        <v>1</v>
      </c>
      <c r="H572" s="44"/>
      <c r="I572" s="45" t="s">
        <v>1</v>
      </c>
      <c r="J572" s="46"/>
      <c r="K572" s="45" t="s">
        <v>1</v>
      </c>
      <c r="L572" s="33"/>
      <c r="M572" s="45" t="s">
        <v>1</v>
      </c>
      <c r="N572" s="33"/>
      <c r="O572" s="44" t="s">
        <v>2</v>
      </c>
      <c r="P572" s="44">
        <v>44971</v>
      </c>
      <c r="Q572" s="44" t="s">
        <v>2</v>
      </c>
      <c r="R572" s="44">
        <v>44971</v>
      </c>
      <c r="S572" s="44" t="s">
        <v>2</v>
      </c>
      <c r="T572" s="44">
        <v>44971</v>
      </c>
      <c r="U572" s="44"/>
      <c r="V572" s="44"/>
      <c r="W572" s="44" t="s">
        <v>2</v>
      </c>
      <c r="X572" s="44"/>
      <c r="Y572" s="44" t="s">
        <v>2</v>
      </c>
      <c r="Z572" s="44">
        <v>45000</v>
      </c>
      <c r="AA572" s="44" t="s">
        <v>2</v>
      </c>
      <c r="AB572" s="44"/>
      <c r="AC572" s="51">
        <v>45034</v>
      </c>
      <c r="AD572" s="50">
        <v>45139</v>
      </c>
      <c r="AE572" s="40" t="s">
        <v>2</v>
      </c>
      <c r="AF572" s="40" t="s">
        <v>2</v>
      </c>
      <c r="AG572" s="40" t="s">
        <v>5</v>
      </c>
      <c r="AH572" s="36" t="s">
        <v>0</v>
      </c>
      <c r="AI572" s="49">
        <v>0</v>
      </c>
      <c r="AJ572" s="36"/>
      <c r="AK572" s="10"/>
      <c r="AL572" s="36" t="s">
        <v>22</v>
      </c>
      <c r="AM572" s="36" t="s">
        <v>1</v>
      </c>
      <c r="AN572" s="35" t="s">
        <v>1</v>
      </c>
      <c r="AO572" s="35" t="s">
        <v>1</v>
      </c>
      <c r="AP572" s="35" t="s">
        <v>2</v>
      </c>
      <c r="AQ572" s="35" t="s">
        <v>1</v>
      </c>
      <c r="AR572" s="34" t="s">
        <v>1</v>
      </c>
      <c r="AS572" s="33"/>
      <c r="AT572" s="30"/>
      <c r="AU572" s="55"/>
      <c r="AV572" s="30"/>
      <c r="AW572" s="55"/>
      <c r="AX572" s="30" t="s">
        <v>2</v>
      </c>
      <c r="AY572" s="55">
        <v>45140</v>
      </c>
      <c r="AZ572" s="30" t="s">
        <v>2</v>
      </c>
      <c r="BA572" s="66"/>
      <c r="BB572" s="39"/>
      <c r="BC572" s="25"/>
      <c r="BD572" s="24" t="s">
        <v>11</v>
      </c>
      <c r="BE572" s="24" t="s">
        <v>11</v>
      </c>
      <c r="BF572" s="79" t="s">
        <v>88</v>
      </c>
      <c r="BG572" s="79" t="s">
        <v>11</v>
      </c>
      <c r="BH572" s="80" t="s">
        <v>18</v>
      </c>
      <c r="BI572" s="79" t="s">
        <v>87</v>
      </c>
      <c r="BJ572" s="54" t="s">
        <v>37</v>
      </c>
      <c r="BK572" s="78" t="s">
        <v>19</v>
      </c>
      <c r="BL572" s="69">
        <v>45391</v>
      </c>
      <c r="BM572" s="78" t="s">
        <v>18</v>
      </c>
      <c r="BN572" s="78" t="s">
        <v>11</v>
      </c>
      <c r="BO572" s="78"/>
      <c r="BP572" s="78" t="s">
        <v>67</v>
      </c>
      <c r="BQ572" s="21">
        <f>YEAR([1]!BANCO10[[#This Row],[DATA INÍCIO]])</f>
        <v>2023</v>
      </c>
      <c r="BR572" s="21">
        <f>MONTH([1]!BANCO10[[#This Row],[DATA INÍCIO]])</f>
        <v>4</v>
      </c>
      <c r="BS572" s="21" t="e">
        <f>CONCATENATE(#REF!,#REF!)</f>
        <v>#REF!</v>
      </c>
      <c r="BT572" s="21"/>
      <c r="BU572" s="21" t="s">
        <v>317</v>
      </c>
      <c r="BV572" s="21" t="str">
        <f>IF([1]!BANCO10[[#This Row],[SOLUÇÃO]]=BV$1,[1]!BANCO10[[#This Row],[STATUS DA ETAPA]],"")</f>
        <v/>
      </c>
      <c r="BW572" s="21" t="str">
        <f>IF([1]!BANCO10[[#This Row],[SOLUÇÃO]]=BW$1,[1]!BANCO10[[#This Row],[STATUS DA ETAPA]],"")</f>
        <v/>
      </c>
      <c r="BX572" s="21" t="str">
        <f>IF([1]!BANCO10[[#This Row],[SOLUÇÃO]]=BX$1,[1]!BANCO10[[#This Row],[STATUS DA ETAPA]],"")</f>
        <v/>
      </c>
      <c r="BY572" s="21" t="str">
        <f>IF([1]!BANCO10[[#This Row],[SOLUÇÃO]]=BY$1,[1]!BANCO10[[#This Row],[STATUS DA ETAPA]],"")</f>
        <v/>
      </c>
      <c r="BZ572" s="21" t="str">
        <f>IF([1]!BANCO10[[#This Row],[SOLUÇÃO]]=BZ$1,[1]!BANCO10[[#This Row],[STATUS DA ETAPA]],"")</f>
        <v/>
      </c>
      <c r="CA572" s="21" t="str">
        <f>IF([1]!BANCO10[[#This Row],[SOLUÇÃO]]=CA$1,[1]!BANCO10[[#This Row],[STATUS DA ETAPA]],"")</f>
        <v>CONCLUÍDO</v>
      </c>
      <c r="CB572" s="21" t="str">
        <f>IF([1]!BANCO10[[#This Row],[SOLUÇÃO]]=CB$1,[1]!BANCO10[[#This Row],[STATUS DA ETAPA]],"")</f>
        <v/>
      </c>
      <c r="CC572" s="21" t="str">
        <f>IF([1]!BANCO10[[#This Row],[SOLUÇÃO]]=CC$1,[1]!BANCO10[[#This Row],[STATUS DA ETAPA]],"")</f>
        <v/>
      </c>
      <c r="CD572" s="21" t="str">
        <f>IF([1]!BANCO10[[#This Row],[SOLUÇÃO]]=CD$1,[1]!BANCO10[[#This Row],[STATUS DA ETAPA]],"")</f>
        <v/>
      </c>
      <c r="CE572" s="21" t="str">
        <f>IF([1]!BANCO10[[#This Row],[SOLUÇÃO]]=CE$1,[1]!BANCO10[[#This Row],[STATUS DA ETAPA]],"")</f>
        <v/>
      </c>
      <c r="CF572" s="21" t="str">
        <f>IF([1]!BANCO10[[#This Row],[SOLUÇÃO]]=CF$1,[1]!BANCO10[[#This Row],[STATUS DA ETAPA]],"")</f>
        <v/>
      </c>
      <c r="CG572" s="21" t="str">
        <f>IF([1]!BANCO10[[#This Row],[SOLUÇÃO]]=CG$1,[1]!BANCO10[[#This Row],[STATUS DA ETAPA]],"")</f>
        <v/>
      </c>
      <c r="CH572" s="21" t="str">
        <f>IF([1]!BANCO10[[#This Row],[SOLUÇÃO]]=CH$1,[1]!BANCO10[[#This Row],[STATUS DA ETAPA]],"")</f>
        <v/>
      </c>
      <c r="CI572" s="21" t="str">
        <f>IF([1]!BANCO10[[#This Row],[SOLUÇÃO]]=CI$1,[1]!BANCO10[[#This Row],[STATUS DA ETAPA]],"")</f>
        <v/>
      </c>
      <c r="CJ572" s="21" t="str">
        <f>IF([1]!BANCO10[[#This Row],[SOLUÇÃO]]=CJ$1,[1]!BANCO10[[#This Row],[STATUS DA ETAPA]],"")</f>
        <v/>
      </c>
      <c r="CK572" s="21" t="str">
        <f>IF([1]!BANCO10[[#This Row],[SOLUÇÃO]]=CK$1,[1]!BANCO10[[#This Row],[STATUS DA ETAPA]],"")</f>
        <v/>
      </c>
      <c r="CL572" s="22" t="str">
        <f>IF([1]!BANCO10[[#This Row],[SOLUÇÃO]]=CL$1,[1]!BANCO10[[#This Row],[STATUS DA ETAPA]],"")</f>
        <v/>
      </c>
      <c r="CM572" s="64" t="str">
        <f>IF([1]!BANCO10[[#This Row],[SOLUÇÃO]]=CM$1,[1]!BANCO10[[#This Row],[STATUS DA ETAPA]],"")</f>
        <v/>
      </c>
      <c r="CN572" s="64" t="str">
        <f>IF([1]!BANCO10[[#This Row],[SOLUÇÃO]]=CN$1,[1]!BANCO10[[#This Row],[STATUS DA ETAPA]],"")</f>
        <v/>
      </c>
      <c r="CO572" s="64" t="str">
        <f>IF([1]!BANCO10[[#This Row],[SOLUÇÃO]]=CO$1,[1]!BANCO10[[#This Row],[STATUS DA ETAPA]],"")</f>
        <v/>
      </c>
      <c r="CP572" s="64" t="str">
        <f>IF([1]!BANCO10[[#This Row],[SOLUÇÃO]]=CP$1,[1]!BANCO10[[#This Row],[STATUS DA ETAPA]],"")</f>
        <v/>
      </c>
      <c r="CQ572" s="64" t="str">
        <f>IF([1]!BANCO10[[#This Row],[SOLUÇÃO]]=CQ$1,[1]!BANCO10[[#This Row],[STATUS DA ETAPA]],"")</f>
        <v/>
      </c>
      <c r="CR572" s="64" t="str">
        <f>IF([1]!BANCO10[[#This Row],[SOLUÇÃO]]=CR$1,[1]!BANCO10[[#This Row],[STATUS DA ETAPA]],"")</f>
        <v/>
      </c>
      <c r="CS572" s="64" t="str">
        <f>IF([1]!BANCO10[[#This Row],[SOLUÇÃO]]=CS$1,[1]!BANCO10[[#This Row],[STATUS DA ETAPA]],"")</f>
        <v/>
      </c>
      <c r="CT572" s="64" t="str">
        <f>IF([1]!BANCO10[[#This Row],[SOLUÇÃO]]=CT$1,[1]!BANCO10[[#This Row],[STATUS DA ETAPA]],"")</f>
        <v/>
      </c>
      <c r="CU572" s="64" t="str">
        <f>IF([1]!BANCO10[[#This Row],[SOLUÇÃO]]=CU$1,[1]!BANCO10[[#This Row],[STATUS DA ETAPA]],"")</f>
        <v/>
      </c>
      <c r="CV572" s="64" t="str">
        <f>IF([1]!BANCO10[[#This Row],[SOLUÇÃO]]=CV$1,[1]!BANCO10[[#This Row],[STATUS DA ETAPA]],"")</f>
        <v/>
      </c>
    </row>
    <row r="573" spans="1:100">
      <c r="A573" s="44" t="s">
        <v>1</v>
      </c>
      <c r="B573" s="44"/>
      <c r="C573" s="44" t="s">
        <v>1</v>
      </c>
      <c r="D573" s="44"/>
      <c r="E573" s="44" t="s">
        <v>1</v>
      </c>
      <c r="F573" s="44"/>
      <c r="G573" s="44" t="s">
        <v>1</v>
      </c>
      <c r="H573" s="44"/>
      <c r="I573" s="45" t="s">
        <v>1</v>
      </c>
      <c r="J573" s="46"/>
      <c r="K573" s="45" t="s">
        <v>1</v>
      </c>
      <c r="L573" s="33"/>
      <c r="M573" s="45" t="s">
        <v>1</v>
      </c>
      <c r="N573" s="33"/>
      <c r="O573" s="44" t="s">
        <v>1</v>
      </c>
      <c r="P573" s="44"/>
      <c r="Q573" s="44" t="s">
        <v>1</v>
      </c>
      <c r="R573" s="44"/>
      <c r="S573" s="44" t="s">
        <v>1</v>
      </c>
      <c r="T573" s="44"/>
      <c r="U573" s="44" t="s">
        <v>1</v>
      </c>
      <c r="V573" s="44"/>
      <c r="W573" s="44" t="s">
        <v>1</v>
      </c>
      <c r="X573" s="44"/>
      <c r="Y573" s="44" t="s">
        <v>1</v>
      </c>
      <c r="Z573" s="44"/>
      <c r="AA573" s="44" t="s">
        <v>1</v>
      </c>
      <c r="AB573" s="44"/>
      <c r="AC573" s="51">
        <v>45554</v>
      </c>
      <c r="AD573" s="50">
        <v>45554</v>
      </c>
      <c r="AE573" s="41" t="s">
        <v>1</v>
      </c>
      <c r="AF573" s="41" t="s">
        <v>1</v>
      </c>
      <c r="AG573" s="40" t="s">
        <v>5</v>
      </c>
      <c r="AH573" s="36" t="s">
        <v>1</v>
      </c>
      <c r="AI573" s="49">
        <v>0</v>
      </c>
      <c r="AJ573" s="36" t="s">
        <v>1</v>
      </c>
      <c r="AK573" s="10" t="s">
        <v>1</v>
      </c>
      <c r="AL573" s="36" t="s">
        <v>1</v>
      </c>
      <c r="AM573" s="36" t="s">
        <v>1</v>
      </c>
      <c r="AN573" s="35" t="s">
        <v>1</v>
      </c>
      <c r="AO573" s="35" t="s">
        <v>1</v>
      </c>
      <c r="AP573" s="35" t="s">
        <v>1</v>
      </c>
      <c r="AQ573" s="35" t="s">
        <v>1</v>
      </c>
      <c r="AR573" s="90" t="s">
        <v>1</v>
      </c>
      <c r="AS573" s="89"/>
      <c r="AT573" s="88"/>
      <c r="AU573" s="25"/>
      <c r="AV573" s="88"/>
      <c r="AW573" s="25"/>
      <c r="AX573" s="88" t="s">
        <v>1</v>
      </c>
      <c r="AY573" s="25"/>
      <c r="AZ573" s="88" t="s">
        <v>1</v>
      </c>
      <c r="BA573" s="25"/>
      <c r="BB573" s="39"/>
      <c r="BC573" s="25"/>
      <c r="BD573" s="24"/>
      <c r="BE573" s="24"/>
      <c r="BF573" s="79"/>
      <c r="BG573" s="79"/>
      <c r="BH573" s="80"/>
      <c r="BI573" s="79"/>
      <c r="BJ573" s="54"/>
      <c r="BK573" s="78"/>
      <c r="BL573" s="69"/>
      <c r="BM573" s="78"/>
      <c r="BN573" s="78"/>
      <c r="BO573" s="78"/>
      <c r="BP573" s="78"/>
      <c r="BQ573" s="21">
        <f>YEAR([1]!BANCO10[[#This Row],[DATA INÍCIO]])</f>
        <v>2024</v>
      </c>
      <c r="BR573" s="21">
        <f>MONTH([1]!BANCO10[[#This Row],[DATA INÍCIO]])</f>
        <v>9</v>
      </c>
      <c r="BS573" s="21" t="e">
        <f>CONCATENATE(#REF!,#REF!)</f>
        <v>#REF!</v>
      </c>
      <c r="BT573" s="21"/>
      <c r="BU573" s="21"/>
      <c r="BV573" s="21" t="str">
        <f>IF([1]!BANCO10[[#This Row],[SOLUÇÃO]]=BV$1,[1]!BANCO10[[#This Row],[STATUS DA ETAPA]],"")</f>
        <v>CONCLUÍDO</v>
      </c>
      <c r="BW573" s="21" t="str">
        <f>IF([1]!BANCO10[[#This Row],[SOLUÇÃO]]=BW$1,[1]!BANCO10[[#This Row],[STATUS DA ETAPA]],"")</f>
        <v/>
      </c>
      <c r="BX573" s="21" t="str">
        <f>IF([1]!BANCO10[[#This Row],[SOLUÇÃO]]=BX$1,[1]!BANCO10[[#This Row],[STATUS DA ETAPA]],"")</f>
        <v/>
      </c>
      <c r="BY573" s="21" t="str">
        <f>IF([1]!BANCO10[[#This Row],[SOLUÇÃO]]=BY$1,[1]!BANCO10[[#This Row],[STATUS DA ETAPA]],"")</f>
        <v/>
      </c>
      <c r="BZ573" s="21" t="str">
        <f>IF([1]!BANCO10[[#This Row],[SOLUÇÃO]]=BZ$1,[1]!BANCO10[[#This Row],[STATUS DA ETAPA]],"")</f>
        <v/>
      </c>
      <c r="CA573" s="21" t="str">
        <f>IF([1]!BANCO10[[#This Row],[SOLUÇÃO]]=CA$1,[1]!BANCO10[[#This Row],[STATUS DA ETAPA]],"")</f>
        <v/>
      </c>
      <c r="CB573" s="21" t="str">
        <f>IF([1]!BANCO10[[#This Row],[SOLUÇÃO]]=CB$1,[1]!BANCO10[[#This Row],[STATUS DA ETAPA]],"")</f>
        <v/>
      </c>
      <c r="CC573" s="21" t="str">
        <f>IF([1]!BANCO10[[#This Row],[SOLUÇÃO]]=CC$1,[1]!BANCO10[[#This Row],[STATUS DA ETAPA]],"")</f>
        <v/>
      </c>
      <c r="CD573" s="21" t="str">
        <f>IF([1]!BANCO10[[#This Row],[SOLUÇÃO]]=CD$1,[1]!BANCO10[[#This Row],[STATUS DA ETAPA]],"")</f>
        <v/>
      </c>
      <c r="CE573" s="21" t="str">
        <f>IF([1]!BANCO10[[#This Row],[SOLUÇÃO]]=CE$1,[1]!BANCO10[[#This Row],[STATUS DA ETAPA]],"")</f>
        <v/>
      </c>
      <c r="CF573" s="21" t="str">
        <f>IF([1]!BANCO10[[#This Row],[SOLUÇÃO]]=CF$1,[1]!BANCO10[[#This Row],[STATUS DA ETAPA]],"")</f>
        <v/>
      </c>
      <c r="CG573" s="21" t="str">
        <f>IF([1]!BANCO10[[#This Row],[SOLUÇÃO]]=CG$1,[1]!BANCO10[[#This Row],[STATUS DA ETAPA]],"")</f>
        <v/>
      </c>
      <c r="CH573" s="21" t="str">
        <f>IF([1]!BANCO10[[#This Row],[SOLUÇÃO]]=CH$1,[1]!BANCO10[[#This Row],[STATUS DA ETAPA]],"")</f>
        <v/>
      </c>
      <c r="CI573" s="21" t="str">
        <f>IF([1]!BANCO10[[#This Row],[SOLUÇÃO]]=CI$1,[1]!BANCO10[[#This Row],[STATUS DA ETAPA]],"")</f>
        <v/>
      </c>
      <c r="CJ573" s="21" t="str">
        <f>IF([1]!BANCO10[[#This Row],[SOLUÇÃO]]=CJ$1,[1]!BANCO10[[#This Row],[STATUS DA ETAPA]],"")</f>
        <v/>
      </c>
      <c r="CK573" s="21" t="str">
        <f>IF([1]!BANCO10[[#This Row],[SOLUÇÃO]]=CK$1,[1]!BANCO10[[#This Row],[STATUS DA ETAPA]],"")</f>
        <v/>
      </c>
      <c r="CL573" s="22" t="str">
        <f>IF([1]!BANCO10[[#This Row],[SOLUÇÃO]]=CL$1,[1]!BANCO10[[#This Row],[STATUS DA ETAPA]],"")</f>
        <v/>
      </c>
      <c r="CM573" s="64" t="str">
        <f>IF([1]!BANCO10[[#This Row],[SOLUÇÃO]]=CM$1,[1]!BANCO10[[#This Row],[STATUS DA ETAPA]],"")</f>
        <v/>
      </c>
      <c r="CN573" s="64" t="str">
        <f>IF([1]!BANCO10[[#This Row],[SOLUÇÃO]]=CN$1,[1]!BANCO10[[#This Row],[STATUS DA ETAPA]],"")</f>
        <v/>
      </c>
      <c r="CO573" s="64" t="str">
        <f>IF([1]!BANCO10[[#This Row],[SOLUÇÃO]]=CO$1,[1]!BANCO10[[#This Row],[STATUS DA ETAPA]],"")</f>
        <v/>
      </c>
      <c r="CP573" s="64" t="str">
        <f>IF([1]!BANCO10[[#This Row],[SOLUÇÃO]]=CP$1,[1]!BANCO10[[#This Row],[STATUS DA ETAPA]],"")</f>
        <v/>
      </c>
      <c r="CQ573" s="64" t="str">
        <f>IF([1]!BANCO10[[#This Row],[SOLUÇÃO]]=CQ$1,[1]!BANCO10[[#This Row],[STATUS DA ETAPA]],"")</f>
        <v/>
      </c>
      <c r="CR573" s="64" t="str">
        <f>IF([1]!BANCO10[[#This Row],[SOLUÇÃO]]=CR$1,[1]!BANCO10[[#This Row],[STATUS DA ETAPA]],"")</f>
        <v/>
      </c>
      <c r="CS573" s="64" t="str">
        <f>IF([1]!BANCO10[[#This Row],[SOLUÇÃO]]=CS$1,[1]!BANCO10[[#This Row],[STATUS DA ETAPA]],"")</f>
        <v/>
      </c>
      <c r="CT573" s="64" t="str">
        <f>IF([1]!BANCO10[[#This Row],[SOLUÇÃO]]=CT$1,[1]!BANCO10[[#This Row],[STATUS DA ETAPA]],"")</f>
        <v/>
      </c>
      <c r="CU573" s="64" t="str">
        <f>IF([1]!BANCO10[[#This Row],[SOLUÇÃO]]=CU$1,[1]!BANCO10[[#This Row],[STATUS DA ETAPA]],"")</f>
        <v/>
      </c>
      <c r="CV573" s="64" t="str">
        <f>IF([1]!BANCO10[[#This Row],[SOLUÇÃO]]=CV$1,[1]!BANCO10[[#This Row],[STATUS DA ETAPA]],"")</f>
        <v/>
      </c>
    </row>
    <row r="574" spans="1:100">
      <c r="A574" s="44" t="s">
        <v>1</v>
      </c>
      <c r="B574" s="44"/>
      <c r="C574" s="44" t="s">
        <v>1</v>
      </c>
      <c r="D574" s="44"/>
      <c r="E574" s="44" t="s">
        <v>1</v>
      </c>
      <c r="F574" s="44"/>
      <c r="G574" s="44" t="s">
        <v>1</v>
      </c>
      <c r="H574" s="44"/>
      <c r="I574" s="45" t="s">
        <v>1</v>
      </c>
      <c r="J574" s="46"/>
      <c r="K574" s="45" t="s">
        <v>1</v>
      </c>
      <c r="L574" s="33"/>
      <c r="M574" s="45" t="s">
        <v>1</v>
      </c>
      <c r="N574" s="33"/>
      <c r="O574" s="44" t="s">
        <v>2</v>
      </c>
      <c r="P574" s="44">
        <v>45531</v>
      </c>
      <c r="Q574" s="44" t="s">
        <v>2</v>
      </c>
      <c r="R574" s="44">
        <v>45536</v>
      </c>
      <c r="S574" s="44" t="s">
        <v>2</v>
      </c>
      <c r="T574" s="44">
        <v>45607</v>
      </c>
      <c r="U574" s="44" t="s">
        <v>1</v>
      </c>
      <c r="V574" s="44"/>
      <c r="W574" s="44" t="s">
        <v>1</v>
      </c>
      <c r="X574" s="44"/>
      <c r="Y574" s="44" t="s">
        <v>1</v>
      </c>
      <c r="Z574" s="44"/>
      <c r="AA574" s="44" t="s">
        <v>1</v>
      </c>
      <c r="AB574" s="44"/>
      <c r="AC574" s="51">
        <v>45680</v>
      </c>
      <c r="AD574" s="50">
        <v>45772</v>
      </c>
      <c r="AE574" s="41" t="s">
        <v>2</v>
      </c>
      <c r="AF574" s="41" t="s">
        <v>2</v>
      </c>
      <c r="AG574" s="40" t="s">
        <v>5</v>
      </c>
      <c r="AH574" s="36" t="s">
        <v>0</v>
      </c>
      <c r="AI574" s="49">
        <v>0</v>
      </c>
      <c r="AJ574" s="36" t="s">
        <v>6</v>
      </c>
      <c r="AK574" s="10">
        <v>574814</v>
      </c>
      <c r="AL574" s="36" t="s">
        <v>1</v>
      </c>
      <c r="AM574" s="36" t="s">
        <v>1</v>
      </c>
      <c r="AN574" s="35" t="s">
        <v>2</v>
      </c>
      <c r="AO574" s="35" t="s">
        <v>2</v>
      </c>
      <c r="AP574" s="35" t="s">
        <v>2</v>
      </c>
      <c r="AQ574" s="35" t="s">
        <v>2</v>
      </c>
      <c r="AR574" s="34" t="s">
        <v>2</v>
      </c>
      <c r="AS574" s="33">
        <v>45804</v>
      </c>
      <c r="AT574" s="32" t="s">
        <v>1</v>
      </c>
      <c r="AU574" s="31"/>
      <c r="AV574" s="32" t="s">
        <v>1</v>
      </c>
      <c r="AW574" s="31"/>
      <c r="AX574" s="30" t="s">
        <v>2</v>
      </c>
      <c r="AY574" s="29">
        <v>45804</v>
      </c>
      <c r="AZ574" s="28" t="s">
        <v>0</v>
      </c>
      <c r="BA574" s="27"/>
      <c r="BB574" s="95" t="s">
        <v>143</v>
      </c>
      <c r="BC574" s="25" t="s">
        <v>41</v>
      </c>
      <c r="BD574" s="24"/>
      <c r="BE574" s="24"/>
      <c r="BF574" s="79"/>
      <c r="BG574" s="79"/>
      <c r="BH574" s="80"/>
      <c r="BI574" s="79"/>
      <c r="BJ574" s="54"/>
      <c r="BK574" s="78"/>
      <c r="BL574" s="69"/>
      <c r="BM574" s="78"/>
      <c r="BN574" s="78"/>
      <c r="BO574" s="78"/>
      <c r="BP574" s="78"/>
      <c r="BQ574" s="21">
        <f>YEAR([1]!BANCO10[[#This Row],[DATA INÍCIO]])</f>
        <v>2025</v>
      </c>
      <c r="BR574" s="21">
        <f>MONTH([1]!BANCO10[[#This Row],[DATA INÍCIO]])</f>
        <v>1</v>
      </c>
      <c r="BS574" s="21" t="e">
        <f>CONCATENATE(#REF!,#REF!)</f>
        <v>#REF!</v>
      </c>
      <c r="BT574" s="21"/>
      <c r="BU574" s="21"/>
      <c r="BV574" s="21" t="str">
        <f>IF([1]!BANCO10[[#This Row],[SOLUÇÃO]]=BV$1,[1]!BANCO10[[#This Row],[STATUS DA ETAPA]],"")</f>
        <v/>
      </c>
      <c r="BW574" s="21" t="str">
        <f>IF([1]!BANCO10[[#This Row],[SOLUÇÃO]]=BW$1,[1]!BANCO10[[#This Row],[STATUS DA ETAPA]],"")</f>
        <v/>
      </c>
      <c r="BX574" s="21" t="str">
        <f>IF([1]!BANCO10[[#This Row],[SOLUÇÃO]]=BX$1,[1]!BANCO10[[#This Row],[STATUS DA ETAPA]],"")</f>
        <v/>
      </c>
      <c r="BY574" s="21" t="str">
        <f>IF([1]!BANCO10[[#This Row],[SOLUÇÃO]]=BY$1,[1]!BANCO10[[#This Row],[STATUS DA ETAPA]],"")</f>
        <v/>
      </c>
      <c r="BZ574" s="21" t="str">
        <f>IF([1]!BANCO10[[#This Row],[SOLUÇÃO]]=BZ$1,[1]!BANCO10[[#This Row],[STATUS DA ETAPA]],"")</f>
        <v/>
      </c>
      <c r="CA574" s="21" t="str">
        <f>IF([1]!BANCO10[[#This Row],[SOLUÇÃO]]=CA$1,[1]!BANCO10[[#This Row],[STATUS DA ETAPA]],"")</f>
        <v/>
      </c>
      <c r="CB574" s="21" t="str">
        <f>IF([1]!BANCO10[[#This Row],[SOLUÇÃO]]=CB$1,[1]!BANCO10[[#This Row],[STATUS DA ETAPA]],"")</f>
        <v>CONCLUÍDO</v>
      </c>
      <c r="CC574" s="21" t="str">
        <f>IF([1]!BANCO10[[#This Row],[SOLUÇÃO]]=CC$1,[1]!BANCO10[[#This Row],[STATUS DA ETAPA]],"")</f>
        <v/>
      </c>
      <c r="CD574" s="21" t="str">
        <f>IF([1]!BANCO10[[#This Row],[SOLUÇÃO]]=CD$1,[1]!BANCO10[[#This Row],[STATUS DA ETAPA]],"")</f>
        <v/>
      </c>
      <c r="CE574" s="21" t="str">
        <f>IF([1]!BANCO10[[#This Row],[SOLUÇÃO]]=CE$1,[1]!BANCO10[[#This Row],[STATUS DA ETAPA]],"")</f>
        <v/>
      </c>
      <c r="CF574" s="21" t="str">
        <f>IF([1]!BANCO10[[#This Row],[SOLUÇÃO]]=CF$1,[1]!BANCO10[[#This Row],[STATUS DA ETAPA]],"")</f>
        <v/>
      </c>
      <c r="CG574" s="21" t="str">
        <f>IF([1]!BANCO10[[#This Row],[SOLUÇÃO]]=CG$1,[1]!BANCO10[[#This Row],[STATUS DA ETAPA]],"")</f>
        <v/>
      </c>
      <c r="CH574" s="21" t="str">
        <f>IF([1]!BANCO10[[#This Row],[SOLUÇÃO]]=CH$1,[1]!BANCO10[[#This Row],[STATUS DA ETAPA]],"")</f>
        <v/>
      </c>
      <c r="CI574" s="21" t="str">
        <f>IF([1]!BANCO10[[#This Row],[SOLUÇÃO]]=CI$1,[1]!BANCO10[[#This Row],[STATUS DA ETAPA]],"")</f>
        <v/>
      </c>
      <c r="CJ574" s="21" t="str">
        <f>IF([1]!BANCO10[[#This Row],[SOLUÇÃO]]=CJ$1,[1]!BANCO10[[#This Row],[STATUS DA ETAPA]],"")</f>
        <v/>
      </c>
      <c r="CK574" s="21" t="str">
        <f>IF([1]!BANCO10[[#This Row],[SOLUÇÃO]]=CK$1,[1]!BANCO10[[#This Row],[STATUS DA ETAPA]],"")</f>
        <v/>
      </c>
      <c r="CL574" s="22" t="str">
        <f>IF([1]!BANCO10[[#This Row],[SOLUÇÃO]]=CL$1,[1]!BANCO10[[#This Row],[STATUS DA ETAPA]],"")</f>
        <v/>
      </c>
      <c r="CM574" s="64" t="str">
        <f>IF([1]!BANCO10[[#This Row],[SOLUÇÃO]]=CM$1,[1]!BANCO10[[#This Row],[STATUS DA ETAPA]],"")</f>
        <v/>
      </c>
      <c r="CN574" s="64" t="str">
        <f>IF([1]!BANCO10[[#This Row],[SOLUÇÃO]]=CN$1,[1]!BANCO10[[#This Row],[STATUS DA ETAPA]],"")</f>
        <v/>
      </c>
      <c r="CO574" s="64" t="str">
        <f>IF([1]!BANCO10[[#This Row],[SOLUÇÃO]]=CO$1,[1]!BANCO10[[#This Row],[STATUS DA ETAPA]],"")</f>
        <v/>
      </c>
      <c r="CP574" s="64" t="str">
        <f>IF([1]!BANCO10[[#This Row],[SOLUÇÃO]]=CP$1,[1]!BANCO10[[#This Row],[STATUS DA ETAPA]],"")</f>
        <v/>
      </c>
      <c r="CQ574" s="64" t="str">
        <f>IF([1]!BANCO10[[#This Row],[SOLUÇÃO]]=CQ$1,[1]!BANCO10[[#This Row],[STATUS DA ETAPA]],"")</f>
        <v/>
      </c>
      <c r="CR574" s="64" t="str">
        <f>IF([1]!BANCO10[[#This Row],[SOLUÇÃO]]=CR$1,[1]!BANCO10[[#This Row],[STATUS DA ETAPA]],"")</f>
        <v/>
      </c>
      <c r="CS574" s="64" t="str">
        <f>IF([1]!BANCO10[[#This Row],[SOLUÇÃO]]=CS$1,[1]!BANCO10[[#This Row],[STATUS DA ETAPA]],"")</f>
        <v/>
      </c>
      <c r="CT574" s="64" t="str">
        <f>IF([1]!BANCO10[[#This Row],[SOLUÇÃO]]=CT$1,[1]!BANCO10[[#This Row],[STATUS DA ETAPA]],"")</f>
        <v/>
      </c>
      <c r="CU574" s="64" t="str">
        <f>IF([1]!BANCO10[[#This Row],[SOLUÇÃO]]=CU$1,[1]!BANCO10[[#This Row],[STATUS DA ETAPA]],"")</f>
        <v/>
      </c>
      <c r="CV574" s="64" t="str">
        <f>IF([1]!BANCO10[[#This Row],[SOLUÇÃO]]=CV$1,[1]!BANCO10[[#This Row],[STATUS DA ETAPA]],"")</f>
        <v/>
      </c>
    </row>
    <row r="575" spans="1:100">
      <c r="A575" s="44" t="s">
        <v>1</v>
      </c>
      <c r="B575" s="44"/>
      <c r="C575" s="44" t="s">
        <v>1</v>
      </c>
      <c r="D575" s="44"/>
      <c r="E575" s="44" t="s">
        <v>1</v>
      </c>
      <c r="F575" s="44"/>
      <c r="G575" s="44" t="s">
        <v>1</v>
      </c>
      <c r="H575" s="44"/>
      <c r="I575" s="45" t="s">
        <v>1</v>
      </c>
      <c r="J575" s="46"/>
      <c r="K575" s="45" t="s">
        <v>1</v>
      </c>
      <c r="L575" s="33"/>
      <c r="M575" s="45" t="s">
        <v>1</v>
      </c>
      <c r="N575" s="33"/>
      <c r="O575" s="44" t="s">
        <v>1</v>
      </c>
      <c r="P575" s="44"/>
      <c r="Q575" s="44" t="s">
        <v>1</v>
      </c>
      <c r="R575" s="44"/>
      <c r="S575" s="44" t="s">
        <v>1</v>
      </c>
      <c r="T575" s="44"/>
      <c r="U575" s="44" t="s">
        <v>1</v>
      </c>
      <c r="V575" s="44"/>
      <c r="W575" s="44" t="s">
        <v>1</v>
      </c>
      <c r="X575" s="44"/>
      <c r="Y575" s="44" t="s">
        <v>1</v>
      </c>
      <c r="Z575" s="44"/>
      <c r="AA575" s="44" t="s">
        <v>1</v>
      </c>
      <c r="AB575" s="44"/>
      <c r="AC575" s="51">
        <v>45807</v>
      </c>
      <c r="AD575" s="50">
        <v>45807</v>
      </c>
      <c r="AE575" s="41" t="s">
        <v>1</v>
      </c>
      <c r="AF575" s="41" t="s">
        <v>1</v>
      </c>
      <c r="AG575" s="40" t="s">
        <v>4</v>
      </c>
      <c r="AH575" s="36" t="s">
        <v>0</v>
      </c>
      <c r="AI575" s="49">
        <v>0</v>
      </c>
      <c r="AJ575" s="36" t="s">
        <v>1</v>
      </c>
      <c r="AK575" s="10" t="s">
        <v>1</v>
      </c>
      <c r="AL575" s="36" t="s">
        <v>1</v>
      </c>
      <c r="AM575" s="36" t="s">
        <v>1</v>
      </c>
      <c r="AN575" s="35" t="s">
        <v>1</v>
      </c>
      <c r="AO575" s="35" t="s">
        <v>1</v>
      </c>
      <c r="AP575" s="35" t="s">
        <v>1</v>
      </c>
      <c r="AQ575" s="35" t="s">
        <v>2</v>
      </c>
      <c r="AR575" s="34" t="s">
        <v>0</v>
      </c>
      <c r="AS575" s="33"/>
      <c r="AT575" s="30" t="s">
        <v>0</v>
      </c>
      <c r="AU575" s="31"/>
      <c r="AV575" s="30" t="s">
        <v>0</v>
      </c>
      <c r="AW575" s="31"/>
      <c r="AX575" s="30" t="s">
        <v>0</v>
      </c>
      <c r="AY575" s="29"/>
      <c r="AZ575" s="28" t="s">
        <v>0</v>
      </c>
      <c r="BA575" s="27"/>
      <c r="BB575" s="26"/>
      <c r="BC575" s="25"/>
      <c r="BD575" s="24"/>
      <c r="BE575" s="24"/>
      <c r="BF575" s="24"/>
      <c r="BG575" s="24"/>
      <c r="BH575" s="24"/>
      <c r="BI575" s="24"/>
      <c r="BJ575" s="24"/>
      <c r="BK575" s="24"/>
      <c r="BL575" s="24"/>
      <c r="BM575" s="24"/>
      <c r="BN575" s="24"/>
      <c r="BO575" s="24"/>
      <c r="BP575" s="24"/>
      <c r="BQ575" s="22">
        <f>YEAR([1]!BANCO10[[#This Row],[DATA INÍCIO]])</f>
        <v>2025</v>
      </c>
      <c r="BR575" s="22">
        <f>MONTH([1]!BANCO10[[#This Row],[DATA INÍCIO]])</f>
        <v>5</v>
      </c>
      <c r="BS575" s="23" t="e">
        <f>CONCATENATE(#REF!,#REF!)</f>
        <v>#REF!</v>
      </c>
      <c r="BT575" s="22"/>
      <c r="BU575" s="22"/>
      <c r="BV575" s="21" t="str">
        <f>IF([1]!BANCO10[[#This Row],[SOLUÇÃO]]=BV$1,[1]!BANCO10[[#This Row],[STATUS DA ETAPA]],"")</f>
        <v/>
      </c>
      <c r="BW575" s="21" t="str">
        <f>IF([1]!BANCO10[[#This Row],[SOLUÇÃO]]=BW$1,[1]!BANCO10[[#This Row],[STATUS DA ETAPA]],"")</f>
        <v/>
      </c>
      <c r="BX575" s="21" t="str">
        <f>IF([1]!BANCO10[[#This Row],[SOLUÇÃO]]=BX$1,[1]!BANCO10[[#This Row],[STATUS DA ETAPA]],"")</f>
        <v/>
      </c>
      <c r="BY575" s="21" t="str">
        <f>IF([1]!BANCO10[[#This Row],[SOLUÇÃO]]=BY$1,[1]!BANCO10[[#This Row],[STATUS DA ETAPA]],"")</f>
        <v/>
      </c>
      <c r="BZ575" s="21" t="str">
        <f>IF([1]!BANCO10[[#This Row],[SOLUÇÃO]]=BZ$1,[1]!BANCO10[[#This Row],[STATUS DA ETAPA]],"")</f>
        <v/>
      </c>
      <c r="CA575" s="21" t="str">
        <f>IF([1]!BANCO10[[#This Row],[SOLUÇÃO]]=CA$1,[1]!BANCO10[[#This Row],[STATUS DA ETAPA]],"")</f>
        <v/>
      </c>
      <c r="CB575" s="21" t="str">
        <f>IF([1]!BANCO10[[#This Row],[SOLUÇÃO]]=CB$1,[1]!BANCO10[[#This Row],[STATUS DA ETAPA]],"")</f>
        <v/>
      </c>
      <c r="CC575" s="21" t="str">
        <f>IF([1]!BANCO10[[#This Row],[SOLUÇÃO]]=CC$1,[1]!BANCO10[[#This Row],[STATUS DA ETAPA]],"")</f>
        <v/>
      </c>
      <c r="CD575" s="21" t="str">
        <f>IF([1]!BANCO10[[#This Row],[SOLUÇÃO]]=CD$1,[1]!BANCO10[[#This Row],[STATUS DA ETAPA]],"")</f>
        <v/>
      </c>
      <c r="CE575" s="21" t="str">
        <f>IF([1]!BANCO10[[#This Row],[SOLUÇÃO]]=CE$1,[1]!BANCO10[[#This Row],[STATUS DA ETAPA]],"")</f>
        <v/>
      </c>
      <c r="CF575" s="21" t="str">
        <f>IF([1]!BANCO10[[#This Row],[SOLUÇÃO]]=CF$1,[1]!BANCO10[[#This Row],[STATUS DA ETAPA]],"")</f>
        <v/>
      </c>
      <c r="CG575" s="21" t="str">
        <f>IF([1]!BANCO10[[#This Row],[SOLUÇÃO]]=CG$1,[1]!BANCO10[[#This Row],[STATUS DA ETAPA]],"")</f>
        <v/>
      </c>
      <c r="CH575" s="21" t="str">
        <f>IF([1]!BANCO10[[#This Row],[SOLUÇÃO]]=CH$1,[1]!BANCO10[[#This Row],[STATUS DA ETAPA]],"")</f>
        <v/>
      </c>
      <c r="CI575" s="21" t="str">
        <f>IF([1]!BANCO10[[#This Row],[SOLUÇÃO]]=CI$1,[1]!BANCO10[[#This Row],[STATUS DA ETAPA]],"")</f>
        <v/>
      </c>
      <c r="CJ575" s="21" t="str">
        <f>IF([1]!BANCO10[[#This Row],[SOLUÇÃO]]=CJ$1,[1]!BANCO10[[#This Row],[STATUS DA ETAPA]],"")</f>
        <v/>
      </c>
      <c r="CK575" s="21" t="str">
        <f>IF([1]!BANCO10[[#This Row],[SOLUÇÃO]]=CK$1,[1]!BANCO10[[#This Row],[STATUS DA ETAPA]],"")</f>
        <v/>
      </c>
      <c r="CL575" s="21" t="str">
        <f>IF([1]!BANCO10[[#This Row],[SOLUÇÃO]]=CL$1,[1]!BANCO10[[#This Row],[STATUS DA ETAPA]],"")</f>
        <v/>
      </c>
      <c r="CM575" s="21" t="str">
        <f>IF([1]!BANCO10[[#This Row],[SOLUÇÃO]]=CM$1,[1]!BANCO10[[#This Row],[STATUS DA ETAPA]],"")</f>
        <v/>
      </c>
      <c r="CN575" s="21" t="str">
        <f>IF([1]!BANCO10[[#This Row],[SOLUÇÃO]]=CN$1,[1]!BANCO10[[#This Row],[STATUS DA ETAPA]],"")</f>
        <v/>
      </c>
      <c r="CO575" s="21" t="str">
        <f>IF([1]!BANCO10[[#This Row],[SOLUÇÃO]]=CO$1,[1]!BANCO10[[#This Row],[STATUS DA ETAPA]],"")</f>
        <v/>
      </c>
      <c r="CP575" s="21" t="str">
        <f>IF([1]!BANCO10[[#This Row],[SOLUÇÃO]]=CP$1,[1]!BANCO10[[#This Row],[STATUS DA ETAPA]],"")</f>
        <v/>
      </c>
      <c r="CQ575" s="21" t="str">
        <f>IF([1]!BANCO10[[#This Row],[SOLUÇÃO]]=CQ$1,[1]!BANCO10[[#This Row],[STATUS DA ETAPA]],"")</f>
        <v/>
      </c>
      <c r="CR575" s="21" t="str">
        <f>IF([1]!BANCO10[[#This Row],[SOLUÇÃO]]=CR$1,[1]!BANCO10[[#This Row],[STATUS DA ETAPA]],"")</f>
        <v/>
      </c>
      <c r="CS575" s="21" t="str">
        <f>IF([1]!BANCO10[[#This Row],[SOLUÇÃO]]=CS$1,[1]!BANCO10[[#This Row],[STATUS DA ETAPA]],"")</f>
        <v/>
      </c>
      <c r="CT575" s="21" t="str">
        <f>IF([1]!BANCO10[[#This Row],[SOLUÇÃO]]=CT$1,[1]!BANCO10[[#This Row],[STATUS DA ETAPA]],"")</f>
        <v/>
      </c>
      <c r="CU575" s="21" t="str">
        <f>IF([1]!BANCO10[[#This Row],[SOLUÇÃO]]=CU$1,[1]!BANCO10[[#This Row],[STATUS DA ETAPA]],"")</f>
        <v/>
      </c>
      <c r="CV575" s="21" t="str">
        <f>IF([1]!BANCO10[[#This Row],[SOLUÇÃO]]=CV$1,[1]!BANCO10[[#This Row],[STATUS DA ETAPA]],"")</f>
        <v/>
      </c>
    </row>
    <row r="576" spans="1:100">
      <c r="A576" s="44" t="s">
        <v>1</v>
      </c>
      <c r="B576" s="44"/>
      <c r="C576" s="44" t="s">
        <v>1</v>
      </c>
      <c r="D576" s="44"/>
      <c r="E576" s="44" t="s">
        <v>1</v>
      </c>
      <c r="F576" s="44"/>
      <c r="G576" s="44" t="s">
        <v>1</v>
      </c>
      <c r="H576" s="44"/>
      <c r="I576" s="45" t="s">
        <v>1</v>
      </c>
      <c r="J576" s="46"/>
      <c r="K576" s="45" t="s">
        <v>1</v>
      </c>
      <c r="L576" s="33"/>
      <c r="M576" s="45" t="s">
        <v>1</v>
      </c>
      <c r="N576" s="33"/>
      <c r="O576" s="44" t="s">
        <v>1</v>
      </c>
      <c r="P576" s="44"/>
      <c r="Q576" s="44" t="s">
        <v>1</v>
      </c>
      <c r="R576" s="44"/>
      <c r="S576" s="44" t="s">
        <v>1</v>
      </c>
      <c r="T576" s="44"/>
      <c r="U576" s="44" t="s">
        <v>2</v>
      </c>
      <c r="V576" s="44"/>
      <c r="W576" s="44" t="s">
        <v>2</v>
      </c>
      <c r="X576" s="44"/>
      <c r="Y576" s="44" t="s">
        <v>2</v>
      </c>
      <c r="Z576" s="44"/>
      <c r="AA576" s="44" t="s">
        <v>2</v>
      </c>
      <c r="AB576" s="44"/>
      <c r="AC576" s="51">
        <v>45806</v>
      </c>
      <c r="AD576" s="50">
        <v>45922</v>
      </c>
      <c r="AE576" s="68" t="s">
        <v>2</v>
      </c>
      <c r="AF576" s="68" t="s">
        <v>2</v>
      </c>
      <c r="AG576" s="76" t="s">
        <v>5</v>
      </c>
      <c r="AH576" s="36" t="s">
        <v>0</v>
      </c>
      <c r="AI576" s="49">
        <v>0</v>
      </c>
      <c r="AJ576" s="36" t="s">
        <v>6</v>
      </c>
      <c r="AK576" s="10" t="s">
        <v>316</v>
      </c>
      <c r="AL576" s="36">
        <v>4731</v>
      </c>
      <c r="AM576" s="36">
        <v>118731</v>
      </c>
      <c r="AN576" s="35" t="s">
        <v>1</v>
      </c>
      <c r="AO576" s="35" t="s">
        <v>1</v>
      </c>
      <c r="AP576" s="35" t="s">
        <v>2</v>
      </c>
      <c r="AQ576" s="35" t="s">
        <v>1</v>
      </c>
      <c r="AR576" s="34" t="s">
        <v>1</v>
      </c>
      <c r="AS576" s="33"/>
      <c r="AT576" s="32" t="s">
        <v>2</v>
      </c>
      <c r="AU576" s="31">
        <v>45922</v>
      </c>
      <c r="AV576" s="28" t="s">
        <v>0</v>
      </c>
      <c r="AW576" s="31"/>
      <c r="AX576" s="30" t="s">
        <v>0</v>
      </c>
      <c r="AY576" s="29"/>
      <c r="AZ576" s="28" t="s">
        <v>0</v>
      </c>
      <c r="BA576" s="81"/>
      <c r="BB576" s="39" t="s">
        <v>315</v>
      </c>
      <c r="BC576" s="25"/>
      <c r="BD576" s="24"/>
      <c r="BE576" s="24"/>
      <c r="BF576" s="24"/>
      <c r="BG576" s="24"/>
      <c r="BH576" s="24"/>
      <c r="BI576" s="24"/>
      <c r="BJ576" s="24"/>
      <c r="BK576" s="24"/>
      <c r="BL576" s="24"/>
      <c r="BM576" s="24"/>
      <c r="BN576" s="24"/>
      <c r="BO576" s="24"/>
      <c r="BP576" s="24"/>
      <c r="BQ576" s="22">
        <f>YEAR([1]!BANCO10[[#This Row],[DATA INÍCIO]])</f>
        <v>2025</v>
      </c>
      <c r="BR576" s="22">
        <f>MONTH([1]!BANCO10[[#This Row],[DATA INÍCIO]])</f>
        <v>5</v>
      </c>
      <c r="BS576" s="23" t="e">
        <f>CONCATENATE(#REF!,#REF!)</f>
        <v>#REF!</v>
      </c>
      <c r="BT576" s="22"/>
      <c r="BU576" s="22"/>
      <c r="BV576" s="21" t="str">
        <f>IF([1]!BANCO10[[#This Row],[SOLUÇÃO]]=BV$1,[1]!BANCO10[[#This Row],[STATUS DA ETAPA]],"")</f>
        <v/>
      </c>
      <c r="BW576" s="21" t="str">
        <f>IF([1]!BANCO10[[#This Row],[SOLUÇÃO]]=BW$1,[1]!BANCO10[[#This Row],[STATUS DA ETAPA]],"")</f>
        <v/>
      </c>
      <c r="BX576" s="21" t="str">
        <f>IF([1]!BANCO10[[#This Row],[SOLUÇÃO]]=BX$1,[1]!BANCO10[[#This Row],[STATUS DA ETAPA]],"")</f>
        <v/>
      </c>
      <c r="BY576" s="21" t="str">
        <f>IF([1]!BANCO10[[#This Row],[SOLUÇÃO]]=BY$1,[1]!BANCO10[[#This Row],[STATUS DA ETAPA]],"")</f>
        <v/>
      </c>
      <c r="BZ576" s="21" t="str">
        <f>IF([1]!BANCO10[[#This Row],[SOLUÇÃO]]=BZ$1,[1]!BANCO10[[#This Row],[STATUS DA ETAPA]],"")</f>
        <v/>
      </c>
      <c r="CA576" s="21" t="str">
        <f>IF([1]!BANCO10[[#This Row],[SOLUÇÃO]]=CA$1,[1]!BANCO10[[#This Row],[STATUS DA ETAPA]],"")</f>
        <v>CONCLUÍDO</v>
      </c>
      <c r="CB576" s="21" t="str">
        <f>IF([1]!BANCO10[[#This Row],[SOLUÇÃO]]=CB$1,[1]!BANCO10[[#This Row],[STATUS DA ETAPA]],"")</f>
        <v/>
      </c>
      <c r="CC576" s="21" t="str">
        <f>IF([1]!BANCO10[[#This Row],[SOLUÇÃO]]=CC$1,[1]!BANCO10[[#This Row],[STATUS DA ETAPA]],"")</f>
        <v/>
      </c>
      <c r="CD576" s="21" t="str">
        <f>IF([1]!BANCO10[[#This Row],[SOLUÇÃO]]=CD$1,[1]!BANCO10[[#This Row],[STATUS DA ETAPA]],"")</f>
        <v/>
      </c>
      <c r="CE576" s="21" t="str">
        <f>IF([1]!BANCO10[[#This Row],[SOLUÇÃO]]=CE$1,[1]!BANCO10[[#This Row],[STATUS DA ETAPA]],"")</f>
        <v/>
      </c>
      <c r="CF576" s="21" t="str">
        <f>IF([1]!BANCO10[[#This Row],[SOLUÇÃO]]=CF$1,[1]!BANCO10[[#This Row],[STATUS DA ETAPA]],"")</f>
        <v/>
      </c>
      <c r="CG576" s="21" t="str">
        <f>IF([1]!BANCO10[[#This Row],[SOLUÇÃO]]=CG$1,[1]!BANCO10[[#This Row],[STATUS DA ETAPA]],"")</f>
        <v/>
      </c>
      <c r="CH576" s="21" t="str">
        <f>IF([1]!BANCO10[[#This Row],[SOLUÇÃO]]=CH$1,[1]!BANCO10[[#This Row],[STATUS DA ETAPA]],"")</f>
        <v/>
      </c>
      <c r="CI576" s="21" t="str">
        <f>IF([1]!BANCO10[[#This Row],[SOLUÇÃO]]=CI$1,[1]!BANCO10[[#This Row],[STATUS DA ETAPA]],"")</f>
        <v/>
      </c>
      <c r="CJ576" s="21" t="str">
        <f>IF([1]!BANCO10[[#This Row],[SOLUÇÃO]]=CJ$1,[1]!BANCO10[[#This Row],[STATUS DA ETAPA]],"")</f>
        <v/>
      </c>
      <c r="CK576" s="21" t="str">
        <f>IF([1]!BANCO10[[#This Row],[SOLUÇÃO]]=CK$1,[1]!BANCO10[[#This Row],[STATUS DA ETAPA]],"")</f>
        <v/>
      </c>
      <c r="CL576" s="21" t="str">
        <f>IF([1]!BANCO10[[#This Row],[SOLUÇÃO]]=CL$1,[1]!BANCO10[[#This Row],[STATUS DA ETAPA]],"")</f>
        <v/>
      </c>
      <c r="CM576" s="21" t="str">
        <f>IF([1]!BANCO10[[#This Row],[SOLUÇÃO]]=CM$1,[1]!BANCO10[[#This Row],[STATUS DA ETAPA]],"")</f>
        <v/>
      </c>
      <c r="CN576" s="21" t="str">
        <f>IF([1]!BANCO10[[#This Row],[SOLUÇÃO]]=CN$1,[1]!BANCO10[[#This Row],[STATUS DA ETAPA]],"")</f>
        <v/>
      </c>
      <c r="CO576" s="21" t="str">
        <f>IF([1]!BANCO10[[#This Row],[SOLUÇÃO]]=CO$1,[1]!BANCO10[[#This Row],[STATUS DA ETAPA]],"")</f>
        <v/>
      </c>
      <c r="CP576" s="21" t="str">
        <f>IF([1]!BANCO10[[#This Row],[SOLUÇÃO]]=CP$1,[1]!BANCO10[[#This Row],[STATUS DA ETAPA]],"")</f>
        <v/>
      </c>
      <c r="CQ576" s="21" t="str">
        <f>IF([1]!BANCO10[[#This Row],[SOLUÇÃO]]=CQ$1,[1]!BANCO10[[#This Row],[STATUS DA ETAPA]],"")</f>
        <v/>
      </c>
      <c r="CR576" s="21" t="str">
        <f>IF([1]!BANCO10[[#This Row],[SOLUÇÃO]]=CR$1,[1]!BANCO10[[#This Row],[STATUS DA ETAPA]],"")</f>
        <v/>
      </c>
      <c r="CS576" s="21" t="str">
        <f>IF([1]!BANCO10[[#This Row],[SOLUÇÃO]]=CS$1,[1]!BANCO10[[#This Row],[STATUS DA ETAPA]],"")</f>
        <v/>
      </c>
      <c r="CT576" s="21" t="str">
        <f>IF([1]!BANCO10[[#This Row],[SOLUÇÃO]]=CT$1,[1]!BANCO10[[#This Row],[STATUS DA ETAPA]],"")</f>
        <v/>
      </c>
      <c r="CU576" s="21" t="str">
        <f>IF([1]!BANCO10[[#This Row],[SOLUÇÃO]]=CU$1,[1]!BANCO10[[#This Row],[STATUS DA ETAPA]],"")</f>
        <v/>
      </c>
      <c r="CV576" s="21" t="str">
        <f>IF([1]!BANCO10[[#This Row],[SOLUÇÃO]]=CV$1,[1]!BANCO10[[#This Row],[STATUS DA ETAPA]],"")</f>
        <v/>
      </c>
    </row>
    <row r="577" spans="1:100">
      <c r="A577" s="44" t="s">
        <v>2</v>
      </c>
      <c r="B577" s="44"/>
      <c r="C577" s="44" t="s">
        <v>1</v>
      </c>
      <c r="D577" s="44"/>
      <c r="E577" s="44" t="s">
        <v>1</v>
      </c>
      <c r="F577" s="44"/>
      <c r="G577" s="44" t="s">
        <v>1</v>
      </c>
      <c r="H577" s="44"/>
      <c r="I577" s="45" t="s">
        <v>1</v>
      </c>
      <c r="J577" s="46"/>
      <c r="K577" s="45" t="s">
        <v>1</v>
      </c>
      <c r="L577" s="33"/>
      <c r="M577" s="45" t="s">
        <v>1</v>
      </c>
      <c r="N577" s="33"/>
      <c r="O577" s="44" t="s">
        <v>1</v>
      </c>
      <c r="P577" s="44"/>
      <c r="Q577" s="44" t="s">
        <v>1</v>
      </c>
      <c r="R577" s="44"/>
      <c r="S577" s="44" t="s">
        <v>1</v>
      </c>
      <c r="T577" s="44"/>
      <c r="U577" s="44" t="s">
        <v>2</v>
      </c>
      <c r="V577" s="44"/>
      <c r="W577" s="44" t="s">
        <v>2</v>
      </c>
      <c r="X577" s="44"/>
      <c r="Y577" s="44" t="s">
        <v>2</v>
      </c>
      <c r="Z577" s="44"/>
      <c r="AA577" s="44" t="s">
        <v>2</v>
      </c>
      <c r="AB577" s="44"/>
      <c r="AC577" s="51">
        <v>45881</v>
      </c>
      <c r="AD577" s="50">
        <v>45923</v>
      </c>
      <c r="AE577" s="68" t="s">
        <v>2</v>
      </c>
      <c r="AF577" s="68" t="s">
        <v>2</v>
      </c>
      <c r="AG577" s="76" t="s">
        <v>5</v>
      </c>
      <c r="AH577" s="36" t="s">
        <v>0</v>
      </c>
      <c r="AI577" s="49">
        <v>0</v>
      </c>
      <c r="AJ577" s="36" t="s">
        <v>6</v>
      </c>
      <c r="AK577" s="10">
        <v>0</v>
      </c>
      <c r="AL577" s="36">
        <v>0</v>
      </c>
      <c r="AM577" s="36">
        <v>0</v>
      </c>
      <c r="AN577" s="35" t="s">
        <v>1</v>
      </c>
      <c r="AO577" s="35" t="s">
        <v>1</v>
      </c>
      <c r="AP577" s="35" t="s">
        <v>0</v>
      </c>
      <c r="AQ577" s="35" t="s">
        <v>1</v>
      </c>
      <c r="AR577" s="34" t="s">
        <v>1</v>
      </c>
      <c r="AS577" s="33"/>
      <c r="AT577" s="30" t="s">
        <v>2</v>
      </c>
      <c r="AU577" s="31">
        <v>45926</v>
      </c>
      <c r="AV577" s="28" t="s">
        <v>0</v>
      </c>
      <c r="AW577" s="31"/>
      <c r="AX577" s="30" t="s">
        <v>0</v>
      </c>
      <c r="AY577" s="29"/>
      <c r="AZ577" s="28" t="s">
        <v>0</v>
      </c>
      <c r="BA577" s="27"/>
      <c r="BB577" s="39">
        <v>45838</v>
      </c>
      <c r="BC577" s="25" t="s">
        <v>314</v>
      </c>
      <c r="BD577" s="24"/>
      <c r="BE577" s="24"/>
      <c r="BF577" s="24"/>
      <c r="BG577" s="24"/>
      <c r="BH577" s="24"/>
      <c r="BI577" s="24"/>
      <c r="BJ577" s="24"/>
      <c r="BK577" s="24"/>
      <c r="BL577" s="24"/>
      <c r="BM577" s="24"/>
      <c r="BN577" s="24"/>
      <c r="BO577" s="24"/>
      <c r="BP577" s="24"/>
      <c r="BQ577" s="22">
        <f>YEAR([1]!BANCO10[[#This Row],[DATA INÍCIO]])</f>
        <v>2025</v>
      </c>
      <c r="BR577" s="22">
        <f>MONTH([1]!BANCO10[[#This Row],[DATA INÍCIO]])</f>
        <v>8</v>
      </c>
      <c r="BS577" s="23" t="e">
        <f>CONCATENATE(#REF!,#REF!)</f>
        <v>#REF!</v>
      </c>
      <c r="BT577" s="22"/>
      <c r="BU577" s="22"/>
      <c r="BV577" s="21" t="str">
        <f>IF([1]!BANCO10[[#This Row],[SOLUÇÃO]]=BV$1,[1]!BANCO10[[#This Row],[STATUS DA ETAPA]],"")</f>
        <v/>
      </c>
      <c r="BW577" s="21" t="str">
        <f>IF([1]!BANCO10[[#This Row],[SOLUÇÃO]]=BW$1,[1]!BANCO10[[#This Row],[STATUS DA ETAPA]],"")</f>
        <v/>
      </c>
      <c r="BX577" s="21" t="str">
        <f>IF([1]!BANCO10[[#This Row],[SOLUÇÃO]]=BX$1,[1]!BANCO10[[#This Row],[STATUS DA ETAPA]],"")</f>
        <v/>
      </c>
      <c r="BY577" s="21" t="str">
        <f>IF([1]!BANCO10[[#This Row],[SOLUÇÃO]]=BY$1,[1]!BANCO10[[#This Row],[STATUS DA ETAPA]],"")</f>
        <v/>
      </c>
      <c r="BZ577" s="21" t="str">
        <f>IF([1]!BANCO10[[#This Row],[SOLUÇÃO]]=BZ$1,[1]!BANCO10[[#This Row],[STATUS DA ETAPA]],"")</f>
        <v/>
      </c>
      <c r="CA577" s="21" t="str">
        <f>IF([1]!BANCO10[[#This Row],[SOLUÇÃO]]=CA$1,[1]!BANCO10[[#This Row],[STATUS DA ETAPA]],"")</f>
        <v/>
      </c>
      <c r="CB577" s="21" t="str">
        <f>IF([1]!BANCO10[[#This Row],[SOLUÇÃO]]=CB$1,[1]!BANCO10[[#This Row],[STATUS DA ETAPA]],"")</f>
        <v/>
      </c>
      <c r="CC577" s="21" t="str">
        <f>IF([1]!BANCO10[[#This Row],[SOLUÇÃO]]=CC$1,[1]!BANCO10[[#This Row],[STATUS DA ETAPA]],"")</f>
        <v/>
      </c>
      <c r="CD577" s="21" t="str">
        <f>IF([1]!BANCO10[[#This Row],[SOLUÇÃO]]=CD$1,[1]!BANCO10[[#This Row],[STATUS DA ETAPA]],"")</f>
        <v/>
      </c>
      <c r="CE577" s="21" t="str">
        <f>IF([1]!BANCO10[[#This Row],[SOLUÇÃO]]=CE$1,[1]!BANCO10[[#This Row],[STATUS DA ETAPA]],"")</f>
        <v/>
      </c>
      <c r="CF577" s="21" t="str">
        <f>IF([1]!BANCO10[[#This Row],[SOLUÇÃO]]=CF$1,[1]!BANCO10[[#This Row],[STATUS DA ETAPA]],"")</f>
        <v/>
      </c>
      <c r="CG577" s="21" t="str">
        <f>IF([1]!BANCO10[[#This Row],[SOLUÇÃO]]=CG$1,[1]!BANCO10[[#This Row],[STATUS DA ETAPA]],"")</f>
        <v/>
      </c>
      <c r="CH577" s="21" t="str">
        <f>IF([1]!BANCO10[[#This Row],[SOLUÇÃO]]=CH$1,[1]!BANCO10[[#This Row],[STATUS DA ETAPA]],"")</f>
        <v/>
      </c>
      <c r="CI577" s="21" t="str">
        <f>IF([1]!BANCO10[[#This Row],[SOLUÇÃO]]=CI$1,[1]!BANCO10[[#This Row],[STATUS DA ETAPA]],"")</f>
        <v/>
      </c>
      <c r="CJ577" s="21" t="str">
        <f>IF([1]!BANCO10[[#This Row],[SOLUÇÃO]]=CJ$1,[1]!BANCO10[[#This Row],[STATUS DA ETAPA]],"")</f>
        <v/>
      </c>
      <c r="CK577" s="21" t="str">
        <f>IF([1]!BANCO10[[#This Row],[SOLUÇÃO]]=CK$1,[1]!BANCO10[[#This Row],[STATUS DA ETAPA]],"")</f>
        <v/>
      </c>
      <c r="CL577" s="21" t="str">
        <f>IF([1]!BANCO10[[#This Row],[SOLUÇÃO]]=CL$1,[1]!BANCO10[[#This Row],[STATUS DA ETAPA]],"")</f>
        <v>CONCLUÍDO</v>
      </c>
      <c r="CM577" s="21" t="str">
        <f>IF([1]!BANCO10[[#This Row],[SOLUÇÃO]]=CM$1,[1]!BANCO10[[#This Row],[STATUS DA ETAPA]],"")</f>
        <v/>
      </c>
      <c r="CN577" s="21" t="str">
        <f>IF([1]!BANCO10[[#This Row],[SOLUÇÃO]]=CN$1,[1]!BANCO10[[#This Row],[STATUS DA ETAPA]],"")</f>
        <v/>
      </c>
      <c r="CO577" s="21" t="str">
        <f>IF([1]!BANCO10[[#This Row],[SOLUÇÃO]]=CO$1,[1]!BANCO10[[#This Row],[STATUS DA ETAPA]],"")</f>
        <v/>
      </c>
      <c r="CP577" s="21" t="str">
        <f>IF([1]!BANCO10[[#This Row],[SOLUÇÃO]]=CP$1,[1]!BANCO10[[#This Row],[STATUS DA ETAPA]],"")</f>
        <v/>
      </c>
      <c r="CQ577" s="21" t="str">
        <f>IF([1]!BANCO10[[#This Row],[SOLUÇÃO]]=CQ$1,[1]!BANCO10[[#This Row],[STATUS DA ETAPA]],"")</f>
        <v/>
      </c>
      <c r="CR577" s="21" t="str">
        <f>IF([1]!BANCO10[[#This Row],[SOLUÇÃO]]=CR$1,[1]!BANCO10[[#This Row],[STATUS DA ETAPA]],"")</f>
        <v/>
      </c>
      <c r="CS577" s="21" t="str">
        <f>IF([1]!BANCO10[[#This Row],[SOLUÇÃO]]=CS$1,[1]!BANCO10[[#This Row],[STATUS DA ETAPA]],"")</f>
        <v/>
      </c>
      <c r="CT577" s="21" t="str">
        <f>IF([1]!BANCO10[[#This Row],[SOLUÇÃO]]=CT$1,[1]!BANCO10[[#This Row],[STATUS DA ETAPA]],"")</f>
        <v/>
      </c>
      <c r="CU577" s="21" t="str">
        <f>IF([1]!BANCO10[[#This Row],[SOLUÇÃO]]=CU$1,[1]!BANCO10[[#This Row],[STATUS DA ETAPA]],"")</f>
        <v/>
      </c>
      <c r="CV577" s="21" t="str">
        <f>IF([1]!BANCO10[[#This Row],[SOLUÇÃO]]=CV$1,[1]!BANCO10[[#This Row],[STATUS DA ETAPA]],"")</f>
        <v/>
      </c>
    </row>
    <row r="578" spans="1:100">
      <c r="A578" s="44" t="s">
        <v>1</v>
      </c>
      <c r="B578" s="44"/>
      <c r="C578" s="44" t="s">
        <v>1</v>
      </c>
      <c r="D578" s="44"/>
      <c r="E578" s="44" t="s">
        <v>1</v>
      </c>
      <c r="F578" s="44"/>
      <c r="G578" s="44" t="s">
        <v>1</v>
      </c>
      <c r="H578" s="44"/>
      <c r="I578" s="45" t="s">
        <v>1</v>
      </c>
      <c r="J578" s="46"/>
      <c r="K578" s="45" t="s">
        <v>1</v>
      </c>
      <c r="L578" s="33"/>
      <c r="M578" s="45" t="s">
        <v>1</v>
      </c>
      <c r="N578" s="33"/>
      <c r="O578" s="44" t="s">
        <v>2</v>
      </c>
      <c r="P578" s="44">
        <v>45169</v>
      </c>
      <c r="Q578" s="44" t="s">
        <v>0</v>
      </c>
      <c r="R578" s="44"/>
      <c r="S578" s="44" t="s">
        <v>1</v>
      </c>
      <c r="T578" s="44"/>
      <c r="U578" s="44" t="s">
        <v>1</v>
      </c>
      <c r="V578" s="44"/>
      <c r="W578" s="44" t="s">
        <v>1</v>
      </c>
      <c r="X578" s="44"/>
      <c r="Y578" s="44" t="s">
        <v>1</v>
      </c>
      <c r="Z578" s="44"/>
      <c r="AA578" s="44" t="s">
        <v>1</v>
      </c>
      <c r="AB578" s="44"/>
      <c r="AC578" s="51">
        <v>45166</v>
      </c>
      <c r="AD578" s="50">
        <v>45166</v>
      </c>
      <c r="AE578" s="40" t="s">
        <v>1</v>
      </c>
      <c r="AF578" s="40" t="s">
        <v>1</v>
      </c>
      <c r="AG578" s="40" t="s">
        <v>5</v>
      </c>
      <c r="AH578" s="36" t="s">
        <v>1</v>
      </c>
      <c r="AI578" s="49">
        <v>0</v>
      </c>
      <c r="AJ578" s="36" t="s">
        <v>1</v>
      </c>
      <c r="AK578" s="10" t="s">
        <v>1</v>
      </c>
      <c r="AL578" s="36" t="s">
        <v>1</v>
      </c>
      <c r="AM578" s="36" t="s">
        <v>1</v>
      </c>
      <c r="AN578" s="35" t="s">
        <v>1</v>
      </c>
      <c r="AO578" s="35" t="s">
        <v>1</v>
      </c>
      <c r="AP578" s="35" t="s">
        <v>1</v>
      </c>
      <c r="AQ578" s="35" t="s">
        <v>1</v>
      </c>
      <c r="AR578" s="82" t="s">
        <v>1</v>
      </c>
      <c r="AS578" s="33"/>
      <c r="AT578" s="30"/>
      <c r="AU578" s="55"/>
      <c r="AV578" s="30"/>
      <c r="AW578" s="55"/>
      <c r="AX578" s="30" t="s">
        <v>1</v>
      </c>
      <c r="AY578" s="55"/>
      <c r="AZ578" s="30" t="s">
        <v>1</v>
      </c>
      <c r="BA578" s="66"/>
      <c r="BB578" s="39" t="s">
        <v>313</v>
      </c>
      <c r="BC578" s="25"/>
      <c r="BD578" s="24" t="s">
        <v>72</v>
      </c>
      <c r="BE578" s="24" t="s">
        <v>19</v>
      </c>
      <c r="BF578" s="79" t="s">
        <v>51</v>
      </c>
      <c r="BG578" s="79" t="s">
        <v>11</v>
      </c>
      <c r="BH578" s="80" t="s">
        <v>50</v>
      </c>
      <c r="BI578" s="79"/>
      <c r="BJ578" s="54" t="s">
        <v>11</v>
      </c>
      <c r="BK578" s="78" t="s">
        <v>11</v>
      </c>
      <c r="BL578" s="69" t="s">
        <v>11</v>
      </c>
      <c r="BM578" s="78" t="s">
        <v>11</v>
      </c>
      <c r="BN578" s="78" t="s">
        <v>11</v>
      </c>
      <c r="BO578" s="78" t="s">
        <v>11</v>
      </c>
      <c r="BP578" s="78" t="s">
        <v>11</v>
      </c>
      <c r="BQ578" s="21">
        <f>YEAR([1]!BANCO10[[#This Row],[DATA INÍCIO]])</f>
        <v>2023</v>
      </c>
      <c r="BR578" s="21">
        <f>MONTH([1]!BANCO10[[#This Row],[DATA INÍCIO]])</f>
        <v>8</v>
      </c>
      <c r="BS578" s="21" t="e">
        <f>CONCATENATE(#REF!,#REF!)</f>
        <v>#REF!</v>
      </c>
      <c r="BT578" s="21"/>
      <c r="BU578" s="21" t="s">
        <v>312</v>
      </c>
      <c r="BV578" s="21" t="str">
        <f>IF([1]!BANCO10[[#This Row],[SOLUÇÃO]]=BV$1,[1]!BANCO10[[#This Row],[STATUS DA ETAPA]],"")</f>
        <v>CONCLUÍDO</v>
      </c>
      <c r="BW578" s="21" t="str">
        <f>IF([1]!BANCO10[[#This Row],[SOLUÇÃO]]=BW$1,[1]!BANCO10[[#This Row],[STATUS DA ETAPA]],"")</f>
        <v/>
      </c>
      <c r="BX578" s="21" t="str">
        <f>IF([1]!BANCO10[[#This Row],[SOLUÇÃO]]=BX$1,[1]!BANCO10[[#This Row],[STATUS DA ETAPA]],"")</f>
        <v/>
      </c>
      <c r="BY578" s="21" t="str">
        <f>IF([1]!BANCO10[[#This Row],[SOLUÇÃO]]=BY$1,[1]!BANCO10[[#This Row],[STATUS DA ETAPA]],"")</f>
        <v/>
      </c>
      <c r="BZ578" s="21" t="str">
        <f>IF([1]!BANCO10[[#This Row],[SOLUÇÃO]]=BZ$1,[1]!BANCO10[[#This Row],[STATUS DA ETAPA]],"")</f>
        <v/>
      </c>
      <c r="CA578" s="21" t="str">
        <f>IF([1]!BANCO10[[#This Row],[SOLUÇÃO]]=CA$1,[1]!BANCO10[[#This Row],[STATUS DA ETAPA]],"")</f>
        <v/>
      </c>
      <c r="CB578" s="21" t="str">
        <f>IF([1]!BANCO10[[#This Row],[SOLUÇÃO]]=CB$1,[1]!BANCO10[[#This Row],[STATUS DA ETAPA]],"")</f>
        <v/>
      </c>
      <c r="CC578" s="21" t="str">
        <f>IF([1]!BANCO10[[#This Row],[SOLUÇÃO]]=CC$1,[1]!BANCO10[[#This Row],[STATUS DA ETAPA]],"")</f>
        <v/>
      </c>
      <c r="CD578" s="21" t="str">
        <f>IF([1]!BANCO10[[#This Row],[SOLUÇÃO]]=CD$1,[1]!BANCO10[[#This Row],[STATUS DA ETAPA]],"")</f>
        <v/>
      </c>
      <c r="CE578" s="21" t="str">
        <f>IF([1]!BANCO10[[#This Row],[SOLUÇÃO]]=CE$1,[1]!BANCO10[[#This Row],[STATUS DA ETAPA]],"")</f>
        <v/>
      </c>
      <c r="CF578" s="21" t="str">
        <f>IF([1]!BANCO10[[#This Row],[SOLUÇÃO]]=CF$1,[1]!BANCO10[[#This Row],[STATUS DA ETAPA]],"")</f>
        <v/>
      </c>
      <c r="CG578" s="21" t="str">
        <f>IF([1]!BANCO10[[#This Row],[SOLUÇÃO]]=CG$1,[1]!BANCO10[[#This Row],[STATUS DA ETAPA]],"")</f>
        <v/>
      </c>
      <c r="CH578" s="21" t="str">
        <f>IF([1]!BANCO10[[#This Row],[SOLUÇÃO]]=CH$1,[1]!BANCO10[[#This Row],[STATUS DA ETAPA]],"")</f>
        <v/>
      </c>
      <c r="CI578" s="21" t="str">
        <f>IF([1]!BANCO10[[#This Row],[SOLUÇÃO]]=CI$1,[1]!BANCO10[[#This Row],[STATUS DA ETAPA]],"")</f>
        <v/>
      </c>
      <c r="CJ578" s="21" t="str">
        <f>IF([1]!BANCO10[[#This Row],[SOLUÇÃO]]=CJ$1,[1]!BANCO10[[#This Row],[STATUS DA ETAPA]],"")</f>
        <v/>
      </c>
      <c r="CK578" s="21" t="str">
        <f>IF([1]!BANCO10[[#This Row],[SOLUÇÃO]]=CK$1,[1]!BANCO10[[#This Row],[STATUS DA ETAPA]],"")</f>
        <v/>
      </c>
      <c r="CL578" s="22" t="str">
        <f>IF([1]!BANCO10[[#This Row],[SOLUÇÃO]]=CL$1,[1]!BANCO10[[#This Row],[STATUS DA ETAPA]],"")</f>
        <v/>
      </c>
      <c r="CM578" s="64" t="str">
        <f>IF([1]!BANCO10[[#This Row],[SOLUÇÃO]]=CM$1,[1]!BANCO10[[#This Row],[STATUS DA ETAPA]],"")</f>
        <v/>
      </c>
      <c r="CN578" s="64" t="str">
        <f>IF([1]!BANCO10[[#This Row],[SOLUÇÃO]]=CN$1,[1]!BANCO10[[#This Row],[STATUS DA ETAPA]],"")</f>
        <v/>
      </c>
      <c r="CO578" s="64" t="str">
        <f>IF([1]!BANCO10[[#This Row],[SOLUÇÃO]]=CO$1,[1]!BANCO10[[#This Row],[STATUS DA ETAPA]],"")</f>
        <v/>
      </c>
      <c r="CP578" s="64" t="str">
        <f>IF([1]!BANCO10[[#This Row],[SOLUÇÃO]]=CP$1,[1]!BANCO10[[#This Row],[STATUS DA ETAPA]],"")</f>
        <v/>
      </c>
      <c r="CQ578" s="64" t="str">
        <f>IF([1]!BANCO10[[#This Row],[SOLUÇÃO]]=CQ$1,[1]!BANCO10[[#This Row],[STATUS DA ETAPA]],"")</f>
        <v/>
      </c>
      <c r="CR578" s="64" t="str">
        <f>IF([1]!BANCO10[[#This Row],[SOLUÇÃO]]=CR$1,[1]!BANCO10[[#This Row],[STATUS DA ETAPA]],"")</f>
        <v/>
      </c>
      <c r="CS578" s="64" t="str">
        <f>IF([1]!BANCO10[[#This Row],[SOLUÇÃO]]=CS$1,[1]!BANCO10[[#This Row],[STATUS DA ETAPA]],"")</f>
        <v/>
      </c>
      <c r="CT578" s="64" t="str">
        <f>IF([1]!BANCO10[[#This Row],[SOLUÇÃO]]=CT$1,[1]!BANCO10[[#This Row],[STATUS DA ETAPA]],"")</f>
        <v/>
      </c>
      <c r="CU578" s="64" t="str">
        <f>IF([1]!BANCO10[[#This Row],[SOLUÇÃO]]=CU$1,[1]!BANCO10[[#This Row],[STATUS DA ETAPA]],"")</f>
        <v/>
      </c>
      <c r="CV578" s="64" t="str">
        <f>IF([1]!BANCO10[[#This Row],[SOLUÇÃO]]=CV$1,[1]!BANCO10[[#This Row],[STATUS DA ETAPA]],"")</f>
        <v/>
      </c>
    </row>
    <row r="579" spans="1:100">
      <c r="A579" s="44" t="s">
        <v>1</v>
      </c>
      <c r="B579" s="44"/>
      <c r="C579" s="44" t="s">
        <v>1</v>
      </c>
      <c r="D579" s="44"/>
      <c r="E579" s="44" t="s">
        <v>1</v>
      </c>
      <c r="F579" s="44"/>
      <c r="G579" s="44" t="s">
        <v>1</v>
      </c>
      <c r="H579" s="44"/>
      <c r="I579" s="45" t="s">
        <v>1</v>
      </c>
      <c r="J579" s="46"/>
      <c r="K579" s="45" t="s">
        <v>1</v>
      </c>
      <c r="L579" s="33"/>
      <c r="M579" s="45" t="s">
        <v>1</v>
      </c>
      <c r="N579" s="33"/>
      <c r="O579" s="44" t="s">
        <v>2</v>
      </c>
      <c r="P579" s="44">
        <v>45169</v>
      </c>
      <c r="Q579" s="44"/>
      <c r="R579" s="44"/>
      <c r="S579" s="44" t="s">
        <v>1</v>
      </c>
      <c r="T579" s="44"/>
      <c r="U579" s="44" t="s">
        <v>1</v>
      </c>
      <c r="V579" s="44"/>
      <c r="W579" s="44" t="s">
        <v>1</v>
      </c>
      <c r="X579" s="44"/>
      <c r="Y579" s="44" t="s">
        <v>1</v>
      </c>
      <c r="Z579" s="44"/>
      <c r="AA579" s="44" t="s">
        <v>1</v>
      </c>
      <c r="AB579" s="44"/>
      <c r="AC579" s="51">
        <v>45321</v>
      </c>
      <c r="AD579" s="50">
        <v>45408</v>
      </c>
      <c r="AE579" s="40" t="s">
        <v>2</v>
      </c>
      <c r="AF579" s="40" t="s">
        <v>2</v>
      </c>
      <c r="AG579" s="40" t="s">
        <v>5</v>
      </c>
      <c r="AH579" s="36" t="s">
        <v>2</v>
      </c>
      <c r="AI579" s="49">
        <v>0</v>
      </c>
      <c r="AJ579" s="36" t="s">
        <v>1</v>
      </c>
      <c r="AK579" s="10" t="s">
        <v>1</v>
      </c>
      <c r="AL579" s="36" t="s">
        <v>1</v>
      </c>
      <c r="AM579" s="36" t="s">
        <v>1</v>
      </c>
      <c r="AN579" s="35" t="s">
        <v>1</v>
      </c>
      <c r="AO579" s="35" t="s">
        <v>1</v>
      </c>
      <c r="AP579" s="35" t="s">
        <v>2</v>
      </c>
      <c r="AQ579" s="35" t="s">
        <v>1</v>
      </c>
      <c r="AR579" s="34" t="s">
        <v>1</v>
      </c>
      <c r="AS579" s="33"/>
      <c r="AT579" s="30"/>
      <c r="AU579" s="55"/>
      <c r="AV579" s="30"/>
      <c r="AW579" s="55"/>
      <c r="AX579" s="30" t="s">
        <v>2</v>
      </c>
      <c r="AY579" s="55">
        <v>45408</v>
      </c>
      <c r="AZ579" s="30" t="s">
        <v>2</v>
      </c>
      <c r="BA579" s="55">
        <v>45408</v>
      </c>
      <c r="BB579" s="39" t="s">
        <v>311</v>
      </c>
      <c r="BC579" s="25"/>
      <c r="BD579" s="24" t="s">
        <v>72</v>
      </c>
      <c r="BE579" s="24" t="s">
        <v>19</v>
      </c>
      <c r="BF579" s="79" t="s">
        <v>51</v>
      </c>
      <c r="BG579" s="79" t="s">
        <v>11</v>
      </c>
      <c r="BH579" s="80" t="s">
        <v>50</v>
      </c>
      <c r="BI579" s="79"/>
      <c r="BJ579" s="54" t="s">
        <v>11</v>
      </c>
      <c r="BK579" s="78" t="s">
        <v>11</v>
      </c>
      <c r="BL579" s="69" t="s">
        <v>11</v>
      </c>
      <c r="BM579" s="78" t="s">
        <v>11</v>
      </c>
      <c r="BN579" s="78" t="s">
        <v>11</v>
      </c>
      <c r="BO579" s="78" t="s">
        <v>11</v>
      </c>
      <c r="BP579" s="78" t="s">
        <v>11</v>
      </c>
      <c r="BQ579" s="21">
        <f>YEAR([1]!BANCO10[[#This Row],[DATA INÍCIO]])</f>
        <v>2024</v>
      </c>
      <c r="BR579" s="21">
        <f>MONTH([1]!BANCO10[[#This Row],[DATA INÍCIO]])</f>
        <v>1</v>
      </c>
      <c r="BS579" s="21" t="e">
        <f>CONCATENATE(#REF!,#REF!)</f>
        <v>#REF!</v>
      </c>
      <c r="BT579" s="21"/>
      <c r="BU579" s="21" t="s">
        <v>310</v>
      </c>
      <c r="BV579" s="21" t="str">
        <f>IF([1]!BANCO10[[#This Row],[SOLUÇÃO]]=BV$1,[1]!BANCO10[[#This Row],[STATUS DA ETAPA]],"")</f>
        <v/>
      </c>
      <c r="BW579" s="21" t="str">
        <f>IF([1]!BANCO10[[#This Row],[SOLUÇÃO]]=BW$1,[1]!BANCO10[[#This Row],[STATUS DA ETAPA]],"")</f>
        <v/>
      </c>
      <c r="BX579" s="21" t="str">
        <f>IF([1]!BANCO10[[#This Row],[SOLUÇÃO]]=BX$1,[1]!BANCO10[[#This Row],[STATUS DA ETAPA]],"")</f>
        <v/>
      </c>
      <c r="BY579" s="21" t="str">
        <f>IF([1]!BANCO10[[#This Row],[SOLUÇÃO]]=BY$1,[1]!BANCO10[[#This Row],[STATUS DA ETAPA]],"")</f>
        <v/>
      </c>
      <c r="BZ579" s="21" t="str">
        <f>IF([1]!BANCO10[[#This Row],[SOLUÇÃO]]=BZ$1,[1]!BANCO10[[#This Row],[STATUS DA ETAPA]],"")</f>
        <v/>
      </c>
      <c r="CA579" s="21" t="str">
        <f>IF([1]!BANCO10[[#This Row],[SOLUÇÃO]]=CA$1,[1]!BANCO10[[#This Row],[STATUS DA ETAPA]],"")</f>
        <v>CONCLUÍDO</v>
      </c>
      <c r="CB579" s="21" t="str">
        <f>IF([1]!BANCO10[[#This Row],[SOLUÇÃO]]=CB$1,[1]!BANCO10[[#This Row],[STATUS DA ETAPA]],"")</f>
        <v/>
      </c>
      <c r="CC579" s="21" t="str">
        <f>IF([1]!BANCO10[[#This Row],[SOLUÇÃO]]=CC$1,[1]!BANCO10[[#This Row],[STATUS DA ETAPA]],"")</f>
        <v/>
      </c>
      <c r="CD579" s="21" t="str">
        <f>IF([1]!BANCO10[[#This Row],[SOLUÇÃO]]=CD$1,[1]!BANCO10[[#This Row],[STATUS DA ETAPA]],"")</f>
        <v/>
      </c>
      <c r="CE579" s="21" t="str">
        <f>IF([1]!BANCO10[[#This Row],[SOLUÇÃO]]=CE$1,[1]!BANCO10[[#This Row],[STATUS DA ETAPA]],"")</f>
        <v/>
      </c>
      <c r="CF579" s="21" t="str">
        <f>IF([1]!BANCO10[[#This Row],[SOLUÇÃO]]=CF$1,[1]!BANCO10[[#This Row],[STATUS DA ETAPA]],"")</f>
        <v/>
      </c>
      <c r="CG579" s="21" t="str">
        <f>IF([1]!BANCO10[[#This Row],[SOLUÇÃO]]=CG$1,[1]!BANCO10[[#This Row],[STATUS DA ETAPA]],"")</f>
        <v/>
      </c>
      <c r="CH579" s="21" t="str">
        <f>IF([1]!BANCO10[[#This Row],[SOLUÇÃO]]=CH$1,[1]!BANCO10[[#This Row],[STATUS DA ETAPA]],"")</f>
        <v/>
      </c>
      <c r="CI579" s="21" t="str">
        <f>IF([1]!BANCO10[[#This Row],[SOLUÇÃO]]=CI$1,[1]!BANCO10[[#This Row],[STATUS DA ETAPA]],"")</f>
        <v/>
      </c>
      <c r="CJ579" s="21" t="str">
        <f>IF([1]!BANCO10[[#This Row],[SOLUÇÃO]]=CJ$1,[1]!BANCO10[[#This Row],[STATUS DA ETAPA]],"")</f>
        <v/>
      </c>
      <c r="CK579" s="21" t="str">
        <f>IF([1]!BANCO10[[#This Row],[SOLUÇÃO]]=CK$1,[1]!BANCO10[[#This Row],[STATUS DA ETAPA]],"")</f>
        <v/>
      </c>
      <c r="CL579" s="22" t="str">
        <f>IF([1]!BANCO10[[#This Row],[SOLUÇÃO]]=CL$1,[1]!BANCO10[[#This Row],[STATUS DA ETAPA]],"")</f>
        <v/>
      </c>
      <c r="CM579" s="64" t="str">
        <f>IF([1]!BANCO10[[#This Row],[SOLUÇÃO]]=CM$1,[1]!BANCO10[[#This Row],[STATUS DA ETAPA]],"")</f>
        <v/>
      </c>
      <c r="CN579" s="64" t="str">
        <f>IF([1]!BANCO10[[#This Row],[SOLUÇÃO]]=CN$1,[1]!BANCO10[[#This Row],[STATUS DA ETAPA]],"")</f>
        <v/>
      </c>
      <c r="CO579" s="64" t="str">
        <f>IF([1]!BANCO10[[#This Row],[SOLUÇÃO]]=CO$1,[1]!BANCO10[[#This Row],[STATUS DA ETAPA]],"")</f>
        <v/>
      </c>
      <c r="CP579" s="64" t="str">
        <f>IF([1]!BANCO10[[#This Row],[SOLUÇÃO]]=CP$1,[1]!BANCO10[[#This Row],[STATUS DA ETAPA]],"")</f>
        <v/>
      </c>
      <c r="CQ579" s="64" t="str">
        <f>IF([1]!BANCO10[[#This Row],[SOLUÇÃO]]=CQ$1,[1]!BANCO10[[#This Row],[STATUS DA ETAPA]],"")</f>
        <v/>
      </c>
      <c r="CR579" s="64" t="str">
        <f>IF([1]!BANCO10[[#This Row],[SOLUÇÃO]]=CR$1,[1]!BANCO10[[#This Row],[STATUS DA ETAPA]],"")</f>
        <v/>
      </c>
      <c r="CS579" s="64" t="str">
        <f>IF([1]!BANCO10[[#This Row],[SOLUÇÃO]]=CS$1,[1]!BANCO10[[#This Row],[STATUS DA ETAPA]],"")</f>
        <v/>
      </c>
      <c r="CT579" s="64" t="str">
        <f>IF([1]!BANCO10[[#This Row],[SOLUÇÃO]]=CT$1,[1]!BANCO10[[#This Row],[STATUS DA ETAPA]],"")</f>
        <v/>
      </c>
      <c r="CU579" s="64" t="str">
        <f>IF([1]!BANCO10[[#This Row],[SOLUÇÃO]]=CU$1,[1]!BANCO10[[#This Row],[STATUS DA ETAPA]],"")</f>
        <v/>
      </c>
      <c r="CV579" s="64" t="str">
        <f>IF([1]!BANCO10[[#This Row],[SOLUÇÃO]]=CV$1,[1]!BANCO10[[#This Row],[STATUS DA ETAPA]],"")</f>
        <v/>
      </c>
    </row>
    <row r="580" spans="1:100">
      <c r="A580" s="44" t="s">
        <v>1</v>
      </c>
      <c r="B580" s="44"/>
      <c r="C580" s="44" t="s">
        <v>1</v>
      </c>
      <c r="D580" s="44"/>
      <c r="E580" s="44" t="s">
        <v>1</v>
      </c>
      <c r="F580" s="44"/>
      <c r="G580" s="44" t="s">
        <v>1</v>
      </c>
      <c r="H580" s="44"/>
      <c r="I580" s="45" t="s">
        <v>1</v>
      </c>
      <c r="J580" s="46"/>
      <c r="K580" s="45" t="s">
        <v>1</v>
      </c>
      <c r="L580" s="33"/>
      <c r="M580" s="45" t="s">
        <v>1</v>
      </c>
      <c r="N580" s="33"/>
      <c r="O580" s="44" t="s">
        <v>2</v>
      </c>
      <c r="P580" s="44">
        <v>45169</v>
      </c>
      <c r="Q580" s="44" t="s">
        <v>2</v>
      </c>
      <c r="R580" s="44">
        <v>45371</v>
      </c>
      <c r="S580" s="44" t="s">
        <v>2</v>
      </c>
      <c r="T580" s="44"/>
      <c r="U580" s="44" t="s">
        <v>2</v>
      </c>
      <c r="V580" s="44"/>
      <c r="W580" s="44" t="s">
        <v>2</v>
      </c>
      <c r="X580" s="44"/>
      <c r="Y580" s="44" t="s">
        <v>2</v>
      </c>
      <c r="Z580" s="44"/>
      <c r="AA580" s="44" t="s">
        <v>2</v>
      </c>
      <c r="AB580" s="44"/>
      <c r="AC580" s="51">
        <v>45454</v>
      </c>
      <c r="AD580" s="50">
        <v>45642</v>
      </c>
      <c r="AE580" s="40" t="s">
        <v>2</v>
      </c>
      <c r="AF580" s="41" t="s">
        <v>2</v>
      </c>
      <c r="AG580" s="40" t="s">
        <v>4</v>
      </c>
      <c r="AH580" s="36" t="s">
        <v>0</v>
      </c>
      <c r="AI580" s="49">
        <v>0</v>
      </c>
      <c r="AJ580" s="36" t="s">
        <v>6</v>
      </c>
      <c r="AK580" s="10" t="s">
        <v>30</v>
      </c>
      <c r="AL580" s="36">
        <v>4697</v>
      </c>
      <c r="AM580" s="36"/>
      <c r="AN580" s="35" t="s">
        <v>1</v>
      </c>
      <c r="AO580" s="35" t="s">
        <v>1</v>
      </c>
      <c r="AP580" s="35" t="s">
        <v>2</v>
      </c>
      <c r="AQ580" s="35" t="s">
        <v>1</v>
      </c>
      <c r="AR580" s="34" t="s">
        <v>1</v>
      </c>
      <c r="AS580" s="33"/>
      <c r="AT580" s="28" t="s">
        <v>309</v>
      </c>
      <c r="AU580" s="55">
        <v>45622</v>
      </c>
      <c r="AV580" s="28" t="s">
        <v>309</v>
      </c>
      <c r="AW580" s="55">
        <v>40193</v>
      </c>
      <c r="AX580" s="28" t="s">
        <v>2</v>
      </c>
      <c r="AY580" s="55">
        <v>45672</v>
      </c>
      <c r="AZ580" s="30" t="s">
        <v>2</v>
      </c>
      <c r="BA580" s="55">
        <v>45630</v>
      </c>
      <c r="BB580" s="74" t="s">
        <v>181</v>
      </c>
      <c r="BC580" s="25"/>
      <c r="BD580" s="24"/>
      <c r="BE580" s="24"/>
      <c r="BF580" s="79"/>
      <c r="BG580" s="79"/>
      <c r="BH580" s="80"/>
      <c r="BI580" s="79"/>
      <c r="BJ580" s="54"/>
      <c r="BK580" s="78"/>
      <c r="BL580" s="69">
        <v>45389</v>
      </c>
      <c r="BM580" s="78"/>
      <c r="BN580" s="78" t="s">
        <v>11</v>
      </c>
      <c r="BO580" s="78"/>
      <c r="BP580" s="78" t="s">
        <v>86</v>
      </c>
      <c r="BQ580" s="21">
        <f>YEAR([1]!BANCO10[[#This Row],[DATA INÍCIO]])</f>
        <v>2024</v>
      </c>
      <c r="BR580" s="21">
        <f>MONTH([1]!BANCO10[[#This Row],[DATA INÍCIO]])</f>
        <v>6</v>
      </c>
      <c r="BS580" s="21" t="e">
        <f>CONCATENATE(#REF!,#REF!)</f>
        <v>#REF!</v>
      </c>
      <c r="BT580" s="21"/>
      <c r="BU580" s="21" t="s">
        <v>308</v>
      </c>
      <c r="BV580" s="21" t="str">
        <f>IF([1]!BANCO10[[#This Row],[SOLUÇÃO]]=BV$1,[1]!BANCO10[[#This Row],[STATUS DA ETAPA]],"")</f>
        <v/>
      </c>
      <c r="BW580" s="21" t="str">
        <f>IF([1]!BANCO10[[#This Row],[SOLUÇÃO]]=BW$1,[1]!BANCO10[[#This Row],[STATUS DA ETAPA]],"")</f>
        <v/>
      </c>
      <c r="BX580" s="21" t="str">
        <f>IF([1]!BANCO10[[#This Row],[SOLUÇÃO]]=BX$1,[1]!BANCO10[[#This Row],[STATUS DA ETAPA]],"")</f>
        <v/>
      </c>
      <c r="BY580" s="21" t="str">
        <f>IF([1]!BANCO10[[#This Row],[SOLUÇÃO]]=BY$1,[1]!BANCO10[[#This Row],[STATUS DA ETAPA]],"")</f>
        <v/>
      </c>
      <c r="BZ580" s="21" t="str">
        <f>IF([1]!BANCO10[[#This Row],[SOLUÇÃO]]=BZ$1,[1]!BANCO10[[#This Row],[STATUS DA ETAPA]],"")</f>
        <v/>
      </c>
      <c r="CA580" s="21" t="str">
        <f>IF([1]!BANCO10[[#This Row],[SOLUÇÃO]]=CA$1,[1]!BANCO10[[#This Row],[STATUS DA ETAPA]],"")</f>
        <v/>
      </c>
      <c r="CB580" s="21" t="str">
        <f>IF([1]!BANCO10[[#This Row],[SOLUÇÃO]]=CB$1,[1]!BANCO10[[#This Row],[STATUS DA ETAPA]],"")</f>
        <v/>
      </c>
      <c r="CC580" s="21" t="str">
        <f>IF([1]!BANCO10[[#This Row],[SOLUÇÃO]]=CC$1,[1]!BANCO10[[#This Row],[STATUS DA ETAPA]],"")</f>
        <v/>
      </c>
      <c r="CD580" s="21" t="str">
        <f>IF([1]!BANCO10[[#This Row],[SOLUÇÃO]]=CD$1,[1]!BANCO10[[#This Row],[STATUS DA ETAPA]],"")</f>
        <v/>
      </c>
      <c r="CE580" s="21" t="str">
        <f>IF([1]!BANCO10[[#This Row],[SOLUÇÃO]]=CE$1,[1]!BANCO10[[#This Row],[STATUS DA ETAPA]],"")</f>
        <v/>
      </c>
      <c r="CF580" s="21" t="str">
        <f>IF([1]!BANCO10[[#This Row],[SOLUÇÃO]]=CF$1,[1]!BANCO10[[#This Row],[STATUS DA ETAPA]],"")</f>
        <v/>
      </c>
      <c r="CG580" s="21" t="str">
        <f>IF([1]!BANCO10[[#This Row],[SOLUÇÃO]]=CG$1,[1]!BANCO10[[#This Row],[STATUS DA ETAPA]],"")</f>
        <v/>
      </c>
      <c r="CH580" s="21" t="str">
        <f>IF([1]!BANCO10[[#This Row],[SOLUÇÃO]]=CH$1,[1]!BANCO10[[#This Row],[STATUS DA ETAPA]],"")</f>
        <v/>
      </c>
      <c r="CI580" s="21" t="str">
        <f>IF([1]!BANCO10[[#This Row],[SOLUÇÃO]]=CI$1,[1]!BANCO10[[#This Row],[STATUS DA ETAPA]],"")</f>
        <v/>
      </c>
      <c r="CJ580" s="21" t="str">
        <f>IF([1]!BANCO10[[#This Row],[SOLUÇÃO]]=CJ$1,[1]!BANCO10[[#This Row],[STATUS DA ETAPA]],"")</f>
        <v/>
      </c>
      <c r="CK580" s="21" t="str">
        <f>IF([1]!BANCO10[[#This Row],[SOLUÇÃO]]=CK$1,[1]!BANCO10[[#This Row],[STATUS DA ETAPA]],"")</f>
        <v/>
      </c>
      <c r="CL580" s="22" t="str">
        <f>IF([1]!BANCO10[[#This Row],[SOLUÇÃO]]=CL$1,[1]!BANCO10[[#This Row],[STATUS DA ETAPA]],"")</f>
        <v/>
      </c>
      <c r="CM580" s="64" t="str">
        <f>IF([1]!BANCO10[[#This Row],[SOLUÇÃO]]=CM$1,[1]!BANCO10[[#This Row],[STATUS DA ETAPA]],"")</f>
        <v/>
      </c>
      <c r="CN580" s="64" t="str">
        <f>IF([1]!BANCO10[[#This Row],[SOLUÇÃO]]=CN$1,[1]!BANCO10[[#This Row],[STATUS DA ETAPA]],"")</f>
        <v/>
      </c>
      <c r="CO580" s="64" t="str">
        <f>IF([1]!BANCO10[[#This Row],[SOLUÇÃO]]=CO$1,[1]!BANCO10[[#This Row],[STATUS DA ETAPA]],"")</f>
        <v/>
      </c>
      <c r="CP580" s="64" t="str">
        <f>IF([1]!BANCO10[[#This Row],[SOLUÇÃO]]=CP$1,[1]!BANCO10[[#This Row],[STATUS DA ETAPA]],"")</f>
        <v/>
      </c>
      <c r="CQ580" s="64" t="str">
        <f>IF([1]!BANCO10[[#This Row],[SOLUÇÃO]]=CQ$1,[1]!BANCO10[[#This Row],[STATUS DA ETAPA]],"")</f>
        <v/>
      </c>
      <c r="CR580" s="64" t="str">
        <f>IF([1]!BANCO10[[#This Row],[SOLUÇÃO]]=CR$1,[1]!BANCO10[[#This Row],[STATUS DA ETAPA]],"")</f>
        <v/>
      </c>
      <c r="CS580" s="64" t="str">
        <f>IF([1]!BANCO10[[#This Row],[SOLUÇÃO]]=CS$1,[1]!BANCO10[[#This Row],[STATUS DA ETAPA]],"")</f>
        <v/>
      </c>
      <c r="CT580" s="64" t="str">
        <f>IF([1]!BANCO10[[#This Row],[SOLUÇÃO]]=CT$1,[1]!BANCO10[[#This Row],[STATUS DA ETAPA]],"")</f>
        <v/>
      </c>
      <c r="CU580" s="64" t="str">
        <f>IF([1]!BANCO10[[#This Row],[SOLUÇÃO]]=CU$1,[1]!BANCO10[[#This Row],[STATUS DA ETAPA]],"")</f>
        <v/>
      </c>
      <c r="CV580" s="64" t="str">
        <f>IF([1]!BANCO10[[#This Row],[SOLUÇÃO]]=CV$1,[1]!BANCO10[[#This Row],[STATUS DA ETAPA]],"")</f>
        <v/>
      </c>
    </row>
    <row r="581" spans="1:100">
      <c r="A581" s="44" t="s">
        <v>2</v>
      </c>
      <c r="B581" s="44">
        <v>45701</v>
      </c>
      <c r="C581" s="44" t="s">
        <v>2</v>
      </c>
      <c r="D581" s="44">
        <v>45702</v>
      </c>
      <c r="E581" s="44" t="s">
        <v>2</v>
      </c>
      <c r="F581" s="44">
        <v>45702</v>
      </c>
      <c r="G581" s="44" t="s">
        <v>2</v>
      </c>
      <c r="H581" s="44">
        <v>45705</v>
      </c>
      <c r="I581" s="45" t="s">
        <v>2</v>
      </c>
      <c r="J581" s="46">
        <v>45702</v>
      </c>
      <c r="K581" s="45" t="s">
        <v>2</v>
      </c>
      <c r="L581" s="33">
        <v>45705</v>
      </c>
      <c r="M581" s="45" t="s">
        <v>2</v>
      </c>
      <c r="N581" s="33">
        <v>45705</v>
      </c>
      <c r="O581" s="44" t="s">
        <v>1</v>
      </c>
      <c r="P581" s="44"/>
      <c r="Q581" s="44" t="s">
        <v>2</v>
      </c>
      <c r="R581" s="44">
        <v>45701</v>
      </c>
      <c r="S581" s="44" t="s">
        <v>2</v>
      </c>
      <c r="T581" s="44">
        <v>45701</v>
      </c>
      <c r="U581" s="44" t="s">
        <v>1</v>
      </c>
      <c r="V581" s="44"/>
      <c r="W581" s="44" t="s">
        <v>1</v>
      </c>
      <c r="X581" s="44"/>
      <c r="Y581" s="44" t="s">
        <v>1</v>
      </c>
      <c r="Z581" s="44"/>
      <c r="AA581" s="44" t="s">
        <v>1</v>
      </c>
      <c r="AB581" s="44"/>
      <c r="AC581" s="51">
        <v>45783</v>
      </c>
      <c r="AD581" s="50">
        <v>45869</v>
      </c>
      <c r="AE581" s="41" t="s">
        <v>2</v>
      </c>
      <c r="AF581" s="41" t="s">
        <v>2</v>
      </c>
      <c r="AG581" s="40" t="s">
        <v>5</v>
      </c>
      <c r="AH581" s="36" t="s">
        <v>0</v>
      </c>
      <c r="AI581" s="49">
        <v>20140</v>
      </c>
      <c r="AJ581" s="36" t="s">
        <v>6</v>
      </c>
      <c r="AK581" s="10">
        <v>665250</v>
      </c>
      <c r="AL581" s="36" t="s">
        <v>1</v>
      </c>
      <c r="AM581" s="36" t="s">
        <v>1</v>
      </c>
      <c r="AN581" s="35" t="s">
        <v>2</v>
      </c>
      <c r="AO581" s="35" t="s">
        <v>2</v>
      </c>
      <c r="AP581" s="35" t="s">
        <v>2</v>
      </c>
      <c r="AQ581" s="35" t="s">
        <v>2</v>
      </c>
      <c r="AR581" s="34" t="s">
        <v>2</v>
      </c>
      <c r="AS581" s="33">
        <v>45877</v>
      </c>
      <c r="AT581" s="32" t="s">
        <v>1</v>
      </c>
      <c r="AU581" s="31"/>
      <c r="AV581" s="32" t="s">
        <v>1</v>
      </c>
      <c r="AW581" s="31"/>
      <c r="AX581" s="30" t="s">
        <v>2</v>
      </c>
      <c r="AY581" s="31">
        <v>45877</v>
      </c>
      <c r="AZ581" s="32" t="s">
        <v>0</v>
      </c>
      <c r="BA581" s="31"/>
      <c r="BB581" s="126" t="s">
        <v>68</v>
      </c>
      <c r="BC581" s="22">
        <v>0</v>
      </c>
      <c r="BD581" s="24"/>
      <c r="BE581" s="24"/>
      <c r="BF581" s="24"/>
      <c r="BG581" s="24"/>
      <c r="BH581" s="24"/>
      <c r="BI581" s="24"/>
      <c r="BJ581" s="24"/>
      <c r="BK581" s="24"/>
      <c r="BL581" s="24"/>
      <c r="BM581" s="24"/>
      <c r="BN581" s="24"/>
      <c r="BO581" s="24"/>
      <c r="BP581" s="24"/>
      <c r="BQ581" s="22">
        <f>YEAR([1]!BANCO10[[#This Row],[DATA INÍCIO]])</f>
        <v>2025</v>
      </c>
      <c r="BR581" s="22">
        <f>MONTH([1]!BANCO10[[#This Row],[DATA INÍCIO]])</f>
        <v>5</v>
      </c>
      <c r="BS581" s="23" t="e">
        <f>CONCATENATE(#REF!,#REF!)</f>
        <v>#REF!</v>
      </c>
      <c r="BT581" s="22"/>
      <c r="BU581" s="22"/>
      <c r="BV581" s="21" t="str">
        <f>IF([1]!BANCO10[[#This Row],[SOLUÇÃO]]=BV$1,[1]!BANCO10[[#This Row],[STATUS DA ETAPA]],"")</f>
        <v/>
      </c>
      <c r="BW581" s="21" t="str">
        <f>IF([1]!BANCO10[[#This Row],[SOLUÇÃO]]=BW$1,[1]!BANCO10[[#This Row],[STATUS DA ETAPA]],"")</f>
        <v/>
      </c>
      <c r="BX581" s="21" t="str">
        <f>IF([1]!BANCO10[[#This Row],[SOLUÇÃO]]=BX$1,[1]!BANCO10[[#This Row],[STATUS DA ETAPA]],"")</f>
        <v/>
      </c>
      <c r="BY581" s="21" t="str">
        <f>IF([1]!BANCO10[[#This Row],[SOLUÇÃO]]=BY$1,[1]!BANCO10[[#This Row],[STATUS DA ETAPA]],"")</f>
        <v/>
      </c>
      <c r="BZ581" s="21" t="str">
        <f>IF([1]!BANCO10[[#This Row],[SOLUÇÃO]]=BZ$1,[1]!BANCO10[[#This Row],[STATUS DA ETAPA]],"")</f>
        <v/>
      </c>
      <c r="CA581" s="21" t="str">
        <f>IF([1]!BANCO10[[#This Row],[SOLUÇÃO]]=CA$1,[1]!BANCO10[[#This Row],[STATUS DA ETAPA]],"")</f>
        <v/>
      </c>
      <c r="CB581" s="21" t="str">
        <f>IF([1]!BANCO10[[#This Row],[SOLUÇÃO]]=CB$1,[1]!BANCO10[[#This Row],[STATUS DA ETAPA]],"")</f>
        <v>CONCLUÍDO</v>
      </c>
      <c r="CC581" s="21" t="str">
        <f>IF([1]!BANCO10[[#This Row],[SOLUÇÃO]]=CC$1,[1]!BANCO10[[#This Row],[STATUS DA ETAPA]],"")</f>
        <v/>
      </c>
      <c r="CD581" s="21" t="str">
        <f>IF([1]!BANCO10[[#This Row],[SOLUÇÃO]]=CD$1,[1]!BANCO10[[#This Row],[STATUS DA ETAPA]],"")</f>
        <v/>
      </c>
      <c r="CE581" s="21" t="str">
        <f>IF([1]!BANCO10[[#This Row],[SOLUÇÃO]]=CE$1,[1]!BANCO10[[#This Row],[STATUS DA ETAPA]],"")</f>
        <v/>
      </c>
      <c r="CF581" s="21" t="str">
        <f>IF([1]!BANCO10[[#This Row],[SOLUÇÃO]]=CF$1,[1]!BANCO10[[#This Row],[STATUS DA ETAPA]],"")</f>
        <v/>
      </c>
      <c r="CG581" s="21" t="str">
        <f>IF([1]!BANCO10[[#This Row],[SOLUÇÃO]]=CG$1,[1]!BANCO10[[#This Row],[STATUS DA ETAPA]],"")</f>
        <v/>
      </c>
      <c r="CH581" s="21" t="str">
        <f>IF([1]!BANCO10[[#This Row],[SOLUÇÃO]]=CH$1,[1]!BANCO10[[#This Row],[STATUS DA ETAPA]],"")</f>
        <v/>
      </c>
      <c r="CI581" s="21" t="str">
        <f>IF([1]!BANCO10[[#This Row],[SOLUÇÃO]]=CI$1,[1]!BANCO10[[#This Row],[STATUS DA ETAPA]],"")</f>
        <v/>
      </c>
      <c r="CJ581" s="21" t="str">
        <f>IF([1]!BANCO10[[#This Row],[SOLUÇÃO]]=CJ$1,[1]!BANCO10[[#This Row],[STATUS DA ETAPA]],"")</f>
        <v/>
      </c>
      <c r="CK581" s="21" t="str">
        <f>IF([1]!BANCO10[[#This Row],[SOLUÇÃO]]=CK$1,[1]!BANCO10[[#This Row],[STATUS DA ETAPA]],"")</f>
        <v/>
      </c>
      <c r="CL581" s="21" t="str">
        <f>IF([1]!BANCO10[[#This Row],[SOLUÇÃO]]=CL$1,[1]!BANCO10[[#This Row],[STATUS DA ETAPA]],"")</f>
        <v/>
      </c>
      <c r="CM581" s="21" t="str">
        <f>IF([1]!BANCO10[[#This Row],[SOLUÇÃO]]=CM$1,[1]!BANCO10[[#This Row],[STATUS DA ETAPA]],"")</f>
        <v/>
      </c>
      <c r="CN581" s="21" t="str">
        <f>IF([1]!BANCO10[[#This Row],[SOLUÇÃO]]=CN$1,[1]!BANCO10[[#This Row],[STATUS DA ETAPA]],"")</f>
        <v/>
      </c>
      <c r="CO581" s="21" t="str">
        <f>IF([1]!BANCO10[[#This Row],[SOLUÇÃO]]=CO$1,[1]!BANCO10[[#This Row],[STATUS DA ETAPA]],"")</f>
        <v/>
      </c>
      <c r="CP581" s="21" t="str">
        <f>IF([1]!BANCO10[[#This Row],[SOLUÇÃO]]=CP$1,[1]!BANCO10[[#This Row],[STATUS DA ETAPA]],"")</f>
        <v/>
      </c>
      <c r="CQ581" s="21" t="str">
        <f>IF([1]!BANCO10[[#This Row],[SOLUÇÃO]]=CQ$1,[1]!BANCO10[[#This Row],[STATUS DA ETAPA]],"")</f>
        <v/>
      </c>
      <c r="CR581" s="21" t="str">
        <f>IF([1]!BANCO10[[#This Row],[SOLUÇÃO]]=CR$1,[1]!BANCO10[[#This Row],[STATUS DA ETAPA]],"")</f>
        <v/>
      </c>
      <c r="CS581" s="21" t="str">
        <f>IF([1]!BANCO10[[#This Row],[SOLUÇÃO]]=CS$1,[1]!BANCO10[[#This Row],[STATUS DA ETAPA]],"")</f>
        <v/>
      </c>
      <c r="CT581" s="21" t="str">
        <f>IF([1]!BANCO10[[#This Row],[SOLUÇÃO]]=CT$1,[1]!BANCO10[[#This Row],[STATUS DA ETAPA]],"")</f>
        <v/>
      </c>
      <c r="CU581" s="21" t="str">
        <f>IF([1]!BANCO10[[#This Row],[SOLUÇÃO]]=CU$1,[1]!BANCO10[[#This Row],[STATUS DA ETAPA]],"")</f>
        <v/>
      </c>
      <c r="CV581" s="21" t="str">
        <f>IF([1]!BANCO10[[#This Row],[SOLUÇÃO]]=CV$1,[1]!BANCO10[[#This Row],[STATUS DA ETAPA]],"")</f>
        <v/>
      </c>
    </row>
    <row r="582" spans="1:100">
      <c r="A582" s="44" t="s">
        <v>1</v>
      </c>
      <c r="B582" s="44"/>
      <c r="C582" s="44" t="s">
        <v>1</v>
      </c>
      <c r="D582" s="44"/>
      <c r="E582" s="44" t="s">
        <v>1</v>
      </c>
      <c r="F582" s="44"/>
      <c r="G582" s="44" t="s">
        <v>1</v>
      </c>
      <c r="H582" s="44"/>
      <c r="I582" s="45" t="s">
        <v>1</v>
      </c>
      <c r="J582" s="46"/>
      <c r="K582" s="45" t="s">
        <v>1</v>
      </c>
      <c r="L582" s="33"/>
      <c r="M582" s="45" t="s">
        <v>1</v>
      </c>
      <c r="N582" s="33"/>
      <c r="O582" s="44" t="s">
        <v>2</v>
      </c>
      <c r="P582" s="44">
        <v>44963</v>
      </c>
      <c r="Q582" s="44" t="s">
        <v>0</v>
      </c>
      <c r="R582" s="44"/>
      <c r="S582" s="44" t="s">
        <v>1</v>
      </c>
      <c r="T582" s="44"/>
      <c r="U582" s="44" t="s">
        <v>1</v>
      </c>
      <c r="V582" s="44"/>
      <c r="W582" s="44" t="s">
        <v>1</v>
      </c>
      <c r="X582" s="44"/>
      <c r="Y582" s="44" t="s">
        <v>1</v>
      </c>
      <c r="Z582" s="44"/>
      <c r="AA582" s="44" t="s">
        <v>1</v>
      </c>
      <c r="AB582" s="44"/>
      <c r="AC582" s="51">
        <v>44963</v>
      </c>
      <c r="AD582" s="50">
        <v>44963</v>
      </c>
      <c r="AE582" s="40" t="s">
        <v>1</v>
      </c>
      <c r="AF582" s="40" t="s">
        <v>1</v>
      </c>
      <c r="AG582" s="40" t="s">
        <v>5</v>
      </c>
      <c r="AH582" s="36" t="s">
        <v>1</v>
      </c>
      <c r="AI582" s="49">
        <v>0</v>
      </c>
      <c r="AJ582" s="36" t="s">
        <v>1</v>
      </c>
      <c r="AK582" s="10" t="s">
        <v>1</v>
      </c>
      <c r="AL582" s="36" t="s">
        <v>1</v>
      </c>
      <c r="AM582" s="36" t="s">
        <v>1</v>
      </c>
      <c r="AN582" s="35" t="s">
        <v>1</v>
      </c>
      <c r="AO582" s="35" t="s">
        <v>1</v>
      </c>
      <c r="AP582" s="35" t="s">
        <v>1</v>
      </c>
      <c r="AQ582" s="35" t="s">
        <v>1</v>
      </c>
      <c r="AR582" s="82" t="s">
        <v>1</v>
      </c>
      <c r="AS582" s="33"/>
      <c r="AT582" s="30"/>
      <c r="AU582" s="55"/>
      <c r="AV582" s="30"/>
      <c r="AW582" s="55"/>
      <c r="AX582" s="30" t="s">
        <v>1</v>
      </c>
      <c r="AY582" s="55"/>
      <c r="AZ582" s="30" t="s">
        <v>1</v>
      </c>
      <c r="BA582" s="66"/>
      <c r="BB582" s="39"/>
      <c r="BC582" s="25"/>
      <c r="BD582" s="24" t="s">
        <v>11</v>
      </c>
      <c r="BE582" s="24" t="s">
        <v>11</v>
      </c>
      <c r="BF582" s="79" t="s">
        <v>21</v>
      </c>
      <c r="BG582" s="79" t="s">
        <v>11</v>
      </c>
      <c r="BH582" s="80" t="s">
        <v>234</v>
      </c>
      <c r="BI582" s="79"/>
      <c r="BJ582" s="54" t="s">
        <v>11</v>
      </c>
      <c r="BK582" s="78" t="s">
        <v>11</v>
      </c>
      <c r="BL582" s="69" t="s">
        <v>11</v>
      </c>
      <c r="BM582" s="78" t="s">
        <v>11</v>
      </c>
      <c r="BN582" s="78" t="s">
        <v>11</v>
      </c>
      <c r="BO582" s="78" t="s">
        <v>11</v>
      </c>
      <c r="BP582" s="78" t="s">
        <v>11</v>
      </c>
      <c r="BQ582" s="21">
        <f>YEAR([1]!BANCO10[[#This Row],[DATA INÍCIO]])</f>
        <v>2023</v>
      </c>
      <c r="BR582" s="21">
        <f>MONTH([1]!BANCO10[[#This Row],[DATA INÍCIO]])</f>
        <v>2</v>
      </c>
      <c r="BS582" s="21" t="e">
        <f>CONCATENATE(#REF!,#REF!)</f>
        <v>#REF!</v>
      </c>
      <c r="BT582" s="21"/>
      <c r="BU582" s="21" t="s">
        <v>307</v>
      </c>
      <c r="BV582" s="21" t="str">
        <f>IF([1]!BANCO10[[#This Row],[SOLUÇÃO]]=BV$1,[1]!BANCO10[[#This Row],[STATUS DA ETAPA]],"")</f>
        <v>CONCLUÍDO</v>
      </c>
      <c r="BW582" s="21" t="str">
        <f>IF([1]!BANCO10[[#This Row],[SOLUÇÃO]]=BW$1,[1]!BANCO10[[#This Row],[STATUS DA ETAPA]],"")</f>
        <v/>
      </c>
      <c r="BX582" s="21" t="str">
        <f>IF([1]!BANCO10[[#This Row],[SOLUÇÃO]]=BX$1,[1]!BANCO10[[#This Row],[STATUS DA ETAPA]],"")</f>
        <v/>
      </c>
      <c r="BY582" s="21" t="str">
        <f>IF([1]!BANCO10[[#This Row],[SOLUÇÃO]]=BY$1,[1]!BANCO10[[#This Row],[STATUS DA ETAPA]],"")</f>
        <v/>
      </c>
      <c r="BZ582" s="21" t="str">
        <f>IF([1]!BANCO10[[#This Row],[SOLUÇÃO]]=BZ$1,[1]!BANCO10[[#This Row],[STATUS DA ETAPA]],"")</f>
        <v/>
      </c>
      <c r="CA582" s="21" t="str">
        <f>IF([1]!BANCO10[[#This Row],[SOLUÇÃO]]=CA$1,[1]!BANCO10[[#This Row],[STATUS DA ETAPA]],"")</f>
        <v/>
      </c>
      <c r="CB582" s="21" t="str">
        <f>IF([1]!BANCO10[[#This Row],[SOLUÇÃO]]=CB$1,[1]!BANCO10[[#This Row],[STATUS DA ETAPA]],"")</f>
        <v/>
      </c>
      <c r="CC582" s="21" t="str">
        <f>IF([1]!BANCO10[[#This Row],[SOLUÇÃO]]=CC$1,[1]!BANCO10[[#This Row],[STATUS DA ETAPA]],"")</f>
        <v/>
      </c>
      <c r="CD582" s="21" t="str">
        <f>IF([1]!BANCO10[[#This Row],[SOLUÇÃO]]=CD$1,[1]!BANCO10[[#This Row],[STATUS DA ETAPA]],"")</f>
        <v/>
      </c>
      <c r="CE582" s="21" t="str">
        <f>IF([1]!BANCO10[[#This Row],[SOLUÇÃO]]=CE$1,[1]!BANCO10[[#This Row],[STATUS DA ETAPA]],"")</f>
        <v/>
      </c>
      <c r="CF582" s="21" t="str">
        <f>IF([1]!BANCO10[[#This Row],[SOLUÇÃO]]=CF$1,[1]!BANCO10[[#This Row],[STATUS DA ETAPA]],"")</f>
        <v/>
      </c>
      <c r="CG582" s="21" t="str">
        <f>IF([1]!BANCO10[[#This Row],[SOLUÇÃO]]=CG$1,[1]!BANCO10[[#This Row],[STATUS DA ETAPA]],"")</f>
        <v/>
      </c>
      <c r="CH582" s="21" t="str">
        <f>IF([1]!BANCO10[[#This Row],[SOLUÇÃO]]=CH$1,[1]!BANCO10[[#This Row],[STATUS DA ETAPA]],"")</f>
        <v/>
      </c>
      <c r="CI582" s="21" t="str">
        <f>IF([1]!BANCO10[[#This Row],[SOLUÇÃO]]=CI$1,[1]!BANCO10[[#This Row],[STATUS DA ETAPA]],"")</f>
        <v/>
      </c>
      <c r="CJ582" s="21" t="str">
        <f>IF([1]!BANCO10[[#This Row],[SOLUÇÃO]]=CJ$1,[1]!BANCO10[[#This Row],[STATUS DA ETAPA]],"")</f>
        <v/>
      </c>
      <c r="CK582" s="21" t="str">
        <f>IF([1]!BANCO10[[#This Row],[SOLUÇÃO]]=CK$1,[1]!BANCO10[[#This Row],[STATUS DA ETAPA]],"")</f>
        <v/>
      </c>
      <c r="CL582" s="22" t="str">
        <f>IF([1]!BANCO10[[#This Row],[SOLUÇÃO]]=CL$1,[1]!BANCO10[[#This Row],[STATUS DA ETAPA]],"")</f>
        <v/>
      </c>
      <c r="CM582" s="64" t="str">
        <f>IF([1]!BANCO10[[#This Row],[SOLUÇÃO]]=CM$1,[1]!BANCO10[[#This Row],[STATUS DA ETAPA]],"")</f>
        <v/>
      </c>
      <c r="CN582" s="64" t="str">
        <f>IF([1]!BANCO10[[#This Row],[SOLUÇÃO]]=CN$1,[1]!BANCO10[[#This Row],[STATUS DA ETAPA]],"")</f>
        <v/>
      </c>
      <c r="CO582" s="64" t="str">
        <f>IF([1]!BANCO10[[#This Row],[SOLUÇÃO]]=CO$1,[1]!BANCO10[[#This Row],[STATUS DA ETAPA]],"")</f>
        <v/>
      </c>
      <c r="CP582" s="64" t="str">
        <f>IF([1]!BANCO10[[#This Row],[SOLUÇÃO]]=CP$1,[1]!BANCO10[[#This Row],[STATUS DA ETAPA]],"")</f>
        <v/>
      </c>
      <c r="CQ582" s="64" t="str">
        <f>IF([1]!BANCO10[[#This Row],[SOLUÇÃO]]=CQ$1,[1]!BANCO10[[#This Row],[STATUS DA ETAPA]],"")</f>
        <v/>
      </c>
      <c r="CR582" s="64" t="str">
        <f>IF([1]!BANCO10[[#This Row],[SOLUÇÃO]]=CR$1,[1]!BANCO10[[#This Row],[STATUS DA ETAPA]],"")</f>
        <v/>
      </c>
      <c r="CS582" s="64" t="str">
        <f>IF([1]!BANCO10[[#This Row],[SOLUÇÃO]]=CS$1,[1]!BANCO10[[#This Row],[STATUS DA ETAPA]],"")</f>
        <v/>
      </c>
      <c r="CT582" s="64" t="str">
        <f>IF([1]!BANCO10[[#This Row],[SOLUÇÃO]]=CT$1,[1]!BANCO10[[#This Row],[STATUS DA ETAPA]],"")</f>
        <v/>
      </c>
      <c r="CU582" s="64" t="str">
        <f>IF([1]!BANCO10[[#This Row],[SOLUÇÃO]]=CU$1,[1]!BANCO10[[#This Row],[STATUS DA ETAPA]],"")</f>
        <v/>
      </c>
      <c r="CV582" s="64" t="str">
        <f>IF([1]!BANCO10[[#This Row],[SOLUÇÃO]]=CV$1,[1]!BANCO10[[#This Row],[STATUS DA ETAPA]],"")</f>
        <v/>
      </c>
    </row>
    <row r="583" spans="1:100">
      <c r="A583" s="44" t="s">
        <v>1</v>
      </c>
      <c r="B583" s="44"/>
      <c r="C583" s="44" t="s">
        <v>1</v>
      </c>
      <c r="D583" s="44"/>
      <c r="E583" s="44" t="s">
        <v>1</v>
      </c>
      <c r="F583" s="44"/>
      <c r="G583" s="44" t="s">
        <v>1</v>
      </c>
      <c r="H583" s="44"/>
      <c r="I583" s="45" t="s">
        <v>1</v>
      </c>
      <c r="J583" s="46"/>
      <c r="K583" s="45" t="s">
        <v>1</v>
      </c>
      <c r="L583" s="33"/>
      <c r="M583" s="45" t="s">
        <v>1</v>
      </c>
      <c r="N583" s="33"/>
      <c r="O583" s="44" t="s">
        <v>2</v>
      </c>
      <c r="P583" s="44">
        <v>44963</v>
      </c>
      <c r="Q583" s="44" t="s">
        <v>2</v>
      </c>
      <c r="R583" s="44">
        <v>44964</v>
      </c>
      <c r="S583" s="44" t="s">
        <v>2</v>
      </c>
      <c r="T583" s="44">
        <v>44967</v>
      </c>
      <c r="U583" s="44" t="s">
        <v>2</v>
      </c>
      <c r="V583" s="44">
        <v>44967</v>
      </c>
      <c r="W583" s="44" t="s">
        <v>2</v>
      </c>
      <c r="X583" s="44"/>
      <c r="Y583" s="44" t="s">
        <v>2</v>
      </c>
      <c r="Z583" s="44">
        <v>45016</v>
      </c>
      <c r="AA583" s="44" t="s">
        <v>2</v>
      </c>
      <c r="AB583" s="44"/>
      <c r="AC583" s="51">
        <v>45056</v>
      </c>
      <c r="AD583" s="50">
        <v>45208</v>
      </c>
      <c r="AE583" s="40" t="s">
        <v>2</v>
      </c>
      <c r="AF583" s="40" t="s">
        <v>2</v>
      </c>
      <c r="AG583" s="40" t="s">
        <v>5</v>
      </c>
      <c r="AH583" s="36" t="s">
        <v>0</v>
      </c>
      <c r="AI583" s="49">
        <v>0</v>
      </c>
      <c r="AJ583" s="36" t="s">
        <v>6</v>
      </c>
      <c r="AK583" s="10"/>
      <c r="AL583" s="36" t="s">
        <v>22</v>
      </c>
      <c r="AM583" s="36"/>
      <c r="AN583" s="35" t="s">
        <v>1</v>
      </c>
      <c r="AO583" s="35" t="s">
        <v>1</v>
      </c>
      <c r="AP583" s="35" t="s">
        <v>2</v>
      </c>
      <c r="AQ583" s="35"/>
      <c r="AR583" s="34" t="s">
        <v>1</v>
      </c>
      <c r="AS583" s="33"/>
      <c r="AT583" s="30"/>
      <c r="AU583" s="55"/>
      <c r="AV583" s="30"/>
      <c r="AW583" s="55"/>
      <c r="AX583" s="30" t="s">
        <v>2</v>
      </c>
      <c r="AY583" s="55">
        <v>45208</v>
      </c>
      <c r="AZ583" s="30" t="s">
        <v>2</v>
      </c>
      <c r="BA583" s="66"/>
      <c r="BB583" s="39"/>
      <c r="BC583" s="25"/>
      <c r="BD583" s="24" t="s">
        <v>11</v>
      </c>
      <c r="BE583" s="24" t="s">
        <v>11</v>
      </c>
      <c r="BF583" s="79" t="s">
        <v>21</v>
      </c>
      <c r="BG583" s="79" t="s">
        <v>11</v>
      </c>
      <c r="BH583" s="80" t="s">
        <v>234</v>
      </c>
      <c r="BI583" s="79"/>
      <c r="BJ583" s="54" t="s">
        <v>11</v>
      </c>
      <c r="BK583" s="78" t="s">
        <v>11</v>
      </c>
      <c r="BL583" s="69" t="s">
        <v>11</v>
      </c>
      <c r="BM583" s="78" t="s">
        <v>11</v>
      </c>
      <c r="BN583" s="78" t="s">
        <v>11</v>
      </c>
      <c r="BO583" s="78" t="s">
        <v>11</v>
      </c>
      <c r="BP583" s="78" t="s">
        <v>11</v>
      </c>
      <c r="BQ583" s="21">
        <f>YEAR([1]!BANCO10[[#This Row],[DATA INÍCIO]])</f>
        <v>2023</v>
      </c>
      <c r="BR583" s="21">
        <f>MONTH([1]!BANCO10[[#This Row],[DATA INÍCIO]])</f>
        <v>5</v>
      </c>
      <c r="BS583" s="21" t="e">
        <f>CONCATENATE(#REF!,#REF!)</f>
        <v>#REF!</v>
      </c>
      <c r="BT583" s="21"/>
      <c r="BU583" s="21" t="s">
        <v>306</v>
      </c>
      <c r="BV583" s="21" t="str">
        <f>IF([1]!BANCO10[[#This Row],[SOLUÇÃO]]=BV$1,[1]!BANCO10[[#This Row],[STATUS DA ETAPA]],"")</f>
        <v/>
      </c>
      <c r="BW583" s="21" t="str">
        <f>IF([1]!BANCO10[[#This Row],[SOLUÇÃO]]=BW$1,[1]!BANCO10[[#This Row],[STATUS DA ETAPA]],"")</f>
        <v/>
      </c>
      <c r="BX583" s="21" t="str">
        <f>IF([1]!BANCO10[[#This Row],[SOLUÇÃO]]=BX$1,[1]!BANCO10[[#This Row],[STATUS DA ETAPA]],"")</f>
        <v/>
      </c>
      <c r="BY583" s="21" t="str">
        <f>IF([1]!BANCO10[[#This Row],[SOLUÇÃO]]=BY$1,[1]!BANCO10[[#This Row],[STATUS DA ETAPA]],"")</f>
        <v/>
      </c>
      <c r="BZ583" s="21" t="str">
        <f>IF([1]!BANCO10[[#This Row],[SOLUÇÃO]]=BZ$1,[1]!BANCO10[[#This Row],[STATUS DA ETAPA]],"")</f>
        <v/>
      </c>
      <c r="CA583" s="21" t="str">
        <f>IF([1]!BANCO10[[#This Row],[SOLUÇÃO]]=CA$1,[1]!BANCO10[[#This Row],[STATUS DA ETAPA]],"")</f>
        <v>CONCLUÍDO</v>
      </c>
      <c r="CB583" s="21" t="str">
        <f>IF([1]!BANCO10[[#This Row],[SOLUÇÃO]]=CB$1,[1]!BANCO10[[#This Row],[STATUS DA ETAPA]],"")</f>
        <v/>
      </c>
      <c r="CC583" s="21" t="str">
        <f>IF([1]!BANCO10[[#This Row],[SOLUÇÃO]]=CC$1,[1]!BANCO10[[#This Row],[STATUS DA ETAPA]],"")</f>
        <v/>
      </c>
      <c r="CD583" s="21" t="str">
        <f>IF([1]!BANCO10[[#This Row],[SOLUÇÃO]]=CD$1,[1]!BANCO10[[#This Row],[STATUS DA ETAPA]],"")</f>
        <v/>
      </c>
      <c r="CE583" s="21" t="str">
        <f>IF([1]!BANCO10[[#This Row],[SOLUÇÃO]]=CE$1,[1]!BANCO10[[#This Row],[STATUS DA ETAPA]],"")</f>
        <v/>
      </c>
      <c r="CF583" s="21" t="str">
        <f>IF([1]!BANCO10[[#This Row],[SOLUÇÃO]]=CF$1,[1]!BANCO10[[#This Row],[STATUS DA ETAPA]],"")</f>
        <v/>
      </c>
      <c r="CG583" s="21" t="str">
        <f>IF([1]!BANCO10[[#This Row],[SOLUÇÃO]]=CG$1,[1]!BANCO10[[#This Row],[STATUS DA ETAPA]],"")</f>
        <v/>
      </c>
      <c r="CH583" s="21" t="str">
        <f>IF([1]!BANCO10[[#This Row],[SOLUÇÃO]]=CH$1,[1]!BANCO10[[#This Row],[STATUS DA ETAPA]],"")</f>
        <v/>
      </c>
      <c r="CI583" s="21" t="str">
        <f>IF([1]!BANCO10[[#This Row],[SOLUÇÃO]]=CI$1,[1]!BANCO10[[#This Row],[STATUS DA ETAPA]],"")</f>
        <v/>
      </c>
      <c r="CJ583" s="21" t="str">
        <f>IF([1]!BANCO10[[#This Row],[SOLUÇÃO]]=CJ$1,[1]!BANCO10[[#This Row],[STATUS DA ETAPA]],"")</f>
        <v/>
      </c>
      <c r="CK583" s="21" t="str">
        <f>IF([1]!BANCO10[[#This Row],[SOLUÇÃO]]=CK$1,[1]!BANCO10[[#This Row],[STATUS DA ETAPA]],"")</f>
        <v/>
      </c>
      <c r="CL583" s="22" t="str">
        <f>IF([1]!BANCO10[[#This Row],[SOLUÇÃO]]=CL$1,[1]!BANCO10[[#This Row],[STATUS DA ETAPA]],"")</f>
        <v/>
      </c>
      <c r="CM583" s="64" t="str">
        <f>IF([1]!BANCO10[[#This Row],[SOLUÇÃO]]=CM$1,[1]!BANCO10[[#This Row],[STATUS DA ETAPA]],"")</f>
        <v/>
      </c>
      <c r="CN583" s="64" t="str">
        <f>IF([1]!BANCO10[[#This Row],[SOLUÇÃO]]=CN$1,[1]!BANCO10[[#This Row],[STATUS DA ETAPA]],"")</f>
        <v/>
      </c>
      <c r="CO583" s="64" t="str">
        <f>IF([1]!BANCO10[[#This Row],[SOLUÇÃO]]=CO$1,[1]!BANCO10[[#This Row],[STATUS DA ETAPA]],"")</f>
        <v/>
      </c>
      <c r="CP583" s="64" t="str">
        <f>IF([1]!BANCO10[[#This Row],[SOLUÇÃO]]=CP$1,[1]!BANCO10[[#This Row],[STATUS DA ETAPA]],"")</f>
        <v/>
      </c>
      <c r="CQ583" s="64" t="str">
        <f>IF([1]!BANCO10[[#This Row],[SOLUÇÃO]]=CQ$1,[1]!BANCO10[[#This Row],[STATUS DA ETAPA]],"")</f>
        <v/>
      </c>
      <c r="CR583" s="64" t="str">
        <f>IF([1]!BANCO10[[#This Row],[SOLUÇÃO]]=CR$1,[1]!BANCO10[[#This Row],[STATUS DA ETAPA]],"")</f>
        <v/>
      </c>
      <c r="CS583" s="64" t="str">
        <f>IF([1]!BANCO10[[#This Row],[SOLUÇÃO]]=CS$1,[1]!BANCO10[[#This Row],[STATUS DA ETAPA]],"")</f>
        <v/>
      </c>
      <c r="CT583" s="64" t="str">
        <f>IF([1]!BANCO10[[#This Row],[SOLUÇÃO]]=CT$1,[1]!BANCO10[[#This Row],[STATUS DA ETAPA]],"")</f>
        <v/>
      </c>
      <c r="CU583" s="64" t="str">
        <f>IF([1]!BANCO10[[#This Row],[SOLUÇÃO]]=CU$1,[1]!BANCO10[[#This Row],[STATUS DA ETAPA]],"")</f>
        <v/>
      </c>
      <c r="CV583" s="64" t="str">
        <f>IF([1]!BANCO10[[#This Row],[SOLUÇÃO]]=CV$1,[1]!BANCO10[[#This Row],[STATUS DA ETAPA]],"")</f>
        <v/>
      </c>
    </row>
    <row r="584" spans="1:100">
      <c r="A584" s="44" t="s">
        <v>1</v>
      </c>
      <c r="B584" s="44"/>
      <c r="C584" s="44" t="s">
        <v>1</v>
      </c>
      <c r="D584" s="44"/>
      <c r="E584" s="44" t="s">
        <v>1</v>
      </c>
      <c r="F584" s="44"/>
      <c r="G584" s="44" t="s">
        <v>1</v>
      </c>
      <c r="H584" s="44"/>
      <c r="I584" s="45" t="s">
        <v>1</v>
      </c>
      <c r="J584" s="46"/>
      <c r="K584" s="45" t="s">
        <v>1</v>
      </c>
      <c r="L584" s="33"/>
      <c r="M584" s="45" t="s">
        <v>1</v>
      </c>
      <c r="N584" s="33"/>
      <c r="O584" s="44" t="s">
        <v>2</v>
      </c>
      <c r="P584" s="44">
        <v>44963</v>
      </c>
      <c r="Q584" s="44" t="s">
        <v>2</v>
      </c>
      <c r="R584" s="44">
        <v>45365</v>
      </c>
      <c r="S584" s="44" t="s">
        <v>2</v>
      </c>
      <c r="T584" s="44">
        <v>45365</v>
      </c>
      <c r="U584" s="44" t="s">
        <v>2</v>
      </c>
      <c r="V584" s="44">
        <v>45365</v>
      </c>
      <c r="W584" s="44" t="s">
        <v>2</v>
      </c>
      <c r="X584" s="44"/>
      <c r="Y584" s="44" t="s">
        <v>2</v>
      </c>
      <c r="Z584" s="44">
        <v>45365</v>
      </c>
      <c r="AA584" s="44" t="s">
        <v>2</v>
      </c>
      <c r="AB584" s="44"/>
      <c r="AC584" s="84">
        <v>45399</v>
      </c>
      <c r="AD584" s="83">
        <v>45504</v>
      </c>
      <c r="AE584" s="40" t="s">
        <v>2</v>
      </c>
      <c r="AF584" s="41" t="s">
        <v>2</v>
      </c>
      <c r="AG584" s="40" t="s">
        <v>5</v>
      </c>
      <c r="AH584" s="36" t="s">
        <v>0</v>
      </c>
      <c r="AI584" s="49">
        <v>0</v>
      </c>
      <c r="AJ584" s="36" t="s">
        <v>6</v>
      </c>
      <c r="AK584" s="10"/>
      <c r="AL584" s="36">
        <v>4735</v>
      </c>
      <c r="AM584" s="36" t="s">
        <v>1</v>
      </c>
      <c r="AN584" s="35" t="s">
        <v>1</v>
      </c>
      <c r="AO584" s="35" t="s">
        <v>1</v>
      </c>
      <c r="AP584" s="35" t="s">
        <v>2</v>
      </c>
      <c r="AQ584" s="35" t="s">
        <v>1</v>
      </c>
      <c r="AR584" s="33" t="s">
        <v>1</v>
      </c>
      <c r="AS584" s="33"/>
      <c r="AT584" s="30"/>
      <c r="AU584" s="55"/>
      <c r="AV584" s="30"/>
      <c r="AW584" s="55"/>
      <c r="AX584" s="30" t="s">
        <v>2</v>
      </c>
      <c r="AY584" s="55">
        <v>45518</v>
      </c>
      <c r="AZ584" s="30" t="s">
        <v>2</v>
      </c>
      <c r="BA584" s="91">
        <v>45622</v>
      </c>
      <c r="BB584" s="39"/>
      <c r="BC584" s="25"/>
      <c r="BD584" s="24" t="s">
        <v>11</v>
      </c>
      <c r="BE584" s="24" t="s">
        <v>11</v>
      </c>
      <c r="BF584" s="79" t="s">
        <v>21</v>
      </c>
      <c r="BG584" s="79" t="s">
        <v>11</v>
      </c>
      <c r="BH584" s="80" t="s">
        <v>234</v>
      </c>
      <c r="BI584" s="79"/>
      <c r="BJ584" s="54" t="s">
        <v>37</v>
      </c>
      <c r="BK584" s="78" t="s">
        <v>19</v>
      </c>
      <c r="BL584" s="69">
        <v>45391</v>
      </c>
      <c r="BM584" s="78" t="s">
        <v>18</v>
      </c>
      <c r="BN584" s="78" t="s">
        <v>11</v>
      </c>
      <c r="BO584" s="78"/>
      <c r="BP584" s="78" t="s">
        <v>151</v>
      </c>
      <c r="BQ584" s="21">
        <f>YEAR([1]!BANCO10[[#This Row],[DATA INÍCIO]])</f>
        <v>2024</v>
      </c>
      <c r="BR584" s="21">
        <f>MONTH([1]!BANCO10[[#This Row],[DATA INÍCIO]])</f>
        <v>4</v>
      </c>
      <c r="BS584" s="21" t="e">
        <f>CONCATENATE(#REF!,#REF!)</f>
        <v>#REF!</v>
      </c>
      <c r="BT584" s="21"/>
      <c r="BU584" s="21" t="s">
        <v>305</v>
      </c>
      <c r="BV584" s="21" t="str">
        <f>IF([1]!BANCO10[[#This Row],[SOLUÇÃO]]=BV$1,[1]!BANCO10[[#This Row],[STATUS DA ETAPA]],"")</f>
        <v/>
      </c>
      <c r="BW584" s="21" t="str">
        <f>IF([1]!BANCO10[[#This Row],[SOLUÇÃO]]=BW$1,[1]!BANCO10[[#This Row],[STATUS DA ETAPA]],"")</f>
        <v/>
      </c>
      <c r="BX584" s="21" t="str">
        <f>IF([1]!BANCO10[[#This Row],[SOLUÇÃO]]=BX$1,[1]!BANCO10[[#This Row],[STATUS DA ETAPA]],"")</f>
        <v/>
      </c>
      <c r="BY584" s="21" t="str">
        <f>IF([1]!BANCO10[[#This Row],[SOLUÇÃO]]=BY$1,[1]!BANCO10[[#This Row],[STATUS DA ETAPA]],"")</f>
        <v/>
      </c>
      <c r="BZ584" s="21" t="str">
        <f>IF([1]!BANCO10[[#This Row],[SOLUÇÃO]]=BZ$1,[1]!BANCO10[[#This Row],[STATUS DA ETAPA]],"")</f>
        <v/>
      </c>
      <c r="CA584" s="21" t="str">
        <f>IF([1]!BANCO10[[#This Row],[SOLUÇÃO]]=CA$1,[1]!BANCO10[[#This Row],[STATUS DA ETAPA]],"")</f>
        <v/>
      </c>
      <c r="CB584" s="21" t="str">
        <f>IF([1]!BANCO10[[#This Row],[SOLUÇÃO]]=CB$1,[1]!BANCO10[[#This Row],[STATUS DA ETAPA]],"")</f>
        <v/>
      </c>
      <c r="CC584" s="21" t="str">
        <f>IF([1]!BANCO10[[#This Row],[SOLUÇÃO]]=CC$1,[1]!BANCO10[[#This Row],[STATUS DA ETAPA]],"")</f>
        <v/>
      </c>
      <c r="CD584" s="21" t="str">
        <f>IF([1]!BANCO10[[#This Row],[SOLUÇÃO]]=CD$1,[1]!BANCO10[[#This Row],[STATUS DA ETAPA]],"")</f>
        <v/>
      </c>
      <c r="CE584" s="21" t="str">
        <f>IF([1]!BANCO10[[#This Row],[SOLUÇÃO]]=CE$1,[1]!BANCO10[[#This Row],[STATUS DA ETAPA]],"")</f>
        <v/>
      </c>
      <c r="CF584" s="21" t="str">
        <f>IF([1]!BANCO10[[#This Row],[SOLUÇÃO]]=CF$1,[1]!BANCO10[[#This Row],[STATUS DA ETAPA]],"")</f>
        <v/>
      </c>
      <c r="CG584" s="21" t="str">
        <f>IF([1]!BANCO10[[#This Row],[SOLUÇÃO]]=CG$1,[1]!BANCO10[[#This Row],[STATUS DA ETAPA]],"")</f>
        <v/>
      </c>
      <c r="CH584" s="21" t="str">
        <f>IF([1]!BANCO10[[#This Row],[SOLUÇÃO]]=CH$1,[1]!BANCO10[[#This Row],[STATUS DA ETAPA]],"")</f>
        <v/>
      </c>
      <c r="CI584" s="21" t="str">
        <f>IF([1]!BANCO10[[#This Row],[SOLUÇÃO]]=CI$1,[1]!BANCO10[[#This Row],[STATUS DA ETAPA]],"")</f>
        <v/>
      </c>
      <c r="CJ584" s="21" t="str">
        <f>IF([1]!BANCO10[[#This Row],[SOLUÇÃO]]=CJ$1,[1]!BANCO10[[#This Row],[STATUS DA ETAPA]],"")</f>
        <v/>
      </c>
      <c r="CK584" s="21" t="str">
        <f>IF([1]!BANCO10[[#This Row],[SOLUÇÃO]]=CK$1,[1]!BANCO10[[#This Row],[STATUS DA ETAPA]],"")</f>
        <v/>
      </c>
      <c r="CL584" s="22" t="str">
        <f>IF([1]!BANCO10[[#This Row],[SOLUÇÃO]]=CL$1,[1]!BANCO10[[#This Row],[STATUS DA ETAPA]],"")</f>
        <v/>
      </c>
      <c r="CM584" s="64" t="str">
        <f>IF([1]!BANCO10[[#This Row],[SOLUÇÃO]]=CM$1,[1]!BANCO10[[#This Row],[STATUS DA ETAPA]],"")</f>
        <v/>
      </c>
      <c r="CN584" s="64" t="str">
        <f>IF([1]!BANCO10[[#This Row],[SOLUÇÃO]]=CN$1,[1]!BANCO10[[#This Row],[STATUS DA ETAPA]],"")</f>
        <v/>
      </c>
      <c r="CO584" s="64" t="str">
        <f>IF([1]!BANCO10[[#This Row],[SOLUÇÃO]]=CO$1,[1]!BANCO10[[#This Row],[STATUS DA ETAPA]],"")</f>
        <v>CONCLUÍDO</v>
      </c>
      <c r="CP584" s="64" t="str">
        <f>IF([1]!BANCO10[[#This Row],[SOLUÇÃO]]=CP$1,[1]!BANCO10[[#This Row],[STATUS DA ETAPA]],"")</f>
        <v/>
      </c>
      <c r="CQ584" s="64" t="str">
        <f>IF([1]!BANCO10[[#This Row],[SOLUÇÃO]]=CQ$1,[1]!BANCO10[[#This Row],[STATUS DA ETAPA]],"")</f>
        <v/>
      </c>
      <c r="CR584" s="64" t="str">
        <f>IF([1]!BANCO10[[#This Row],[SOLUÇÃO]]=CR$1,[1]!BANCO10[[#This Row],[STATUS DA ETAPA]],"")</f>
        <v/>
      </c>
      <c r="CS584" s="64" t="str">
        <f>IF([1]!BANCO10[[#This Row],[SOLUÇÃO]]=CS$1,[1]!BANCO10[[#This Row],[STATUS DA ETAPA]],"")</f>
        <v/>
      </c>
      <c r="CT584" s="64" t="str">
        <f>IF([1]!BANCO10[[#This Row],[SOLUÇÃO]]=CT$1,[1]!BANCO10[[#This Row],[STATUS DA ETAPA]],"")</f>
        <v/>
      </c>
      <c r="CU584" s="64" t="str">
        <f>IF([1]!BANCO10[[#This Row],[SOLUÇÃO]]=CU$1,[1]!BANCO10[[#This Row],[STATUS DA ETAPA]],"")</f>
        <v/>
      </c>
      <c r="CV584" s="64" t="str">
        <f>IF([1]!BANCO10[[#This Row],[SOLUÇÃO]]=CV$1,[1]!BANCO10[[#This Row],[STATUS DA ETAPA]],"")</f>
        <v/>
      </c>
    </row>
    <row r="585" spans="1:100">
      <c r="A585" s="44" t="s">
        <v>1</v>
      </c>
      <c r="B585" s="44"/>
      <c r="C585" s="44" t="s">
        <v>1</v>
      </c>
      <c r="D585" s="44"/>
      <c r="E585" s="44" t="s">
        <v>1</v>
      </c>
      <c r="F585" s="44"/>
      <c r="G585" s="44" t="s">
        <v>1</v>
      </c>
      <c r="H585" s="44"/>
      <c r="I585" s="45" t="s">
        <v>1</v>
      </c>
      <c r="J585" s="46"/>
      <c r="K585" s="45" t="s">
        <v>1</v>
      </c>
      <c r="L585" s="33"/>
      <c r="M585" s="45" t="s">
        <v>1</v>
      </c>
      <c r="N585" s="33"/>
      <c r="O585" s="44" t="s">
        <v>1</v>
      </c>
      <c r="P585" s="44"/>
      <c r="Q585" s="44" t="s">
        <v>1</v>
      </c>
      <c r="R585" s="44"/>
      <c r="S585" s="44" t="s">
        <v>1</v>
      </c>
      <c r="T585" s="44"/>
      <c r="U585" s="44"/>
      <c r="V585" s="44"/>
      <c r="W585" s="44"/>
      <c r="X585" s="44"/>
      <c r="Y585" s="44"/>
      <c r="Z585" s="44"/>
      <c r="AA585" s="44"/>
      <c r="AB585" s="44"/>
      <c r="AC585" s="51">
        <v>45963</v>
      </c>
      <c r="AD585" s="50">
        <v>45963</v>
      </c>
      <c r="AE585" s="41" t="s">
        <v>1</v>
      </c>
      <c r="AF585" s="41" t="s">
        <v>1</v>
      </c>
      <c r="AG585" s="40" t="s">
        <v>1</v>
      </c>
      <c r="AH585" s="36" t="s">
        <v>1</v>
      </c>
      <c r="AI585" s="49">
        <v>0</v>
      </c>
      <c r="AJ585" s="36" t="s">
        <v>1</v>
      </c>
      <c r="AK585" s="10" t="s">
        <v>1</v>
      </c>
      <c r="AL585" s="36" t="s">
        <v>1</v>
      </c>
      <c r="AM585" s="36" t="s">
        <v>1</v>
      </c>
      <c r="AN585" s="35" t="s">
        <v>1</v>
      </c>
      <c r="AO585" s="35" t="s">
        <v>1</v>
      </c>
      <c r="AP585" s="35" t="s">
        <v>1</v>
      </c>
      <c r="AQ585" s="35" t="s">
        <v>1</v>
      </c>
      <c r="AR585" s="34" t="s">
        <v>1</v>
      </c>
      <c r="AS585" s="33"/>
      <c r="AT585" s="32" t="s">
        <v>1</v>
      </c>
      <c r="AU585" s="31"/>
      <c r="AV585" s="32" t="s">
        <v>1</v>
      </c>
      <c r="AW585" s="31"/>
      <c r="AX585" s="30" t="s">
        <v>1</v>
      </c>
      <c r="AY585" s="29"/>
      <c r="AZ585" s="28" t="s">
        <v>1</v>
      </c>
      <c r="BA585" s="27"/>
      <c r="BB585" s="39">
        <v>45834</v>
      </c>
      <c r="BC585" s="25" t="s">
        <v>304</v>
      </c>
      <c r="BD585" s="24"/>
      <c r="BE585" s="24"/>
      <c r="BF585" s="24"/>
      <c r="BG585" s="24"/>
      <c r="BH585" s="24"/>
      <c r="BI585" s="24"/>
      <c r="BJ585" s="24"/>
      <c r="BK585" s="24"/>
      <c r="BL585" s="24"/>
      <c r="BM585" s="24"/>
      <c r="BN585" s="24"/>
      <c r="BO585" s="24"/>
      <c r="BP585" s="24"/>
      <c r="BQ585" s="22">
        <f>YEAR([1]!BANCO10[[#This Row],[DATA INÍCIO]])</f>
        <v>2025</v>
      </c>
      <c r="BR585" s="22">
        <f>MONTH([1]!BANCO10[[#This Row],[DATA INÍCIO]])</f>
        <v>11</v>
      </c>
      <c r="BS585" s="23" t="e">
        <f>CONCATENATE(#REF!,#REF!)</f>
        <v>#REF!</v>
      </c>
      <c r="BT585" s="22"/>
      <c r="BU585" s="22"/>
      <c r="BV585" s="21" t="str">
        <f>IF([1]!BANCO10[[#This Row],[SOLUÇÃO]]=BV$1,[1]!BANCO10[[#This Row],[STATUS DA ETAPA]],"")</f>
        <v/>
      </c>
      <c r="BW585" s="21" t="str">
        <f>IF([1]!BANCO10[[#This Row],[SOLUÇÃO]]=BW$1,[1]!BANCO10[[#This Row],[STATUS DA ETAPA]],"")</f>
        <v/>
      </c>
      <c r="BX585" s="21" t="str">
        <f>IF([1]!BANCO10[[#This Row],[SOLUÇÃO]]=BX$1,[1]!BANCO10[[#This Row],[STATUS DA ETAPA]],"")</f>
        <v>CANCELADO</v>
      </c>
      <c r="BY585" s="21" t="str">
        <f>IF([1]!BANCO10[[#This Row],[SOLUÇÃO]]=BY$1,[1]!BANCO10[[#This Row],[STATUS DA ETAPA]],"")</f>
        <v/>
      </c>
      <c r="BZ585" s="21" t="str">
        <f>IF([1]!BANCO10[[#This Row],[SOLUÇÃO]]=BZ$1,[1]!BANCO10[[#This Row],[STATUS DA ETAPA]],"")</f>
        <v/>
      </c>
      <c r="CA585" s="21" t="str">
        <f>IF([1]!BANCO10[[#This Row],[SOLUÇÃO]]=CA$1,[1]!BANCO10[[#This Row],[STATUS DA ETAPA]],"")</f>
        <v/>
      </c>
      <c r="CB585" s="21" t="str">
        <f>IF([1]!BANCO10[[#This Row],[SOLUÇÃO]]=CB$1,[1]!BANCO10[[#This Row],[STATUS DA ETAPA]],"")</f>
        <v/>
      </c>
      <c r="CC585" s="21" t="str">
        <f>IF([1]!BANCO10[[#This Row],[SOLUÇÃO]]=CC$1,[1]!BANCO10[[#This Row],[STATUS DA ETAPA]],"")</f>
        <v/>
      </c>
      <c r="CD585" s="21" t="str">
        <f>IF([1]!BANCO10[[#This Row],[SOLUÇÃO]]=CD$1,[1]!BANCO10[[#This Row],[STATUS DA ETAPA]],"")</f>
        <v/>
      </c>
      <c r="CE585" s="21" t="str">
        <f>IF([1]!BANCO10[[#This Row],[SOLUÇÃO]]=CE$1,[1]!BANCO10[[#This Row],[STATUS DA ETAPA]],"")</f>
        <v/>
      </c>
      <c r="CF585" s="21" t="str">
        <f>IF([1]!BANCO10[[#This Row],[SOLUÇÃO]]=CF$1,[1]!BANCO10[[#This Row],[STATUS DA ETAPA]],"")</f>
        <v/>
      </c>
      <c r="CG585" s="21" t="str">
        <f>IF([1]!BANCO10[[#This Row],[SOLUÇÃO]]=CG$1,[1]!BANCO10[[#This Row],[STATUS DA ETAPA]],"")</f>
        <v/>
      </c>
      <c r="CH585" s="21" t="str">
        <f>IF([1]!BANCO10[[#This Row],[SOLUÇÃO]]=CH$1,[1]!BANCO10[[#This Row],[STATUS DA ETAPA]],"")</f>
        <v/>
      </c>
      <c r="CI585" s="21" t="str">
        <f>IF([1]!BANCO10[[#This Row],[SOLUÇÃO]]=CI$1,[1]!BANCO10[[#This Row],[STATUS DA ETAPA]],"")</f>
        <v/>
      </c>
      <c r="CJ585" s="21" t="str">
        <f>IF([1]!BANCO10[[#This Row],[SOLUÇÃO]]=CJ$1,[1]!BANCO10[[#This Row],[STATUS DA ETAPA]],"")</f>
        <v/>
      </c>
      <c r="CK585" s="21" t="str">
        <f>IF([1]!BANCO10[[#This Row],[SOLUÇÃO]]=CK$1,[1]!BANCO10[[#This Row],[STATUS DA ETAPA]],"")</f>
        <v/>
      </c>
      <c r="CL585" s="21" t="str">
        <f>IF([1]!BANCO10[[#This Row],[SOLUÇÃO]]=CL$1,[1]!BANCO10[[#This Row],[STATUS DA ETAPA]],"")</f>
        <v/>
      </c>
      <c r="CM585" s="21" t="str">
        <f>IF([1]!BANCO10[[#This Row],[SOLUÇÃO]]=CM$1,[1]!BANCO10[[#This Row],[STATUS DA ETAPA]],"")</f>
        <v/>
      </c>
      <c r="CN585" s="21" t="str">
        <f>IF([1]!BANCO10[[#This Row],[SOLUÇÃO]]=CN$1,[1]!BANCO10[[#This Row],[STATUS DA ETAPA]],"")</f>
        <v/>
      </c>
      <c r="CO585" s="21" t="str">
        <f>IF([1]!BANCO10[[#This Row],[SOLUÇÃO]]=CO$1,[1]!BANCO10[[#This Row],[STATUS DA ETAPA]],"")</f>
        <v/>
      </c>
      <c r="CP585" s="21" t="str">
        <f>IF([1]!BANCO10[[#This Row],[SOLUÇÃO]]=CP$1,[1]!BANCO10[[#This Row],[STATUS DA ETAPA]],"")</f>
        <v/>
      </c>
      <c r="CQ585" s="21" t="str">
        <f>IF([1]!BANCO10[[#This Row],[SOLUÇÃO]]=CQ$1,[1]!BANCO10[[#This Row],[STATUS DA ETAPA]],"")</f>
        <v/>
      </c>
      <c r="CR585" s="21" t="str">
        <f>IF([1]!BANCO10[[#This Row],[SOLUÇÃO]]=CR$1,[1]!BANCO10[[#This Row],[STATUS DA ETAPA]],"")</f>
        <v/>
      </c>
      <c r="CS585" s="21" t="str">
        <f>IF([1]!BANCO10[[#This Row],[SOLUÇÃO]]=CS$1,[1]!BANCO10[[#This Row],[STATUS DA ETAPA]],"")</f>
        <v/>
      </c>
      <c r="CT585" s="21" t="str">
        <f>IF([1]!BANCO10[[#This Row],[SOLUÇÃO]]=CT$1,[1]!BANCO10[[#This Row],[STATUS DA ETAPA]],"")</f>
        <v/>
      </c>
      <c r="CU585" s="21" t="str">
        <f>IF([1]!BANCO10[[#This Row],[SOLUÇÃO]]=CU$1,[1]!BANCO10[[#This Row],[STATUS DA ETAPA]],"")</f>
        <v/>
      </c>
      <c r="CV585" s="21" t="str">
        <f>IF([1]!BANCO10[[#This Row],[SOLUÇÃO]]=CV$1,[1]!BANCO10[[#This Row],[STATUS DA ETAPA]],"")</f>
        <v/>
      </c>
    </row>
    <row r="586" spans="1:100">
      <c r="A586" s="44" t="s">
        <v>1</v>
      </c>
      <c r="B586" s="44"/>
      <c r="C586" s="44" t="s">
        <v>1</v>
      </c>
      <c r="D586" s="44"/>
      <c r="E586" s="44" t="s">
        <v>1</v>
      </c>
      <c r="F586" s="44"/>
      <c r="G586" s="44" t="s">
        <v>1</v>
      </c>
      <c r="H586" s="44"/>
      <c r="I586" s="45" t="s">
        <v>1</v>
      </c>
      <c r="J586" s="46"/>
      <c r="K586" s="45" t="s">
        <v>1</v>
      </c>
      <c r="L586" s="33"/>
      <c r="M586" s="45" t="s">
        <v>1</v>
      </c>
      <c r="N586" s="33"/>
      <c r="O586" s="44" t="s">
        <v>1</v>
      </c>
      <c r="P586" s="44"/>
      <c r="Q586" s="44" t="s">
        <v>1</v>
      </c>
      <c r="R586" s="44"/>
      <c r="S586" s="44" t="s">
        <v>1</v>
      </c>
      <c r="T586" s="44"/>
      <c r="U586" s="44" t="s">
        <v>1</v>
      </c>
      <c r="V586" s="44"/>
      <c r="W586" s="44" t="s">
        <v>1</v>
      </c>
      <c r="X586" s="44"/>
      <c r="Y586" s="44" t="s">
        <v>1</v>
      </c>
      <c r="Z586" s="44"/>
      <c r="AA586" s="44" t="s">
        <v>1</v>
      </c>
      <c r="AB586" s="44"/>
      <c r="AC586" s="84">
        <v>45342</v>
      </c>
      <c r="AD586" s="83">
        <v>45342</v>
      </c>
      <c r="AE586" s="40" t="s">
        <v>1</v>
      </c>
      <c r="AF586" s="40" t="s">
        <v>1</v>
      </c>
      <c r="AG586" s="76" t="s">
        <v>5</v>
      </c>
      <c r="AH586" s="36" t="s">
        <v>1</v>
      </c>
      <c r="AI586" s="49">
        <v>0</v>
      </c>
      <c r="AJ586" s="36" t="s">
        <v>1</v>
      </c>
      <c r="AK586" s="10" t="s">
        <v>1</v>
      </c>
      <c r="AL586" s="36" t="s">
        <v>1</v>
      </c>
      <c r="AM586" s="36" t="s">
        <v>1</v>
      </c>
      <c r="AN586" s="35" t="s">
        <v>1</v>
      </c>
      <c r="AO586" s="35" t="s">
        <v>1</v>
      </c>
      <c r="AP586" s="35" t="s">
        <v>1</v>
      </c>
      <c r="AQ586" s="35" t="s">
        <v>1</v>
      </c>
      <c r="AR586" s="82" t="s">
        <v>1</v>
      </c>
      <c r="AS586" s="33"/>
      <c r="AT586" s="30"/>
      <c r="AU586" s="55"/>
      <c r="AV586" s="30"/>
      <c r="AW586" s="55"/>
      <c r="AX586" s="30" t="s">
        <v>1</v>
      </c>
      <c r="AY586" s="55"/>
      <c r="AZ586" s="30" t="s">
        <v>1</v>
      </c>
      <c r="BA586" s="55"/>
      <c r="BB586" s="39"/>
      <c r="BC586" s="25" t="s">
        <v>14</v>
      </c>
      <c r="BD586" s="24"/>
      <c r="BE586" s="24"/>
      <c r="BF586" s="79"/>
      <c r="BG586" s="79"/>
      <c r="BH586" s="80"/>
      <c r="BI586" s="79"/>
      <c r="BJ586" s="54" t="s">
        <v>11</v>
      </c>
      <c r="BK586" s="78" t="s">
        <v>11</v>
      </c>
      <c r="BL586" s="69" t="s">
        <v>11</v>
      </c>
      <c r="BM586" s="78" t="s">
        <v>11</v>
      </c>
      <c r="BN586" s="78" t="s">
        <v>11</v>
      </c>
      <c r="BO586" s="78" t="s">
        <v>11</v>
      </c>
      <c r="BP586" s="78" t="s">
        <v>11</v>
      </c>
      <c r="BQ586" s="21">
        <f>YEAR([1]!BANCO10[[#This Row],[DATA INÍCIO]])</f>
        <v>2024</v>
      </c>
      <c r="BR586" s="21">
        <f>MONTH([1]!BANCO10[[#This Row],[DATA INÍCIO]])</f>
        <v>2</v>
      </c>
      <c r="BS586" s="21" t="e">
        <f>CONCATENATE(#REF!,#REF!)</f>
        <v>#REF!</v>
      </c>
      <c r="BT586" s="21"/>
      <c r="BU586" s="21" t="s">
        <v>303</v>
      </c>
      <c r="BV586" s="21" t="str">
        <f>IF([1]!BANCO10[[#This Row],[SOLUÇÃO]]=BV$1,[1]!BANCO10[[#This Row],[STATUS DA ETAPA]],"")</f>
        <v>CONCLUÍDO</v>
      </c>
      <c r="BW586" s="21" t="str">
        <f>IF([1]!BANCO10[[#This Row],[SOLUÇÃO]]=BW$1,[1]!BANCO10[[#This Row],[STATUS DA ETAPA]],"")</f>
        <v/>
      </c>
      <c r="BX586" s="21" t="str">
        <f>IF([1]!BANCO10[[#This Row],[SOLUÇÃO]]=BX$1,[1]!BANCO10[[#This Row],[STATUS DA ETAPA]],"")</f>
        <v/>
      </c>
      <c r="BY586" s="21" t="str">
        <f>IF([1]!BANCO10[[#This Row],[SOLUÇÃO]]=BY$1,[1]!BANCO10[[#This Row],[STATUS DA ETAPA]],"")</f>
        <v/>
      </c>
      <c r="BZ586" s="21" t="str">
        <f>IF([1]!BANCO10[[#This Row],[SOLUÇÃO]]=BZ$1,[1]!BANCO10[[#This Row],[STATUS DA ETAPA]],"")</f>
        <v/>
      </c>
      <c r="CA586" s="21" t="str">
        <f>IF([1]!BANCO10[[#This Row],[SOLUÇÃO]]=CA$1,[1]!BANCO10[[#This Row],[STATUS DA ETAPA]],"")</f>
        <v/>
      </c>
      <c r="CB586" s="21" t="str">
        <f>IF([1]!BANCO10[[#This Row],[SOLUÇÃO]]=CB$1,[1]!BANCO10[[#This Row],[STATUS DA ETAPA]],"")</f>
        <v/>
      </c>
      <c r="CC586" s="21" t="str">
        <f>IF([1]!BANCO10[[#This Row],[SOLUÇÃO]]=CC$1,[1]!BANCO10[[#This Row],[STATUS DA ETAPA]],"")</f>
        <v/>
      </c>
      <c r="CD586" s="21" t="str">
        <f>IF([1]!BANCO10[[#This Row],[SOLUÇÃO]]=CD$1,[1]!BANCO10[[#This Row],[STATUS DA ETAPA]],"")</f>
        <v/>
      </c>
      <c r="CE586" s="21" t="str">
        <f>IF([1]!BANCO10[[#This Row],[SOLUÇÃO]]=CE$1,[1]!BANCO10[[#This Row],[STATUS DA ETAPA]],"")</f>
        <v/>
      </c>
      <c r="CF586" s="21" t="str">
        <f>IF([1]!BANCO10[[#This Row],[SOLUÇÃO]]=CF$1,[1]!BANCO10[[#This Row],[STATUS DA ETAPA]],"")</f>
        <v/>
      </c>
      <c r="CG586" s="21" t="str">
        <f>IF([1]!BANCO10[[#This Row],[SOLUÇÃO]]=CG$1,[1]!BANCO10[[#This Row],[STATUS DA ETAPA]],"")</f>
        <v/>
      </c>
      <c r="CH586" s="21" t="str">
        <f>IF([1]!BANCO10[[#This Row],[SOLUÇÃO]]=CH$1,[1]!BANCO10[[#This Row],[STATUS DA ETAPA]],"")</f>
        <v/>
      </c>
      <c r="CI586" s="21" t="str">
        <f>IF([1]!BANCO10[[#This Row],[SOLUÇÃO]]=CI$1,[1]!BANCO10[[#This Row],[STATUS DA ETAPA]],"")</f>
        <v/>
      </c>
      <c r="CJ586" s="21" t="str">
        <f>IF([1]!BANCO10[[#This Row],[SOLUÇÃO]]=CJ$1,[1]!BANCO10[[#This Row],[STATUS DA ETAPA]],"")</f>
        <v/>
      </c>
      <c r="CK586" s="21" t="str">
        <f>IF([1]!BANCO10[[#This Row],[SOLUÇÃO]]=CK$1,[1]!BANCO10[[#This Row],[STATUS DA ETAPA]],"")</f>
        <v/>
      </c>
      <c r="CL586" s="22" t="str">
        <f>IF([1]!BANCO10[[#This Row],[SOLUÇÃO]]=CL$1,[1]!BANCO10[[#This Row],[STATUS DA ETAPA]],"")</f>
        <v/>
      </c>
      <c r="CM586" s="64" t="str">
        <f>IF([1]!BANCO10[[#This Row],[SOLUÇÃO]]=CM$1,[1]!BANCO10[[#This Row],[STATUS DA ETAPA]],"")</f>
        <v/>
      </c>
      <c r="CN586" s="64" t="str">
        <f>IF([1]!BANCO10[[#This Row],[SOLUÇÃO]]=CN$1,[1]!BANCO10[[#This Row],[STATUS DA ETAPA]],"")</f>
        <v/>
      </c>
      <c r="CO586" s="64" t="str">
        <f>IF([1]!BANCO10[[#This Row],[SOLUÇÃO]]=CO$1,[1]!BANCO10[[#This Row],[STATUS DA ETAPA]],"")</f>
        <v/>
      </c>
      <c r="CP586" s="64" t="str">
        <f>IF([1]!BANCO10[[#This Row],[SOLUÇÃO]]=CP$1,[1]!BANCO10[[#This Row],[STATUS DA ETAPA]],"")</f>
        <v/>
      </c>
      <c r="CQ586" s="64" t="str">
        <f>IF([1]!BANCO10[[#This Row],[SOLUÇÃO]]=CQ$1,[1]!BANCO10[[#This Row],[STATUS DA ETAPA]],"")</f>
        <v/>
      </c>
      <c r="CR586" s="64" t="str">
        <f>IF([1]!BANCO10[[#This Row],[SOLUÇÃO]]=CR$1,[1]!BANCO10[[#This Row],[STATUS DA ETAPA]],"")</f>
        <v/>
      </c>
      <c r="CS586" s="64" t="str">
        <f>IF([1]!BANCO10[[#This Row],[SOLUÇÃO]]=CS$1,[1]!BANCO10[[#This Row],[STATUS DA ETAPA]],"")</f>
        <v/>
      </c>
      <c r="CT586" s="64" t="str">
        <f>IF([1]!BANCO10[[#This Row],[SOLUÇÃO]]=CT$1,[1]!BANCO10[[#This Row],[STATUS DA ETAPA]],"")</f>
        <v/>
      </c>
      <c r="CU586" s="64" t="str">
        <f>IF([1]!BANCO10[[#This Row],[SOLUÇÃO]]=CU$1,[1]!BANCO10[[#This Row],[STATUS DA ETAPA]],"")</f>
        <v/>
      </c>
      <c r="CV586" s="64" t="str">
        <f>IF([1]!BANCO10[[#This Row],[SOLUÇÃO]]=CV$1,[1]!BANCO10[[#This Row],[STATUS DA ETAPA]],"")</f>
        <v/>
      </c>
    </row>
    <row r="587" spans="1:100">
      <c r="A587" s="44" t="s">
        <v>1</v>
      </c>
      <c r="B587" s="44"/>
      <c r="C587" s="44" t="s">
        <v>1</v>
      </c>
      <c r="D587" s="44"/>
      <c r="E587" s="44" t="s">
        <v>1</v>
      </c>
      <c r="F587" s="44"/>
      <c r="G587" s="44" t="s">
        <v>1</v>
      </c>
      <c r="H587" s="44"/>
      <c r="I587" s="45" t="s">
        <v>1</v>
      </c>
      <c r="J587" s="46"/>
      <c r="K587" s="45" t="s">
        <v>1</v>
      </c>
      <c r="L587" s="33"/>
      <c r="M587" s="45" t="s">
        <v>1</v>
      </c>
      <c r="N587" s="33"/>
      <c r="O587" s="44" t="s">
        <v>2</v>
      </c>
      <c r="P587" s="44">
        <v>44967</v>
      </c>
      <c r="Q587" s="44" t="s">
        <v>0</v>
      </c>
      <c r="R587" s="44"/>
      <c r="S587" s="44" t="s">
        <v>1</v>
      </c>
      <c r="T587" s="44"/>
      <c r="U587" s="44" t="s">
        <v>1</v>
      </c>
      <c r="V587" s="44"/>
      <c r="W587" s="44" t="s">
        <v>1</v>
      </c>
      <c r="X587" s="44"/>
      <c r="Y587" s="44" t="s">
        <v>1</v>
      </c>
      <c r="Z587" s="44"/>
      <c r="AA587" s="44" t="s">
        <v>1</v>
      </c>
      <c r="AB587" s="44"/>
      <c r="AC587" s="84">
        <v>44963</v>
      </c>
      <c r="AD587" s="83">
        <v>44963</v>
      </c>
      <c r="AE587" s="40" t="s">
        <v>1</v>
      </c>
      <c r="AF587" s="40" t="s">
        <v>1</v>
      </c>
      <c r="AG587" s="40" t="s">
        <v>5</v>
      </c>
      <c r="AH587" s="36" t="s">
        <v>1</v>
      </c>
      <c r="AI587" s="49">
        <v>0</v>
      </c>
      <c r="AJ587" s="36" t="s">
        <v>1</v>
      </c>
      <c r="AK587" s="10" t="s">
        <v>1</v>
      </c>
      <c r="AL587" s="36" t="s">
        <v>1</v>
      </c>
      <c r="AM587" s="36" t="s">
        <v>1</v>
      </c>
      <c r="AN587" s="35" t="s">
        <v>1</v>
      </c>
      <c r="AO587" s="35" t="s">
        <v>1</v>
      </c>
      <c r="AP587" s="35" t="s">
        <v>1</v>
      </c>
      <c r="AQ587" s="35" t="s">
        <v>1</v>
      </c>
      <c r="AR587" s="82" t="s">
        <v>1</v>
      </c>
      <c r="AS587" s="33"/>
      <c r="AT587" s="30"/>
      <c r="AU587" s="55"/>
      <c r="AV587" s="30"/>
      <c r="AW587" s="55"/>
      <c r="AX587" s="30" t="s">
        <v>1</v>
      </c>
      <c r="AY587" s="55"/>
      <c r="AZ587" s="30" t="s">
        <v>1</v>
      </c>
      <c r="BA587" s="66"/>
      <c r="BB587" s="39"/>
      <c r="BC587" s="25"/>
      <c r="BD587" s="24" t="s">
        <v>11</v>
      </c>
      <c r="BE587" s="24" t="s">
        <v>11</v>
      </c>
      <c r="BF587" s="79" t="s">
        <v>21</v>
      </c>
      <c r="BG587" s="79" t="s">
        <v>136</v>
      </c>
      <c r="BH587" s="80" t="s">
        <v>18</v>
      </c>
      <c r="BI587" s="79" t="s">
        <v>243</v>
      </c>
      <c r="BJ587" s="54" t="s">
        <v>11</v>
      </c>
      <c r="BK587" s="78" t="s">
        <v>11</v>
      </c>
      <c r="BL587" s="69" t="s">
        <v>11</v>
      </c>
      <c r="BM587" s="78" t="s">
        <v>11</v>
      </c>
      <c r="BN587" s="78" t="s">
        <v>11</v>
      </c>
      <c r="BO587" s="78" t="s">
        <v>11</v>
      </c>
      <c r="BP587" s="78" t="s">
        <v>11</v>
      </c>
      <c r="BQ587" s="21">
        <f>YEAR([1]!BANCO10[[#This Row],[DATA INÍCIO]])</f>
        <v>2023</v>
      </c>
      <c r="BR587" s="21">
        <f>MONTH([1]!BANCO10[[#This Row],[DATA INÍCIO]])</f>
        <v>2</v>
      </c>
      <c r="BS587" s="21" t="e">
        <f>CONCATENATE(#REF!,#REF!)</f>
        <v>#REF!</v>
      </c>
      <c r="BT587" s="21"/>
      <c r="BU587" s="21" t="s">
        <v>302</v>
      </c>
      <c r="BV587" s="21" t="str">
        <f>IF([1]!BANCO10[[#This Row],[SOLUÇÃO]]=BV$1,[1]!BANCO10[[#This Row],[STATUS DA ETAPA]],"")</f>
        <v>CONCLUÍDO</v>
      </c>
      <c r="BW587" s="21" t="str">
        <f>IF([1]!BANCO10[[#This Row],[SOLUÇÃO]]=BW$1,[1]!BANCO10[[#This Row],[STATUS DA ETAPA]],"")</f>
        <v/>
      </c>
      <c r="BX587" s="21" t="str">
        <f>IF([1]!BANCO10[[#This Row],[SOLUÇÃO]]=BX$1,[1]!BANCO10[[#This Row],[STATUS DA ETAPA]],"")</f>
        <v/>
      </c>
      <c r="BY587" s="21" t="str">
        <f>IF([1]!BANCO10[[#This Row],[SOLUÇÃO]]=BY$1,[1]!BANCO10[[#This Row],[STATUS DA ETAPA]],"")</f>
        <v/>
      </c>
      <c r="BZ587" s="21" t="str">
        <f>IF([1]!BANCO10[[#This Row],[SOLUÇÃO]]=BZ$1,[1]!BANCO10[[#This Row],[STATUS DA ETAPA]],"")</f>
        <v/>
      </c>
      <c r="CA587" s="21" t="str">
        <f>IF([1]!BANCO10[[#This Row],[SOLUÇÃO]]=CA$1,[1]!BANCO10[[#This Row],[STATUS DA ETAPA]],"")</f>
        <v/>
      </c>
      <c r="CB587" s="21" t="str">
        <f>IF([1]!BANCO10[[#This Row],[SOLUÇÃO]]=CB$1,[1]!BANCO10[[#This Row],[STATUS DA ETAPA]],"")</f>
        <v/>
      </c>
      <c r="CC587" s="21" t="str">
        <f>IF([1]!BANCO10[[#This Row],[SOLUÇÃO]]=CC$1,[1]!BANCO10[[#This Row],[STATUS DA ETAPA]],"")</f>
        <v/>
      </c>
      <c r="CD587" s="21" t="str">
        <f>IF([1]!BANCO10[[#This Row],[SOLUÇÃO]]=CD$1,[1]!BANCO10[[#This Row],[STATUS DA ETAPA]],"")</f>
        <v/>
      </c>
      <c r="CE587" s="21" t="str">
        <f>IF([1]!BANCO10[[#This Row],[SOLUÇÃO]]=CE$1,[1]!BANCO10[[#This Row],[STATUS DA ETAPA]],"")</f>
        <v/>
      </c>
      <c r="CF587" s="21" t="str">
        <f>IF([1]!BANCO10[[#This Row],[SOLUÇÃO]]=CF$1,[1]!BANCO10[[#This Row],[STATUS DA ETAPA]],"")</f>
        <v/>
      </c>
      <c r="CG587" s="21" t="str">
        <f>IF([1]!BANCO10[[#This Row],[SOLUÇÃO]]=CG$1,[1]!BANCO10[[#This Row],[STATUS DA ETAPA]],"")</f>
        <v/>
      </c>
      <c r="CH587" s="21" t="str">
        <f>IF([1]!BANCO10[[#This Row],[SOLUÇÃO]]=CH$1,[1]!BANCO10[[#This Row],[STATUS DA ETAPA]],"")</f>
        <v/>
      </c>
      <c r="CI587" s="21" t="str">
        <f>IF([1]!BANCO10[[#This Row],[SOLUÇÃO]]=CI$1,[1]!BANCO10[[#This Row],[STATUS DA ETAPA]],"")</f>
        <v/>
      </c>
      <c r="CJ587" s="21" t="str">
        <f>IF([1]!BANCO10[[#This Row],[SOLUÇÃO]]=CJ$1,[1]!BANCO10[[#This Row],[STATUS DA ETAPA]],"")</f>
        <v/>
      </c>
      <c r="CK587" s="21" t="str">
        <f>IF([1]!BANCO10[[#This Row],[SOLUÇÃO]]=CK$1,[1]!BANCO10[[#This Row],[STATUS DA ETAPA]],"")</f>
        <v/>
      </c>
      <c r="CL587" s="22" t="str">
        <f>IF([1]!BANCO10[[#This Row],[SOLUÇÃO]]=CL$1,[1]!BANCO10[[#This Row],[STATUS DA ETAPA]],"")</f>
        <v/>
      </c>
      <c r="CM587" s="64" t="str">
        <f>IF([1]!BANCO10[[#This Row],[SOLUÇÃO]]=CM$1,[1]!BANCO10[[#This Row],[STATUS DA ETAPA]],"")</f>
        <v/>
      </c>
      <c r="CN587" s="64" t="str">
        <f>IF([1]!BANCO10[[#This Row],[SOLUÇÃO]]=CN$1,[1]!BANCO10[[#This Row],[STATUS DA ETAPA]],"")</f>
        <v/>
      </c>
      <c r="CO587" s="64" t="str">
        <f>IF([1]!BANCO10[[#This Row],[SOLUÇÃO]]=CO$1,[1]!BANCO10[[#This Row],[STATUS DA ETAPA]],"")</f>
        <v/>
      </c>
      <c r="CP587" s="64" t="str">
        <f>IF([1]!BANCO10[[#This Row],[SOLUÇÃO]]=CP$1,[1]!BANCO10[[#This Row],[STATUS DA ETAPA]],"")</f>
        <v/>
      </c>
      <c r="CQ587" s="64" t="str">
        <f>IF([1]!BANCO10[[#This Row],[SOLUÇÃO]]=CQ$1,[1]!BANCO10[[#This Row],[STATUS DA ETAPA]],"")</f>
        <v/>
      </c>
      <c r="CR587" s="64" t="str">
        <f>IF([1]!BANCO10[[#This Row],[SOLUÇÃO]]=CR$1,[1]!BANCO10[[#This Row],[STATUS DA ETAPA]],"")</f>
        <v/>
      </c>
      <c r="CS587" s="64" t="str">
        <f>IF([1]!BANCO10[[#This Row],[SOLUÇÃO]]=CS$1,[1]!BANCO10[[#This Row],[STATUS DA ETAPA]],"")</f>
        <v/>
      </c>
      <c r="CT587" s="64" t="str">
        <f>IF([1]!BANCO10[[#This Row],[SOLUÇÃO]]=CT$1,[1]!BANCO10[[#This Row],[STATUS DA ETAPA]],"")</f>
        <v/>
      </c>
      <c r="CU587" s="64" t="str">
        <f>IF([1]!BANCO10[[#This Row],[SOLUÇÃO]]=CU$1,[1]!BANCO10[[#This Row],[STATUS DA ETAPA]],"")</f>
        <v/>
      </c>
      <c r="CV587" s="64" t="str">
        <f>IF([1]!BANCO10[[#This Row],[SOLUÇÃO]]=CV$1,[1]!BANCO10[[#This Row],[STATUS DA ETAPA]],"")</f>
        <v/>
      </c>
    </row>
    <row r="588" spans="1:100">
      <c r="A588" s="44" t="s">
        <v>1</v>
      </c>
      <c r="B588" s="44"/>
      <c r="C588" s="44" t="s">
        <v>1</v>
      </c>
      <c r="D588" s="44"/>
      <c r="E588" s="44" t="s">
        <v>1</v>
      </c>
      <c r="F588" s="44"/>
      <c r="G588" s="44" t="s">
        <v>1</v>
      </c>
      <c r="H588" s="44"/>
      <c r="I588" s="45" t="s">
        <v>1</v>
      </c>
      <c r="J588" s="46"/>
      <c r="K588" s="45" t="s">
        <v>1</v>
      </c>
      <c r="L588" s="33"/>
      <c r="M588" s="45" t="s">
        <v>1</v>
      </c>
      <c r="N588" s="33"/>
      <c r="O588" s="44" t="s">
        <v>2</v>
      </c>
      <c r="P588" s="44">
        <v>44967</v>
      </c>
      <c r="Q588" s="44" t="s">
        <v>2</v>
      </c>
      <c r="R588" s="44">
        <v>44980</v>
      </c>
      <c r="S588" s="44" t="s">
        <v>2</v>
      </c>
      <c r="T588" s="44">
        <v>44980</v>
      </c>
      <c r="U588" s="44"/>
      <c r="V588" s="44"/>
      <c r="W588" s="44" t="s">
        <v>2</v>
      </c>
      <c r="X588" s="44"/>
      <c r="Y588" s="44" t="s">
        <v>2</v>
      </c>
      <c r="Z588" s="44">
        <v>45020</v>
      </c>
      <c r="AA588" s="44" t="s">
        <v>2</v>
      </c>
      <c r="AB588" s="44"/>
      <c r="AC588" s="51">
        <v>45050</v>
      </c>
      <c r="AD588" s="50">
        <v>45147</v>
      </c>
      <c r="AE588" s="40" t="s">
        <v>2</v>
      </c>
      <c r="AF588" s="40" t="s">
        <v>2</v>
      </c>
      <c r="AG588" s="40" t="s">
        <v>5</v>
      </c>
      <c r="AH588" s="36" t="s">
        <v>0</v>
      </c>
      <c r="AI588" s="49">
        <v>0</v>
      </c>
      <c r="AJ588" s="36"/>
      <c r="AK588" s="10"/>
      <c r="AL588" s="36" t="s">
        <v>22</v>
      </c>
      <c r="AM588" s="36" t="s">
        <v>1</v>
      </c>
      <c r="AN588" s="35" t="s">
        <v>1</v>
      </c>
      <c r="AO588" s="35" t="s">
        <v>1</v>
      </c>
      <c r="AP588" s="35" t="s">
        <v>2</v>
      </c>
      <c r="AQ588" s="35" t="s">
        <v>1</v>
      </c>
      <c r="AR588" s="34" t="s">
        <v>1</v>
      </c>
      <c r="AS588" s="33"/>
      <c r="AT588" s="30"/>
      <c r="AU588" s="55"/>
      <c r="AV588" s="30"/>
      <c r="AW588" s="55"/>
      <c r="AX588" s="30" t="s">
        <v>2</v>
      </c>
      <c r="AY588" s="55">
        <v>45161</v>
      </c>
      <c r="AZ588" s="30" t="s">
        <v>2</v>
      </c>
      <c r="BA588" s="66"/>
      <c r="BB588" s="39"/>
      <c r="BC588" s="25"/>
      <c r="BD588" s="24" t="s">
        <v>11</v>
      </c>
      <c r="BE588" s="24" t="s">
        <v>11</v>
      </c>
      <c r="BF588" s="79" t="s">
        <v>21</v>
      </c>
      <c r="BG588" s="79" t="s">
        <v>136</v>
      </c>
      <c r="BH588" s="80" t="s">
        <v>2</v>
      </c>
      <c r="BI588" s="79" t="s">
        <v>243</v>
      </c>
      <c r="BJ588" s="54" t="s">
        <v>11</v>
      </c>
      <c r="BK588" s="78" t="s">
        <v>11</v>
      </c>
      <c r="BL588" s="69">
        <v>45392</v>
      </c>
      <c r="BM588" s="78" t="s">
        <v>18</v>
      </c>
      <c r="BN588" s="78" t="s">
        <v>11</v>
      </c>
      <c r="BO588" s="78"/>
      <c r="BP588" s="78" t="s">
        <v>301</v>
      </c>
      <c r="BQ588" s="21">
        <f>YEAR([1]!BANCO10[[#This Row],[DATA INÍCIO]])</f>
        <v>2023</v>
      </c>
      <c r="BR588" s="21">
        <f>MONTH([1]!BANCO10[[#This Row],[DATA INÍCIO]])</f>
        <v>5</v>
      </c>
      <c r="BS588" s="21" t="e">
        <f>CONCATENATE(#REF!,#REF!)</f>
        <v>#REF!</v>
      </c>
      <c r="BT588" s="21"/>
      <c r="BU588" s="21" t="s">
        <v>300</v>
      </c>
      <c r="BV588" s="21" t="str">
        <f>IF([1]!BANCO10[[#This Row],[SOLUÇÃO]]=BV$1,[1]!BANCO10[[#This Row],[STATUS DA ETAPA]],"")</f>
        <v/>
      </c>
      <c r="BW588" s="21" t="str">
        <f>IF([1]!BANCO10[[#This Row],[SOLUÇÃO]]=BW$1,[1]!BANCO10[[#This Row],[STATUS DA ETAPA]],"")</f>
        <v/>
      </c>
      <c r="BX588" s="21" t="str">
        <f>IF([1]!BANCO10[[#This Row],[SOLUÇÃO]]=BX$1,[1]!BANCO10[[#This Row],[STATUS DA ETAPA]],"")</f>
        <v/>
      </c>
      <c r="BY588" s="21" t="str">
        <f>IF([1]!BANCO10[[#This Row],[SOLUÇÃO]]=BY$1,[1]!BANCO10[[#This Row],[STATUS DA ETAPA]],"")</f>
        <v/>
      </c>
      <c r="BZ588" s="21" t="str">
        <f>IF([1]!BANCO10[[#This Row],[SOLUÇÃO]]=BZ$1,[1]!BANCO10[[#This Row],[STATUS DA ETAPA]],"")</f>
        <v/>
      </c>
      <c r="CA588" s="21" t="str">
        <f>IF([1]!BANCO10[[#This Row],[SOLUÇÃO]]=CA$1,[1]!BANCO10[[#This Row],[STATUS DA ETAPA]],"")</f>
        <v>CONCLUÍDO</v>
      </c>
      <c r="CB588" s="21" t="str">
        <f>IF([1]!BANCO10[[#This Row],[SOLUÇÃO]]=CB$1,[1]!BANCO10[[#This Row],[STATUS DA ETAPA]],"")</f>
        <v/>
      </c>
      <c r="CC588" s="21" t="str">
        <f>IF([1]!BANCO10[[#This Row],[SOLUÇÃO]]=CC$1,[1]!BANCO10[[#This Row],[STATUS DA ETAPA]],"")</f>
        <v/>
      </c>
      <c r="CD588" s="21" t="str">
        <f>IF([1]!BANCO10[[#This Row],[SOLUÇÃO]]=CD$1,[1]!BANCO10[[#This Row],[STATUS DA ETAPA]],"")</f>
        <v/>
      </c>
      <c r="CE588" s="21" t="str">
        <f>IF([1]!BANCO10[[#This Row],[SOLUÇÃO]]=CE$1,[1]!BANCO10[[#This Row],[STATUS DA ETAPA]],"")</f>
        <v/>
      </c>
      <c r="CF588" s="21" t="str">
        <f>IF([1]!BANCO10[[#This Row],[SOLUÇÃO]]=CF$1,[1]!BANCO10[[#This Row],[STATUS DA ETAPA]],"")</f>
        <v/>
      </c>
      <c r="CG588" s="21" t="str">
        <f>IF([1]!BANCO10[[#This Row],[SOLUÇÃO]]=CG$1,[1]!BANCO10[[#This Row],[STATUS DA ETAPA]],"")</f>
        <v/>
      </c>
      <c r="CH588" s="21" t="str">
        <f>IF([1]!BANCO10[[#This Row],[SOLUÇÃO]]=CH$1,[1]!BANCO10[[#This Row],[STATUS DA ETAPA]],"")</f>
        <v/>
      </c>
      <c r="CI588" s="21" t="str">
        <f>IF([1]!BANCO10[[#This Row],[SOLUÇÃO]]=CI$1,[1]!BANCO10[[#This Row],[STATUS DA ETAPA]],"")</f>
        <v/>
      </c>
      <c r="CJ588" s="21" t="str">
        <f>IF([1]!BANCO10[[#This Row],[SOLUÇÃO]]=CJ$1,[1]!BANCO10[[#This Row],[STATUS DA ETAPA]],"")</f>
        <v/>
      </c>
      <c r="CK588" s="21" t="str">
        <f>IF([1]!BANCO10[[#This Row],[SOLUÇÃO]]=CK$1,[1]!BANCO10[[#This Row],[STATUS DA ETAPA]],"")</f>
        <v/>
      </c>
      <c r="CL588" s="22" t="str">
        <f>IF([1]!BANCO10[[#This Row],[SOLUÇÃO]]=CL$1,[1]!BANCO10[[#This Row],[STATUS DA ETAPA]],"")</f>
        <v/>
      </c>
      <c r="CM588" s="64" t="str">
        <f>IF([1]!BANCO10[[#This Row],[SOLUÇÃO]]=CM$1,[1]!BANCO10[[#This Row],[STATUS DA ETAPA]],"")</f>
        <v/>
      </c>
      <c r="CN588" s="64" t="str">
        <f>IF([1]!BANCO10[[#This Row],[SOLUÇÃO]]=CN$1,[1]!BANCO10[[#This Row],[STATUS DA ETAPA]],"")</f>
        <v/>
      </c>
      <c r="CO588" s="64" t="str">
        <f>IF([1]!BANCO10[[#This Row],[SOLUÇÃO]]=CO$1,[1]!BANCO10[[#This Row],[STATUS DA ETAPA]],"")</f>
        <v/>
      </c>
      <c r="CP588" s="64" t="str">
        <f>IF([1]!BANCO10[[#This Row],[SOLUÇÃO]]=CP$1,[1]!BANCO10[[#This Row],[STATUS DA ETAPA]],"")</f>
        <v/>
      </c>
      <c r="CQ588" s="64" t="str">
        <f>IF([1]!BANCO10[[#This Row],[SOLUÇÃO]]=CQ$1,[1]!BANCO10[[#This Row],[STATUS DA ETAPA]],"")</f>
        <v/>
      </c>
      <c r="CR588" s="64" t="str">
        <f>IF([1]!BANCO10[[#This Row],[SOLUÇÃO]]=CR$1,[1]!BANCO10[[#This Row],[STATUS DA ETAPA]],"")</f>
        <v/>
      </c>
      <c r="CS588" s="64" t="str">
        <f>IF([1]!BANCO10[[#This Row],[SOLUÇÃO]]=CS$1,[1]!BANCO10[[#This Row],[STATUS DA ETAPA]],"")</f>
        <v/>
      </c>
      <c r="CT588" s="64" t="str">
        <f>IF([1]!BANCO10[[#This Row],[SOLUÇÃO]]=CT$1,[1]!BANCO10[[#This Row],[STATUS DA ETAPA]],"")</f>
        <v/>
      </c>
      <c r="CU588" s="64" t="str">
        <f>IF([1]!BANCO10[[#This Row],[SOLUÇÃO]]=CU$1,[1]!BANCO10[[#This Row],[STATUS DA ETAPA]],"")</f>
        <v/>
      </c>
      <c r="CV588" s="64" t="str">
        <f>IF([1]!BANCO10[[#This Row],[SOLUÇÃO]]=CV$1,[1]!BANCO10[[#This Row],[STATUS DA ETAPA]],"")</f>
        <v/>
      </c>
    </row>
    <row r="589" spans="1:100">
      <c r="A589" s="44" t="s">
        <v>1</v>
      </c>
      <c r="B589" s="44"/>
      <c r="C589" s="44" t="s">
        <v>1</v>
      </c>
      <c r="D589" s="44"/>
      <c r="E589" s="44" t="s">
        <v>1</v>
      </c>
      <c r="F589" s="44"/>
      <c r="G589" s="44" t="s">
        <v>1</v>
      </c>
      <c r="H589" s="44"/>
      <c r="I589" s="45" t="s">
        <v>1</v>
      </c>
      <c r="J589" s="46"/>
      <c r="K589" s="45" t="s">
        <v>1</v>
      </c>
      <c r="L589" s="33"/>
      <c r="M589" s="45" t="s">
        <v>1</v>
      </c>
      <c r="N589" s="33"/>
      <c r="O589" s="44" t="s">
        <v>2</v>
      </c>
      <c r="P589" s="44">
        <v>44967</v>
      </c>
      <c r="Q589" s="44" t="s">
        <v>2</v>
      </c>
      <c r="R589" s="44">
        <v>44980</v>
      </c>
      <c r="S589" s="44" t="s">
        <v>2</v>
      </c>
      <c r="T589" s="44">
        <v>44980</v>
      </c>
      <c r="U589" s="44" t="s">
        <v>2</v>
      </c>
      <c r="V589" s="44"/>
      <c r="W589" s="44" t="s">
        <v>2</v>
      </c>
      <c r="X589" s="44"/>
      <c r="Y589" s="44" t="s">
        <v>2</v>
      </c>
      <c r="Z589" s="44">
        <v>45020</v>
      </c>
      <c r="AA589" s="44" t="s">
        <v>2</v>
      </c>
      <c r="AB589" s="44"/>
      <c r="AC589" s="51">
        <v>45440</v>
      </c>
      <c r="AD589" s="50">
        <v>45642</v>
      </c>
      <c r="AE589" s="40" t="s">
        <v>2</v>
      </c>
      <c r="AF589" s="41" t="s">
        <v>2</v>
      </c>
      <c r="AG589" s="40" t="s">
        <v>4</v>
      </c>
      <c r="AH589" s="36" t="s">
        <v>0</v>
      </c>
      <c r="AI589" s="49">
        <v>0</v>
      </c>
      <c r="AJ589" s="36" t="s">
        <v>6</v>
      </c>
      <c r="AK589" s="10" t="s">
        <v>30</v>
      </c>
      <c r="AL589" s="36" t="s">
        <v>89</v>
      </c>
      <c r="AM589" s="36" t="s">
        <v>30</v>
      </c>
      <c r="AN589" s="35" t="s">
        <v>1</v>
      </c>
      <c r="AO589" s="35" t="s">
        <v>1</v>
      </c>
      <c r="AP589" s="35" t="s">
        <v>2</v>
      </c>
      <c r="AQ589" s="35" t="s">
        <v>1</v>
      </c>
      <c r="AR589" s="34" t="s">
        <v>1</v>
      </c>
      <c r="AS589" s="33"/>
      <c r="AT589" s="28"/>
      <c r="AU589" s="55"/>
      <c r="AV589" s="28"/>
      <c r="AW589" s="55"/>
      <c r="AX589" s="28" t="s">
        <v>2</v>
      </c>
      <c r="AY589" s="55">
        <v>45642</v>
      </c>
      <c r="AZ589" s="30" t="s">
        <v>2</v>
      </c>
      <c r="BA589" s="55">
        <v>45649</v>
      </c>
      <c r="BB589" s="74" t="s">
        <v>181</v>
      </c>
      <c r="BC589" s="25"/>
      <c r="BD589" s="24" t="s">
        <v>11</v>
      </c>
      <c r="BE589" s="24" t="s">
        <v>11</v>
      </c>
      <c r="BF589" s="79"/>
      <c r="BG589" s="79"/>
      <c r="BH589" s="80"/>
      <c r="BI589" s="79"/>
      <c r="BJ589" s="54" t="s">
        <v>11</v>
      </c>
      <c r="BK589" s="78" t="s">
        <v>11</v>
      </c>
      <c r="BL589" s="69"/>
      <c r="BM589" s="78"/>
      <c r="BN589" s="78" t="s">
        <v>11</v>
      </c>
      <c r="BO589" s="78"/>
      <c r="BP589" s="78"/>
      <c r="BQ589" s="21"/>
      <c r="BR589" s="21"/>
      <c r="BS589" s="21" t="e">
        <f>CONCATENATE(#REF!,#REF!)</f>
        <v>#REF!</v>
      </c>
      <c r="BT589" s="21"/>
      <c r="BU589" s="21" t="s">
        <v>299</v>
      </c>
      <c r="BV589" s="21" t="str">
        <f>IF([1]!BANCO10[[#This Row],[SOLUÇÃO]]=BV$1,[1]!BANCO10[[#This Row],[STATUS DA ETAPA]],"")</f>
        <v/>
      </c>
      <c r="BW589" s="21" t="str">
        <f>IF([1]!BANCO10[[#This Row],[SOLUÇÃO]]=BW$1,[1]!BANCO10[[#This Row],[STATUS DA ETAPA]],"")</f>
        <v/>
      </c>
      <c r="BX589" s="21" t="str">
        <f>IF([1]!BANCO10[[#This Row],[SOLUÇÃO]]=BX$1,[1]!BANCO10[[#This Row],[STATUS DA ETAPA]],"")</f>
        <v>CONCLUÍDO</v>
      </c>
      <c r="BY589" s="21" t="str">
        <f>IF([1]!BANCO10[[#This Row],[SOLUÇÃO]]=BY$1,[1]!BANCO10[[#This Row],[STATUS DA ETAPA]],"")</f>
        <v/>
      </c>
      <c r="BZ589" s="21" t="str">
        <f>IF([1]!BANCO10[[#This Row],[SOLUÇÃO]]=BZ$1,[1]!BANCO10[[#This Row],[STATUS DA ETAPA]],"")</f>
        <v/>
      </c>
      <c r="CA589" s="21" t="str">
        <f>IF([1]!BANCO10[[#This Row],[SOLUÇÃO]]=CA$1,[1]!BANCO10[[#This Row],[STATUS DA ETAPA]],"")</f>
        <v/>
      </c>
      <c r="CB589" s="21" t="str">
        <f>IF([1]!BANCO10[[#This Row],[SOLUÇÃO]]=CB$1,[1]!BANCO10[[#This Row],[STATUS DA ETAPA]],"")</f>
        <v/>
      </c>
      <c r="CC589" s="21" t="str">
        <f>IF([1]!BANCO10[[#This Row],[SOLUÇÃO]]=CC$1,[1]!BANCO10[[#This Row],[STATUS DA ETAPA]],"")</f>
        <v/>
      </c>
      <c r="CD589" s="21" t="str">
        <f>IF([1]!BANCO10[[#This Row],[SOLUÇÃO]]=CD$1,[1]!BANCO10[[#This Row],[STATUS DA ETAPA]],"")</f>
        <v/>
      </c>
      <c r="CE589" s="21" t="str">
        <f>IF([1]!BANCO10[[#This Row],[SOLUÇÃO]]=CE$1,[1]!BANCO10[[#This Row],[STATUS DA ETAPA]],"")</f>
        <v/>
      </c>
      <c r="CF589" s="21" t="str">
        <f>IF([1]!BANCO10[[#This Row],[SOLUÇÃO]]=CF$1,[1]!BANCO10[[#This Row],[STATUS DA ETAPA]],"")</f>
        <v/>
      </c>
      <c r="CG589" s="21" t="str">
        <f>IF([1]!BANCO10[[#This Row],[SOLUÇÃO]]=CG$1,[1]!BANCO10[[#This Row],[STATUS DA ETAPA]],"")</f>
        <v/>
      </c>
      <c r="CH589" s="21" t="str">
        <f>IF([1]!BANCO10[[#This Row],[SOLUÇÃO]]=CH$1,[1]!BANCO10[[#This Row],[STATUS DA ETAPA]],"")</f>
        <v/>
      </c>
      <c r="CI589" s="21" t="str">
        <f>IF([1]!BANCO10[[#This Row],[SOLUÇÃO]]=CI$1,[1]!BANCO10[[#This Row],[STATUS DA ETAPA]],"")</f>
        <v/>
      </c>
      <c r="CJ589" s="21" t="str">
        <f>IF([1]!BANCO10[[#This Row],[SOLUÇÃO]]=CJ$1,[1]!BANCO10[[#This Row],[STATUS DA ETAPA]],"")</f>
        <v/>
      </c>
      <c r="CK589" s="21" t="str">
        <f>IF([1]!BANCO10[[#This Row],[SOLUÇÃO]]=CK$1,[1]!BANCO10[[#This Row],[STATUS DA ETAPA]],"")</f>
        <v/>
      </c>
      <c r="CL589" s="22" t="str">
        <f>IF([1]!BANCO10[[#This Row],[SOLUÇÃO]]=CL$1,[1]!BANCO10[[#This Row],[STATUS DA ETAPA]],"")</f>
        <v/>
      </c>
      <c r="CM589" s="64" t="str">
        <f>IF([1]!BANCO10[[#This Row],[SOLUÇÃO]]=CM$1,[1]!BANCO10[[#This Row],[STATUS DA ETAPA]],"")</f>
        <v/>
      </c>
      <c r="CN589" s="64" t="str">
        <f>IF([1]!BANCO10[[#This Row],[SOLUÇÃO]]=CN$1,[1]!BANCO10[[#This Row],[STATUS DA ETAPA]],"")</f>
        <v/>
      </c>
      <c r="CO589" s="64" t="str">
        <f>IF([1]!BANCO10[[#This Row],[SOLUÇÃO]]=CO$1,[1]!BANCO10[[#This Row],[STATUS DA ETAPA]],"")</f>
        <v/>
      </c>
      <c r="CP589" s="64" t="str">
        <f>IF([1]!BANCO10[[#This Row],[SOLUÇÃO]]=CP$1,[1]!BANCO10[[#This Row],[STATUS DA ETAPA]],"")</f>
        <v/>
      </c>
      <c r="CQ589" s="64" t="str">
        <f>IF([1]!BANCO10[[#This Row],[SOLUÇÃO]]=CQ$1,[1]!BANCO10[[#This Row],[STATUS DA ETAPA]],"")</f>
        <v/>
      </c>
      <c r="CR589" s="64" t="str">
        <f>IF([1]!BANCO10[[#This Row],[SOLUÇÃO]]=CR$1,[1]!BANCO10[[#This Row],[STATUS DA ETAPA]],"")</f>
        <v/>
      </c>
      <c r="CS589" s="64" t="str">
        <f>IF([1]!BANCO10[[#This Row],[SOLUÇÃO]]=CS$1,[1]!BANCO10[[#This Row],[STATUS DA ETAPA]],"")</f>
        <v/>
      </c>
      <c r="CT589" s="64" t="str">
        <f>IF([1]!BANCO10[[#This Row],[SOLUÇÃO]]=CT$1,[1]!BANCO10[[#This Row],[STATUS DA ETAPA]],"")</f>
        <v/>
      </c>
      <c r="CU589" s="64" t="str">
        <f>IF([1]!BANCO10[[#This Row],[SOLUÇÃO]]=CU$1,[1]!BANCO10[[#This Row],[STATUS DA ETAPA]],"")</f>
        <v/>
      </c>
      <c r="CV589" s="64" t="str">
        <f>IF([1]!BANCO10[[#This Row],[SOLUÇÃO]]=CV$1,[1]!BANCO10[[#This Row],[STATUS DA ETAPA]],"")</f>
        <v/>
      </c>
    </row>
    <row r="590" spans="1:100">
      <c r="A590" s="44" t="s">
        <v>0</v>
      </c>
      <c r="B590" s="44"/>
      <c r="C590" s="44" t="s">
        <v>0</v>
      </c>
      <c r="D590" s="44"/>
      <c r="E590" s="44" t="s">
        <v>0</v>
      </c>
      <c r="F590" s="44"/>
      <c r="G590" s="44" t="s">
        <v>0</v>
      </c>
      <c r="H590" s="44"/>
      <c r="I590" s="45" t="s">
        <v>0</v>
      </c>
      <c r="J590" s="46"/>
      <c r="K590" s="45" t="s">
        <v>0</v>
      </c>
      <c r="L590" s="33"/>
      <c r="M590" s="45" t="s">
        <v>0</v>
      </c>
      <c r="N590" s="33"/>
      <c r="O590" s="44" t="s">
        <v>0</v>
      </c>
      <c r="P590" s="44"/>
      <c r="Q590" s="44" t="s">
        <v>2</v>
      </c>
      <c r="R590" s="44">
        <v>45918</v>
      </c>
      <c r="S590" s="44" t="s">
        <v>0</v>
      </c>
      <c r="T590" s="44"/>
      <c r="U590" s="44" t="s">
        <v>1</v>
      </c>
      <c r="V590" s="44"/>
      <c r="W590" s="44" t="s">
        <v>1</v>
      </c>
      <c r="X590" s="44"/>
      <c r="Y590" s="44" t="s">
        <v>1</v>
      </c>
      <c r="Z590" s="44"/>
      <c r="AA590" s="44" t="s">
        <v>1</v>
      </c>
      <c r="AB590" s="44"/>
      <c r="AC590" s="51">
        <v>45931</v>
      </c>
      <c r="AD590" s="50">
        <v>46022</v>
      </c>
      <c r="AE590" s="41" t="s">
        <v>0</v>
      </c>
      <c r="AF590" s="41" t="s">
        <v>0</v>
      </c>
      <c r="AG590" s="40" t="s">
        <v>5</v>
      </c>
      <c r="AH590" s="36" t="s">
        <v>0</v>
      </c>
      <c r="AI590" s="49">
        <v>14440</v>
      </c>
      <c r="AJ590" s="36"/>
      <c r="AK590" s="10" t="s">
        <v>1</v>
      </c>
      <c r="AL590" s="36" t="s">
        <v>1</v>
      </c>
      <c r="AM590" s="36" t="s">
        <v>1</v>
      </c>
      <c r="AN590" s="35" t="s">
        <v>0</v>
      </c>
      <c r="AO590" s="35" t="s">
        <v>0</v>
      </c>
      <c r="AP590" s="35" t="s">
        <v>0</v>
      </c>
      <c r="AQ590" s="35" t="s">
        <v>0</v>
      </c>
      <c r="AR590" s="34" t="s">
        <v>0</v>
      </c>
      <c r="AS590" s="33"/>
      <c r="AT590" s="32" t="s">
        <v>0</v>
      </c>
      <c r="AU590" s="31"/>
      <c r="AV590" s="32" t="s">
        <v>0</v>
      </c>
      <c r="AW590" s="31"/>
      <c r="AX590" s="32" t="s">
        <v>0</v>
      </c>
      <c r="AY590" s="31"/>
      <c r="AZ590" s="32" t="s">
        <v>0</v>
      </c>
      <c r="BA590" s="31"/>
      <c r="BB590" s="74" t="s">
        <v>224</v>
      </c>
      <c r="BC590" s="25"/>
      <c r="BD590" s="24"/>
      <c r="BE590" s="24"/>
      <c r="BF590" s="24"/>
      <c r="BG590" s="24"/>
      <c r="BH590" s="24"/>
      <c r="BI590" s="24"/>
      <c r="BJ590" s="24"/>
      <c r="BK590" s="24"/>
      <c r="BL590" s="24"/>
      <c r="BM590" s="24"/>
      <c r="BN590" s="24"/>
      <c r="BO590" s="24"/>
      <c r="BP590" s="24"/>
      <c r="BQ590" s="22">
        <f>YEAR([1]!BANCO10[[#This Row],[DATA INÍCIO]])</f>
        <v>2025</v>
      </c>
      <c r="BR590" s="22">
        <f>MONTH([1]!BANCO10[[#This Row],[DATA INÍCIO]])</f>
        <v>10</v>
      </c>
      <c r="BS590" s="23" t="e">
        <f>CONCATENATE(#REF!,#REF!)</f>
        <v>#REF!</v>
      </c>
      <c r="BT590" s="22"/>
      <c r="BU590" s="22"/>
      <c r="BV590" s="21" t="str">
        <f>IF([1]!BANCO10[[#This Row],[SOLUÇÃO]]=BV$1,[1]!BANCO10[[#This Row],[STATUS DA ETAPA]],"")</f>
        <v/>
      </c>
      <c r="BW590" s="21" t="str">
        <f>IF([1]!BANCO10[[#This Row],[SOLUÇÃO]]=BW$1,[1]!BANCO10[[#This Row],[STATUS DA ETAPA]],"")</f>
        <v/>
      </c>
      <c r="BX590" s="21" t="str">
        <f>IF([1]!BANCO10[[#This Row],[SOLUÇÃO]]=BX$1,[1]!BANCO10[[#This Row],[STATUS DA ETAPA]],"")</f>
        <v/>
      </c>
      <c r="BY590" s="21" t="str">
        <f>IF([1]!BANCO10[[#This Row],[SOLUÇÃO]]=BY$1,[1]!BANCO10[[#This Row],[STATUS DA ETAPA]],"")</f>
        <v/>
      </c>
      <c r="BZ590" s="21" t="str">
        <f>IF([1]!BANCO10[[#This Row],[SOLUÇÃO]]=BZ$1,[1]!BANCO10[[#This Row],[STATUS DA ETAPA]],"")</f>
        <v/>
      </c>
      <c r="CA590" s="21" t="str">
        <f>IF([1]!BANCO10[[#This Row],[SOLUÇÃO]]=CA$1,[1]!BANCO10[[#This Row],[STATUS DA ETAPA]],"")</f>
        <v/>
      </c>
      <c r="CB590" s="21" t="str">
        <f>IF([1]!BANCO10[[#This Row],[SOLUÇÃO]]=CB$1,[1]!BANCO10[[#This Row],[STATUS DA ETAPA]],"")</f>
        <v/>
      </c>
      <c r="CC590" s="21" t="str">
        <f>IF([1]!BANCO10[[#This Row],[SOLUÇÃO]]=CC$1,[1]!BANCO10[[#This Row],[STATUS DA ETAPA]],"")</f>
        <v/>
      </c>
      <c r="CD590" s="21" t="str">
        <f>IF([1]!BANCO10[[#This Row],[SOLUÇÃO]]=CD$1,[1]!BANCO10[[#This Row],[STATUS DA ETAPA]],"")</f>
        <v/>
      </c>
      <c r="CE590" s="21" t="str">
        <f>IF([1]!BANCO10[[#This Row],[SOLUÇÃO]]=CE$1,[1]!BANCO10[[#This Row],[STATUS DA ETAPA]],"")</f>
        <v/>
      </c>
      <c r="CF590" s="21" t="str">
        <f>IF([1]!BANCO10[[#This Row],[SOLUÇÃO]]=CF$1,[1]!BANCO10[[#This Row],[STATUS DA ETAPA]],"")</f>
        <v/>
      </c>
      <c r="CG590" s="21" t="str">
        <f>IF([1]!BANCO10[[#This Row],[SOLUÇÃO]]=CG$1,[1]!BANCO10[[#This Row],[STATUS DA ETAPA]],"")</f>
        <v/>
      </c>
      <c r="CH590" s="21" t="str">
        <f>IF([1]!BANCO10[[#This Row],[SOLUÇÃO]]=CH$1,[1]!BANCO10[[#This Row],[STATUS DA ETAPA]],"")</f>
        <v/>
      </c>
      <c r="CI590" s="21" t="str">
        <f>IF([1]!BANCO10[[#This Row],[SOLUÇÃO]]=CI$1,[1]!BANCO10[[#This Row],[STATUS DA ETAPA]],"")</f>
        <v/>
      </c>
      <c r="CJ590" s="21" t="str">
        <f>IF([1]!BANCO10[[#This Row],[SOLUÇÃO]]=CJ$1,[1]!BANCO10[[#This Row],[STATUS DA ETAPA]],"")</f>
        <v/>
      </c>
      <c r="CK590" s="21" t="str">
        <f>IF([1]!BANCO10[[#This Row],[SOLUÇÃO]]=CK$1,[1]!BANCO10[[#This Row],[STATUS DA ETAPA]],"")</f>
        <v/>
      </c>
      <c r="CL590" s="21" t="str">
        <f>IF([1]!BANCO10[[#This Row],[SOLUÇÃO]]=CL$1,[1]!BANCO10[[#This Row],[STATUS DA ETAPA]],"")</f>
        <v/>
      </c>
      <c r="CM590" s="21" t="str">
        <f>IF([1]!BANCO10[[#This Row],[SOLUÇÃO]]=CM$1,[1]!BANCO10[[#This Row],[STATUS DA ETAPA]],"")</f>
        <v/>
      </c>
      <c r="CN590" s="21" t="str">
        <f>IF([1]!BANCO10[[#This Row],[SOLUÇÃO]]=CN$1,[1]!BANCO10[[#This Row],[STATUS DA ETAPA]],"")</f>
        <v/>
      </c>
      <c r="CO590" s="21" t="str">
        <f>IF([1]!BANCO10[[#This Row],[SOLUÇÃO]]=CO$1,[1]!BANCO10[[#This Row],[STATUS DA ETAPA]],"")</f>
        <v/>
      </c>
      <c r="CP590" s="21" t="str">
        <f>IF([1]!BANCO10[[#This Row],[SOLUÇÃO]]=CP$1,[1]!BANCO10[[#This Row],[STATUS DA ETAPA]],"")</f>
        <v/>
      </c>
      <c r="CQ590" s="21" t="str">
        <f>IF([1]!BANCO10[[#This Row],[SOLUÇÃO]]=CQ$1,[1]!BANCO10[[#This Row],[STATUS DA ETAPA]],"")</f>
        <v/>
      </c>
      <c r="CR590" s="21" t="str">
        <f>IF([1]!BANCO10[[#This Row],[SOLUÇÃO]]=CR$1,[1]!BANCO10[[#This Row],[STATUS DA ETAPA]],"")</f>
        <v/>
      </c>
      <c r="CS590" s="21" t="str">
        <f>IF([1]!BANCO10[[#This Row],[SOLUÇÃO]]=CS$1,[1]!BANCO10[[#This Row],[STATUS DA ETAPA]],"")</f>
        <v/>
      </c>
      <c r="CT590" s="21" t="str">
        <f>IF([1]!BANCO10[[#This Row],[SOLUÇÃO]]=CT$1,[1]!BANCO10[[#This Row],[STATUS DA ETAPA]],"")</f>
        <v/>
      </c>
      <c r="CU590" s="21" t="str">
        <f>IF([1]!BANCO10[[#This Row],[SOLUÇÃO]]=CU$1,[1]!BANCO10[[#This Row],[STATUS DA ETAPA]],"")</f>
        <v/>
      </c>
      <c r="CV590" s="21" t="str">
        <f>IF([1]!BANCO10[[#This Row],[SOLUÇÃO]]=CV$1,[1]!BANCO10[[#This Row],[STATUS DA ETAPA]],"")</f>
        <v/>
      </c>
    </row>
    <row r="591" spans="1:100">
      <c r="A591" s="44" t="s">
        <v>1</v>
      </c>
      <c r="B591" s="44"/>
      <c r="C591" s="44" t="s">
        <v>1</v>
      </c>
      <c r="D591" s="44"/>
      <c r="E591" s="44" t="s">
        <v>1</v>
      </c>
      <c r="F591" s="44"/>
      <c r="G591" s="44" t="s">
        <v>1</v>
      </c>
      <c r="H591" s="44"/>
      <c r="I591" s="45" t="s">
        <v>1</v>
      </c>
      <c r="J591" s="46"/>
      <c r="K591" s="45" t="s">
        <v>1</v>
      </c>
      <c r="L591" s="33"/>
      <c r="M591" s="45" t="s">
        <v>1</v>
      </c>
      <c r="N591" s="33"/>
      <c r="O591" s="44" t="s">
        <v>1</v>
      </c>
      <c r="P591" s="44"/>
      <c r="Q591" s="44" t="s">
        <v>1</v>
      </c>
      <c r="R591" s="44"/>
      <c r="S591" s="44" t="s">
        <v>1</v>
      </c>
      <c r="T591" s="44"/>
      <c r="U591" s="44" t="s">
        <v>1</v>
      </c>
      <c r="V591" s="44"/>
      <c r="W591" s="44" t="s">
        <v>1</v>
      </c>
      <c r="X591" s="44"/>
      <c r="Y591" s="44" t="s">
        <v>1</v>
      </c>
      <c r="Z591" s="44"/>
      <c r="AA591" s="44" t="s">
        <v>2</v>
      </c>
      <c r="AB591" s="44"/>
      <c r="AC591" s="51">
        <v>45842</v>
      </c>
      <c r="AD591" s="50">
        <v>45912</v>
      </c>
      <c r="AE591" s="68" t="s">
        <v>2</v>
      </c>
      <c r="AF591" s="68" t="s">
        <v>2</v>
      </c>
      <c r="AG591" s="76" t="s">
        <v>4</v>
      </c>
      <c r="AH591" s="36" t="s">
        <v>0</v>
      </c>
      <c r="AI591" s="49">
        <v>0</v>
      </c>
      <c r="AJ591" s="36" t="s">
        <v>6</v>
      </c>
      <c r="AK591" s="10" t="s">
        <v>298</v>
      </c>
      <c r="AL591" s="36">
        <v>0</v>
      </c>
      <c r="AM591" s="36">
        <v>0</v>
      </c>
      <c r="AN591" s="35" t="s">
        <v>1</v>
      </c>
      <c r="AO591" s="35" t="s">
        <v>1</v>
      </c>
      <c r="AP591" s="35" t="s">
        <v>2</v>
      </c>
      <c r="AQ591" s="35" t="s">
        <v>1</v>
      </c>
      <c r="AR591" s="34" t="s">
        <v>1</v>
      </c>
      <c r="AS591" s="33"/>
      <c r="AT591" s="32" t="s">
        <v>2</v>
      </c>
      <c r="AU591" s="31">
        <v>45915</v>
      </c>
      <c r="AV591" s="28" t="s">
        <v>0</v>
      </c>
      <c r="AW591" s="31"/>
      <c r="AX591" s="30" t="s">
        <v>0</v>
      </c>
      <c r="AY591" s="29"/>
      <c r="AZ591" s="28" t="s">
        <v>0</v>
      </c>
      <c r="BA591" s="27"/>
      <c r="BB591" s="39">
        <v>45834</v>
      </c>
      <c r="BC591" s="25" t="s">
        <v>297</v>
      </c>
      <c r="BD591" s="24"/>
      <c r="BE591" s="24"/>
      <c r="BF591" s="24"/>
      <c r="BG591" s="24"/>
      <c r="BH591" s="24"/>
      <c r="BI591" s="24"/>
      <c r="BJ591" s="24"/>
      <c r="BK591" s="24"/>
      <c r="BL591" s="24"/>
      <c r="BM591" s="24"/>
      <c r="BN591" s="24"/>
      <c r="BO591" s="24"/>
      <c r="BP591" s="24"/>
      <c r="BQ591" s="22">
        <f>YEAR([1]!BANCO10[[#This Row],[DATA INÍCIO]])</f>
        <v>2025</v>
      </c>
      <c r="BR591" s="22">
        <f>MONTH([1]!BANCO10[[#This Row],[DATA INÍCIO]])</f>
        <v>7</v>
      </c>
      <c r="BS591" s="23" t="e">
        <f>CONCATENATE(#REF!,#REF!)</f>
        <v>#REF!</v>
      </c>
      <c r="BT591" s="22"/>
      <c r="BU591" s="22"/>
      <c r="BV591" s="21" t="str">
        <f>IF([1]!BANCO10[[#This Row],[SOLUÇÃO]]=BV$1,[1]!BANCO10[[#This Row],[STATUS DA ETAPA]],"")</f>
        <v/>
      </c>
      <c r="BW591" s="21" t="str">
        <f>IF([1]!BANCO10[[#This Row],[SOLUÇÃO]]=BW$1,[1]!BANCO10[[#This Row],[STATUS DA ETAPA]],"")</f>
        <v/>
      </c>
      <c r="BX591" s="21" t="str">
        <f>IF([1]!BANCO10[[#This Row],[SOLUÇÃO]]=BX$1,[1]!BANCO10[[#This Row],[STATUS DA ETAPA]],"")</f>
        <v>CONCLUÍDO</v>
      </c>
      <c r="BY591" s="21" t="str">
        <f>IF([1]!BANCO10[[#This Row],[SOLUÇÃO]]=BY$1,[1]!BANCO10[[#This Row],[STATUS DA ETAPA]],"")</f>
        <v/>
      </c>
      <c r="BZ591" s="21" t="str">
        <f>IF([1]!BANCO10[[#This Row],[SOLUÇÃO]]=BZ$1,[1]!BANCO10[[#This Row],[STATUS DA ETAPA]],"")</f>
        <v/>
      </c>
      <c r="CA591" s="21" t="str">
        <f>IF([1]!BANCO10[[#This Row],[SOLUÇÃO]]=CA$1,[1]!BANCO10[[#This Row],[STATUS DA ETAPA]],"")</f>
        <v/>
      </c>
      <c r="CB591" s="21" t="str">
        <f>IF([1]!BANCO10[[#This Row],[SOLUÇÃO]]=CB$1,[1]!BANCO10[[#This Row],[STATUS DA ETAPA]],"")</f>
        <v/>
      </c>
      <c r="CC591" s="21" t="str">
        <f>IF([1]!BANCO10[[#This Row],[SOLUÇÃO]]=CC$1,[1]!BANCO10[[#This Row],[STATUS DA ETAPA]],"")</f>
        <v/>
      </c>
      <c r="CD591" s="21" t="str">
        <f>IF([1]!BANCO10[[#This Row],[SOLUÇÃO]]=CD$1,[1]!BANCO10[[#This Row],[STATUS DA ETAPA]],"")</f>
        <v/>
      </c>
      <c r="CE591" s="21" t="str">
        <f>IF([1]!BANCO10[[#This Row],[SOLUÇÃO]]=CE$1,[1]!BANCO10[[#This Row],[STATUS DA ETAPA]],"")</f>
        <v/>
      </c>
      <c r="CF591" s="21" t="str">
        <f>IF([1]!BANCO10[[#This Row],[SOLUÇÃO]]=CF$1,[1]!BANCO10[[#This Row],[STATUS DA ETAPA]],"")</f>
        <v/>
      </c>
      <c r="CG591" s="21" t="str">
        <f>IF([1]!BANCO10[[#This Row],[SOLUÇÃO]]=CG$1,[1]!BANCO10[[#This Row],[STATUS DA ETAPA]],"")</f>
        <v/>
      </c>
      <c r="CH591" s="21" t="str">
        <f>IF([1]!BANCO10[[#This Row],[SOLUÇÃO]]=CH$1,[1]!BANCO10[[#This Row],[STATUS DA ETAPA]],"")</f>
        <v/>
      </c>
      <c r="CI591" s="21" t="str">
        <f>IF([1]!BANCO10[[#This Row],[SOLUÇÃO]]=CI$1,[1]!BANCO10[[#This Row],[STATUS DA ETAPA]],"")</f>
        <v/>
      </c>
      <c r="CJ591" s="21" t="str">
        <f>IF([1]!BANCO10[[#This Row],[SOLUÇÃO]]=CJ$1,[1]!BANCO10[[#This Row],[STATUS DA ETAPA]],"")</f>
        <v/>
      </c>
      <c r="CK591" s="21" t="str">
        <f>IF([1]!BANCO10[[#This Row],[SOLUÇÃO]]=CK$1,[1]!BANCO10[[#This Row],[STATUS DA ETAPA]],"")</f>
        <v/>
      </c>
      <c r="CL591" s="21" t="str">
        <f>IF([1]!BANCO10[[#This Row],[SOLUÇÃO]]=CL$1,[1]!BANCO10[[#This Row],[STATUS DA ETAPA]],"")</f>
        <v/>
      </c>
      <c r="CM591" s="21" t="str">
        <f>IF([1]!BANCO10[[#This Row],[SOLUÇÃO]]=CM$1,[1]!BANCO10[[#This Row],[STATUS DA ETAPA]],"")</f>
        <v/>
      </c>
      <c r="CN591" s="21" t="str">
        <f>IF([1]!BANCO10[[#This Row],[SOLUÇÃO]]=CN$1,[1]!BANCO10[[#This Row],[STATUS DA ETAPA]],"")</f>
        <v/>
      </c>
      <c r="CO591" s="21" t="str">
        <f>IF([1]!BANCO10[[#This Row],[SOLUÇÃO]]=CO$1,[1]!BANCO10[[#This Row],[STATUS DA ETAPA]],"")</f>
        <v/>
      </c>
      <c r="CP591" s="21" t="str">
        <f>IF([1]!BANCO10[[#This Row],[SOLUÇÃO]]=CP$1,[1]!BANCO10[[#This Row],[STATUS DA ETAPA]],"")</f>
        <v/>
      </c>
      <c r="CQ591" s="21" t="str">
        <f>IF([1]!BANCO10[[#This Row],[SOLUÇÃO]]=CQ$1,[1]!BANCO10[[#This Row],[STATUS DA ETAPA]],"")</f>
        <v/>
      </c>
      <c r="CR591" s="21" t="str">
        <f>IF([1]!BANCO10[[#This Row],[SOLUÇÃO]]=CR$1,[1]!BANCO10[[#This Row],[STATUS DA ETAPA]],"")</f>
        <v/>
      </c>
      <c r="CS591" s="21" t="str">
        <f>IF([1]!BANCO10[[#This Row],[SOLUÇÃO]]=CS$1,[1]!BANCO10[[#This Row],[STATUS DA ETAPA]],"")</f>
        <v/>
      </c>
      <c r="CT591" s="21" t="str">
        <f>IF([1]!BANCO10[[#This Row],[SOLUÇÃO]]=CT$1,[1]!BANCO10[[#This Row],[STATUS DA ETAPA]],"")</f>
        <v/>
      </c>
      <c r="CU591" s="21" t="str">
        <f>IF([1]!BANCO10[[#This Row],[SOLUÇÃO]]=CU$1,[1]!BANCO10[[#This Row],[STATUS DA ETAPA]],"")</f>
        <v/>
      </c>
      <c r="CV591" s="21" t="str">
        <f>IF([1]!BANCO10[[#This Row],[SOLUÇÃO]]=CV$1,[1]!BANCO10[[#This Row],[STATUS DA ETAPA]],"")</f>
        <v/>
      </c>
    </row>
    <row r="592" spans="1:100">
      <c r="A592" s="44" t="s">
        <v>1</v>
      </c>
      <c r="B592" s="44"/>
      <c r="C592" s="44" t="s">
        <v>1</v>
      </c>
      <c r="D592" s="44"/>
      <c r="E592" s="44" t="s">
        <v>1</v>
      </c>
      <c r="F592" s="44"/>
      <c r="G592" s="44" t="s">
        <v>1</v>
      </c>
      <c r="H592" s="44"/>
      <c r="I592" s="45" t="s">
        <v>1</v>
      </c>
      <c r="J592" s="46"/>
      <c r="K592" s="45" t="s">
        <v>1</v>
      </c>
      <c r="L592" s="33"/>
      <c r="M592" s="45" t="s">
        <v>1</v>
      </c>
      <c r="N592" s="33"/>
      <c r="O592" s="44" t="s">
        <v>2</v>
      </c>
      <c r="P592" s="44">
        <v>45536</v>
      </c>
      <c r="Q592" s="44" t="s">
        <v>1</v>
      </c>
      <c r="R592" s="44"/>
      <c r="S592" s="44" t="s">
        <v>1</v>
      </c>
      <c r="T592" s="44"/>
      <c r="U592" s="44" t="s">
        <v>1</v>
      </c>
      <c r="V592" s="44"/>
      <c r="W592" s="44" t="s">
        <v>1</v>
      </c>
      <c r="X592" s="44"/>
      <c r="Y592" s="44" t="s">
        <v>1</v>
      </c>
      <c r="Z592" s="44"/>
      <c r="AA592" s="44" t="s">
        <v>1</v>
      </c>
      <c r="AB592" s="44"/>
      <c r="AC592" s="51">
        <v>45963</v>
      </c>
      <c r="AD592" s="50">
        <v>45963</v>
      </c>
      <c r="AE592" s="41" t="s">
        <v>1</v>
      </c>
      <c r="AF592" s="41" t="s">
        <v>1</v>
      </c>
      <c r="AG592" s="40" t="s">
        <v>5</v>
      </c>
      <c r="AH592" s="36" t="s">
        <v>1</v>
      </c>
      <c r="AI592" s="49">
        <v>0</v>
      </c>
      <c r="AJ592" s="36" t="s">
        <v>1</v>
      </c>
      <c r="AK592" s="10" t="s">
        <v>1</v>
      </c>
      <c r="AL592" s="36" t="s">
        <v>1</v>
      </c>
      <c r="AM592" s="36" t="s">
        <v>1</v>
      </c>
      <c r="AN592" s="35" t="s">
        <v>1</v>
      </c>
      <c r="AO592" s="35" t="s">
        <v>1</v>
      </c>
      <c r="AP592" s="35" t="s">
        <v>1</v>
      </c>
      <c r="AQ592" s="35" t="s">
        <v>1</v>
      </c>
      <c r="AR592" s="34" t="s">
        <v>1</v>
      </c>
      <c r="AS592" s="63"/>
      <c r="AT592" s="32" t="s">
        <v>1</v>
      </c>
      <c r="AU592" s="31"/>
      <c r="AV592" s="32" t="s">
        <v>1</v>
      </c>
      <c r="AW592" s="31"/>
      <c r="AX592" s="32" t="s">
        <v>1</v>
      </c>
      <c r="AY592" s="31"/>
      <c r="AZ592" s="32" t="s">
        <v>1</v>
      </c>
      <c r="BA592" s="31"/>
      <c r="BB592" s="39"/>
      <c r="BC592" s="25"/>
      <c r="BD592" s="24"/>
      <c r="BE592" s="24"/>
      <c r="BF592" s="79"/>
      <c r="BG592" s="79"/>
      <c r="BH592" s="80"/>
      <c r="BI592" s="79"/>
      <c r="BJ592" s="54"/>
      <c r="BK592" s="78"/>
      <c r="BL592" s="69"/>
      <c r="BM592" s="78"/>
      <c r="BN592" s="78"/>
      <c r="BO592" s="78"/>
      <c r="BP592" s="78"/>
      <c r="BQ592" s="21">
        <f>YEAR([1]!BANCO10[[#This Row],[DATA INÍCIO]])</f>
        <v>2025</v>
      </c>
      <c r="BR592" s="21">
        <f>MONTH([1]!BANCO10[[#This Row],[DATA INÍCIO]])</f>
        <v>11</v>
      </c>
      <c r="BS592" s="21" t="e">
        <f>CONCATENATE(#REF!,#REF!)</f>
        <v>#REF!</v>
      </c>
      <c r="BT592" s="21"/>
      <c r="BU592" s="21"/>
      <c r="BV592" s="21" t="str">
        <f>IF([1]!BANCO10[[#This Row],[SOLUÇÃO]]=BV$1,[1]!BANCO10[[#This Row],[STATUS DA ETAPA]],"")</f>
        <v/>
      </c>
      <c r="BW592" s="21" t="str">
        <f>IF([1]!BANCO10[[#This Row],[SOLUÇÃO]]=BW$1,[1]!BANCO10[[#This Row],[STATUS DA ETAPA]],"")</f>
        <v/>
      </c>
      <c r="BX592" s="21" t="str">
        <f>IF([1]!BANCO10[[#This Row],[SOLUÇÃO]]=BX$1,[1]!BANCO10[[#This Row],[STATUS DA ETAPA]],"")</f>
        <v/>
      </c>
      <c r="BY592" s="21" t="str">
        <f>IF([1]!BANCO10[[#This Row],[SOLUÇÃO]]=BY$1,[1]!BANCO10[[#This Row],[STATUS DA ETAPA]],"")</f>
        <v/>
      </c>
      <c r="BZ592" s="21" t="str">
        <f>IF([1]!BANCO10[[#This Row],[SOLUÇÃO]]=BZ$1,[1]!BANCO10[[#This Row],[STATUS DA ETAPA]],"")</f>
        <v/>
      </c>
      <c r="CA592" s="21" t="str">
        <f>IF([1]!BANCO10[[#This Row],[SOLUÇÃO]]=CA$1,[1]!BANCO10[[#This Row],[STATUS DA ETAPA]],"")</f>
        <v/>
      </c>
      <c r="CB592" s="21" t="str">
        <f>IF([1]!BANCO10[[#This Row],[SOLUÇÃO]]=CB$1,[1]!BANCO10[[#This Row],[STATUS DA ETAPA]],"")</f>
        <v>CANCELADO</v>
      </c>
      <c r="CC592" s="21" t="str">
        <f>IF([1]!BANCO10[[#This Row],[SOLUÇÃO]]=CC$1,[1]!BANCO10[[#This Row],[STATUS DA ETAPA]],"")</f>
        <v/>
      </c>
      <c r="CD592" s="21" t="str">
        <f>IF([1]!BANCO10[[#This Row],[SOLUÇÃO]]=CD$1,[1]!BANCO10[[#This Row],[STATUS DA ETAPA]],"")</f>
        <v/>
      </c>
      <c r="CE592" s="21" t="str">
        <f>IF([1]!BANCO10[[#This Row],[SOLUÇÃO]]=CE$1,[1]!BANCO10[[#This Row],[STATUS DA ETAPA]],"")</f>
        <v/>
      </c>
      <c r="CF592" s="21" t="str">
        <f>IF([1]!BANCO10[[#This Row],[SOLUÇÃO]]=CF$1,[1]!BANCO10[[#This Row],[STATUS DA ETAPA]],"")</f>
        <v/>
      </c>
      <c r="CG592" s="21" t="str">
        <f>IF([1]!BANCO10[[#This Row],[SOLUÇÃO]]=CG$1,[1]!BANCO10[[#This Row],[STATUS DA ETAPA]],"")</f>
        <v/>
      </c>
      <c r="CH592" s="21" t="str">
        <f>IF([1]!BANCO10[[#This Row],[SOLUÇÃO]]=CH$1,[1]!BANCO10[[#This Row],[STATUS DA ETAPA]],"")</f>
        <v/>
      </c>
      <c r="CI592" s="21" t="str">
        <f>IF([1]!BANCO10[[#This Row],[SOLUÇÃO]]=CI$1,[1]!BANCO10[[#This Row],[STATUS DA ETAPA]],"")</f>
        <v/>
      </c>
      <c r="CJ592" s="21" t="str">
        <f>IF([1]!BANCO10[[#This Row],[SOLUÇÃO]]=CJ$1,[1]!BANCO10[[#This Row],[STATUS DA ETAPA]],"")</f>
        <v/>
      </c>
      <c r="CK592" s="21" t="str">
        <f>IF([1]!BANCO10[[#This Row],[SOLUÇÃO]]=CK$1,[1]!BANCO10[[#This Row],[STATUS DA ETAPA]],"")</f>
        <v/>
      </c>
      <c r="CL592" s="22" t="str">
        <f>IF([1]!BANCO10[[#This Row],[SOLUÇÃO]]=CL$1,[1]!BANCO10[[#This Row],[STATUS DA ETAPA]],"")</f>
        <v/>
      </c>
      <c r="CM592" s="64" t="str">
        <f>IF([1]!BANCO10[[#This Row],[SOLUÇÃO]]=CM$1,[1]!BANCO10[[#This Row],[STATUS DA ETAPA]],"")</f>
        <v/>
      </c>
      <c r="CN592" s="64" t="str">
        <f>IF([1]!BANCO10[[#This Row],[SOLUÇÃO]]=CN$1,[1]!BANCO10[[#This Row],[STATUS DA ETAPA]],"")</f>
        <v/>
      </c>
      <c r="CO592" s="64" t="str">
        <f>IF([1]!BANCO10[[#This Row],[SOLUÇÃO]]=CO$1,[1]!BANCO10[[#This Row],[STATUS DA ETAPA]],"")</f>
        <v/>
      </c>
      <c r="CP592" s="64" t="str">
        <f>IF([1]!BANCO10[[#This Row],[SOLUÇÃO]]=CP$1,[1]!BANCO10[[#This Row],[STATUS DA ETAPA]],"")</f>
        <v/>
      </c>
      <c r="CQ592" s="64" t="str">
        <f>IF([1]!BANCO10[[#This Row],[SOLUÇÃO]]=CQ$1,[1]!BANCO10[[#This Row],[STATUS DA ETAPA]],"")</f>
        <v/>
      </c>
      <c r="CR592" s="64" t="str">
        <f>IF([1]!BANCO10[[#This Row],[SOLUÇÃO]]=CR$1,[1]!BANCO10[[#This Row],[STATUS DA ETAPA]],"")</f>
        <v/>
      </c>
      <c r="CS592" s="64" t="str">
        <f>IF([1]!BANCO10[[#This Row],[SOLUÇÃO]]=CS$1,[1]!BANCO10[[#This Row],[STATUS DA ETAPA]],"")</f>
        <v/>
      </c>
      <c r="CT592" s="64" t="str">
        <f>IF([1]!BANCO10[[#This Row],[SOLUÇÃO]]=CT$1,[1]!BANCO10[[#This Row],[STATUS DA ETAPA]],"")</f>
        <v/>
      </c>
      <c r="CU592" s="64" t="str">
        <f>IF([1]!BANCO10[[#This Row],[SOLUÇÃO]]=CU$1,[1]!BANCO10[[#This Row],[STATUS DA ETAPA]],"")</f>
        <v/>
      </c>
      <c r="CV592" s="64" t="str">
        <f>IF([1]!BANCO10[[#This Row],[SOLUÇÃO]]=CV$1,[1]!BANCO10[[#This Row],[STATUS DA ETAPA]],"")</f>
        <v/>
      </c>
    </row>
    <row r="593" spans="1:100">
      <c r="A593" s="44" t="s">
        <v>1</v>
      </c>
      <c r="B593" s="44"/>
      <c r="C593" s="44" t="s">
        <v>1</v>
      </c>
      <c r="D593" s="44"/>
      <c r="E593" s="44" t="s">
        <v>1</v>
      </c>
      <c r="F593" s="44"/>
      <c r="G593" s="44" t="s">
        <v>1</v>
      </c>
      <c r="H593" s="44"/>
      <c r="I593" s="45" t="s">
        <v>1</v>
      </c>
      <c r="J593" s="46"/>
      <c r="K593" s="45" t="s">
        <v>1</v>
      </c>
      <c r="L593" s="33"/>
      <c r="M593" s="45" t="s">
        <v>1</v>
      </c>
      <c r="N593" s="33"/>
      <c r="O593" s="44" t="s">
        <v>1</v>
      </c>
      <c r="P593" s="44"/>
      <c r="Q593" s="44" t="s">
        <v>1</v>
      </c>
      <c r="R593" s="44"/>
      <c r="S593" s="44" t="s">
        <v>1</v>
      </c>
      <c r="T593" s="44"/>
      <c r="U593" s="44" t="s">
        <v>1</v>
      </c>
      <c r="V593" s="44"/>
      <c r="W593" s="44" t="s">
        <v>1</v>
      </c>
      <c r="X593" s="44"/>
      <c r="Y593" s="44" t="s">
        <v>1</v>
      </c>
      <c r="Z593" s="44"/>
      <c r="AA593" s="44" t="s">
        <v>1</v>
      </c>
      <c r="AB593" s="44"/>
      <c r="AC593" s="51">
        <v>45577</v>
      </c>
      <c r="AD593" s="50">
        <v>45577</v>
      </c>
      <c r="AE593" s="41" t="s">
        <v>1</v>
      </c>
      <c r="AF593" s="41" t="s">
        <v>1</v>
      </c>
      <c r="AG593" s="40" t="s">
        <v>5</v>
      </c>
      <c r="AH593" s="36" t="s">
        <v>1</v>
      </c>
      <c r="AI593" s="49">
        <v>0</v>
      </c>
      <c r="AJ593" s="36" t="s">
        <v>1</v>
      </c>
      <c r="AK593" s="10" t="s">
        <v>1</v>
      </c>
      <c r="AL593" s="36" t="s">
        <v>1</v>
      </c>
      <c r="AM593" s="36" t="s">
        <v>1</v>
      </c>
      <c r="AN593" s="35" t="s">
        <v>1</v>
      </c>
      <c r="AO593" s="35" t="s">
        <v>1</v>
      </c>
      <c r="AP593" s="35" t="s">
        <v>1</v>
      </c>
      <c r="AQ593" s="35" t="s">
        <v>1</v>
      </c>
      <c r="AR593" s="90" t="s">
        <v>1</v>
      </c>
      <c r="AS593" s="89"/>
      <c r="AT593" s="88"/>
      <c r="AU593" s="25"/>
      <c r="AV593" s="88"/>
      <c r="AW593" s="25"/>
      <c r="AX593" s="88" t="s">
        <v>1</v>
      </c>
      <c r="AY593" s="25"/>
      <c r="AZ593" s="88" t="s">
        <v>1</v>
      </c>
      <c r="BA593" s="25"/>
      <c r="BB593" s="39"/>
      <c r="BC593" s="25"/>
      <c r="BD593" s="24"/>
      <c r="BE593" s="24"/>
      <c r="BF593" s="79"/>
      <c r="BG593" s="79"/>
      <c r="BH593" s="80"/>
      <c r="BI593" s="79"/>
      <c r="BJ593" s="54"/>
      <c r="BK593" s="78"/>
      <c r="BL593" s="69"/>
      <c r="BM593" s="78"/>
      <c r="BN593" s="78"/>
      <c r="BO593" s="78"/>
      <c r="BP593" s="78"/>
      <c r="BQ593" s="21">
        <f>YEAR([1]!BANCO10[[#This Row],[DATA INÍCIO]])</f>
        <v>2024</v>
      </c>
      <c r="BR593" s="21">
        <f>MONTH([1]!BANCO10[[#This Row],[DATA INÍCIO]])</f>
        <v>10</v>
      </c>
      <c r="BS593" s="21" t="e">
        <f>CONCATENATE(#REF!,#REF!)</f>
        <v>#REF!</v>
      </c>
      <c r="BT593" s="21"/>
      <c r="BU593" s="21"/>
      <c r="BV593" s="21" t="str">
        <f>IF([1]!BANCO10[[#This Row],[SOLUÇÃO]]=BV$1,[1]!BANCO10[[#This Row],[STATUS DA ETAPA]],"")</f>
        <v>CONCLUÍDO</v>
      </c>
      <c r="BW593" s="21" t="str">
        <f>IF([1]!BANCO10[[#This Row],[SOLUÇÃO]]=BW$1,[1]!BANCO10[[#This Row],[STATUS DA ETAPA]],"")</f>
        <v/>
      </c>
      <c r="BX593" s="21" t="str">
        <f>IF([1]!BANCO10[[#This Row],[SOLUÇÃO]]=BX$1,[1]!BANCO10[[#This Row],[STATUS DA ETAPA]],"")</f>
        <v/>
      </c>
      <c r="BY593" s="21" t="str">
        <f>IF([1]!BANCO10[[#This Row],[SOLUÇÃO]]=BY$1,[1]!BANCO10[[#This Row],[STATUS DA ETAPA]],"")</f>
        <v/>
      </c>
      <c r="BZ593" s="21" t="str">
        <f>IF([1]!BANCO10[[#This Row],[SOLUÇÃO]]=BZ$1,[1]!BANCO10[[#This Row],[STATUS DA ETAPA]],"")</f>
        <v/>
      </c>
      <c r="CA593" s="21" t="str">
        <f>IF([1]!BANCO10[[#This Row],[SOLUÇÃO]]=CA$1,[1]!BANCO10[[#This Row],[STATUS DA ETAPA]],"")</f>
        <v/>
      </c>
      <c r="CB593" s="21" t="str">
        <f>IF([1]!BANCO10[[#This Row],[SOLUÇÃO]]=CB$1,[1]!BANCO10[[#This Row],[STATUS DA ETAPA]],"")</f>
        <v/>
      </c>
      <c r="CC593" s="21" t="str">
        <f>IF([1]!BANCO10[[#This Row],[SOLUÇÃO]]=CC$1,[1]!BANCO10[[#This Row],[STATUS DA ETAPA]],"")</f>
        <v/>
      </c>
      <c r="CD593" s="21" t="str">
        <f>IF([1]!BANCO10[[#This Row],[SOLUÇÃO]]=CD$1,[1]!BANCO10[[#This Row],[STATUS DA ETAPA]],"")</f>
        <v/>
      </c>
      <c r="CE593" s="21" t="str">
        <f>IF([1]!BANCO10[[#This Row],[SOLUÇÃO]]=CE$1,[1]!BANCO10[[#This Row],[STATUS DA ETAPA]],"")</f>
        <v/>
      </c>
      <c r="CF593" s="21" t="str">
        <f>IF([1]!BANCO10[[#This Row],[SOLUÇÃO]]=CF$1,[1]!BANCO10[[#This Row],[STATUS DA ETAPA]],"")</f>
        <v/>
      </c>
      <c r="CG593" s="21" t="str">
        <f>IF([1]!BANCO10[[#This Row],[SOLUÇÃO]]=CG$1,[1]!BANCO10[[#This Row],[STATUS DA ETAPA]],"")</f>
        <v/>
      </c>
      <c r="CH593" s="21" t="str">
        <f>IF([1]!BANCO10[[#This Row],[SOLUÇÃO]]=CH$1,[1]!BANCO10[[#This Row],[STATUS DA ETAPA]],"")</f>
        <v/>
      </c>
      <c r="CI593" s="21" t="str">
        <f>IF([1]!BANCO10[[#This Row],[SOLUÇÃO]]=CI$1,[1]!BANCO10[[#This Row],[STATUS DA ETAPA]],"")</f>
        <v/>
      </c>
      <c r="CJ593" s="21" t="str">
        <f>IF([1]!BANCO10[[#This Row],[SOLUÇÃO]]=CJ$1,[1]!BANCO10[[#This Row],[STATUS DA ETAPA]],"")</f>
        <v/>
      </c>
      <c r="CK593" s="21" t="str">
        <f>IF([1]!BANCO10[[#This Row],[SOLUÇÃO]]=CK$1,[1]!BANCO10[[#This Row],[STATUS DA ETAPA]],"")</f>
        <v/>
      </c>
      <c r="CL593" s="22" t="str">
        <f>IF([1]!BANCO10[[#This Row],[SOLUÇÃO]]=CL$1,[1]!BANCO10[[#This Row],[STATUS DA ETAPA]],"")</f>
        <v/>
      </c>
      <c r="CM593" s="64" t="str">
        <f>IF([1]!BANCO10[[#This Row],[SOLUÇÃO]]=CM$1,[1]!BANCO10[[#This Row],[STATUS DA ETAPA]],"")</f>
        <v/>
      </c>
      <c r="CN593" s="64" t="str">
        <f>IF([1]!BANCO10[[#This Row],[SOLUÇÃO]]=CN$1,[1]!BANCO10[[#This Row],[STATUS DA ETAPA]],"")</f>
        <v/>
      </c>
      <c r="CO593" s="64" t="str">
        <f>IF([1]!BANCO10[[#This Row],[SOLUÇÃO]]=CO$1,[1]!BANCO10[[#This Row],[STATUS DA ETAPA]],"")</f>
        <v/>
      </c>
      <c r="CP593" s="64" t="str">
        <f>IF([1]!BANCO10[[#This Row],[SOLUÇÃO]]=CP$1,[1]!BANCO10[[#This Row],[STATUS DA ETAPA]],"")</f>
        <v/>
      </c>
      <c r="CQ593" s="64" t="str">
        <f>IF([1]!BANCO10[[#This Row],[SOLUÇÃO]]=CQ$1,[1]!BANCO10[[#This Row],[STATUS DA ETAPA]],"")</f>
        <v/>
      </c>
      <c r="CR593" s="64" t="str">
        <f>IF([1]!BANCO10[[#This Row],[SOLUÇÃO]]=CR$1,[1]!BANCO10[[#This Row],[STATUS DA ETAPA]],"")</f>
        <v/>
      </c>
      <c r="CS593" s="64" t="str">
        <f>IF([1]!BANCO10[[#This Row],[SOLUÇÃO]]=CS$1,[1]!BANCO10[[#This Row],[STATUS DA ETAPA]],"")</f>
        <v/>
      </c>
      <c r="CT593" s="64" t="str">
        <f>IF([1]!BANCO10[[#This Row],[SOLUÇÃO]]=CT$1,[1]!BANCO10[[#This Row],[STATUS DA ETAPA]],"")</f>
        <v/>
      </c>
      <c r="CU593" s="64" t="str">
        <f>IF([1]!BANCO10[[#This Row],[SOLUÇÃO]]=CU$1,[1]!BANCO10[[#This Row],[STATUS DA ETAPA]],"")</f>
        <v/>
      </c>
      <c r="CV593" s="64" t="str">
        <f>IF([1]!BANCO10[[#This Row],[SOLUÇÃO]]=CV$1,[1]!BANCO10[[#This Row],[STATUS DA ETAPA]],"")</f>
        <v/>
      </c>
    </row>
    <row r="594" spans="1:100">
      <c r="A594" s="44" t="s">
        <v>1</v>
      </c>
      <c r="B594" s="44"/>
      <c r="C594" s="44" t="s">
        <v>1</v>
      </c>
      <c r="D594" s="44"/>
      <c r="E594" s="44" t="s">
        <v>1</v>
      </c>
      <c r="F594" s="44"/>
      <c r="G594" s="44" t="s">
        <v>1</v>
      </c>
      <c r="H594" s="44"/>
      <c r="I594" s="45" t="s">
        <v>1</v>
      </c>
      <c r="J594" s="46"/>
      <c r="K594" s="45" t="s">
        <v>1</v>
      </c>
      <c r="L594" s="33"/>
      <c r="M594" s="45" t="s">
        <v>1</v>
      </c>
      <c r="N594" s="33"/>
      <c r="O594" s="44" t="s">
        <v>2</v>
      </c>
      <c r="P594" s="44">
        <v>45566</v>
      </c>
      <c r="Q594" s="44" t="s">
        <v>2</v>
      </c>
      <c r="R594" s="44">
        <v>45580</v>
      </c>
      <c r="S594" s="44" t="s">
        <v>1</v>
      </c>
      <c r="T594" s="44"/>
      <c r="U594" s="44" t="s">
        <v>2</v>
      </c>
      <c r="V594" s="44">
        <v>45582</v>
      </c>
      <c r="W594" s="44" t="s">
        <v>2</v>
      </c>
      <c r="X594" s="44">
        <v>45581</v>
      </c>
      <c r="Y594" s="44" t="s">
        <v>2</v>
      </c>
      <c r="Z594" s="44">
        <v>45581</v>
      </c>
      <c r="AA594" s="44" t="s">
        <v>2</v>
      </c>
      <c r="AB594" s="44">
        <v>45596</v>
      </c>
      <c r="AC594" s="51">
        <v>45635</v>
      </c>
      <c r="AD594" s="50">
        <v>45775</v>
      </c>
      <c r="AE594" s="41" t="s">
        <v>2</v>
      </c>
      <c r="AF594" s="41" t="s">
        <v>2</v>
      </c>
      <c r="AG594" s="76" t="s">
        <v>4</v>
      </c>
      <c r="AH594" s="36" t="s">
        <v>0</v>
      </c>
      <c r="AI594" s="49">
        <v>0</v>
      </c>
      <c r="AJ594" s="36" t="s">
        <v>6</v>
      </c>
      <c r="AK594" s="10" t="s">
        <v>296</v>
      </c>
      <c r="AL594" s="36" t="s">
        <v>89</v>
      </c>
      <c r="AM594" s="36" t="s">
        <v>30</v>
      </c>
      <c r="AN594" s="35" t="s">
        <v>1</v>
      </c>
      <c r="AO594" s="35" t="s">
        <v>1</v>
      </c>
      <c r="AP594" s="35" t="s">
        <v>2</v>
      </c>
      <c r="AQ594" s="35" t="s">
        <v>1</v>
      </c>
      <c r="AR594" s="34" t="s">
        <v>1</v>
      </c>
      <c r="AS594" s="33"/>
      <c r="AT594" s="32" t="s">
        <v>2</v>
      </c>
      <c r="AU594" s="31">
        <v>45775</v>
      </c>
      <c r="AV594" s="32" t="s">
        <v>2</v>
      </c>
      <c r="AW594" s="31">
        <v>45776</v>
      </c>
      <c r="AX594" s="30" t="s">
        <v>2</v>
      </c>
      <c r="AY594" s="29">
        <v>45776</v>
      </c>
      <c r="AZ594" s="28" t="s">
        <v>0</v>
      </c>
      <c r="BA594" s="27"/>
      <c r="BB594" s="39"/>
      <c r="BC594" s="25" t="s">
        <v>162</v>
      </c>
      <c r="BD594" s="24"/>
      <c r="BE594" s="24"/>
      <c r="BF594" s="79"/>
      <c r="BG594" s="79"/>
      <c r="BH594" s="80"/>
      <c r="BI594" s="79"/>
      <c r="BJ594" s="54"/>
      <c r="BK594" s="78"/>
      <c r="BL594" s="69"/>
      <c r="BM594" s="78"/>
      <c r="BN594" s="78"/>
      <c r="BO594" s="78"/>
      <c r="BP594" s="78"/>
      <c r="BQ594" s="21">
        <f>YEAR([1]!BANCO10[[#This Row],[DATA INÍCIO]])</f>
        <v>2024</v>
      </c>
      <c r="BR594" s="21">
        <f>MONTH([1]!BANCO10[[#This Row],[DATA INÍCIO]])</f>
        <v>12</v>
      </c>
      <c r="BS594" s="21" t="e">
        <f>CONCATENATE(#REF!,#REF!)</f>
        <v>#REF!</v>
      </c>
      <c r="BT594" s="21"/>
      <c r="BU594" s="21"/>
      <c r="BV594" s="21" t="str">
        <f>IF([1]!BANCO10[[#This Row],[SOLUÇÃO]]=BV$1,[1]!BANCO10[[#This Row],[STATUS DA ETAPA]],"")</f>
        <v/>
      </c>
      <c r="BW594" s="21" t="str">
        <f>IF([1]!BANCO10[[#This Row],[SOLUÇÃO]]=BW$1,[1]!BANCO10[[#This Row],[STATUS DA ETAPA]],"")</f>
        <v/>
      </c>
      <c r="BX594" s="21" t="str">
        <f>IF([1]!BANCO10[[#This Row],[SOLUÇÃO]]=BX$1,[1]!BANCO10[[#This Row],[STATUS DA ETAPA]],"")</f>
        <v>CONCLUÍDO</v>
      </c>
      <c r="BY594" s="21" t="str">
        <f>IF([1]!BANCO10[[#This Row],[SOLUÇÃO]]=BY$1,[1]!BANCO10[[#This Row],[STATUS DA ETAPA]],"")</f>
        <v/>
      </c>
      <c r="BZ594" s="21" t="str">
        <f>IF([1]!BANCO10[[#This Row],[SOLUÇÃO]]=BZ$1,[1]!BANCO10[[#This Row],[STATUS DA ETAPA]],"")</f>
        <v/>
      </c>
      <c r="CA594" s="21" t="str">
        <f>IF([1]!BANCO10[[#This Row],[SOLUÇÃO]]=CA$1,[1]!BANCO10[[#This Row],[STATUS DA ETAPA]],"")</f>
        <v/>
      </c>
      <c r="CB594" s="21" t="str">
        <f>IF([1]!BANCO10[[#This Row],[SOLUÇÃO]]=CB$1,[1]!BANCO10[[#This Row],[STATUS DA ETAPA]],"")</f>
        <v/>
      </c>
      <c r="CC594" s="21" t="str">
        <f>IF([1]!BANCO10[[#This Row],[SOLUÇÃO]]=CC$1,[1]!BANCO10[[#This Row],[STATUS DA ETAPA]],"")</f>
        <v/>
      </c>
      <c r="CD594" s="21" t="str">
        <f>IF([1]!BANCO10[[#This Row],[SOLUÇÃO]]=CD$1,[1]!BANCO10[[#This Row],[STATUS DA ETAPA]],"")</f>
        <v/>
      </c>
      <c r="CE594" s="21" t="str">
        <f>IF([1]!BANCO10[[#This Row],[SOLUÇÃO]]=CE$1,[1]!BANCO10[[#This Row],[STATUS DA ETAPA]],"")</f>
        <v/>
      </c>
      <c r="CF594" s="21" t="str">
        <f>IF([1]!BANCO10[[#This Row],[SOLUÇÃO]]=CF$1,[1]!BANCO10[[#This Row],[STATUS DA ETAPA]],"")</f>
        <v/>
      </c>
      <c r="CG594" s="21" t="str">
        <f>IF([1]!BANCO10[[#This Row],[SOLUÇÃO]]=CG$1,[1]!BANCO10[[#This Row],[STATUS DA ETAPA]],"")</f>
        <v/>
      </c>
      <c r="CH594" s="21" t="str">
        <f>IF([1]!BANCO10[[#This Row],[SOLUÇÃO]]=CH$1,[1]!BANCO10[[#This Row],[STATUS DA ETAPA]],"")</f>
        <v/>
      </c>
      <c r="CI594" s="21" t="str">
        <f>IF([1]!BANCO10[[#This Row],[SOLUÇÃO]]=CI$1,[1]!BANCO10[[#This Row],[STATUS DA ETAPA]],"")</f>
        <v/>
      </c>
      <c r="CJ594" s="21" t="str">
        <f>IF([1]!BANCO10[[#This Row],[SOLUÇÃO]]=CJ$1,[1]!BANCO10[[#This Row],[STATUS DA ETAPA]],"")</f>
        <v/>
      </c>
      <c r="CK594" s="21" t="str">
        <f>IF([1]!BANCO10[[#This Row],[SOLUÇÃO]]=CK$1,[1]!BANCO10[[#This Row],[STATUS DA ETAPA]],"")</f>
        <v/>
      </c>
      <c r="CL594" s="22" t="str">
        <f>IF([1]!BANCO10[[#This Row],[SOLUÇÃO]]=CL$1,[1]!BANCO10[[#This Row],[STATUS DA ETAPA]],"")</f>
        <v/>
      </c>
      <c r="CM594" s="64" t="str">
        <f>IF([1]!BANCO10[[#This Row],[SOLUÇÃO]]=CM$1,[1]!BANCO10[[#This Row],[STATUS DA ETAPA]],"")</f>
        <v/>
      </c>
      <c r="CN594" s="64" t="str">
        <f>IF([1]!BANCO10[[#This Row],[SOLUÇÃO]]=CN$1,[1]!BANCO10[[#This Row],[STATUS DA ETAPA]],"")</f>
        <v/>
      </c>
      <c r="CO594" s="64" t="str">
        <f>IF([1]!BANCO10[[#This Row],[SOLUÇÃO]]=CO$1,[1]!BANCO10[[#This Row],[STATUS DA ETAPA]],"")</f>
        <v/>
      </c>
      <c r="CP594" s="64" t="str">
        <f>IF([1]!BANCO10[[#This Row],[SOLUÇÃO]]=CP$1,[1]!BANCO10[[#This Row],[STATUS DA ETAPA]],"")</f>
        <v/>
      </c>
      <c r="CQ594" s="64" t="str">
        <f>IF([1]!BANCO10[[#This Row],[SOLUÇÃO]]=CQ$1,[1]!BANCO10[[#This Row],[STATUS DA ETAPA]],"")</f>
        <v/>
      </c>
      <c r="CR594" s="64" t="str">
        <f>IF([1]!BANCO10[[#This Row],[SOLUÇÃO]]=CR$1,[1]!BANCO10[[#This Row],[STATUS DA ETAPA]],"")</f>
        <v/>
      </c>
      <c r="CS594" s="64" t="str">
        <f>IF([1]!BANCO10[[#This Row],[SOLUÇÃO]]=CS$1,[1]!BANCO10[[#This Row],[STATUS DA ETAPA]],"")</f>
        <v/>
      </c>
      <c r="CT594" s="64" t="str">
        <f>IF([1]!BANCO10[[#This Row],[SOLUÇÃO]]=CT$1,[1]!BANCO10[[#This Row],[STATUS DA ETAPA]],"")</f>
        <v/>
      </c>
      <c r="CU594" s="64" t="str">
        <f>IF([1]!BANCO10[[#This Row],[SOLUÇÃO]]=CU$1,[1]!BANCO10[[#This Row],[STATUS DA ETAPA]],"")</f>
        <v/>
      </c>
      <c r="CV594" s="64" t="str">
        <f>IF([1]!BANCO10[[#This Row],[SOLUÇÃO]]=CV$1,[1]!BANCO10[[#This Row],[STATUS DA ETAPA]],"")</f>
        <v/>
      </c>
    </row>
    <row r="595" spans="1:100">
      <c r="A595" s="44" t="s">
        <v>1</v>
      </c>
      <c r="B595" s="44"/>
      <c r="C595" s="44" t="s">
        <v>1</v>
      </c>
      <c r="D595" s="44"/>
      <c r="E595" s="44" t="s">
        <v>1</v>
      </c>
      <c r="F595" s="44"/>
      <c r="G595" s="44" t="s">
        <v>1</v>
      </c>
      <c r="H595" s="44"/>
      <c r="I595" s="45" t="s">
        <v>1</v>
      </c>
      <c r="J595" s="46"/>
      <c r="K595" s="45" t="s">
        <v>1</v>
      </c>
      <c r="L595" s="33"/>
      <c r="M595" s="45" t="s">
        <v>1</v>
      </c>
      <c r="N595" s="33"/>
      <c r="O595" s="44" t="s">
        <v>2</v>
      </c>
      <c r="P595" s="44">
        <v>44957</v>
      </c>
      <c r="Q595" s="44" t="s">
        <v>0</v>
      </c>
      <c r="R595" s="44"/>
      <c r="S595" s="44" t="s">
        <v>1</v>
      </c>
      <c r="T595" s="44"/>
      <c r="U595" s="44" t="s">
        <v>1</v>
      </c>
      <c r="V595" s="44"/>
      <c r="W595" s="44" t="s">
        <v>1</v>
      </c>
      <c r="X595" s="44"/>
      <c r="Y595" s="44" t="s">
        <v>1</v>
      </c>
      <c r="Z595" s="44"/>
      <c r="AA595" s="44" t="s">
        <v>1</v>
      </c>
      <c r="AB595" s="44"/>
      <c r="AC595" s="51">
        <v>44956</v>
      </c>
      <c r="AD595" s="50">
        <v>44956</v>
      </c>
      <c r="AE595" s="40" t="s">
        <v>1</v>
      </c>
      <c r="AF595" s="40" t="s">
        <v>1</v>
      </c>
      <c r="AG595" s="40" t="s">
        <v>5</v>
      </c>
      <c r="AH595" s="36" t="s">
        <v>1</v>
      </c>
      <c r="AI595" s="49">
        <v>0</v>
      </c>
      <c r="AJ595" s="36" t="s">
        <v>1</v>
      </c>
      <c r="AK595" s="10" t="s">
        <v>1</v>
      </c>
      <c r="AL595" s="36" t="s">
        <v>1</v>
      </c>
      <c r="AM595" s="36" t="s">
        <v>1</v>
      </c>
      <c r="AN595" s="35" t="s">
        <v>1</v>
      </c>
      <c r="AO595" s="35" t="s">
        <v>1</v>
      </c>
      <c r="AP595" s="35" t="s">
        <v>1</v>
      </c>
      <c r="AQ595" s="35" t="s">
        <v>1</v>
      </c>
      <c r="AR595" s="82" t="s">
        <v>1</v>
      </c>
      <c r="AS595" s="33"/>
      <c r="AT595" s="30"/>
      <c r="AU595" s="55"/>
      <c r="AV595" s="30"/>
      <c r="AW595" s="55"/>
      <c r="AX595" s="30" t="s">
        <v>1</v>
      </c>
      <c r="AY595" s="55"/>
      <c r="AZ595" s="30" t="s">
        <v>1</v>
      </c>
      <c r="BA595" s="66"/>
      <c r="BB595" s="39" t="s">
        <v>294</v>
      </c>
      <c r="BC595" s="25"/>
      <c r="BD595" s="24" t="s">
        <v>19</v>
      </c>
      <c r="BE595" s="24" t="s">
        <v>19</v>
      </c>
      <c r="BF595" s="79" t="s">
        <v>51</v>
      </c>
      <c r="BG595" s="79" t="s">
        <v>11</v>
      </c>
      <c r="BH595" s="80" t="s">
        <v>50</v>
      </c>
      <c r="BI595" s="79"/>
      <c r="BJ595" s="54" t="s">
        <v>11</v>
      </c>
      <c r="BK595" s="78" t="s">
        <v>11</v>
      </c>
      <c r="BL595" s="69" t="s">
        <v>11</v>
      </c>
      <c r="BM595" s="78" t="s">
        <v>11</v>
      </c>
      <c r="BN595" s="78" t="s">
        <v>11</v>
      </c>
      <c r="BO595" s="78" t="s">
        <v>11</v>
      </c>
      <c r="BP595" s="78" t="s">
        <v>11</v>
      </c>
      <c r="BQ595" s="21">
        <f>YEAR([1]!BANCO10[[#This Row],[DATA INÍCIO]])</f>
        <v>2023</v>
      </c>
      <c r="BR595" s="21">
        <f>MONTH([1]!BANCO10[[#This Row],[DATA INÍCIO]])</f>
        <v>1</v>
      </c>
      <c r="BS595" s="21" t="e">
        <f>CONCATENATE(#REF!,#REF!)</f>
        <v>#REF!</v>
      </c>
      <c r="BT595" s="21"/>
      <c r="BU595" s="21" t="s">
        <v>295</v>
      </c>
      <c r="BV595" s="21" t="str">
        <f>IF([1]!BANCO10[[#This Row],[SOLUÇÃO]]=BV$1,[1]!BANCO10[[#This Row],[STATUS DA ETAPA]],"")</f>
        <v>CONCLUÍDO</v>
      </c>
      <c r="BW595" s="21" t="str">
        <f>IF([1]!BANCO10[[#This Row],[SOLUÇÃO]]=BW$1,[1]!BANCO10[[#This Row],[STATUS DA ETAPA]],"")</f>
        <v/>
      </c>
      <c r="BX595" s="21" t="str">
        <f>IF([1]!BANCO10[[#This Row],[SOLUÇÃO]]=BX$1,[1]!BANCO10[[#This Row],[STATUS DA ETAPA]],"")</f>
        <v/>
      </c>
      <c r="BY595" s="21" t="str">
        <f>IF([1]!BANCO10[[#This Row],[SOLUÇÃO]]=BY$1,[1]!BANCO10[[#This Row],[STATUS DA ETAPA]],"")</f>
        <v/>
      </c>
      <c r="BZ595" s="21" t="str">
        <f>IF([1]!BANCO10[[#This Row],[SOLUÇÃO]]=BZ$1,[1]!BANCO10[[#This Row],[STATUS DA ETAPA]],"")</f>
        <v/>
      </c>
      <c r="CA595" s="21" t="str">
        <f>IF([1]!BANCO10[[#This Row],[SOLUÇÃO]]=CA$1,[1]!BANCO10[[#This Row],[STATUS DA ETAPA]],"")</f>
        <v/>
      </c>
      <c r="CB595" s="21" t="str">
        <f>IF([1]!BANCO10[[#This Row],[SOLUÇÃO]]=CB$1,[1]!BANCO10[[#This Row],[STATUS DA ETAPA]],"")</f>
        <v/>
      </c>
      <c r="CC595" s="21" t="str">
        <f>IF([1]!BANCO10[[#This Row],[SOLUÇÃO]]=CC$1,[1]!BANCO10[[#This Row],[STATUS DA ETAPA]],"")</f>
        <v/>
      </c>
      <c r="CD595" s="21" t="str">
        <f>IF([1]!BANCO10[[#This Row],[SOLUÇÃO]]=CD$1,[1]!BANCO10[[#This Row],[STATUS DA ETAPA]],"")</f>
        <v/>
      </c>
      <c r="CE595" s="21" t="str">
        <f>IF([1]!BANCO10[[#This Row],[SOLUÇÃO]]=CE$1,[1]!BANCO10[[#This Row],[STATUS DA ETAPA]],"")</f>
        <v/>
      </c>
      <c r="CF595" s="21" t="str">
        <f>IF([1]!BANCO10[[#This Row],[SOLUÇÃO]]=CF$1,[1]!BANCO10[[#This Row],[STATUS DA ETAPA]],"")</f>
        <v/>
      </c>
      <c r="CG595" s="21" t="str">
        <f>IF([1]!BANCO10[[#This Row],[SOLUÇÃO]]=CG$1,[1]!BANCO10[[#This Row],[STATUS DA ETAPA]],"")</f>
        <v/>
      </c>
      <c r="CH595" s="21" t="str">
        <f>IF([1]!BANCO10[[#This Row],[SOLUÇÃO]]=CH$1,[1]!BANCO10[[#This Row],[STATUS DA ETAPA]],"")</f>
        <v/>
      </c>
      <c r="CI595" s="21" t="str">
        <f>IF([1]!BANCO10[[#This Row],[SOLUÇÃO]]=CI$1,[1]!BANCO10[[#This Row],[STATUS DA ETAPA]],"")</f>
        <v/>
      </c>
      <c r="CJ595" s="21" t="str">
        <f>IF([1]!BANCO10[[#This Row],[SOLUÇÃO]]=CJ$1,[1]!BANCO10[[#This Row],[STATUS DA ETAPA]],"")</f>
        <v/>
      </c>
      <c r="CK595" s="21" t="str">
        <f>IF([1]!BANCO10[[#This Row],[SOLUÇÃO]]=CK$1,[1]!BANCO10[[#This Row],[STATUS DA ETAPA]],"")</f>
        <v/>
      </c>
      <c r="CL595" s="22" t="str">
        <f>IF([1]!BANCO10[[#This Row],[SOLUÇÃO]]=CL$1,[1]!BANCO10[[#This Row],[STATUS DA ETAPA]],"")</f>
        <v/>
      </c>
      <c r="CM595" s="64" t="str">
        <f>IF([1]!BANCO10[[#This Row],[SOLUÇÃO]]=CM$1,[1]!BANCO10[[#This Row],[STATUS DA ETAPA]],"")</f>
        <v/>
      </c>
      <c r="CN595" s="64" t="str">
        <f>IF([1]!BANCO10[[#This Row],[SOLUÇÃO]]=CN$1,[1]!BANCO10[[#This Row],[STATUS DA ETAPA]],"")</f>
        <v/>
      </c>
      <c r="CO595" s="64" t="str">
        <f>IF([1]!BANCO10[[#This Row],[SOLUÇÃO]]=CO$1,[1]!BANCO10[[#This Row],[STATUS DA ETAPA]],"")</f>
        <v/>
      </c>
      <c r="CP595" s="64" t="str">
        <f>IF([1]!BANCO10[[#This Row],[SOLUÇÃO]]=CP$1,[1]!BANCO10[[#This Row],[STATUS DA ETAPA]],"")</f>
        <v/>
      </c>
      <c r="CQ595" s="64" t="str">
        <f>IF([1]!BANCO10[[#This Row],[SOLUÇÃO]]=CQ$1,[1]!BANCO10[[#This Row],[STATUS DA ETAPA]],"")</f>
        <v/>
      </c>
      <c r="CR595" s="64" t="str">
        <f>IF([1]!BANCO10[[#This Row],[SOLUÇÃO]]=CR$1,[1]!BANCO10[[#This Row],[STATUS DA ETAPA]],"")</f>
        <v/>
      </c>
      <c r="CS595" s="64" t="str">
        <f>IF([1]!BANCO10[[#This Row],[SOLUÇÃO]]=CS$1,[1]!BANCO10[[#This Row],[STATUS DA ETAPA]],"")</f>
        <v/>
      </c>
      <c r="CT595" s="64" t="str">
        <f>IF([1]!BANCO10[[#This Row],[SOLUÇÃO]]=CT$1,[1]!BANCO10[[#This Row],[STATUS DA ETAPA]],"")</f>
        <v/>
      </c>
      <c r="CU595" s="64" t="str">
        <f>IF([1]!BANCO10[[#This Row],[SOLUÇÃO]]=CU$1,[1]!BANCO10[[#This Row],[STATUS DA ETAPA]],"")</f>
        <v/>
      </c>
      <c r="CV595" s="64" t="str">
        <f>IF([1]!BANCO10[[#This Row],[SOLUÇÃO]]=CV$1,[1]!BANCO10[[#This Row],[STATUS DA ETAPA]],"")</f>
        <v/>
      </c>
    </row>
    <row r="596" spans="1:100">
      <c r="A596" s="44" t="s">
        <v>1</v>
      </c>
      <c r="B596" s="44"/>
      <c r="C596" s="44" t="s">
        <v>1</v>
      </c>
      <c r="D596" s="44"/>
      <c r="E596" s="44" t="s">
        <v>1</v>
      </c>
      <c r="F596" s="44"/>
      <c r="G596" s="44" t="s">
        <v>1</v>
      </c>
      <c r="H596" s="44"/>
      <c r="I596" s="45" t="s">
        <v>1</v>
      </c>
      <c r="J596" s="46"/>
      <c r="K596" s="45" t="s">
        <v>1</v>
      </c>
      <c r="L596" s="33"/>
      <c r="M596" s="45" t="s">
        <v>1</v>
      </c>
      <c r="N596" s="33"/>
      <c r="O596" s="44" t="s">
        <v>2</v>
      </c>
      <c r="P596" s="44">
        <v>44957</v>
      </c>
      <c r="Q596" s="44" t="s">
        <v>2</v>
      </c>
      <c r="R596" s="44">
        <v>45299</v>
      </c>
      <c r="S596" s="44" t="s">
        <v>2</v>
      </c>
      <c r="T596" s="44"/>
      <c r="U596" s="44" t="s">
        <v>2</v>
      </c>
      <c r="V596" s="44"/>
      <c r="W596" s="44" t="s">
        <v>1</v>
      </c>
      <c r="X596" s="44"/>
      <c r="Y596" s="44" t="s">
        <v>1</v>
      </c>
      <c r="Z596" s="44"/>
      <c r="AA596" s="44" t="s">
        <v>1</v>
      </c>
      <c r="AB596" s="44"/>
      <c r="AC596" s="51">
        <v>45963</v>
      </c>
      <c r="AD596" s="50">
        <v>45963</v>
      </c>
      <c r="AE596" s="41" t="s">
        <v>1</v>
      </c>
      <c r="AF596" s="41" t="s">
        <v>1</v>
      </c>
      <c r="AG596" s="40" t="s">
        <v>5</v>
      </c>
      <c r="AH596" s="36" t="s">
        <v>0</v>
      </c>
      <c r="AI596" s="49">
        <v>0</v>
      </c>
      <c r="AJ596" s="36"/>
      <c r="AK596" s="10" t="s">
        <v>30</v>
      </c>
      <c r="AL596" s="36" t="s">
        <v>30</v>
      </c>
      <c r="AM596" s="36" t="s">
        <v>30</v>
      </c>
      <c r="AN596" s="35" t="s">
        <v>1</v>
      </c>
      <c r="AO596" s="35" t="s">
        <v>1</v>
      </c>
      <c r="AP596" s="35"/>
      <c r="AQ596" s="35" t="s">
        <v>1</v>
      </c>
      <c r="AR596" s="34" t="s">
        <v>1</v>
      </c>
      <c r="AS596" s="33"/>
      <c r="AT596" s="32"/>
      <c r="AU596" s="31"/>
      <c r="AV596" s="32"/>
      <c r="AW596" s="31"/>
      <c r="AX596" s="30" t="s">
        <v>0</v>
      </c>
      <c r="AY596" s="29"/>
      <c r="AZ596" s="28" t="s">
        <v>0</v>
      </c>
      <c r="BA596" s="27"/>
      <c r="BB596" s="39" t="s">
        <v>294</v>
      </c>
      <c r="BC596" s="25"/>
      <c r="BD596" s="24" t="s">
        <v>19</v>
      </c>
      <c r="BE596" s="24" t="s">
        <v>19</v>
      </c>
      <c r="BF596" s="79" t="s">
        <v>51</v>
      </c>
      <c r="BG596" s="79" t="s">
        <v>11</v>
      </c>
      <c r="BH596" s="80" t="s">
        <v>50</v>
      </c>
      <c r="BI596" s="79"/>
      <c r="BJ596" s="54" t="s">
        <v>11</v>
      </c>
      <c r="BK596" s="78" t="s">
        <v>11</v>
      </c>
      <c r="BL596" s="69">
        <v>45412</v>
      </c>
      <c r="BM596" s="78" t="s">
        <v>18</v>
      </c>
      <c r="BN596" s="78" t="s">
        <v>11</v>
      </c>
      <c r="BO596" s="78"/>
      <c r="BP596" s="78" t="s">
        <v>293</v>
      </c>
      <c r="BQ596" s="21">
        <f>YEAR([1]!BANCO10[[#This Row],[DATA INÍCIO]])</f>
        <v>2025</v>
      </c>
      <c r="BR596" s="21">
        <f>MONTH([1]!BANCO10[[#This Row],[DATA INÍCIO]])</f>
        <v>11</v>
      </c>
      <c r="BS596" s="21" t="e">
        <f>CONCATENATE(#REF!,#REF!)</f>
        <v>#REF!</v>
      </c>
      <c r="BT596" s="21"/>
      <c r="BU596" s="21" t="s">
        <v>30</v>
      </c>
      <c r="BV596" s="21" t="str">
        <f>IF([1]!BANCO10[[#This Row],[SOLUÇÃO]]=BV$1,[1]!BANCO10[[#This Row],[STATUS DA ETAPA]],"")</f>
        <v/>
      </c>
      <c r="BW596" s="21" t="str">
        <f>IF([1]!BANCO10[[#This Row],[SOLUÇÃO]]=BW$1,[1]!BANCO10[[#This Row],[STATUS DA ETAPA]],"")</f>
        <v/>
      </c>
      <c r="BX596" s="21" t="str">
        <f>IF([1]!BANCO10[[#This Row],[SOLUÇÃO]]=BX$1,[1]!BANCO10[[#This Row],[STATUS DA ETAPA]],"")</f>
        <v/>
      </c>
      <c r="BY596" s="21" t="str">
        <f>IF([1]!BANCO10[[#This Row],[SOLUÇÃO]]=BY$1,[1]!BANCO10[[#This Row],[STATUS DA ETAPA]],"")</f>
        <v/>
      </c>
      <c r="BZ596" s="21" t="str">
        <f>IF([1]!BANCO10[[#This Row],[SOLUÇÃO]]=BZ$1,[1]!BANCO10[[#This Row],[STATUS DA ETAPA]],"")</f>
        <v/>
      </c>
      <c r="CA596" s="21" t="str">
        <f>IF([1]!BANCO10[[#This Row],[SOLUÇÃO]]=CA$1,[1]!BANCO10[[#This Row],[STATUS DA ETAPA]],"")</f>
        <v>PROSPECÇÃO</v>
      </c>
      <c r="CB596" s="21" t="str">
        <f>IF([1]!BANCO10[[#This Row],[SOLUÇÃO]]=CB$1,[1]!BANCO10[[#This Row],[STATUS DA ETAPA]],"")</f>
        <v/>
      </c>
      <c r="CC596" s="21" t="str">
        <f>IF([1]!BANCO10[[#This Row],[SOLUÇÃO]]=CC$1,[1]!BANCO10[[#This Row],[STATUS DA ETAPA]],"")</f>
        <v/>
      </c>
      <c r="CD596" s="21" t="str">
        <f>IF([1]!BANCO10[[#This Row],[SOLUÇÃO]]=CD$1,[1]!BANCO10[[#This Row],[STATUS DA ETAPA]],"")</f>
        <v/>
      </c>
      <c r="CE596" s="21" t="str">
        <f>IF([1]!BANCO10[[#This Row],[SOLUÇÃO]]=CE$1,[1]!BANCO10[[#This Row],[STATUS DA ETAPA]],"")</f>
        <v/>
      </c>
      <c r="CF596" s="21" t="str">
        <f>IF([1]!BANCO10[[#This Row],[SOLUÇÃO]]=CF$1,[1]!BANCO10[[#This Row],[STATUS DA ETAPA]],"")</f>
        <v/>
      </c>
      <c r="CG596" s="21" t="str">
        <f>IF([1]!BANCO10[[#This Row],[SOLUÇÃO]]=CG$1,[1]!BANCO10[[#This Row],[STATUS DA ETAPA]],"")</f>
        <v/>
      </c>
      <c r="CH596" s="21" t="str">
        <f>IF([1]!BANCO10[[#This Row],[SOLUÇÃO]]=CH$1,[1]!BANCO10[[#This Row],[STATUS DA ETAPA]],"")</f>
        <v/>
      </c>
      <c r="CI596" s="21" t="str">
        <f>IF([1]!BANCO10[[#This Row],[SOLUÇÃO]]=CI$1,[1]!BANCO10[[#This Row],[STATUS DA ETAPA]],"")</f>
        <v/>
      </c>
      <c r="CJ596" s="21" t="str">
        <f>IF([1]!BANCO10[[#This Row],[SOLUÇÃO]]=CJ$1,[1]!BANCO10[[#This Row],[STATUS DA ETAPA]],"")</f>
        <v/>
      </c>
      <c r="CK596" s="21" t="str">
        <f>IF([1]!BANCO10[[#This Row],[SOLUÇÃO]]=CK$1,[1]!BANCO10[[#This Row],[STATUS DA ETAPA]],"")</f>
        <v/>
      </c>
      <c r="CL596" s="22" t="str">
        <f>IF([1]!BANCO10[[#This Row],[SOLUÇÃO]]=CL$1,[1]!BANCO10[[#This Row],[STATUS DA ETAPA]],"")</f>
        <v/>
      </c>
      <c r="CM596" s="64" t="str">
        <f>IF([1]!BANCO10[[#This Row],[SOLUÇÃO]]=CM$1,[1]!BANCO10[[#This Row],[STATUS DA ETAPA]],"")</f>
        <v/>
      </c>
      <c r="CN596" s="64" t="str">
        <f>IF([1]!BANCO10[[#This Row],[SOLUÇÃO]]=CN$1,[1]!BANCO10[[#This Row],[STATUS DA ETAPA]],"")</f>
        <v/>
      </c>
      <c r="CO596" s="64" t="str">
        <f>IF([1]!BANCO10[[#This Row],[SOLUÇÃO]]=CO$1,[1]!BANCO10[[#This Row],[STATUS DA ETAPA]],"")</f>
        <v/>
      </c>
      <c r="CP596" s="64" t="str">
        <f>IF([1]!BANCO10[[#This Row],[SOLUÇÃO]]=CP$1,[1]!BANCO10[[#This Row],[STATUS DA ETAPA]],"")</f>
        <v/>
      </c>
      <c r="CQ596" s="64" t="str">
        <f>IF([1]!BANCO10[[#This Row],[SOLUÇÃO]]=CQ$1,[1]!BANCO10[[#This Row],[STATUS DA ETAPA]],"")</f>
        <v/>
      </c>
      <c r="CR596" s="64" t="str">
        <f>IF([1]!BANCO10[[#This Row],[SOLUÇÃO]]=CR$1,[1]!BANCO10[[#This Row],[STATUS DA ETAPA]],"")</f>
        <v/>
      </c>
      <c r="CS596" s="64" t="str">
        <f>IF([1]!BANCO10[[#This Row],[SOLUÇÃO]]=CS$1,[1]!BANCO10[[#This Row],[STATUS DA ETAPA]],"")</f>
        <v/>
      </c>
      <c r="CT596" s="64" t="str">
        <f>IF([1]!BANCO10[[#This Row],[SOLUÇÃO]]=CT$1,[1]!BANCO10[[#This Row],[STATUS DA ETAPA]],"")</f>
        <v/>
      </c>
      <c r="CU596" s="64" t="str">
        <f>IF([1]!BANCO10[[#This Row],[SOLUÇÃO]]=CU$1,[1]!BANCO10[[#This Row],[STATUS DA ETAPA]],"")</f>
        <v/>
      </c>
      <c r="CV596" s="64" t="str">
        <f>IF([1]!BANCO10[[#This Row],[SOLUÇÃO]]=CV$1,[1]!BANCO10[[#This Row],[STATUS DA ETAPA]],"")</f>
        <v/>
      </c>
    </row>
    <row r="597" spans="1:100">
      <c r="A597" s="44" t="s">
        <v>1</v>
      </c>
      <c r="B597" s="44"/>
      <c r="C597" s="44" t="s">
        <v>1</v>
      </c>
      <c r="D597" s="44"/>
      <c r="E597" s="44" t="s">
        <v>1</v>
      </c>
      <c r="F597" s="44"/>
      <c r="G597" s="44" t="s">
        <v>1</v>
      </c>
      <c r="H597" s="44"/>
      <c r="I597" s="45" t="s">
        <v>1</v>
      </c>
      <c r="J597" s="46"/>
      <c r="K597" s="45" t="s">
        <v>1</v>
      </c>
      <c r="L597" s="33"/>
      <c r="M597" s="45" t="s">
        <v>1</v>
      </c>
      <c r="N597" s="33"/>
      <c r="O597" s="44" t="s">
        <v>2</v>
      </c>
      <c r="P597" s="44">
        <v>45119</v>
      </c>
      <c r="Q597" s="44" t="s">
        <v>0</v>
      </c>
      <c r="R597" s="44"/>
      <c r="S597" s="44" t="s">
        <v>1</v>
      </c>
      <c r="T597" s="44"/>
      <c r="U597" s="44" t="s">
        <v>1</v>
      </c>
      <c r="V597" s="44"/>
      <c r="W597" s="44" t="s">
        <v>1</v>
      </c>
      <c r="X597" s="44"/>
      <c r="Y597" s="44" t="s">
        <v>1</v>
      </c>
      <c r="Z597" s="44"/>
      <c r="AA597" s="44" t="s">
        <v>1</v>
      </c>
      <c r="AB597" s="44"/>
      <c r="AC597" s="51">
        <v>45093</v>
      </c>
      <c r="AD597" s="50">
        <v>45093</v>
      </c>
      <c r="AE597" s="40" t="s">
        <v>1</v>
      </c>
      <c r="AF597" s="40" t="s">
        <v>1</v>
      </c>
      <c r="AG597" s="40" t="s">
        <v>5</v>
      </c>
      <c r="AH597" s="36" t="s">
        <v>1</v>
      </c>
      <c r="AI597" s="49">
        <v>0</v>
      </c>
      <c r="AJ597" s="36" t="s">
        <v>1</v>
      </c>
      <c r="AK597" s="10" t="s">
        <v>1</v>
      </c>
      <c r="AL597" s="36" t="s">
        <v>1</v>
      </c>
      <c r="AM597" s="36" t="s">
        <v>1</v>
      </c>
      <c r="AN597" s="35" t="s">
        <v>1</v>
      </c>
      <c r="AO597" s="35" t="s">
        <v>1</v>
      </c>
      <c r="AP597" s="35" t="s">
        <v>1</v>
      </c>
      <c r="AQ597" s="35" t="s">
        <v>1</v>
      </c>
      <c r="AR597" s="82" t="s">
        <v>1</v>
      </c>
      <c r="AS597" s="33"/>
      <c r="AT597" s="30"/>
      <c r="AU597" s="55"/>
      <c r="AV597" s="30"/>
      <c r="AW597" s="55"/>
      <c r="AX597" s="30" t="s">
        <v>1</v>
      </c>
      <c r="AY597" s="55"/>
      <c r="AZ597" s="30" t="s">
        <v>1</v>
      </c>
      <c r="BA597" s="66"/>
      <c r="BB597" s="39" t="s">
        <v>291</v>
      </c>
      <c r="BC597" s="25"/>
      <c r="BD597" s="24" t="s">
        <v>11</v>
      </c>
      <c r="BE597" s="24" t="s">
        <v>11</v>
      </c>
      <c r="BF597" s="79" t="s">
        <v>11</v>
      </c>
      <c r="BG597" s="79" t="s">
        <v>11</v>
      </c>
      <c r="BH597" s="80" t="s">
        <v>11</v>
      </c>
      <c r="BI597" s="79"/>
      <c r="BJ597" s="54" t="s">
        <v>11</v>
      </c>
      <c r="BK597" s="78" t="s">
        <v>11</v>
      </c>
      <c r="BL597" s="69" t="s">
        <v>11</v>
      </c>
      <c r="BM597" s="78" t="s">
        <v>11</v>
      </c>
      <c r="BN597" s="78" t="s">
        <v>11</v>
      </c>
      <c r="BO597" s="78" t="s">
        <v>11</v>
      </c>
      <c r="BP597" s="78" t="s">
        <v>11</v>
      </c>
      <c r="BQ597" s="21">
        <f>YEAR([1]!BANCO10[[#This Row],[DATA INÍCIO]])</f>
        <v>2023</v>
      </c>
      <c r="BR597" s="21">
        <f>MONTH([1]!BANCO10[[#This Row],[DATA INÍCIO]])</f>
        <v>6</v>
      </c>
      <c r="BS597" s="21" t="e">
        <f>CONCATENATE(#REF!,#REF!)</f>
        <v>#REF!</v>
      </c>
      <c r="BT597" s="21"/>
      <c r="BU597" s="21" t="s">
        <v>292</v>
      </c>
      <c r="BV597" s="21" t="str">
        <f>IF([1]!BANCO10[[#This Row],[SOLUÇÃO]]=BV$1,[1]!BANCO10[[#This Row],[STATUS DA ETAPA]],"")</f>
        <v>CONCLUÍDO</v>
      </c>
      <c r="BW597" s="21" t="str">
        <f>IF([1]!BANCO10[[#This Row],[SOLUÇÃO]]=BW$1,[1]!BANCO10[[#This Row],[STATUS DA ETAPA]],"")</f>
        <v/>
      </c>
      <c r="BX597" s="21" t="str">
        <f>IF([1]!BANCO10[[#This Row],[SOLUÇÃO]]=BX$1,[1]!BANCO10[[#This Row],[STATUS DA ETAPA]],"")</f>
        <v/>
      </c>
      <c r="BY597" s="21" t="str">
        <f>IF([1]!BANCO10[[#This Row],[SOLUÇÃO]]=BY$1,[1]!BANCO10[[#This Row],[STATUS DA ETAPA]],"")</f>
        <v/>
      </c>
      <c r="BZ597" s="21" t="str">
        <f>IF([1]!BANCO10[[#This Row],[SOLUÇÃO]]=BZ$1,[1]!BANCO10[[#This Row],[STATUS DA ETAPA]],"")</f>
        <v/>
      </c>
      <c r="CA597" s="21" t="str">
        <f>IF([1]!BANCO10[[#This Row],[SOLUÇÃO]]=CA$1,[1]!BANCO10[[#This Row],[STATUS DA ETAPA]],"")</f>
        <v/>
      </c>
      <c r="CB597" s="21" t="str">
        <f>IF([1]!BANCO10[[#This Row],[SOLUÇÃO]]=CB$1,[1]!BANCO10[[#This Row],[STATUS DA ETAPA]],"")</f>
        <v/>
      </c>
      <c r="CC597" s="21" t="str">
        <f>IF([1]!BANCO10[[#This Row],[SOLUÇÃO]]=CC$1,[1]!BANCO10[[#This Row],[STATUS DA ETAPA]],"")</f>
        <v/>
      </c>
      <c r="CD597" s="21" t="str">
        <f>IF([1]!BANCO10[[#This Row],[SOLUÇÃO]]=CD$1,[1]!BANCO10[[#This Row],[STATUS DA ETAPA]],"")</f>
        <v/>
      </c>
      <c r="CE597" s="21" t="str">
        <f>IF([1]!BANCO10[[#This Row],[SOLUÇÃO]]=CE$1,[1]!BANCO10[[#This Row],[STATUS DA ETAPA]],"")</f>
        <v/>
      </c>
      <c r="CF597" s="21" t="str">
        <f>IF([1]!BANCO10[[#This Row],[SOLUÇÃO]]=CF$1,[1]!BANCO10[[#This Row],[STATUS DA ETAPA]],"")</f>
        <v/>
      </c>
      <c r="CG597" s="21" t="str">
        <f>IF([1]!BANCO10[[#This Row],[SOLUÇÃO]]=CG$1,[1]!BANCO10[[#This Row],[STATUS DA ETAPA]],"")</f>
        <v/>
      </c>
      <c r="CH597" s="21" t="str">
        <f>IF([1]!BANCO10[[#This Row],[SOLUÇÃO]]=CH$1,[1]!BANCO10[[#This Row],[STATUS DA ETAPA]],"")</f>
        <v/>
      </c>
      <c r="CI597" s="21" t="str">
        <f>IF([1]!BANCO10[[#This Row],[SOLUÇÃO]]=CI$1,[1]!BANCO10[[#This Row],[STATUS DA ETAPA]],"")</f>
        <v/>
      </c>
      <c r="CJ597" s="21" t="str">
        <f>IF([1]!BANCO10[[#This Row],[SOLUÇÃO]]=CJ$1,[1]!BANCO10[[#This Row],[STATUS DA ETAPA]],"")</f>
        <v/>
      </c>
      <c r="CK597" s="21" t="str">
        <f>IF([1]!BANCO10[[#This Row],[SOLUÇÃO]]=CK$1,[1]!BANCO10[[#This Row],[STATUS DA ETAPA]],"")</f>
        <v/>
      </c>
      <c r="CL597" s="22" t="str">
        <f>IF([1]!BANCO10[[#This Row],[SOLUÇÃO]]=CL$1,[1]!BANCO10[[#This Row],[STATUS DA ETAPA]],"")</f>
        <v/>
      </c>
      <c r="CM597" s="64" t="str">
        <f>IF([1]!BANCO10[[#This Row],[SOLUÇÃO]]=CM$1,[1]!BANCO10[[#This Row],[STATUS DA ETAPA]],"")</f>
        <v/>
      </c>
      <c r="CN597" s="64" t="str">
        <f>IF([1]!BANCO10[[#This Row],[SOLUÇÃO]]=CN$1,[1]!BANCO10[[#This Row],[STATUS DA ETAPA]],"")</f>
        <v/>
      </c>
      <c r="CO597" s="64" t="str">
        <f>IF([1]!BANCO10[[#This Row],[SOLUÇÃO]]=CO$1,[1]!BANCO10[[#This Row],[STATUS DA ETAPA]],"")</f>
        <v/>
      </c>
      <c r="CP597" s="64" t="str">
        <f>IF([1]!BANCO10[[#This Row],[SOLUÇÃO]]=CP$1,[1]!BANCO10[[#This Row],[STATUS DA ETAPA]],"")</f>
        <v/>
      </c>
      <c r="CQ597" s="64" t="str">
        <f>IF([1]!BANCO10[[#This Row],[SOLUÇÃO]]=CQ$1,[1]!BANCO10[[#This Row],[STATUS DA ETAPA]],"")</f>
        <v/>
      </c>
      <c r="CR597" s="64" t="str">
        <f>IF([1]!BANCO10[[#This Row],[SOLUÇÃO]]=CR$1,[1]!BANCO10[[#This Row],[STATUS DA ETAPA]],"")</f>
        <v/>
      </c>
      <c r="CS597" s="64" t="str">
        <f>IF([1]!BANCO10[[#This Row],[SOLUÇÃO]]=CS$1,[1]!BANCO10[[#This Row],[STATUS DA ETAPA]],"")</f>
        <v/>
      </c>
      <c r="CT597" s="64" t="str">
        <f>IF([1]!BANCO10[[#This Row],[SOLUÇÃO]]=CT$1,[1]!BANCO10[[#This Row],[STATUS DA ETAPA]],"")</f>
        <v/>
      </c>
      <c r="CU597" s="64" t="str">
        <f>IF([1]!BANCO10[[#This Row],[SOLUÇÃO]]=CU$1,[1]!BANCO10[[#This Row],[STATUS DA ETAPA]],"")</f>
        <v/>
      </c>
      <c r="CV597" s="64" t="str">
        <f>IF([1]!BANCO10[[#This Row],[SOLUÇÃO]]=CV$1,[1]!BANCO10[[#This Row],[STATUS DA ETAPA]],"")</f>
        <v/>
      </c>
    </row>
    <row r="598" spans="1:100">
      <c r="A598" s="44" t="s">
        <v>1</v>
      </c>
      <c r="B598" s="44"/>
      <c r="C598" s="44" t="s">
        <v>1</v>
      </c>
      <c r="D598" s="44"/>
      <c r="E598" s="44" t="s">
        <v>1</v>
      </c>
      <c r="F598" s="44"/>
      <c r="G598" s="44" t="s">
        <v>1</v>
      </c>
      <c r="H598" s="44"/>
      <c r="I598" s="45" t="s">
        <v>1</v>
      </c>
      <c r="J598" s="46"/>
      <c r="K598" s="45" t="s">
        <v>1</v>
      </c>
      <c r="L598" s="33"/>
      <c r="M598" s="45" t="s">
        <v>1</v>
      </c>
      <c r="N598" s="33"/>
      <c r="O598" s="44" t="s">
        <v>2</v>
      </c>
      <c r="P598" s="44">
        <v>45119</v>
      </c>
      <c r="Q598" s="44" t="s">
        <v>2</v>
      </c>
      <c r="R598" s="44">
        <v>45168</v>
      </c>
      <c r="S598" s="44"/>
      <c r="T598" s="44"/>
      <c r="U598" s="44" t="s">
        <v>1</v>
      </c>
      <c r="V598" s="44"/>
      <c r="W598" s="44" t="s">
        <v>1</v>
      </c>
      <c r="X598" s="44"/>
      <c r="Y598" s="44" t="s">
        <v>1</v>
      </c>
      <c r="Z598" s="44"/>
      <c r="AA598" s="44" t="s">
        <v>1</v>
      </c>
      <c r="AB598" s="44"/>
      <c r="AC598" s="51">
        <v>45963</v>
      </c>
      <c r="AD598" s="50">
        <v>45963</v>
      </c>
      <c r="AE598" s="41" t="s">
        <v>1</v>
      </c>
      <c r="AF598" s="41" t="s">
        <v>1</v>
      </c>
      <c r="AG598" s="40" t="s">
        <v>5</v>
      </c>
      <c r="AH598" s="36" t="s">
        <v>0</v>
      </c>
      <c r="AI598" s="49">
        <v>0</v>
      </c>
      <c r="AJ598" s="36"/>
      <c r="AK598" s="10" t="s">
        <v>30</v>
      </c>
      <c r="AL598" s="36" t="s">
        <v>30</v>
      </c>
      <c r="AM598" s="36" t="s">
        <v>30</v>
      </c>
      <c r="AN598" s="35" t="s">
        <v>1</v>
      </c>
      <c r="AO598" s="35" t="s">
        <v>1</v>
      </c>
      <c r="AP598" s="35"/>
      <c r="AQ598" s="35" t="s">
        <v>1</v>
      </c>
      <c r="AR598" s="34" t="s">
        <v>1</v>
      </c>
      <c r="AS598" s="33"/>
      <c r="AT598" s="32"/>
      <c r="AU598" s="31"/>
      <c r="AV598" s="32"/>
      <c r="AW598" s="31"/>
      <c r="AX598" s="30" t="s">
        <v>0</v>
      </c>
      <c r="AY598" s="29"/>
      <c r="AZ598" s="28" t="s">
        <v>0</v>
      </c>
      <c r="BA598" s="27"/>
      <c r="BB598" s="39" t="s">
        <v>291</v>
      </c>
      <c r="BC598" s="25"/>
      <c r="BD598" s="24" t="s">
        <v>11</v>
      </c>
      <c r="BE598" s="24" t="s">
        <v>11</v>
      </c>
      <c r="BF598" s="79" t="s">
        <v>11</v>
      </c>
      <c r="BG598" s="79" t="s">
        <v>11</v>
      </c>
      <c r="BH598" s="80" t="s">
        <v>11</v>
      </c>
      <c r="BI598" s="79"/>
      <c r="BJ598" s="54" t="s">
        <v>11</v>
      </c>
      <c r="BK598" s="78" t="s">
        <v>11</v>
      </c>
      <c r="BL598" s="69">
        <v>45412</v>
      </c>
      <c r="BM598" s="78" t="s">
        <v>11</v>
      </c>
      <c r="BN598" s="78" t="s">
        <v>11</v>
      </c>
      <c r="BO598" s="78"/>
      <c r="BP598" s="78" t="s">
        <v>290</v>
      </c>
      <c r="BQ598" s="21">
        <f>YEAR([1]!BANCO10[[#This Row],[DATA INÍCIO]])</f>
        <v>2025</v>
      </c>
      <c r="BR598" s="21">
        <f>MONTH([1]!BANCO10[[#This Row],[DATA INÍCIO]])</f>
        <v>11</v>
      </c>
      <c r="BS598" s="21" t="e">
        <f>CONCATENATE(#REF!,#REF!)</f>
        <v>#REF!</v>
      </c>
      <c r="BT598" s="21"/>
      <c r="BU598" s="21" t="s">
        <v>30</v>
      </c>
      <c r="BV598" s="21" t="str">
        <f>IF([1]!BANCO10[[#This Row],[SOLUÇÃO]]=BV$1,[1]!BANCO10[[#This Row],[STATUS DA ETAPA]],"")</f>
        <v/>
      </c>
      <c r="BW598" s="21" t="str">
        <f>IF([1]!BANCO10[[#This Row],[SOLUÇÃO]]=BW$1,[1]!BANCO10[[#This Row],[STATUS DA ETAPA]],"")</f>
        <v/>
      </c>
      <c r="BX598" s="21" t="str">
        <f>IF([1]!BANCO10[[#This Row],[SOLUÇÃO]]=BX$1,[1]!BANCO10[[#This Row],[STATUS DA ETAPA]],"")</f>
        <v/>
      </c>
      <c r="BY598" s="21" t="str">
        <f>IF([1]!BANCO10[[#This Row],[SOLUÇÃO]]=BY$1,[1]!BANCO10[[#This Row],[STATUS DA ETAPA]],"")</f>
        <v/>
      </c>
      <c r="BZ598" s="21" t="str">
        <f>IF([1]!BANCO10[[#This Row],[SOLUÇÃO]]=BZ$1,[1]!BANCO10[[#This Row],[STATUS DA ETAPA]],"")</f>
        <v/>
      </c>
      <c r="CA598" s="21" t="str">
        <f>IF([1]!BANCO10[[#This Row],[SOLUÇÃO]]=CA$1,[1]!BANCO10[[#This Row],[STATUS DA ETAPA]],"")</f>
        <v>PROSPECÇÃO</v>
      </c>
      <c r="CB598" s="21" t="str">
        <f>IF([1]!BANCO10[[#This Row],[SOLUÇÃO]]=CB$1,[1]!BANCO10[[#This Row],[STATUS DA ETAPA]],"")</f>
        <v/>
      </c>
      <c r="CC598" s="21" t="str">
        <f>IF([1]!BANCO10[[#This Row],[SOLUÇÃO]]=CC$1,[1]!BANCO10[[#This Row],[STATUS DA ETAPA]],"")</f>
        <v/>
      </c>
      <c r="CD598" s="21" t="str">
        <f>IF([1]!BANCO10[[#This Row],[SOLUÇÃO]]=CD$1,[1]!BANCO10[[#This Row],[STATUS DA ETAPA]],"")</f>
        <v/>
      </c>
      <c r="CE598" s="21" t="str">
        <f>IF([1]!BANCO10[[#This Row],[SOLUÇÃO]]=CE$1,[1]!BANCO10[[#This Row],[STATUS DA ETAPA]],"")</f>
        <v/>
      </c>
      <c r="CF598" s="21" t="str">
        <f>IF([1]!BANCO10[[#This Row],[SOLUÇÃO]]=CF$1,[1]!BANCO10[[#This Row],[STATUS DA ETAPA]],"")</f>
        <v/>
      </c>
      <c r="CG598" s="21" t="str">
        <f>IF([1]!BANCO10[[#This Row],[SOLUÇÃO]]=CG$1,[1]!BANCO10[[#This Row],[STATUS DA ETAPA]],"")</f>
        <v/>
      </c>
      <c r="CH598" s="21" t="str">
        <f>IF([1]!BANCO10[[#This Row],[SOLUÇÃO]]=CH$1,[1]!BANCO10[[#This Row],[STATUS DA ETAPA]],"")</f>
        <v/>
      </c>
      <c r="CI598" s="21" t="str">
        <f>IF([1]!BANCO10[[#This Row],[SOLUÇÃO]]=CI$1,[1]!BANCO10[[#This Row],[STATUS DA ETAPA]],"")</f>
        <v/>
      </c>
      <c r="CJ598" s="21" t="str">
        <f>IF([1]!BANCO10[[#This Row],[SOLUÇÃO]]=CJ$1,[1]!BANCO10[[#This Row],[STATUS DA ETAPA]],"")</f>
        <v/>
      </c>
      <c r="CK598" s="21" t="str">
        <f>IF([1]!BANCO10[[#This Row],[SOLUÇÃO]]=CK$1,[1]!BANCO10[[#This Row],[STATUS DA ETAPA]],"")</f>
        <v/>
      </c>
      <c r="CL598" s="22" t="str">
        <f>IF([1]!BANCO10[[#This Row],[SOLUÇÃO]]=CL$1,[1]!BANCO10[[#This Row],[STATUS DA ETAPA]],"")</f>
        <v/>
      </c>
      <c r="CM598" s="64" t="str">
        <f>IF([1]!BANCO10[[#This Row],[SOLUÇÃO]]=CM$1,[1]!BANCO10[[#This Row],[STATUS DA ETAPA]],"")</f>
        <v/>
      </c>
      <c r="CN598" s="64" t="str">
        <f>IF([1]!BANCO10[[#This Row],[SOLUÇÃO]]=CN$1,[1]!BANCO10[[#This Row],[STATUS DA ETAPA]],"")</f>
        <v/>
      </c>
      <c r="CO598" s="64" t="str">
        <f>IF([1]!BANCO10[[#This Row],[SOLUÇÃO]]=CO$1,[1]!BANCO10[[#This Row],[STATUS DA ETAPA]],"")</f>
        <v/>
      </c>
      <c r="CP598" s="64" t="str">
        <f>IF([1]!BANCO10[[#This Row],[SOLUÇÃO]]=CP$1,[1]!BANCO10[[#This Row],[STATUS DA ETAPA]],"")</f>
        <v/>
      </c>
      <c r="CQ598" s="64" t="str">
        <f>IF([1]!BANCO10[[#This Row],[SOLUÇÃO]]=CQ$1,[1]!BANCO10[[#This Row],[STATUS DA ETAPA]],"")</f>
        <v/>
      </c>
      <c r="CR598" s="64" t="str">
        <f>IF([1]!BANCO10[[#This Row],[SOLUÇÃO]]=CR$1,[1]!BANCO10[[#This Row],[STATUS DA ETAPA]],"")</f>
        <v/>
      </c>
      <c r="CS598" s="64" t="str">
        <f>IF([1]!BANCO10[[#This Row],[SOLUÇÃO]]=CS$1,[1]!BANCO10[[#This Row],[STATUS DA ETAPA]],"")</f>
        <v/>
      </c>
      <c r="CT598" s="64" t="str">
        <f>IF([1]!BANCO10[[#This Row],[SOLUÇÃO]]=CT$1,[1]!BANCO10[[#This Row],[STATUS DA ETAPA]],"")</f>
        <v/>
      </c>
      <c r="CU598" s="64" t="str">
        <f>IF([1]!BANCO10[[#This Row],[SOLUÇÃO]]=CU$1,[1]!BANCO10[[#This Row],[STATUS DA ETAPA]],"")</f>
        <v/>
      </c>
      <c r="CV598" s="64" t="str">
        <f>IF([1]!BANCO10[[#This Row],[SOLUÇÃO]]=CV$1,[1]!BANCO10[[#This Row],[STATUS DA ETAPA]],"")</f>
        <v/>
      </c>
    </row>
    <row r="599" spans="1:100">
      <c r="A599" s="44" t="s">
        <v>1</v>
      </c>
      <c r="B599" s="44"/>
      <c r="C599" s="44" t="s">
        <v>1</v>
      </c>
      <c r="D599" s="44"/>
      <c r="E599" s="44" t="s">
        <v>1</v>
      </c>
      <c r="F599" s="44"/>
      <c r="G599" s="44" t="s">
        <v>1</v>
      </c>
      <c r="H599" s="44"/>
      <c r="I599" s="45" t="s">
        <v>1</v>
      </c>
      <c r="J599" s="46"/>
      <c r="K599" s="45" t="s">
        <v>1</v>
      </c>
      <c r="L599" s="33"/>
      <c r="M599" s="45" t="s">
        <v>1</v>
      </c>
      <c r="N599" s="33"/>
      <c r="O599" s="44" t="s">
        <v>2</v>
      </c>
      <c r="P599" s="44">
        <v>45218</v>
      </c>
      <c r="Q599" s="44" t="s">
        <v>0</v>
      </c>
      <c r="R599" s="44"/>
      <c r="S599" s="44" t="s">
        <v>1</v>
      </c>
      <c r="T599" s="44"/>
      <c r="U599" s="44" t="s">
        <v>1</v>
      </c>
      <c r="V599" s="44"/>
      <c r="W599" s="44" t="s">
        <v>1</v>
      </c>
      <c r="X599" s="44"/>
      <c r="Y599" s="44" t="s">
        <v>1</v>
      </c>
      <c r="Z599" s="44"/>
      <c r="AA599" s="44" t="s">
        <v>1</v>
      </c>
      <c r="AB599" s="44"/>
      <c r="AC599" s="51">
        <v>45217</v>
      </c>
      <c r="AD599" s="50">
        <v>45217</v>
      </c>
      <c r="AE599" s="40" t="s">
        <v>1</v>
      </c>
      <c r="AF599" s="40" t="s">
        <v>1</v>
      </c>
      <c r="AG599" s="40" t="s">
        <v>5</v>
      </c>
      <c r="AH599" s="36" t="s">
        <v>1</v>
      </c>
      <c r="AI599" s="49">
        <v>0</v>
      </c>
      <c r="AJ599" s="36" t="s">
        <v>1</v>
      </c>
      <c r="AK599" s="10" t="s">
        <v>1</v>
      </c>
      <c r="AL599" s="36" t="s">
        <v>1</v>
      </c>
      <c r="AM599" s="36" t="s">
        <v>1</v>
      </c>
      <c r="AN599" s="35" t="s">
        <v>1</v>
      </c>
      <c r="AO599" s="35" t="s">
        <v>1</v>
      </c>
      <c r="AP599" s="35" t="s">
        <v>1</v>
      </c>
      <c r="AQ599" s="35" t="s">
        <v>1</v>
      </c>
      <c r="AR599" s="82" t="s">
        <v>1</v>
      </c>
      <c r="AS599" s="33"/>
      <c r="AT599" s="30"/>
      <c r="AU599" s="55"/>
      <c r="AV599" s="30"/>
      <c r="AW599" s="55"/>
      <c r="AX599" s="30" t="s">
        <v>1</v>
      </c>
      <c r="AY599" s="55"/>
      <c r="AZ599" s="30" t="s">
        <v>1</v>
      </c>
      <c r="BA599" s="66"/>
      <c r="BB599" s="39" t="s">
        <v>289</v>
      </c>
      <c r="BC599" s="25"/>
      <c r="BD599" s="24" t="s">
        <v>19</v>
      </c>
      <c r="BE599" s="24" t="s">
        <v>19</v>
      </c>
      <c r="BF599" s="79" t="s">
        <v>51</v>
      </c>
      <c r="BG599" s="79" t="s">
        <v>11</v>
      </c>
      <c r="BH599" s="80" t="s">
        <v>234</v>
      </c>
      <c r="BI599" s="79"/>
      <c r="BJ599" s="54" t="s">
        <v>11</v>
      </c>
      <c r="BK599" s="78" t="s">
        <v>11</v>
      </c>
      <c r="BL599" s="69" t="s">
        <v>11</v>
      </c>
      <c r="BM599" s="78" t="s">
        <v>11</v>
      </c>
      <c r="BN599" s="78" t="s">
        <v>11</v>
      </c>
      <c r="BO599" s="78" t="s">
        <v>11</v>
      </c>
      <c r="BP599" s="78" t="s">
        <v>11</v>
      </c>
      <c r="BQ599" s="21">
        <f>YEAR([1]!BANCO10[[#This Row],[DATA INÍCIO]])</f>
        <v>2023</v>
      </c>
      <c r="BR599" s="21">
        <f>MONTH([1]!BANCO10[[#This Row],[DATA INÍCIO]])</f>
        <v>10</v>
      </c>
      <c r="BS599" s="21" t="e">
        <f>CONCATENATE(#REF!,#REF!)</f>
        <v>#REF!</v>
      </c>
      <c r="BT599" s="21"/>
      <c r="BU599" s="21" t="s">
        <v>288</v>
      </c>
      <c r="BV599" s="21" t="str">
        <f>IF([1]!BANCO10[[#This Row],[SOLUÇÃO]]=BV$1,[1]!BANCO10[[#This Row],[STATUS DA ETAPA]],"")</f>
        <v>CONCLUÍDO</v>
      </c>
      <c r="BW599" s="21" t="str">
        <f>IF([1]!BANCO10[[#This Row],[SOLUÇÃO]]=BW$1,[1]!BANCO10[[#This Row],[STATUS DA ETAPA]],"")</f>
        <v/>
      </c>
      <c r="BX599" s="21" t="str">
        <f>IF([1]!BANCO10[[#This Row],[SOLUÇÃO]]=BX$1,[1]!BANCO10[[#This Row],[STATUS DA ETAPA]],"")</f>
        <v/>
      </c>
      <c r="BY599" s="21" t="str">
        <f>IF([1]!BANCO10[[#This Row],[SOLUÇÃO]]=BY$1,[1]!BANCO10[[#This Row],[STATUS DA ETAPA]],"")</f>
        <v/>
      </c>
      <c r="BZ599" s="21" t="str">
        <f>IF([1]!BANCO10[[#This Row],[SOLUÇÃO]]=BZ$1,[1]!BANCO10[[#This Row],[STATUS DA ETAPA]],"")</f>
        <v/>
      </c>
      <c r="CA599" s="21" t="str">
        <f>IF([1]!BANCO10[[#This Row],[SOLUÇÃO]]=CA$1,[1]!BANCO10[[#This Row],[STATUS DA ETAPA]],"")</f>
        <v/>
      </c>
      <c r="CB599" s="21" t="str">
        <f>IF([1]!BANCO10[[#This Row],[SOLUÇÃO]]=CB$1,[1]!BANCO10[[#This Row],[STATUS DA ETAPA]],"")</f>
        <v/>
      </c>
      <c r="CC599" s="21" t="str">
        <f>IF([1]!BANCO10[[#This Row],[SOLUÇÃO]]=CC$1,[1]!BANCO10[[#This Row],[STATUS DA ETAPA]],"")</f>
        <v/>
      </c>
      <c r="CD599" s="21" t="str">
        <f>IF([1]!BANCO10[[#This Row],[SOLUÇÃO]]=CD$1,[1]!BANCO10[[#This Row],[STATUS DA ETAPA]],"")</f>
        <v/>
      </c>
      <c r="CE599" s="21" t="str">
        <f>IF([1]!BANCO10[[#This Row],[SOLUÇÃO]]=CE$1,[1]!BANCO10[[#This Row],[STATUS DA ETAPA]],"")</f>
        <v/>
      </c>
      <c r="CF599" s="21" t="str">
        <f>IF([1]!BANCO10[[#This Row],[SOLUÇÃO]]=CF$1,[1]!BANCO10[[#This Row],[STATUS DA ETAPA]],"")</f>
        <v/>
      </c>
      <c r="CG599" s="21" t="str">
        <f>IF([1]!BANCO10[[#This Row],[SOLUÇÃO]]=CG$1,[1]!BANCO10[[#This Row],[STATUS DA ETAPA]],"")</f>
        <v/>
      </c>
      <c r="CH599" s="21" t="str">
        <f>IF([1]!BANCO10[[#This Row],[SOLUÇÃO]]=CH$1,[1]!BANCO10[[#This Row],[STATUS DA ETAPA]],"")</f>
        <v/>
      </c>
      <c r="CI599" s="21" t="str">
        <f>IF([1]!BANCO10[[#This Row],[SOLUÇÃO]]=CI$1,[1]!BANCO10[[#This Row],[STATUS DA ETAPA]],"")</f>
        <v/>
      </c>
      <c r="CJ599" s="21" t="str">
        <f>IF([1]!BANCO10[[#This Row],[SOLUÇÃO]]=CJ$1,[1]!BANCO10[[#This Row],[STATUS DA ETAPA]],"")</f>
        <v/>
      </c>
      <c r="CK599" s="21" t="str">
        <f>IF([1]!BANCO10[[#This Row],[SOLUÇÃO]]=CK$1,[1]!BANCO10[[#This Row],[STATUS DA ETAPA]],"")</f>
        <v/>
      </c>
      <c r="CL599" s="22" t="str">
        <f>IF([1]!BANCO10[[#This Row],[SOLUÇÃO]]=CL$1,[1]!BANCO10[[#This Row],[STATUS DA ETAPA]],"")</f>
        <v/>
      </c>
      <c r="CM599" s="64" t="str">
        <f>IF([1]!BANCO10[[#This Row],[SOLUÇÃO]]=CM$1,[1]!BANCO10[[#This Row],[STATUS DA ETAPA]],"")</f>
        <v/>
      </c>
      <c r="CN599" s="64" t="str">
        <f>IF([1]!BANCO10[[#This Row],[SOLUÇÃO]]=CN$1,[1]!BANCO10[[#This Row],[STATUS DA ETAPA]],"")</f>
        <v/>
      </c>
      <c r="CO599" s="64" t="str">
        <f>IF([1]!BANCO10[[#This Row],[SOLUÇÃO]]=CO$1,[1]!BANCO10[[#This Row],[STATUS DA ETAPA]],"")</f>
        <v/>
      </c>
      <c r="CP599" s="64" t="str">
        <f>IF([1]!BANCO10[[#This Row],[SOLUÇÃO]]=CP$1,[1]!BANCO10[[#This Row],[STATUS DA ETAPA]],"")</f>
        <v/>
      </c>
      <c r="CQ599" s="64" t="str">
        <f>IF([1]!BANCO10[[#This Row],[SOLUÇÃO]]=CQ$1,[1]!BANCO10[[#This Row],[STATUS DA ETAPA]],"")</f>
        <v/>
      </c>
      <c r="CR599" s="64" t="str">
        <f>IF([1]!BANCO10[[#This Row],[SOLUÇÃO]]=CR$1,[1]!BANCO10[[#This Row],[STATUS DA ETAPA]],"")</f>
        <v/>
      </c>
      <c r="CS599" s="64" t="str">
        <f>IF([1]!BANCO10[[#This Row],[SOLUÇÃO]]=CS$1,[1]!BANCO10[[#This Row],[STATUS DA ETAPA]],"")</f>
        <v/>
      </c>
      <c r="CT599" s="64" t="str">
        <f>IF([1]!BANCO10[[#This Row],[SOLUÇÃO]]=CT$1,[1]!BANCO10[[#This Row],[STATUS DA ETAPA]],"")</f>
        <v/>
      </c>
      <c r="CU599" s="64" t="str">
        <f>IF([1]!BANCO10[[#This Row],[SOLUÇÃO]]=CU$1,[1]!BANCO10[[#This Row],[STATUS DA ETAPA]],"")</f>
        <v/>
      </c>
      <c r="CV599" s="64" t="str">
        <f>IF([1]!BANCO10[[#This Row],[SOLUÇÃO]]=CV$1,[1]!BANCO10[[#This Row],[STATUS DA ETAPA]],"")</f>
        <v/>
      </c>
    </row>
    <row r="600" spans="1:100">
      <c r="A600" s="44" t="s">
        <v>1</v>
      </c>
      <c r="B600" s="44"/>
      <c r="C600" s="44" t="s">
        <v>1</v>
      </c>
      <c r="D600" s="44"/>
      <c r="E600" s="44" t="s">
        <v>1</v>
      </c>
      <c r="F600" s="44"/>
      <c r="G600" s="44" t="s">
        <v>1</v>
      </c>
      <c r="H600" s="44"/>
      <c r="I600" s="45" t="s">
        <v>1</v>
      </c>
      <c r="J600" s="46"/>
      <c r="K600" s="45" t="s">
        <v>1</v>
      </c>
      <c r="L600" s="33"/>
      <c r="M600" s="45" t="s">
        <v>1</v>
      </c>
      <c r="N600" s="33"/>
      <c r="O600" s="44" t="s">
        <v>2</v>
      </c>
      <c r="P600" s="44">
        <v>45218</v>
      </c>
      <c r="Q600" s="44" t="s">
        <v>2</v>
      </c>
      <c r="R600" s="44">
        <v>45224</v>
      </c>
      <c r="S600" s="44" t="s">
        <v>1</v>
      </c>
      <c r="T600" s="44"/>
      <c r="U600" s="44" t="s">
        <v>1</v>
      </c>
      <c r="V600" s="44"/>
      <c r="W600" s="44" t="s">
        <v>1</v>
      </c>
      <c r="X600" s="44"/>
      <c r="Y600" s="44" t="s">
        <v>1</v>
      </c>
      <c r="Z600" s="44"/>
      <c r="AA600" s="44" t="s">
        <v>1</v>
      </c>
      <c r="AB600" s="44"/>
      <c r="AC600" s="84">
        <v>45320</v>
      </c>
      <c r="AD600" s="83">
        <v>45467</v>
      </c>
      <c r="AE600" s="40" t="s">
        <v>2</v>
      </c>
      <c r="AF600" s="40" t="s">
        <v>2</v>
      </c>
      <c r="AG600" s="40" t="s">
        <v>5</v>
      </c>
      <c r="AH600" s="36" t="s">
        <v>2</v>
      </c>
      <c r="AI600" s="49">
        <v>0</v>
      </c>
      <c r="AJ600" s="36" t="s">
        <v>1</v>
      </c>
      <c r="AK600" s="10" t="s">
        <v>1</v>
      </c>
      <c r="AL600" s="36" t="s">
        <v>1</v>
      </c>
      <c r="AM600" s="36" t="s">
        <v>1</v>
      </c>
      <c r="AN600" s="35" t="s">
        <v>1</v>
      </c>
      <c r="AO600" s="35" t="s">
        <v>1</v>
      </c>
      <c r="AP600" s="35" t="s">
        <v>2</v>
      </c>
      <c r="AQ600" s="35" t="s">
        <v>1</v>
      </c>
      <c r="AR600" s="34" t="s">
        <v>1</v>
      </c>
      <c r="AS600" s="33"/>
      <c r="AT600" s="30"/>
      <c r="AU600" s="55"/>
      <c r="AV600" s="30"/>
      <c r="AW600" s="55"/>
      <c r="AX600" s="30" t="s">
        <v>2</v>
      </c>
      <c r="AY600" s="55">
        <v>45467</v>
      </c>
      <c r="AZ600" s="30" t="s">
        <v>2</v>
      </c>
      <c r="BA600" s="55">
        <v>45653</v>
      </c>
      <c r="BB600" s="39" t="s">
        <v>287</v>
      </c>
      <c r="BC600" s="39"/>
      <c r="BD600" s="24" t="s">
        <v>19</v>
      </c>
      <c r="BE600" s="24" t="s">
        <v>19</v>
      </c>
      <c r="BF600" s="79" t="s">
        <v>51</v>
      </c>
      <c r="BG600" s="79" t="s">
        <v>11</v>
      </c>
      <c r="BH600" s="80" t="s">
        <v>234</v>
      </c>
      <c r="BI600" s="79"/>
      <c r="BJ600" s="54" t="s">
        <v>11</v>
      </c>
      <c r="BK600" s="78" t="s">
        <v>11</v>
      </c>
      <c r="BL600" s="69">
        <v>45412</v>
      </c>
      <c r="BM600" s="78"/>
      <c r="BN600" s="78" t="s">
        <v>11</v>
      </c>
      <c r="BO600" s="78"/>
      <c r="BP600" s="78" t="s">
        <v>286</v>
      </c>
      <c r="BQ600" s="21">
        <f>YEAR([1]!BANCO10[[#This Row],[DATA INÍCIO]])</f>
        <v>2024</v>
      </c>
      <c r="BR600" s="21">
        <f>MONTH([1]!BANCO10[[#This Row],[DATA INÍCIO]])</f>
        <v>1</v>
      </c>
      <c r="BS600" s="21" t="e">
        <f>CONCATENATE(#REF!,#REF!)</f>
        <v>#REF!</v>
      </c>
      <c r="BT600" s="21"/>
      <c r="BU600" s="21" t="s">
        <v>285</v>
      </c>
      <c r="BV600" s="21" t="str">
        <f>IF([1]!BANCO10[[#This Row],[SOLUÇÃO]]=BV$1,[1]!BANCO10[[#This Row],[STATUS DA ETAPA]],"")</f>
        <v/>
      </c>
      <c r="BW600" s="21" t="str">
        <f>IF([1]!BANCO10[[#This Row],[SOLUÇÃO]]=BW$1,[1]!BANCO10[[#This Row],[STATUS DA ETAPA]],"")</f>
        <v/>
      </c>
      <c r="BX600" s="21" t="str">
        <f>IF([1]!BANCO10[[#This Row],[SOLUÇÃO]]=BX$1,[1]!BANCO10[[#This Row],[STATUS DA ETAPA]],"")</f>
        <v/>
      </c>
      <c r="BY600" s="21" t="str">
        <f>IF([1]!BANCO10[[#This Row],[SOLUÇÃO]]=BY$1,[1]!BANCO10[[#This Row],[STATUS DA ETAPA]],"")</f>
        <v/>
      </c>
      <c r="BZ600" s="21" t="str">
        <f>IF([1]!BANCO10[[#This Row],[SOLUÇÃO]]=BZ$1,[1]!BANCO10[[#This Row],[STATUS DA ETAPA]],"")</f>
        <v/>
      </c>
      <c r="CA600" s="21" t="str">
        <f>IF([1]!BANCO10[[#This Row],[SOLUÇÃO]]=CA$1,[1]!BANCO10[[#This Row],[STATUS DA ETAPA]],"")</f>
        <v>CONCLUÍDO</v>
      </c>
      <c r="CB600" s="21" t="str">
        <f>IF([1]!BANCO10[[#This Row],[SOLUÇÃO]]=CB$1,[1]!BANCO10[[#This Row],[STATUS DA ETAPA]],"")</f>
        <v/>
      </c>
      <c r="CC600" s="21" t="str">
        <f>IF([1]!BANCO10[[#This Row],[SOLUÇÃO]]=CC$1,[1]!BANCO10[[#This Row],[STATUS DA ETAPA]],"")</f>
        <v/>
      </c>
      <c r="CD600" s="21" t="str">
        <f>IF([1]!BANCO10[[#This Row],[SOLUÇÃO]]=CD$1,[1]!BANCO10[[#This Row],[STATUS DA ETAPA]],"")</f>
        <v/>
      </c>
      <c r="CE600" s="21" t="str">
        <f>IF([1]!BANCO10[[#This Row],[SOLUÇÃO]]=CE$1,[1]!BANCO10[[#This Row],[STATUS DA ETAPA]],"")</f>
        <v/>
      </c>
      <c r="CF600" s="21" t="str">
        <f>IF([1]!BANCO10[[#This Row],[SOLUÇÃO]]=CF$1,[1]!BANCO10[[#This Row],[STATUS DA ETAPA]],"")</f>
        <v/>
      </c>
      <c r="CG600" s="21" t="str">
        <f>IF([1]!BANCO10[[#This Row],[SOLUÇÃO]]=CG$1,[1]!BANCO10[[#This Row],[STATUS DA ETAPA]],"")</f>
        <v/>
      </c>
      <c r="CH600" s="21" t="str">
        <f>IF([1]!BANCO10[[#This Row],[SOLUÇÃO]]=CH$1,[1]!BANCO10[[#This Row],[STATUS DA ETAPA]],"")</f>
        <v/>
      </c>
      <c r="CI600" s="21" t="str">
        <f>IF([1]!BANCO10[[#This Row],[SOLUÇÃO]]=CI$1,[1]!BANCO10[[#This Row],[STATUS DA ETAPA]],"")</f>
        <v/>
      </c>
      <c r="CJ600" s="21" t="str">
        <f>IF([1]!BANCO10[[#This Row],[SOLUÇÃO]]=CJ$1,[1]!BANCO10[[#This Row],[STATUS DA ETAPA]],"")</f>
        <v/>
      </c>
      <c r="CK600" s="21" t="str">
        <f>IF([1]!BANCO10[[#This Row],[SOLUÇÃO]]=CK$1,[1]!BANCO10[[#This Row],[STATUS DA ETAPA]],"")</f>
        <v/>
      </c>
      <c r="CL600" s="22" t="str">
        <f>IF([1]!BANCO10[[#This Row],[SOLUÇÃO]]=CL$1,[1]!BANCO10[[#This Row],[STATUS DA ETAPA]],"")</f>
        <v/>
      </c>
      <c r="CM600" s="64" t="str">
        <f>IF([1]!BANCO10[[#This Row],[SOLUÇÃO]]=CM$1,[1]!BANCO10[[#This Row],[STATUS DA ETAPA]],"")</f>
        <v/>
      </c>
      <c r="CN600" s="64" t="str">
        <f>IF([1]!BANCO10[[#This Row],[SOLUÇÃO]]=CN$1,[1]!BANCO10[[#This Row],[STATUS DA ETAPA]],"")</f>
        <v/>
      </c>
      <c r="CO600" s="64" t="str">
        <f>IF([1]!BANCO10[[#This Row],[SOLUÇÃO]]=CO$1,[1]!BANCO10[[#This Row],[STATUS DA ETAPA]],"")</f>
        <v/>
      </c>
      <c r="CP600" s="64" t="str">
        <f>IF([1]!BANCO10[[#This Row],[SOLUÇÃO]]=CP$1,[1]!BANCO10[[#This Row],[STATUS DA ETAPA]],"")</f>
        <v/>
      </c>
      <c r="CQ600" s="64" t="str">
        <f>IF([1]!BANCO10[[#This Row],[SOLUÇÃO]]=CQ$1,[1]!BANCO10[[#This Row],[STATUS DA ETAPA]],"")</f>
        <v/>
      </c>
      <c r="CR600" s="64" t="str">
        <f>IF([1]!BANCO10[[#This Row],[SOLUÇÃO]]=CR$1,[1]!BANCO10[[#This Row],[STATUS DA ETAPA]],"")</f>
        <v/>
      </c>
      <c r="CS600" s="64" t="str">
        <f>IF([1]!BANCO10[[#This Row],[SOLUÇÃO]]=CS$1,[1]!BANCO10[[#This Row],[STATUS DA ETAPA]],"")</f>
        <v/>
      </c>
      <c r="CT600" s="64" t="str">
        <f>IF([1]!BANCO10[[#This Row],[SOLUÇÃO]]=CT$1,[1]!BANCO10[[#This Row],[STATUS DA ETAPA]],"")</f>
        <v/>
      </c>
      <c r="CU600" s="64" t="str">
        <f>IF([1]!BANCO10[[#This Row],[SOLUÇÃO]]=CU$1,[1]!BANCO10[[#This Row],[STATUS DA ETAPA]],"")</f>
        <v/>
      </c>
      <c r="CV600" s="64" t="str">
        <f>IF([1]!BANCO10[[#This Row],[SOLUÇÃO]]=CV$1,[1]!BANCO10[[#This Row],[STATUS DA ETAPA]],"")</f>
        <v/>
      </c>
    </row>
    <row r="601" spans="1:100">
      <c r="A601" s="44" t="s">
        <v>1</v>
      </c>
      <c r="B601" s="44"/>
      <c r="C601" s="44" t="s">
        <v>1</v>
      </c>
      <c r="D601" s="44"/>
      <c r="E601" s="44" t="s">
        <v>1</v>
      </c>
      <c r="F601" s="44"/>
      <c r="G601" s="44" t="s">
        <v>1</v>
      </c>
      <c r="H601" s="44"/>
      <c r="I601" s="45" t="s">
        <v>1</v>
      </c>
      <c r="J601" s="46"/>
      <c r="K601" s="45" t="s">
        <v>1</v>
      </c>
      <c r="L601" s="33"/>
      <c r="M601" s="45" t="s">
        <v>1</v>
      </c>
      <c r="N601" s="33"/>
      <c r="O601" s="44" t="s">
        <v>1</v>
      </c>
      <c r="P601" s="44"/>
      <c r="Q601" s="44" t="s">
        <v>0</v>
      </c>
      <c r="R601" s="44"/>
      <c r="S601" s="44" t="s">
        <v>1</v>
      </c>
      <c r="T601" s="44"/>
      <c r="U601" s="44" t="s">
        <v>1</v>
      </c>
      <c r="V601" s="44"/>
      <c r="W601" s="44" t="s">
        <v>1</v>
      </c>
      <c r="X601" s="44"/>
      <c r="Y601" s="44" t="s">
        <v>1</v>
      </c>
      <c r="Z601" s="44"/>
      <c r="AA601" s="44" t="s">
        <v>1</v>
      </c>
      <c r="AB601" s="44"/>
      <c r="AC601" s="51">
        <v>45963</v>
      </c>
      <c r="AD601" s="50">
        <v>45963</v>
      </c>
      <c r="AE601" s="41" t="s">
        <v>1</v>
      </c>
      <c r="AF601" s="41" t="s">
        <v>1</v>
      </c>
      <c r="AG601" s="40" t="s">
        <v>5</v>
      </c>
      <c r="AH601" s="36" t="s">
        <v>1</v>
      </c>
      <c r="AI601" s="49">
        <v>0</v>
      </c>
      <c r="AJ601" s="36" t="s">
        <v>1</v>
      </c>
      <c r="AK601" s="10" t="s">
        <v>1</v>
      </c>
      <c r="AL601" s="36" t="s">
        <v>1</v>
      </c>
      <c r="AM601" s="36" t="s">
        <v>1</v>
      </c>
      <c r="AN601" s="35" t="s">
        <v>1</v>
      </c>
      <c r="AO601" s="35" t="s">
        <v>1</v>
      </c>
      <c r="AP601" s="35" t="s">
        <v>1</v>
      </c>
      <c r="AQ601" s="35" t="s">
        <v>1</v>
      </c>
      <c r="AR601" s="82" t="s">
        <v>1</v>
      </c>
      <c r="AS601" s="63"/>
      <c r="AT601" s="32" t="s">
        <v>1</v>
      </c>
      <c r="AU601" s="31"/>
      <c r="AV601" s="32" t="s">
        <v>1</v>
      </c>
      <c r="AW601" s="31"/>
      <c r="AX601" s="32" t="s">
        <v>1</v>
      </c>
      <c r="AY601" s="31"/>
      <c r="AZ601" s="32" t="s">
        <v>1</v>
      </c>
      <c r="BA601" s="31"/>
      <c r="BB601" s="26"/>
      <c r="BC601" s="25"/>
      <c r="BD601" s="21" t="s">
        <v>104</v>
      </c>
      <c r="BE601" s="24"/>
      <c r="BF601" s="24"/>
      <c r="BG601" s="24"/>
      <c r="BH601" s="24"/>
      <c r="BI601" s="24"/>
      <c r="BJ601" s="24"/>
      <c r="BK601" s="24"/>
      <c r="BL601" s="24"/>
      <c r="BM601" s="24"/>
      <c r="BN601" s="24"/>
      <c r="BO601" s="24"/>
      <c r="BP601" s="24"/>
      <c r="BQ601" s="22">
        <f>YEAR([1]!BANCO10[[#This Row],[DATA INÍCIO]])</f>
        <v>2025</v>
      </c>
      <c r="BR601" s="22">
        <f>MONTH([1]!BANCO10[[#This Row],[DATA INÍCIO]])</f>
        <v>11</v>
      </c>
      <c r="BS601" s="23" t="e">
        <f>CONCATENATE(#REF!,#REF!)</f>
        <v>#REF!</v>
      </c>
      <c r="BT601" s="22"/>
      <c r="BU601" s="22"/>
      <c r="BV601" s="21" t="str">
        <f>IF([1]!BANCO10[[#This Row],[SOLUÇÃO]]=BV$1,[1]!BANCO10[[#This Row],[STATUS DA ETAPA]],"")</f>
        <v>CANCELADO</v>
      </c>
      <c r="BW601" s="21" t="str">
        <f>IF([1]!BANCO10[[#This Row],[SOLUÇÃO]]=BW$1,[1]!BANCO10[[#This Row],[STATUS DA ETAPA]],"")</f>
        <v/>
      </c>
      <c r="BX601" s="21" t="str">
        <f>IF([1]!BANCO10[[#This Row],[SOLUÇÃO]]=BX$1,[1]!BANCO10[[#This Row],[STATUS DA ETAPA]],"")</f>
        <v/>
      </c>
      <c r="BY601" s="21" t="str">
        <f>IF([1]!BANCO10[[#This Row],[SOLUÇÃO]]=BY$1,[1]!BANCO10[[#This Row],[STATUS DA ETAPA]],"")</f>
        <v/>
      </c>
      <c r="BZ601" s="21" t="str">
        <f>IF([1]!BANCO10[[#This Row],[SOLUÇÃO]]=BZ$1,[1]!BANCO10[[#This Row],[STATUS DA ETAPA]],"")</f>
        <v/>
      </c>
      <c r="CA601" s="21" t="str">
        <f>IF([1]!BANCO10[[#This Row],[SOLUÇÃO]]=CA$1,[1]!BANCO10[[#This Row],[STATUS DA ETAPA]],"")</f>
        <v/>
      </c>
      <c r="CB601" s="21" t="str">
        <f>IF([1]!BANCO10[[#This Row],[SOLUÇÃO]]=CB$1,[1]!BANCO10[[#This Row],[STATUS DA ETAPA]],"")</f>
        <v/>
      </c>
      <c r="CC601" s="21" t="str">
        <f>IF([1]!BANCO10[[#This Row],[SOLUÇÃO]]=CC$1,[1]!BANCO10[[#This Row],[STATUS DA ETAPA]],"")</f>
        <v/>
      </c>
      <c r="CD601" s="21" t="str">
        <f>IF([1]!BANCO10[[#This Row],[SOLUÇÃO]]=CD$1,[1]!BANCO10[[#This Row],[STATUS DA ETAPA]],"")</f>
        <v/>
      </c>
      <c r="CE601" s="21" t="str">
        <f>IF([1]!BANCO10[[#This Row],[SOLUÇÃO]]=CE$1,[1]!BANCO10[[#This Row],[STATUS DA ETAPA]],"")</f>
        <v/>
      </c>
      <c r="CF601" s="21" t="str">
        <f>IF([1]!BANCO10[[#This Row],[SOLUÇÃO]]=CF$1,[1]!BANCO10[[#This Row],[STATUS DA ETAPA]],"")</f>
        <v/>
      </c>
      <c r="CG601" s="21" t="str">
        <f>IF([1]!BANCO10[[#This Row],[SOLUÇÃO]]=CG$1,[1]!BANCO10[[#This Row],[STATUS DA ETAPA]],"")</f>
        <v/>
      </c>
      <c r="CH601" s="21" t="str">
        <f>IF([1]!BANCO10[[#This Row],[SOLUÇÃO]]=CH$1,[1]!BANCO10[[#This Row],[STATUS DA ETAPA]],"")</f>
        <v/>
      </c>
      <c r="CI601" s="21" t="str">
        <f>IF([1]!BANCO10[[#This Row],[SOLUÇÃO]]=CI$1,[1]!BANCO10[[#This Row],[STATUS DA ETAPA]],"")</f>
        <v/>
      </c>
      <c r="CJ601" s="21" t="str">
        <f>IF([1]!BANCO10[[#This Row],[SOLUÇÃO]]=CJ$1,[1]!BANCO10[[#This Row],[STATUS DA ETAPA]],"")</f>
        <v/>
      </c>
      <c r="CK601" s="21" t="str">
        <f>IF([1]!BANCO10[[#This Row],[SOLUÇÃO]]=CK$1,[1]!BANCO10[[#This Row],[STATUS DA ETAPA]],"")</f>
        <v/>
      </c>
      <c r="CL601" s="21" t="str">
        <f>IF([1]!BANCO10[[#This Row],[SOLUÇÃO]]=CL$1,[1]!BANCO10[[#This Row],[STATUS DA ETAPA]],"")</f>
        <v/>
      </c>
      <c r="CM601" s="21" t="str">
        <f>IF([1]!BANCO10[[#This Row],[SOLUÇÃO]]=CM$1,[1]!BANCO10[[#This Row],[STATUS DA ETAPA]],"")</f>
        <v/>
      </c>
      <c r="CN601" s="21" t="str">
        <f>IF([1]!BANCO10[[#This Row],[SOLUÇÃO]]=CN$1,[1]!BANCO10[[#This Row],[STATUS DA ETAPA]],"")</f>
        <v/>
      </c>
      <c r="CO601" s="21" t="str">
        <f>IF([1]!BANCO10[[#This Row],[SOLUÇÃO]]=CO$1,[1]!BANCO10[[#This Row],[STATUS DA ETAPA]],"")</f>
        <v/>
      </c>
      <c r="CP601" s="21" t="str">
        <f>IF([1]!BANCO10[[#This Row],[SOLUÇÃO]]=CP$1,[1]!BANCO10[[#This Row],[STATUS DA ETAPA]],"")</f>
        <v/>
      </c>
      <c r="CQ601" s="21" t="str">
        <f>IF([1]!BANCO10[[#This Row],[SOLUÇÃO]]=CQ$1,[1]!BANCO10[[#This Row],[STATUS DA ETAPA]],"")</f>
        <v/>
      </c>
      <c r="CR601" s="21" t="str">
        <f>IF([1]!BANCO10[[#This Row],[SOLUÇÃO]]=CR$1,[1]!BANCO10[[#This Row],[STATUS DA ETAPA]],"")</f>
        <v/>
      </c>
      <c r="CS601" s="21" t="str">
        <f>IF([1]!BANCO10[[#This Row],[SOLUÇÃO]]=CS$1,[1]!BANCO10[[#This Row],[STATUS DA ETAPA]],"")</f>
        <v/>
      </c>
      <c r="CT601" s="21" t="str">
        <f>IF([1]!BANCO10[[#This Row],[SOLUÇÃO]]=CT$1,[1]!BANCO10[[#This Row],[STATUS DA ETAPA]],"")</f>
        <v/>
      </c>
      <c r="CU601" s="21" t="str">
        <f>IF([1]!BANCO10[[#This Row],[SOLUÇÃO]]=CU$1,[1]!BANCO10[[#This Row],[STATUS DA ETAPA]],"")</f>
        <v/>
      </c>
      <c r="CV601" s="21" t="str">
        <f>IF([1]!BANCO10[[#This Row],[SOLUÇÃO]]=CV$1,[1]!BANCO10[[#This Row],[STATUS DA ETAPA]],"")</f>
        <v/>
      </c>
    </row>
    <row r="602" spans="1:100">
      <c r="A602" s="44" t="s">
        <v>1</v>
      </c>
      <c r="B602" s="44"/>
      <c r="C602" s="44" t="s">
        <v>1</v>
      </c>
      <c r="D602" s="44"/>
      <c r="E602" s="44" t="s">
        <v>1</v>
      </c>
      <c r="F602" s="44"/>
      <c r="G602" s="44" t="s">
        <v>1</v>
      </c>
      <c r="H602" s="44"/>
      <c r="I602" s="45" t="s">
        <v>1</v>
      </c>
      <c r="J602" s="46"/>
      <c r="K602" s="45" t="s">
        <v>1</v>
      </c>
      <c r="L602" s="33"/>
      <c r="M602" s="45" t="s">
        <v>1</v>
      </c>
      <c r="N602" s="33"/>
      <c r="O602" s="44" t="s">
        <v>1</v>
      </c>
      <c r="P602" s="44"/>
      <c r="Q602" s="44" t="s">
        <v>1</v>
      </c>
      <c r="R602" s="44"/>
      <c r="S602" s="44" t="s">
        <v>1</v>
      </c>
      <c r="T602" s="44"/>
      <c r="U602" s="44" t="s">
        <v>1</v>
      </c>
      <c r="V602" s="44"/>
      <c r="W602" s="44" t="s">
        <v>1</v>
      </c>
      <c r="X602" s="44"/>
      <c r="Y602" s="44" t="s">
        <v>1</v>
      </c>
      <c r="Z602" s="44"/>
      <c r="AA602" s="44" t="s">
        <v>1</v>
      </c>
      <c r="AB602" s="44"/>
      <c r="AC602" s="51">
        <v>45963</v>
      </c>
      <c r="AD602" s="50">
        <v>45963</v>
      </c>
      <c r="AE602" s="41" t="s">
        <v>1</v>
      </c>
      <c r="AF602" s="41" t="s">
        <v>1</v>
      </c>
      <c r="AG602" s="40" t="s">
        <v>5</v>
      </c>
      <c r="AH602" s="36" t="s">
        <v>1</v>
      </c>
      <c r="AI602" s="49">
        <v>0</v>
      </c>
      <c r="AJ602" s="36" t="s">
        <v>1</v>
      </c>
      <c r="AK602" s="10" t="s">
        <v>1</v>
      </c>
      <c r="AL602" s="36" t="s">
        <v>1</v>
      </c>
      <c r="AM602" s="36" t="s">
        <v>1</v>
      </c>
      <c r="AN602" s="35" t="s">
        <v>1</v>
      </c>
      <c r="AO602" s="35" t="s">
        <v>1</v>
      </c>
      <c r="AP602" s="35" t="s">
        <v>1</v>
      </c>
      <c r="AQ602" s="35" t="s">
        <v>1</v>
      </c>
      <c r="AR602" s="33" t="s">
        <v>1</v>
      </c>
      <c r="AS602" s="63"/>
      <c r="AT602" s="32" t="s">
        <v>1</v>
      </c>
      <c r="AU602" s="31"/>
      <c r="AV602" s="32" t="s">
        <v>1</v>
      </c>
      <c r="AW602" s="31"/>
      <c r="AX602" s="32" t="s">
        <v>1</v>
      </c>
      <c r="AY602" s="31"/>
      <c r="AZ602" s="32" t="s">
        <v>1</v>
      </c>
      <c r="BA602" s="47"/>
      <c r="BB602" s="26"/>
      <c r="BC602" s="25"/>
      <c r="BD602" s="21" t="s">
        <v>104</v>
      </c>
      <c r="BE602" s="24"/>
      <c r="BF602" s="24"/>
      <c r="BG602" s="24"/>
      <c r="BH602" s="24"/>
      <c r="BI602" s="24"/>
      <c r="BJ602" s="24"/>
      <c r="BK602" s="24"/>
      <c r="BL602" s="24"/>
      <c r="BM602" s="24"/>
      <c r="BN602" s="24"/>
      <c r="BO602" s="24"/>
      <c r="BP602" s="24"/>
      <c r="BQ602" s="22">
        <f>YEAR([1]!BANCO10[[#This Row],[DATA INÍCIO]])</f>
        <v>2025</v>
      </c>
      <c r="BR602" s="22">
        <f>MONTH([1]!BANCO10[[#This Row],[DATA INÍCIO]])</f>
        <v>11</v>
      </c>
      <c r="BS602" s="23" t="e">
        <f>CONCATENATE(#REF!,#REF!)</f>
        <v>#REF!</v>
      </c>
      <c r="BT602" s="22"/>
      <c r="BU602" s="22"/>
      <c r="BV602" s="21" t="str">
        <f>IF([1]!BANCO10[[#This Row],[SOLUÇÃO]]=BV$1,[1]!BANCO10[[#This Row],[STATUS DA ETAPA]],"")</f>
        <v/>
      </c>
      <c r="BW602" s="21" t="str">
        <f>IF([1]!BANCO10[[#This Row],[SOLUÇÃO]]=BW$1,[1]!BANCO10[[#This Row],[STATUS DA ETAPA]],"")</f>
        <v/>
      </c>
      <c r="BX602" s="21" t="str">
        <f>IF([1]!BANCO10[[#This Row],[SOLUÇÃO]]=BX$1,[1]!BANCO10[[#This Row],[STATUS DA ETAPA]],"")</f>
        <v/>
      </c>
      <c r="BY602" s="21" t="str">
        <f>IF([1]!BANCO10[[#This Row],[SOLUÇÃO]]=BY$1,[1]!BANCO10[[#This Row],[STATUS DA ETAPA]],"")</f>
        <v/>
      </c>
      <c r="BZ602" s="21" t="str">
        <f>IF([1]!BANCO10[[#This Row],[SOLUÇÃO]]=BZ$1,[1]!BANCO10[[#This Row],[STATUS DA ETAPA]],"")</f>
        <v/>
      </c>
      <c r="CA602" s="21" t="str">
        <f>IF([1]!BANCO10[[#This Row],[SOLUÇÃO]]=CA$1,[1]!BANCO10[[#This Row],[STATUS DA ETAPA]],"")</f>
        <v/>
      </c>
      <c r="CB602" s="21" t="str">
        <f>IF([1]!BANCO10[[#This Row],[SOLUÇÃO]]=CB$1,[1]!BANCO10[[#This Row],[STATUS DA ETAPA]],"")</f>
        <v/>
      </c>
      <c r="CC602" s="21" t="str">
        <f>IF([1]!BANCO10[[#This Row],[SOLUÇÃO]]=CC$1,[1]!BANCO10[[#This Row],[STATUS DA ETAPA]],"")</f>
        <v/>
      </c>
      <c r="CD602" s="21" t="str">
        <f>IF([1]!BANCO10[[#This Row],[SOLUÇÃO]]=CD$1,[1]!BANCO10[[#This Row],[STATUS DA ETAPA]],"")</f>
        <v/>
      </c>
      <c r="CE602" s="21" t="str">
        <f>IF([1]!BANCO10[[#This Row],[SOLUÇÃO]]=CE$1,[1]!BANCO10[[#This Row],[STATUS DA ETAPA]],"")</f>
        <v/>
      </c>
      <c r="CF602" s="21" t="str">
        <f>IF([1]!BANCO10[[#This Row],[SOLUÇÃO]]=CF$1,[1]!BANCO10[[#This Row],[STATUS DA ETAPA]],"")</f>
        <v/>
      </c>
      <c r="CG602" s="21" t="str">
        <f>IF([1]!BANCO10[[#This Row],[SOLUÇÃO]]=CG$1,[1]!BANCO10[[#This Row],[STATUS DA ETAPA]],"")</f>
        <v/>
      </c>
      <c r="CH602" s="21" t="str">
        <f>IF([1]!BANCO10[[#This Row],[SOLUÇÃO]]=CH$1,[1]!BANCO10[[#This Row],[STATUS DA ETAPA]],"")</f>
        <v/>
      </c>
      <c r="CI602" s="21" t="str">
        <f>IF([1]!BANCO10[[#This Row],[SOLUÇÃO]]=CI$1,[1]!BANCO10[[#This Row],[STATUS DA ETAPA]],"")</f>
        <v/>
      </c>
      <c r="CJ602" s="21" t="str">
        <f>IF([1]!BANCO10[[#This Row],[SOLUÇÃO]]=CJ$1,[1]!BANCO10[[#This Row],[STATUS DA ETAPA]],"")</f>
        <v/>
      </c>
      <c r="CK602" s="21" t="str">
        <f>IF([1]!BANCO10[[#This Row],[SOLUÇÃO]]=CK$1,[1]!BANCO10[[#This Row],[STATUS DA ETAPA]],"")</f>
        <v/>
      </c>
      <c r="CL602" s="21" t="str">
        <f>IF([1]!BANCO10[[#This Row],[SOLUÇÃO]]=CL$1,[1]!BANCO10[[#This Row],[STATUS DA ETAPA]],"")</f>
        <v/>
      </c>
      <c r="CM602" s="21" t="str">
        <f>IF([1]!BANCO10[[#This Row],[SOLUÇÃO]]=CM$1,[1]!BANCO10[[#This Row],[STATUS DA ETAPA]],"")</f>
        <v/>
      </c>
      <c r="CN602" s="21" t="str">
        <f>IF([1]!BANCO10[[#This Row],[SOLUÇÃO]]=CN$1,[1]!BANCO10[[#This Row],[STATUS DA ETAPA]],"")</f>
        <v/>
      </c>
      <c r="CO602" s="21" t="str">
        <f>IF([1]!BANCO10[[#This Row],[SOLUÇÃO]]=CO$1,[1]!BANCO10[[#This Row],[STATUS DA ETAPA]],"")</f>
        <v/>
      </c>
      <c r="CP602" s="21" t="str">
        <f>IF([1]!BANCO10[[#This Row],[SOLUÇÃO]]=CP$1,[1]!BANCO10[[#This Row],[STATUS DA ETAPA]],"")</f>
        <v/>
      </c>
      <c r="CQ602" s="21" t="str">
        <f>IF([1]!BANCO10[[#This Row],[SOLUÇÃO]]=CQ$1,[1]!BANCO10[[#This Row],[STATUS DA ETAPA]],"")</f>
        <v/>
      </c>
      <c r="CR602" s="21" t="str">
        <f>IF([1]!BANCO10[[#This Row],[SOLUÇÃO]]=CR$1,[1]!BANCO10[[#This Row],[STATUS DA ETAPA]],"")</f>
        <v/>
      </c>
      <c r="CS602" s="21" t="str">
        <f>IF([1]!BANCO10[[#This Row],[SOLUÇÃO]]=CS$1,[1]!BANCO10[[#This Row],[STATUS DA ETAPA]],"")</f>
        <v/>
      </c>
      <c r="CT602" s="21" t="str">
        <f>IF([1]!BANCO10[[#This Row],[SOLUÇÃO]]=CT$1,[1]!BANCO10[[#This Row],[STATUS DA ETAPA]],"")</f>
        <v/>
      </c>
      <c r="CU602" s="21" t="str">
        <f>IF([1]!BANCO10[[#This Row],[SOLUÇÃO]]=CU$1,[1]!BANCO10[[#This Row],[STATUS DA ETAPA]],"")</f>
        <v/>
      </c>
      <c r="CV602" s="21" t="str">
        <f>IF([1]!BANCO10[[#This Row],[SOLUÇÃO]]=CV$1,[1]!BANCO10[[#This Row],[STATUS DA ETAPA]],"")</f>
        <v/>
      </c>
    </row>
    <row r="603" spans="1:100">
      <c r="A603" s="44" t="s">
        <v>2</v>
      </c>
      <c r="B603" s="44">
        <v>45593</v>
      </c>
      <c r="C603" s="44" t="s">
        <v>2</v>
      </c>
      <c r="D603" s="44">
        <v>45593</v>
      </c>
      <c r="E603" s="44" t="s">
        <v>2</v>
      </c>
      <c r="F603" s="44">
        <v>45594</v>
      </c>
      <c r="G603" s="44" t="s">
        <v>2</v>
      </c>
      <c r="H603" s="44">
        <v>45594</v>
      </c>
      <c r="I603" s="45" t="s">
        <v>2</v>
      </c>
      <c r="J603" s="46">
        <v>45593</v>
      </c>
      <c r="K603" s="45" t="s">
        <v>2</v>
      </c>
      <c r="L603" s="33">
        <v>45594</v>
      </c>
      <c r="M603" s="45" t="s">
        <v>2</v>
      </c>
      <c r="N603" s="33">
        <v>45594</v>
      </c>
      <c r="O603" s="44" t="s">
        <v>2</v>
      </c>
      <c r="P603" s="44">
        <v>45536</v>
      </c>
      <c r="Q603" s="44" t="s">
        <v>2</v>
      </c>
      <c r="R603" s="44">
        <v>45590</v>
      </c>
      <c r="S603" s="44" t="s">
        <v>2</v>
      </c>
      <c r="T603" s="44">
        <v>45594</v>
      </c>
      <c r="U603" s="44" t="s">
        <v>1</v>
      </c>
      <c r="V603" s="44"/>
      <c r="W603" s="44" t="s">
        <v>1</v>
      </c>
      <c r="X603" s="44"/>
      <c r="Y603" s="44" t="s">
        <v>1</v>
      </c>
      <c r="Z603" s="44"/>
      <c r="AA603" s="44" t="s">
        <v>1</v>
      </c>
      <c r="AB603" s="44"/>
      <c r="AC603" s="51">
        <v>45667</v>
      </c>
      <c r="AD603" s="50">
        <v>45755</v>
      </c>
      <c r="AE603" s="41" t="s">
        <v>2</v>
      </c>
      <c r="AF603" s="41" t="s">
        <v>2</v>
      </c>
      <c r="AG603" s="40" t="s">
        <v>5</v>
      </c>
      <c r="AH603" s="36" t="s">
        <v>0</v>
      </c>
      <c r="AI603" s="49">
        <v>20140</v>
      </c>
      <c r="AJ603" s="36" t="s">
        <v>6</v>
      </c>
      <c r="AK603" s="21">
        <v>581036</v>
      </c>
      <c r="AL603" s="36" t="s">
        <v>1</v>
      </c>
      <c r="AM603" s="36" t="s">
        <v>1</v>
      </c>
      <c r="AN603" s="35" t="s">
        <v>2</v>
      </c>
      <c r="AO603" s="35" t="s">
        <v>2</v>
      </c>
      <c r="AP603" s="35" t="s">
        <v>2</v>
      </c>
      <c r="AQ603" s="35" t="s">
        <v>2</v>
      </c>
      <c r="AR603" s="34" t="s">
        <v>2</v>
      </c>
      <c r="AS603" s="33">
        <v>45789</v>
      </c>
      <c r="AT603" s="32" t="s">
        <v>1</v>
      </c>
      <c r="AU603" s="31"/>
      <c r="AV603" s="32" t="s">
        <v>1</v>
      </c>
      <c r="AW603" s="31"/>
      <c r="AX603" s="30" t="s">
        <v>2</v>
      </c>
      <c r="AY603" s="31">
        <v>45789</v>
      </c>
      <c r="AZ603" s="28" t="s">
        <v>0</v>
      </c>
      <c r="BA603" s="27"/>
      <c r="BB603" s="95" t="s">
        <v>143</v>
      </c>
      <c r="BC603" s="39" t="s">
        <v>45</v>
      </c>
      <c r="BD603" s="24"/>
      <c r="BE603" s="24"/>
      <c r="BF603" s="79"/>
      <c r="BG603" s="79"/>
      <c r="BH603" s="80"/>
      <c r="BI603" s="79"/>
      <c r="BJ603" s="54"/>
      <c r="BK603" s="78"/>
      <c r="BL603" s="69"/>
      <c r="BM603" s="78"/>
      <c r="BN603" s="78"/>
      <c r="BO603" s="78"/>
      <c r="BP603" s="78" t="s">
        <v>284</v>
      </c>
      <c r="BQ603" s="21">
        <f>YEAR([1]!BANCO10[[#This Row],[DATA INÍCIO]])</f>
        <v>2025</v>
      </c>
      <c r="BR603" s="21">
        <f>MONTH([1]!BANCO10[[#This Row],[DATA INÍCIO]])</f>
        <v>1</v>
      </c>
      <c r="BS603" s="21" t="e">
        <f>CONCATENATE(#REF!,#REF!)</f>
        <v>#REF!</v>
      </c>
      <c r="BT603" s="21"/>
      <c r="BU603" s="21"/>
      <c r="BV603" s="21" t="str">
        <f>IF([1]!BANCO10[[#This Row],[SOLUÇÃO]]=BV$1,[1]!BANCO10[[#This Row],[STATUS DA ETAPA]],"")</f>
        <v/>
      </c>
      <c r="BW603" s="21" t="str">
        <f>IF([1]!BANCO10[[#This Row],[SOLUÇÃO]]=BW$1,[1]!BANCO10[[#This Row],[STATUS DA ETAPA]],"")</f>
        <v/>
      </c>
      <c r="BX603" s="21" t="str">
        <f>IF([1]!BANCO10[[#This Row],[SOLUÇÃO]]=BX$1,[1]!BANCO10[[#This Row],[STATUS DA ETAPA]],"")</f>
        <v/>
      </c>
      <c r="BY603" s="21" t="str">
        <f>IF([1]!BANCO10[[#This Row],[SOLUÇÃO]]=BY$1,[1]!BANCO10[[#This Row],[STATUS DA ETAPA]],"")</f>
        <v/>
      </c>
      <c r="BZ603" s="21" t="str">
        <f>IF([1]!BANCO10[[#This Row],[SOLUÇÃO]]=BZ$1,[1]!BANCO10[[#This Row],[STATUS DA ETAPA]],"")</f>
        <v/>
      </c>
      <c r="CA603" s="21" t="str">
        <f>IF([1]!BANCO10[[#This Row],[SOLUÇÃO]]=CA$1,[1]!BANCO10[[#This Row],[STATUS DA ETAPA]],"")</f>
        <v/>
      </c>
      <c r="CB603" s="21" t="str">
        <f>IF([1]!BANCO10[[#This Row],[SOLUÇÃO]]=CB$1,[1]!BANCO10[[#This Row],[STATUS DA ETAPA]],"")</f>
        <v>CONCLUÍDO</v>
      </c>
      <c r="CC603" s="21" t="str">
        <f>IF([1]!BANCO10[[#This Row],[SOLUÇÃO]]=CC$1,[1]!BANCO10[[#This Row],[STATUS DA ETAPA]],"")</f>
        <v/>
      </c>
      <c r="CD603" s="21" t="str">
        <f>IF([1]!BANCO10[[#This Row],[SOLUÇÃO]]=CD$1,[1]!BANCO10[[#This Row],[STATUS DA ETAPA]],"")</f>
        <v/>
      </c>
      <c r="CE603" s="21" t="str">
        <f>IF([1]!BANCO10[[#This Row],[SOLUÇÃO]]=CE$1,[1]!BANCO10[[#This Row],[STATUS DA ETAPA]],"")</f>
        <v/>
      </c>
      <c r="CF603" s="21" t="str">
        <f>IF([1]!BANCO10[[#This Row],[SOLUÇÃO]]=CF$1,[1]!BANCO10[[#This Row],[STATUS DA ETAPA]],"")</f>
        <v/>
      </c>
      <c r="CG603" s="21" t="str">
        <f>IF([1]!BANCO10[[#This Row],[SOLUÇÃO]]=CG$1,[1]!BANCO10[[#This Row],[STATUS DA ETAPA]],"")</f>
        <v/>
      </c>
      <c r="CH603" s="21" t="str">
        <f>IF([1]!BANCO10[[#This Row],[SOLUÇÃO]]=CH$1,[1]!BANCO10[[#This Row],[STATUS DA ETAPA]],"")</f>
        <v/>
      </c>
      <c r="CI603" s="21" t="str">
        <f>IF([1]!BANCO10[[#This Row],[SOLUÇÃO]]=CI$1,[1]!BANCO10[[#This Row],[STATUS DA ETAPA]],"")</f>
        <v/>
      </c>
      <c r="CJ603" s="21" t="str">
        <f>IF([1]!BANCO10[[#This Row],[SOLUÇÃO]]=CJ$1,[1]!BANCO10[[#This Row],[STATUS DA ETAPA]],"")</f>
        <v/>
      </c>
      <c r="CK603" s="21" t="str">
        <f>IF([1]!BANCO10[[#This Row],[SOLUÇÃO]]=CK$1,[1]!BANCO10[[#This Row],[STATUS DA ETAPA]],"")</f>
        <v/>
      </c>
      <c r="CL603" s="22" t="str">
        <f>IF([1]!BANCO10[[#This Row],[SOLUÇÃO]]=CL$1,[1]!BANCO10[[#This Row],[STATUS DA ETAPA]],"")</f>
        <v/>
      </c>
      <c r="CM603" s="64" t="str">
        <f>IF([1]!BANCO10[[#This Row],[SOLUÇÃO]]=CM$1,[1]!BANCO10[[#This Row],[STATUS DA ETAPA]],"")</f>
        <v/>
      </c>
      <c r="CN603" s="64" t="str">
        <f>IF([1]!BANCO10[[#This Row],[SOLUÇÃO]]=CN$1,[1]!BANCO10[[#This Row],[STATUS DA ETAPA]],"")</f>
        <v/>
      </c>
      <c r="CO603" s="64" t="str">
        <f>IF([1]!BANCO10[[#This Row],[SOLUÇÃO]]=CO$1,[1]!BANCO10[[#This Row],[STATUS DA ETAPA]],"")</f>
        <v/>
      </c>
      <c r="CP603" s="64" t="str">
        <f>IF([1]!BANCO10[[#This Row],[SOLUÇÃO]]=CP$1,[1]!BANCO10[[#This Row],[STATUS DA ETAPA]],"")</f>
        <v/>
      </c>
      <c r="CQ603" s="64" t="str">
        <f>IF([1]!BANCO10[[#This Row],[SOLUÇÃO]]=CQ$1,[1]!BANCO10[[#This Row],[STATUS DA ETAPA]],"")</f>
        <v/>
      </c>
      <c r="CR603" s="64" t="str">
        <f>IF([1]!BANCO10[[#This Row],[SOLUÇÃO]]=CR$1,[1]!BANCO10[[#This Row],[STATUS DA ETAPA]],"")</f>
        <v/>
      </c>
      <c r="CS603" s="64" t="str">
        <f>IF([1]!BANCO10[[#This Row],[SOLUÇÃO]]=CS$1,[1]!BANCO10[[#This Row],[STATUS DA ETAPA]],"")</f>
        <v/>
      </c>
      <c r="CT603" s="64" t="str">
        <f>IF([1]!BANCO10[[#This Row],[SOLUÇÃO]]=CT$1,[1]!BANCO10[[#This Row],[STATUS DA ETAPA]],"")</f>
        <v/>
      </c>
      <c r="CU603" s="64" t="str">
        <f>IF([1]!BANCO10[[#This Row],[SOLUÇÃO]]=CU$1,[1]!BANCO10[[#This Row],[STATUS DA ETAPA]],"")</f>
        <v/>
      </c>
      <c r="CV603" s="64" t="str">
        <f>IF([1]!BANCO10[[#This Row],[SOLUÇÃO]]=CV$1,[1]!BANCO10[[#This Row],[STATUS DA ETAPA]],"")</f>
        <v/>
      </c>
    </row>
    <row r="604" spans="1:100">
      <c r="A604" s="44" t="s">
        <v>1</v>
      </c>
      <c r="B604" s="44"/>
      <c r="C604" s="44" t="s">
        <v>1</v>
      </c>
      <c r="D604" s="44"/>
      <c r="E604" s="44" t="s">
        <v>1</v>
      </c>
      <c r="F604" s="44"/>
      <c r="G604" s="44" t="s">
        <v>1</v>
      </c>
      <c r="H604" s="44"/>
      <c r="I604" s="45" t="s">
        <v>1</v>
      </c>
      <c r="J604" s="46"/>
      <c r="K604" s="45" t="s">
        <v>1</v>
      </c>
      <c r="L604" s="33"/>
      <c r="M604" s="45" t="s">
        <v>1</v>
      </c>
      <c r="N604" s="33"/>
      <c r="O604" s="44" t="s">
        <v>1</v>
      </c>
      <c r="P604" s="44"/>
      <c r="Q604" s="44" t="s">
        <v>1</v>
      </c>
      <c r="R604" s="44"/>
      <c r="S604" s="44" t="s">
        <v>1</v>
      </c>
      <c r="T604" s="44"/>
      <c r="U604" s="44" t="s">
        <v>1</v>
      </c>
      <c r="V604" s="44"/>
      <c r="W604" s="44" t="s">
        <v>1</v>
      </c>
      <c r="X604" s="44"/>
      <c r="Y604" s="44" t="s">
        <v>1</v>
      </c>
      <c r="Z604" s="44"/>
      <c r="AA604" s="44" t="s">
        <v>1</v>
      </c>
      <c r="AB604" s="44"/>
      <c r="AC604" s="51">
        <v>45577</v>
      </c>
      <c r="AD604" s="51">
        <v>45577</v>
      </c>
      <c r="AE604" s="41" t="s">
        <v>1</v>
      </c>
      <c r="AF604" s="41" t="s">
        <v>1</v>
      </c>
      <c r="AG604" s="40" t="s">
        <v>5</v>
      </c>
      <c r="AH604" s="36" t="s">
        <v>1</v>
      </c>
      <c r="AI604" s="49">
        <v>0</v>
      </c>
      <c r="AJ604" s="36" t="s">
        <v>1</v>
      </c>
      <c r="AK604" s="10" t="s">
        <v>1</v>
      </c>
      <c r="AL604" s="36" t="s">
        <v>1</v>
      </c>
      <c r="AM604" s="36" t="s">
        <v>1</v>
      </c>
      <c r="AN604" s="35" t="s">
        <v>1</v>
      </c>
      <c r="AO604" s="35" t="s">
        <v>1</v>
      </c>
      <c r="AP604" s="35" t="s">
        <v>1</v>
      </c>
      <c r="AQ604" s="35" t="s">
        <v>1</v>
      </c>
      <c r="AR604" s="90" t="s">
        <v>1</v>
      </c>
      <c r="AS604" s="89"/>
      <c r="AT604" s="88"/>
      <c r="AU604" s="25"/>
      <c r="AV604" s="88"/>
      <c r="AW604" s="25"/>
      <c r="AX604" s="88" t="s">
        <v>1</v>
      </c>
      <c r="AY604" s="25"/>
      <c r="AZ604" s="88" t="s">
        <v>1</v>
      </c>
      <c r="BA604" s="25"/>
      <c r="BB604" s="39"/>
      <c r="BC604" s="25"/>
      <c r="BD604" s="24"/>
      <c r="BE604" s="24"/>
      <c r="BF604" s="79"/>
      <c r="BG604" s="79"/>
      <c r="BH604" s="80"/>
      <c r="BI604" s="79"/>
      <c r="BJ604" s="54"/>
      <c r="BK604" s="78"/>
      <c r="BL604" s="69"/>
      <c r="BM604" s="78"/>
      <c r="BN604" s="78"/>
      <c r="BO604" s="78"/>
      <c r="BP604" s="78"/>
      <c r="BQ604" s="21">
        <f>YEAR([1]!BANCO10[[#This Row],[DATA INÍCIO]])</f>
        <v>2024</v>
      </c>
      <c r="BR604" s="21">
        <f>MONTH([1]!BANCO10[[#This Row],[DATA INÍCIO]])</f>
        <v>10</v>
      </c>
      <c r="BS604" s="21" t="e">
        <f>CONCATENATE(#REF!,#REF!)</f>
        <v>#REF!</v>
      </c>
      <c r="BT604" s="21"/>
      <c r="BU604" s="21"/>
      <c r="BV604" s="21" t="str">
        <f>IF([1]!BANCO10[[#This Row],[SOLUÇÃO]]=BV$1,[1]!BANCO10[[#This Row],[STATUS DA ETAPA]],"")</f>
        <v>CONCLUÍDO</v>
      </c>
      <c r="BW604" s="21" t="str">
        <f>IF([1]!BANCO10[[#This Row],[SOLUÇÃO]]=BW$1,[1]!BANCO10[[#This Row],[STATUS DA ETAPA]],"")</f>
        <v/>
      </c>
      <c r="BX604" s="21" t="str">
        <f>IF([1]!BANCO10[[#This Row],[SOLUÇÃO]]=BX$1,[1]!BANCO10[[#This Row],[STATUS DA ETAPA]],"")</f>
        <v/>
      </c>
      <c r="BY604" s="21" t="str">
        <f>IF([1]!BANCO10[[#This Row],[SOLUÇÃO]]=BY$1,[1]!BANCO10[[#This Row],[STATUS DA ETAPA]],"")</f>
        <v/>
      </c>
      <c r="BZ604" s="21" t="str">
        <f>IF([1]!BANCO10[[#This Row],[SOLUÇÃO]]=BZ$1,[1]!BANCO10[[#This Row],[STATUS DA ETAPA]],"")</f>
        <v/>
      </c>
      <c r="CA604" s="21" t="str">
        <f>IF([1]!BANCO10[[#This Row],[SOLUÇÃO]]=CA$1,[1]!BANCO10[[#This Row],[STATUS DA ETAPA]],"")</f>
        <v/>
      </c>
      <c r="CB604" s="21" t="str">
        <f>IF([1]!BANCO10[[#This Row],[SOLUÇÃO]]=CB$1,[1]!BANCO10[[#This Row],[STATUS DA ETAPA]],"")</f>
        <v/>
      </c>
      <c r="CC604" s="21" t="str">
        <f>IF([1]!BANCO10[[#This Row],[SOLUÇÃO]]=CC$1,[1]!BANCO10[[#This Row],[STATUS DA ETAPA]],"")</f>
        <v/>
      </c>
      <c r="CD604" s="21" t="str">
        <f>IF([1]!BANCO10[[#This Row],[SOLUÇÃO]]=CD$1,[1]!BANCO10[[#This Row],[STATUS DA ETAPA]],"")</f>
        <v/>
      </c>
      <c r="CE604" s="21" t="str">
        <f>IF([1]!BANCO10[[#This Row],[SOLUÇÃO]]=CE$1,[1]!BANCO10[[#This Row],[STATUS DA ETAPA]],"")</f>
        <v/>
      </c>
      <c r="CF604" s="21" t="str">
        <f>IF([1]!BANCO10[[#This Row],[SOLUÇÃO]]=CF$1,[1]!BANCO10[[#This Row],[STATUS DA ETAPA]],"")</f>
        <v/>
      </c>
      <c r="CG604" s="21" t="str">
        <f>IF([1]!BANCO10[[#This Row],[SOLUÇÃO]]=CG$1,[1]!BANCO10[[#This Row],[STATUS DA ETAPA]],"")</f>
        <v/>
      </c>
      <c r="CH604" s="21" t="str">
        <f>IF([1]!BANCO10[[#This Row],[SOLUÇÃO]]=CH$1,[1]!BANCO10[[#This Row],[STATUS DA ETAPA]],"")</f>
        <v/>
      </c>
      <c r="CI604" s="21" t="str">
        <f>IF([1]!BANCO10[[#This Row],[SOLUÇÃO]]=CI$1,[1]!BANCO10[[#This Row],[STATUS DA ETAPA]],"")</f>
        <v/>
      </c>
      <c r="CJ604" s="21" t="str">
        <f>IF([1]!BANCO10[[#This Row],[SOLUÇÃO]]=CJ$1,[1]!BANCO10[[#This Row],[STATUS DA ETAPA]],"")</f>
        <v/>
      </c>
      <c r="CK604" s="21" t="str">
        <f>IF([1]!BANCO10[[#This Row],[SOLUÇÃO]]=CK$1,[1]!BANCO10[[#This Row],[STATUS DA ETAPA]],"")</f>
        <v/>
      </c>
      <c r="CL604" s="22" t="str">
        <f>IF([1]!BANCO10[[#This Row],[SOLUÇÃO]]=CL$1,[1]!BANCO10[[#This Row],[STATUS DA ETAPA]],"")</f>
        <v/>
      </c>
      <c r="CM604" s="64" t="str">
        <f>IF([1]!BANCO10[[#This Row],[SOLUÇÃO]]=CM$1,[1]!BANCO10[[#This Row],[STATUS DA ETAPA]],"")</f>
        <v/>
      </c>
      <c r="CN604" s="64" t="str">
        <f>IF([1]!BANCO10[[#This Row],[SOLUÇÃO]]=CN$1,[1]!BANCO10[[#This Row],[STATUS DA ETAPA]],"")</f>
        <v/>
      </c>
      <c r="CO604" s="64" t="str">
        <f>IF([1]!BANCO10[[#This Row],[SOLUÇÃO]]=CO$1,[1]!BANCO10[[#This Row],[STATUS DA ETAPA]],"")</f>
        <v/>
      </c>
      <c r="CP604" s="64" t="str">
        <f>IF([1]!BANCO10[[#This Row],[SOLUÇÃO]]=CP$1,[1]!BANCO10[[#This Row],[STATUS DA ETAPA]],"")</f>
        <v/>
      </c>
      <c r="CQ604" s="64" t="str">
        <f>IF([1]!BANCO10[[#This Row],[SOLUÇÃO]]=CQ$1,[1]!BANCO10[[#This Row],[STATUS DA ETAPA]],"")</f>
        <v/>
      </c>
      <c r="CR604" s="64" t="str">
        <f>IF([1]!BANCO10[[#This Row],[SOLUÇÃO]]=CR$1,[1]!BANCO10[[#This Row],[STATUS DA ETAPA]],"")</f>
        <v/>
      </c>
      <c r="CS604" s="64" t="str">
        <f>IF([1]!BANCO10[[#This Row],[SOLUÇÃO]]=CS$1,[1]!BANCO10[[#This Row],[STATUS DA ETAPA]],"")</f>
        <v/>
      </c>
      <c r="CT604" s="64" t="str">
        <f>IF([1]!BANCO10[[#This Row],[SOLUÇÃO]]=CT$1,[1]!BANCO10[[#This Row],[STATUS DA ETAPA]],"")</f>
        <v/>
      </c>
      <c r="CU604" s="64" t="str">
        <f>IF([1]!BANCO10[[#This Row],[SOLUÇÃO]]=CU$1,[1]!BANCO10[[#This Row],[STATUS DA ETAPA]],"")</f>
        <v/>
      </c>
      <c r="CV604" s="64" t="str">
        <f>IF([1]!BANCO10[[#This Row],[SOLUÇÃO]]=CV$1,[1]!BANCO10[[#This Row],[STATUS DA ETAPA]],"")</f>
        <v/>
      </c>
    </row>
    <row r="605" spans="1:100">
      <c r="A605" s="44" t="s">
        <v>1</v>
      </c>
      <c r="B605" s="44"/>
      <c r="C605" s="44" t="s">
        <v>1</v>
      </c>
      <c r="D605" s="44"/>
      <c r="E605" s="44" t="s">
        <v>1</v>
      </c>
      <c r="F605" s="44"/>
      <c r="G605" s="44" t="s">
        <v>1</v>
      </c>
      <c r="H605" s="44"/>
      <c r="I605" s="45" t="s">
        <v>1</v>
      </c>
      <c r="J605" s="46"/>
      <c r="K605" s="45" t="s">
        <v>1</v>
      </c>
      <c r="L605" s="33"/>
      <c r="M605" s="45" t="s">
        <v>1</v>
      </c>
      <c r="N605" s="33"/>
      <c r="O605" s="44" t="s">
        <v>1</v>
      </c>
      <c r="P605" s="44"/>
      <c r="Q605" s="44" t="s">
        <v>1</v>
      </c>
      <c r="R605" s="44"/>
      <c r="S605" s="44" t="s">
        <v>1</v>
      </c>
      <c r="T605" s="44"/>
      <c r="U605" s="44" t="s">
        <v>1</v>
      </c>
      <c r="V605" s="44"/>
      <c r="W605" s="44" t="s">
        <v>1</v>
      </c>
      <c r="X605" s="44"/>
      <c r="Y605" s="44" t="s">
        <v>1</v>
      </c>
      <c r="Z605" s="44"/>
      <c r="AA605" s="44" t="s">
        <v>1</v>
      </c>
      <c r="AB605" s="44"/>
      <c r="AC605" s="51">
        <v>45807</v>
      </c>
      <c r="AD605" s="50">
        <v>45807</v>
      </c>
      <c r="AE605" s="41" t="s">
        <v>1</v>
      </c>
      <c r="AF605" s="41" t="s">
        <v>1</v>
      </c>
      <c r="AG605" s="40" t="s">
        <v>4</v>
      </c>
      <c r="AH605" s="36" t="s">
        <v>0</v>
      </c>
      <c r="AI605" s="49">
        <v>0</v>
      </c>
      <c r="AJ605" s="36" t="s">
        <v>1</v>
      </c>
      <c r="AK605" s="10" t="s">
        <v>1</v>
      </c>
      <c r="AL605" s="36" t="s">
        <v>1</v>
      </c>
      <c r="AM605" s="36" t="s">
        <v>1</v>
      </c>
      <c r="AN605" s="35" t="s">
        <v>1</v>
      </c>
      <c r="AO605" s="35" t="s">
        <v>1</v>
      </c>
      <c r="AP605" s="35" t="s">
        <v>1</v>
      </c>
      <c r="AQ605" s="35" t="s">
        <v>2</v>
      </c>
      <c r="AR605" s="34" t="s">
        <v>0</v>
      </c>
      <c r="AS605" s="33"/>
      <c r="AT605" s="30" t="s">
        <v>0</v>
      </c>
      <c r="AU605" s="31"/>
      <c r="AV605" s="30" t="s">
        <v>0</v>
      </c>
      <c r="AW605" s="31"/>
      <c r="AX605" s="30" t="s">
        <v>0</v>
      </c>
      <c r="AY605" s="29"/>
      <c r="AZ605" s="28" t="s">
        <v>0</v>
      </c>
      <c r="BA605" s="27"/>
      <c r="BB605" s="26"/>
      <c r="BC605" s="25"/>
      <c r="BD605" s="24"/>
      <c r="BE605" s="24"/>
      <c r="BF605" s="24"/>
      <c r="BG605" s="24"/>
      <c r="BH605" s="24"/>
      <c r="BI605" s="24"/>
      <c r="BJ605" s="24"/>
      <c r="BK605" s="24"/>
      <c r="BL605" s="24"/>
      <c r="BM605" s="24"/>
      <c r="BN605" s="24"/>
      <c r="BO605" s="24"/>
      <c r="BP605" s="24"/>
      <c r="BQ605" s="22">
        <f>YEAR([1]!BANCO10[[#This Row],[DATA INÍCIO]])</f>
        <v>2025</v>
      </c>
      <c r="BR605" s="22">
        <f>MONTH([1]!BANCO10[[#This Row],[DATA INÍCIO]])</f>
        <v>5</v>
      </c>
      <c r="BS605" s="23" t="e">
        <f>CONCATENATE(#REF!,#REF!)</f>
        <v>#REF!</v>
      </c>
      <c r="BT605" s="22"/>
      <c r="BU605" s="22"/>
      <c r="BV605" s="21" t="str">
        <f>IF([1]!BANCO10[[#This Row],[SOLUÇÃO]]=BV$1,[1]!BANCO10[[#This Row],[STATUS DA ETAPA]],"")</f>
        <v/>
      </c>
      <c r="BW605" s="21" t="str">
        <f>IF([1]!BANCO10[[#This Row],[SOLUÇÃO]]=BW$1,[1]!BANCO10[[#This Row],[STATUS DA ETAPA]],"")</f>
        <v/>
      </c>
      <c r="BX605" s="21" t="str">
        <f>IF([1]!BANCO10[[#This Row],[SOLUÇÃO]]=BX$1,[1]!BANCO10[[#This Row],[STATUS DA ETAPA]],"")</f>
        <v/>
      </c>
      <c r="BY605" s="21" t="str">
        <f>IF([1]!BANCO10[[#This Row],[SOLUÇÃO]]=BY$1,[1]!BANCO10[[#This Row],[STATUS DA ETAPA]],"")</f>
        <v/>
      </c>
      <c r="BZ605" s="21" t="str">
        <f>IF([1]!BANCO10[[#This Row],[SOLUÇÃO]]=BZ$1,[1]!BANCO10[[#This Row],[STATUS DA ETAPA]],"")</f>
        <v/>
      </c>
      <c r="CA605" s="21" t="str">
        <f>IF([1]!BANCO10[[#This Row],[SOLUÇÃO]]=CA$1,[1]!BANCO10[[#This Row],[STATUS DA ETAPA]],"")</f>
        <v/>
      </c>
      <c r="CB605" s="21" t="str">
        <f>IF([1]!BANCO10[[#This Row],[SOLUÇÃO]]=CB$1,[1]!BANCO10[[#This Row],[STATUS DA ETAPA]],"")</f>
        <v/>
      </c>
      <c r="CC605" s="21" t="str">
        <f>IF([1]!BANCO10[[#This Row],[SOLUÇÃO]]=CC$1,[1]!BANCO10[[#This Row],[STATUS DA ETAPA]],"")</f>
        <v/>
      </c>
      <c r="CD605" s="21" t="str">
        <f>IF([1]!BANCO10[[#This Row],[SOLUÇÃO]]=CD$1,[1]!BANCO10[[#This Row],[STATUS DA ETAPA]],"")</f>
        <v/>
      </c>
      <c r="CE605" s="21" t="str">
        <f>IF([1]!BANCO10[[#This Row],[SOLUÇÃO]]=CE$1,[1]!BANCO10[[#This Row],[STATUS DA ETAPA]],"")</f>
        <v/>
      </c>
      <c r="CF605" s="21" t="str">
        <f>IF([1]!BANCO10[[#This Row],[SOLUÇÃO]]=CF$1,[1]!BANCO10[[#This Row],[STATUS DA ETAPA]],"")</f>
        <v/>
      </c>
      <c r="CG605" s="21" t="str">
        <f>IF([1]!BANCO10[[#This Row],[SOLUÇÃO]]=CG$1,[1]!BANCO10[[#This Row],[STATUS DA ETAPA]],"")</f>
        <v/>
      </c>
      <c r="CH605" s="21" t="str">
        <f>IF([1]!BANCO10[[#This Row],[SOLUÇÃO]]=CH$1,[1]!BANCO10[[#This Row],[STATUS DA ETAPA]],"")</f>
        <v/>
      </c>
      <c r="CI605" s="21" t="str">
        <f>IF([1]!BANCO10[[#This Row],[SOLUÇÃO]]=CI$1,[1]!BANCO10[[#This Row],[STATUS DA ETAPA]],"")</f>
        <v/>
      </c>
      <c r="CJ605" s="21" t="str">
        <f>IF([1]!BANCO10[[#This Row],[SOLUÇÃO]]=CJ$1,[1]!BANCO10[[#This Row],[STATUS DA ETAPA]],"")</f>
        <v/>
      </c>
      <c r="CK605" s="21" t="str">
        <f>IF([1]!BANCO10[[#This Row],[SOLUÇÃO]]=CK$1,[1]!BANCO10[[#This Row],[STATUS DA ETAPA]],"")</f>
        <v/>
      </c>
      <c r="CL605" s="21" t="str">
        <f>IF([1]!BANCO10[[#This Row],[SOLUÇÃO]]=CL$1,[1]!BANCO10[[#This Row],[STATUS DA ETAPA]],"")</f>
        <v/>
      </c>
      <c r="CM605" s="21" t="str">
        <f>IF([1]!BANCO10[[#This Row],[SOLUÇÃO]]=CM$1,[1]!BANCO10[[#This Row],[STATUS DA ETAPA]],"")</f>
        <v/>
      </c>
      <c r="CN605" s="21" t="str">
        <f>IF([1]!BANCO10[[#This Row],[SOLUÇÃO]]=CN$1,[1]!BANCO10[[#This Row],[STATUS DA ETAPA]],"")</f>
        <v/>
      </c>
      <c r="CO605" s="21" t="str">
        <f>IF([1]!BANCO10[[#This Row],[SOLUÇÃO]]=CO$1,[1]!BANCO10[[#This Row],[STATUS DA ETAPA]],"")</f>
        <v/>
      </c>
      <c r="CP605" s="21" t="str">
        <f>IF([1]!BANCO10[[#This Row],[SOLUÇÃO]]=CP$1,[1]!BANCO10[[#This Row],[STATUS DA ETAPA]],"")</f>
        <v/>
      </c>
      <c r="CQ605" s="21" t="str">
        <f>IF([1]!BANCO10[[#This Row],[SOLUÇÃO]]=CQ$1,[1]!BANCO10[[#This Row],[STATUS DA ETAPA]],"")</f>
        <v/>
      </c>
      <c r="CR605" s="21" t="str">
        <f>IF([1]!BANCO10[[#This Row],[SOLUÇÃO]]=CR$1,[1]!BANCO10[[#This Row],[STATUS DA ETAPA]],"")</f>
        <v/>
      </c>
      <c r="CS605" s="21" t="str">
        <f>IF([1]!BANCO10[[#This Row],[SOLUÇÃO]]=CS$1,[1]!BANCO10[[#This Row],[STATUS DA ETAPA]],"")</f>
        <v/>
      </c>
      <c r="CT605" s="21" t="str">
        <f>IF([1]!BANCO10[[#This Row],[SOLUÇÃO]]=CT$1,[1]!BANCO10[[#This Row],[STATUS DA ETAPA]],"")</f>
        <v/>
      </c>
      <c r="CU605" s="21" t="str">
        <f>IF([1]!BANCO10[[#This Row],[SOLUÇÃO]]=CU$1,[1]!BANCO10[[#This Row],[STATUS DA ETAPA]],"")</f>
        <v/>
      </c>
      <c r="CV605" s="21" t="str">
        <f>IF([1]!BANCO10[[#This Row],[SOLUÇÃO]]=CV$1,[1]!BANCO10[[#This Row],[STATUS DA ETAPA]],"")</f>
        <v/>
      </c>
    </row>
    <row r="606" spans="1:100">
      <c r="A606" s="44" t="s">
        <v>1</v>
      </c>
      <c r="B606" s="44"/>
      <c r="C606" s="44" t="s">
        <v>1</v>
      </c>
      <c r="D606" s="44"/>
      <c r="E606" s="44" t="s">
        <v>1</v>
      </c>
      <c r="F606" s="44"/>
      <c r="G606" s="44" t="s">
        <v>1</v>
      </c>
      <c r="H606" s="44"/>
      <c r="I606" s="45" t="s">
        <v>1</v>
      </c>
      <c r="J606" s="46"/>
      <c r="K606" s="45" t="s">
        <v>1</v>
      </c>
      <c r="L606" s="33"/>
      <c r="M606" s="45" t="s">
        <v>1</v>
      </c>
      <c r="N606" s="33"/>
      <c r="O606" s="44" t="s">
        <v>1</v>
      </c>
      <c r="P606" s="44"/>
      <c r="Q606" s="44" t="s">
        <v>1</v>
      </c>
      <c r="R606" s="44"/>
      <c r="S606" s="44" t="s">
        <v>1</v>
      </c>
      <c r="T606" s="44"/>
      <c r="U606" s="44" t="s">
        <v>1</v>
      </c>
      <c r="V606" s="44"/>
      <c r="W606" s="44" t="s">
        <v>1</v>
      </c>
      <c r="X606" s="44"/>
      <c r="Y606" s="44" t="s">
        <v>1</v>
      </c>
      <c r="Z606" s="44"/>
      <c r="AA606" s="44" t="s">
        <v>1</v>
      </c>
      <c r="AB606" s="44"/>
      <c r="AC606" s="51">
        <v>45594</v>
      </c>
      <c r="AD606" s="50">
        <v>45712</v>
      </c>
      <c r="AE606" s="41" t="s">
        <v>2</v>
      </c>
      <c r="AF606" s="41" t="s">
        <v>0</v>
      </c>
      <c r="AG606" s="76" t="s">
        <v>5</v>
      </c>
      <c r="AH606" s="36" t="s">
        <v>0</v>
      </c>
      <c r="AI606" s="49">
        <v>0</v>
      </c>
      <c r="AJ606" s="36" t="s">
        <v>6</v>
      </c>
      <c r="AK606" s="10" t="s">
        <v>1</v>
      </c>
      <c r="AL606" s="36" t="s">
        <v>1</v>
      </c>
      <c r="AM606" s="36" t="s">
        <v>1</v>
      </c>
      <c r="AN606" s="35" t="s">
        <v>1</v>
      </c>
      <c r="AO606" s="35" t="s">
        <v>1</v>
      </c>
      <c r="AP606" s="35" t="s">
        <v>0</v>
      </c>
      <c r="AQ606" s="35" t="s">
        <v>1</v>
      </c>
      <c r="AR606" s="34" t="s">
        <v>1</v>
      </c>
      <c r="AS606" s="33"/>
      <c r="AT606" s="32"/>
      <c r="AU606" s="31"/>
      <c r="AV606" s="32"/>
      <c r="AW606" s="31"/>
      <c r="AX606" s="30" t="s">
        <v>0</v>
      </c>
      <c r="AY606" s="29"/>
      <c r="AZ606" s="28" t="s">
        <v>0</v>
      </c>
      <c r="BA606" s="27"/>
      <c r="BB606" s="39"/>
      <c r="BC606" s="39"/>
      <c r="BD606" s="24"/>
      <c r="BE606" s="24"/>
      <c r="BF606" s="79"/>
      <c r="BG606" s="79"/>
      <c r="BH606" s="80"/>
      <c r="BI606" s="79"/>
      <c r="BJ606" s="54"/>
      <c r="BK606" s="78"/>
      <c r="BL606" s="69"/>
      <c r="BM606" s="78"/>
      <c r="BN606" s="78"/>
      <c r="BO606" s="78"/>
      <c r="BP606" s="78"/>
      <c r="BQ606" s="21">
        <f>YEAR([1]!BANCO10[[#This Row],[DATA INÍCIO]])</f>
        <v>2024</v>
      </c>
      <c r="BR606" s="21">
        <f>MONTH([1]!BANCO10[[#This Row],[DATA INÍCIO]])</f>
        <v>10</v>
      </c>
      <c r="BS606" s="21" t="e">
        <f>CONCATENATE(#REF!,#REF!)</f>
        <v>#REF!</v>
      </c>
      <c r="BT606" s="21"/>
      <c r="BU606" s="21"/>
      <c r="BV606" s="21" t="str">
        <f>IF([1]!BANCO10[[#This Row],[SOLUÇÃO]]=BV$1,[1]!BANCO10[[#This Row],[STATUS DA ETAPA]],"")</f>
        <v/>
      </c>
      <c r="BW606" s="21" t="str">
        <f>IF([1]!BANCO10[[#This Row],[SOLUÇÃO]]=BW$1,[1]!BANCO10[[#This Row],[STATUS DA ETAPA]],"")</f>
        <v/>
      </c>
      <c r="BX606" s="21" t="str">
        <f>IF([1]!BANCO10[[#This Row],[SOLUÇÃO]]=BX$1,[1]!BANCO10[[#This Row],[STATUS DA ETAPA]],"")</f>
        <v/>
      </c>
      <c r="BY606" s="21" t="str">
        <f>IF([1]!BANCO10[[#This Row],[SOLUÇÃO]]=BY$1,[1]!BANCO10[[#This Row],[STATUS DA ETAPA]],"")</f>
        <v/>
      </c>
      <c r="BZ606" s="21" t="str">
        <f>IF([1]!BANCO10[[#This Row],[SOLUÇÃO]]=BZ$1,[1]!BANCO10[[#This Row],[STATUS DA ETAPA]],"")</f>
        <v/>
      </c>
      <c r="CA606" s="21" t="str">
        <f>IF([1]!BANCO10[[#This Row],[SOLUÇÃO]]=CA$1,[1]!BANCO10[[#This Row],[STATUS DA ETAPA]],"")</f>
        <v/>
      </c>
      <c r="CB606" s="21" t="str">
        <f>IF([1]!BANCO10[[#This Row],[SOLUÇÃO]]=CB$1,[1]!BANCO10[[#This Row],[STATUS DA ETAPA]],"")</f>
        <v/>
      </c>
      <c r="CC606" s="21" t="str">
        <f>IF([1]!BANCO10[[#This Row],[SOLUÇÃO]]=CC$1,[1]!BANCO10[[#This Row],[STATUS DA ETAPA]],"")</f>
        <v/>
      </c>
      <c r="CD606" s="21" t="str">
        <f>IF([1]!BANCO10[[#This Row],[SOLUÇÃO]]=CD$1,[1]!BANCO10[[#This Row],[STATUS DA ETAPA]],"")</f>
        <v/>
      </c>
      <c r="CE606" s="21" t="str">
        <f>IF([1]!BANCO10[[#This Row],[SOLUÇÃO]]=CE$1,[1]!BANCO10[[#This Row],[STATUS DA ETAPA]],"")</f>
        <v>CONCLUÍDO</v>
      </c>
      <c r="CF606" s="21" t="str">
        <f>IF([1]!BANCO10[[#This Row],[SOLUÇÃO]]=CF$1,[1]!BANCO10[[#This Row],[STATUS DA ETAPA]],"")</f>
        <v/>
      </c>
      <c r="CG606" s="21" t="str">
        <f>IF([1]!BANCO10[[#This Row],[SOLUÇÃO]]=CG$1,[1]!BANCO10[[#This Row],[STATUS DA ETAPA]],"")</f>
        <v/>
      </c>
      <c r="CH606" s="21" t="str">
        <f>IF([1]!BANCO10[[#This Row],[SOLUÇÃO]]=CH$1,[1]!BANCO10[[#This Row],[STATUS DA ETAPA]],"")</f>
        <v/>
      </c>
      <c r="CI606" s="21" t="str">
        <f>IF([1]!BANCO10[[#This Row],[SOLUÇÃO]]=CI$1,[1]!BANCO10[[#This Row],[STATUS DA ETAPA]],"")</f>
        <v/>
      </c>
      <c r="CJ606" s="21" t="str">
        <f>IF([1]!BANCO10[[#This Row],[SOLUÇÃO]]=CJ$1,[1]!BANCO10[[#This Row],[STATUS DA ETAPA]],"")</f>
        <v/>
      </c>
      <c r="CK606" s="21" t="str">
        <f>IF([1]!BANCO10[[#This Row],[SOLUÇÃO]]=CK$1,[1]!BANCO10[[#This Row],[STATUS DA ETAPA]],"")</f>
        <v/>
      </c>
      <c r="CL606" s="22" t="str">
        <f>IF([1]!BANCO10[[#This Row],[SOLUÇÃO]]=CL$1,[1]!BANCO10[[#This Row],[STATUS DA ETAPA]],"")</f>
        <v/>
      </c>
      <c r="CM606" s="64" t="str">
        <f>IF([1]!BANCO10[[#This Row],[SOLUÇÃO]]=CM$1,[1]!BANCO10[[#This Row],[STATUS DA ETAPA]],"")</f>
        <v/>
      </c>
      <c r="CN606" s="64" t="str">
        <f>IF([1]!BANCO10[[#This Row],[SOLUÇÃO]]=CN$1,[1]!BANCO10[[#This Row],[STATUS DA ETAPA]],"")</f>
        <v/>
      </c>
      <c r="CO606" s="64" t="str">
        <f>IF([1]!BANCO10[[#This Row],[SOLUÇÃO]]=CO$1,[1]!BANCO10[[#This Row],[STATUS DA ETAPA]],"")</f>
        <v/>
      </c>
      <c r="CP606" s="64" t="str">
        <f>IF([1]!BANCO10[[#This Row],[SOLUÇÃO]]=CP$1,[1]!BANCO10[[#This Row],[STATUS DA ETAPA]],"")</f>
        <v/>
      </c>
      <c r="CQ606" s="64" t="str">
        <f>IF([1]!BANCO10[[#This Row],[SOLUÇÃO]]=CQ$1,[1]!BANCO10[[#This Row],[STATUS DA ETAPA]],"")</f>
        <v/>
      </c>
      <c r="CR606" s="64" t="str">
        <f>IF([1]!BANCO10[[#This Row],[SOLUÇÃO]]=CR$1,[1]!BANCO10[[#This Row],[STATUS DA ETAPA]],"")</f>
        <v/>
      </c>
      <c r="CS606" s="64" t="str">
        <f>IF([1]!BANCO10[[#This Row],[SOLUÇÃO]]=CS$1,[1]!BANCO10[[#This Row],[STATUS DA ETAPA]],"")</f>
        <v/>
      </c>
      <c r="CT606" s="64" t="str">
        <f>IF([1]!BANCO10[[#This Row],[SOLUÇÃO]]=CT$1,[1]!BANCO10[[#This Row],[STATUS DA ETAPA]],"")</f>
        <v/>
      </c>
      <c r="CU606" s="64" t="str">
        <f>IF([1]!BANCO10[[#This Row],[SOLUÇÃO]]=CU$1,[1]!BANCO10[[#This Row],[STATUS DA ETAPA]],"")</f>
        <v/>
      </c>
      <c r="CV606" s="64" t="str">
        <f>IF([1]!BANCO10[[#This Row],[SOLUÇÃO]]=CV$1,[1]!BANCO10[[#This Row],[STATUS DA ETAPA]],"")</f>
        <v/>
      </c>
    </row>
    <row r="607" spans="1:100">
      <c r="A607" s="44" t="s">
        <v>2</v>
      </c>
      <c r="B607" s="44">
        <v>45593</v>
      </c>
      <c r="C607" s="44" t="s">
        <v>2</v>
      </c>
      <c r="D607" s="44">
        <v>45593</v>
      </c>
      <c r="E607" s="44" t="s">
        <v>2</v>
      </c>
      <c r="F607" s="44">
        <v>45594</v>
      </c>
      <c r="G607" s="44" t="s">
        <v>2</v>
      </c>
      <c r="H607" s="44">
        <v>45594</v>
      </c>
      <c r="I607" s="45" t="s">
        <v>2</v>
      </c>
      <c r="J607" s="46">
        <v>45593</v>
      </c>
      <c r="K607" s="45" t="s">
        <v>2</v>
      </c>
      <c r="L607" s="33">
        <v>45594</v>
      </c>
      <c r="M607" s="45" t="s">
        <v>2</v>
      </c>
      <c r="N607" s="33">
        <v>45594</v>
      </c>
      <c r="O607" s="44" t="s">
        <v>2</v>
      </c>
      <c r="P607" s="44">
        <v>45536</v>
      </c>
      <c r="Q607" s="44" t="s">
        <v>2</v>
      </c>
      <c r="R607" s="44">
        <v>45536</v>
      </c>
      <c r="S607" s="44" t="s">
        <v>2</v>
      </c>
      <c r="T607" s="44">
        <v>45615</v>
      </c>
      <c r="U607" s="44" t="s">
        <v>1</v>
      </c>
      <c r="V607" s="44"/>
      <c r="W607" s="44" t="s">
        <v>1</v>
      </c>
      <c r="X607" s="44"/>
      <c r="Y607" s="44" t="s">
        <v>1</v>
      </c>
      <c r="Z607" s="44"/>
      <c r="AA607" s="44" t="s">
        <v>1</v>
      </c>
      <c r="AB607" s="44"/>
      <c r="AC607" s="51">
        <v>45667</v>
      </c>
      <c r="AD607" s="50">
        <v>45755</v>
      </c>
      <c r="AE607" s="41" t="s">
        <v>2</v>
      </c>
      <c r="AF607" s="41" t="s">
        <v>2</v>
      </c>
      <c r="AG607" s="40" t="s">
        <v>5</v>
      </c>
      <c r="AH607" s="36" t="s">
        <v>0</v>
      </c>
      <c r="AI607" s="49">
        <v>20140</v>
      </c>
      <c r="AJ607" s="36" t="s">
        <v>6</v>
      </c>
      <c r="AK607" s="21">
        <v>581106</v>
      </c>
      <c r="AL607" s="36" t="s">
        <v>1</v>
      </c>
      <c r="AM607" s="36" t="s">
        <v>1</v>
      </c>
      <c r="AN607" s="35" t="s">
        <v>2</v>
      </c>
      <c r="AO607" s="35" t="s">
        <v>2</v>
      </c>
      <c r="AP607" s="35" t="s">
        <v>2</v>
      </c>
      <c r="AQ607" s="35" t="s">
        <v>2</v>
      </c>
      <c r="AR607" s="34" t="s">
        <v>2</v>
      </c>
      <c r="AS607" s="33">
        <v>45786</v>
      </c>
      <c r="AT607" s="32" t="s">
        <v>1</v>
      </c>
      <c r="AU607" s="31"/>
      <c r="AV607" s="32" t="s">
        <v>1</v>
      </c>
      <c r="AW607" s="31"/>
      <c r="AX607" s="30" t="s">
        <v>2</v>
      </c>
      <c r="AY607" s="31">
        <v>45786</v>
      </c>
      <c r="AZ607" s="28" t="s">
        <v>0</v>
      </c>
      <c r="BA607" s="27"/>
      <c r="BB607" s="95" t="s">
        <v>143</v>
      </c>
      <c r="BC607" s="39" t="s">
        <v>41</v>
      </c>
      <c r="BD607" s="24"/>
      <c r="BE607" s="24"/>
      <c r="BF607" s="79"/>
      <c r="BG607" s="79"/>
      <c r="BH607" s="80"/>
      <c r="BI607" s="79"/>
      <c r="BJ607" s="54"/>
      <c r="BK607" s="78"/>
      <c r="BL607" s="69"/>
      <c r="BM607" s="78"/>
      <c r="BN607" s="78"/>
      <c r="BO607" s="78"/>
      <c r="BP607" s="78"/>
      <c r="BQ607" s="21">
        <f>YEAR([1]!BANCO10[[#This Row],[DATA INÍCIO]])</f>
        <v>2025</v>
      </c>
      <c r="BR607" s="21">
        <f>MONTH([1]!BANCO10[[#This Row],[DATA INÍCIO]])</f>
        <v>1</v>
      </c>
      <c r="BS607" s="21" t="e">
        <f>CONCATENATE(#REF!,#REF!)</f>
        <v>#REF!</v>
      </c>
      <c r="BT607" s="21"/>
      <c r="BU607" s="21"/>
      <c r="BV607" s="21" t="str">
        <f>IF([1]!BANCO10[[#This Row],[SOLUÇÃO]]=BV$1,[1]!BANCO10[[#This Row],[STATUS DA ETAPA]],"")</f>
        <v/>
      </c>
      <c r="BW607" s="21" t="str">
        <f>IF([1]!BANCO10[[#This Row],[SOLUÇÃO]]=BW$1,[1]!BANCO10[[#This Row],[STATUS DA ETAPA]],"")</f>
        <v/>
      </c>
      <c r="BX607" s="21" t="str">
        <f>IF([1]!BANCO10[[#This Row],[SOLUÇÃO]]=BX$1,[1]!BANCO10[[#This Row],[STATUS DA ETAPA]],"")</f>
        <v/>
      </c>
      <c r="BY607" s="21" t="str">
        <f>IF([1]!BANCO10[[#This Row],[SOLUÇÃO]]=BY$1,[1]!BANCO10[[#This Row],[STATUS DA ETAPA]],"")</f>
        <v/>
      </c>
      <c r="BZ607" s="21" t="str">
        <f>IF([1]!BANCO10[[#This Row],[SOLUÇÃO]]=BZ$1,[1]!BANCO10[[#This Row],[STATUS DA ETAPA]],"")</f>
        <v/>
      </c>
      <c r="CA607" s="21" t="str">
        <f>IF([1]!BANCO10[[#This Row],[SOLUÇÃO]]=CA$1,[1]!BANCO10[[#This Row],[STATUS DA ETAPA]],"")</f>
        <v/>
      </c>
      <c r="CB607" s="21" t="str">
        <f>IF([1]!BANCO10[[#This Row],[SOLUÇÃO]]=CB$1,[1]!BANCO10[[#This Row],[STATUS DA ETAPA]],"")</f>
        <v>CONCLUÍDO</v>
      </c>
      <c r="CC607" s="21" t="str">
        <f>IF([1]!BANCO10[[#This Row],[SOLUÇÃO]]=CC$1,[1]!BANCO10[[#This Row],[STATUS DA ETAPA]],"")</f>
        <v/>
      </c>
      <c r="CD607" s="21" t="str">
        <f>IF([1]!BANCO10[[#This Row],[SOLUÇÃO]]=CD$1,[1]!BANCO10[[#This Row],[STATUS DA ETAPA]],"")</f>
        <v/>
      </c>
      <c r="CE607" s="21" t="str">
        <f>IF([1]!BANCO10[[#This Row],[SOLUÇÃO]]=CE$1,[1]!BANCO10[[#This Row],[STATUS DA ETAPA]],"")</f>
        <v/>
      </c>
      <c r="CF607" s="21" t="str">
        <f>IF([1]!BANCO10[[#This Row],[SOLUÇÃO]]=CF$1,[1]!BANCO10[[#This Row],[STATUS DA ETAPA]],"")</f>
        <v/>
      </c>
      <c r="CG607" s="21" t="str">
        <f>IF([1]!BANCO10[[#This Row],[SOLUÇÃO]]=CG$1,[1]!BANCO10[[#This Row],[STATUS DA ETAPA]],"")</f>
        <v/>
      </c>
      <c r="CH607" s="21" t="str">
        <f>IF([1]!BANCO10[[#This Row],[SOLUÇÃO]]=CH$1,[1]!BANCO10[[#This Row],[STATUS DA ETAPA]],"")</f>
        <v/>
      </c>
      <c r="CI607" s="21" t="str">
        <f>IF([1]!BANCO10[[#This Row],[SOLUÇÃO]]=CI$1,[1]!BANCO10[[#This Row],[STATUS DA ETAPA]],"")</f>
        <v/>
      </c>
      <c r="CJ607" s="21" t="str">
        <f>IF([1]!BANCO10[[#This Row],[SOLUÇÃO]]=CJ$1,[1]!BANCO10[[#This Row],[STATUS DA ETAPA]],"")</f>
        <v/>
      </c>
      <c r="CK607" s="21" t="str">
        <f>IF([1]!BANCO10[[#This Row],[SOLUÇÃO]]=CK$1,[1]!BANCO10[[#This Row],[STATUS DA ETAPA]],"")</f>
        <v/>
      </c>
      <c r="CL607" s="22" t="str">
        <f>IF([1]!BANCO10[[#This Row],[SOLUÇÃO]]=CL$1,[1]!BANCO10[[#This Row],[STATUS DA ETAPA]],"")</f>
        <v/>
      </c>
      <c r="CM607" s="64" t="str">
        <f>IF([1]!BANCO10[[#This Row],[SOLUÇÃO]]=CM$1,[1]!BANCO10[[#This Row],[STATUS DA ETAPA]],"")</f>
        <v/>
      </c>
      <c r="CN607" s="64" t="str">
        <f>IF([1]!BANCO10[[#This Row],[SOLUÇÃO]]=CN$1,[1]!BANCO10[[#This Row],[STATUS DA ETAPA]],"")</f>
        <v/>
      </c>
      <c r="CO607" s="64" t="str">
        <f>IF([1]!BANCO10[[#This Row],[SOLUÇÃO]]=CO$1,[1]!BANCO10[[#This Row],[STATUS DA ETAPA]],"")</f>
        <v/>
      </c>
      <c r="CP607" s="64" t="str">
        <f>IF([1]!BANCO10[[#This Row],[SOLUÇÃO]]=CP$1,[1]!BANCO10[[#This Row],[STATUS DA ETAPA]],"")</f>
        <v/>
      </c>
      <c r="CQ607" s="64" t="str">
        <f>IF([1]!BANCO10[[#This Row],[SOLUÇÃO]]=CQ$1,[1]!BANCO10[[#This Row],[STATUS DA ETAPA]],"")</f>
        <v/>
      </c>
      <c r="CR607" s="64" t="str">
        <f>IF([1]!BANCO10[[#This Row],[SOLUÇÃO]]=CR$1,[1]!BANCO10[[#This Row],[STATUS DA ETAPA]],"")</f>
        <v/>
      </c>
      <c r="CS607" s="64" t="str">
        <f>IF([1]!BANCO10[[#This Row],[SOLUÇÃO]]=CS$1,[1]!BANCO10[[#This Row],[STATUS DA ETAPA]],"")</f>
        <v/>
      </c>
      <c r="CT607" s="64" t="str">
        <f>IF([1]!BANCO10[[#This Row],[SOLUÇÃO]]=CT$1,[1]!BANCO10[[#This Row],[STATUS DA ETAPA]],"")</f>
        <v/>
      </c>
      <c r="CU607" s="64" t="str">
        <f>IF([1]!BANCO10[[#This Row],[SOLUÇÃO]]=CU$1,[1]!BANCO10[[#This Row],[STATUS DA ETAPA]],"")</f>
        <v/>
      </c>
      <c r="CV607" s="64" t="str">
        <f>IF([1]!BANCO10[[#This Row],[SOLUÇÃO]]=CV$1,[1]!BANCO10[[#This Row],[STATUS DA ETAPA]],"")</f>
        <v/>
      </c>
    </row>
    <row r="608" spans="1:100">
      <c r="A608" s="44" t="s">
        <v>1</v>
      </c>
      <c r="B608" s="44"/>
      <c r="C608" s="44" t="s">
        <v>1</v>
      </c>
      <c r="D608" s="44"/>
      <c r="E608" s="44" t="s">
        <v>1</v>
      </c>
      <c r="F608" s="44"/>
      <c r="G608" s="44" t="s">
        <v>1</v>
      </c>
      <c r="H608" s="44"/>
      <c r="I608" s="45" t="s">
        <v>1</v>
      </c>
      <c r="J608" s="46"/>
      <c r="K608" s="45" t="s">
        <v>1</v>
      </c>
      <c r="L608" s="33"/>
      <c r="M608" s="45" t="s">
        <v>1</v>
      </c>
      <c r="N608" s="33"/>
      <c r="O608" s="44" t="s">
        <v>1</v>
      </c>
      <c r="P608" s="44"/>
      <c r="Q608" s="44" t="s">
        <v>1</v>
      </c>
      <c r="R608" s="44"/>
      <c r="S608" s="44" t="s">
        <v>1</v>
      </c>
      <c r="T608" s="44"/>
      <c r="U608" s="44" t="s">
        <v>1</v>
      </c>
      <c r="V608" s="44"/>
      <c r="W608" s="44" t="s">
        <v>1</v>
      </c>
      <c r="X608" s="44"/>
      <c r="Y608" s="44" t="s">
        <v>1</v>
      </c>
      <c r="Z608" s="44"/>
      <c r="AA608" s="44" t="s">
        <v>1</v>
      </c>
      <c r="AB608" s="44"/>
      <c r="AC608" s="51">
        <v>45577</v>
      </c>
      <c r="AD608" s="50">
        <v>45577</v>
      </c>
      <c r="AE608" s="41" t="s">
        <v>0</v>
      </c>
      <c r="AF608" s="41" t="s">
        <v>0</v>
      </c>
      <c r="AG608" s="40" t="s">
        <v>5</v>
      </c>
      <c r="AH608" s="36" t="s">
        <v>1</v>
      </c>
      <c r="AI608" s="49">
        <v>0</v>
      </c>
      <c r="AJ608" s="36" t="s">
        <v>1</v>
      </c>
      <c r="AK608" s="10" t="s">
        <v>1</v>
      </c>
      <c r="AL608" s="36" t="s">
        <v>1</v>
      </c>
      <c r="AM608" s="36" t="s">
        <v>1</v>
      </c>
      <c r="AN608" s="35" t="s">
        <v>1</v>
      </c>
      <c r="AO608" s="35" t="s">
        <v>1</v>
      </c>
      <c r="AP608" s="35" t="s">
        <v>1</v>
      </c>
      <c r="AQ608" s="35" t="s">
        <v>1</v>
      </c>
      <c r="AR608" s="90" t="s">
        <v>1</v>
      </c>
      <c r="AS608" s="89"/>
      <c r="AT608" s="88"/>
      <c r="AU608" s="25"/>
      <c r="AV608" s="88"/>
      <c r="AW608" s="25"/>
      <c r="AX608" s="88" t="s">
        <v>1</v>
      </c>
      <c r="AY608" s="25"/>
      <c r="AZ608" s="88" t="s">
        <v>1</v>
      </c>
      <c r="BA608" s="25"/>
      <c r="BB608" s="39"/>
      <c r="BC608" s="25"/>
      <c r="BD608" s="24"/>
      <c r="BE608" s="24"/>
      <c r="BF608" s="79"/>
      <c r="BG608" s="79"/>
      <c r="BH608" s="80"/>
      <c r="BI608" s="79"/>
      <c r="BJ608" s="54"/>
      <c r="BK608" s="78"/>
      <c r="BL608" s="69"/>
      <c r="BM608" s="78"/>
      <c r="BN608" s="78"/>
      <c r="BO608" s="78"/>
      <c r="BP608" s="78"/>
      <c r="BQ608" s="21">
        <f>YEAR([1]!BANCO10[[#This Row],[DATA INÍCIO]])</f>
        <v>2024</v>
      </c>
      <c r="BR608" s="21">
        <f>MONTH([1]!BANCO10[[#This Row],[DATA INÍCIO]])</f>
        <v>10</v>
      </c>
      <c r="BS608" s="21" t="e">
        <f>CONCATENATE(#REF!,#REF!)</f>
        <v>#REF!</v>
      </c>
      <c r="BT608" s="21"/>
      <c r="BU608" s="21"/>
      <c r="BV608" s="21" t="str">
        <f>IF([1]!BANCO10[[#This Row],[SOLUÇÃO]]=BV$1,[1]!BANCO10[[#This Row],[STATUS DA ETAPA]],"")</f>
        <v>CONCLUÍDO</v>
      </c>
      <c r="BW608" s="21" t="str">
        <f>IF([1]!BANCO10[[#This Row],[SOLUÇÃO]]=BW$1,[1]!BANCO10[[#This Row],[STATUS DA ETAPA]],"")</f>
        <v/>
      </c>
      <c r="BX608" s="21" t="str">
        <f>IF([1]!BANCO10[[#This Row],[SOLUÇÃO]]=BX$1,[1]!BANCO10[[#This Row],[STATUS DA ETAPA]],"")</f>
        <v/>
      </c>
      <c r="BY608" s="21" t="str">
        <f>IF([1]!BANCO10[[#This Row],[SOLUÇÃO]]=BY$1,[1]!BANCO10[[#This Row],[STATUS DA ETAPA]],"")</f>
        <v/>
      </c>
      <c r="BZ608" s="21" t="str">
        <f>IF([1]!BANCO10[[#This Row],[SOLUÇÃO]]=BZ$1,[1]!BANCO10[[#This Row],[STATUS DA ETAPA]],"")</f>
        <v/>
      </c>
      <c r="CA608" s="21" t="str">
        <f>IF([1]!BANCO10[[#This Row],[SOLUÇÃO]]=CA$1,[1]!BANCO10[[#This Row],[STATUS DA ETAPA]],"")</f>
        <v/>
      </c>
      <c r="CB608" s="21" t="str">
        <f>IF([1]!BANCO10[[#This Row],[SOLUÇÃO]]=CB$1,[1]!BANCO10[[#This Row],[STATUS DA ETAPA]],"")</f>
        <v/>
      </c>
      <c r="CC608" s="21" t="str">
        <f>IF([1]!BANCO10[[#This Row],[SOLUÇÃO]]=CC$1,[1]!BANCO10[[#This Row],[STATUS DA ETAPA]],"")</f>
        <v/>
      </c>
      <c r="CD608" s="21" t="str">
        <f>IF([1]!BANCO10[[#This Row],[SOLUÇÃO]]=CD$1,[1]!BANCO10[[#This Row],[STATUS DA ETAPA]],"")</f>
        <v/>
      </c>
      <c r="CE608" s="21" t="str">
        <f>IF([1]!BANCO10[[#This Row],[SOLUÇÃO]]=CE$1,[1]!BANCO10[[#This Row],[STATUS DA ETAPA]],"")</f>
        <v/>
      </c>
      <c r="CF608" s="21" t="str">
        <f>IF([1]!BANCO10[[#This Row],[SOLUÇÃO]]=CF$1,[1]!BANCO10[[#This Row],[STATUS DA ETAPA]],"")</f>
        <v/>
      </c>
      <c r="CG608" s="21" t="str">
        <f>IF([1]!BANCO10[[#This Row],[SOLUÇÃO]]=CG$1,[1]!BANCO10[[#This Row],[STATUS DA ETAPA]],"")</f>
        <v/>
      </c>
      <c r="CH608" s="21" t="str">
        <f>IF([1]!BANCO10[[#This Row],[SOLUÇÃO]]=CH$1,[1]!BANCO10[[#This Row],[STATUS DA ETAPA]],"")</f>
        <v/>
      </c>
      <c r="CI608" s="21" t="str">
        <f>IF([1]!BANCO10[[#This Row],[SOLUÇÃO]]=CI$1,[1]!BANCO10[[#This Row],[STATUS DA ETAPA]],"")</f>
        <v/>
      </c>
      <c r="CJ608" s="21" t="str">
        <f>IF([1]!BANCO10[[#This Row],[SOLUÇÃO]]=CJ$1,[1]!BANCO10[[#This Row],[STATUS DA ETAPA]],"")</f>
        <v/>
      </c>
      <c r="CK608" s="21" t="str">
        <f>IF([1]!BANCO10[[#This Row],[SOLUÇÃO]]=CK$1,[1]!BANCO10[[#This Row],[STATUS DA ETAPA]],"")</f>
        <v/>
      </c>
      <c r="CL608" s="22" t="str">
        <f>IF([1]!BANCO10[[#This Row],[SOLUÇÃO]]=CL$1,[1]!BANCO10[[#This Row],[STATUS DA ETAPA]],"")</f>
        <v/>
      </c>
      <c r="CM608" s="64" t="str">
        <f>IF([1]!BANCO10[[#This Row],[SOLUÇÃO]]=CM$1,[1]!BANCO10[[#This Row],[STATUS DA ETAPA]],"")</f>
        <v/>
      </c>
      <c r="CN608" s="64" t="str">
        <f>IF([1]!BANCO10[[#This Row],[SOLUÇÃO]]=CN$1,[1]!BANCO10[[#This Row],[STATUS DA ETAPA]],"")</f>
        <v/>
      </c>
      <c r="CO608" s="64" t="str">
        <f>IF([1]!BANCO10[[#This Row],[SOLUÇÃO]]=CO$1,[1]!BANCO10[[#This Row],[STATUS DA ETAPA]],"")</f>
        <v/>
      </c>
      <c r="CP608" s="64" t="str">
        <f>IF([1]!BANCO10[[#This Row],[SOLUÇÃO]]=CP$1,[1]!BANCO10[[#This Row],[STATUS DA ETAPA]],"")</f>
        <v/>
      </c>
      <c r="CQ608" s="64" t="str">
        <f>IF([1]!BANCO10[[#This Row],[SOLUÇÃO]]=CQ$1,[1]!BANCO10[[#This Row],[STATUS DA ETAPA]],"")</f>
        <v/>
      </c>
      <c r="CR608" s="64" t="str">
        <f>IF([1]!BANCO10[[#This Row],[SOLUÇÃO]]=CR$1,[1]!BANCO10[[#This Row],[STATUS DA ETAPA]],"")</f>
        <v/>
      </c>
      <c r="CS608" s="64" t="str">
        <f>IF([1]!BANCO10[[#This Row],[SOLUÇÃO]]=CS$1,[1]!BANCO10[[#This Row],[STATUS DA ETAPA]],"")</f>
        <v/>
      </c>
      <c r="CT608" s="64" t="str">
        <f>IF([1]!BANCO10[[#This Row],[SOLUÇÃO]]=CT$1,[1]!BANCO10[[#This Row],[STATUS DA ETAPA]],"")</f>
        <v/>
      </c>
      <c r="CU608" s="64" t="str">
        <f>IF([1]!BANCO10[[#This Row],[SOLUÇÃO]]=CU$1,[1]!BANCO10[[#This Row],[STATUS DA ETAPA]],"")</f>
        <v/>
      </c>
      <c r="CV608" s="64" t="str">
        <f>IF([1]!BANCO10[[#This Row],[SOLUÇÃO]]=CV$1,[1]!BANCO10[[#This Row],[STATUS DA ETAPA]],"")</f>
        <v/>
      </c>
    </row>
    <row r="609" spans="1:100">
      <c r="A609" s="44" t="s">
        <v>1</v>
      </c>
      <c r="B609" s="44"/>
      <c r="C609" s="44" t="s">
        <v>1</v>
      </c>
      <c r="D609" s="44"/>
      <c r="E609" s="44" t="s">
        <v>1</v>
      </c>
      <c r="F609" s="44"/>
      <c r="G609" s="44" t="s">
        <v>1</v>
      </c>
      <c r="H609" s="44"/>
      <c r="I609" s="45" t="s">
        <v>1</v>
      </c>
      <c r="J609" s="46"/>
      <c r="K609" s="45" t="s">
        <v>1</v>
      </c>
      <c r="L609" s="33"/>
      <c r="M609" s="45" t="s">
        <v>1</v>
      </c>
      <c r="N609" s="33"/>
      <c r="O609" s="44" t="s">
        <v>1</v>
      </c>
      <c r="P609" s="44"/>
      <c r="Q609" s="44" t="s">
        <v>1</v>
      </c>
      <c r="R609" s="44"/>
      <c r="S609" s="44" t="s">
        <v>1</v>
      </c>
      <c r="T609" s="44"/>
      <c r="U609" s="44" t="s">
        <v>1</v>
      </c>
      <c r="V609" s="44"/>
      <c r="W609" s="44" t="s">
        <v>1</v>
      </c>
      <c r="X609" s="44"/>
      <c r="Y609" s="44" t="s">
        <v>1</v>
      </c>
      <c r="Z609" s="44"/>
      <c r="AA609" s="44" t="s">
        <v>1</v>
      </c>
      <c r="AB609" s="44"/>
      <c r="AC609" s="51">
        <v>45807</v>
      </c>
      <c r="AD609" s="50">
        <v>45807</v>
      </c>
      <c r="AE609" s="41" t="s">
        <v>1</v>
      </c>
      <c r="AF609" s="41" t="s">
        <v>1</v>
      </c>
      <c r="AG609" s="40" t="s">
        <v>4</v>
      </c>
      <c r="AH609" s="36" t="s">
        <v>0</v>
      </c>
      <c r="AI609" s="49">
        <v>0</v>
      </c>
      <c r="AJ609" s="36" t="s">
        <v>1</v>
      </c>
      <c r="AK609" s="10" t="s">
        <v>1</v>
      </c>
      <c r="AL609" s="36" t="s">
        <v>1</v>
      </c>
      <c r="AM609" s="36" t="s">
        <v>1</v>
      </c>
      <c r="AN609" s="35" t="s">
        <v>1</v>
      </c>
      <c r="AO609" s="35" t="s">
        <v>1</v>
      </c>
      <c r="AP609" s="35" t="s">
        <v>1</v>
      </c>
      <c r="AQ609" s="35" t="s">
        <v>2</v>
      </c>
      <c r="AR609" s="34" t="s">
        <v>0</v>
      </c>
      <c r="AS609" s="33"/>
      <c r="AT609" s="30" t="s">
        <v>0</v>
      </c>
      <c r="AU609" s="31"/>
      <c r="AV609" s="30" t="s">
        <v>0</v>
      </c>
      <c r="AW609" s="31"/>
      <c r="AX609" s="30" t="s">
        <v>0</v>
      </c>
      <c r="AY609" s="29"/>
      <c r="AZ609" s="28" t="s">
        <v>0</v>
      </c>
      <c r="BA609" s="27"/>
      <c r="BB609" s="26"/>
      <c r="BC609" s="25"/>
      <c r="BD609" s="24"/>
      <c r="BE609" s="24"/>
      <c r="BF609" s="24"/>
      <c r="BG609" s="24"/>
      <c r="BH609" s="24"/>
      <c r="BI609" s="24"/>
      <c r="BJ609" s="24"/>
      <c r="BK609" s="24"/>
      <c r="BL609" s="24"/>
      <c r="BM609" s="24"/>
      <c r="BN609" s="24"/>
      <c r="BO609" s="24"/>
      <c r="BP609" s="24"/>
      <c r="BQ609" s="22">
        <f>YEAR([1]!BANCO10[[#This Row],[DATA INÍCIO]])</f>
        <v>2025</v>
      </c>
      <c r="BR609" s="22">
        <f>MONTH([1]!BANCO10[[#This Row],[DATA INÍCIO]])</f>
        <v>5</v>
      </c>
      <c r="BS609" s="23" t="e">
        <f>CONCATENATE(#REF!,#REF!)</f>
        <v>#REF!</v>
      </c>
      <c r="BT609" s="22"/>
      <c r="BU609" s="22"/>
      <c r="BV609" s="21" t="str">
        <f>IF([1]!BANCO10[[#This Row],[SOLUÇÃO]]=BV$1,[1]!BANCO10[[#This Row],[STATUS DA ETAPA]],"")</f>
        <v/>
      </c>
      <c r="BW609" s="21" t="str">
        <f>IF([1]!BANCO10[[#This Row],[SOLUÇÃO]]=BW$1,[1]!BANCO10[[#This Row],[STATUS DA ETAPA]],"")</f>
        <v/>
      </c>
      <c r="BX609" s="21" t="str">
        <f>IF([1]!BANCO10[[#This Row],[SOLUÇÃO]]=BX$1,[1]!BANCO10[[#This Row],[STATUS DA ETAPA]],"")</f>
        <v/>
      </c>
      <c r="BY609" s="21" t="str">
        <f>IF([1]!BANCO10[[#This Row],[SOLUÇÃO]]=BY$1,[1]!BANCO10[[#This Row],[STATUS DA ETAPA]],"")</f>
        <v/>
      </c>
      <c r="BZ609" s="21" t="str">
        <f>IF([1]!BANCO10[[#This Row],[SOLUÇÃO]]=BZ$1,[1]!BANCO10[[#This Row],[STATUS DA ETAPA]],"")</f>
        <v/>
      </c>
      <c r="CA609" s="21" t="str">
        <f>IF([1]!BANCO10[[#This Row],[SOLUÇÃO]]=CA$1,[1]!BANCO10[[#This Row],[STATUS DA ETAPA]],"")</f>
        <v/>
      </c>
      <c r="CB609" s="21" t="str">
        <f>IF([1]!BANCO10[[#This Row],[SOLUÇÃO]]=CB$1,[1]!BANCO10[[#This Row],[STATUS DA ETAPA]],"")</f>
        <v/>
      </c>
      <c r="CC609" s="21" t="str">
        <f>IF([1]!BANCO10[[#This Row],[SOLUÇÃO]]=CC$1,[1]!BANCO10[[#This Row],[STATUS DA ETAPA]],"")</f>
        <v/>
      </c>
      <c r="CD609" s="21" t="str">
        <f>IF([1]!BANCO10[[#This Row],[SOLUÇÃO]]=CD$1,[1]!BANCO10[[#This Row],[STATUS DA ETAPA]],"")</f>
        <v/>
      </c>
      <c r="CE609" s="21" t="str">
        <f>IF([1]!BANCO10[[#This Row],[SOLUÇÃO]]=CE$1,[1]!BANCO10[[#This Row],[STATUS DA ETAPA]],"")</f>
        <v/>
      </c>
      <c r="CF609" s="21" t="str">
        <f>IF([1]!BANCO10[[#This Row],[SOLUÇÃO]]=CF$1,[1]!BANCO10[[#This Row],[STATUS DA ETAPA]],"")</f>
        <v/>
      </c>
      <c r="CG609" s="21" t="str">
        <f>IF([1]!BANCO10[[#This Row],[SOLUÇÃO]]=CG$1,[1]!BANCO10[[#This Row],[STATUS DA ETAPA]],"")</f>
        <v/>
      </c>
      <c r="CH609" s="21" t="str">
        <f>IF([1]!BANCO10[[#This Row],[SOLUÇÃO]]=CH$1,[1]!BANCO10[[#This Row],[STATUS DA ETAPA]],"")</f>
        <v/>
      </c>
      <c r="CI609" s="21" t="str">
        <f>IF([1]!BANCO10[[#This Row],[SOLUÇÃO]]=CI$1,[1]!BANCO10[[#This Row],[STATUS DA ETAPA]],"")</f>
        <v/>
      </c>
      <c r="CJ609" s="21" t="str">
        <f>IF([1]!BANCO10[[#This Row],[SOLUÇÃO]]=CJ$1,[1]!BANCO10[[#This Row],[STATUS DA ETAPA]],"")</f>
        <v/>
      </c>
      <c r="CK609" s="21" t="str">
        <f>IF([1]!BANCO10[[#This Row],[SOLUÇÃO]]=CK$1,[1]!BANCO10[[#This Row],[STATUS DA ETAPA]],"")</f>
        <v/>
      </c>
      <c r="CL609" s="21" t="str">
        <f>IF([1]!BANCO10[[#This Row],[SOLUÇÃO]]=CL$1,[1]!BANCO10[[#This Row],[STATUS DA ETAPA]],"")</f>
        <v/>
      </c>
      <c r="CM609" s="21" t="str">
        <f>IF([1]!BANCO10[[#This Row],[SOLUÇÃO]]=CM$1,[1]!BANCO10[[#This Row],[STATUS DA ETAPA]],"")</f>
        <v/>
      </c>
      <c r="CN609" s="21" t="str">
        <f>IF([1]!BANCO10[[#This Row],[SOLUÇÃO]]=CN$1,[1]!BANCO10[[#This Row],[STATUS DA ETAPA]],"")</f>
        <v/>
      </c>
      <c r="CO609" s="21" t="str">
        <f>IF([1]!BANCO10[[#This Row],[SOLUÇÃO]]=CO$1,[1]!BANCO10[[#This Row],[STATUS DA ETAPA]],"")</f>
        <v/>
      </c>
      <c r="CP609" s="21" t="str">
        <f>IF([1]!BANCO10[[#This Row],[SOLUÇÃO]]=CP$1,[1]!BANCO10[[#This Row],[STATUS DA ETAPA]],"")</f>
        <v/>
      </c>
      <c r="CQ609" s="21" t="str">
        <f>IF([1]!BANCO10[[#This Row],[SOLUÇÃO]]=CQ$1,[1]!BANCO10[[#This Row],[STATUS DA ETAPA]],"")</f>
        <v/>
      </c>
      <c r="CR609" s="21" t="str">
        <f>IF([1]!BANCO10[[#This Row],[SOLUÇÃO]]=CR$1,[1]!BANCO10[[#This Row],[STATUS DA ETAPA]],"")</f>
        <v/>
      </c>
      <c r="CS609" s="21" t="str">
        <f>IF([1]!BANCO10[[#This Row],[SOLUÇÃO]]=CS$1,[1]!BANCO10[[#This Row],[STATUS DA ETAPA]],"")</f>
        <v/>
      </c>
      <c r="CT609" s="21" t="str">
        <f>IF([1]!BANCO10[[#This Row],[SOLUÇÃO]]=CT$1,[1]!BANCO10[[#This Row],[STATUS DA ETAPA]],"")</f>
        <v/>
      </c>
      <c r="CU609" s="21" t="str">
        <f>IF([1]!BANCO10[[#This Row],[SOLUÇÃO]]=CU$1,[1]!BANCO10[[#This Row],[STATUS DA ETAPA]],"")</f>
        <v/>
      </c>
      <c r="CV609" s="21" t="str">
        <f>IF([1]!BANCO10[[#This Row],[SOLUÇÃO]]=CV$1,[1]!BANCO10[[#This Row],[STATUS DA ETAPA]],"")</f>
        <v/>
      </c>
    </row>
    <row r="610" spans="1:100">
      <c r="A610" s="44" t="s">
        <v>1</v>
      </c>
      <c r="B610" s="44"/>
      <c r="C610" s="44" t="s">
        <v>1</v>
      </c>
      <c r="D610" s="44"/>
      <c r="E610" s="44" t="s">
        <v>1</v>
      </c>
      <c r="F610" s="44"/>
      <c r="G610" s="44" t="s">
        <v>1</v>
      </c>
      <c r="H610" s="44"/>
      <c r="I610" s="45" t="s">
        <v>1</v>
      </c>
      <c r="J610" s="46"/>
      <c r="K610" s="45" t="s">
        <v>1</v>
      </c>
      <c r="L610" s="33"/>
      <c r="M610" s="45" t="s">
        <v>1</v>
      </c>
      <c r="N610" s="33"/>
      <c r="O610" s="44" t="s">
        <v>2</v>
      </c>
      <c r="P610" s="44">
        <v>44927</v>
      </c>
      <c r="Q610" s="44"/>
      <c r="R610" s="44"/>
      <c r="S610" s="44"/>
      <c r="T610" s="44"/>
      <c r="U610" s="44" t="s">
        <v>1</v>
      </c>
      <c r="V610" s="44"/>
      <c r="W610" s="44" t="s">
        <v>1</v>
      </c>
      <c r="X610" s="44"/>
      <c r="Y610" s="44" t="s">
        <v>1</v>
      </c>
      <c r="Z610" s="44"/>
      <c r="AA610" s="44" t="s">
        <v>1</v>
      </c>
      <c r="AB610" s="44"/>
      <c r="AC610" s="51">
        <v>45259</v>
      </c>
      <c r="AD610" s="50">
        <v>45394</v>
      </c>
      <c r="AE610" s="40" t="s">
        <v>2</v>
      </c>
      <c r="AF610" s="40" t="s">
        <v>2</v>
      </c>
      <c r="AG610" s="40" t="s">
        <v>5</v>
      </c>
      <c r="AH610" s="36" t="s">
        <v>2</v>
      </c>
      <c r="AI610" s="49">
        <v>0</v>
      </c>
      <c r="AJ610" s="36" t="s">
        <v>1</v>
      </c>
      <c r="AK610" s="10" t="s">
        <v>1</v>
      </c>
      <c r="AL610" s="36" t="s">
        <v>1</v>
      </c>
      <c r="AM610" s="36" t="s">
        <v>1</v>
      </c>
      <c r="AN610" s="35" t="s">
        <v>1</v>
      </c>
      <c r="AO610" s="35" t="s">
        <v>1</v>
      </c>
      <c r="AP610" s="35" t="s">
        <v>1</v>
      </c>
      <c r="AQ610" s="35" t="s">
        <v>1</v>
      </c>
      <c r="AR610" s="34" t="s">
        <v>1</v>
      </c>
      <c r="AS610" s="33"/>
      <c r="AT610" s="30"/>
      <c r="AU610" s="55"/>
      <c r="AV610" s="30"/>
      <c r="AW610" s="55"/>
      <c r="AX610" s="30" t="s">
        <v>2</v>
      </c>
      <c r="AY610" s="55">
        <v>45394</v>
      </c>
      <c r="AZ610" s="30" t="s">
        <v>0</v>
      </c>
      <c r="BA610" s="55"/>
      <c r="BB610" s="39" t="s">
        <v>283</v>
      </c>
      <c r="BC610" s="25"/>
      <c r="BD610" s="24" t="s">
        <v>11</v>
      </c>
      <c r="BE610" s="24" t="s">
        <v>11</v>
      </c>
      <c r="BF610" s="79" t="s">
        <v>11</v>
      </c>
      <c r="BG610" s="79" t="s">
        <v>11</v>
      </c>
      <c r="BH610" s="80" t="s">
        <v>11</v>
      </c>
      <c r="BI610" s="79"/>
      <c r="BJ610" s="54" t="s">
        <v>11</v>
      </c>
      <c r="BK610" s="78" t="s">
        <v>11</v>
      </c>
      <c r="BL610" s="69">
        <v>45393</v>
      </c>
      <c r="BM610" s="78" t="s">
        <v>11</v>
      </c>
      <c r="BN610" s="78" t="s">
        <v>11</v>
      </c>
      <c r="BO610" s="78"/>
      <c r="BP610" s="78" t="s">
        <v>282</v>
      </c>
      <c r="BQ610" s="21">
        <f>YEAR([1]!BANCO10[[#This Row],[DATA INÍCIO]])</f>
        <v>2023</v>
      </c>
      <c r="BR610" s="21">
        <f>MONTH([1]!BANCO10[[#This Row],[DATA INÍCIO]])</f>
        <v>11</v>
      </c>
      <c r="BS610" s="21" t="e">
        <f>CONCATENATE(#REF!,#REF!)</f>
        <v>#REF!</v>
      </c>
      <c r="BT610" s="21"/>
      <c r="BU610" s="21" t="s">
        <v>281</v>
      </c>
      <c r="BV610" s="21" t="str">
        <f>IF([1]!BANCO10[[#This Row],[SOLUÇÃO]]=BV$1,[1]!BANCO10[[#This Row],[STATUS DA ETAPA]],"")</f>
        <v/>
      </c>
      <c r="BW610" s="21" t="str">
        <f>IF([1]!BANCO10[[#This Row],[SOLUÇÃO]]=BW$1,[1]!BANCO10[[#This Row],[STATUS DA ETAPA]],"")</f>
        <v/>
      </c>
      <c r="BX610" s="21" t="str">
        <f>IF([1]!BANCO10[[#This Row],[SOLUÇÃO]]=BX$1,[1]!BANCO10[[#This Row],[STATUS DA ETAPA]],"")</f>
        <v/>
      </c>
      <c r="BY610" s="21" t="str">
        <f>IF([1]!BANCO10[[#This Row],[SOLUÇÃO]]=BY$1,[1]!BANCO10[[#This Row],[STATUS DA ETAPA]],"")</f>
        <v/>
      </c>
      <c r="BZ610" s="21" t="str">
        <f>IF([1]!BANCO10[[#This Row],[SOLUÇÃO]]=BZ$1,[1]!BANCO10[[#This Row],[STATUS DA ETAPA]],"")</f>
        <v/>
      </c>
      <c r="CA610" s="21" t="str">
        <f>IF([1]!BANCO10[[#This Row],[SOLUÇÃO]]=CA$1,[1]!BANCO10[[#This Row],[STATUS DA ETAPA]],"")</f>
        <v>CONCLUÍDO</v>
      </c>
      <c r="CB610" s="21" t="str">
        <f>IF([1]!BANCO10[[#This Row],[SOLUÇÃO]]=CB$1,[1]!BANCO10[[#This Row],[STATUS DA ETAPA]],"")</f>
        <v/>
      </c>
      <c r="CC610" s="21" t="str">
        <f>IF([1]!BANCO10[[#This Row],[SOLUÇÃO]]=CC$1,[1]!BANCO10[[#This Row],[STATUS DA ETAPA]],"")</f>
        <v/>
      </c>
      <c r="CD610" s="21" t="str">
        <f>IF([1]!BANCO10[[#This Row],[SOLUÇÃO]]=CD$1,[1]!BANCO10[[#This Row],[STATUS DA ETAPA]],"")</f>
        <v/>
      </c>
      <c r="CE610" s="21" t="str">
        <f>IF([1]!BANCO10[[#This Row],[SOLUÇÃO]]=CE$1,[1]!BANCO10[[#This Row],[STATUS DA ETAPA]],"")</f>
        <v/>
      </c>
      <c r="CF610" s="21" t="str">
        <f>IF([1]!BANCO10[[#This Row],[SOLUÇÃO]]=CF$1,[1]!BANCO10[[#This Row],[STATUS DA ETAPA]],"")</f>
        <v/>
      </c>
      <c r="CG610" s="21" t="str">
        <f>IF([1]!BANCO10[[#This Row],[SOLUÇÃO]]=CG$1,[1]!BANCO10[[#This Row],[STATUS DA ETAPA]],"")</f>
        <v/>
      </c>
      <c r="CH610" s="21" t="str">
        <f>IF([1]!BANCO10[[#This Row],[SOLUÇÃO]]=CH$1,[1]!BANCO10[[#This Row],[STATUS DA ETAPA]],"")</f>
        <v/>
      </c>
      <c r="CI610" s="21" t="str">
        <f>IF([1]!BANCO10[[#This Row],[SOLUÇÃO]]=CI$1,[1]!BANCO10[[#This Row],[STATUS DA ETAPA]],"")</f>
        <v/>
      </c>
      <c r="CJ610" s="21" t="str">
        <f>IF([1]!BANCO10[[#This Row],[SOLUÇÃO]]=CJ$1,[1]!BANCO10[[#This Row],[STATUS DA ETAPA]],"")</f>
        <v/>
      </c>
      <c r="CK610" s="21" t="str">
        <f>IF([1]!BANCO10[[#This Row],[SOLUÇÃO]]=CK$1,[1]!BANCO10[[#This Row],[STATUS DA ETAPA]],"")</f>
        <v/>
      </c>
      <c r="CL610" s="22" t="str">
        <f>IF([1]!BANCO10[[#This Row],[SOLUÇÃO]]=CL$1,[1]!BANCO10[[#This Row],[STATUS DA ETAPA]],"")</f>
        <v/>
      </c>
      <c r="CM610" s="64" t="str">
        <f>IF([1]!BANCO10[[#This Row],[SOLUÇÃO]]=CM$1,[1]!BANCO10[[#This Row],[STATUS DA ETAPA]],"")</f>
        <v/>
      </c>
      <c r="CN610" s="64" t="str">
        <f>IF([1]!BANCO10[[#This Row],[SOLUÇÃO]]=CN$1,[1]!BANCO10[[#This Row],[STATUS DA ETAPA]],"")</f>
        <v/>
      </c>
      <c r="CO610" s="64" t="str">
        <f>IF([1]!BANCO10[[#This Row],[SOLUÇÃO]]=CO$1,[1]!BANCO10[[#This Row],[STATUS DA ETAPA]],"")</f>
        <v/>
      </c>
      <c r="CP610" s="64" t="str">
        <f>IF([1]!BANCO10[[#This Row],[SOLUÇÃO]]=CP$1,[1]!BANCO10[[#This Row],[STATUS DA ETAPA]],"")</f>
        <v/>
      </c>
      <c r="CQ610" s="64" t="str">
        <f>IF([1]!BANCO10[[#This Row],[SOLUÇÃO]]=CQ$1,[1]!BANCO10[[#This Row],[STATUS DA ETAPA]],"")</f>
        <v/>
      </c>
      <c r="CR610" s="64" t="str">
        <f>IF([1]!BANCO10[[#This Row],[SOLUÇÃO]]=CR$1,[1]!BANCO10[[#This Row],[STATUS DA ETAPA]],"")</f>
        <v/>
      </c>
      <c r="CS610" s="64" t="str">
        <f>IF([1]!BANCO10[[#This Row],[SOLUÇÃO]]=CS$1,[1]!BANCO10[[#This Row],[STATUS DA ETAPA]],"")</f>
        <v/>
      </c>
      <c r="CT610" s="64" t="str">
        <f>IF([1]!BANCO10[[#This Row],[SOLUÇÃO]]=CT$1,[1]!BANCO10[[#This Row],[STATUS DA ETAPA]],"")</f>
        <v/>
      </c>
      <c r="CU610" s="64" t="str">
        <f>IF([1]!BANCO10[[#This Row],[SOLUÇÃO]]=CU$1,[1]!BANCO10[[#This Row],[STATUS DA ETAPA]],"")</f>
        <v/>
      </c>
      <c r="CV610" s="64" t="str">
        <f>IF([1]!BANCO10[[#This Row],[SOLUÇÃO]]=CV$1,[1]!BANCO10[[#This Row],[STATUS DA ETAPA]],"")</f>
        <v/>
      </c>
    </row>
    <row r="611" spans="1:100">
      <c r="A611" s="44" t="s">
        <v>1</v>
      </c>
      <c r="B611" s="44"/>
      <c r="C611" s="44" t="s">
        <v>1</v>
      </c>
      <c r="D611" s="44"/>
      <c r="E611" s="44" t="s">
        <v>1</v>
      </c>
      <c r="F611" s="44"/>
      <c r="G611" s="44" t="s">
        <v>1</v>
      </c>
      <c r="H611" s="44"/>
      <c r="I611" s="45" t="s">
        <v>1</v>
      </c>
      <c r="J611" s="46"/>
      <c r="K611" s="45" t="s">
        <v>1</v>
      </c>
      <c r="L611" s="33"/>
      <c r="M611" s="45" t="s">
        <v>1</v>
      </c>
      <c r="N611" s="33"/>
      <c r="O611" s="44" t="s">
        <v>1</v>
      </c>
      <c r="P611" s="44"/>
      <c r="Q611" s="44" t="s">
        <v>1</v>
      </c>
      <c r="R611" s="44"/>
      <c r="S611" s="44" t="s">
        <v>1</v>
      </c>
      <c r="T611" s="44"/>
      <c r="U611" s="44" t="s">
        <v>1</v>
      </c>
      <c r="V611" s="44"/>
      <c r="W611" s="44" t="s">
        <v>1</v>
      </c>
      <c r="X611" s="44"/>
      <c r="Y611" s="44" t="s">
        <v>1</v>
      </c>
      <c r="Z611" s="44"/>
      <c r="AA611" s="44" t="s">
        <v>2</v>
      </c>
      <c r="AB611" s="44"/>
      <c r="AC611" s="51">
        <v>45833</v>
      </c>
      <c r="AD611" s="50">
        <v>45917</v>
      </c>
      <c r="AE611" s="68" t="s">
        <v>2</v>
      </c>
      <c r="AF611" s="68" t="s">
        <v>2</v>
      </c>
      <c r="AG611" s="76" t="s">
        <v>4</v>
      </c>
      <c r="AH611" s="36" t="s">
        <v>0</v>
      </c>
      <c r="AI611" s="49">
        <v>0</v>
      </c>
      <c r="AJ611" s="36" t="s">
        <v>6</v>
      </c>
      <c r="AK611" s="10" t="s">
        <v>280</v>
      </c>
      <c r="AL611" s="36">
        <v>4712</v>
      </c>
      <c r="AM611" s="36">
        <v>118964</v>
      </c>
      <c r="AN611" s="35" t="s">
        <v>1</v>
      </c>
      <c r="AO611" s="35" t="s">
        <v>1</v>
      </c>
      <c r="AP611" s="35" t="s">
        <v>2</v>
      </c>
      <c r="AQ611" s="35" t="s">
        <v>1</v>
      </c>
      <c r="AR611" s="34" t="s">
        <v>1</v>
      </c>
      <c r="AS611" s="33"/>
      <c r="AT611" s="32" t="s">
        <v>2</v>
      </c>
      <c r="AU611" s="31">
        <v>45918</v>
      </c>
      <c r="AV611" s="32" t="s">
        <v>2</v>
      </c>
      <c r="AW611" s="31">
        <v>45918</v>
      </c>
      <c r="AX611" s="30" t="s">
        <v>2</v>
      </c>
      <c r="AY611" s="31">
        <v>45922</v>
      </c>
      <c r="AZ611" s="28" t="s">
        <v>0</v>
      </c>
      <c r="BA611" s="27"/>
      <c r="BB611" s="127" t="s">
        <v>279</v>
      </c>
      <c r="BC611" s="39"/>
      <c r="BD611" s="24"/>
      <c r="BE611" s="24"/>
      <c r="BF611" s="24"/>
      <c r="BG611" s="24"/>
      <c r="BH611" s="24"/>
      <c r="BI611" s="24"/>
      <c r="BJ611" s="24"/>
      <c r="BK611" s="24"/>
      <c r="BL611" s="24"/>
      <c r="BM611" s="24"/>
      <c r="BN611" s="24"/>
      <c r="BO611" s="24"/>
      <c r="BP611" s="24"/>
      <c r="BQ611" s="22">
        <f>YEAR([1]!BANCO10[[#This Row],[DATA INÍCIO]])</f>
        <v>2025</v>
      </c>
      <c r="BR611" s="22">
        <f>MONTH([1]!BANCO10[[#This Row],[DATA INÍCIO]])</f>
        <v>6</v>
      </c>
      <c r="BS611" s="23" t="e">
        <f>CONCATENATE(#REF!,#REF!)</f>
        <v>#REF!</v>
      </c>
      <c r="BT611" s="22"/>
      <c r="BU611" s="22"/>
      <c r="BV611" s="21" t="str">
        <f>IF([1]!BANCO10[[#This Row],[SOLUÇÃO]]=BV$1,[1]!BANCO10[[#This Row],[STATUS DA ETAPA]],"")</f>
        <v/>
      </c>
      <c r="BW611" s="21" t="str">
        <f>IF([1]!BANCO10[[#This Row],[SOLUÇÃO]]=BW$1,[1]!BANCO10[[#This Row],[STATUS DA ETAPA]],"")</f>
        <v>CONCLUÍDO</v>
      </c>
      <c r="BX611" s="21" t="str">
        <f>IF([1]!BANCO10[[#This Row],[SOLUÇÃO]]=BX$1,[1]!BANCO10[[#This Row],[STATUS DA ETAPA]],"")</f>
        <v/>
      </c>
      <c r="BY611" s="21" t="str">
        <f>IF([1]!BANCO10[[#This Row],[SOLUÇÃO]]=BY$1,[1]!BANCO10[[#This Row],[STATUS DA ETAPA]],"")</f>
        <v/>
      </c>
      <c r="BZ611" s="21" t="str">
        <f>IF([1]!BANCO10[[#This Row],[SOLUÇÃO]]=BZ$1,[1]!BANCO10[[#This Row],[STATUS DA ETAPA]],"")</f>
        <v/>
      </c>
      <c r="CA611" s="21" t="str">
        <f>IF([1]!BANCO10[[#This Row],[SOLUÇÃO]]=CA$1,[1]!BANCO10[[#This Row],[STATUS DA ETAPA]],"")</f>
        <v/>
      </c>
      <c r="CB611" s="21" t="str">
        <f>IF([1]!BANCO10[[#This Row],[SOLUÇÃO]]=CB$1,[1]!BANCO10[[#This Row],[STATUS DA ETAPA]],"")</f>
        <v/>
      </c>
      <c r="CC611" s="21" t="str">
        <f>IF([1]!BANCO10[[#This Row],[SOLUÇÃO]]=CC$1,[1]!BANCO10[[#This Row],[STATUS DA ETAPA]],"")</f>
        <v/>
      </c>
      <c r="CD611" s="21" t="str">
        <f>IF([1]!BANCO10[[#This Row],[SOLUÇÃO]]=CD$1,[1]!BANCO10[[#This Row],[STATUS DA ETAPA]],"")</f>
        <v/>
      </c>
      <c r="CE611" s="21" t="str">
        <f>IF([1]!BANCO10[[#This Row],[SOLUÇÃO]]=CE$1,[1]!BANCO10[[#This Row],[STATUS DA ETAPA]],"")</f>
        <v/>
      </c>
      <c r="CF611" s="21" t="str">
        <f>IF([1]!BANCO10[[#This Row],[SOLUÇÃO]]=CF$1,[1]!BANCO10[[#This Row],[STATUS DA ETAPA]],"")</f>
        <v/>
      </c>
      <c r="CG611" s="21" t="str">
        <f>IF([1]!BANCO10[[#This Row],[SOLUÇÃO]]=CG$1,[1]!BANCO10[[#This Row],[STATUS DA ETAPA]],"")</f>
        <v/>
      </c>
      <c r="CH611" s="21" t="str">
        <f>IF([1]!BANCO10[[#This Row],[SOLUÇÃO]]=CH$1,[1]!BANCO10[[#This Row],[STATUS DA ETAPA]],"")</f>
        <v/>
      </c>
      <c r="CI611" s="21" t="str">
        <f>IF([1]!BANCO10[[#This Row],[SOLUÇÃO]]=CI$1,[1]!BANCO10[[#This Row],[STATUS DA ETAPA]],"")</f>
        <v/>
      </c>
      <c r="CJ611" s="21" t="str">
        <f>IF([1]!BANCO10[[#This Row],[SOLUÇÃO]]=CJ$1,[1]!BANCO10[[#This Row],[STATUS DA ETAPA]],"")</f>
        <v/>
      </c>
      <c r="CK611" s="21" t="str">
        <f>IF([1]!BANCO10[[#This Row],[SOLUÇÃO]]=CK$1,[1]!BANCO10[[#This Row],[STATUS DA ETAPA]],"")</f>
        <v/>
      </c>
      <c r="CL611" s="21" t="str">
        <f>IF([1]!BANCO10[[#This Row],[SOLUÇÃO]]=CL$1,[1]!BANCO10[[#This Row],[STATUS DA ETAPA]],"")</f>
        <v/>
      </c>
      <c r="CM611" s="21" t="str">
        <f>IF([1]!BANCO10[[#This Row],[SOLUÇÃO]]=CM$1,[1]!BANCO10[[#This Row],[STATUS DA ETAPA]],"")</f>
        <v/>
      </c>
      <c r="CN611" s="21" t="str">
        <f>IF([1]!BANCO10[[#This Row],[SOLUÇÃO]]=CN$1,[1]!BANCO10[[#This Row],[STATUS DA ETAPA]],"")</f>
        <v/>
      </c>
      <c r="CO611" s="21" t="str">
        <f>IF([1]!BANCO10[[#This Row],[SOLUÇÃO]]=CO$1,[1]!BANCO10[[#This Row],[STATUS DA ETAPA]],"")</f>
        <v/>
      </c>
      <c r="CP611" s="21" t="str">
        <f>IF([1]!BANCO10[[#This Row],[SOLUÇÃO]]=CP$1,[1]!BANCO10[[#This Row],[STATUS DA ETAPA]],"")</f>
        <v/>
      </c>
      <c r="CQ611" s="21" t="str">
        <f>IF([1]!BANCO10[[#This Row],[SOLUÇÃO]]=CQ$1,[1]!BANCO10[[#This Row],[STATUS DA ETAPA]],"")</f>
        <v/>
      </c>
      <c r="CR611" s="21" t="str">
        <f>IF([1]!BANCO10[[#This Row],[SOLUÇÃO]]=CR$1,[1]!BANCO10[[#This Row],[STATUS DA ETAPA]],"")</f>
        <v/>
      </c>
      <c r="CS611" s="21" t="str">
        <f>IF([1]!BANCO10[[#This Row],[SOLUÇÃO]]=CS$1,[1]!BANCO10[[#This Row],[STATUS DA ETAPA]],"")</f>
        <v/>
      </c>
      <c r="CT611" s="21" t="str">
        <f>IF([1]!BANCO10[[#This Row],[SOLUÇÃO]]=CT$1,[1]!BANCO10[[#This Row],[STATUS DA ETAPA]],"")</f>
        <v/>
      </c>
      <c r="CU611" s="21" t="str">
        <f>IF([1]!BANCO10[[#This Row],[SOLUÇÃO]]=CU$1,[1]!BANCO10[[#This Row],[STATUS DA ETAPA]],"")</f>
        <v/>
      </c>
      <c r="CV611" s="21" t="str">
        <f>IF([1]!BANCO10[[#This Row],[SOLUÇÃO]]=CV$1,[1]!BANCO10[[#This Row],[STATUS DA ETAPA]],"")</f>
        <v/>
      </c>
    </row>
    <row r="612" spans="1:100">
      <c r="A612" s="44" t="s">
        <v>1</v>
      </c>
      <c r="B612" s="44"/>
      <c r="C612" s="44" t="s">
        <v>1</v>
      </c>
      <c r="D612" s="44"/>
      <c r="E612" s="44" t="s">
        <v>1</v>
      </c>
      <c r="F612" s="44"/>
      <c r="G612" s="44" t="s">
        <v>1</v>
      </c>
      <c r="H612" s="44"/>
      <c r="I612" s="45" t="s">
        <v>1</v>
      </c>
      <c r="J612" s="46"/>
      <c r="K612" s="45" t="s">
        <v>1</v>
      </c>
      <c r="L612" s="33"/>
      <c r="M612" s="45" t="s">
        <v>1</v>
      </c>
      <c r="N612" s="33"/>
      <c r="O612" s="44" t="s">
        <v>1</v>
      </c>
      <c r="P612" s="44"/>
      <c r="Q612" s="44" t="s">
        <v>1</v>
      </c>
      <c r="R612" s="44"/>
      <c r="S612" s="44" t="s">
        <v>1</v>
      </c>
      <c r="T612" s="44"/>
      <c r="U612" s="44" t="s">
        <v>1</v>
      </c>
      <c r="V612" s="44"/>
      <c r="W612" s="44" t="s">
        <v>1</v>
      </c>
      <c r="X612" s="44"/>
      <c r="Y612" s="44" t="s">
        <v>1</v>
      </c>
      <c r="Z612" s="44"/>
      <c r="AA612" s="44" t="s">
        <v>1</v>
      </c>
      <c r="AB612" s="44"/>
      <c r="AC612" s="51">
        <v>45577</v>
      </c>
      <c r="AD612" s="50">
        <v>45577</v>
      </c>
      <c r="AE612" s="41" t="s">
        <v>1</v>
      </c>
      <c r="AF612" s="41" t="s">
        <v>1</v>
      </c>
      <c r="AG612" s="40" t="s">
        <v>5</v>
      </c>
      <c r="AH612" s="36" t="s">
        <v>1</v>
      </c>
      <c r="AI612" s="49">
        <v>0</v>
      </c>
      <c r="AJ612" s="36" t="s">
        <v>1</v>
      </c>
      <c r="AK612" s="10" t="s">
        <v>1</v>
      </c>
      <c r="AL612" s="36" t="s">
        <v>1</v>
      </c>
      <c r="AM612" s="36" t="s">
        <v>1</v>
      </c>
      <c r="AN612" s="35" t="s">
        <v>1</v>
      </c>
      <c r="AO612" s="35" t="s">
        <v>1</v>
      </c>
      <c r="AP612" s="35" t="s">
        <v>1</v>
      </c>
      <c r="AQ612" s="35" t="s">
        <v>1</v>
      </c>
      <c r="AR612" s="90" t="s">
        <v>1</v>
      </c>
      <c r="AS612" s="89"/>
      <c r="AT612" s="88"/>
      <c r="AU612" s="25"/>
      <c r="AV612" s="88"/>
      <c r="AW612" s="25"/>
      <c r="AX612" s="88" t="s">
        <v>1</v>
      </c>
      <c r="AY612" s="25"/>
      <c r="AZ612" s="88" t="s">
        <v>1</v>
      </c>
      <c r="BA612" s="25"/>
      <c r="BB612" s="39"/>
      <c r="BC612" s="39"/>
      <c r="BD612" s="24"/>
      <c r="BE612" s="24"/>
      <c r="BF612" s="79"/>
      <c r="BG612" s="79"/>
      <c r="BH612" s="80"/>
      <c r="BI612" s="79"/>
      <c r="BJ612" s="54"/>
      <c r="BK612" s="78"/>
      <c r="BL612" s="69"/>
      <c r="BM612" s="78"/>
      <c r="BN612" s="78"/>
      <c r="BO612" s="78"/>
      <c r="BP612" s="78"/>
      <c r="BQ612" s="21">
        <f>YEAR([1]!BANCO10[[#This Row],[DATA INÍCIO]])</f>
        <v>2024</v>
      </c>
      <c r="BR612" s="21">
        <f>MONTH([1]!BANCO10[[#This Row],[DATA INÍCIO]])</f>
        <v>10</v>
      </c>
      <c r="BS612" s="21" t="e">
        <f>CONCATENATE(#REF!,#REF!)</f>
        <v>#REF!</v>
      </c>
      <c r="BT612" s="21"/>
      <c r="BU612" s="21"/>
      <c r="BV612" s="21" t="str">
        <f>IF([1]!BANCO10[[#This Row],[SOLUÇÃO]]=BV$1,[1]!BANCO10[[#This Row],[STATUS DA ETAPA]],"")</f>
        <v>CONCLUÍDO</v>
      </c>
      <c r="BW612" s="21" t="str">
        <f>IF([1]!BANCO10[[#This Row],[SOLUÇÃO]]=BW$1,[1]!BANCO10[[#This Row],[STATUS DA ETAPA]],"")</f>
        <v/>
      </c>
      <c r="BX612" s="21" t="str">
        <f>IF([1]!BANCO10[[#This Row],[SOLUÇÃO]]=BX$1,[1]!BANCO10[[#This Row],[STATUS DA ETAPA]],"")</f>
        <v/>
      </c>
      <c r="BY612" s="21" t="str">
        <f>IF([1]!BANCO10[[#This Row],[SOLUÇÃO]]=BY$1,[1]!BANCO10[[#This Row],[STATUS DA ETAPA]],"")</f>
        <v/>
      </c>
      <c r="BZ612" s="21" t="str">
        <f>IF([1]!BANCO10[[#This Row],[SOLUÇÃO]]=BZ$1,[1]!BANCO10[[#This Row],[STATUS DA ETAPA]],"")</f>
        <v/>
      </c>
      <c r="CA612" s="21" t="str">
        <f>IF([1]!BANCO10[[#This Row],[SOLUÇÃO]]=CA$1,[1]!BANCO10[[#This Row],[STATUS DA ETAPA]],"")</f>
        <v/>
      </c>
      <c r="CB612" s="21" t="str">
        <f>IF([1]!BANCO10[[#This Row],[SOLUÇÃO]]=CB$1,[1]!BANCO10[[#This Row],[STATUS DA ETAPA]],"")</f>
        <v/>
      </c>
      <c r="CC612" s="21" t="str">
        <f>IF([1]!BANCO10[[#This Row],[SOLUÇÃO]]=CC$1,[1]!BANCO10[[#This Row],[STATUS DA ETAPA]],"")</f>
        <v/>
      </c>
      <c r="CD612" s="21" t="str">
        <f>IF([1]!BANCO10[[#This Row],[SOLUÇÃO]]=CD$1,[1]!BANCO10[[#This Row],[STATUS DA ETAPA]],"")</f>
        <v/>
      </c>
      <c r="CE612" s="21" t="str">
        <f>IF([1]!BANCO10[[#This Row],[SOLUÇÃO]]=CE$1,[1]!BANCO10[[#This Row],[STATUS DA ETAPA]],"")</f>
        <v/>
      </c>
      <c r="CF612" s="21" t="str">
        <f>IF([1]!BANCO10[[#This Row],[SOLUÇÃO]]=CF$1,[1]!BANCO10[[#This Row],[STATUS DA ETAPA]],"")</f>
        <v/>
      </c>
      <c r="CG612" s="21" t="str">
        <f>IF([1]!BANCO10[[#This Row],[SOLUÇÃO]]=CG$1,[1]!BANCO10[[#This Row],[STATUS DA ETAPA]],"")</f>
        <v/>
      </c>
      <c r="CH612" s="21" t="str">
        <f>IF([1]!BANCO10[[#This Row],[SOLUÇÃO]]=CH$1,[1]!BANCO10[[#This Row],[STATUS DA ETAPA]],"")</f>
        <v/>
      </c>
      <c r="CI612" s="21" t="str">
        <f>IF([1]!BANCO10[[#This Row],[SOLUÇÃO]]=CI$1,[1]!BANCO10[[#This Row],[STATUS DA ETAPA]],"")</f>
        <v/>
      </c>
      <c r="CJ612" s="21" t="str">
        <f>IF([1]!BANCO10[[#This Row],[SOLUÇÃO]]=CJ$1,[1]!BANCO10[[#This Row],[STATUS DA ETAPA]],"")</f>
        <v/>
      </c>
      <c r="CK612" s="21" t="str">
        <f>IF([1]!BANCO10[[#This Row],[SOLUÇÃO]]=CK$1,[1]!BANCO10[[#This Row],[STATUS DA ETAPA]],"")</f>
        <v/>
      </c>
      <c r="CL612" s="22" t="str">
        <f>IF([1]!BANCO10[[#This Row],[SOLUÇÃO]]=CL$1,[1]!BANCO10[[#This Row],[STATUS DA ETAPA]],"")</f>
        <v/>
      </c>
      <c r="CM612" s="64" t="str">
        <f>IF([1]!BANCO10[[#This Row],[SOLUÇÃO]]=CM$1,[1]!BANCO10[[#This Row],[STATUS DA ETAPA]],"")</f>
        <v/>
      </c>
      <c r="CN612" s="64" t="str">
        <f>IF([1]!BANCO10[[#This Row],[SOLUÇÃO]]=CN$1,[1]!BANCO10[[#This Row],[STATUS DA ETAPA]],"")</f>
        <v/>
      </c>
      <c r="CO612" s="64" t="str">
        <f>IF([1]!BANCO10[[#This Row],[SOLUÇÃO]]=CO$1,[1]!BANCO10[[#This Row],[STATUS DA ETAPA]],"")</f>
        <v/>
      </c>
      <c r="CP612" s="64" t="str">
        <f>IF([1]!BANCO10[[#This Row],[SOLUÇÃO]]=CP$1,[1]!BANCO10[[#This Row],[STATUS DA ETAPA]],"")</f>
        <v/>
      </c>
      <c r="CQ612" s="64" t="str">
        <f>IF([1]!BANCO10[[#This Row],[SOLUÇÃO]]=CQ$1,[1]!BANCO10[[#This Row],[STATUS DA ETAPA]],"")</f>
        <v/>
      </c>
      <c r="CR612" s="64" t="str">
        <f>IF([1]!BANCO10[[#This Row],[SOLUÇÃO]]=CR$1,[1]!BANCO10[[#This Row],[STATUS DA ETAPA]],"")</f>
        <v/>
      </c>
      <c r="CS612" s="64" t="str">
        <f>IF([1]!BANCO10[[#This Row],[SOLUÇÃO]]=CS$1,[1]!BANCO10[[#This Row],[STATUS DA ETAPA]],"")</f>
        <v/>
      </c>
      <c r="CT612" s="64" t="str">
        <f>IF([1]!BANCO10[[#This Row],[SOLUÇÃO]]=CT$1,[1]!BANCO10[[#This Row],[STATUS DA ETAPA]],"")</f>
        <v/>
      </c>
      <c r="CU612" s="64" t="str">
        <f>IF([1]!BANCO10[[#This Row],[SOLUÇÃO]]=CU$1,[1]!BANCO10[[#This Row],[STATUS DA ETAPA]],"")</f>
        <v/>
      </c>
      <c r="CV612" s="64" t="str">
        <f>IF([1]!BANCO10[[#This Row],[SOLUÇÃO]]=CV$1,[1]!BANCO10[[#This Row],[STATUS DA ETAPA]],"")</f>
        <v/>
      </c>
    </row>
    <row r="613" spans="1:100">
      <c r="A613" s="44" t="s">
        <v>1</v>
      </c>
      <c r="B613" s="44"/>
      <c r="C613" s="44" t="s">
        <v>1</v>
      </c>
      <c r="D613" s="44"/>
      <c r="E613" s="44" t="s">
        <v>1</v>
      </c>
      <c r="F613" s="44"/>
      <c r="G613" s="44" t="s">
        <v>1</v>
      </c>
      <c r="H613" s="44"/>
      <c r="I613" s="45" t="s">
        <v>1</v>
      </c>
      <c r="J613" s="46"/>
      <c r="K613" s="45" t="s">
        <v>1</v>
      </c>
      <c r="L613" s="33"/>
      <c r="M613" s="45" t="s">
        <v>1</v>
      </c>
      <c r="N613" s="33"/>
      <c r="O613" s="44" t="s">
        <v>2</v>
      </c>
      <c r="P613" s="44">
        <v>45531</v>
      </c>
      <c r="Q613" s="44" t="s">
        <v>2</v>
      </c>
      <c r="R613" s="44">
        <v>45536</v>
      </c>
      <c r="S613" s="44" t="s">
        <v>2</v>
      </c>
      <c r="T613" s="44">
        <v>45607</v>
      </c>
      <c r="U613" s="44" t="s">
        <v>1</v>
      </c>
      <c r="V613" s="44"/>
      <c r="W613" s="44" t="s">
        <v>1</v>
      </c>
      <c r="X613" s="44"/>
      <c r="Y613" s="44" t="s">
        <v>1</v>
      </c>
      <c r="Z613" s="44"/>
      <c r="AA613" s="44" t="s">
        <v>1</v>
      </c>
      <c r="AB613" s="44"/>
      <c r="AC613" s="51">
        <v>45665</v>
      </c>
      <c r="AD613" s="50">
        <v>45834</v>
      </c>
      <c r="AE613" s="54" t="s">
        <v>2</v>
      </c>
      <c r="AF613" s="41" t="s">
        <v>2</v>
      </c>
      <c r="AG613" s="40" t="s">
        <v>5</v>
      </c>
      <c r="AH613" s="36" t="s">
        <v>0</v>
      </c>
      <c r="AI613" s="49">
        <v>0</v>
      </c>
      <c r="AJ613" s="36" t="s">
        <v>6</v>
      </c>
      <c r="AK613" s="10">
        <v>577712</v>
      </c>
      <c r="AL613" s="36" t="s">
        <v>1</v>
      </c>
      <c r="AM613" s="36" t="s">
        <v>1</v>
      </c>
      <c r="AN613" s="35" t="s">
        <v>2</v>
      </c>
      <c r="AO613" s="35" t="s">
        <v>2</v>
      </c>
      <c r="AP613" s="35" t="s">
        <v>2</v>
      </c>
      <c r="AQ613" s="35" t="s">
        <v>2</v>
      </c>
      <c r="AR613" s="33" t="s">
        <v>2</v>
      </c>
      <c r="AS613" s="33">
        <v>45804</v>
      </c>
      <c r="AT613" s="32" t="s">
        <v>1</v>
      </c>
      <c r="AU613" s="31"/>
      <c r="AV613" s="32" t="s">
        <v>1</v>
      </c>
      <c r="AW613" s="31"/>
      <c r="AX613" s="30" t="s">
        <v>2</v>
      </c>
      <c r="AY613" s="29">
        <v>45804</v>
      </c>
      <c r="AZ613" s="28" t="s">
        <v>0</v>
      </c>
      <c r="BA613" s="81"/>
      <c r="BB613" s="95" t="s">
        <v>143</v>
      </c>
      <c r="BC613" s="22">
        <v>0</v>
      </c>
      <c r="BD613" s="24"/>
      <c r="BE613" s="24"/>
      <c r="BF613" s="79"/>
      <c r="BG613" s="79"/>
      <c r="BH613" s="80"/>
      <c r="BI613" s="79"/>
      <c r="BJ613" s="54"/>
      <c r="BK613" s="78"/>
      <c r="BL613" s="69"/>
      <c r="BM613" s="78"/>
      <c r="BN613" s="78"/>
      <c r="BO613" s="78"/>
      <c r="BP613" s="78"/>
      <c r="BQ613" s="21">
        <f>YEAR([1]!BANCO10[[#This Row],[DATA INÍCIO]])</f>
        <v>2025</v>
      </c>
      <c r="BR613" s="21">
        <f>MONTH([1]!BANCO10[[#This Row],[DATA INÍCIO]])</f>
        <v>1</v>
      </c>
      <c r="BS613" s="21" t="e">
        <f>CONCATENATE(#REF!,#REF!)</f>
        <v>#REF!</v>
      </c>
      <c r="BT613" s="21"/>
      <c r="BU613" s="21"/>
      <c r="BV613" s="21" t="str">
        <f>IF([1]!BANCO10[[#This Row],[SOLUÇÃO]]=BV$1,[1]!BANCO10[[#This Row],[STATUS DA ETAPA]],"")</f>
        <v/>
      </c>
      <c r="BW613" s="21" t="str">
        <f>IF([1]!BANCO10[[#This Row],[SOLUÇÃO]]=BW$1,[1]!BANCO10[[#This Row],[STATUS DA ETAPA]],"")</f>
        <v/>
      </c>
      <c r="BX613" s="21" t="str">
        <f>IF([1]!BANCO10[[#This Row],[SOLUÇÃO]]=BX$1,[1]!BANCO10[[#This Row],[STATUS DA ETAPA]],"")</f>
        <v/>
      </c>
      <c r="BY613" s="21" t="str">
        <f>IF([1]!BANCO10[[#This Row],[SOLUÇÃO]]=BY$1,[1]!BANCO10[[#This Row],[STATUS DA ETAPA]],"")</f>
        <v/>
      </c>
      <c r="BZ613" s="21" t="str">
        <f>IF([1]!BANCO10[[#This Row],[SOLUÇÃO]]=BZ$1,[1]!BANCO10[[#This Row],[STATUS DA ETAPA]],"")</f>
        <v/>
      </c>
      <c r="CA613" s="21" t="str">
        <f>IF([1]!BANCO10[[#This Row],[SOLUÇÃO]]=CA$1,[1]!BANCO10[[#This Row],[STATUS DA ETAPA]],"")</f>
        <v/>
      </c>
      <c r="CB613" s="21" t="str">
        <f>IF([1]!BANCO10[[#This Row],[SOLUÇÃO]]=CB$1,[1]!BANCO10[[#This Row],[STATUS DA ETAPA]],"")</f>
        <v>CONCLUÍDO</v>
      </c>
      <c r="CC613" s="21" t="str">
        <f>IF([1]!BANCO10[[#This Row],[SOLUÇÃO]]=CC$1,[1]!BANCO10[[#This Row],[STATUS DA ETAPA]],"")</f>
        <v/>
      </c>
      <c r="CD613" s="21" t="str">
        <f>IF([1]!BANCO10[[#This Row],[SOLUÇÃO]]=CD$1,[1]!BANCO10[[#This Row],[STATUS DA ETAPA]],"")</f>
        <v/>
      </c>
      <c r="CE613" s="21" t="str">
        <f>IF([1]!BANCO10[[#This Row],[SOLUÇÃO]]=CE$1,[1]!BANCO10[[#This Row],[STATUS DA ETAPA]],"")</f>
        <v/>
      </c>
      <c r="CF613" s="21" t="str">
        <f>IF([1]!BANCO10[[#This Row],[SOLUÇÃO]]=CF$1,[1]!BANCO10[[#This Row],[STATUS DA ETAPA]],"")</f>
        <v/>
      </c>
      <c r="CG613" s="21" t="str">
        <f>IF([1]!BANCO10[[#This Row],[SOLUÇÃO]]=CG$1,[1]!BANCO10[[#This Row],[STATUS DA ETAPA]],"")</f>
        <v/>
      </c>
      <c r="CH613" s="21" t="str">
        <f>IF([1]!BANCO10[[#This Row],[SOLUÇÃO]]=CH$1,[1]!BANCO10[[#This Row],[STATUS DA ETAPA]],"")</f>
        <v/>
      </c>
      <c r="CI613" s="21" t="str">
        <f>IF([1]!BANCO10[[#This Row],[SOLUÇÃO]]=CI$1,[1]!BANCO10[[#This Row],[STATUS DA ETAPA]],"")</f>
        <v/>
      </c>
      <c r="CJ613" s="21" t="str">
        <f>IF([1]!BANCO10[[#This Row],[SOLUÇÃO]]=CJ$1,[1]!BANCO10[[#This Row],[STATUS DA ETAPA]],"")</f>
        <v/>
      </c>
      <c r="CK613" s="21" t="str">
        <f>IF([1]!BANCO10[[#This Row],[SOLUÇÃO]]=CK$1,[1]!BANCO10[[#This Row],[STATUS DA ETAPA]],"")</f>
        <v/>
      </c>
      <c r="CL613" s="22" t="str">
        <f>IF([1]!BANCO10[[#This Row],[SOLUÇÃO]]=CL$1,[1]!BANCO10[[#This Row],[STATUS DA ETAPA]],"")</f>
        <v/>
      </c>
      <c r="CM613" s="64" t="str">
        <f>IF([1]!BANCO10[[#This Row],[SOLUÇÃO]]=CM$1,[1]!BANCO10[[#This Row],[STATUS DA ETAPA]],"")</f>
        <v/>
      </c>
      <c r="CN613" s="64" t="str">
        <f>IF([1]!BANCO10[[#This Row],[SOLUÇÃO]]=CN$1,[1]!BANCO10[[#This Row],[STATUS DA ETAPA]],"")</f>
        <v/>
      </c>
      <c r="CO613" s="64" t="str">
        <f>IF([1]!BANCO10[[#This Row],[SOLUÇÃO]]=CO$1,[1]!BANCO10[[#This Row],[STATUS DA ETAPA]],"")</f>
        <v/>
      </c>
      <c r="CP613" s="64" t="str">
        <f>IF([1]!BANCO10[[#This Row],[SOLUÇÃO]]=CP$1,[1]!BANCO10[[#This Row],[STATUS DA ETAPA]],"")</f>
        <v/>
      </c>
      <c r="CQ613" s="64" t="str">
        <f>IF([1]!BANCO10[[#This Row],[SOLUÇÃO]]=CQ$1,[1]!BANCO10[[#This Row],[STATUS DA ETAPA]],"")</f>
        <v/>
      </c>
      <c r="CR613" s="64" t="str">
        <f>IF([1]!BANCO10[[#This Row],[SOLUÇÃO]]=CR$1,[1]!BANCO10[[#This Row],[STATUS DA ETAPA]],"")</f>
        <v/>
      </c>
      <c r="CS613" s="64" t="str">
        <f>IF([1]!BANCO10[[#This Row],[SOLUÇÃO]]=CS$1,[1]!BANCO10[[#This Row],[STATUS DA ETAPA]],"")</f>
        <v/>
      </c>
      <c r="CT613" s="64" t="str">
        <f>IF([1]!BANCO10[[#This Row],[SOLUÇÃO]]=CT$1,[1]!BANCO10[[#This Row],[STATUS DA ETAPA]],"")</f>
        <v/>
      </c>
      <c r="CU613" s="64" t="str">
        <f>IF([1]!BANCO10[[#This Row],[SOLUÇÃO]]=CU$1,[1]!BANCO10[[#This Row],[STATUS DA ETAPA]],"")</f>
        <v/>
      </c>
      <c r="CV613" s="64" t="str">
        <f>IF([1]!BANCO10[[#This Row],[SOLUÇÃO]]=CV$1,[1]!BANCO10[[#This Row],[STATUS DA ETAPA]],"")</f>
        <v/>
      </c>
    </row>
    <row r="614" spans="1:100">
      <c r="A614" s="44" t="s">
        <v>1</v>
      </c>
      <c r="B614" s="44"/>
      <c r="C614" s="44" t="s">
        <v>1</v>
      </c>
      <c r="D614" s="44"/>
      <c r="E614" s="44" t="s">
        <v>1</v>
      </c>
      <c r="F614" s="44"/>
      <c r="G614" s="44" t="s">
        <v>1</v>
      </c>
      <c r="H614" s="44"/>
      <c r="I614" s="45" t="s">
        <v>1</v>
      </c>
      <c r="J614" s="46"/>
      <c r="K614" s="45" t="s">
        <v>1</v>
      </c>
      <c r="L614" s="33"/>
      <c r="M614" s="45" t="s">
        <v>1</v>
      </c>
      <c r="N614" s="33"/>
      <c r="O614" s="44" t="s">
        <v>1</v>
      </c>
      <c r="P614" s="44"/>
      <c r="Q614" s="44" t="s">
        <v>1</v>
      </c>
      <c r="R614" s="44"/>
      <c r="S614" s="44" t="s">
        <v>1</v>
      </c>
      <c r="T614" s="44"/>
      <c r="U614" s="44" t="s">
        <v>1</v>
      </c>
      <c r="V614" s="44"/>
      <c r="W614" s="44" t="s">
        <v>1</v>
      </c>
      <c r="X614" s="44"/>
      <c r="Y614" s="44" t="s">
        <v>1</v>
      </c>
      <c r="Z614" s="44"/>
      <c r="AA614" s="44" t="s">
        <v>1</v>
      </c>
      <c r="AB614" s="44"/>
      <c r="AC614" s="51">
        <v>45807</v>
      </c>
      <c r="AD614" s="50">
        <v>45807</v>
      </c>
      <c r="AE614" s="54" t="s">
        <v>1</v>
      </c>
      <c r="AF614" s="41" t="s">
        <v>1</v>
      </c>
      <c r="AG614" s="40" t="s">
        <v>4</v>
      </c>
      <c r="AH614" s="36" t="s">
        <v>0</v>
      </c>
      <c r="AI614" s="49">
        <v>0</v>
      </c>
      <c r="AJ614" s="36" t="s">
        <v>1</v>
      </c>
      <c r="AK614" s="10" t="s">
        <v>1</v>
      </c>
      <c r="AL614" s="36" t="s">
        <v>1</v>
      </c>
      <c r="AM614" s="36" t="s">
        <v>1</v>
      </c>
      <c r="AN614" s="35" t="s">
        <v>1</v>
      </c>
      <c r="AO614" s="35" t="s">
        <v>1</v>
      </c>
      <c r="AP614" s="35" t="s">
        <v>1</v>
      </c>
      <c r="AQ614" s="35" t="s">
        <v>2</v>
      </c>
      <c r="AR614" s="33" t="s">
        <v>0</v>
      </c>
      <c r="AS614" s="33"/>
      <c r="AT614" s="30" t="s">
        <v>0</v>
      </c>
      <c r="AU614" s="31"/>
      <c r="AV614" s="30" t="s">
        <v>0</v>
      </c>
      <c r="AW614" s="31"/>
      <c r="AX614" s="30" t="s">
        <v>0</v>
      </c>
      <c r="AY614" s="29"/>
      <c r="AZ614" s="28" t="s">
        <v>0</v>
      </c>
      <c r="BA614" s="81"/>
      <c r="BB614" s="26"/>
      <c r="BC614" s="25"/>
      <c r="BD614" s="24"/>
      <c r="BE614" s="24"/>
      <c r="BF614" s="24"/>
      <c r="BG614" s="24"/>
      <c r="BH614" s="24"/>
      <c r="BI614" s="24"/>
      <c r="BJ614" s="24"/>
      <c r="BK614" s="24"/>
      <c r="BL614" s="24"/>
      <c r="BM614" s="24"/>
      <c r="BN614" s="24"/>
      <c r="BO614" s="24"/>
      <c r="BP614" s="24"/>
      <c r="BQ614" s="22">
        <f>YEAR([1]!BANCO10[[#This Row],[DATA INÍCIO]])</f>
        <v>2025</v>
      </c>
      <c r="BR614" s="22">
        <f>MONTH([1]!BANCO10[[#This Row],[DATA INÍCIO]])</f>
        <v>5</v>
      </c>
      <c r="BS614" s="23" t="e">
        <f>CONCATENATE(#REF!,#REF!)</f>
        <v>#REF!</v>
      </c>
      <c r="BT614" s="22"/>
      <c r="BU614" s="22"/>
      <c r="BV614" s="21" t="str">
        <f>IF([1]!BANCO10[[#This Row],[SOLUÇÃO]]=BV$1,[1]!BANCO10[[#This Row],[STATUS DA ETAPA]],"")</f>
        <v/>
      </c>
      <c r="BW614" s="21" t="str">
        <f>IF([1]!BANCO10[[#This Row],[SOLUÇÃO]]=BW$1,[1]!BANCO10[[#This Row],[STATUS DA ETAPA]],"")</f>
        <v/>
      </c>
      <c r="BX614" s="21" t="str">
        <f>IF([1]!BANCO10[[#This Row],[SOLUÇÃO]]=BX$1,[1]!BANCO10[[#This Row],[STATUS DA ETAPA]],"")</f>
        <v/>
      </c>
      <c r="BY614" s="21" t="str">
        <f>IF([1]!BANCO10[[#This Row],[SOLUÇÃO]]=BY$1,[1]!BANCO10[[#This Row],[STATUS DA ETAPA]],"")</f>
        <v/>
      </c>
      <c r="BZ614" s="21" t="str">
        <f>IF([1]!BANCO10[[#This Row],[SOLUÇÃO]]=BZ$1,[1]!BANCO10[[#This Row],[STATUS DA ETAPA]],"")</f>
        <v/>
      </c>
      <c r="CA614" s="21" t="str">
        <f>IF([1]!BANCO10[[#This Row],[SOLUÇÃO]]=CA$1,[1]!BANCO10[[#This Row],[STATUS DA ETAPA]],"")</f>
        <v/>
      </c>
      <c r="CB614" s="21" t="str">
        <f>IF([1]!BANCO10[[#This Row],[SOLUÇÃO]]=CB$1,[1]!BANCO10[[#This Row],[STATUS DA ETAPA]],"")</f>
        <v/>
      </c>
      <c r="CC614" s="21" t="str">
        <f>IF([1]!BANCO10[[#This Row],[SOLUÇÃO]]=CC$1,[1]!BANCO10[[#This Row],[STATUS DA ETAPA]],"")</f>
        <v/>
      </c>
      <c r="CD614" s="21" t="str">
        <f>IF([1]!BANCO10[[#This Row],[SOLUÇÃO]]=CD$1,[1]!BANCO10[[#This Row],[STATUS DA ETAPA]],"")</f>
        <v/>
      </c>
      <c r="CE614" s="21" t="str">
        <f>IF([1]!BANCO10[[#This Row],[SOLUÇÃO]]=CE$1,[1]!BANCO10[[#This Row],[STATUS DA ETAPA]],"")</f>
        <v/>
      </c>
      <c r="CF614" s="21" t="str">
        <f>IF([1]!BANCO10[[#This Row],[SOLUÇÃO]]=CF$1,[1]!BANCO10[[#This Row],[STATUS DA ETAPA]],"")</f>
        <v/>
      </c>
      <c r="CG614" s="21" t="str">
        <f>IF([1]!BANCO10[[#This Row],[SOLUÇÃO]]=CG$1,[1]!BANCO10[[#This Row],[STATUS DA ETAPA]],"")</f>
        <v/>
      </c>
      <c r="CH614" s="21" t="str">
        <f>IF([1]!BANCO10[[#This Row],[SOLUÇÃO]]=CH$1,[1]!BANCO10[[#This Row],[STATUS DA ETAPA]],"")</f>
        <v/>
      </c>
      <c r="CI614" s="21" t="str">
        <f>IF([1]!BANCO10[[#This Row],[SOLUÇÃO]]=CI$1,[1]!BANCO10[[#This Row],[STATUS DA ETAPA]],"")</f>
        <v/>
      </c>
      <c r="CJ614" s="21" t="str">
        <f>IF([1]!BANCO10[[#This Row],[SOLUÇÃO]]=CJ$1,[1]!BANCO10[[#This Row],[STATUS DA ETAPA]],"")</f>
        <v/>
      </c>
      <c r="CK614" s="21" t="str">
        <f>IF([1]!BANCO10[[#This Row],[SOLUÇÃO]]=CK$1,[1]!BANCO10[[#This Row],[STATUS DA ETAPA]],"")</f>
        <v/>
      </c>
      <c r="CL614" s="21" t="str">
        <f>IF([1]!BANCO10[[#This Row],[SOLUÇÃO]]=CL$1,[1]!BANCO10[[#This Row],[STATUS DA ETAPA]],"")</f>
        <v/>
      </c>
      <c r="CM614" s="21" t="str">
        <f>IF([1]!BANCO10[[#This Row],[SOLUÇÃO]]=CM$1,[1]!BANCO10[[#This Row],[STATUS DA ETAPA]],"")</f>
        <v/>
      </c>
      <c r="CN614" s="21" t="str">
        <f>IF([1]!BANCO10[[#This Row],[SOLUÇÃO]]=CN$1,[1]!BANCO10[[#This Row],[STATUS DA ETAPA]],"")</f>
        <v/>
      </c>
      <c r="CO614" s="21" t="str">
        <f>IF([1]!BANCO10[[#This Row],[SOLUÇÃO]]=CO$1,[1]!BANCO10[[#This Row],[STATUS DA ETAPA]],"")</f>
        <v/>
      </c>
      <c r="CP614" s="21" t="str">
        <f>IF([1]!BANCO10[[#This Row],[SOLUÇÃO]]=CP$1,[1]!BANCO10[[#This Row],[STATUS DA ETAPA]],"")</f>
        <v/>
      </c>
      <c r="CQ614" s="21" t="str">
        <f>IF([1]!BANCO10[[#This Row],[SOLUÇÃO]]=CQ$1,[1]!BANCO10[[#This Row],[STATUS DA ETAPA]],"")</f>
        <v/>
      </c>
      <c r="CR614" s="21" t="str">
        <f>IF([1]!BANCO10[[#This Row],[SOLUÇÃO]]=CR$1,[1]!BANCO10[[#This Row],[STATUS DA ETAPA]],"")</f>
        <v/>
      </c>
      <c r="CS614" s="21" t="str">
        <f>IF([1]!BANCO10[[#This Row],[SOLUÇÃO]]=CS$1,[1]!BANCO10[[#This Row],[STATUS DA ETAPA]],"")</f>
        <v/>
      </c>
      <c r="CT614" s="21" t="str">
        <f>IF([1]!BANCO10[[#This Row],[SOLUÇÃO]]=CT$1,[1]!BANCO10[[#This Row],[STATUS DA ETAPA]],"")</f>
        <v/>
      </c>
      <c r="CU614" s="21" t="str">
        <f>IF([1]!BANCO10[[#This Row],[SOLUÇÃO]]=CU$1,[1]!BANCO10[[#This Row],[STATUS DA ETAPA]],"")</f>
        <v/>
      </c>
      <c r="CV614" s="21" t="str">
        <f>IF([1]!BANCO10[[#This Row],[SOLUÇÃO]]=CV$1,[1]!BANCO10[[#This Row],[STATUS DA ETAPA]],"")</f>
        <v/>
      </c>
    </row>
    <row r="615" spans="1:100">
      <c r="A615" s="44" t="s">
        <v>1</v>
      </c>
      <c r="B615" s="44"/>
      <c r="C615" s="44" t="s">
        <v>1</v>
      </c>
      <c r="D615" s="44"/>
      <c r="E615" s="44" t="s">
        <v>1</v>
      </c>
      <c r="F615" s="44"/>
      <c r="G615" s="44" t="s">
        <v>1</v>
      </c>
      <c r="H615" s="44"/>
      <c r="I615" s="45" t="s">
        <v>1</v>
      </c>
      <c r="J615" s="46"/>
      <c r="K615" s="45" t="s">
        <v>1</v>
      </c>
      <c r="L615" s="33"/>
      <c r="M615" s="45" t="s">
        <v>1</v>
      </c>
      <c r="N615" s="33"/>
      <c r="O615" s="44" t="s">
        <v>1</v>
      </c>
      <c r="P615" s="44"/>
      <c r="Q615" s="44" t="s">
        <v>1</v>
      </c>
      <c r="R615" s="44" t="s">
        <v>1</v>
      </c>
      <c r="S615" s="44" t="s">
        <v>1</v>
      </c>
      <c r="T615" s="44"/>
      <c r="U615" s="44" t="s">
        <v>1</v>
      </c>
      <c r="V615" s="44"/>
      <c r="W615" s="44" t="s">
        <v>1</v>
      </c>
      <c r="X615" s="44"/>
      <c r="Y615" s="44" t="s">
        <v>1</v>
      </c>
      <c r="Z615" s="44"/>
      <c r="AA615" s="44" t="s">
        <v>1</v>
      </c>
      <c r="AB615" s="44"/>
      <c r="AC615" s="51">
        <v>45713</v>
      </c>
      <c r="AD615" s="50">
        <v>45713</v>
      </c>
      <c r="AE615" s="41" t="s">
        <v>1</v>
      </c>
      <c r="AF615" s="41" t="s">
        <v>1</v>
      </c>
      <c r="AG615" s="40" t="s">
        <v>5</v>
      </c>
      <c r="AH615" s="36" t="s">
        <v>2</v>
      </c>
      <c r="AI615" s="49">
        <v>0</v>
      </c>
      <c r="AJ615" s="36" t="s">
        <v>1</v>
      </c>
      <c r="AK615" s="10" t="s">
        <v>1</v>
      </c>
      <c r="AL615" s="36" t="s">
        <v>1</v>
      </c>
      <c r="AM615" s="36" t="s">
        <v>1</v>
      </c>
      <c r="AN615" s="35" t="s">
        <v>1</v>
      </c>
      <c r="AO615" s="35" t="s">
        <v>1</v>
      </c>
      <c r="AP615" s="35" t="s">
        <v>1</v>
      </c>
      <c r="AQ615" s="35" t="s">
        <v>1</v>
      </c>
      <c r="AR615" s="48" t="s">
        <v>1</v>
      </c>
      <c r="AS615" s="33"/>
      <c r="AT615" s="32" t="s">
        <v>1</v>
      </c>
      <c r="AU615" s="31"/>
      <c r="AV615" s="32" t="s">
        <v>1</v>
      </c>
      <c r="AW615" s="31"/>
      <c r="AX615" s="32" t="s">
        <v>1</v>
      </c>
      <c r="AY615" s="31"/>
      <c r="AZ615" s="32" t="s">
        <v>1</v>
      </c>
      <c r="BA615" s="47"/>
      <c r="BB615" s="26"/>
      <c r="BC615" s="25"/>
      <c r="BD615" s="24"/>
      <c r="BE615" s="24"/>
      <c r="BF615" s="24"/>
      <c r="BG615" s="24"/>
      <c r="BH615" s="24"/>
      <c r="BI615" s="24"/>
      <c r="BJ615" s="24"/>
      <c r="BK615" s="24"/>
      <c r="BL615" s="24"/>
      <c r="BM615" s="24"/>
      <c r="BN615" s="24"/>
      <c r="BO615" s="24"/>
      <c r="BP615" s="24"/>
      <c r="BQ615" s="22">
        <f>YEAR([1]!BANCO10[[#This Row],[DATA INÍCIO]])</f>
        <v>2025</v>
      </c>
      <c r="BR615" s="22">
        <f>MONTH([1]!BANCO10[[#This Row],[DATA INÍCIO]])</f>
        <v>2</v>
      </c>
      <c r="BS615" s="23" t="e">
        <f>CONCATENATE(#REF!,#REF!)</f>
        <v>#REF!</v>
      </c>
      <c r="BT615" s="22"/>
      <c r="BU615" s="22"/>
      <c r="BV615" s="21" t="str">
        <f>IF([1]!BANCO10[[#This Row],[SOLUÇÃO]]=BV$1,[1]!BANCO10[[#This Row],[STATUS DA ETAPA]],"")</f>
        <v>CONCLUÍDO</v>
      </c>
      <c r="BW615" s="21" t="str">
        <f>IF([1]!BANCO10[[#This Row],[SOLUÇÃO]]=BW$1,[1]!BANCO10[[#This Row],[STATUS DA ETAPA]],"")</f>
        <v/>
      </c>
      <c r="BX615" s="21" t="str">
        <f>IF([1]!BANCO10[[#This Row],[SOLUÇÃO]]=BX$1,[1]!BANCO10[[#This Row],[STATUS DA ETAPA]],"")</f>
        <v/>
      </c>
      <c r="BY615" s="21" t="str">
        <f>IF([1]!BANCO10[[#This Row],[SOLUÇÃO]]=BY$1,[1]!BANCO10[[#This Row],[STATUS DA ETAPA]],"")</f>
        <v/>
      </c>
      <c r="BZ615" s="21" t="str">
        <f>IF([1]!BANCO10[[#This Row],[SOLUÇÃO]]=BZ$1,[1]!BANCO10[[#This Row],[STATUS DA ETAPA]],"")</f>
        <v/>
      </c>
      <c r="CA615" s="21" t="str">
        <f>IF([1]!BANCO10[[#This Row],[SOLUÇÃO]]=CA$1,[1]!BANCO10[[#This Row],[STATUS DA ETAPA]],"")</f>
        <v/>
      </c>
      <c r="CB615" s="21" t="str">
        <f>IF([1]!BANCO10[[#This Row],[SOLUÇÃO]]=CB$1,[1]!BANCO10[[#This Row],[STATUS DA ETAPA]],"")</f>
        <v/>
      </c>
      <c r="CC615" s="21" t="str">
        <f>IF([1]!BANCO10[[#This Row],[SOLUÇÃO]]=CC$1,[1]!BANCO10[[#This Row],[STATUS DA ETAPA]],"")</f>
        <v/>
      </c>
      <c r="CD615" s="21" t="str">
        <f>IF([1]!BANCO10[[#This Row],[SOLUÇÃO]]=CD$1,[1]!BANCO10[[#This Row],[STATUS DA ETAPA]],"")</f>
        <v/>
      </c>
      <c r="CE615" s="21" t="str">
        <f>IF([1]!BANCO10[[#This Row],[SOLUÇÃO]]=CE$1,[1]!BANCO10[[#This Row],[STATUS DA ETAPA]],"")</f>
        <v/>
      </c>
      <c r="CF615" s="21" t="str">
        <f>IF([1]!BANCO10[[#This Row],[SOLUÇÃO]]=CF$1,[1]!BANCO10[[#This Row],[STATUS DA ETAPA]],"")</f>
        <v/>
      </c>
      <c r="CG615" s="21" t="str">
        <f>IF([1]!BANCO10[[#This Row],[SOLUÇÃO]]=CG$1,[1]!BANCO10[[#This Row],[STATUS DA ETAPA]],"")</f>
        <v/>
      </c>
      <c r="CH615" s="21" t="str">
        <f>IF([1]!BANCO10[[#This Row],[SOLUÇÃO]]=CH$1,[1]!BANCO10[[#This Row],[STATUS DA ETAPA]],"")</f>
        <v/>
      </c>
      <c r="CI615" s="21" t="str">
        <f>IF([1]!BANCO10[[#This Row],[SOLUÇÃO]]=CI$1,[1]!BANCO10[[#This Row],[STATUS DA ETAPA]],"")</f>
        <v/>
      </c>
      <c r="CJ615" s="21" t="str">
        <f>IF([1]!BANCO10[[#This Row],[SOLUÇÃO]]=CJ$1,[1]!BANCO10[[#This Row],[STATUS DA ETAPA]],"")</f>
        <v/>
      </c>
      <c r="CK615" s="21" t="str">
        <f>IF([1]!BANCO10[[#This Row],[SOLUÇÃO]]=CK$1,[1]!BANCO10[[#This Row],[STATUS DA ETAPA]],"")</f>
        <v/>
      </c>
      <c r="CL615" s="21" t="str">
        <f>IF([1]!BANCO10[[#This Row],[SOLUÇÃO]]=CL$1,[1]!BANCO10[[#This Row],[STATUS DA ETAPA]],"")</f>
        <v/>
      </c>
      <c r="CM615" s="21" t="str">
        <f>IF([1]!BANCO10[[#This Row],[SOLUÇÃO]]=CM$1,[1]!BANCO10[[#This Row],[STATUS DA ETAPA]],"")</f>
        <v/>
      </c>
      <c r="CN615" s="21" t="str">
        <f>IF([1]!BANCO10[[#This Row],[SOLUÇÃO]]=CN$1,[1]!BANCO10[[#This Row],[STATUS DA ETAPA]],"")</f>
        <v/>
      </c>
      <c r="CO615" s="21" t="str">
        <f>IF([1]!BANCO10[[#This Row],[SOLUÇÃO]]=CO$1,[1]!BANCO10[[#This Row],[STATUS DA ETAPA]],"")</f>
        <v/>
      </c>
      <c r="CP615" s="21" t="str">
        <f>IF([1]!BANCO10[[#This Row],[SOLUÇÃO]]=CP$1,[1]!BANCO10[[#This Row],[STATUS DA ETAPA]],"")</f>
        <v/>
      </c>
      <c r="CQ615" s="21" t="str">
        <f>IF([1]!BANCO10[[#This Row],[SOLUÇÃO]]=CQ$1,[1]!BANCO10[[#This Row],[STATUS DA ETAPA]],"")</f>
        <v/>
      </c>
      <c r="CR615" s="21" t="str">
        <f>IF([1]!BANCO10[[#This Row],[SOLUÇÃO]]=CR$1,[1]!BANCO10[[#This Row],[STATUS DA ETAPA]],"")</f>
        <v/>
      </c>
      <c r="CS615" s="21" t="str">
        <f>IF([1]!BANCO10[[#This Row],[SOLUÇÃO]]=CS$1,[1]!BANCO10[[#This Row],[STATUS DA ETAPA]],"")</f>
        <v/>
      </c>
      <c r="CT615" s="21" t="str">
        <f>IF([1]!BANCO10[[#This Row],[SOLUÇÃO]]=CT$1,[1]!BANCO10[[#This Row],[STATUS DA ETAPA]],"")</f>
        <v/>
      </c>
      <c r="CU615" s="21" t="str">
        <f>IF([1]!BANCO10[[#This Row],[SOLUÇÃO]]=CU$1,[1]!BANCO10[[#This Row],[STATUS DA ETAPA]],"")</f>
        <v/>
      </c>
      <c r="CV615" s="21" t="str">
        <f>IF([1]!BANCO10[[#This Row],[SOLUÇÃO]]=CV$1,[1]!BANCO10[[#This Row],[STATUS DA ETAPA]],"")</f>
        <v/>
      </c>
    </row>
    <row r="616" spans="1:100">
      <c r="A616" s="44" t="s">
        <v>1</v>
      </c>
      <c r="B616" s="44"/>
      <c r="C616" s="44" t="s">
        <v>1</v>
      </c>
      <c r="D616" s="44"/>
      <c r="E616" s="44" t="s">
        <v>1</v>
      </c>
      <c r="F616" s="44"/>
      <c r="G616" s="44" t="s">
        <v>1</v>
      </c>
      <c r="H616" s="44"/>
      <c r="I616" s="45" t="s">
        <v>1</v>
      </c>
      <c r="J616" s="46"/>
      <c r="K616" s="45" t="s">
        <v>1</v>
      </c>
      <c r="L616" s="33"/>
      <c r="M616" s="45" t="s">
        <v>1</v>
      </c>
      <c r="N616" s="33"/>
      <c r="O616" s="44" t="s">
        <v>1</v>
      </c>
      <c r="P616" s="44"/>
      <c r="Q616" s="44" t="s">
        <v>1</v>
      </c>
      <c r="R616" s="44"/>
      <c r="S616" s="44" t="s">
        <v>1</v>
      </c>
      <c r="T616" s="44"/>
      <c r="U616" s="44" t="s">
        <v>1</v>
      </c>
      <c r="V616" s="44"/>
      <c r="W616" s="44" t="s">
        <v>1</v>
      </c>
      <c r="X616" s="44"/>
      <c r="Y616" s="44" t="s">
        <v>1</v>
      </c>
      <c r="Z616" s="44"/>
      <c r="AA616" s="44" t="s">
        <v>1</v>
      </c>
      <c r="AB616" s="44"/>
      <c r="AC616" s="84">
        <v>45365</v>
      </c>
      <c r="AD616" s="83">
        <v>45365</v>
      </c>
      <c r="AE616" s="40" t="s">
        <v>1</v>
      </c>
      <c r="AF616" s="40" t="s">
        <v>1</v>
      </c>
      <c r="AG616" s="76" t="s">
        <v>5</v>
      </c>
      <c r="AH616" s="36" t="s">
        <v>1</v>
      </c>
      <c r="AI616" s="49">
        <v>0</v>
      </c>
      <c r="AJ616" s="36" t="s">
        <v>1</v>
      </c>
      <c r="AK616" s="10" t="s">
        <v>1</v>
      </c>
      <c r="AL616" s="36" t="s">
        <v>1</v>
      </c>
      <c r="AM616" s="36" t="s">
        <v>1</v>
      </c>
      <c r="AN616" s="35" t="s">
        <v>1</v>
      </c>
      <c r="AO616" s="35" t="s">
        <v>1</v>
      </c>
      <c r="AP616" s="35" t="s">
        <v>1</v>
      </c>
      <c r="AQ616" s="35" t="s">
        <v>1</v>
      </c>
      <c r="AR616" s="82" t="s">
        <v>1</v>
      </c>
      <c r="AS616" s="33"/>
      <c r="AT616" s="30"/>
      <c r="AU616" s="55"/>
      <c r="AV616" s="30"/>
      <c r="AW616" s="55"/>
      <c r="AX616" s="30" t="s">
        <v>1</v>
      </c>
      <c r="AY616" s="55"/>
      <c r="AZ616" s="30" t="s">
        <v>1</v>
      </c>
      <c r="BA616" s="91"/>
      <c r="BB616" s="39" t="s">
        <v>278</v>
      </c>
      <c r="BC616" s="25"/>
      <c r="BD616" s="24"/>
      <c r="BE616" s="24"/>
      <c r="BF616" s="79"/>
      <c r="BG616" s="79"/>
      <c r="BH616" s="80"/>
      <c r="BI616" s="79"/>
      <c r="BJ616" s="54" t="s">
        <v>11</v>
      </c>
      <c r="BK616" s="78" t="s">
        <v>11</v>
      </c>
      <c r="BL616" s="69" t="s">
        <v>11</v>
      </c>
      <c r="BM616" s="78" t="s">
        <v>11</v>
      </c>
      <c r="BN616" s="78" t="s">
        <v>11</v>
      </c>
      <c r="BO616" s="78" t="s">
        <v>11</v>
      </c>
      <c r="BP616" s="78" t="s">
        <v>11</v>
      </c>
      <c r="BQ616" s="21">
        <f>YEAR([1]!BANCO10[[#This Row],[DATA INÍCIO]])</f>
        <v>2024</v>
      </c>
      <c r="BR616" s="21">
        <f>MONTH([1]!BANCO10[[#This Row],[DATA INÍCIO]])</f>
        <v>3</v>
      </c>
      <c r="BS616" s="21" t="e">
        <f>CONCATENATE(#REF!,#REF!)</f>
        <v>#REF!</v>
      </c>
      <c r="BT616" s="21"/>
      <c r="BU616" s="21" t="s">
        <v>277</v>
      </c>
      <c r="BV616" s="21" t="str">
        <f>IF([1]!BANCO10[[#This Row],[SOLUÇÃO]]=BV$1,[1]!BANCO10[[#This Row],[STATUS DA ETAPA]],"")</f>
        <v>CONCLUÍDO</v>
      </c>
      <c r="BW616" s="21" t="str">
        <f>IF([1]!BANCO10[[#This Row],[SOLUÇÃO]]=BW$1,[1]!BANCO10[[#This Row],[STATUS DA ETAPA]],"")</f>
        <v/>
      </c>
      <c r="BX616" s="21" t="str">
        <f>IF([1]!BANCO10[[#This Row],[SOLUÇÃO]]=BX$1,[1]!BANCO10[[#This Row],[STATUS DA ETAPA]],"")</f>
        <v/>
      </c>
      <c r="BY616" s="21" t="str">
        <f>IF([1]!BANCO10[[#This Row],[SOLUÇÃO]]=BY$1,[1]!BANCO10[[#This Row],[STATUS DA ETAPA]],"")</f>
        <v/>
      </c>
      <c r="BZ616" s="21" t="str">
        <f>IF([1]!BANCO10[[#This Row],[SOLUÇÃO]]=BZ$1,[1]!BANCO10[[#This Row],[STATUS DA ETAPA]],"")</f>
        <v/>
      </c>
      <c r="CA616" s="21" t="str">
        <f>IF([1]!BANCO10[[#This Row],[SOLUÇÃO]]=CA$1,[1]!BANCO10[[#This Row],[STATUS DA ETAPA]],"")</f>
        <v/>
      </c>
      <c r="CB616" s="21" t="str">
        <f>IF([1]!BANCO10[[#This Row],[SOLUÇÃO]]=CB$1,[1]!BANCO10[[#This Row],[STATUS DA ETAPA]],"")</f>
        <v/>
      </c>
      <c r="CC616" s="21" t="str">
        <f>IF([1]!BANCO10[[#This Row],[SOLUÇÃO]]=CC$1,[1]!BANCO10[[#This Row],[STATUS DA ETAPA]],"")</f>
        <v/>
      </c>
      <c r="CD616" s="21" t="str">
        <f>IF([1]!BANCO10[[#This Row],[SOLUÇÃO]]=CD$1,[1]!BANCO10[[#This Row],[STATUS DA ETAPA]],"")</f>
        <v/>
      </c>
      <c r="CE616" s="21" t="str">
        <f>IF([1]!BANCO10[[#This Row],[SOLUÇÃO]]=CE$1,[1]!BANCO10[[#This Row],[STATUS DA ETAPA]],"")</f>
        <v/>
      </c>
      <c r="CF616" s="21" t="str">
        <f>IF([1]!BANCO10[[#This Row],[SOLUÇÃO]]=CF$1,[1]!BANCO10[[#This Row],[STATUS DA ETAPA]],"")</f>
        <v/>
      </c>
      <c r="CG616" s="21" t="str">
        <f>IF([1]!BANCO10[[#This Row],[SOLUÇÃO]]=CG$1,[1]!BANCO10[[#This Row],[STATUS DA ETAPA]],"")</f>
        <v/>
      </c>
      <c r="CH616" s="21" t="str">
        <f>IF([1]!BANCO10[[#This Row],[SOLUÇÃO]]=CH$1,[1]!BANCO10[[#This Row],[STATUS DA ETAPA]],"")</f>
        <v/>
      </c>
      <c r="CI616" s="21" t="str">
        <f>IF([1]!BANCO10[[#This Row],[SOLUÇÃO]]=CI$1,[1]!BANCO10[[#This Row],[STATUS DA ETAPA]],"")</f>
        <v/>
      </c>
      <c r="CJ616" s="21" t="str">
        <f>IF([1]!BANCO10[[#This Row],[SOLUÇÃO]]=CJ$1,[1]!BANCO10[[#This Row],[STATUS DA ETAPA]],"")</f>
        <v/>
      </c>
      <c r="CK616" s="21" t="str">
        <f>IF([1]!BANCO10[[#This Row],[SOLUÇÃO]]=CK$1,[1]!BANCO10[[#This Row],[STATUS DA ETAPA]],"")</f>
        <v/>
      </c>
      <c r="CL616" s="22" t="str">
        <f>IF([1]!BANCO10[[#This Row],[SOLUÇÃO]]=CL$1,[1]!BANCO10[[#This Row],[STATUS DA ETAPA]],"")</f>
        <v/>
      </c>
      <c r="CM616" s="64" t="str">
        <f>IF([1]!BANCO10[[#This Row],[SOLUÇÃO]]=CM$1,[1]!BANCO10[[#This Row],[STATUS DA ETAPA]],"")</f>
        <v/>
      </c>
      <c r="CN616" s="64" t="str">
        <f>IF([1]!BANCO10[[#This Row],[SOLUÇÃO]]=CN$1,[1]!BANCO10[[#This Row],[STATUS DA ETAPA]],"")</f>
        <v/>
      </c>
      <c r="CO616" s="64" t="str">
        <f>IF([1]!BANCO10[[#This Row],[SOLUÇÃO]]=CO$1,[1]!BANCO10[[#This Row],[STATUS DA ETAPA]],"")</f>
        <v/>
      </c>
      <c r="CP616" s="64" t="str">
        <f>IF([1]!BANCO10[[#This Row],[SOLUÇÃO]]=CP$1,[1]!BANCO10[[#This Row],[STATUS DA ETAPA]],"")</f>
        <v/>
      </c>
      <c r="CQ616" s="64" t="str">
        <f>IF([1]!BANCO10[[#This Row],[SOLUÇÃO]]=CQ$1,[1]!BANCO10[[#This Row],[STATUS DA ETAPA]],"")</f>
        <v/>
      </c>
      <c r="CR616" s="64" t="str">
        <f>IF([1]!BANCO10[[#This Row],[SOLUÇÃO]]=CR$1,[1]!BANCO10[[#This Row],[STATUS DA ETAPA]],"")</f>
        <v/>
      </c>
      <c r="CS616" s="64" t="str">
        <f>IF([1]!BANCO10[[#This Row],[SOLUÇÃO]]=CS$1,[1]!BANCO10[[#This Row],[STATUS DA ETAPA]],"")</f>
        <v/>
      </c>
      <c r="CT616" s="64" t="str">
        <f>IF([1]!BANCO10[[#This Row],[SOLUÇÃO]]=CT$1,[1]!BANCO10[[#This Row],[STATUS DA ETAPA]],"")</f>
        <v/>
      </c>
      <c r="CU616" s="64" t="str">
        <f>IF([1]!BANCO10[[#This Row],[SOLUÇÃO]]=CU$1,[1]!BANCO10[[#This Row],[STATUS DA ETAPA]],"")</f>
        <v/>
      </c>
      <c r="CV616" s="64" t="str">
        <f>IF([1]!BANCO10[[#This Row],[SOLUÇÃO]]=CV$1,[1]!BANCO10[[#This Row],[STATUS DA ETAPA]],"")</f>
        <v/>
      </c>
    </row>
    <row r="617" spans="1:100">
      <c r="A617" s="44" t="s">
        <v>1</v>
      </c>
      <c r="B617" s="44"/>
      <c r="C617" s="44" t="s">
        <v>1</v>
      </c>
      <c r="D617" s="44"/>
      <c r="E617" s="44" t="s">
        <v>1</v>
      </c>
      <c r="F617" s="44"/>
      <c r="G617" s="44" t="s">
        <v>1</v>
      </c>
      <c r="H617" s="44"/>
      <c r="I617" s="45" t="s">
        <v>1</v>
      </c>
      <c r="J617" s="46"/>
      <c r="K617" s="45" t="s">
        <v>1</v>
      </c>
      <c r="L617" s="33"/>
      <c r="M617" s="45" t="s">
        <v>1</v>
      </c>
      <c r="N617" s="33"/>
      <c r="O617" s="44" t="s">
        <v>1</v>
      </c>
      <c r="P617" s="44"/>
      <c r="Q617" s="44" t="s">
        <v>1</v>
      </c>
      <c r="R617" s="44"/>
      <c r="S617" s="44" t="s">
        <v>1</v>
      </c>
      <c r="T617" s="44"/>
      <c r="U617" s="44" t="s">
        <v>1</v>
      </c>
      <c r="V617" s="44"/>
      <c r="W617" s="44" t="s">
        <v>1</v>
      </c>
      <c r="X617" s="44"/>
      <c r="Y617" s="44" t="s">
        <v>1</v>
      </c>
      <c r="Z617" s="44"/>
      <c r="AA617" s="44" t="s">
        <v>1</v>
      </c>
      <c r="AB617" s="44"/>
      <c r="AC617" s="84">
        <v>45408</v>
      </c>
      <c r="AD617" s="83">
        <v>45408</v>
      </c>
      <c r="AE617" s="41" t="s">
        <v>1</v>
      </c>
      <c r="AF617" s="41" t="s">
        <v>1</v>
      </c>
      <c r="AG617" s="40" t="s">
        <v>5</v>
      </c>
      <c r="AH617" s="36" t="s">
        <v>1</v>
      </c>
      <c r="AI617" s="49">
        <v>0</v>
      </c>
      <c r="AJ617" s="36" t="s">
        <v>1</v>
      </c>
      <c r="AK617" s="10" t="s">
        <v>1</v>
      </c>
      <c r="AL617" s="36" t="s">
        <v>1</v>
      </c>
      <c r="AM617" s="36" t="s">
        <v>1</v>
      </c>
      <c r="AN617" s="35" t="s">
        <v>1</v>
      </c>
      <c r="AO617" s="35" t="s">
        <v>1</v>
      </c>
      <c r="AP617" s="35" t="s">
        <v>1</v>
      </c>
      <c r="AQ617" s="35" t="s">
        <v>1</v>
      </c>
      <c r="AR617" s="82" t="s">
        <v>1</v>
      </c>
      <c r="AS617" s="33"/>
      <c r="AT617" s="30"/>
      <c r="AU617" s="55"/>
      <c r="AV617" s="30"/>
      <c r="AW617" s="55"/>
      <c r="AX617" s="30" t="s">
        <v>1</v>
      </c>
      <c r="AY617" s="55"/>
      <c r="AZ617" s="30" t="s">
        <v>1</v>
      </c>
      <c r="BA617" s="91"/>
      <c r="BB617" s="39"/>
      <c r="BC617" s="25" t="s">
        <v>41</v>
      </c>
      <c r="BD617" s="24"/>
      <c r="BE617" s="24"/>
      <c r="BF617" s="79"/>
      <c r="BG617" s="79"/>
      <c r="BH617" s="80"/>
      <c r="BI617" s="79"/>
      <c r="BJ617" s="54" t="s">
        <v>11</v>
      </c>
      <c r="BK617" s="78" t="s">
        <v>11</v>
      </c>
      <c r="BL617" s="69" t="s">
        <v>11</v>
      </c>
      <c r="BM617" s="78" t="s">
        <v>11</v>
      </c>
      <c r="BN617" s="78" t="s">
        <v>11</v>
      </c>
      <c r="BO617" s="78" t="s">
        <v>11</v>
      </c>
      <c r="BP617" s="78" t="s">
        <v>11</v>
      </c>
      <c r="BQ617" s="21">
        <f>YEAR([1]!BANCO10[[#This Row],[DATA INÍCIO]])</f>
        <v>2024</v>
      </c>
      <c r="BR617" s="21">
        <f>MONTH([1]!BANCO10[[#This Row],[DATA INÍCIO]])</f>
        <v>4</v>
      </c>
      <c r="BS617" s="21" t="e">
        <f>CONCATENATE(#REF!,#REF!)</f>
        <v>#REF!</v>
      </c>
      <c r="BT617" s="21"/>
      <c r="BU617" s="21" t="s">
        <v>276</v>
      </c>
      <c r="BV617" s="21" t="str">
        <f>IF([1]!BANCO10[[#This Row],[SOLUÇÃO]]=BV$1,[1]!BANCO10[[#This Row],[STATUS DA ETAPA]],"")</f>
        <v>CONCLUÍDO</v>
      </c>
      <c r="BW617" s="21" t="str">
        <f>IF([1]!BANCO10[[#This Row],[SOLUÇÃO]]=BW$1,[1]!BANCO10[[#This Row],[STATUS DA ETAPA]],"")</f>
        <v/>
      </c>
      <c r="BX617" s="21" t="str">
        <f>IF([1]!BANCO10[[#This Row],[SOLUÇÃO]]=BX$1,[1]!BANCO10[[#This Row],[STATUS DA ETAPA]],"")</f>
        <v/>
      </c>
      <c r="BY617" s="21" t="str">
        <f>IF([1]!BANCO10[[#This Row],[SOLUÇÃO]]=BY$1,[1]!BANCO10[[#This Row],[STATUS DA ETAPA]],"")</f>
        <v/>
      </c>
      <c r="BZ617" s="21" t="str">
        <f>IF([1]!BANCO10[[#This Row],[SOLUÇÃO]]=BZ$1,[1]!BANCO10[[#This Row],[STATUS DA ETAPA]],"")</f>
        <v/>
      </c>
      <c r="CA617" s="21" t="str">
        <f>IF([1]!BANCO10[[#This Row],[SOLUÇÃO]]=CA$1,[1]!BANCO10[[#This Row],[STATUS DA ETAPA]],"")</f>
        <v/>
      </c>
      <c r="CB617" s="21" t="str">
        <f>IF([1]!BANCO10[[#This Row],[SOLUÇÃO]]=CB$1,[1]!BANCO10[[#This Row],[STATUS DA ETAPA]],"")</f>
        <v/>
      </c>
      <c r="CC617" s="21" t="str">
        <f>IF([1]!BANCO10[[#This Row],[SOLUÇÃO]]=CC$1,[1]!BANCO10[[#This Row],[STATUS DA ETAPA]],"")</f>
        <v/>
      </c>
      <c r="CD617" s="21" t="str">
        <f>IF([1]!BANCO10[[#This Row],[SOLUÇÃO]]=CD$1,[1]!BANCO10[[#This Row],[STATUS DA ETAPA]],"")</f>
        <v/>
      </c>
      <c r="CE617" s="21" t="str">
        <f>IF([1]!BANCO10[[#This Row],[SOLUÇÃO]]=CE$1,[1]!BANCO10[[#This Row],[STATUS DA ETAPA]],"")</f>
        <v/>
      </c>
      <c r="CF617" s="21" t="str">
        <f>IF([1]!BANCO10[[#This Row],[SOLUÇÃO]]=CF$1,[1]!BANCO10[[#This Row],[STATUS DA ETAPA]],"")</f>
        <v/>
      </c>
      <c r="CG617" s="21" t="str">
        <f>IF([1]!BANCO10[[#This Row],[SOLUÇÃO]]=CG$1,[1]!BANCO10[[#This Row],[STATUS DA ETAPA]],"")</f>
        <v/>
      </c>
      <c r="CH617" s="21" t="str">
        <f>IF([1]!BANCO10[[#This Row],[SOLUÇÃO]]=CH$1,[1]!BANCO10[[#This Row],[STATUS DA ETAPA]],"")</f>
        <v/>
      </c>
      <c r="CI617" s="21" t="str">
        <f>IF([1]!BANCO10[[#This Row],[SOLUÇÃO]]=CI$1,[1]!BANCO10[[#This Row],[STATUS DA ETAPA]],"")</f>
        <v/>
      </c>
      <c r="CJ617" s="21" t="str">
        <f>IF([1]!BANCO10[[#This Row],[SOLUÇÃO]]=CJ$1,[1]!BANCO10[[#This Row],[STATUS DA ETAPA]],"")</f>
        <v/>
      </c>
      <c r="CK617" s="21" t="str">
        <f>IF([1]!BANCO10[[#This Row],[SOLUÇÃO]]=CK$1,[1]!BANCO10[[#This Row],[STATUS DA ETAPA]],"")</f>
        <v/>
      </c>
      <c r="CL617" s="22" t="str">
        <f>IF([1]!BANCO10[[#This Row],[SOLUÇÃO]]=CL$1,[1]!BANCO10[[#This Row],[STATUS DA ETAPA]],"")</f>
        <v/>
      </c>
      <c r="CM617" s="64" t="str">
        <f>IF([1]!BANCO10[[#This Row],[SOLUÇÃO]]=CM$1,[1]!BANCO10[[#This Row],[STATUS DA ETAPA]],"")</f>
        <v/>
      </c>
      <c r="CN617" s="64" t="str">
        <f>IF([1]!BANCO10[[#This Row],[SOLUÇÃO]]=CN$1,[1]!BANCO10[[#This Row],[STATUS DA ETAPA]],"")</f>
        <v/>
      </c>
      <c r="CO617" s="64" t="str">
        <f>IF([1]!BANCO10[[#This Row],[SOLUÇÃO]]=CO$1,[1]!BANCO10[[#This Row],[STATUS DA ETAPA]],"")</f>
        <v/>
      </c>
      <c r="CP617" s="64" t="str">
        <f>IF([1]!BANCO10[[#This Row],[SOLUÇÃO]]=CP$1,[1]!BANCO10[[#This Row],[STATUS DA ETAPA]],"")</f>
        <v/>
      </c>
      <c r="CQ617" s="64" t="str">
        <f>IF([1]!BANCO10[[#This Row],[SOLUÇÃO]]=CQ$1,[1]!BANCO10[[#This Row],[STATUS DA ETAPA]],"")</f>
        <v/>
      </c>
      <c r="CR617" s="64" t="str">
        <f>IF([1]!BANCO10[[#This Row],[SOLUÇÃO]]=CR$1,[1]!BANCO10[[#This Row],[STATUS DA ETAPA]],"")</f>
        <v/>
      </c>
      <c r="CS617" s="64" t="str">
        <f>IF([1]!BANCO10[[#This Row],[SOLUÇÃO]]=CS$1,[1]!BANCO10[[#This Row],[STATUS DA ETAPA]],"")</f>
        <v/>
      </c>
      <c r="CT617" s="64" t="str">
        <f>IF([1]!BANCO10[[#This Row],[SOLUÇÃO]]=CT$1,[1]!BANCO10[[#This Row],[STATUS DA ETAPA]],"")</f>
        <v/>
      </c>
      <c r="CU617" s="64" t="str">
        <f>IF([1]!BANCO10[[#This Row],[SOLUÇÃO]]=CU$1,[1]!BANCO10[[#This Row],[STATUS DA ETAPA]],"")</f>
        <v/>
      </c>
      <c r="CV617" s="64" t="str">
        <f>IF([1]!BANCO10[[#This Row],[SOLUÇÃO]]=CV$1,[1]!BANCO10[[#This Row],[STATUS DA ETAPA]],"")</f>
        <v/>
      </c>
    </row>
    <row r="618" spans="1:100">
      <c r="A618" s="44" t="s">
        <v>2</v>
      </c>
      <c r="B618" s="44">
        <v>45383</v>
      </c>
      <c r="C618" s="44" t="s">
        <v>2</v>
      </c>
      <c r="D618" s="44">
        <v>45383</v>
      </c>
      <c r="E618" s="44" t="s">
        <v>2</v>
      </c>
      <c r="F618" s="44">
        <v>45383</v>
      </c>
      <c r="G618" s="44" t="s">
        <v>2</v>
      </c>
      <c r="H618" s="44">
        <v>45383</v>
      </c>
      <c r="I618" s="45" t="s">
        <v>2</v>
      </c>
      <c r="J618" s="46">
        <v>45536</v>
      </c>
      <c r="K618" s="45" t="s">
        <v>2</v>
      </c>
      <c r="L618" s="33">
        <v>45536</v>
      </c>
      <c r="M618" s="45" t="s">
        <v>2</v>
      </c>
      <c r="N618" s="33">
        <v>45536</v>
      </c>
      <c r="O618" s="44" t="s">
        <v>2</v>
      </c>
      <c r="P618" s="44">
        <v>45506</v>
      </c>
      <c r="Q618" s="44" t="s">
        <v>2</v>
      </c>
      <c r="R618" s="44">
        <v>45509</v>
      </c>
      <c r="S618" s="44" t="s">
        <v>2</v>
      </c>
      <c r="T618" s="44">
        <v>45536</v>
      </c>
      <c r="U618" s="44" t="s">
        <v>1</v>
      </c>
      <c r="V618" s="44"/>
      <c r="W618" s="44" t="s">
        <v>1</v>
      </c>
      <c r="X618" s="44"/>
      <c r="Y618" s="44" t="s">
        <v>1</v>
      </c>
      <c r="Z618" s="44"/>
      <c r="AA618" s="44" t="s">
        <v>1</v>
      </c>
      <c r="AB618" s="44"/>
      <c r="AC618" s="84">
        <v>45439</v>
      </c>
      <c r="AD618" s="83">
        <v>45572</v>
      </c>
      <c r="AE618" s="41" t="s">
        <v>2</v>
      </c>
      <c r="AF618" s="41" t="s">
        <v>2</v>
      </c>
      <c r="AG618" s="40" t="s">
        <v>5</v>
      </c>
      <c r="AH618" s="36" t="s">
        <v>0</v>
      </c>
      <c r="AI618" s="49">
        <v>0</v>
      </c>
      <c r="AJ618" s="36" t="s">
        <v>6</v>
      </c>
      <c r="AK618" s="10">
        <v>549434</v>
      </c>
      <c r="AL618" s="36" t="s">
        <v>1</v>
      </c>
      <c r="AM618" s="36" t="s">
        <v>1</v>
      </c>
      <c r="AN618" s="35" t="s">
        <v>2</v>
      </c>
      <c r="AO618" s="35" t="s">
        <v>2</v>
      </c>
      <c r="AP618" s="35" t="s">
        <v>2</v>
      </c>
      <c r="AQ618" s="35" t="s">
        <v>2</v>
      </c>
      <c r="AR618" s="34" t="s">
        <v>2</v>
      </c>
      <c r="AS618" s="33">
        <v>45609</v>
      </c>
      <c r="AT618" s="30"/>
      <c r="AU618" s="31"/>
      <c r="AV618" s="30"/>
      <c r="AW618" s="31"/>
      <c r="AX618" s="30" t="s">
        <v>2</v>
      </c>
      <c r="AY618" s="31">
        <v>45609</v>
      </c>
      <c r="AZ618" s="30" t="s">
        <v>2</v>
      </c>
      <c r="BA618" s="91">
        <v>45547</v>
      </c>
      <c r="BB618" s="39"/>
      <c r="BC618" s="25" t="s">
        <v>41</v>
      </c>
      <c r="BD618" s="24"/>
      <c r="BE618" s="24"/>
      <c r="BF618" s="79"/>
      <c r="BG618" s="79"/>
      <c r="BH618" s="80"/>
      <c r="BI618" s="79"/>
      <c r="BJ618" s="54"/>
      <c r="BK618" s="78"/>
      <c r="BL618" s="69"/>
      <c r="BM618" s="78"/>
      <c r="BN618" s="78"/>
      <c r="BO618" s="78"/>
      <c r="BP618" s="78"/>
      <c r="BQ618" s="21">
        <f>YEAR([1]!BANCO10[[#This Row],[DATA INÍCIO]])</f>
        <v>2024</v>
      </c>
      <c r="BR618" s="21">
        <f>MONTH([1]!BANCO10[[#This Row],[DATA INÍCIO]])</f>
        <v>5</v>
      </c>
      <c r="BS618" s="21" t="e">
        <f>CONCATENATE(#REF!,#REF!)</f>
        <v>#REF!</v>
      </c>
      <c r="BT618" s="21"/>
      <c r="BU618" s="21" t="s">
        <v>275</v>
      </c>
      <c r="BV618" s="21" t="str">
        <f>IF([1]!BANCO10[[#This Row],[SOLUÇÃO]]=BV$1,[1]!BANCO10[[#This Row],[STATUS DA ETAPA]],"")</f>
        <v/>
      </c>
      <c r="BW618" s="21" t="str">
        <f>IF([1]!BANCO10[[#This Row],[SOLUÇÃO]]=BW$1,[1]!BANCO10[[#This Row],[STATUS DA ETAPA]],"")</f>
        <v/>
      </c>
      <c r="BX618" s="21" t="str">
        <f>IF([1]!BANCO10[[#This Row],[SOLUÇÃO]]=BX$1,[1]!BANCO10[[#This Row],[STATUS DA ETAPA]],"")</f>
        <v/>
      </c>
      <c r="BY618" s="21" t="str">
        <f>IF([1]!BANCO10[[#This Row],[SOLUÇÃO]]=BY$1,[1]!BANCO10[[#This Row],[STATUS DA ETAPA]],"")</f>
        <v/>
      </c>
      <c r="BZ618" s="21" t="str">
        <f>IF([1]!BANCO10[[#This Row],[SOLUÇÃO]]=BZ$1,[1]!BANCO10[[#This Row],[STATUS DA ETAPA]],"")</f>
        <v/>
      </c>
      <c r="CA618" s="21" t="str">
        <f>IF([1]!BANCO10[[#This Row],[SOLUÇÃO]]=CA$1,[1]!BANCO10[[#This Row],[STATUS DA ETAPA]],"")</f>
        <v/>
      </c>
      <c r="CB618" s="21" t="str">
        <f>IF([1]!BANCO10[[#This Row],[SOLUÇÃO]]=CB$1,[1]!BANCO10[[#This Row],[STATUS DA ETAPA]],"")</f>
        <v>CONCLUÍDO</v>
      </c>
      <c r="CC618" s="21" t="str">
        <f>IF([1]!BANCO10[[#This Row],[SOLUÇÃO]]=CC$1,[1]!BANCO10[[#This Row],[STATUS DA ETAPA]],"")</f>
        <v/>
      </c>
      <c r="CD618" s="21" t="str">
        <f>IF([1]!BANCO10[[#This Row],[SOLUÇÃO]]=CD$1,[1]!BANCO10[[#This Row],[STATUS DA ETAPA]],"")</f>
        <v/>
      </c>
      <c r="CE618" s="21" t="str">
        <f>IF([1]!BANCO10[[#This Row],[SOLUÇÃO]]=CE$1,[1]!BANCO10[[#This Row],[STATUS DA ETAPA]],"")</f>
        <v/>
      </c>
      <c r="CF618" s="21" t="str">
        <f>IF([1]!BANCO10[[#This Row],[SOLUÇÃO]]=CF$1,[1]!BANCO10[[#This Row],[STATUS DA ETAPA]],"")</f>
        <v/>
      </c>
      <c r="CG618" s="21" t="str">
        <f>IF([1]!BANCO10[[#This Row],[SOLUÇÃO]]=CG$1,[1]!BANCO10[[#This Row],[STATUS DA ETAPA]],"")</f>
        <v/>
      </c>
      <c r="CH618" s="21" t="str">
        <f>IF([1]!BANCO10[[#This Row],[SOLUÇÃO]]=CH$1,[1]!BANCO10[[#This Row],[STATUS DA ETAPA]],"")</f>
        <v/>
      </c>
      <c r="CI618" s="21" t="str">
        <f>IF([1]!BANCO10[[#This Row],[SOLUÇÃO]]=CI$1,[1]!BANCO10[[#This Row],[STATUS DA ETAPA]],"")</f>
        <v/>
      </c>
      <c r="CJ618" s="21" t="str">
        <f>IF([1]!BANCO10[[#This Row],[SOLUÇÃO]]=CJ$1,[1]!BANCO10[[#This Row],[STATUS DA ETAPA]],"")</f>
        <v/>
      </c>
      <c r="CK618" s="21" t="str">
        <f>IF([1]!BANCO10[[#This Row],[SOLUÇÃO]]=CK$1,[1]!BANCO10[[#This Row],[STATUS DA ETAPA]],"")</f>
        <v/>
      </c>
      <c r="CL618" s="22" t="str">
        <f>IF([1]!BANCO10[[#This Row],[SOLUÇÃO]]=CL$1,[1]!BANCO10[[#This Row],[STATUS DA ETAPA]],"")</f>
        <v/>
      </c>
      <c r="CM618" s="64" t="str">
        <f>IF([1]!BANCO10[[#This Row],[SOLUÇÃO]]=CM$1,[1]!BANCO10[[#This Row],[STATUS DA ETAPA]],"")</f>
        <v/>
      </c>
      <c r="CN618" s="64" t="str">
        <f>IF([1]!BANCO10[[#This Row],[SOLUÇÃO]]=CN$1,[1]!BANCO10[[#This Row],[STATUS DA ETAPA]],"")</f>
        <v/>
      </c>
      <c r="CO618" s="64" t="str">
        <f>IF([1]!BANCO10[[#This Row],[SOLUÇÃO]]=CO$1,[1]!BANCO10[[#This Row],[STATUS DA ETAPA]],"")</f>
        <v/>
      </c>
      <c r="CP618" s="64" t="str">
        <f>IF([1]!BANCO10[[#This Row],[SOLUÇÃO]]=CP$1,[1]!BANCO10[[#This Row],[STATUS DA ETAPA]],"")</f>
        <v/>
      </c>
      <c r="CQ618" s="64" t="str">
        <f>IF([1]!BANCO10[[#This Row],[SOLUÇÃO]]=CQ$1,[1]!BANCO10[[#This Row],[STATUS DA ETAPA]],"")</f>
        <v/>
      </c>
      <c r="CR618" s="64" t="str">
        <f>IF([1]!BANCO10[[#This Row],[SOLUÇÃO]]=CR$1,[1]!BANCO10[[#This Row],[STATUS DA ETAPA]],"")</f>
        <v/>
      </c>
      <c r="CS618" s="64" t="str">
        <f>IF([1]!BANCO10[[#This Row],[SOLUÇÃO]]=CS$1,[1]!BANCO10[[#This Row],[STATUS DA ETAPA]],"")</f>
        <v/>
      </c>
      <c r="CT618" s="64" t="str">
        <f>IF([1]!BANCO10[[#This Row],[SOLUÇÃO]]=CT$1,[1]!BANCO10[[#This Row],[STATUS DA ETAPA]],"")</f>
        <v/>
      </c>
      <c r="CU618" s="64" t="str">
        <f>IF([1]!BANCO10[[#This Row],[SOLUÇÃO]]=CU$1,[1]!BANCO10[[#This Row],[STATUS DA ETAPA]],"")</f>
        <v/>
      </c>
      <c r="CV618" s="64" t="str">
        <f>IF([1]!BANCO10[[#This Row],[SOLUÇÃO]]=CV$1,[1]!BANCO10[[#This Row],[STATUS DA ETAPA]],"")</f>
        <v/>
      </c>
    </row>
    <row r="619" spans="1:100">
      <c r="A619" s="44" t="s">
        <v>1</v>
      </c>
      <c r="B619" s="44"/>
      <c r="C619" s="44" t="s">
        <v>1</v>
      </c>
      <c r="D619" s="44"/>
      <c r="E619" s="44" t="s">
        <v>1</v>
      </c>
      <c r="F619" s="44"/>
      <c r="G619" s="44" t="s">
        <v>1</v>
      </c>
      <c r="H619" s="44"/>
      <c r="I619" s="45" t="s">
        <v>1</v>
      </c>
      <c r="J619" s="46"/>
      <c r="K619" s="45" t="s">
        <v>1</v>
      </c>
      <c r="L619" s="33"/>
      <c r="M619" s="45" t="s">
        <v>1</v>
      </c>
      <c r="N619" s="33"/>
      <c r="O619" s="44"/>
      <c r="P619" s="44"/>
      <c r="Q619" s="44" t="s">
        <v>1</v>
      </c>
      <c r="R619" s="44"/>
      <c r="S619" s="44"/>
      <c r="T619" s="44"/>
      <c r="U619" s="44"/>
      <c r="V619" s="44"/>
      <c r="W619" s="44"/>
      <c r="X619" s="44"/>
      <c r="Y619" s="44"/>
      <c r="Z619" s="44"/>
      <c r="AA619" s="44"/>
      <c r="AB619" s="44"/>
      <c r="AC619" s="84">
        <v>45636</v>
      </c>
      <c r="AD619" s="83">
        <v>45636</v>
      </c>
      <c r="AE619" s="41" t="s">
        <v>1</v>
      </c>
      <c r="AF619" s="41" t="s">
        <v>1</v>
      </c>
      <c r="AG619" s="40" t="s">
        <v>4</v>
      </c>
      <c r="AH619" s="36" t="s">
        <v>0</v>
      </c>
      <c r="AI619" s="49">
        <v>0</v>
      </c>
      <c r="AJ619" s="36" t="s">
        <v>1</v>
      </c>
      <c r="AK619" s="10" t="s">
        <v>1</v>
      </c>
      <c r="AL619" s="36" t="s">
        <v>1</v>
      </c>
      <c r="AM619" s="36" t="s">
        <v>1</v>
      </c>
      <c r="AN619" s="35" t="s">
        <v>1</v>
      </c>
      <c r="AO619" s="35" t="s">
        <v>1</v>
      </c>
      <c r="AP619" s="35" t="s">
        <v>1</v>
      </c>
      <c r="AQ619" s="35" t="s">
        <v>2</v>
      </c>
      <c r="AR619" s="33" t="s">
        <v>0</v>
      </c>
      <c r="AS619" s="33"/>
      <c r="AT619" s="30" t="s">
        <v>0</v>
      </c>
      <c r="AU619" s="31"/>
      <c r="AV619" s="30" t="s">
        <v>0</v>
      </c>
      <c r="AW619" s="31"/>
      <c r="AX619" s="30" t="s">
        <v>0</v>
      </c>
      <c r="AY619" s="29"/>
      <c r="AZ619" s="28" t="s">
        <v>0</v>
      </c>
      <c r="BA619" s="81"/>
      <c r="BB619" s="26"/>
      <c r="BC619" s="25"/>
      <c r="BD619" s="24"/>
      <c r="BE619" s="24"/>
      <c r="BF619" s="24"/>
      <c r="BG619" s="24"/>
      <c r="BH619" s="24"/>
      <c r="BI619" s="24"/>
      <c r="BJ619" s="24"/>
      <c r="BK619" s="24"/>
      <c r="BL619" s="24"/>
      <c r="BM619" s="24"/>
      <c r="BN619" s="24"/>
      <c r="BO619" s="24"/>
      <c r="BP619" s="24"/>
      <c r="BQ619" s="22">
        <f>YEAR([1]!BANCO10[[#This Row],[DATA INÍCIO]])</f>
        <v>2024</v>
      </c>
      <c r="BR619" s="22">
        <f>MONTH([1]!BANCO10[[#This Row],[DATA INÍCIO]])</f>
        <v>12</v>
      </c>
      <c r="BS619" s="23" t="e">
        <f>CONCATENATE(#REF!,#REF!)</f>
        <v>#REF!</v>
      </c>
      <c r="BT619" s="22"/>
      <c r="BU619" s="22"/>
      <c r="BV619" s="21" t="str">
        <f>IF([1]!BANCO10[[#This Row],[SOLUÇÃO]]=BV$1,[1]!BANCO10[[#This Row],[STATUS DA ETAPA]],"")</f>
        <v/>
      </c>
      <c r="BW619" s="21" t="str">
        <f>IF([1]!BANCO10[[#This Row],[SOLUÇÃO]]=BW$1,[1]!BANCO10[[#This Row],[STATUS DA ETAPA]],"")</f>
        <v/>
      </c>
      <c r="BX619" s="21" t="str">
        <f>IF([1]!BANCO10[[#This Row],[SOLUÇÃO]]=BX$1,[1]!BANCO10[[#This Row],[STATUS DA ETAPA]],"")</f>
        <v/>
      </c>
      <c r="BY619" s="21" t="str">
        <f>IF([1]!BANCO10[[#This Row],[SOLUÇÃO]]=BY$1,[1]!BANCO10[[#This Row],[STATUS DA ETAPA]],"")</f>
        <v/>
      </c>
      <c r="BZ619" s="21" t="str">
        <f>IF([1]!BANCO10[[#This Row],[SOLUÇÃO]]=BZ$1,[1]!BANCO10[[#This Row],[STATUS DA ETAPA]],"")</f>
        <v/>
      </c>
      <c r="CA619" s="21" t="str">
        <f>IF([1]!BANCO10[[#This Row],[SOLUÇÃO]]=CA$1,[1]!BANCO10[[#This Row],[STATUS DA ETAPA]],"")</f>
        <v/>
      </c>
      <c r="CB619" s="21" t="str">
        <f>IF([1]!BANCO10[[#This Row],[SOLUÇÃO]]=CB$1,[1]!BANCO10[[#This Row],[STATUS DA ETAPA]],"")</f>
        <v/>
      </c>
      <c r="CC619" s="21" t="str">
        <f>IF([1]!BANCO10[[#This Row],[SOLUÇÃO]]=CC$1,[1]!BANCO10[[#This Row],[STATUS DA ETAPA]],"")</f>
        <v/>
      </c>
      <c r="CD619" s="21" t="str">
        <f>IF([1]!BANCO10[[#This Row],[SOLUÇÃO]]=CD$1,[1]!BANCO10[[#This Row],[STATUS DA ETAPA]],"")</f>
        <v/>
      </c>
      <c r="CE619" s="21" t="str">
        <f>IF([1]!BANCO10[[#This Row],[SOLUÇÃO]]=CE$1,[1]!BANCO10[[#This Row],[STATUS DA ETAPA]],"")</f>
        <v/>
      </c>
      <c r="CF619" s="21" t="str">
        <f>IF([1]!BANCO10[[#This Row],[SOLUÇÃO]]=CF$1,[1]!BANCO10[[#This Row],[STATUS DA ETAPA]],"")</f>
        <v/>
      </c>
      <c r="CG619" s="21" t="str">
        <f>IF([1]!BANCO10[[#This Row],[SOLUÇÃO]]=CG$1,[1]!BANCO10[[#This Row],[STATUS DA ETAPA]],"")</f>
        <v/>
      </c>
      <c r="CH619" s="21" t="str">
        <f>IF([1]!BANCO10[[#This Row],[SOLUÇÃO]]=CH$1,[1]!BANCO10[[#This Row],[STATUS DA ETAPA]],"")</f>
        <v/>
      </c>
      <c r="CI619" s="21" t="str">
        <f>IF([1]!BANCO10[[#This Row],[SOLUÇÃO]]=CI$1,[1]!BANCO10[[#This Row],[STATUS DA ETAPA]],"")</f>
        <v/>
      </c>
      <c r="CJ619" s="21" t="str">
        <f>IF([1]!BANCO10[[#This Row],[SOLUÇÃO]]=CJ$1,[1]!BANCO10[[#This Row],[STATUS DA ETAPA]],"")</f>
        <v/>
      </c>
      <c r="CK619" s="21" t="str">
        <f>IF([1]!BANCO10[[#This Row],[SOLUÇÃO]]=CK$1,[1]!BANCO10[[#This Row],[STATUS DA ETAPA]],"")</f>
        <v/>
      </c>
      <c r="CL619" s="21" t="str">
        <f>IF([1]!BANCO10[[#This Row],[SOLUÇÃO]]=CL$1,[1]!BANCO10[[#This Row],[STATUS DA ETAPA]],"")</f>
        <v/>
      </c>
      <c r="CM619" s="21" t="str">
        <f>IF([1]!BANCO10[[#This Row],[SOLUÇÃO]]=CM$1,[1]!BANCO10[[#This Row],[STATUS DA ETAPA]],"")</f>
        <v/>
      </c>
      <c r="CN619" s="21" t="str">
        <f>IF([1]!BANCO10[[#This Row],[SOLUÇÃO]]=CN$1,[1]!BANCO10[[#This Row],[STATUS DA ETAPA]],"")</f>
        <v/>
      </c>
      <c r="CO619" s="21" t="str">
        <f>IF([1]!BANCO10[[#This Row],[SOLUÇÃO]]=CO$1,[1]!BANCO10[[#This Row],[STATUS DA ETAPA]],"")</f>
        <v/>
      </c>
      <c r="CP619" s="21" t="str">
        <f>IF([1]!BANCO10[[#This Row],[SOLUÇÃO]]=CP$1,[1]!BANCO10[[#This Row],[STATUS DA ETAPA]],"")</f>
        <v/>
      </c>
      <c r="CQ619" s="21" t="str">
        <f>IF([1]!BANCO10[[#This Row],[SOLUÇÃO]]=CQ$1,[1]!BANCO10[[#This Row],[STATUS DA ETAPA]],"")</f>
        <v/>
      </c>
      <c r="CR619" s="21" t="str">
        <f>IF([1]!BANCO10[[#This Row],[SOLUÇÃO]]=CR$1,[1]!BANCO10[[#This Row],[STATUS DA ETAPA]],"")</f>
        <v/>
      </c>
      <c r="CS619" s="21" t="str">
        <f>IF([1]!BANCO10[[#This Row],[SOLUÇÃO]]=CS$1,[1]!BANCO10[[#This Row],[STATUS DA ETAPA]],"")</f>
        <v/>
      </c>
      <c r="CT619" s="21" t="str">
        <f>IF([1]!BANCO10[[#This Row],[SOLUÇÃO]]=CT$1,[1]!BANCO10[[#This Row],[STATUS DA ETAPA]],"")</f>
        <v/>
      </c>
      <c r="CU619" s="21" t="str">
        <f>IF([1]!BANCO10[[#This Row],[SOLUÇÃO]]=CU$1,[1]!BANCO10[[#This Row],[STATUS DA ETAPA]],"")</f>
        <v/>
      </c>
      <c r="CV619" s="21" t="str">
        <f>IF([1]!BANCO10[[#This Row],[SOLUÇÃO]]=CV$1,[1]!BANCO10[[#This Row],[STATUS DA ETAPA]],"")</f>
        <v/>
      </c>
    </row>
    <row r="620" spans="1:100">
      <c r="A620" s="44" t="s">
        <v>2</v>
      </c>
      <c r="B620" s="44">
        <v>45695</v>
      </c>
      <c r="C620" s="44" t="s">
        <v>2</v>
      </c>
      <c r="D620" s="44">
        <v>45695</v>
      </c>
      <c r="E620" s="44" t="s">
        <v>2</v>
      </c>
      <c r="F620" s="44">
        <v>45700</v>
      </c>
      <c r="G620" s="44" t="s">
        <v>2</v>
      </c>
      <c r="H620" s="44">
        <v>45705</v>
      </c>
      <c r="I620" s="45" t="s">
        <v>2</v>
      </c>
      <c r="J620" s="46">
        <v>45700</v>
      </c>
      <c r="K620" s="45" t="s">
        <v>2</v>
      </c>
      <c r="L620" s="33">
        <v>45694</v>
      </c>
      <c r="M620" s="45" t="s">
        <v>2</v>
      </c>
      <c r="N620" s="33">
        <v>45695</v>
      </c>
      <c r="O620" s="44" t="s">
        <v>2</v>
      </c>
      <c r="P620" s="44">
        <v>45695</v>
      </c>
      <c r="Q620" s="44" t="s">
        <v>2</v>
      </c>
      <c r="R620" s="44">
        <v>45695</v>
      </c>
      <c r="S620" s="44" t="s">
        <v>0</v>
      </c>
      <c r="T620" s="44"/>
      <c r="U620" s="44" t="s">
        <v>1</v>
      </c>
      <c r="V620" s="44"/>
      <c r="W620" s="44" t="s">
        <v>1</v>
      </c>
      <c r="X620" s="44"/>
      <c r="Y620" s="44" t="s">
        <v>1</v>
      </c>
      <c r="Z620" s="44"/>
      <c r="AA620" s="44" t="s">
        <v>1</v>
      </c>
      <c r="AB620" s="44"/>
      <c r="AC620" s="51">
        <v>45791</v>
      </c>
      <c r="AD620" s="50">
        <v>45887</v>
      </c>
      <c r="AE620" s="41" t="s">
        <v>2</v>
      </c>
      <c r="AF620" s="41" t="s">
        <v>2</v>
      </c>
      <c r="AG620" s="40" t="s">
        <v>5</v>
      </c>
      <c r="AH620" s="36" t="s">
        <v>0</v>
      </c>
      <c r="AI620" s="49">
        <v>20140</v>
      </c>
      <c r="AJ620" s="36" t="s">
        <v>6</v>
      </c>
      <c r="AK620" s="10">
        <v>664911</v>
      </c>
      <c r="AL620" s="36" t="s">
        <v>1</v>
      </c>
      <c r="AM620" s="36" t="s">
        <v>1</v>
      </c>
      <c r="AN620" s="35" t="s">
        <v>2</v>
      </c>
      <c r="AO620" s="35" t="s">
        <v>2</v>
      </c>
      <c r="AP620" s="35" t="s">
        <v>2</v>
      </c>
      <c r="AQ620" s="35" t="s">
        <v>2</v>
      </c>
      <c r="AR620" s="33" t="s">
        <v>2</v>
      </c>
      <c r="AS620" s="33">
        <v>45890</v>
      </c>
      <c r="AT620" s="32" t="s">
        <v>1</v>
      </c>
      <c r="AU620" s="31"/>
      <c r="AV620" s="32" t="s">
        <v>1</v>
      </c>
      <c r="AW620" s="31"/>
      <c r="AX620" s="32" t="s">
        <v>2</v>
      </c>
      <c r="AY620" s="31">
        <v>45890</v>
      </c>
      <c r="AZ620" s="32" t="s">
        <v>0</v>
      </c>
      <c r="BA620" s="47"/>
      <c r="BB620" s="126"/>
      <c r="BC620" s="22">
        <v>0</v>
      </c>
      <c r="BD620" s="24"/>
      <c r="BE620" s="24"/>
      <c r="BF620" s="24"/>
      <c r="BG620" s="24"/>
      <c r="BH620" s="24"/>
      <c r="BI620" s="24"/>
      <c r="BJ620" s="24"/>
      <c r="BK620" s="24"/>
      <c r="BL620" s="24"/>
      <c r="BM620" s="24"/>
      <c r="BN620" s="24"/>
      <c r="BO620" s="24"/>
      <c r="BP620" s="24"/>
      <c r="BQ620" s="22">
        <f>YEAR([1]!BANCO10[[#This Row],[DATA INÍCIO]])</f>
        <v>2025</v>
      </c>
      <c r="BR620" s="22">
        <f>MONTH([1]!BANCO10[[#This Row],[DATA INÍCIO]])</f>
        <v>5</v>
      </c>
      <c r="BS620" s="23" t="e">
        <f>CONCATENATE(#REF!,#REF!)</f>
        <v>#REF!</v>
      </c>
      <c r="BT620" s="22"/>
      <c r="BU620" s="22"/>
      <c r="BV620" s="21" t="str">
        <f>IF([1]!BANCO10[[#This Row],[SOLUÇÃO]]=BV$1,[1]!BANCO10[[#This Row],[STATUS DA ETAPA]],"")</f>
        <v/>
      </c>
      <c r="BW620" s="21" t="str">
        <f>IF([1]!BANCO10[[#This Row],[SOLUÇÃO]]=BW$1,[1]!BANCO10[[#This Row],[STATUS DA ETAPA]],"")</f>
        <v/>
      </c>
      <c r="BX620" s="21" t="str">
        <f>IF([1]!BANCO10[[#This Row],[SOLUÇÃO]]=BX$1,[1]!BANCO10[[#This Row],[STATUS DA ETAPA]],"")</f>
        <v/>
      </c>
      <c r="BY620" s="21" t="str">
        <f>IF([1]!BANCO10[[#This Row],[SOLUÇÃO]]=BY$1,[1]!BANCO10[[#This Row],[STATUS DA ETAPA]],"")</f>
        <v/>
      </c>
      <c r="BZ620" s="21" t="str">
        <f>IF([1]!BANCO10[[#This Row],[SOLUÇÃO]]=BZ$1,[1]!BANCO10[[#This Row],[STATUS DA ETAPA]],"")</f>
        <v/>
      </c>
      <c r="CA620" s="21" t="str">
        <f>IF([1]!BANCO10[[#This Row],[SOLUÇÃO]]=CA$1,[1]!BANCO10[[#This Row],[STATUS DA ETAPA]],"")</f>
        <v/>
      </c>
      <c r="CB620" s="21" t="str">
        <f>IF([1]!BANCO10[[#This Row],[SOLUÇÃO]]=CB$1,[1]!BANCO10[[#This Row],[STATUS DA ETAPA]],"")</f>
        <v>CONCLUÍDO</v>
      </c>
      <c r="CC620" s="21" t="str">
        <f>IF([1]!BANCO10[[#This Row],[SOLUÇÃO]]=CC$1,[1]!BANCO10[[#This Row],[STATUS DA ETAPA]],"")</f>
        <v/>
      </c>
      <c r="CD620" s="21" t="str">
        <f>IF([1]!BANCO10[[#This Row],[SOLUÇÃO]]=CD$1,[1]!BANCO10[[#This Row],[STATUS DA ETAPA]],"")</f>
        <v/>
      </c>
      <c r="CE620" s="21" t="str">
        <f>IF([1]!BANCO10[[#This Row],[SOLUÇÃO]]=CE$1,[1]!BANCO10[[#This Row],[STATUS DA ETAPA]],"")</f>
        <v/>
      </c>
      <c r="CF620" s="21" t="str">
        <f>IF([1]!BANCO10[[#This Row],[SOLUÇÃO]]=CF$1,[1]!BANCO10[[#This Row],[STATUS DA ETAPA]],"")</f>
        <v/>
      </c>
      <c r="CG620" s="21" t="str">
        <f>IF([1]!BANCO10[[#This Row],[SOLUÇÃO]]=CG$1,[1]!BANCO10[[#This Row],[STATUS DA ETAPA]],"")</f>
        <v/>
      </c>
      <c r="CH620" s="21" t="str">
        <f>IF([1]!BANCO10[[#This Row],[SOLUÇÃO]]=CH$1,[1]!BANCO10[[#This Row],[STATUS DA ETAPA]],"")</f>
        <v/>
      </c>
      <c r="CI620" s="21" t="str">
        <f>IF([1]!BANCO10[[#This Row],[SOLUÇÃO]]=CI$1,[1]!BANCO10[[#This Row],[STATUS DA ETAPA]],"")</f>
        <v/>
      </c>
      <c r="CJ620" s="21" t="str">
        <f>IF([1]!BANCO10[[#This Row],[SOLUÇÃO]]=CJ$1,[1]!BANCO10[[#This Row],[STATUS DA ETAPA]],"")</f>
        <v/>
      </c>
      <c r="CK620" s="21" t="str">
        <f>IF([1]!BANCO10[[#This Row],[SOLUÇÃO]]=CK$1,[1]!BANCO10[[#This Row],[STATUS DA ETAPA]],"")</f>
        <v/>
      </c>
      <c r="CL620" s="21" t="str">
        <f>IF([1]!BANCO10[[#This Row],[SOLUÇÃO]]=CL$1,[1]!BANCO10[[#This Row],[STATUS DA ETAPA]],"")</f>
        <v/>
      </c>
      <c r="CM620" s="21" t="str">
        <f>IF([1]!BANCO10[[#This Row],[SOLUÇÃO]]=CM$1,[1]!BANCO10[[#This Row],[STATUS DA ETAPA]],"")</f>
        <v/>
      </c>
      <c r="CN620" s="21" t="str">
        <f>IF([1]!BANCO10[[#This Row],[SOLUÇÃO]]=CN$1,[1]!BANCO10[[#This Row],[STATUS DA ETAPA]],"")</f>
        <v/>
      </c>
      <c r="CO620" s="21" t="str">
        <f>IF([1]!BANCO10[[#This Row],[SOLUÇÃO]]=CO$1,[1]!BANCO10[[#This Row],[STATUS DA ETAPA]],"")</f>
        <v/>
      </c>
      <c r="CP620" s="21" t="str">
        <f>IF([1]!BANCO10[[#This Row],[SOLUÇÃO]]=CP$1,[1]!BANCO10[[#This Row],[STATUS DA ETAPA]],"")</f>
        <v/>
      </c>
      <c r="CQ620" s="21" t="str">
        <f>IF([1]!BANCO10[[#This Row],[SOLUÇÃO]]=CQ$1,[1]!BANCO10[[#This Row],[STATUS DA ETAPA]],"")</f>
        <v/>
      </c>
      <c r="CR620" s="21" t="str">
        <f>IF([1]!BANCO10[[#This Row],[SOLUÇÃO]]=CR$1,[1]!BANCO10[[#This Row],[STATUS DA ETAPA]],"")</f>
        <v/>
      </c>
      <c r="CS620" s="21" t="str">
        <f>IF([1]!BANCO10[[#This Row],[SOLUÇÃO]]=CS$1,[1]!BANCO10[[#This Row],[STATUS DA ETAPA]],"")</f>
        <v/>
      </c>
      <c r="CT620" s="21" t="str">
        <f>IF([1]!BANCO10[[#This Row],[SOLUÇÃO]]=CT$1,[1]!BANCO10[[#This Row],[STATUS DA ETAPA]],"")</f>
        <v/>
      </c>
      <c r="CU620" s="21" t="str">
        <f>IF([1]!BANCO10[[#This Row],[SOLUÇÃO]]=CU$1,[1]!BANCO10[[#This Row],[STATUS DA ETAPA]],"")</f>
        <v/>
      </c>
      <c r="CV620" s="21" t="str">
        <f>IF([1]!BANCO10[[#This Row],[SOLUÇÃO]]=CV$1,[1]!BANCO10[[#This Row],[STATUS DA ETAPA]],"")</f>
        <v/>
      </c>
    </row>
    <row r="621" spans="1:100">
      <c r="A621" s="44" t="s">
        <v>1</v>
      </c>
      <c r="B621" s="44"/>
      <c r="C621" s="44" t="s">
        <v>1</v>
      </c>
      <c r="D621" s="44"/>
      <c r="E621" s="44" t="s">
        <v>1</v>
      </c>
      <c r="F621" s="44"/>
      <c r="G621" s="44" t="s">
        <v>1</v>
      </c>
      <c r="H621" s="44"/>
      <c r="I621" s="45" t="s">
        <v>1</v>
      </c>
      <c r="J621" s="46"/>
      <c r="K621" s="45" t="s">
        <v>1</v>
      </c>
      <c r="L621" s="33"/>
      <c r="M621" s="45" t="s">
        <v>1</v>
      </c>
      <c r="N621" s="33"/>
      <c r="O621" s="44" t="s">
        <v>1</v>
      </c>
      <c r="P621" s="44"/>
      <c r="Q621" s="44" t="s">
        <v>1</v>
      </c>
      <c r="R621" s="44"/>
      <c r="S621" s="44" t="s">
        <v>1</v>
      </c>
      <c r="T621" s="44"/>
      <c r="U621" s="44" t="s">
        <v>2</v>
      </c>
      <c r="V621" s="44">
        <v>45825</v>
      </c>
      <c r="W621" s="44" t="s">
        <v>2</v>
      </c>
      <c r="X621" s="44"/>
      <c r="Y621" s="44" t="s">
        <v>2</v>
      </c>
      <c r="Z621" s="44"/>
      <c r="AA621" s="44" t="s">
        <v>2</v>
      </c>
      <c r="AB621" s="44"/>
      <c r="AC621" s="51">
        <v>45861</v>
      </c>
      <c r="AD621" s="50">
        <v>45910</v>
      </c>
      <c r="AE621" s="68" t="s">
        <v>2</v>
      </c>
      <c r="AF621" s="68" t="s">
        <v>2</v>
      </c>
      <c r="AG621" s="76" t="s">
        <v>4</v>
      </c>
      <c r="AH621" s="36" t="s">
        <v>0</v>
      </c>
      <c r="AI621" s="49">
        <v>0</v>
      </c>
      <c r="AJ621" s="36" t="s">
        <v>6</v>
      </c>
      <c r="AK621" s="10" t="s">
        <v>274</v>
      </c>
      <c r="AL621" s="36">
        <v>0</v>
      </c>
      <c r="AM621" s="36">
        <v>0</v>
      </c>
      <c r="AN621" s="35" t="s">
        <v>1</v>
      </c>
      <c r="AO621" s="35" t="s">
        <v>1</v>
      </c>
      <c r="AP621" s="35" t="s">
        <v>2</v>
      </c>
      <c r="AQ621" s="35" t="s">
        <v>1</v>
      </c>
      <c r="AR621" s="34" t="s">
        <v>1</v>
      </c>
      <c r="AS621" s="33"/>
      <c r="AT621" s="32" t="s">
        <v>2</v>
      </c>
      <c r="AU621" s="31">
        <v>45915</v>
      </c>
      <c r="AV621" s="32" t="s">
        <v>2</v>
      </c>
      <c r="AW621" s="31">
        <v>45915</v>
      </c>
      <c r="AX621" s="30" t="s">
        <v>2</v>
      </c>
      <c r="AY621" s="29">
        <v>45915</v>
      </c>
      <c r="AZ621" s="28" t="s">
        <v>0</v>
      </c>
      <c r="BA621" s="81"/>
      <c r="BB621" s="39">
        <v>45835</v>
      </c>
      <c r="BC621" s="22" t="s">
        <v>273</v>
      </c>
      <c r="BD621" s="24"/>
      <c r="BE621" s="24"/>
      <c r="BF621" s="24"/>
      <c r="BG621" s="24"/>
      <c r="BH621" s="24"/>
      <c r="BI621" s="24"/>
      <c r="BJ621" s="24"/>
      <c r="BK621" s="24"/>
      <c r="BL621" s="24"/>
      <c r="BM621" s="24"/>
      <c r="BN621" s="24"/>
      <c r="BO621" s="24"/>
      <c r="BP621" s="24"/>
      <c r="BQ621" s="22">
        <f>YEAR([1]!BANCO10[[#This Row],[DATA INÍCIO]])</f>
        <v>2025</v>
      </c>
      <c r="BR621" s="22">
        <f>MONTH([1]!BANCO10[[#This Row],[DATA INÍCIO]])</f>
        <v>7</v>
      </c>
      <c r="BS621" s="23" t="e">
        <f>CONCATENATE(#REF!,#REF!)</f>
        <v>#REF!</v>
      </c>
      <c r="BT621" s="22"/>
      <c r="BU621" s="22"/>
      <c r="BV621" s="21" t="str">
        <f>IF([1]!BANCO10[[#This Row],[SOLUÇÃO]]=BV$1,[1]!BANCO10[[#This Row],[STATUS DA ETAPA]],"")</f>
        <v/>
      </c>
      <c r="BW621" s="21" t="str">
        <f>IF([1]!BANCO10[[#This Row],[SOLUÇÃO]]=BW$1,[1]!BANCO10[[#This Row],[STATUS DA ETAPA]],"")</f>
        <v/>
      </c>
      <c r="BX621" s="21" t="str">
        <f>IF([1]!BANCO10[[#This Row],[SOLUÇÃO]]=BX$1,[1]!BANCO10[[#This Row],[STATUS DA ETAPA]],"")</f>
        <v>CONCLUÍDO</v>
      </c>
      <c r="BY621" s="21" t="str">
        <f>IF([1]!BANCO10[[#This Row],[SOLUÇÃO]]=BY$1,[1]!BANCO10[[#This Row],[STATUS DA ETAPA]],"")</f>
        <v/>
      </c>
      <c r="BZ621" s="21" t="str">
        <f>IF([1]!BANCO10[[#This Row],[SOLUÇÃO]]=BZ$1,[1]!BANCO10[[#This Row],[STATUS DA ETAPA]],"")</f>
        <v/>
      </c>
      <c r="CA621" s="21" t="str">
        <f>IF([1]!BANCO10[[#This Row],[SOLUÇÃO]]=CA$1,[1]!BANCO10[[#This Row],[STATUS DA ETAPA]],"")</f>
        <v/>
      </c>
      <c r="CB621" s="21" t="str">
        <f>IF([1]!BANCO10[[#This Row],[SOLUÇÃO]]=CB$1,[1]!BANCO10[[#This Row],[STATUS DA ETAPA]],"")</f>
        <v/>
      </c>
      <c r="CC621" s="21" t="str">
        <f>IF([1]!BANCO10[[#This Row],[SOLUÇÃO]]=CC$1,[1]!BANCO10[[#This Row],[STATUS DA ETAPA]],"")</f>
        <v/>
      </c>
      <c r="CD621" s="21" t="str">
        <f>IF([1]!BANCO10[[#This Row],[SOLUÇÃO]]=CD$1,[1]!BANCO10[[#This Row],[STATUS DA ETAPA]],"")</f>
        <v/>
      </c>
      <c r="CE621" s="21" t="str">
        <f>IF([1]!BANCO10[[#This Row],[SOLUÇÃO]]=CE$1,[1]!BANCO10[[#This Row],[STATUS DA ETAPA]],"")</f>
        <v/>
      </c>
      <c r="CF621" s="21" t="str">
        <f>IF([1]!BANCO10[[#This Row],[SOLUÇÃO]]=CF$1,[1]!BANCO10[[#This Row],[STATUS DA ETAPA]],"")</f>
        <v/>
      </c>
      <c r="CG621" s="21" t="str">
        <f>IF([1]!BANCO10[[#This Row],[SOLUÇÃO]]=CG$1,[1]!BANCO10[[#This Row],[STATUS DA ETAPA]],"")</f>
        <v/>
      </c>
      <c r="CH621" s="21" t="str">
        <f>IF([1]!BANCO10[[#This Row],[SOLUÇÃO]]=CH$1,[1]!BANCO10[[#This Row],[STATUS DA ETAPA]],"")</f>
        <v/>
      </c>
      <c r="CI621" s="21" t="str">
        <f>IF([1]!BANCO10[[#This Row],[SOLUÇÃO]]=CI$1,[1]!BANCO10[[#This Row],[STATUS DA ETAPA]],"")</f>
        <v/>
      </c>
      <c r="CJ621" s="21" t="str">
        <f>IF([1]!BANCO10[[#This Row],[SOLUÇÃO]]=CJ$1,[1]!BANCO10[[#This Row],[STATUS DA ETAPA]],"")</f>
        <v/>
      </c>
      <c r="CK621" s="21" t="str">
        <f>IF([1]!BANCO10[[#This Row],[SOLUÇÃO]]=CK$1,[1]!BANCO10[[#This Row],[STATUS DA ETAPA]],"")</f>
        <v/>
      </c>
      <c r="CL621" s="21" t="str">
        <f>IF([1]!BANCO10[[#This Row],[SOLUÇÃO]]=CL$1,[1]!BANCO10[[#This Row],[STATUS DA ETAPA]],"")</f>
        <v/>
      </c>
      <c r="CM621" s="21" t="str">
        <f>IF([1]!BANCO10[[#This Row],[SOLUÇÃO]]=CM$1,[1]!BANCO10[[#This Row],[STATUS DA ETAPA]],"")</f>
        <v/>
      </c>
      <c r="CN621" s="21" t="str">
        <f>IF([1]!BANCO10[[#This Row],[SOLUÇÃO]]=CN$1,[1]!BANCO10[[#This Row],[STATUS DA ETAPA]],"")</f>
        <v/>
      </c>
      <c r="CO621" s="21" t="str">
        <f>IF([1]!BANCO10[[#This Row],[SOLUÇÃO]]=CO$1,[1]!BANCO10[[#This Row],[STATUS DA ETAPA]],"")</f>
        <v/>
      </c>
      <c r="CP621" s="21" t="str">
        <f>IF([1]!BANCO10[[#This Row],[SOLUÇÃO]]=CP$1,[1]!BANCO10[[#This Row],[STATUS DA ETAPA]],"")</f>
        <v/>
      </c>
      <c r="CQ621" s="21" t="str">
        <f>IF([1]!BANCO10[[#This Row],[SOLUÇÃO]]=CQ$1,[1]!BANCO10[[#This Row],[STATUS DA ETAPA]],"")</f>
        <v/>
      </c>
      <c r="CR621" s="21" t="str">
        <f>IF([1]!BANCO10[[#This Row],[SOLUÇÃO]]=CR$1,[1]!BANCO10[[#This Row],[STATUS DA ETAPA]],"")</f>
        <v/>
      </c>
      <c r="CS621" s="21" t="str">
        <f>IF([1]!BANCO10[[#This Row],[SOLUÇÃO]]=CS$1,[1]!BANCO10[[#This Row],[STATUS DA ETAPA]],"")</f>
        <v/>
      </c>
      <c r="CT621" s="21" t="str">
        <f>IF([1]!BANCO10[[#This Row],[SOLUÇÃO]]=CT$1,[1]!BANCO10[[#This Row],[STATUS DA ETAPA]],"")</f>
        <v/>
      </c>
      <c r="CU621" s="21" t="str">
        <f>IF([1]!BANCO10[[#This Row],[SOLUÇÃO]]=CU$1,[1]!BANCO10[[#This Row],[STATUS DA ETAPA]],"")</f>
        <v/>
      </c>
      <c r="CV621" s="21" t="str">
        <f>IF([1]!BANCO10[[#This Row],[SOLUÇÃO]]=CV$1,[1]!BANCO10[[#This Row],[STATUS DA ETAPA]],"")</f>
        <v/>
      </c>
    </row>
    <row r="622" spans="1:100">
      <c r="A622" s="44" t="s">
        <v>1</v>
      </c>
      <c r="B622" s="44"/>
      <c r="C622" s="44" t="s">
        <v>1</v>
      </c>
      <c r="D622" s="44"/>
      <c r="E622" s="44" t="s">
        <v>1</v>
      </c>
      <c r="F622" s="44"/>
      <c r="G622" s="44" t="s">
        <v>1</v>
      </c>
      <c r="H622" s="44"/>
      <c r="I622" s="45" t="s">
        <v>1</v>
      </c>
      <c r="J622" s="46"/>
      <c r="K622" s="45" t="s">
        <v>1</v>
      </c>
      <c r="L622" s="33"/>
      <c r="M622" s="45" t="s">
        <v>1</v>
      </c>
      <c r="N622" s="33"/>
      <c r="O622" s="44" t="s">
        <v>2</v>
      </c>
      <c r="P622" s="44">
        <v>44739</v>
      </c>
      <c r="Q622" s="44" t="s">
        <v>0</v>
      </c>
      <c r="R622" s="44"/>
      <c r="S622" s="44" t="s">
        <v>1</v>
      </c>
      <c r="T622" s="44"/>
      <c r="U622" s="44" t="s">
        <v>1</v>
      </c>
      <c r="V622" s="44"/>
      <c r="W622" s="44" t="s">
        <v>1</v>
      </c>
      <c r="X622" s="44"/>
      <c r="Y622" s="44" t="s">
        <v>1</v>
      </c>
      <c r="Z622" s="44"/>
      <c r="AA622" s="44" t="s">
        <v>1</v>
      </c>
      <c r="AB622" s="44"/>
      <c r="AC622" s="43">
        <v>44734</v>
      </c>
      <c r="AD622" s="43">
        <v>44734</v>
      </c>
      <c r="AE622" s="24" t="s">
        <v>1</v>
      </c>
      <c r="AF622" s="40" t="s">
        <v>1</v>
      </c>
      <c r="AG622" s="40" t="s">
        <v>5</v>
      </c>
      <c r="AH622" s="36" t="s">
        <v>1</v>
      </c>
      <c r="AI622" s="49">
        <v>0</v>
      </c>
      <c r="AJ622" s="36" t="s">
        <v>1</v>
      </c>
      <c r="AK622" s="10" t="s">
        <v>1</v>
      </c>
      <c r="AL622" s="36" t="s">
        <v>1</v>
      </c>
      <c r="AM622" s="36" t="s">
        <v>1</v>
      </c>
      <c r="AN622" s="35" t="s">
        <v>1</v>
      </c>
      <c r="AO622" s="35" t="s">
        <v>1</v>
      </c>
      <c r="AP622" s="35" t="s">
        <v>1</v>
      </c>
      <c r="AQ622" s="35" t="s">
        <v>1</v>
      </c>
      <c r="AR622" s="48" t="s">
        <v>1</v>
      </c>
      <c r="AS622" s="33"/>
      <c r="AT622" s="30"/>
      <c r="AU622" s="55"/>
      <c r="AV622" s="30"/>
      <c r="AW622" s="55"/>
      <c r="AX622" s="30" t="s">
        <v>1</v>
      </c>
      <c r="AY622" s="55"/>
      <c r="AZ622" s="30" t="s">
        <v>1</v>
      </c>
      <c r="BA622" s="85"/>
      <c r="BB622" s="39"/>
      <c r="BC622" s="25"/>
      <c r="BD622" s="24" t="s">
        <v>11</v>
      </c>
      <c r="BE622" s="24" t="s">
        <v>11</v>
      </c>
      <c r="BF622" s="79" t="s">
        <v>19</v>
      </c>
      <c r="BG622" s="79" t="s">
        <v>11</v>
      </c>
      <c r="BH622" s="80" t="s">
        <v>19</v>
      </c>
      <c r="BI622" s="79"/>
      <c r="BJ622" s="54" t="s">
        <v>11</v>
      </c>
      <c r="BK622" s="78" t="s">
        <v>11</v>
      </c>
      <c r="BL622" s="69" t="s">
        <v>11</v>
      </c>
      <c r="BM622" s="78" t="s">
        <v>11</v>
      </c>
      <c r="BN622" s="78" t="s">
        <v>11</v>
      </c>
      <c r="BO622" s="78" t="s">
        <v>11</v>
      </c>
      <c r="BP622" s="78" t="s">
        <v>11</v>
      </c>
      <c r="BQ622" s="21">
        <f>YEAR([1]!BANCO10[[#This Row],[DATA INÍCIO]])</f>
        <v>2022</v>
      </c>
      <c r="BR622" s="21">
        <f>MONTH([1]!BANCO10[[#This Row],[DATA INÍCIO]])</f>
        <v>6</v>
      </c>
      <c r="BS622" s="21" t="e">
        <f>CONCATENATE(#REF!,#REF!)</f>
        <v>#REF!</v>
      </c>
      <c r="BT622" s="21"/>
      <c r="BU622" s="21" t="s">
        <v>272</v>
      </c>
      <c r="BV622" s="21" t="str">
        <f>IF([1]!BANCO10[[#This Row],[SOLUÇÃO]]=BV$1,[1]!BANCO10[[#This Row],[STATUS DA ETAPA]],"")</f>
        <v>CONCLUÍDO</v>
      </c>
      <c r="BW622" s="21" t="str">
        <f>IF([1]!BANCO10[[#This Row],[SOLUÇÃO]]=BW$1,[1]!BANCO10[[#This Row],[STATUS DA ETAPA]],"")</f>
        <v/>
      </c>
      <c r="BX622" s="21" t="str">
        <f>IF([1]!BANCO10[[#This Row],[SOLUÇÃO]]=BX$1,[1]!BANCO10[[#This Row],[STATUS DA ETAPA]],"")</f>
        <v/>
      </c>
      <c r="BY622" s="21" t="str">
        <f>IF([1]!BANCO10[[#This Row],[SOLUÇÃO]]=BY$1,[1]!BANCO10[[#This Row],[STATUS DA ETAPA]],"")</f>
        <v/>
      </c>
      <c r="BZ622" s="21" t="str">
        <f>IF([1]!BANCO10[[#This Row],[SOLUÇÃO]]=BZ$1,[1]!BANCO10[[#This Row],[STATUS DA ETAPA]],"")</f>
        <v/>
      </c>
      <c r="CA622" s="21" t="str">
        <f>IF([1]!BANCO10[[#This Row],[SOLUÇÃO]]=CA$1,[1]!BANCO10[[#This Row],[STATUS DA ETAPA]],"")</f>
        <v/>
      </c>
      <c r="CB622" s="21" t="str">
        <f>IF([1]!BANCO10[[#This Row],[SOLUÇÃO]]=CB$1,[1]!BANCO10[[#This Row],[STATUS DA ETAPA]],"")</f>
        <v/>
      </c>
      <c r="CC622" s="21" t="str">
        <f>IF([1]!BANCO10[[#This Row],[SOLUÇÃO]]=CC$1,[1]!BANCO10[[#This Row],[STATUS DA ETAPA]],"")</f>
        <v/>
      </c>
      <c r="CD622" s="21" t="str">
        <f>IF([1]!BANCO10[[#This Row],[SOLUÇÃO]]=CD$1,[1]!BANCO10[[#This Row],[STATUS DA ETAPA]],"")</f>
        <v/>
      </c>
      <c r="CE622" s="21" t="str">
        <f>IF([1]!BANCO10[[#This Row],[SOLUÇÃO]]=CE$1,[1]!BANCO10[[#This Row],[STATUS DA ETAPA]],"")</f>
        <v/>
      </c>
      <c r="CF622" s="21" t="str">
        <f>IF([1]!BANCO10[[#This Row],[SOLUÇÃO]]=CF$1,[1]!BANCO10[[#This Row],[STATUS DA ETAPA]],"")</f>
        <v/>
      </c>
      <c r="CG622" s="21" t="str">
        <f>IF([1]!BANCO10[[#This Row],[SOLUÇÃO]]=CG$1,[1]!BANCO10[[#This Row],[STATUS DA ETAPA]],"")</f>
        <v/>
      </c>
      <c r="CH622" s="21" t="str">
        <f>IF([1]!BANCO10[[#This Row],[SOLUÇÃO]]=CH$1,[1]!BANCO10[[#This Row],[STATUS DA ETAPA]],"")</f>
        <v/>
      </c>
      <c r="CI622" s="21" t="str">
        <f>IF([1]!BANCO10[[#This Row],[SOLUÇÃO]]=CI$1,[1]!BANCO10[[#This Row],[STATUS DA ETAPA]],"")</f>
        <v/>
      </c>
      <c r="CJ622" s="21" t="str">
        <f>IF([1]!BANCO10[[#This Row],[SOLUÇÃO]]=CJ$1,[1]!BANCO10[[#This Row],[STATUS DA ETAPA]],"")</f>
        <v/>
      </c>
      <c r="CK622" s="21" t="str">
        <f>IF([1]!BANCO10[[#This Row],[SOLUÇÃO]]=CK$1,[1]!BANCO10[[#This Row],[STATUS DA ETAPA]],"")</f>
        <v/>
      </c>
      <c r="CL622" s="22" t="str">
        <f>IF([1]!BANCO10[[#This Row],[SOLUÇÃO]]=CL$1,[1]!BANCO10[[#This Row],[STATUS DA ETAPA]],"")</f>
        <v/>
      </c>
      <c r="CM622" s="64" t="str">
        <f>IF([1]!BANCO10[[#This Row],[SOLUÇÃO]]=CM$1,[1]!BANCO10[[#This Row],[STATUS DA ETAPA]],"")</f>
        <v/>
      </c>
      <c r="CN622" s="64" t="str">
        <f>IF([1]!BANCO10[[#This Row],[SOLUÇÃO]]=CN$1,[1]!BANCO10[[#This Row],[STATUS DA ETAPA]],"")</f>
        <v/>
      </c>
      <c r="CO622" s="64" t="str">
        <f>IF([1]!BANCO10[[#This Row],[SOLUÇÃO]]=CO$1,[1]!BANCO10[[#This Row],[STATUS DA ETAPA]],"")</f>
        <v/>
      </c>
      <c r="CP622" s="64" t="str">
        <f>IF([1]!BANCO10[[#This Row],[SOLUÇÃO]]=CP$1,[1]!BANCO10[[#This Row],[STATUS DA ETAPA]],"")</f>
        <v/>
      </c>
      <c r="CQ622" s="64" t="str">
        <f>IF([1]!BANCO10[[#This Row],[SOLUÇÃO]]=CQ$1,[1]!BANCO10[[#This Row],[STATUS DA ETAPA]],"")</f>
        <v/>
      </c>
      <c r="CR622" s="64" t="str">
        <f>IF([1]!BANCO10[[#This Row],[SOLUÇÃO]]=CR$1,[1]!BANCO10[[#This Row],[STATUS DA ETAPA]],"")</f>
        <v/>
      </c>
      <c r="CS622" s="64" t="str">
        <f>IF([1]!BANCO10[[#This Row],[SOLUÇÃO]]=CS$1,[1]!BANCO10[[#This Row],[STATUS DA ETAPA]],"")</f>
        <v/>
      </c>
      <c r="CT622" s="64" t="str">
        <f>IF([1]!BANCO10[[#This Row],[SOLUÇÃO]]=CT$1,[1]!BANCO10[[#This Row],[STATUS DA ETAPA]],"")</f>
        <v/>
      </c>
      <c r="CU622" s="64" t="str">
        <f>IF([1]!BANCO10[[#This Row],[SOLUÇÃO]]=CU$1,[1]!BANCO10[[#This Row],[STATUS DA ETAPA]],"")</f>
        <v/>
      </c>
      <c r="CV622" s="64" t="str">
        <f>IF([1]!BANCO10[[#This Row],[SOLUÇÃO]]=CV$1,[1]!BANCO10[[#This Row],[STATUS DA ETAPA]],"")</f>
        <v/>
      </c>
    </row>
    <row r="623" spans="1:100">
      <c r="A623" s="44" t="s">
        <v>1</v>
      </c>
      <c r="B623" s="44"/>
      <c r="C623" s="44" t="s">
        <v>1</v>
      </c>
      <c r="D623" s="44"/>
      <c r="E623" s="44" t="s">
        <v>1</v>
      </c>
      <c r="F623" s="44"/>
      <c r="G623" s="44" t="s">
        <v>1</v>
      </c>
      <c r="H623" s="44"/>
      <c r="I623" s="45" t="s">
        <v>1</v>
      </c>
      <c r="J623" s="46"/>
      <c r="K623" s="45" t="s">
        <v>1</v>
      </c>
      <c r="L623" s="33"/>
      <c r="M623" s="45" t="s">
        <v>1</v>
      </c>
      <c r="N623" s="33"/>
      <c r="O623" s="44" t="s">
        <v>2</v>
      </c>
      <c r="P623" s="44">
        <v>44739</v>
      </c>
      <c r="Q623" s="44" t="s">
        <v>2</v>
      </c>
      <c r="R623" s="44">
        <v>44739</v>
      </c>
      <c r="S623" s="44" t="s">
        <v>2</v>
      </c>
      <c r="T623" s="44">
        <v>44739</v>
      </c>
      <c r="U623" s="44" t="s">
        <v>1</v>
      </c>
      <c r="V623" s="44"/>
      <c r="W623" s="44" t="s">
        <v>1</v>
      </c>
      <c r="X623" s="44"/>
      <c r="Y623" s="44" t="s">
        <v>1</v>
      </c>
      <c r="Z623" s="44"/>
      <c r="AA623" s="44" t="s">
        <v>1</v>
      </c>
      <c r="AB623" s="44"/>
      <c r="AC623" s="104">
        <v>44806</v>
      </c>
      <c r="AD623" s="103">
        <v>44904</v>
      </c>
      <c r="AE623" s="99" t="s">
        <v>2</v>
      </c>
      <c r="AF623" s="99" t="s">
        <v>2</v>
      </c>
      <c r="AG623" s="99" t="s">
        <v>5</v>
      </c>
      <c r="AH623" s="36" t="s">
        <v>0</v>
      </c>
      <c r="AI623" s="49">
        <v>0</v>
      </c>
      <c r="AJ623" s="36"/>
      <c r="AK623" s="10"/>
      <c r="AL623" s="36" t="s">
        <v>1</v>
      </c>
      <c r="AM623" s="36" t="s">
        <v>1</v>
      </c>
      <c r="AN623" s="35" t="s">
        <v>0</v>
      </c>
      <c r="AO623" s="35" t="s">
        <v>0</v>
      </c>
      <c r="AP623" s="35" t="s">
        <v>2</v>
      </c>
      <c r="AQ623" s="35" t="s">
        <v>1</v>
      </c>
      <c r="AR623" s="102" t="s">
        <v>1</v>
      </c>
      <c r="AS623" s="106"/>
      <c r="AT623" s="100"/>
      <c r="AU623" s="98"/>
      <c r="AV623" s="100"/>
      <c r="AW623" s="98"/>
      <c r="AX623" s="100" t="s">
        <v>2</v>
      </c>
      <c r="AY623" s="98">
        <v>44904</v>
      </c>
      <c r="AZ623" s="100" t="s">
        <v>2</v>
      </c>
      <c r="BA623" s="105"/>
      <c r="BB623" s="99"/>
      <c r="BC623" s="98"/>
      <c r="BD623" s="24" t="s">
        <v>11</v>
      </c>
      <c r="BE623" s="24" t="s">
        <v>11</v>
      </c>
      <c r="BF623" s="79" t="s">
        <v>19</v>
      </c>
      <c r="BG623" s="79" t="s">
        <v>11</v>
      </c>
      <c r="BH623" s="80" t="s">
        <v>19</v>
      </c>
      <c r="BI623" s="79"/>
      <c r="BJ623" s="54" t="s">
        <v>11</v>
      </c>
      <c r="BK623" s="78" t="s">
        <v>11</v>
      </c>
      <c r="BL623" s="69">
        <v>45392</v>
      </c>
      <c r="BM623" s="78" t="s">
        <v>18</v>
      </c>
      <c r="BN623" s="78" t="s">
        <v>270</v>
      </c>
      <c r="BO623" s="78"/>
      <c r="BP623" s="78" t="s">
        <v>269</v>
      </c>
      <c r="BQ623" s="21">
        <f>YEAR([1]!BANCO10[[#This Row],[DATA INÍCIO]])</f>
        <v>2022</v>
      </c>
      <c r="BR623" s="21">
        <f>MONTH([1]!BANCO10[[#This Row],[DATA INÍCIO]])</f>
        <v>9</v>
      </c>
      <c r="BS623" s="21" t="e">
        <f>CONCATENATE(#REF!,#REF!)</f>
        <v>#REF!</v>
      </c>
      <c r="BT623" s="21"/>
      <c r="BU623" s="21" t="s">
        <v>271</v>
      </c>
      <c r="BV623" s="21" t="str">
        <f>IF([1]!BANCO10[[#This Row],[SOLUÇÃO]]=BV$1,[1]!BANCO10[[#This Row],[STATUS DA ETAPA]],"")</f>
        <v/>
      </c>
      <c r="BW623" s="21" t="str">
        <f>IF([1]!BANCO10[[#This Row],[SOLUÇÃO]]=BW$1,[1]!BANCO10[[#This Row],[STATUS DA ETAPA]],"")</f>
        <v/>
      </c>
      <c r="BX623" s="21" t="str">
        <f>IF([1]!BANCO10[[#This Row],[SOLUÇÃO]]=BX$1,[1]!BANCO10[[#This Row],[STATUS DA ETAPA]],"")</f>
        <v/>
      </c>
      <c r="BY623" s="21" t="str">
        <f>IF([1]!BANCO10[[#This Row],[SOLUÇÃO]]=BY$1,[1]!BANCO10[[#This Row],[STATUS DA ETAPA]],"")</f>
        <v/>
      </c>
      <c r="BZ623" s="21" t="str">
        <f>IF([1]!BANCO10[[#This Row],[SOLUÇÃO]]=BZ$1,[1]!BANCO10[[#This Row],[STATUS DA ETAPA]],"")</f>
        <v/>
      </c>
      <c r="CA623" s="21" t="str">
        <f>IF([1]!BANCO10[[#This Row],[SOLUÇÃO]]=CA$1,[1]!BANCO10[[#This Row],[STATUS DA ETAPA]],"")</f>
        <v>CONCLUÍDO</v>
      </c>
      <c r="CB623" s="21" t="str">
        <f>IF([1]!BANCO10[[#This Row],[SOLUÇÃO]]=CB$1,[1]!BANCO10[[#This Row],[STATUS DA ETAPA]],"")</f>
        <v/>
      </c>
      <c r="CC623" s="21" t="str">
        <f>IF([1]!BANCO10[[#This Row],[SOLUÇÃO]]=CC$1,[1]!BANCO10[[#This Row],[STATUS DA ETAPA]],"")</f>
        <v/>
      </c>
      <c r="CD623" s="21" t="str">
        <f>IF([1]!BANCO10[[#This Row],[SOLUÇÃO]]=CD$1,[1]!BANCO10[[#This Row],[STATUS DA ETAPA]],"")</f>
        <v/>
      </c>
      <c r="CE623" s="21" t="str">
        <f>IF([1]!BANCO10[[#This Row],[SOLUÇÃO]]=CE$1,[1]!BANCO10[[#This Row],[STATUS DA ETAPA]],"")</f>
        <v/>
      </c>
      <c r="CF623" s="21" t="str">
        <f>IF([1]!BANCO10[[#This Row],[SOLUÇÃO]]=CF$1,[1]!BANCO10[[#This Row],[STATUS DA ETAPA]],"")</f>
        <v/>
      </c>
      <c r="CG623" s="21" t="str">
        <f>IF([1]!BANCO10[[#This Row],[SOLUÇÃO]]=CG$1,[1]!BANCO10[[#This Row],[STATUS DA ETAPA]],"")</f>
        <v/>
      </c>
      <c r="CH623" s="21" t="str">
        <f>IF([1]!BANCO10[[#This Row],[SOLUÇÃO]]=CH$1,[1]!BANCO10[[#This Row],[STATUS DA ETAPA]],"")</f>
        <v/>
      </c>
      <c r="CI623" s="21" t="str">
        <f>IF([1]!BANCO10[[#This Row],[SOLUÇÃO]]=CI$1,[1]!BANCO10[[#This Row],[STATUS DA ETAPA]],"")</f>
        <v/>
      </c>
      <c r="CJ623" s="21" t="str">
        <f>IF([1]!BANCO10[[#This Row],[SOLUÇÃO]]=CJ$1,[1]!BANCO10[[#This Row],[STATUS DA ETAPA]],"")</f>
        <v/>
      </c>
      <c r="CK623" s="21" t="str">
        <f>IF([1]!BANCO10[[#This Row],[SOLUÇÃO]]=CK$1,[1]!BANCO10[[#This Row],[STATUS DA ETAPA]],"")</f>
        <v/>
      </c>
      <c r="CL623" s="22" t="str">
        <f>IF([1]!BANCO10[[#This Row],[SOLUÇÃO]]=CL$1,[1]!BANCO10[[#This Row],[STATUS DA ETAPA]],"")</f>
        <v/>
      </c>
      <c r="CM623" s="64" t="str">
        <f>IF([1]!BANCO10[[#This Row],[SOLUÇÃO]]=CM$1,[1]!BANCO10[[#This Row],[STATUS DA ETAPA]],"")</f>
        <v/>
      </c>
      <c r="CN623" s="64" t="str">
        <f>IF([1]!BANCO10[[#This Row],[SOLUÇÃO]]=CN$1,[1]!BANCO10[[#This Row],[STATUS DA ETAPA]],"")</f>
        <v/>
      </c>
      <c r="CO623" s="64" t="str">
        <f>IF([1]!BANCO10[[#This Row],[SOLUÇÃO]]=CO$1,[1]!BANCO10[[#This Row],[STATUS DA ETAPA]],"")</f>
        <v/>
      </c>
      <c r="CP623" s="64" t="str">
        <f>IF([1]!BANCO10[[#This Row],[SOLUÇÃO]]=CP$1,[1]!BANCO10[[#This Row],[STATUS DA ETAPA]],"")</f>
        <v/>
      </c>
      <c r="CQ623" s="64" t="str">
        <f>IF([1]!BANCO10[[#This Row],[SOLUÇÃO]]=CQ$1,[1]!BANCO10[[#This Row],[STATUS DA ETAPA]],"")</f>
        <v/>
      </c>
      <c r="CR623" s="64" t="str">
        <f>IF([1]!BANCO10[[#This Row],[SOLUÇÃO]]=CR$1,[1]!BANCO10[[#This Row],[STATUS DA ETAPA]],"")</f>
        <v/>
      </c>
      <c r="CS623" s="64" t="str">
        <f>IF([1]!BANCO10[[#This Row],[SOLUÇÃO]]=CS$1,[1]!BANCO10[[#This Row],[STATUS DA ETAPA]],"")</f>
        <v/>
      </c>
      <c r="CT623" s="64" t="str">
        <f>IF([1]!BANCO10[[#This Row],[SOLUÇÃO]]=CT$1,[1]!BANCO10[[#This Row],[STATUS DA ETAPA]],"")</f>
        <v/>
      </c>
      <c r="CU623" s="64" t="str">
        <f>IF([1]!BANCO10[[#This Row],[SOLUÇÃO]]=CU$1,[1]!BANCO10[[#This Row],[STATUS DA ETAPA]],"")</f>
        <v/>
      </c>
      <c r="CV623" s="64" t="str">
        <f>IF([1]!BANCO10[[#This Row],[SOLUÇÃO]]=CV$1,[1]!BANCO10[[#This Row],[STATUS DA ETAPA]],"")</f>
        <v/>
      </c>
    </row>
    <row r="624" spans="1:100">
      <c r="A624" s="44" t="s">
        <v>1</v>
      </c>
      <c r="B624" s="44"/>
      <c r="C624" s="44" t="s">
        <v>1</v>
      </c>
      <c r="D624" s="44"/>
      <c r="E624" s="44" t="s">
        <v>1</v>
      </c>
      <c r="F624" s="44"/>
      <c r="G624" s="44" t="s">
        <v>1</v>
      </c>
      <c r="H624" s="44"/>
      <c r="I624" s="45" t="s">
        <v>1</v>
      </c>
      <c r="J624" s="46"/>
      <c r="K624" s="45" t="s">
        <v>1</v>
      </c>
      <c r="L624" s="33"/>
      <c r="M624" s="45" t="s">
        <v>1</v>
      </c>
      <c r="N624" s="33"/>
      <c r="O624" s="44" t="s">
        <v>2</v>
      </c>
      <c r="P624" s="44">
        <v>45078</v>
      </c>
      <c r="Q624" s="44" t="s">
        <v>2</v>
      </c>
      <c r="R624" s="44">
        <v>45078</v>
      </c>
      <c r="S624" s="44" t="s">
        <v>2</v>
      </c>
      <c r="T624" s="44">
        <v>45078</v>
      </c>
      <c r="U624" s="44" t="s">
        <v>1</v>
      </c>
      <c r="V624" s="44"/>
      <c r="W624" s="44" t="s">
        <v>1</v>
      </c>
      <c r="X624" s="44"/>
      <c r="Y624" s="44" t="s">
        <v>1</v>
      </c>
      <c r="Z624" s="44"/>
      <c r="AA624" s="44" t="s">
        <v>1</v>
      </c>
      <c r="AB624" s="44"/>
      <c r="AC624" s="125">
        <v>45078</v>
      </c>
      <c r="AD624" s="125">
        <v>45271</v>
      </c>
      <c r="AE624" s="99" t="s">
        <v>2</v>
      </c>
      <c r="AF624" s="99" t="s">
        <v>2</v>
      </c>
      <c r="AG624" s="99" t="s">
        <v>5</v>
      </c>
      <c r="AH624" s="36" t="s">
        <v>0</v>
      </c>
      <c r="AI624" s="49">
        <v>0</v>
      </c>
      <c r="AJ624" s="36"/>
      <c r="AK624" s="10"/>
      <c r="AL624" s="36" t="s">
        <v>1</v>
      </c>
      <c r="AM624" s="36" t="s">
        <v>1</v>
      </c>
      <c r="AN624" s="35" t="s">
        <v>0</v>
      </c>
      <c r="AO624" s="35" t="s">
        <v>0</v>
      </c>
      <c r="AP624" s="35" t="s">
        <v>2</v>
      </c>
      <c r="AQ624" s="35" t="s">
        <v>1</v>
      </c>
      <c r="AR624" s="106" t="s">
        <v>1</v>
      </c>
      <c r="AS624" s="106"/>
      <c r="AT624" s="100"/>
      <c r="AU624" s="98"/>
      <c r="AV624" s="100"/>
      <c r="AW624" s="98"/>
      <c r="AX624" s="100" t="s">
        <v>2</v>
      </c>
      <c r="AY624" s="98">
        <v>45280</v>
      </c>
      <c r="AZ624" s="100" t="s">
        <v>1</v>
      </c>
      <c r="BA624" s="105"/>
      <c r="BB624" s="99"/>
      <c r="BC624" s="98"/>
      <c r="BD624" s="24" t="s">
        <v>11</v>
      </c>
      <c r="BE624" s="24" t="s">
        <v>11</v>
      </c>
      <c r="BF624" s="79" t="s">
        <v>19</v>
      </c>
      <c r="BG624" s="79" t="s">
        <v>11</v>
      </c>
      <c r="BH624" s="80" t="s">
        <v>19</v>
      </c>
      <c r="BI624" s="79"/>
      <c r="BJ624" s="54" t="s">
        <v>11</v>
      </c>
      <c r="BK624" s="78" t="s">
        <v>11</v>
      </c>
      <c r="BL624" s="69">
        <v>45392</v>
      </c>
      <c r="BM624" s="78" t="s">
        <v>18</v>
      </c>
      <c r="BN624" s="78" t="s">
        <v>270</v>
      </c>
      <c r="BO624" s="78"/>
      <c r="BP624" s="78" t="s">
        <v>269</v>
      </c>
      <c r="BQ624" s="21">
        <f>YEAR([1]!BANCO10[[#This Row],[DATA INÍCIO]])</f>
        <v>2023</v>
      </c>
      <c r="BR624" s="21">
        <f>MONTH([1]!BANCO10[[#This Row],[DATA INÍCIO]])</f>
        <v>6</v>
      </c>
      <c r="BS624" s="21" t="e">
        <f>CONCATENATE(#REF!,#REF!)</f>
        <v>#REF!</v>
      </c>
      <c r="BT624" s="21"/>
      <c r="BU624" s="21" t="s">
        <v>268</v>
      </c>
      <c r="BV624" s="21" t="str">
        <f>IF([1]!BANCO10[[#This Row],[SOLUÇÃO]]=BV$1,[1]!BANCO10[[#This Row],[STATUS DA ETAPA]],"")</f>
        <v/>
      </c>
      <c r="BW624" s="21" t="str">
        <f>IF([1]!BANCO10[[#This Row],[SOLUÇÃO]]=BW$1,[1]!BANCO10[[#This Row],[STATUS DA ETAPA]],"")</f>
        <v/>
      </c>
      <c r="BX624" s="21" t="str">
        <f>IF([1]!BANCO10[[#This Row],[SOLUÇÃO]]=BX$1,[1]!BANCO10[[#This Row],[STATUS DA ETAPA]],"")</f>
        <v/>
      </c>
      <c r="BY624" s="21" t="str">
        <f>IF([1]!BANCO10[[#This Row],[SOLUÇÃO]]=BY$1,[1]!BANCO10[[#This Row],[STATUS DA ETAPA]],"")</f>
        <v/>
      </c>
      <c r="BZ624" s="21" t="str">
        <f>IF([1]!BANCO10[[#This Row],[SOLUÇÃO]]=BZ$1,[1]!BANCO10[[#This Row],[STATUS DA ETAPA]],"")</f>
        <v/>
      </c>
      <c r="CA624" s="21" t="str">
        <f>IF([1]!BANCO10[[#This Row],[SOLUÇÃO]]=CA$1,[1]!BANCO10[[#This Row],[STATUS DA ETAPA]],"")</f>
        <v/>
      </c>
      <c r="CB624" s="21" t="str">
        <f>IF([1]!BANCO10[[#This Row],[SOLUÇÃO]]=CB$1,[1]!BANCO10[[#This Row],[STATUS DA ETAPA]],"")</f>
        <v/>
      </c>
      <c r="CC624" s="21" t="str">
        <f>IF([1]!BANCO10[[#This Row],[SOLUÇÃO]]=CC$1,[1]!BANCO10[[#This Row],[STATUS DA ETAPA]],"")</f>
        <v/>
      </c>
      <c r="CD624" s="21" t="str">
        <f>IF([1]!BANCO10[[#This Row],[SOLUÇÃO]]=CD$1,[1]!BANCO10[[#This Row],[STATUS DA ETAPA]],"")</f>
        <v/>
      </c>
      <c r="CE624" s="21" t="str">
        <f>IF([1]!BANCO10[[#This Row],[SOLUÇÃO]]=CE$1,[1]!BANCO10[[#This Row],[STATUS DA ETAPA]],"")</f>
        <v/>
      </c>
      <c r="CF624" s="21" t="str">
        <f>IF([1]!BANCO10[[#This Row],[SOLUÇÃO]]=CF$1,[1]!BANCO10[[#This Row],[STATUS DA ETAPA]],"")</f>
        <v/>
      </c>
      <c r="CG624" s="21" t="str">
        <f>IF([1]!BANCO10[[#This Row],[SOLUÇÃO]]=CG$1,[1]!BANCO10[[#This Row],[STATUS DA ETAPA]],"")</f>
        <v/>
      </c>
      <c r="CH624" s="21" t="str">
        <f>IF([1]!BANCO10[[#This Row],[SOLUÇÃO]]=CH$1,[1]!BANCO10[[#This Row],[STATUS DA ETAPA]],"")</f>
        <v/>
      </c>
      <c r="CI624" s="21" t="str">
        <f>IF([1]!BANCO10[[#This Row],[SOLUÇÃO]]=CI$1,[1]!BANCO10[[#This Row],[STATUS DA ETAPA]],"")</f>
        <v/>
      </c>
      <c r="CJ624" s="21" t="str">
        <f>IF([1]!BANCO10[[#This Row],[SOLUÇÃO]]=CJ$1,[1]!BANCO10[[#This Row],[STATUS DA ETAPA]],"")</f>
        <v/>
      </c>
      <c r="CK624" s="21" t="str">
        <f>IF([1]!BANCO10[[#This Row],[SOLUÇÃO]]=CK$1,[1]!BANCO10[[#This Row],[STATUS DA ETAPA]],"")</f>
        <v/>
      </c>
      <c r="CL624" s="22" t="str">
        <f>IF([1]!BANCO10[[#This Row],[SOLUÇÃO]]=CL$1,[1]!BANCO10[[#This Row],[STATUS DA ETAPA]],"")</f>
        <v/>
      </c>
      <c r="CM624" s="64" t="str">
        <f>IF([1]!BANCO10[[#This Row],[SOLUÇÃO]]=CM$1,[1]!BANCO10[[#This Row],[STATUS DA ETAPA]],"")</f>
        <v/>
      </c>
      <c r="CN624" s="64" t="str">
        <f>IF([1]!BANCO10[[#This Row],[SOLUÇÃO]]=CN$1,[1]!BANCO10[[#This Row],[STATUS DA ETAPA]],"")</f>
        <v/>
      </c>
      <c r="CO624" s="64" t="str">
        <f>IF([1]!BANCO10[[#This Row],[SOLUÇÃO]]=CO$1,[1]!BANCO10[[#This Row],[STATUS DA ETAPA]],"")</f>
        <v>CONCLUÍDO</v>
      </c>
      <c r="CP624" s="64" t="str">
        <f>IF([1]!BANCO10[[#This Row],[SOLUÇÃO]]=CP$1,[1]!BANCO10[[#This Row],[STATUS DA ETAPA]],"")</f>
        <v/>
      </c>
      <c r="CQ624" s="64" t="str">
        <f>IF([1]!BANCO10[[#This Row],[SOLUÇÃO]]=CQ$1,[1]!BANCO10[[#This Row],[STATUS DA ETAPA]],"")</f>
        <v/>
      </c>
      <c r="CR624" s="64" t="str">
        <f>IF([1]!BANCO10[[#This Row],[SOLUÇÃO]]=CR$1,[1]!BANCO10[[#This Row],[STATUS DA ETAPA]],"")</f>
        <v/>
      </c>
      <c r="CS624" s="64" t="str">
        <f>IF([1]!BANCO10[[#This Row],[SOLUÇÃO]]=CS$1,[1]!BANCO10[[#This Row],[STATUS DA ETAPA]],"")</f>
        <v/>
      </c>
      <c r="CT624" s="64" t="str">
        <f>IF([1]!BANCO10[[#This Row],[SOLUÇÃO]]=CT$1,[1]!BANCO10[[#This Row],[STATUS DA ETAPA]],"")</f>
        <v/>
      </c>
      <c r="CU624" s="64" t="str">
        <f>IF([1]!BANCO10[[#This Row],[SOLUÇÃO]]=CU$1,[1]!BANCO10[[#This Row],[STATUS DA ETAPA]],"")</f>
        <v/>
      </c>
      <c r="CV624" s="64" t="str">
        <f>IF([1]!BANCO10[[#This Row],[SOLUÇÃO]]=CV$1,[1]!BANCO10[[#This Row],[STATUS DA ETAPA]],"")</f>
        <v/>
      </c>
    </row>
    <row r="625" spans="1:100">
      <c r="A625" s="44" t="s">
        <v>1</v>
      </c>
      <c r="B625" s="44"/>
      <c r="C625" s="44" t="s">
        <v>1</v>
      </c>
      <c r="D625" s="44"/>
      <c r="E625" s="44" t="s">
        <v>1</v>
      </c>
      <c r="F625" s="44"/>
      <c r="G625" s="44" t="s">
        <v>1</v>
      </c>
      <c r="H625" s="44"/>
      <c r="I625" s="45" t="s">
        <v>1</v>
      </c>
      <c r="J625" s="46"/>
      <c r="K625" s="45" t="s">
        <v>1</v>
      </c>
      <c r="L625" s="33"/>
      <c r="M625" s="45" t="s">
        <v>1</v>
      </c>
      <c r="N625" s="33"/>
      <c r="O625" s="44" t="s">
        <v>2</v>
      </c>
      <c r="P625" s="44">
        <v>44971</v>
      </c>
      <c r="Q625" s="44" t="s">
        <v>0</v>
      </c>
      <c r="R625" s="44"/>
      <c r="S625" s="44" t="s">
        <v>1</v>
      </c>
      <c r="T625" s="44"/>
      <c r="U625" s="44" t="s">
        <v>1</v>
      </c>
      <c r="V625" s="44"/>
      <c r="W625" s="44" t="s">
        <v>1</v>
      </c>
      <c r="X625" s="44"/>
      <c r="Y625" s="44" t="s">
        <v>1</v>
      </c>
      <c r="Z625" s="44"/>
      <c r="AA625" s="44" t="s">
        <v>1</v>
      </c>
      <c r="AB625" s="44"/>
      <c r="AC625" s="84">
        <v>44970</v>
      </c>
      <c r="AD625" s="83">
        <v>44970</v>
      </c>
      <c r="AE625" s="40" t="s">
        <v>1</v>
      </c>
      <c r="AF625" s="40" t="s">
        <v>1</v>
      </c>
      <c r="AG625" s="40" t="s">
        <v>5</v>
      </c>
      <c r="AH625" s="36" t="s">
        <v>1</v>
      </c>
      <c r="AI625" s="49">
        <v>0</v>
      </c>
      <c r="AJ625" s="36" t="s">
        <v>1</v>
      </c>
      <c r="AK625" s="10" t="s">
        <v>1</v>
      </c>
      <c r="AL625" s="36" t="s">
        <v>1</v>
      </c>
      <c r="AM625" s="36" t="s">
        <v>1</v>
      </c>
      <c r="AN625" s="35" t="s">
        <v>1</v>
      </c>
      <c r="AO625" s="35" t="s">
        <v>1</v>
      </c>
      <c r="AP625" s="35" t="s">
        <v>1</v>
      </c>
      <c r="AQ625" s="35" t="s">
        <v>1</v>
      </c>
      <c r="AR625" s="82" t="s">
        <v>1</v>
      </c>
      <c r="AS625" s="33"/>
      <c r="AT625" s="30"/>
      <c r="AU625" s="55"/>
      <c r="AV625" s="30"/>
      <c r="AW625" s="55"/>
      <c r="AX625" s="30" t="s">
        <v>1</v>
      </c>
      <c r="AY625" s="55"/>
      <c r="AZ625" s="30" t="s">
        <v>1</v>
      </c>
      <c r="BA625" s="85"/>
      <c r="BB625" s="120"/>
      <c r="BC625" s="25"/>
      <c r="BD625" s="24" t="s">
        <v>11</v>
      </c>
      <c r="BE625" s="24" t="s">
        <v>11</v>
      </c>
      <c r="BF625" s="79" t="s">
        <v>21</v>
      </c>
      <c r="BG625" s="79" t="s">
        <v>11</v>
      </c>
      <c r="BH625" s="80" t="s">
        <v>18</v>
      </c>
      <c r="BI625" s="79" t="s">
        <v>243</v>
      </c>
      <c r="BJ625" s="54" t="s">
        <v>11</v>
      </c>
      <c r="BK625" s="78" t="s">
        <v>11</v>
      </c>
      <c r="BL625" s="69" t="s">
        <v>11</v>
      </c>
      <c r="BM625" s="78" t="s">
        <v>11</v>
      </c>
      <c r="BN625" s="78" t="s">
        <v>11</v>
      </c>
      <c r="BO625" s="78" t="s">
        <v>11</v>
      </c>
      <c r="BP625" s="78" t="s">
        <v>11</v>
      </c>
      <c r="BQ625" s="21">
        <f>YEAR([1]!BANCO10[[#This Row],[DATA INÍCIO]])</f>
        <v>2023</v>
      </c>
      <c r="BR625" s="21">
        <f>MONTH([1]!BANCO10[[#This Row],[DATA INÍCIO]])</f>
        <v>2</v>
      </c>
      <c r="BS625" s="21" t="e">
        <f>CONCATENATE(#REF!,#REF!)</f>
        <v>#REF!</v>
      </c>
      <c r="BT625" s="21"/>
      <c r="BU625" s="21" t="s">
        <v>267</v>
      </c>
      <c r="BV625" s="21" t="str">
        <f>IF([1]!BANCO10[[#This Row],[SOLUÇÃO]]=BV$1,[1]!BANCO10[[#This Row],[STATUS DA ETAPA]],"")</f>
        <v>CONCLUÍDO</v>
      </c>
      <c r="BW625" s="21" t="str">
        <f>IF([1]!BANCO10[[#This Row],[SOLUÇÃO]]=BW$1,[1]!BANCO10[[#This Row],[STATUS DA ETAPA]],"")</f>
        <v/>
      </c>
      <c r="BX625" s="21" t="str">
        <f>IF([1]!BANCO10[[#This Row],[SOLUÇÃO]]=BX$1,[1]!BANCO10[[#This Row],[STATUS DA ETAPA]],"")</f>
        <v/>
      </c>
      <c r="BY625" s="21" t="str">
        <f>IF([1]!BANCO10[[#This Row],[SOLUÇÃO]]=BY$1,[1]!BANCO10[[#This Row],[STATUS DA ETAPA]],"")</f>
        <v/>
      </c>
      <c r="BZ625" s="21" t="str">
        <f>IF([1]!BANCO10[[#This Row],[SOLUÇÃO]]=BZ$1,[1]!BANCO10[[#This Row],[STATUS DA ETAPA]],"")</f>
        <v/>
      </c>
      <c r="CA625" s="21" t="str">
        <f>IF([1]!BANCO10[[#This Row],[SOLUÇÃO]]=CA$1,[1]!BANCO10[[#This Row],[STATUS DA ETAPA]],"")</f>
        <v/>
      </c>
      <c r="CB625" s="21" t="str">
        <f>IF([1]!BANCO10[[#This Row],[SOLUÇÃO]]=CB$1,[1]!BANCO10[[#This Row],[STATUS DA ETAPA]],"")</f>
        <v/>
      </c>
      <c r="CC625" s="21" t="str">
        <f>IF([1]!BANCO10[[#This Row],[SOLUÇÃO]]=CC$1,[1]!BANCO10[[#This Row],[STATUS DA ETAPA]],"")</f>
        <v/>
      </c>
      <c r="CD625" s="21" t="str">
        <f>IF([1]!BANCO10[[#This Row],[SOLUÇÃO]]=CD$1,[1]!BANCO10[[#This Row],[STATUS DA ETAPA]],"")</f>
        <v/>
      </c>
      <c r="CE625" s="21" t="str">
        <f>IF([1]!BANCO10[[#This Row],[SOLUÇÃO]]=CE$1,[1]!BANCO10[[#This Row],[STATUS DA ETAPA]],"")</f>
        <v/>
      </c>
      <c r="CF625" s="21" t="str">
        <f>IF([1]!BANCO10[[#This Row],[SOLUÇÃO]]=CF$1,[1]!BANCO10[[#This Row],[STATUS DA ETAPA]],"")</f>
        <v/>
      </c>
      <c r="CG625" s="21" t="str">
        <f>IF([1]!BANCO10[[#This Row],[SOLUÇÃO]]=CG$1,[1]!BANCO10[[#This Row],[STATUS DA ETAPA]],"")</f>
        <v/>
      </c>
      <c r="CH625" s="21" t="str">
        <f>IF([1]!BANCO10[[#This Row],[SOLUÇÃO]]=CH$1,[1]!BANCO10[[#This Row],[STATUS DA ETAPA]],"")</f>
        <v/>
      </c>
      <c r="CI625" s="21" t="str">
        <f>IF([1]!BANCO10[[#This Row],[SOLUÇÃO]]=CI$1,[1]!BANCO10[[#This Row],[STATUS DA ETAPA]],"")</f>
        <v/>
      </c>
      <c r="CJ625" s="21" t="str">
        <f>IF([1]!BANCO10[[#This Row],[SOLUÇÃO]]=CJ$1,[1]!BANCO10[[#This Row],[STATUS DA ETAPA]],"")</f>
        <v/>
      </c>
      <c r="CK625" s="21" t="str">
        <f>IF([1]!BANCO10[[#This Row],[SOLUÇÃO]]=CK$1,[1]!BANCO10[[#This Row],[STATUS DA ETAPA]],"")</f>
        <v/>
      </c>
      <c r="CL625" s="22" t="str">
        <f>IF([1]!BANCO10[[#This Row],[SOLUÇÃO]]=CL$1,[1]!BANCO10[[#This Row],[STATUS DA ETAPA]],"")</f>
        <v/>
      </c>
      <c r="CM625" s="64" t="str">
        <f>IF([1]!BANCO10[[#This Row],[SOLUÇÃO]]=CM$1,[1]!BANCO10[[#This Row],[STATUS DA ETAPA]],"")</f>
        <v/>
      </c>
      <c r="CN625" s="64" t="str">
        <f>IF([1]!BANCO10[[#This Row],[SOLUÇÃO]]=CN$1,[1]!BANCO10[[#This Row],[STATUS DA ETAPA]],"")</f>
        <v/>
      </c>
      <c r="CO625" s="64" t="str">
        <f>IF([1]!BANCO10[[#This Row],[SOLUÇÃO]]=CO$1,[1]!BANCO10[[#This Row],[STATUS DA ETAPA]],"")</f>
        <v/>
      </c>
      <c r="CP625" s="64" t="str">
        <f>IF([1]!BANCO10[[#This Row],[SOLUÇÃO]]=CP$1,[1]!BANCO10[[#This Row],[STATUS DA ETAPA]],"")</f>
        <v/>
      </c>
      <c r="CQ625" s="64" t="str">
        <f>IF([1]!BANCO10[[#This Row],[SOLUÇÃO]]=CQ$1,[1]!BANCO10[[#This Row],[STATUS DA ETAPA]],"")</f>
        <v/>
      </c>
      <c r="CR625" s="64" t="str">
        <f>IF([1]!BANCO10[[#This Row],[SOLUÇÃO]]=CR$1,[1]!BANCO10[[#This Row],[STATUS DA ETAPA]],"")</f>
        <v/>
      </c>
      <c r="CS625" s="64" t="str">
        <f>IF([1]!BANCO10[[#This Row],[SOLUÇÃO]]=CS$1,[1]!BANCO10[[#This Row],[STATUS DA ETAPA]],"")</f>
        <v/>
      </c>
      <c r="CT625" s="64" t="str">
        <f>IF([1]!BANCO10[[#This Row],[SOLUÇÃO]]=CT$1,[1]!BANCO10[[#This Row],[STATUS DA ETAPA]],"")</f>
        <v/>
      </c>
      <c r="CU625" s="64" t="str">
        <f>IF([1]!BANCO10[[#This Row],[SOLUÇÃO]]=CU$1,[1]!BANCO10[[#This Row],[STATUS DA ETAPA]],"")</f>
        <v/>
      </c>
      <c r="CV625" s="64" t="str">
        <f>IF([1]!BANCO10[[#This Row],[SOLUÇÃO]]=CV$1,[1]!BANCO10[[#This Row],[STATUS DA ETAPA]],"")</f>
        <v/>
      </c>
    </row>
    <row r="626" spans="1:100">
      <c r="A626" s="44" t="s">
        <v>1</v>
      </c>
      <c r="B626" s="44"/>
      <c r="C626" s="44" t="s">
        <v>1</v>
      </c>
      <c r="D626" s="44"/>
      <c r="E626" s="44" t="s">
        <v>1</v>
      </c>
      <c r="F626" s="44"/>
      <c r="G626" s="44" t="s">
        <v>1</v>
      </c>
      <c r="H626" s="44"/>
      <c r="I626" s="45" t="s">
        <v>1</v>
      </c>
      <c r="J626" s="46"/>
      <c r="K626" s="45" t="s">
        <v>1</v>
      </c>
      <c r="L626" s="33"/>
      <c r="M626" s="45" t="s">
        <v>1</v>
      </c>
      <c r="N626" s="33"/>
      <c r="O626" s="44" t="s">
        <v>2</v>
      </c>
      <c r="P626" s="44">
        <v>44971</v>
      </c>
      <c r="Q626" s="44" t="s">
        <v>2</v>
      </c>
      <c r="R626" s="44">
        <v>44971</v>
      </c>
      <c r="S626" s="44" t="s">
        <v>2</v>
      </c>
      <c r="T626" s="44">
        <v>44971</v>
      </c>
      <c r="U626" s="44"/>
      <c r="V626" s="44"/>
      <c r="W626" s="44" t="s">
        <v>2</v>
      </c>
      <c r="X626" s="44"/>
      <c r="Y626" s="44" t="s">
        <v>2</v>
      </c>
      <c r="Z626" s="44">
        <v>45016</v>
      </c>
      <c r="AA626" s="44" t="s">
        <v>2</v>
      </c>
      <c r="AB626" s="44"/>
      <c r="AC626" s="43">
        <v>45051</v>
      </c>
      <c r="AD626" s="43">
        <v>45148</v>
      </c>
      <c r="AE626" s="24" t="s">
        <v>2</v>
      </c>
      <c r="AF626" s="41" t="s">
        <v>2</v>
      </c>
      <c r="AG626" s="40" t="s">
        <v>5</v>
      </c>
      <c r="AH626" s="36" t="s">
        <v>0</v>
      </c>
      <c r="AI626" s="49">
        <v>0</v>
      </c>
      <c r="AJ626" s="36" t="s">
        <v>6</v>
      </c>
      <c r="AK626" s="10"/>
      <c r="AL626" s="36" t="s">
        <v>22</v>
      </c>
      <c r="AM626" s="36"/>
      <c r="AN626" s="35" t="s">
        <v>1</v>
      </c>
      <c r="AO626" s="35" t="s">
        <v>1</v>
      </c>
      <c r="AP626" s="35" t="s">
        <v>2</v>
      </c>
      <c r="AQ626" s="35" t="s">
        <v>1</v>
      </c>
      <c r="AR626" s="34" t="s">
        <v>1</v>
      </c>
      <c r="AS626" s="33"/>
      <c r="AT626" s="30"/>
      <c r="AU626" s="55"/>
      <c r="AV626" s="30"/>
      <c r="AW626" s="55"/>
      <c r="AX626" s="30" t="s">
        <v>2</v>
      </c>
      <c r="AY626" s="55">
        <v>45148</v>
      </c>
      <c r="AZ626" s="30" t="s">
        <v>2</v>
      </c>
      <c r="BA626" s="85"/>
      <c r="BB626" s="120"/>
      <c r="BC626" s="25"/>
      <c r="BD626" s="24" t="s">
        <v>11</v>
      </c>
      <c r="BE626" s="24" t="s">
        <v>11</v>
      </c>
      <c r="BF626" s="79" t="s">
        <v>21</v>
      </c>
      <c r="BG626" s="79" t="s">
        <v>11</v>
      </c>
      <c r="BH626" s="80" t="s">
        <v>18</v>
      </c>
      <c r="BI626" s="79" t="s">
        <v>243</v>
      </c>
      <c r="BJ626" s="54" t="s">
        <v>37</v>
      </c>
      <c r="BK626" s="78" t="s">
        <v>19</v>
      </c>
      <c r="BL626" s="69">
        <v>45412</v>
      </c>
      <c r="BM626" s="78" t="s">
        <v>18</v>
      </c>
      <c r="BN626" s="78" t="s">
        <v>11</v>
      </c>
      <c r="BO626" s="78"/>
      <c r="BP626" s="78" t="s">
        <v>266</v>
      </c>
      <c r="BQ626" s="21">
        <f>YEAR([1]!BANCO10[[#This Row],[DATA INÍCIO]])</f>
        <v>2023</v>
      </c>
      <c r="BR626" s="21">
        <f>MONTH([1]!BANCO10[[#This Row],[DATA INÍCIO]])</f>
        <v>5</v>
      </c>
      <c r="BS626" s="21" t="e">
        <f>CONCATENATE(#REF!,#REF!)</f>
        <v>#REF!</v>
      </c>
      <c r="BT626" s="21"/>
      <c r="BU626" s="21" t="s">
        <v>265</v>
      </c>
      <c r="BV626" s="21" t="str">
        <f>IF([1]!BANCO10[[#This Row],[SOLUÇÃO]]=BV$1,[1]!BANCO10[[#This Row],[STATUS DA ETAPA]],"")</f>
        <v/>
      </c>
      <c r="BW626" s="21" t="str">
        <f>IF([1]!BANCO10[[#This Row],[SOLUÇÃO]]=BW$1,[1]!BANCO10[[#This Row],[STATUS DA ETAPA]],"")</f>
        <v/>
      </c>
      <c r="BX626" s="21" t="str">
        <f>IF([1]!BANCO10[[#This Row],[SOLUÇÃO]]=BX$1,[1]!BANCO10[[#This Row],[STATUS DA ETAPA]],"")</f>
        <v/>
      </c>
      <c r="BY626" s="21" t="str">
        <f>IF([1]!BANCO10[[#This Row],[SOLUÇÃO]]=BY$1,[1]!BANCO10[[#This Row],[STATUS DA ETAPA]],"")</f>
        <v/>
      </c>
      <c r="BZ626" s="21" t="str">
        <f>IF([1]!BANCO10[[#This Row],[SOLUÇÃO]]=BZ$1,[1]!BANCO10[[#This Row],[STATUS DA ETAPA]],"")</f>
        <v/>
      </c>
      <c r="CA626" s="21" t="str">
        <f>IF([1]!BANCO10[[#This Row],[SOLUÇÃO]]=CA$1,[1]!BANCO10[[#This Row],[STATUS DA ETAPA]],"")</f>
        <v>CONCLUÍDO</v>
      </c>
      <c r="CB626" s="21" t="str">
        <f>IF([1]!BANCO10[[#This Row],[SOLUÇÃO]]=CB$1,[1]!BANCO10[[#This Row],[STATUS DA ETAPA]],"")</f>
        <v/>
      </c>
      <c r="CC626" s="21" t="str">
        <f>IF([1]!BANCO10[[#This Row],[SOLUÇÃO]]=CC$1,[1]!BANCO10[[#This Row],[STATUS DA ETAPA]],"")</f>
        <v/>
      </c>
      <c r="CD626" s="21" t="str">
        <f>IF([1]!BANCO10[[#This Row],[SOLUÇÃO]]=CD$1,[1]!BANCO10[[#This Row],[STATUS DA ETAPA]],"")</f>
        <v/>
      </c>
      <c r="CE626" s="21" t="str">
        <f>IF([1]!BANCO10[[#This Row],[SOLUÇÃO]]=CE$1,[1]!BANCO10[[#This Row],[STATUS DA ETAPA]],"")</f>
        <v/>
      </c>
      <c r="CF626" s="21" t="str">
        <f>IF([1]!BANCO10[[#This Row],[SOLUÇÃO]]=CF$1,[1]!BANCO10[[#This Row],[STATUS DA ETAPA]],"")</f>
        <v/>
      </c>
      <c r="CG626" s="21" t="str">
        <f>IF([1]!BANCO10[[#This Row],[SOLUÇÃO]]=CG$1,[1]!BANCO10[[#This Row],[STATUS DA ETAPA]],"")</f>
        <v/>
      </c>
      <c r="CH626" s="21" t="str">
        <f>IF([1]!BANCO10[[#This Row],[SOLUÇÃO]]=CH$1,[1]!BANCO10[[#This Row],[STATUS DA ETAPA]],"")</f>
        <v/>
      </c>
      <c r="CI626" s="21" t="str">
        <f>IF([1]!BANCO10[[#This Row],[SOLUÇÃO]]=CI$1,[1]!BANCO10[[#This Row],[STATUS DA ETAPA]],"")</f>
        <v/>
      </c>
      <c r="CJ626" s="21" t="str">
        <f>IF([1]!BANCO10[[#This Row],[SOLUÇÃO]]=CJ$1,[1]!BANCO10[[#This Row],[STATUS DA ETAPA]],"")</f>
        <v/>
      </c>
      <c r="CK626" s="21" t="str">
        <f>IF([1]!BANCO10[[#This Row],[SOLUÇÃO]]=CK$1,[1]!BANCO10[[#This Row],[STATUS DA ETAPA]],"")</f>
        <v/>
      </c>
      <c r="CL626" s="22" t="str">
        <f>IF([1]!BANCO10[[#This Row],[SOLUÇÃO]]=CL$1,[1]!BANCO10[[#This Row],[STATUS DA ETAPA]],"")</f>
        <v/>
      </c>
      <c r="CM626" s="64" t="str">
        <f>IF([1]!BANCO10[[#This Row],[SOLUÇÃO]]=CM$1,[1]!BANCO10[[#This Row],[STATUS DA ETAPA]],"")</f>
        <v/>
      </c>
      <c r="CN626" s="64" t="str">
        <f>IF([1]!BANCO10[[#This Row],[SOLUÇÃO]]=CN$1,[1]!BANCO10[[#This Row],[STATUS DA ETAPA]],"")</f>
        <v/>
      </c>
      <c r="CO626" s="64" t="str">
        <f>IF([1]!BANCO10[[#This Row],[SOLUÇÃO]]=CO$1,[1]!BANCO10[[#This Row],[STATUS DA ETAPA]],"")</f>
        <v/>
      </c>
      <c r="CP626" s="64" t="str">
        <f>IF([1]!BANCO10[[#This Row],[SOLUÇÃO]]=CP$1,[1]!BANCO10[[#This Row],[STATUS DA ETAPA]],"")</f>
        <v/>
      </c>
      <c r="CQ626" s="64" t="str">
        <f>IF([1]!BANCO10[[#This Row],[SOLUÇÃO]]=CQ$1,[1]!BANCO10[[#This Row],[STATUS DA ETAPA]],"")</f>
        <v/>
      </c>
      <c r="CR626" s="64" t="str">
        <f>IF([1]!BANCO10[[#This Row],[SOLUÇÃO]]=CR$1,[1]!BANCO10[[#This Row],[STATUS DA ETAPA]],"")</f>
        <v/>
      </c>
      <c r="CS626" s="64" t="str">
        <f>IF([1]!BANCO10[[#This Row],[SOLUÇÃO]]=CS$1,[1]!BANCO10[[#This Row],[STATUS DA ETAPA]],"")</f>
        <v/>
      </c>
      <c r="CT626" s="64" t="str">
        <f>IF([1]!BANCO10[[#This Row],[SOLUÇÃO]]=CT$1,[1]!BANCO10[[#This Row],[STATUS DA ETAPA]],"")</f>
        <v/>
      </c>
      <c r="CU626" s="64" t="str">
        <f>IF([1]!BANCO10[[#This Row],[SOLUÇÃO]]=CU$1,[1]!BANCO10[[#This Row],[STATUS DA ETAPA]],"")</f>
        <v/>
      </c>
      <c r="CV626" s="64" t="str">
        <f>IF([1]!BANCO10[[#This Row],[SOLUÇÃO]]=CV$1,[1]!BANCO10[[#This Row],[STATUS DA ETAPA]],"")</f>
        <v/>
      </c>
    </row>
    <row r="627" spans="1:100">
      <c r="A627" s="44" t="s">
        <v>1</v>
      </c>
      <c r="B627" s="44"/>
      <c r="C627" s="44" t="s">
        <v>1</v>
      </c>
      <c r="D627" s="44"/>
      <c r="E627" s="44" t="s">
        <v>1</v>
      </c>
      <c r="F627" s="44"/>
      <c r="G627" s="44" t="s">
        <v>1</v>
      </c>
      <c r="H627" s="44"/>
      <c r="I627" s="45" t="s">
        <v>1</v>
      </c>
      <c r="J627" s="46"/>
      <c r="K627" s="45" t="s">
        <v>1</v>
      </c>
      <c r="L627" s="33"/>
      <c r="M627" s="45" t="s">
        <v>1</v>
      </c>
      <c r="N627" s="33"/>
      <c r="O627" s="44" t="s">
        <v>2</v>
      </c>
      <c r="P627" s="44">
        <v>45152</v>
      </c>
      <c r="Q627" s="44" t="s">
        <v>0</v>
      </c>
      <c r="R627" s="44"/>
      <c r="S627" s="44" t="s">
        <v>1</v>
      </c>
      <c r="T627" s="44"/>
      <c r="U627" s="44" t="s">
        <v>1</v>
      </c>
      <c r="V627" s="44"/>
      <c r="W627" s="44" t="s">
        <v>1</v>
      </c>
      <c r="X627" s="44"/>
      <c r="Y627" s="44" t="s">
        <v>1</v>
      </c>
      <c r="Z627" s="44"/>
      <c r="AA627" s="44" t="s">
        <v>1</v>
      </c>
      <c r="AB627" s="44"/>
      <c r="AC627" s="84">
        <v>45005</v>
      </c>
      <c r="AD627" s="83">
        <v>45005</v>
      </c>
      <c r="AE627" s="40" t="s">
        <v>1</v>
      </c>
      <c r="AF627" s="40" t="s">
        <v>1</v>
      </c>
      <c r="AG627" s="40" t="s">
        <v>5</v>
      </c>
      <c r="AH627" s="36" t="s">
        <v>1</v>
      </c>
      <c r="AI627" s="49">
        <v>0</v>
      </c>
      <c r="AJ627" s="36" t="s">
        <v>1</v>
      </c>
      <c r="AK627" s="10" t="s">
        <v>1</v>
      </c>
      <c r="AL627" s="36" t="s">
        <v>1</v>
      </c>
      <c r="AM627" s="36" t="s">
        <v>1</v>
      </c>
      <c r="AN627" s="35" t="s">
        <v>1</v>
      </c>
      <c r="AO627" s="35" t="s">
        <v>1</v>
      </c>
      <c r="AP627" s="35" t="s">
        <v>1</v>
      </c>
      <c r="AQ627" s="35" t="s">
        <v>1</v>
      </c>
      <c r="AR627" s="82" t="s">
        <v>1</v>
      </c>
      <c r="AS627" s="33"/>
      <c r="AT627" s="30"/>
      <c r="AU627" s="55"/>
      <c r="AV627" s="30"/>
      <c r="AW627" s="55"/>
      <c r="AX627" s="30" t="s">
        <v>1</v>
      </c>
      <c r="AY627" s="55"/>
      <c r="AZ627" s="30" t="s">
        <v>1</v>
      </c>
      <c r="BA627" s="85"/>
      <c r="BB627" s="39" t="s">
        <v>263</v>
      </c>
      <c r="BC627" s="25"/>
      <c r="BD627" s="24" t="s">
        <v>72</v>
      </c>
      <c r="BE627" s="24" t="s">
        <v>19</v>
      </c>
      <c r="BF627" s="79" t="s">
        <v>51</v>
      </c>
      <c r="BG627" s="79" t="s">
        <v>11</v>
      </c>
      <c r="BH627" s="80" t="s">
        <v>19</v>
      </c>
      <c r="BI627" s="79"/>
      <c r="BJ627" s="54" t="s">
        <v>11</v>
      </c>
      <c r="BK627" s="78" t="s">
        <v>11</v>
      </c>
      <c r="BL627" s="69" t="s">
        <v>11</v>
      </c>
      <c r="BM627" s="78" t="s">
        <v>11</v>
      </c>
      <c r="BN627" s="78" t="s">
        <v>11</v>
      </c>
      <c r="BO627" s="78" t="s">
        <v>11</v>
      </c>
      <c r="BP627" s="78" t="s">
        <v>11</v>
      </c>
      <c r="BQ627" s="21">
        <f>YEAR([1]!BANCO10[[#This Row],[DATA INÍCIO]])</f>
        <v>2023</v>
      </c>
      <c r="BR627" s="21">
        <f>MONTH([1]!BANCO10[[#This Row],[DATA INÍCIO]])</f>
        <v>3</v>
      </c>
      <c r="BS627" s="21" t="e">
        <f>CONCATENATE(#REF!,#REF!)</f>
        <v>#REF!</v>
      </c>
      <c r="BT627" s="21"/>
      <c r="BU627" s="21" t="s">
        <v>264</v>
      </c>
      <c r="BV627" s="21" t="str">
        <f>IF([1]!BANCO10[[#This Row],[SOLUÇÃO]]=BV$1,[1]!BANCO10[[#This Row],[STATUS DA ETAPA]],"")</f>
        <v>CONCLUÍDO</v>
      </c>
      <c r="BW627" s="21" t="str">
        <f>IF([1]!BANCO10[[#This Row],[SOLUÇÃO]]=BW$1,[1]!BANCO10[[#This Row],[STATUS DA ETAPA]],"")</f>
        <v/>
      </c>
      <c r="BX627" s="21" t="str">
        <f>IF([1]!BANCO10[[#This Row],[SOLUÇÃO]]=BX$1,[1]!BANCO10[[#This Row],[STATUS DA ETAPA]],"")</f>
        <v/>
      </c>
      <c r="BY627" s="21" t="str">
        <f>IF([1]!BANCO10[[#This Row],[SOLUÇÃO]]=BY$1,[1]!BANCO10[[#This Row],[STATUS DA ETAPA]],"")</f>
        <v/>
      </c>
      <c r="BZ627" s="21" t="str">
        <f>IF([1]!BANCO10[[#This Row],[SOLUÇÃO]]=BZ$1,[1]!BANCO10[[#This Row],[STATUS DA ETAPA]],"")</f>
        <v/>
      </c>
      <c r="CA627" s="21" t="str">
        <f>IF([1]!BANCO10[[#This Row],[SOLUÇÃO]]=CA$1,[1]!BANCO10[[#This Row],[STATUS DA ETAPA]],"")</f>
        <v/>
      </c>
      <c r="CB627" s="21" t="str">
        <f>IF([1]!BANCO10[[#This Row],[SOLUÇÃO]]=CB$1,[1]!BANCO10[[#This Row],[STATUS DA ETAPA]],"")</f>
        <v/>
      </c>
      <c r="CC627" s="21" t="str">
        <f>IF([1]!BANCO10[[#This Row],[SOLUÇÃO]]=CC$1,[1]!BANCO10[[#This Row],[STATUS DA ETAPA]],"")</f>
        <v/>
      </c>
      <c r="CD627" s="21" t="str">
        <f>IF([1]!BANCO10[[#This Row],[SOLUÇÃO]]=CD$1,[1]!BANCO10[[#This Row],[STATUS DA ETAPA]],"")</f>
        <v/>
      </c>
      <c r="CE627" s="21" t="str">
        <f>IF([1]!BANCO10[[#This Row],[SOLUÇÃO]]=CE$1,[1]!BANCO10[[#This Row],[STATUS DA ETAPA]],"")</f>
        <v/>
      </c>
      <c r="CF627" s="21" t="str">
        <f>IF([1]!BANCO10[[#This Row],[SOLUÇÃO]]=CF$1,[1]!BANCO10[[#This Row],[STATUS DA ETAPA]],"")</f>
        <v/>
      </c>
      <c r="CG627" s="21" t="str">
        <f>IF([1]!BANCO10[[#This Row],[SOLUÇÃO]]=CG$1,[1]!BANCO10[[#This Row],[STATUS DA ETAPA]],"")</f>
        <v/>
      </c>
      <c r="CH627" s="21" t="str">
        <f>IF([1]!BANCO10[[#This Row],[SOLUÇÃO]]=CH$1,[1]!BANCO10[[#This Row],[STATUS DA ETAPA]],"")</f>
        <v/>
      </c>
      <c r="CI627" s="21" t="str">
        <f>IF([1]!BANCO10[[#This Row],[SOLUÇÃO]]=CI$1,[1]!BANCO10[[#This Row],[STATUS DA ETAPA]],"")</f>
        <v/>
      </c>
      <c r="CJ627" s="21" t="str">
        <f>IF([1]!BANCO10[[#This Row],[SOLUÇÃO]]=CJ$1,[1]!BANCO10[[#This Row],[STATUS DA ETAPA]],"")</f>
        <v/>
      </c>
      <c r="CK627" s="21" t="str">
        <f>IF([1]!BANCO10[[#This Row],[SOLUÇÃO]]=CK$1,[1]!BANCO10[[#This Row],[STATUS DA ETAPA]],"")</f>
        <v/>
      </c>
      <c r="CL627" s="22" t="str">
        <f>IF([1]!BANCO10[[#This Row],[SOLUÇÃO]]=CL$1,[1]!BANCO10[[#This Row],[STATUS DA ETAPA]],"")</f>
        <v/>
      </c>
      <c r="CM627" s="64" t="str">
        <f>IF([1]!BANCO10[[#This Row],[SOLUÇÃO]]=CM$1,[1]!BANCO10[[#This Row],[STATUS DA ETAPA]],"")</f>
        <v/>
      </c>
      <c r="CN627" s="64" t="str">
        <f>IF([1]!BANCO10[[#This Row],[SOLUÇÃO]]=CN$1,[1]!BANCO10[[#This Row],[STATUS DA ETAPA]],"")</f>
        <v/>
      </c>
      <c r="CO627" s="64" t="str">
        <f>IF([1]!BANCO10[[#This Row],[SOLUÇÃO]]=CO$1,[1]!BANCO10[[#This Row],[STATUS DA ETAPA]],"")</f>
        <v/>
      </c>
      <c r="CP627" s="64" t="str">
        <f>IF([1]!BANCO10[[#This Row],[SOLUÇÃO]]=CP$1,[1]!BANCO10[[#This Row],[STATUS DA ETAPA]],"")</f>
        <v/>
      </c>
      <c r="CQ627" s="64" t="str">
        <f>IF([1]!BANCO10[[#This Row],[SOLUÇÃO]]=CQ$1,[1]!BANCO10[[#This Row],[STATUS DA ETAPA]],"")</f>
        <v/>
      </c>
      <c r="CR627" s="64" t="str">
        <f>IF([1]!BANCO10[[#This Row],[SOLUÇÃO]]=CR$1,[1]!BANCO10[[#This Row],[STATUS DA ETAPA]],"")</f>
        <v/>
      </c>
      <c r="CS627" s="64" t="str">
        <f>IF([1]!BANCO10[[#This Row],[SOLUÇÃO]]=CS$1,[1]!BANCO10[[#This Row],[STATUS DA ETAPA]],"")</f>
        <v/>
      </c>
      <c r="CT627" s="64" t="str">
        <f>IF([1]!BANCO10[[#This Row],[SOLUÇÃO]]=CT$1,[1]!BANCO10[[#This Row],[STATUS DA ETAPA]],"")</f>
        <v/>
      </c>
      <c r="CU627" s="64" t="str">
        <f>IF([1]!BANCO10[[#This Row],[SOLUÇÃO]]=CU$1,[1]!BANCO10[[#This Row],[STATUS DA ETAPA]],"")</f>
        <v/>
      </c>
      <c r="CV627" s="64" t="str">
        <f>IF([1]!BANCO10[[#This Row],[SOLUÇÃO]]=CV$1,[1]!BANCO10[[#This Row],[STATUS DA ETAPA]],"")</f>
        <v/>
      </c>
    </row>
    <row r="628" spans="1:100">
      <c r="A628" s="44" t="s">
        <v>1</v>
      </c>
      <c r="B628" s="44"/>
      <c r="C628" s="44" t="s">
        <v>1</v>
      </c>
      <c r="D628" s="44"/>
      <c r="E628" s="44" t="s">
        <v>1</v>
      </c>
      <c r="F628" s="44"/>
      <c r="G628" s="44" t="s">
        <v>1</v>
      </c>
      <c r="H628" s="44"/>
      <c r="I628" s="45" t="s">
        <v>1</v>
      </c>
      <c r="J628" s="46"/>
      <c r="K628" s="45" t="s">
        <v>1</v>
      </c>
      <c r="L628" s="33"/>
      <c r="M628" s="45" t="s">
        <v>1</v>
      </c>
      <c r="N628" s="33"/>
      <c r="O628" s="44" t="s">
        <v>2</v>
      </c>
      <c r="P628" s="44">
        <v>45152</v>
      </c>
      <c r="Q628" s="44" t="s">
        <v>2</v>
      </c>
      <c r="R628" s="44">
        <v>45161</v>
      </c>
      <c r="S628" s="44"/>
      <c r="T628" s="44"/>
      <c r="U628" s="44" t="s">
        <v>1</v>
      </c>
      <c r="V628" s="44"/>
      <c r="W628" s="44" t="s">
        <v>1</v>
      </c>
      <c r="X628" s="44"/>
      <c r="Y628" s="44" t="s">
        <v>1</v>
      </c>
      <c r="Z628" s="44"/>
      <c r="AA628" s="44" t="s">
        <v>1</v>
      </c>
      <c r="AB628" s="44"/>
      <c r="AC628" s="43">
        <v>45320</v>
      </c>
      <c r="AD628" s="43">
        <v>45394</v>
      </c>
      <c r="AE628" s="24" t="s">
        <v>2</v>
      </c>
      <c r="AF628" s="40" t="s">
        <v>2</v>
      </c>
      <c r="AG628" s="40" t="s">
        <v>5</v>
      </c>
      <c r="AH628" s="36" t="s">
        <v>2</v>
      </c>
      <c r="AI628" s="49">
        <v>0</v>
      </c>
      <c r="AJ628" s="36" t="s">
        <v>1</v>
      </c>
      <c r="AK628" s="10" t="s">
        <v>1</v>
      </c>
      <c r="AL628" s="36" t="s">
        <v>1</v>
      </c>
      <c r="AM628" s="36" t="s">
        <v>1</v>
      </c>
      <c r="AN628" s="35" t="s">
        <v>1</v>
      </c>
      <c r="AO628" s="35" t="s">
        <v>1</v>
      </c>
      <c r="AP628" s="35" t="s">
        <v>2</v>
      </c>
      <c r="AQ628" s="35" t="s">
        <v>1</v>
      </c>
      <c r="AR628" s="34" t="s">
        <v>1</v>
      </c>
      <c r="AS628" s="33"/>
      <c r="AT628" s="30"/>
      <c r="AU628" s="55"/>
      <c r="AV628" s="30"/>
      <c r="AW628" s="55"/>
      <c r="AX628" s="30" t="s">
        <v>2</v>
      </c>
      <c r="AY628" s="55">
        <v>45394</v>
      </c>
      <c r="AZ628" s="30" t="s">
        <v>2</v>
      </c>
      <c r="BA628" s="91">
        <v>45622</v>
      </c>
      <c r="BB628" s="120" t="s">
        <v>263</v>
      </c>
      <c r="BC628" s="25"/>
      <c r="BD628" s="24" t="s">
        <v>72</v>
      </c>
      <c r="BE628" s="24" t="s">
        <v>19</v>
      </c>
      <c r="BF628" s="79" t="s">
        <v>51</v>
      </c>
      <c r="BG628" s="79" t="s">
        <v>11</v>
      </c>
      <c r="BH628" s="80" t="s">
        <v>19</v>
      </c>
      <c r="BI628" s="79"/>
      <c r="BJ628" s="54" t="s">
        <v>11</v>
      </c>
      <c r="BK628" s="78" t="s">
        <v>11</v>
      </c>
      <c r="BL628" s="69" t="s">
        <v>11</v>
      </c>
      <c r="BM628" s="78" t="s">
        <v>11</v>
      </c>
      <c r="BN628" s="78" t="s">
        <v>11</v>
      </c>
      <c r="BO628" s="78" t="s">
        <v>11</v>
      </c>
      <c r="BP628" s="78" t="s">
        <v>11</v>
      </c>
      <c r="BQ628" s="21">
        <f>YEAR([1]!BANCO10[[#This Row],[DATA INÍCIO]])</f>
        <v>2024</v>
      </c>
      <c r="BR628" s="21">
        <f>MONTH([1]!BANCO10[[#This Row],[DATA INÍCIO]])</f>
        <v>1</v>
      </c>
      <c r="BS628" s="21" t="e">
        <f>CONCATENATE(#REF!,#REF!)</f>
        <v>#REF!</v>
      </c>
      <c r="BT628" s="21"/>
      <c r="BU628" s="21" t="s">
        <v>262</v>
      </c>
      <c r="BV628" s="21" t="str">
        <f>IF([1]!BANCO10[[#This Row],[SOLUÇÃO]]=BV$1,[1]!BANCO10[[#This Row],[STATUS DA ETAPA]],"")</f>
        <v/>
      </c>
      <c r="BW628" s="21" t="str">
        <f>IF([1]!BANCO10[[#This Row],[SOLUÇÃO]]=BW$1,[1]!BANCO10[[#This Row],[STATUS DA ETAPA]],"")</f>
        <v/>
      </c>
      <c r="BX628" s="21" t="str">
        <f>IF([1]!BANCO10[[#This Row],[SOLUÇÃO]]=BX$1,[1]!BANCO10[[#This Row],[STATUS DA ETAPA]],"")</f>
        <v/>
      </c>
      <c r="BY628" s="21" t="str">
        <f>IF([1]!BANCO10[[#This Row],[SOLUÇÃO]]=BY$1,[1]!BANCO10[[#This Row],[STATUS DA ETAPA]],"")</f>
        <v/>
      </c>
      <c r="BZ628" s="21" t="str">
        <f>IF([1]!BANCO10[[#This Row],[SOLUÇÃO]]=BZ$1,[1]!BANCO10[[#This Row],[STATUS DA ETAPA]],"")</f>
        <v/>
      </c>
      <c r="CA628" s="21" t="str">
        <f>IF([1]!BANCO10[[#This Row],[SOLUÇÃO]]=CA$1,[1]!BANCO10[[#This Row],[STATUS DA ETAPA]],"")</f>
        <v>CONCLUÍDO</v>
      </c>
      <c r="CB628" s="21" t="str">
        <f>IF([1]!BANCO10[[#This Row],[SOLUÇÃO]]=CB$1,[1]!BANCO10[[#This Row],[STATUS DA ETAPA]],"")</f>
        <v/>
      </c>
      <c r="CC628" s="21" t="str">
        <f>IF([1]!BANCO10[[#This Row],[SOLUÇÃO]]=CC$1,[1]!BANCO10[[#This Row],[STATUS DA ETAPA]],"")</f>
        <v/>
      </c>
      <c r="CD628" s="21" t="str">
        <f>IF([1]!BANCO10[[#This Row],[SOLUÇÃO]]=CD$1,[1]!BANCO10[[#This Row],[STATUS DA ETAPA]],"")</f>
        <v/>
      </c>
      <c r="CE628" s="21" t="str">
        <f>IF([1]!BANCO10[[#This Row],[SOLUÇÃO]]=CE$1,[1]!BANCO10[[#This Row],[STATUS DA ETAPA]],"")</f>
        <v/>
      </c>
      <c r="CF628" s="21" t="str">
        <f>IF([1]!BANCO10[[#This Row],[SOLUÇÃO]]=CF$1,[1]!BANCO10[[#This Row],[STATUS DA ETAPA]],"")</f>
        <v/>
      </c>
      <c r="CG628" s="21" t="str">
        <f>IF([1]!BANCO10[[#This Row],[SOLUÇÃO]]=CG$1,[1]!BANCO10[[#This Row],[STATUS DA ETAPA]],"")</f>
        <v/>
      </c>
      <c r="CH628" s="21" t="str">
        <f>IF([1]!BANCO10[[#This Row],[SOLUÇÃO]]=CH$1,[1]!BANCO10[[#This Row],[STATUS DA ETAPA]],"")</f>
        <v/>
      </c>
      <c r="CI628" s="21" t="str">
        <f>IF([1]!BANCO10[[#This Row],[SOLUÇÃO]]=CI$1,[1]!BANCO10[[#This Row],[STATUS DA ETAPA]],"")</f>
        <v/>
      </c>
      <c r="CJ628" s="21" t="str">
        <f>IF([1]!BANCO10[[#This Row],[SOLUÇÃO]]=CJ$1,[1]!BANCO10[[#This Row],[STATUS DA ETAPA]],"")</f>
        <v/>
      </c>
      <c r="CK628" s="21" t="str">
        <f>IF([1]!BANCO10[[#This Row],[SOLUÇÃO]]=CK$1,[1]!BANCO10[[#This Row],[STATUS DA ETAPA]],"")</f>
        <v/>
      </c>
      <c r="CL628" s="22" t="str">
        <f>IF([1]!BANCO10[[#This Row],[SOLUÇÃO]]=CL$1,[1]!BANCO10[[#This Row],[STATUS DA ETAPA]],"")</f>
        <v/>
      </c>
      <c r="CM628" s="64" t="str">
        <f>IF([1]!BANCO10[[#This Row],[SOLUÇÃO]]=CM$1,[1]!BANCO10[[#This Row],[STATUS DA ETAPA]],"")</f>
        <v/>
      </c>
      <c r="CN628" s="64" t="str">
        <f>IF([1]!BANCO10[[#This Row],[SOLUÇÃO]]=CN$1,[1]!BANCO10[[#This Row],[STATUS DA ETAPA]],"")</f>
        <v/>
      </c>
      <c r="CO628" s="64" t="str">
        <f>IF([1]!BANCO10[[#This Row],[SOLUÇÃO]]=CO$1,[1]!BANCO10[[#This Row],[STATUS DA ETAPA]],"")</f>
        <v/>
      </c>
      <c r="CP628" s="64" t="str">
        <f>IF([1]!BANCO10[[#This Row],[SOLUÇÃO]]=CP$1,[1]!BANCO10[[#This Row],[STATUS DA ETAPA]],"")</f>
        <v/>
      </c>
      <c r="CQ628" s="64" t="str">
        <f>IF([1]!BANCO10[[#This Row],[SOLUÇÃO]]=CQ$1,[1]!BANCO10[[#This Row],[STATUS DA ETAPA]],"")</f>
        <v/>
      </c>
      <c r="CR628" s="64" t="str">
        <f>IF([1]!BANCO10[[#This Row],[SOLUÇÃO]]=CR$1,[1]!BANCO10[[#This Row],[STATUS DA ETAPA]],"")</f>
        <v/>
      </c>
      <c r="CS628" s="64" t="str">
        <f>IF([1]!BANCO10[[#This Row],[SOLUÇÃO]]=CS$1,[1]!BANCO10[[#This Row],[STATUS DA ETAPA]],"")</f>
        <v/>
      </c>
      <c r="CT628" s="64" t="str">
        <f>IF([1]!BANCO10[[#This Row],[SOLUÇÃO]]=CT$1,[1]!BANCO10[[#This Row],[STATUS DA ETAPA]],"")</f>
        <v/>
      </c>
      <c r="CU628" s="64" t="str">
        <f>IF([1]!BANCO10[[#This Row],[SOLUÇÃO]]=CU$1,[1]!BANCO10[[#This Row],[STATUS DA ETAPA]],"")</f>
        <v/>
      </c>
      <c r="CV628" s="64" t="str">
        <f>IF([1]!BANCO10[[#This Row],[SOLUÇÃO]]=CV$1,[1]!BANCO10[[#This Row],[STATUS DA ETAPA]],"")</f>
        <v/>
      </c>
    </row>
    <row r="629" spans="1:100">
      <c r="A629" s="44" t="s">
        <v>1</v>
      </c>
      <c r="B629" s="44"/>
      <c r="C629" s="44" t="s">
        <v>1</v>
      </c>
      <c r="D629" s="44"/>
      <c r="E629" s="44" t="s">
        <v>1</v>
      </c>
      <c r="F629" s="44"/>
      <c r="G629" s="44" t="s">
        <v>1</v>
      </c>
      <c r="H629" s="44"/>
      <c r="I629" s="45" t="s">
        <v>1</v>
      </c>
      <c r="J629" s="46"/>
      <c r="K629" s="45" t="s">
        <v>1</v>
      </c>
      <c r="L629" s="33"/>
      <c r="M629" s="45" t="s">
        <v>1</v>
      </c>
      <c r="N629" s="33"/>
      <c r="O629" s="44" t="s">
        <v>2</v>
      </c>
      <c r="P629" s="44">
        <v>45152</v>
      </c>
      <c r="Q629" s="44" t="s">
        <v>2</v>
      </c>
      <c r="R629" s="44">
        <v>45386</v>
      </c>
      <c r="S629" s="44" t="s">
        <v>2</v>
      </c>
      <c r="T629" s="44">
        <v>45386</v>
      </c>
      <c r="U629" s="44" t="s">
        <v>2</v>
      </c>
      <c r="V629" s="44">
        <v>45390</v>
      </c>
      <c r="W629" s="44" t="s">
        <v>2</v>
      </c>
      <c r="X629" s="44"/>
      <c r="Y629" s="44"/>
      <c r="Z629" s="44"/>
      <c r="AA629" s="44" t="s">
        <v>2</v>
      </c>
      <c r="AB629" s="44"/>
      <c r="AC629" s="84">
        <v>45432</v>
      </c>
      <c r="AD629" s="83">
        <v>45561</v>
      </c>
      <c r="AE629" s="40" t="s">
        <v>2</v>
      </c>
      <c r="AF629" s="40" t="s">
        <v>2</v>
      </c>
      <c r="AG629" s="40" t="s">
        <v>4</v>
      </c>
      <c r="AH629" s="36" t="s">
        <v>0</v>
      </c>
      <c r="AI629" s="49">
        <v>0</v>
      </c>
      <c r="AJ629" s="36" t="s">
        <v>6</v>
      </c>
      <c r="AK629" s="10" t="s">
        <v>30</v>
      </c>
      <c r="AL629" s="36" t="s">
        <v>182</v>
      </c>
      <c r="AM629" s="36">
        <v>0</v>
      </c>
      <c r="AN629" s="35" t="s">
        <v>1</v>
      </c>
      <c r="AO629" s="35" t="s">
        <v>1</v>
      </c>
      <c r="AP629" s="35" t="s">
        <v>2</v>
      </c>
      <c r="AQ629" s="35" t="s">
        <v>1</v>
      </c>
      <c r="AR629" s="34" t="s">
        <v>1</v>
      </c>
      <c r="AS629" s="33"/>
      <c r="AT629" s="30"/>
      <c r="AU629" s="55"/>
      <c r="AV629" s="30"/>
      <c r="AW629" s="55"/>
      <c r="AX629" s="30" t="s">
        <v>2</v>
      </c>
      <c r="AY629" s="55">
        <v>45586</v>
      </c>
      <c r="AZ629" s="30" t="s">
        <v>2</v>
      </c>
      <c r="BA629" s="91">
        <v>45622</v>
      </c>
      <c r="BB629" s="39"/>
      <c r="BC629" s="25"/>
      <c r="BD629" s="24"/>
      <c r="BE629" s="24"/>
      <c r="BF629" s="79"/>
      <c r="BG629" s="79"/>
      <c r="BH629" s="80"/>
      <c r="BI629" s="79"/>
      <c r="BJ629" s="54"/>
      <c r="BK629" s="78"/>
      <c r="BL629" s="69">
        <v>45392</v>
      </c>
      <c r="BM629" s="78"/>
      <c r="BN629" s="78" t="s">
        <v>11</v>
      </c>
      <c r="BO629" s="78"/>
      <c r="BP629" s="78" t="s">
        <v>261</v>
      </c>
      <c r="BQ629" s="21">
        <f>YEAR([1]!BANCO10[[#This Row],[DATA INÍCIO]])</f>
        <v>2024</v>
      </c>
      <c r="BR629" s="21">
        <f>MONTH([1]!BANCO10[[#This Row],[DATA INÍCIO]])</f>
        <v>5</v>
      </c>
      <c r="BS629" s="21" t="e">
        <f>CONCATENATE(#REF!,#REF!)</f>
        <v>#REF!</v>
      </c>
      <c r="BT629" s="21"/>
      <c r="BU629" s="21" t="s">
        <v>260</v>
      </c>
      <c r="BV629" s="21" t="str">
        <f>IF([1]!BANCO10[[#This Row],[SOLUÇÃO]]=BV$1,[1]!BANCO10[[#This Row],[STATUS DA ETAPA]],"")</f>
        <v/>
      </c>
      <c r="BW629" s="21" t="str">
        <f>IF([1]!BANCO10[[#This Row],[SOLUÇÃO]]=BW$1,[1]!BANCO10[[#This Row],[STATUS DA ETAPA]],"")</f>
        <v/>
      </c>
      <c r="BX629" s="21" t="str">
        <f>IF([1]!BANCO10[[#This Row],[SOLUÇÃO]]=BX$1,[1]!BANCO10[[#This Row],[STATUS DA ETAPA]],"")</f>
        <v>CONCLUÍDO</v>
      </c>
      <c r="BY629" s="21" t="str">
        <f>IF([1]!BANCO10[[#This Row],[SOLUÇÃO]]=BY$1,[1]!BANCO10[[#This Row],[STATUS DA ETAPA]],"")</f>
        <v/>
      </c>
      <c r="BZ629" s="21" t="str">
        <f>IF([1]!BANCO10[[#This Row],[SOLUÇÃO]]=BZ$1,[1]!BANCO10[[#This Row],[STATUS DA ETAPA]],"")</f>
        <v/>
      </c>
      <c r="CA629" s="21" t="str">
        <f>IF([1]!BANCO10[[#This Row],[SOLUÇÃO]]=CA$1,[1]!BANCO10[[#This Row],[STATUS DA ETAPA]],"")</f>
        <v/>
      </c>
      <c r="CB629" s="21" t="str">
        <f>IF([1]!BANCO10[[#This Row],[SOLUÇÃO]]=CB$1,[1]!BANCO10[[#This Row],[STATUS DA ETAPA]],"")</f>
        <v/>
      </c>
      <c r="CC629" s="21" t="str">
        <f>IF([1]!BANCO10[[#This Row],[SOLUÇÃO]]=CC$1,[1]!BANCO10[[#This Row],[STATUS DA ETAPA]],"")</f>
        <v/>
      </c>
      <c r="CD629" s="21" t="str">
        <f>IF([1]!BANCO10[[#This Row],[SOLUÇÃO]]=CD$1,[1]!BANCO10[[#This Row],[STATUS DA ETAPA]],"")</f>
        <v/>
      </c>
      <c r="CE629" s="21" t="str">
        <f>IF([1]!BANCO10[[#This Row],[SOLUÇÃO]]=CE$1,[1]!BANCO10[[#This Row],[STATUS DA ETAPA]],"")</f>
        <v/>
      </c>
      <c r="CF629" s="21" t="str">
        <f>IF([1]!BANCO10[[#This Row],[SOLUÇÃO]]=CF$1,[1]!BANCO10[[#This Row],[STATUS DA ETAPA]],"")</f>
        <v/>
      </c>
      <c r="CG629" s="21" t="str">
        <f>IF([1]!BANCO10[[#This Row],[SOLUÇÃO]]=CG$1,[1]!BANCO10[[#This Row],[STATUS DA ETAPA]],"")</f>
        <v/>
      </c>
      <c r="CH629" s="21" t="str">
        <f>IF([1]!BANCO10[[#This Row],[SOLUÇÃO]]=CH$1,[1]!BANCO10[[#This Row],[STATUS DA ETAPA]],"")</f>
        <v/>
      </c>
      <c r="CI629" s="21" t="str">
        <f>IF([1]!BANCO10[[#This Row],[SOLUÇÃO]]=CI$1,[1]!BANCO10[[#This Row],[STATUS DA ETAPA]],"")</f>
        <v/>
      </c>
      <c r="CJ629" s="21" t="str">
        <f>IF([1]!BANCO10[[#This Row],[SOLUÇÃO]]=CJ$1,[1]!BANCO10[[#This Row],[STATUS DA ETAPA]],"")</f>
        <v/>
      </c>
      <c r="CK629" s="21" t="str">
        <f>IF([1]!BANCO10[[#This Row],[SOLUÇÃO]]=CK$1,[1]!BANCO10[[#This Row],[STATUS DA ETAPA]],"")</f>
        <v/>
      </c>
      <c r="CL629" s="22" t="str">
        <f>IF([1]!BANCO10[[#This Row],[SOLUÇÃO]]=CL$1,[1]!BANCO10[[#This Row],[STATUS DA ETAPA]],"")</f>
        <v/>
      </c>
      <c r="CM629" s="64" t="str">
        <f>IF([1]!BANCO10[[#This Row],[SOLUÇÃO]]=CM$1,[1]!BANCO10[[#This Row],[STATUS DA ETAPA]],"")</f>
        <v/>
      </c>
      <c r="CN629" s="64" t="str">
        <f>IF([1]!BANCO10[[#This Row],[SOLUÇÃO]]=CN$1,[1]!BANCO10[[#This Row],[STATUS DA ETAPA]],"")</f>
        <v/>
      </c>
      <c r="CO629" s="64" t="str">
        <f>IF([1]!BANCO10[[#This Row],[SOLUÇÃO]]=CO$1,[1]!BANCO10[[#This Row],[STATUS DA ETAPA]],"")</f>
        <v/>
      </c>
      <c r="CP629" s="64" t="str">
        <f>IF([1]!BANCO10[[#This Row],[SOLUÇÃO]]=CP$1,[1]!BANCO10[[#This Row],[STATUS DA ETAPA]],"")</f>
        <v/>
      </c>
      <c r="CQ629" s="64" t="str">
        <f>IF([1]!BANCO10[[#This Row],[SOLUÇÃO]]=CQ$1,[1]!BANCO10[[#This Row],[STATUS DA ETAPA]],"")</f>
        <v/>
      </c>
      <c r="CR629" s="64" t="str">
        <f>IF([1]!BANCO10[[#This Row],[SOLUÇÃO]]=CR$1,[1]!BANCO10[[#This Row],[STATUS DA ETAPA]],"")</f>
        <v/>
      </c>
      <c r="CS629" s="64" t="str">
        <f>IF([1]!BANCO10[[#This Row],[SOLUÇÃO]]=CS$1,[1]!BANCO10[[#This Row],[STATUS DA ETAPA]],"")</f>
        <v/>
      </c>
      <c r="CT629" s="64" t="str">
        <f>IF([1]!BANCO10[[#This Row],[SOLUÇÃO]]=CT$1,[1]!BANCO10[[#This Row],[STATUS DA ETAPA]],"")</f>
        <v/>
      </c>
      <c r="CU629" s="64" t="str">
        <f>IF([1]!BANCO10[[#This Row],[SOLUÇÃO]]=CU$1,[1]!BANCO10[[#This Row],[STATUS DA ETAPA]],"")</f>
        <v/>
      </c>
      <c r="CV629" s="64" t="str">
        <f>IF([1]!BANCO10[[#This Row],[SOLUÇÃO]]=CV$1,[1]!BANCO10[[#This Row],[STATUS DA ETAPA]],"")</f>
        <v/>
      </c>
    </row>
    <row r="630" spans="1:100">
      <c r="A630" s="44" t="s">
        <v>1</v>
      </c>
      <c r="B630" s="44"/>
      <c r="C630" s="44" t="s">
        <v>1</v>
      </c>
      <c r="D630" s="44"/>
      <c r="E630" s="44" t="s">
        <v>1</v>
      </c>
      <c r="F630" s="44"/>
      <c r="G630" s="44" t="s">
        <v>1</v>
      </c>
      <c r="H630" s="44"/>
      <c r="I630" s="45" t="s">
        <v>1</v>
      </c>
      <c r="J630" s="46"/>
      <c r="K630" s="45" t="s">
        <v>1</v>
      </c>
      <c r="L630" s="33"/>
      <c r="M630" s="45" t="s">
        <v>1</v>
      </c>
      <c r="N630" s="33"/>
      <c r="O630" s="44" t="s">
        <v>2</v>
      </c>
      <c r="P630" s="44">
        <v>44972</v>
      </c>
      <c r="Q630" s="44" t="s">
        <v>0</v>
      </c>
      <c r="R630" s="44"/>
      <c r="S630" s="44" t="s">
        <v>1</v>
      </c>
      <c r="T630" s="44"/>
      <c r="U630" s="44" t="s">
        <v>1</v>
      </c>
      <c r="V630" s="44"/>
      <c r="W630" s="44" t="s">
        <v>1</v>
      </c>
      <c r="X630" s="44"/>
      <c r="Y630" s="44" t="s">
        <v>1</v>
      </c>
      <c r="Z630" s="44"/>
      <c r="AA630" s="44" t="s">
        <v>1</v>
      </c>
      <c r="AB630" s="44"/>
      <c r="AC630" s="51">
        <v>44972</v>
      </c>
      <c r="AD630" s="50">
        <v>44972</v>
      </c>
      <c r="AE630" s="40" t="s">
        <v>1</v>
      </c>
      <c r="AF630" s="40" t="s">
        <v>1</v>
      </c>
      <c r="AG630" s="40" t="s">
        <v>5</v>
      </c>
      <c r="AH630" s="36" t="s">
        <v>1</v>
      </c>
      <c r="AI630" s="49">
        <v>0</v>
      </c>
      <c r="AJ630" s="36" t="s">
        <v>1</v>
      </c>
      <c r="AK630" s="10" t="s">
        <v>1</v>
      </c>
      <c r="AL630" s="36" t="s">
        <v>1</v>
      </c>
      <c r="AM630" s="36" t="s">
        <v>1</v>
      </c>
      <c r="AN630" s="35" t="s">
        <v>1</v>
      </c>
      <c r="AO630" s="35" t="s">
        <v>1</v>
      </c>
      <c r="AP630" s="35" t="s">
        <v>1</v>
      </c>
      <c r="AQ630" s="35" t="s">
        <v>1</v>
      </c>
      <c r="AR630" s="82" t="s">
        <v>1</v>
      </c>
      <c r="AS630" s="33"/>
      <c r="AT630" s="30"/>
      <c r="AU630" s="55"/>
      <c r="AV630" s="30"/>
      <c r="AW630" s="55"/>
      <c r="AX630" s="30" t="s">
        <v>1</v>
      </c>
      <c r="AY630" s="55"/>
      <c r="AZ630" s="30" t="s">
        <v>1</v>
      </c>
      <c r="BA630" s="66"/>
      <c r="BB630" s="39" t="s">
        <v>258</v>
      </c>
      <c r="BC630" s="25"/>
      <c r="BD630" s="24" t="s">
        <v>11</v>
      </c>
      <c r="BE630" s="24" t="s">
        <v>11</v>
      </c>
      <c r="BF630" s="79" t="s">
        <v>11</v>
      </c>
      <c r="BG630" s="79" t="s">
        <v>11</v>
      </c>
      <c r="BH630" s="80" t="s">
        <v>11</v>
      </c>
      <c r="BI630" s="79"/>
      <c r="BJ630" s="54" t="s">
        <v>11</v>
      </c>
      <c r="BK630" s="78" t="s">
        <v>11</v>
      </c>
      <c r="BL630" s="69" t="s">
        <v>11</v>
      </c>
      <c r="BM630" s="78" t="s">
        <v>11</v>
      </c>
      <c r="BN630" s="78" t="s">
        <v>11</v>
      </c>
      <c r="BO630" s="78" t="s">
        <v>11</v>
      </c>
      <c r="BP630" s="78" t="s">
        <v>11</v>
      </c>
      <c r="BQ630" s="21">
        <f>YEAR([1]!BANCO10[[#This Row],[DATA INÍCIO]])</f>
        <v>2023</v>
      </c>
      <c r="BR630" s="21">
        <f>MONTH([1]!BANCO10[[#This Row],[DATA INÍCIO]])</f>
        <v>2</v>
      </c>
      <c r="BS630" s="21" t="e">
        <f>CONCATENATE(#REF!,#REF!)</f>
        <v>#REF!</v>
      </c>
      <c r="BT630" s="21"/>
      <c r="BU630" s="21" t="s">
        <v>259</v>
      </c>
      <c r="BV630" s="21" t="str">
        <f>IF([1]!BANCO10[[#This Row],[SOLUÇÃO]]=BV$1,[1]!BANCO10[[#This Row],[STATUS DA ETAPA]],"")</f>
        <v>CONCLUÍDO</v>
      </c>
      <c r="BW630" s="21" t="str">
        <f>IF([1]!BANCO10[[#This Row],[SOLUÇÃO]]=BW$1,[1]!BANCO10[[#This Row],[STATUS DA ETAPA]],"")</f>
        <v/>
      </c>
      <c r="BX630" s="21" t="str">
        <f>IF([1]!BANCO10[[#This Row],[SOLUÇÃO]]=BX$1,[1]!BANCO10[[#This Row],[STATUS DA ETAPA]],"")</f>
        <v/>
      </c>
      <c r="BY630" s="21" t="str">
        <f>IF([1]!BANCO10[[#This Row],[SOLUÇÃO]]=BY$1,[1]!BANCO10[[#This Row],[STATUS DA ETAPA]],"")</f>
        <v/>
      </c>
      <c r="BZ630" s="21" t="str">
        <f>IF([1]!BANCO10[[#This Row],[SOLUÇÃO]]=BZ$1,[1]!BANCO10[[#This Row],[STATUS DA ETAPA]],"")</f>
        <v/>
      </c>
      <c r="CA630" s="21" t="str">
        <f>IF([1]!BANCO10[[#This Row],[SOLUÇÃO]]=CA$1,[1]!BANCO10[[#This Row],[STATUS DA ETAPA]],"")</f>
        <v/>
      </c>
      <c r="CB630" s="21" t="str">
        <f>IF([1]!BANCO10[[#This Row],[SOLUÇÃO]]=CB$1,[1]!BANCO10[[#This Row],[STATUS DA ETAPA]],"")</f>
        <v/>
      </c>
      <c r="CC630" s="21" t="str">
        <f>IF([1]!BANCO10[[#This Row],[SOLUÇÃO]]=CC$1,[1]!BANCO10[[#This Row],[STATUS DA ETAPA]],"")</f>
        <v/>
      </c>
      <c r="CD630" s="21" t="str">
        <f>IF([1]!BANCO10[[#This Row],[SOLUÇÃO]]=CD$1,[1]!BANCO10[[#This Row],[STATUS DA ETAPA]],"")</f>
        <v/>
      </c>
      <c r="CE630" s="21" t="str">
        <f>IF([1]!BANCO10[[#This Row],[SOLUÇÃO]]=CE$1,[1]!BANCO10[[#This Row],[STATUS DA ETAPA]],"")</f>
        <v/>
      </c>
      <c r="CF630" s="21" t="str">
        <f>IF([1]!BANCO10[[#This Row],[SOLUÇÃO]]=CF$1,[1]!BANCO10[[#This Row],[STATUS DA ETAPA]],"")</f>
        <v/>
      </c>
      <c r="CG630" s="21" t="str">
        <f>IF([1]!BANCO10[[#This Row],[SOLUÇÃO]]=CG$1,[1]!BANCO10[[#This Row],[STATUS DA ETAPA]],"")</f>
        <v/>
      </c>
      <c r="CH630" s="21" t="str">
        <f>IF([1]!BANCO10[[#This Row],[SOLUÇÃO]]=CH$1,[1]!BANCO10[[#This Row],[STATUS DA ETAPA]],"")</f>
        <v/>
      </c>
      <c r="CI630" s="21" t="str">
        <f>IF([1]!BANCO10[[#This Row],[SOLUÇÃO]]=CI$1,[1]!BANCO10[[#This Row],[STATUS DA ETAPA]],"")</f>
        <v/>
      </c>
      <c r="CJ630" s="21" t="str">
        <f>IF([1]!BANCO10[[#This Row],[SOLUÇÃO]]=CJ$1,[1]!BANCO10[[#This Row],[STATUS DA ETAPA]],"")</f>
        <v/>
      </c>
      <c r="CK630" s="21" t="str">
        <f>IF([1]!BANCO10[[#This Row],[SOLUÇÃO]]=CK$1,[1]!BANCO10[[#This Row],[STATUS DA ETAPA]],"")</f>
        <v/>
      </c>
      <c r="CL630" s="22" t="str">
        <f>IF([1]!BANCO10[[#This Row],[SOLUÇÃO]]=CL$1,[1]!BANCO10[[#This Row],[STATUS DA ETAPA]],"")</f>
        <v/>
      </c>
      <c r="CM630" s="64" t="str">
        <f>IF([1]!BANCO10[[#This Row],[SOLUÇÃO]]=CM$1,[1]!BANCO10[[#This Row],[STATUS DA ETAPA]],"")</f>
        <v/>
      </c>
      <c r="CN630" s="64" t="str">
        <f>IF([1]!BANCO10[[#This Row],[SOLUÇÃO]]=CN$1,[1]!BANCO10[[#This Row],[STATUS DA ETAPA]],"")</f>
        <v/>
      </c>
      <c r="CO630" s="64" t="str">
        <f>IF([1]!BANCO10[[#This Row],[SOLUÇÃO]]=CO$1,[1]!BANCO10[[#This Row],[STATUS DA ETAPA]],"")</f>
        <v/>
      </c>
      <c r="CP630" s="64" t="str">
        <f>IF([1]!BANCO10[[#This Row],[SOLUÇÃO]]=CP$1,[1]!BANCO10[[#This Row],[STATUS DA ETAPA]],"")</f>
        <v/>
      </c>
      <c r="CQ630" s="64" t="str">
        <f>IF([1]!BANCO10[[#This Row],[SOLUÇÃO]]=CQ$1,[1]!BANCO10[[#This Row],[STATUS DA ETAPA]],"")</f>
        <v/>
      </c>
      <c r="CR630" s="64" t="str">
        <f>IF([1]!BANCO10[[#This Row],[SOLUÇÃO]]=CR$1,[1]!BANCO10[[#This Row],[STATUS DA ETAPA]],"")</f>
        <v/>
      </c>
      <c r="CS630" s="64" t="str">
        <f>IF([1]!BANCO10[[#This Row],[SOLUÇÃO]]=CS$1,[1]!BANCO10[[#This Row],[STATUS DA ETAPA]],"")</f>
        <v/>
      </c>
      <c r="CT630" s="64" t="str">
        <f>IF([1]!BANCO10[[#This Row],[SOLUÇÃO]]=CT$1,[1]!BANCO10[[#This Row],[STATUS DA ETAPA]],"")</f>
        <v/>
      </c>
      <c r="CU630" s="64" t="str">
        <f>IF([1]!BANCO10[[#This Row],[SOLUÇÃO]]=CU$1,[1]!BANCO10[[#This Row],[STATUS DA ETAPA]],"")</f>
        <v/>
      </c>
      <c r="CV630" s="64" t="str">
        <f>IF([1]!BANCO10[[#This Row],[SOLUÇÃO]]=CV$1,[1]!BANCO10[[#This Row],[STATUS DA ETAPA]],"")</f>
        <v/>
      </c>
    </row>
    <row r="631" spans="1:100">
      <c r="A631" s="44" t="s">
        <v>1</v>
      </c>
      <c r="B631" s="44"/>
      <c r="C631" s="44" t="s">
        <v>1</v>
      </c>
      <c r="D631" s="44"/>
      <c r="E631" s="44" t="s">
        <v>1</v>
      </c>
      <c r="F631" s="44"/>
      <c r="G631" s="44" t="s">
        <v>1</v>
      </c>
      <c r="H631" s="44"/>
      <c r="I631" s="45" t="s">
        <v>1</v>
      </c>
      <c r="J631" s="46"/>
      <c r="K631" s="45" t="s">
        <v>1</v>
      </c>
      <c r="L631" s="33"/>
      <c r="M631" s="45" t="s">
        <v>1</v>
      </c>
      <c r="N631" s="33"/>
      <c r="O631" s="44" t="s">
        <v>2</v>
      </c>
      <c r="P631" s="44">
        <v>44972</v>
      </c>
      <c r="Q631" s="44" t="s">
        <v>2</v>
      </c>
      <c r="R631" s="44">
        <v>44973</v>
      </c>
      <c r="S631" s="44" t="s">
        <v>2</v>
      </c>
      <c r="T631" s="44">
        <v>44973</v>
      </c>
      <c r="U631" s="44" t="s">
        <v>2</v>
      </c>
      <c r="V631" s="44">
        <v>44973</v>
      </c>
      <c r="W631" s="44" t="s">
        <v>2</v>
      </c>
      <c r="X631" s="44"/>
      <c r="Y631" s="44" t="s">
        <v>2</v>
      </c>
      <c r="Z631" s="44">
        <v>45007</v>
      </c>
      <c r="AA631" s="44" t="s">
        <v>2</v>
      </c>
      <c r="AB631" s="44"/>
      <c r="AC631" s="84">
        <v>45044</v>
      </c>
      <c r="AD631" s="83">
        <v>45166</v>
      </c>
      <c r="AE631" s="40" t="s">
        <v>2</v>
      </c>
      <c r="AF631" s="40" t="s">
        <v>2</v>
      </c>
      <c r="AG631" s="40" t="s">
        <v>5</v>
      </c>
      <c r="AH631" s="36" t="s">
        <v>0</v>
      </c>
      <c r="AI631" s="49">
        <v>0</v>
      </c>
      <c r="AJ631" s="36"/>
      <c r="AK631" s="10"/>
      <c r="AL631" s="36" t="s">
        <v>22</v>
      </c>
      <c r="AM631" s="36" t="s">
        <v>1</v>
      </c>
      <c r="AN631" s="35" t="s">
        <v>1</v>
      </c>
      <c r="AO631" s="35" t="s">
        <v>1</v>
      </c>
      <c r="AP631" s="35" t="s">
        <v>2</v>
      </c>
      <c r="AQ631" s="35" t="s">
        <v>1</v>
      </c>
      <c r="AR631" s="34" t="s">
        <v>1</v>
      </c>
      <c r="AS631" s="33"/>
      <c r="AT631" s="30"/>
      <c r="AU631" s="55"/>
      <c r="AV631" s="30"/>
      <c r="AW631" s="55"/>
      <c r="AX631" s="30" t="s">
        <v>2</v>
      </c>
      <c r="AY631" s="55">
        <v>45166</v>
      </c>
      <c r="AZ631" s="30" t="s">
        <v>2</v>
      </c>
      <c r="BA631" s="85"/>
      <c r="BB631" s="39" t="s">
        <v>258</v>
      </c>
      <c r="BC631" s="25"/>
      <c r="BD631" s="24" t="s">
        <v>11</v>
      </c>
      <c r="BE631" s="24" t="s">
        <v>11</v>
      </c>
      <c r="BF631" s="79" t="s">
        <v>11</v>
      </c>
      <c r="BG631" s="79" t="s">
        <v>11</v>
      </c>
      <c r="BH631" s="80" t="s">
        <v>11</v>
      </c>
      <c r="BI631" s="79"/>
      <c r="BJ631" s="54" t="s">
        <v>37</v>
      </c>
      <c r="BK631" s="78" t="s">
        <v>18</v>
      </c>
      <c r="BL631" s="69">
        <v>45397</v>
      </c>
      <c r="BM631" s="78" t="s">
        <v>18</v>
      </c>
      <c r="BN631" s="78" t="s">
        <v>11</v>
      </c>
      <c r="BO631" s="78"/>
      <c r="BP631" s="78" t="s">
        <v>190</v>
      </c>
      <c r="BQ631" s="21">
        <f>YEAR([1]!BANCO10[[#This Row],[DATA INÍCIO]])</f>
        <v>2023</v>
      </c>
      <c r="BR631" s="21">
        <f>MONTH([1]!BANCO10[[#This Row],[DATA INÍCIO]])</f>
        <v>4</v>
      </c>
      <c r="BS631" s="21" t="e">
        <f>CONCATENATE(#REF!,#REF!)</f>
        <v>#REF!</v>
      </c>
      <c r="BT631" s="21"/>
      <c r="BU631" s="21" t="s">
        <v>257</v>
      </c>
      <c r="BV631" s="21" t="str">
        <f>IF([1]!BANCO10[[#This Row],[SOLUÇÃO]]=BV$1,[1]!BANCO10[[#This Row],[STATUS DA ETAPA]],"")</f>
        <v/>
      </c>
      <c r="BW631" s="21" t="str">
        <f>IF([1]!BANCO10[[#This Row],[SOLUÇÃO]]=BW$1,[1]!BANCO10[[#This Row],[STATUS DA ETAPA]],"")</f>
        <v/>
      </c>
      <c r="BX631" s="21" t="str">
        <f>IF([1]!BANCO10[[#This Row],[SOLUÇÃO]]=BX$1,[1]!BANCO10[[#This Row],[STATUS DA ETAPA]],"")</f>
        <v/>
      </c>
      <c r="BY631" s="21" t="str">
        <f>IF([1]!BANCO10[[#This Row],[SOLUÇÃO]]=BY$1,[1]!BANCO10[[#This Row],[STATUS DA ETAPA]],"")</f>
        <v/>
      </c>
      <c r="BZ631" s="21" t="str">
        <f>IF([1]!BANCO10[[#This Row],[SOLUÇÃO]]=BZ$1,[1]!BANCO10[[#This Row],[STATUS DA ETAPA]],"")</f>
        <v/>
      </c>
      <c r="CA631" s="21" t="str">
        <f>IF([1]!BANCO10[[#This Row],[SOLUÇÃO]]=CA$1,[1]!BANCO10[[#This Row],[STATUS DA ETAPA]],"")</f>
        <v>CONCLUÍDO</v>
      </c>
      <c r="CB631" s="21" t="str">
        <f>IF([1]!BANCO10[[#This Row],[SOLUÇÃO]]=CB$1,[1]!BANCO10[[#This Row],[STATUS DA ETAPA]],"")</f>
        <v/>
      </c>
      <c r="CC631" s="21" t="str">
        <f>IF([1]!BANCO10[[#This Row],[SOLUÇÃO]]=CC$1,[1]!BANCO10[[#This Row],[STATUS DA ETAPA]],"")</f>
        <v/>
      </c>
      <c r="CD631" s="21" t="str">
        <f>IF([1]!BANCO10[[#This Row],[SOLUÇÃO]]=CD$1,[1]!BANCO10[[#This Row],[STATUS DA ETAPA]],"")</f>
        <v/>
      </c>
      <c r="CE631" s="21" t="str">
        <f>IF([1]!BANCO10[[#This Row],[SOLUÇÃO]]=CE$1,[1]!BANCO10[[#This Row],[STATUS DA ETAPA]],"")</f>
        <v/>
      </c>
      <c r="CF631" s="21" t="str">
        <f>IF([1]!BANCO10[[#This Row],[SOLUÇÃO]]=CF$1,[1]!BANCO10[[#This Row],[STATUS DA ETAPA]],"")</f>
        <v/>
      </c>
      <c r="CG631" s="21" t="str">
        <f>IF([1]!BANCO10[[#This Row],[SOLUÇÃO]]=CG$1,[1]!BANCO10[[#This Row],[STATUS DA ETAPA]],"")</f>
        <v/>
      </c>
      <c r="CH631" s="21" t="str">
        <f>IF([1]!BANCO10[[#This Row],[SOLUÇÃO]]=CH$1,[1]!BANCO10[[#This Row],[STATUS DA ETAPA]],"")</f>
        <v/>
      </c>
      <c r="CI631" s="21" t="str">
        <f>IF([1]!BANCO10[[#This Row],[SOLUÇÃO]]=CI$1,[1]!BANCO10[[#This Row],[STATUS DA ETAPA]],"")</f>
        <v/>
      </c>
      <c r="CJ631" s="21" t="str">
        <f>IF([1]!BANCO10[[#This Row],[SOLUÇÃO]]=CJ$1,[1]!BANCO10[[#This Row],[STATUS DA ETAPA]],"")</f>
        <v/>
      </c>
      <c r="CK631" s="21" t="str">
        <f>IF([1]!BANCO10[[#This Row],[SOLUÇÃO]]=CK$1,[1]!BANCO10[[#This Row],[STATUS DA ETAPA]],"")</f>
        <v/>
      </c>
      <c r="CL631" s="22" t="str">
        <f>IF([1]!BANCO10[[#This Row],[SOLUÇÃO]]=CL$1,[1]!BANCO10[[#This Row],[STATUS DA ETAPA]],"")</f>
        <v/>
      </c>
      <c r="CM631" s="64" t="str">
        <f>IF([1]!BANCO10[[#This Row],[SOLUÇÃO]]=CM$1,[1]!BANCO10[[#This Row],[STATUS DA ETAPA]],"")</f>
        <v/>
      </c>
      <c r="CN631" s="64" t="str">
        <f>IF([1]!BANCO10[[#This Row],[SOLUÇÃO]]=CN$1,[1]!BANCO10[[#This Row],[STATUS DA ETAPA]],"")</f>
        <v/>
      </c>
      <c r="CO631" s="64" t="str">
        <f>IF([1]!BANCO10[[#This Row],[SOLUÇÃO]]=CO$1,[1]!BANCO10[[#This Row],[STATUS DA ETAPA]],"")</f>
        <v/>
      </c>
      <c r="CP631" s="64" t="str">
        <f>IF([1]!BANCO10[[#This Row],[SOLUÇÃO]]=CP$1,[1]!BANCO10[[#This Row],[STATUS DA ETAPA]],"")</f>
        <v/>
      </c>
      <c r="CQ631" s="64" t="str">
        <f>IF([1]!BANCO10[[#This Row],[SOLUÇÃO]]=CQ$1,[1]!BANCO10[[#This Row],[STATUS DA ETAPA]],"")</f>
        <v/>
      </c>
      <c r="CR631" s="64" t="str">
        <f>IF([1]!BANCO10[[#This Row],[SOLUÇÃO]]=CR$1,[1]!BANCO10[[#This Row],[STATUS DA ETAPA]],"")</f>
        <v/>
      </c>
      <c r="CS631" s="64" t="str">
        <f>IF([1]!BANCO10[[#This Row],[SOLUÇÃO]]=CS$1,[1]!BANCO10[[#This Row],[STATUS DA ETAPA]],"")</f>
        <v/>
      </c>
      <c r="CT631" s="64" t="str">
        <f>IF([1]!BANCO10[[#This Row],[SOLUÇÃO]]=CT$1,[1]!BANCO10[[#This Row],[STATUS DA ETAPA]],"")</f>
        <v/>
      </c>
      <c r="CU631" s="64" t="str">
        <f>IF([1]!BANCO10[[#This Row],[SOLUÇÃO]]=CU$1,[1]!BANCO10[[#This Row],[STATUS DA ETAPA]],"")</f>
        <v/>
      </c>
      <c r="CV631" s="64" t="str">
        <f>IF([1]!BANCO10[[#This Row],[SOLUÇÃO]]=CV$1,[1]!BANCO10[[#This Row],[STATUS DA ETAPA]],"")</f>
        <v/>
      </c>
    </row>
    <row r="632" spans="1:100">
      <c r="A632" s="44" t="s">
        <v>1</v>
      </c>
      <c r="B632" s="44"/>
      <c r="C632" s="44" t="s">
        <v>1</v>
      </c>
      <c r="D632" s="44"/>
      <c r="E632" s="44" t="s">
        <v>1</v>
      </c>
      <c r="F632" s="44"/>
      <c r="G632" s="44" t="s">
        <v>1</v>
      </c>
      <c r="H632" s="44"/>
      <c r="I632" s="45" t="s">
        <v>1</v>
      </c>
      <c r="J632" s="46"/>
      <c r="K632" s="45" t="s">
        <v>1</v>
      </c>
      <c r="L632" s="33"/>
      <c r="M632" s="45" t="s">
        <v>1</v>
      </c>
      <c r="N632" s="33"/>
      <c r="O632" s="44" t="s">
        <v>2</v>
      </c>
      <c r="P632" s="44">
        <v>45580</v>
      </c>
      <c r="Q632" s="44" t="s">
        <v>2</v>
      </c>
      <c r="R632" s="44">
        <v>45581</v>
      </c>
      <c r="S632" s="44" t="s">
        <v>2</v>
      </c>
      <c r="T632" s="44"/>
      <c r="U632" s="44" t="s">
        <v>2</v>
      </c>
      <c r="V632" s="44">
        <v>45582</v>
      </c>
      <c r="W632" s="44" t="s">
        <v>2</v>
      </c>
      <c r="X632" s="44"/>
      <c r="Y632" s="44" t="s">
        <v>2</v>
      </c>
      <c r="Z632" s="44"/>
      <c r="AA632" s="44" t="s">
        <v>2</v>
      </c>
      <c r="AB632" s="44">
        <v>45589</v>
      </c>
      <c r="AC632" s="84">
        <v>45635</v>
      </c>
      <c r="AD632" s="83">
        <v>45771</v>
      </c>
      <c r="AE632" s="41" t="s">
        <v>2</v>
      </c>
      <c r="AF632" s="41" t="s">
        <v>2</v>
      </c>
      <c r="AG632" s="76" t="s">
        <v>4</v>
      </c>
      <c r="AH632" s="36" t="s">
        <v>0</v>
      </c>
      <c r="AI632" s="49">
        <v>0</v>
      </c>
      <c r="AJ632" s="36" t="s">
        <v>6</v>
      </c>
      <c r="AK632" s="10" t="s">
        <v>256</v>
      </c>
      <c r="AL632" s="36" t="s">
        <v>89</v>
      </c>
      <c r="AM632" s="36" t="s">
        <v>255</v>
      </c>
      <c r="AN632" s="35" t="s">
        <v>1</v>
      </c>
      <c r="AO632" s="35" t="s">
        <v>1</v>
      </c>
      <c r="AP632" s="35" t="s">
        <v>2</v>
      </c>
      <c r="AQ632" s="35" t="s">
        <v>1</v>
      </c>
      <c r="AR632" s="33" t="s">
        <v>1</v>
      </c>
      <c r="AS632" s="33"/>
      <c r="AT632" s="32" t="s">
        <v>2</v>
      </c>
      <c r="AU632" s="31">
        <v>45771</v>
      </c>
      <c r="AV632" s="32" t="s">
        <v>2</v>
      </c>
      <c r="AW632" s="31">
        <v>45784</v>
      </c>
      <c r="AX632" s="30" t="s">
        <v>2</v>
      </c>
      <c r="AY632" s="29">
        <v>45804</v>
      </c>
      <c r="AZ632" s="28" t="s">
        <v>0</v>
      </c>
      <c r="BA632" s="81"/>
      <c r="BB632" s="26"/>
      <c r="BC632" s="25" t="s">
        <v>162</v>
      </c>
      <c r="BD632" s="24"/>
      <c r="BE632" s="24"/>
      <c r="BF632" s="79"/>
      <c r="BG632" s="79"/>
      <c r="BH632" s="80"/>
      <c r="BI632" s="79"/>
      <c r="BJ632" s="54"/>
      <c r="BK632" s="78"/>
      <c r="BL632" s="69"/>
      <c r="BM632" s="78"/>
      <c r="BN632" s="78"/>
      <c r="BO632" s="78"/>
      <c r="BP632" s="78"/>
      <c r="BQ632" s="21">
        <f>YEAR([1]!BANCO10[[#This Row],[DATA INÍCIO]])</f>
        <v>2024</v>
      </c>
      <c r="BR632" s="21">
        <f>MONTH([1]!BANCO10[[#This Row],[DATA INÍCIO]])</f>
        <v>12</v>
      </c>
      <c r="BS632" s="21" t="e">
        <f>CONCATENATE(#REF!,#REF!)</f>
        <v>#REF!</v>
      </c>
      <c r="BT632" s="21"/>
      <c r="BU632" s="21"/>
      <c r="BV632" s="21" t="str">
        <f>IF([1]!BANCO10[[#This Row],[SOLUÇÃO]]=BV$1,[1]!BANCO10[[#This Row],[STATUS DA ETAPA]],"")</f>
        <v/>
      </c>
      <c r="BW632" s="21" t="str">
        <f>IF([1]!BANCO10[[#This Row],[SOLUÇÃO]]=BW$1,[1]!BANCO10[[#This Row],[STATUS DA ETAPA]],"")</f>
        <v/>
      </c>
      <c r="BX632" s="21" t="str">
        <f>IF([1]!BANCO10[[#This Row],[SOLUÇÃO]]=BX$1,[1]!BANCO10[[#This Row],[STATUS DA ETAPA]],"")</f>
        <v>CONCLUÍDO</v>
      </c>
      <c r="BY632" s="21" t="str">
        <f>IF([1]!BANCO10[[#This Row],[SOLUÇÃO]]=BY$1,[1]!BANCO10[[#This Row],[STATUS DA ETAPA]],"")</f>
        <v/>
      </c>
      <c r="BZ632" s="21" t="str">
        <f>IF([1]!BANCO10[[#This Row],[SOLUÇÃO]]=BZ$1,[1]!BANCO10[[#This Row],[STATUS DA ETAPA]],"")</f>
        <v/>
      </c>
      <c r="CA632" s="21" t="str">
        <f>IF([1]!BANCO10[[#This Row],[SOLUÇÃO]]=CA$1,[1]!BANCO10[[#This Row],[STATUS DA ETAPA]],"")</f>
        <v/>
      </c>
      <c r="CB632" s="21" t="str">
        <f>IF([1]!BANCO10[[#This Row],[SOLUÇÃO]]=CB$1,[1]!BANCO10[[#This Row],[STATUS DA ETAPA]],"")</f>
        <v/>
      </c>
      <c r="CC632" s="21" t="str">
        <f>IF([1]!BANCO10[[#This Row],[SOLUÇÃO]]=CC$1,[1]!BANCO10[[#This Row],[STATUS DA ETAPA]],"")</f>
        <v/>
      </c>
      <c r="CD632" s="21" t="str">
        <f>IF([1]!BANCO10[[#This Row],[SOLUÇÃO]]=CD$1,[1]!BANCO10[[#This Row],[STATUS DA ETAPA]],"")</f>
        <v/>
      </c>
      <c r="CE632" s="21" t="str">
        <f>IF([1]!BANCO10[[#This Row],[SOLUÇÃO]]=CE$1,[1]!BANCO10[[#This Row],[STATUS DA ETAPA]],"")</f>
        <v/>
      </c>
      <c r="CF632" s="21" t="str">
        <f>IF([1]!BANCO10[[#This Row],[SOLUÇÃO]]=CF$1,[1]!BANCO10[[#This Row],[STATUS DA ETAPA]],"")</f>
        <v/>
      </c>
      <c r="CG632" s="21" t="str">
        <f>IF([1]!BANCO10[[#This Row],[SOLUÇÃO]]=CG$1,[1]!BANCO10[[#This Row],[STATUS DA ETAPA]],"")</f>
        <v/>
      </c>
      <c r="CH632" s="21" t="str">
        <f>IF([1]!BANCO10[[#This Row],[SOLUÇÃO]]=CH$1,[1]!BANCO10[[#This Row],[STATUS DA ETAPA]],"")</f>
        <v/>
      </c>
      <c r="CI632" s="21" t="str">
        <f>IF([1]!BANCO10[[#This Row],[SOLUÇÃO]]=CI$1,[1]!BANCO10[[#This Row],[STATUS DA ETAPA]],"")</f>
        <v/>
      </c>
      <c r="CJ632" s="21" t="str">
        <f>IF([1]!BANCO10[[#This Row],[SOLUÇÃO]]=CJ$1,[1]!BANCO10[[#This Row],[STATUS DA ETAPA]],"")</f>
        <v/>
      </c>
      <c r="CK632" s="21" t="str">
        <f>IF([1]!BANCO10[[#This Row],[SOLUÇÃO]]=CK$1,[1]!BANCO10[[#This Row],[STATUS DA ETAPA]],"")</f>
        <v/>
      </c>
      <c r="CL632" s="22" t="str">
        <f>IF([1]!BANCO10[[#This Row],[SOLUÇÃO]]=CL$1,[1]!BANCO10[[#This Row],[STATUS DA ETAPA]],"")</f>
        <v/>
      </c>
      <c r="CM632" s="64" t="str">
        <f>IF([1]!BANCO10[[#This Row],[SOLUÇÃO]]=CM$1,[1]!BANCO10[[#This Row],[STATUS DA ETAPA]],"")</f>
        <v/>
      </c>
      <c r="CN632" s="64" t="str">
        <f>IF([1]!BANCO10[[#This Row],[SOLUÇÃO]]=CN$1,[1]!BANCO10[[#This Row],[STATUS DA ETAPA]],"")</f>
        <v/>
      </c>
      <c r="CO632" s="64" t="str">
        <f>IF([1]!BANCO10[[#This Row],[SOLUÇÃO]]=CO$1,[1]!BANCO10[[#This Row],[STATUS DA ETAPA]],"")</f>
        <v/>
      </c>
      <c r="CP632" s="64" t="str">
        <f>IF([1]!BANCO10[[#This Row],[SOLUÇÃO]]=CP$1,[1]!BANCO10[[#This Row],[STATUS DA ETAPA]],"")</f>
        <v/>
      </c>
      <c r="CQ632" s="64" t="str">
        <f>IF([1]!BANCO10[[#This Row],[SOLUÇÃO]]=CQ$1,[1]!BANCO10[[#This Row],[STATUS DA ETAPA]],"")</f>
        <v/>
      </c>
      <c r="CR632" s="64" t="str">
        <f>IF([1]!BANCO10[[#This Row],[SOLUÇÃO]]=CR$1,[1]!BANCO10[[#This Row],[STATUS DA ETAPA]],"")</f>
        <v/>
      </c>
      <c r="CS632" s="64" t="str">
        <f>IF([1]!BANCO10[[#This Row],[SOLUÇÃO]]=CS$1,[1]!BANCO10[[#This Row],[STATUS DA ETAPA]],"")</f>
        <v/>
      </c>
      <c r="CT632" s="64" t="str">
        <f>IF([1]!BANCO10[[#This Row],[SOLUÇÃO]]=CT$1,[1]!BANCO10[[#This Row],[STATUS DA ETAPA]],"")</f>
        <v/>
      </c>
      <c r="CU632" s="64" t="str">
        <f>IF([1]!BANCO10[[#This Row],[SOLUÇÃO]]=CU$1,[1]!BANCO10[[#This Row],[STATUS DA ETAPA]],"")</f>
        <v/>
      </c>
      <c r="CV632" s="64" t="str">
        <f>IF([1]!BANCO10[[#This Row],[SOLUÇÃO]]=CV$1,[1]!BANCO10[[#This Row],[STATUS DA ETAPA]],"")</f>
        <v/>
      </c>
    </row>
    <row r="633" spans="1:100">
      <c r="A633" s="44" t="s">
        <v>2</v>
      </c>
      <c r="B633" s="44">
        <v>45876</v>
      </c>
      <c r="C633" s="44" t="s">
        <v>2</v>
      </c>
      <c r="D633" s="44">
        <v>45876</v>
      </c>
      <c r="E633" s="44" t="s">
        <v>2</v>
      </c>
      <c r="F633" s="44">
        <v>45888</v>
      </c>
      <c r="G633" s="44" t="s">
        <v>2</v>
      </c>
      <c r="H633" s="44">
        <v>45888</v>
      </c>
      <c r="I633" s="45" t="s">
        <v>2</v>
      </c>
      <c r="J633" s="46">
        <v>45904</v>
      </c>
      <c r="K633" s="45" t="s">
        <v>0</v>
      </c>
      <c r="L633" s="33"/>
      <c r="M633" s="45" t="s">
        <v>0</v>
      </c>
      <c r="N633" s="33"/>
      <c r="O633" s="44" t="s">
        <v>1</v>
      </c>
      <c r="P633" s="44"/>
      <c r="Q633" s="44" t="s">
        <v>1</v>
      </c>
      <c r="R633" s="44"/>
      <c r="S633" s="44"/>
      <c r="T633" s="44"/>
      <c r="U633" s="44" t="s">
        <v>1</v>
      </c>
      <c r="V633" s="44"/>
      <c r="W633" s="44" t="s">
        <v>1</v>
      </c>
      <c r="X633" s="44"/>
      <c r="Y633" s="44" t="s">
        <v>1</v>
      </c>
      <c r="Z633" s="44"/>
      <c r="AA633" s="44" t="s">
        <v>1</v>
      </c>
      <c r="AB633" s="44"/>
      <c r="AC633" s="51">
        <v>46022</v>
      </c>
      <c r="AD633" s="50">
        <v>46022</v>
      </c>
      <c r="AE633" s="41" t="s">
        <v>0</v>
      </c>
      <c r="AF633" s="41" t="s">
        <v>0</v>
      </c>
      <c r="AG633" s="40" t="s">
        <v>5</v>
      </c>
      <c r="AH633" s="36" t="s">
        <v>0</v>
      </c>
      <c r="AI633" s="49">
        <v>20140</v>
      </c>
      <c r="AJ633" s="36" t="s">
        <v>3</v>
      </c>
      <c r="AK633" s="21">
        <v>711087</v>
      </c>
      <c r="AL633" s="36" t="s">
        <v>1</v>
      </c>
      <c r="AM633" s="36" t="s">
        <v>1</v>
      </c>
      <c r="AN633" s="35" t="s">
        <v>0</v>
      </c>
      <c r="AO633" s="35" t="s">
        <v>0</v>
      </c>
      <c r="AP633" s="35" t="s">
        <v>0</v>
      </c>
      <c r="AQ633" s="35" t="s">
        <v>0</v>
      </c>
      <c r="AR633" s="34" t="s">
        <v>0</v>
      </c>
      <c r="AS633" s="33"/>
      <c r="AT633" s="32" t="s">
        <v>0</v>
      </c>
      <c r="AU633" s="31"/>
      <c r="AV633" s="32" t="s">
        <v>0</v>
      </c>
      <c r="AW633" s="31"/>
      <c r="AX633" s="32" t="s">
        <v>0</v>
      </c>
      <c r="AY633" s="31"/>
      <c r="AZ633" s="32" t="s">
        <v>0</v>
      </c>
      <c r="BA633" s="47"/>
      <c r="BB633" s="74" t="s">
        <v>224</v>
      </c>
      <c r="BC633" s="25"/>
      <c r="BD633" s="24"/>
      <c r="BE633" s="24"/>
      <c r="BF633" s="24"/>
      <c r="BG633" s="24"/>
      <c r="BH633" s="24"/>
      <c r="BI633" s="24"/>
      <c r="BJ633" s="24"/>
      <c r="BK633" s="24"/>
      <c r="BL633" s="24"/>
      <c r="BM633" s="24"/>
      <c r="BN633" s="24"/>
      <c r="BO633" s="24"/>
      <c r="BP633" s="24"/>
      <c r="BQ633" s="22">
        <f>YEAR([1]!BANCO10[[#This Row],[DATA INÍCIO]])</f>
        <v>2025</v>
      </c>
      <c r="BR633" s="22">
        <f>MONTH([1]!BANCO10[[#This Row],[DATA INÍCIO]])</f>
        <v>12</v>
      </c>
      <c r="BS633" s="23" t="e">
        <f>CONCATENATE(#REF!,#REF!)</f>
        <v>#REF!</v>
      </c>
      <c r="BT633" s="22"/>
      <c r="BU633" s="22"/>
      <c r="BV633" s="21" t="str">
        <f>IF([1]!BANCO10[[#This Row],[SOLUÇÃO]]=BV$1,[1]!BANCO10[[#This Row],[STATUS DA ETAPA]],"")</f>
        <v/>
      </c>
      <c r="BW633" s="21" t="str">
        <f>IF([1]!BANCO10[[#This Row],[SOLUÇÃO]]=BW$1,[1]!BANCO10[[#This Row],[STATUS DA ETAPA]],"")</f>
        <v/>
      </c>
      <c r="BX633" s="21" t="str">
        <f>IF([1]!BANCO10[[#This Row],[SOLUÇÃO]]=BX$1,[1]!BANCO10[[#This Row],[STATUS DA ETAPA]],"")</f>
        <v/>
      </c>
      <c r="BY633" s="21" t="str">
        <f>IF([1]!BANCO10[[#This Row],[SOLUÇÃO]]=BY$1,[1]!BANCO10[[#This Row],[STATUS DA ETAPA]],"")</f>
        <v/>
      </c>
      <c r="BZ633" s="21" t="str">
        <f>IF([1]!BANCO10[[#This Row],[SOLUÇÃO]]=BZ$1,[1]!BANCO10[[#This Row],[STATUS DA ETAPA]],"")</f>
        <v/>
      </c>
      <c r="CA633" s="21" t="str">
        <f>IF([1]!BANCO10[[#This Row],[SOLUÇÃO]]=CA$1,[1]!BANCO10[[#This Row],[STATUS DA ETAPA]],"")</f>
        <v/>
      </c>
      <c r="CB633" s="21" t="str">
        <f>IF([1]!BANCO10[[#This Row],[SOLUÇÃO]]=CB$1,[1]!BANCO10[[#This Row],[STATUS DA ETAPA]],"")</f>
        <v>AGUARDANDO SALDO</v>
      </c>
      <c r="CC633" s="21" t="str">
        <f>IF([1]!BANCO10[[#This Row],[SOLUÇÃO]]=CC$1,[1]!BANCO10[[#This Row],[STATUS DA ETAPA]],"")</f>
        <v/>
      </c>
      <c r="CD633" s="21" t="str">
        <f>IF([1]!BANCO10[[#This Row],[SOLUÇÃO]]=CD$1,[1]!BANCO10[[#This Row],[STATUS DA ETAPA]],"")</f>
        <v/>
      </c>
      <c r="CE633" s="21" t="str">
        <f>IF([1]!BANCO10[[#This Row],[SOLUÇÃO]]=CE$1,[1]!BANCO10[[#This Row],[STATUS DA ETAPA]],"")</f>
        <v/>
      </c>
      <c r="CF633" s="21" t="str">
        <f>IF([1]!BANCO10[[#This Row],[SOLUÇÃO]]=CF$1,[1]!BANCO10[[#This Row],[STATUS DA ETAPA]],"")</f>
        <v/>
      </c>
      <c r="CG633" s="21" t="str">
        <f>IF([1]!BANCO10[[#This Row],[SOLUÇÃO]]=CG$1,[1]!BANCO10[[#This Row],[STATUS DA ETAPA]],"")</f>
        <v/>
      </c>
      <c r="CH633" s="21" t="str">
        <f>IF([1]!BANCO10[[#This Row],[SOLUÇÃO]]=CH$1,[1]!BANCO10[[#This Row],[STATUS DA ETAPA]],"")</f>
        <v/>
      </c>
      <c r="CI633" s="21" t="str">
        <f>IF([1]!BANCO10[[#This Row],[SOLUÇÃO]]=CI$1,[1]!BANCO10[[#This Row],[STATUS DA ETAPA]],"")</f>
        <v/>
      </c>
      <c r="CJ633" s="21" t="str">
        <f>IF([1]!BANCO10[[#This Row],[SOLUÇÃO]]=CJ$1,[1]!BANCO10[[#This Row],[STATUS DA ETAPA]],"")</f>
        <v/>
      </c>
      <c r="CK633" s="21" t="str">
        <f>IF([1]!BANCO10[[#This Row],[SOLUÇÃO]]=CK$1,[1]!BANCO10[[#This Row],[STATUS DA ETAPA]],"")</f>
        <v/>
      </c>
      <c r="CL633" s="21" t="str">
        <f>IF([1]!BANCO10[[#This Row],[SOLUÇÃO]]=CL$1,[1]!BANCO10[[#This Row],[STATUS DA ETAPA]],"")</f>
        <v/>
      </c>
      <c r="CM633" s="21" t="str">
        <f>IF([1]!BANCO10[[#This Row],[SOLUÇÃO]]=CM$1,[1]!BANCO10[[#This Row],[STATUS DA ETAPA]],"")</f>
        <v/>
      </c>
      <c r="CN633" s="21" t="str">
        <f>IF([1]!BANCO10[[#This Row],[SOLUÇÃO]]=CN$1,[1]!BANCO10[[#This Row],[STATUS DA ETAPA]],"")</f>
        <v/>
      </c>
      <c r="CO633" s="21" t="str">
        <f>IF([1]!BANCO10[[#This Row],[SOLUÇÃO]]=CO$1,[1]!BANCO10[[#This Row],[STATUS DA ETAPA]],"")</f>
        <v/>
      </c>
      <c r="CP633" s="21" t="str">
        <f>IF([1]!BANCO10[[#This Row],[SOLUÇÃO]]=CP$1,[1]!BANCO10[[#This Row],[STATUS DA ETAPA]],"")</f>
        <v/>
      </c>
      <c r="CQ633" s="21" t="str">
        <f>IF([1]!BANCO10[[#This Row],[SOLUÇÃO]]=CQ$1,[1]!BANCO10[[#This Row],[STATUS DA ETAPA]],"")</f>
        <v/>
      </c>
      <c r="CR633" s="21" t="str">
        <f>IF([1]!BANCO10[[#This Row],[SOLUÇÃO]]=CR$1,[1]!BANCO10[[#This Row],[STATUS DA ETAPA]],"")</f>
        <v/>
      </c>
      <c r="CS633" s="21" t="str">
        <f>IF([1]!BANCO10[[#This Row],[SOLUÇÃO]]=CS$1,[1]!BANCO10[[#This Row],[STATUS DA ETAPA]],"")</f>
        <v/>
      </c>
      <c r="CT633" s="21" t="str">
        <f>IF([1]!BANCO10[[#This Row],[SOLUÇÃO]]=CT$1,[1]!BANCO10[[#This Row],[STATUS DA ETAPA]],"")</f>
        <v/>
      </c>
      <c r="CU633" s="21" t="str">
        <f>IF([1]!BANCO10[[#This Row],[SOLUÇÃO]]=CU$1,[1]!BANCO10[[#This Row],[STATUS DA ETAPA]],"")</f>
        <v/>
      </c>
      <c r="CV633" s="21" t="str">
        <f>IF([1]!BANCO10[[#This Row],[SOLUÇÃO]]=CV$1,[1]!BANCO10[[#This Row],[STATUS DA ETAPA]],"")</f>
        <v/>
      </c>
    </row>
    <row r="634" spans="1:100">
      <c r="A634" s="44" t="s">
        <v>1</v>
      </c>
      <c r="B634" s="44"/>
      <c r="C634" s="44" t="s">
        <v>1</v>
      </c>
      <c r="D634" s="44"/>
      <c r="E634" s="44" t="s">
        <v>1</v>
      </c>
      <c r="F634" s="44"/>
      <c r="G634" s="44" t="s">
        <v>1</v>
      </c>
      <c r="H634" s="44"/>
      <c r="I634" s="45" t="s">
        <v>1</v>
      </c>
      <c r="J634" s="46"/>
      <c r="K634" s="45" t="s">
        <v>1</v>
      </c>
      <c r="L634" s="33"/>
      <c r="M634" s="45" t="s">
        <v>1</v>
      </c>
      <c r="N634" s="33"/>
      <c r="O634" s="44" t="s">
        <v>2</v>
      </c>
      <c r="P634" s="44">
        <v>45077</v>
      </c>
      <c r="Q634" s="44" t="s">
        <v>0</v>
      </c>
      <c r="R634" s="44"/>
      <c r="S634" s="44" t="s">
        <v>1</v>
      </c>
      <c r="T634" s="44"/>
      <c r="U634" s="44" t="s">
        <v>1</v>
      </c>
      <c r="V634" s="44"/>
      <c r="W634" s="44" t="s">
        <v>1</v>
      </c>
      <c r="X634" s="44"/>
      <c r="Y634" s="44" t="s">
        <v>1</v>
      </c>
      <c r="Z634" s="44"/>
      <c r="AA634" s="44" t="s">
        <v>1</v>
      </c>
      <c r="AB634" s="44"/>
      <c r="AC634" s="84">
        <v>45076</v>
      </c>
      <c r="AD634" s="83">
        <v>45076</v>
      </c>
      <c r="AE634" s="40" t="s">
        <v>1</v>
      </c>
      <c r="AF634" s="40" t="s">
        <v>1</v>
      </c>
      <c r="AG634" s="40" t="s">
        <v>5</v>
      </c>
      <c r="AH634" s="36" t="s">
        <v>1</v>
      </c>
      <c r="AI634" s="49">
        <v>0</v>
      </c>
      <c r="AJ634" s="36" t="s">
        <v>1</v>
      </c>
      <c r="AK634" s="10" t="s">
        <v>1</v>
      </c>
      <c r="AL634" s="36" t="s">
        <v>1</v>
      </c>
      <c r="AM634" s="36" t="s">
        <v>1</v>
      </c>
      <c r="AN634" s="35" t="s">
        <v>1</v>
      </c>
      <c r="AO634" s="35" t="s">
        <v>1</v>
      </c>
      <c r="AP634" s="35" t="s">
        <v>1</v>
      </c>
      <c r="AQ634" s="35" t="s">
        <v>1</v>
      </c>
      <c r="AR634" s="82" t="s">
        <v>1</v>
      </c>
      <c r="AS634" s="33"/>
      <c r="AT634" s="30"/>
      <c r="AU634" s="55"/>
      <c r="AV634" s="30"/>
      <c r="AW634" s="55"/>
      <c r="AX634" s="30" t="s">
        <v>1</v>
      </c>
      <c r="AY634" s="55"/>
      <c r="AZ634" s="30" t="s">
        <v>1</v>
      </c>
      <c r="BA634" s="85"/>
      <c r="BB634" s="120"/>
      <c r="BC634" s="25"/>
      <c r="BD634" s="24" t="s">
        <v>11</v>
      </c>
      <c r="BE634" s="24" t="s">
        <v>11</v>
      </c>
      <c r="BF634" s="79" t="s">
        <v>21</v>
      </c>
      <c r="BG634" s="79" t="s">
        <v>11</v>
      </c>
      <c r="BH634" s="80" t="s">
        <v>2</v>
      </c>
      <c r="BI634" s="79" t="s">
        <v>243</v>
      </c>
      <c r="BJ634" s="54" t="s">
        <v>11</v>
      </c>
      <c r="BK634" s="78" t="s">
        <v>11</v>
      </c>
      <c r="BL634" s="69" t="s">
        <v>11</v>
      </c>
      <c r="BM634" s="78" t="s">
        <v>11</v>
      </c>
      <c r="BN634" s="78" t="s">
        <v>11</v>
      </c>
      <c r="BO634" s="78" t="s">
        <v>11</v>
      </c>
      <c r="BP634" s="78" t="s">
        <v>11</v>
      </c>
      <c r="BQ634" s="21">
        <f>YEAR([1]!BANCO10[[#This Row],[DATA INÍCIO]])</f>
        <v>2023</v>
      </c>
      <c r="BR634" s="21">
        <f>MONTH([1]!BANCO10[[#This Row],[DATA INÍCIO]])</f>
        <v>5</v>
      </c>
      <c r="BS634" s="21" t="e">
        <f>CONCATENATE(#REF!,#REF!)</f>
        <v>#REF!</v>
      </c>
      <c r="BT634" s="21"/>
      <c r="BU634" s="21" t="s">
        <v>254</v>
      </c>
      <c r="BV634" s="21" t="str">
        <f>IF([1]!BANCO10[[#This Row],[SOLUÇÃO]]=BV$1,[1]!BANCO10[[#This Row],[STATUS DA ETAPA]],"")</f>
        <v>CONCLUÍDO</v>
      </c>
      <c r="BW634" s="21" t="str">
        <f>IF([1]!BANCO10[[#This Row],[SOLUÇÃO]]=BW$1,[1]!BANCO10[[#This Row],[STATUS DA ETAPA]],"")</f>
        <v/>
      </c>
      <c r="BX634" s="21" t="str">
        <f>IF([1]!BANCO10[[#This Row],[SOLUÇÃO]]=BX$1,[1]!BANCO10[[#This Row],[STATUS DA ETAPA]],"")</f>
        <v/>
      </c>
      <c r="BY634" s="21" t="str">
        <f>IF([1]!BANCO10[[#This Row],[SOLUÇÃO]]=BY$1,[1]!BANCO10[[#This Row],[STATUS DA ETAPA]],"")</f>
        <v/>
      </c>
      <c r="BZ634" s="21" t="str">
        <f>IF([1]!BANCO10[[#This Row],[SOLUÇÃO]]=BZ$1,[1]!BANCO10[[#This Row],[STATUS DA ETAPA]],"")</f>
        <v/>
      </c>
      <c r="CA634" s="21" t="str">
        <f>IF([1]!BANCO10[[#This Row],[SOLUÇÃO]]=CA$1,[1]!BANCO10[[#This Row],[STATUS DA ETAPA]],"")</f>
        <v/>
      </c>
      <c r="CB634" s="21" t="str">
        <f>IF([1]!BANCO10[[#This Row],[SOLUÇÃO]]=CB$1,[1]!BANCO10[[#This Row],[STATUS DA ETAPA]],"")</f>
        <v/>
      </c>
      <c r="CC634" s="21" t="str">
        <f>IF([1]!BANCO10[[#This Row],[SOLUÇÃO]]=CC$1,[1]!BANCO10[[#This Row],[STATUS DA ETAPA]],"")</f>
        <v/>
      </c>
      <c r="CD634" s="21" t="str">
        <f>IF([1]!BANCO10[[#This Row],[SOLUÇÃO]]=CD$1,[1]!BANCO10[[#This Row],[STATUS DA ETAPA]],"")</f>
        <v/>
      </c>
      <c r="CE634" s="21" t="str">
        <f>IF([1]!BANCO10[[#This Row],[SOLUÇÃO]]=CE$1,[1]!BANCO10[[#This Row],[STATUS DA ETAPA]],"")</f>
        <v/>
      </c>
      <c r="CF634" s="21" t="str">
        <f>IF([1]!BANCO10[[#This Row],[SOLUÇÃO]]=CF$1,[1]!BANCO10[[#This Row],[STATUS DA ETAPA]],"")</f>
        <v/>
      </c>
      <c r="CG634" s="21" t="str">
        <f>IF([1]!BANCO10[[#This Row],[SOLUÇÃO]]=CG$1,[1]!BANCO10[[#This Row],[STATUS DA ETAPA]],"")</f>
        <v/>
      </c>
      <c r="CH634" s="21" t="str">
        <f>IF([1]!BANCO10[[#This Row],[SOLUÇÃO]]=CH$1,[1]!BANCO10[[#This Row],[STATUS DA ETAPA]],"")</f>
        <v/>
      </c>
      <c r="CI634" s="21" t="str">
        <f>IF([1]!BANCO10[[#This Row],[SOLUÇÃO]]=CI$1,[1]!BANCO10[[#This Row],[STATUS DA ETAPA]],"")</f>
        <v/>
      </c>
      <c r="CJ634" s="21" t="str">
        <f>IF([1]!BANCO10[[#This Row],[SOLUÇÃO]]=CJ$1,[1]!BANCO10[[#This Row],[STATUS DA ETAPA]],"")</f>
        <v/>
      </c>
      <c r="CK634" s="21" t="str">
        <f>IF([1]!BANCO10[[#This Row],[SOLUÇÃO]]=CK$1,[1]!BANCO10[[#This Row],[STATUS DA ETAPA]],"")</f>
        <v/>
      </c>
      <c r="CL634" s="22" t="str">
        <f>IF([1]!BANCO10[[#This Row],[SOLUÇÃO]]=CL$1,[1]!BANCO10[[#This Row],[STATUS DA ETAPA]],"")</f>
        <v/>
      </c>
      <c r="CM634" s="64" t="str">
        <f>IF([1]!BANCO10[[#This Row],[SOLUÇÃO]]=CM$1,[1]!BANCO10[[#This Row],[STATUS DA ETAPA]],"")</f>
        <v/>
      </c>
      <c r="CN634" s="64" t="str">
        <f>IF([1]!BANCO10[[#This Row],[SOLUÇÃO]]=CN$1,[1]!BANCO10[[#This Row],[STATUS DA ETAPA]],"")</f>
        <v/>
      </c>
      <c r="CO634" s="64" t="str">
        <f>IF([1]!BANCO10[[#This Row],[SOLUÇÃO]]=CO$1,[1]!BANCO10[[#This Row],[STATUS DA ETAPA]],"")</f>
        <v/>
      </c>
      <c r="CP634" s="64" t="str">
        <f>IF([1]!BANCO10[[#This Row],[SOLUÇÃO]]=CP$1,[1]!BANCO10[[#This Row],[STATUS DA ETAPA]],"")</f>
        <v/>
      </c>
      <c r="CQ634" s="64" t="str">
        <f>IF([1]!BANCO10[[#This Row],[SOLUÇÃO]]=CQ$1,[1]!BANCO10[[#This Row],[STATUS DA ETAPA]],"")</f>
        <v/>
      </c>
      <c r="CR634" s="64" t="str">
        <f>IF([1]!BANCO10[[#This Row],[SOLUÇÃO]]=CR$1,[1]!BANCO10[[#This Row],[STATUS DA ETAPA]],"")</f>
        <v/>
      </c>
      <c r="CS634" s="64" t="str">
        <f>IF([1]!BANCO10[[#This Row],[SOLUÇÃO]]=CS$1,[1]!BANCO10[[#This Row],[STATUS DA ETAPA]],"")</f>
        <v/>
      </c>
      <c r="CT634" s="64" t="str">
        <f>IF([1]!BANCO10[[#This Row],[SOLUÇÃO]]=CT$1,[1]!BANCO10[[#This Row],[STATUS DA ETAPA]],"")</f>
        <v/>
      </c>
      <c r="CU634" s="64" t="str">
        <f>IF([1]!BANCO10[[#This Row],[SOLUÇÃO]]=CU$1,[1]!BANCO10[[#This Row],[STATUS DA ETAPA]],"")</f>
        <v/>
      </c>
      <c r="CV634" s="64" t="str">
        <f>IF([1]!BANCO10[[#This Row],[SOLUÇÃO]]=CV$1,[1]!BANCO10[[#This Row],[STATUS DA ETAPA]],"")</f>
        <v/>
      </c>
    </row>
    <row r="635" spans="1:100">
      <c r="A635" s="44" t="s">
        <v>1</v>
      </c>
      <c r="B635" s="44"/>
      <c r="C635" s="44" t="s">
        <v>1</v>
      </c>
      <c r="D635" s="44"/>
      <c r="E635" s="44" t="s">
        <v>1</v>
      </c>
      <c r="F635" s="44"/>
      <c r="G635" s="44" t="s">
        <v>1</v>
      </c>
      <c r="H635" s="44"/>
      <c r="I635" s="45" t="s">
        <v>1</v>
      </c>
      <c r="J635" s="46"/>
      <c r="K635" s="45" t="s">
        <v>1</v>
      </c>
      <c r="L635" s="33"/>
      <c r="M635" s="45" t="s">
        <v>1</v>
      </c>
      <c r="N635" s="33"/>
      <c r="O635" s="44" t="s">
        <v>2</v>
      </c>
      <c r="P635" s="44">
        <v>45077</v>
      </c>
      <c r="Q635" s="44" t="s">
        <v>2</v>
      </c>
      <c r="R635" s="44">
        <v>45083</v>
      </c>
      <c r="S635" s="44" t="s">
        <v>1</v>
      </c>
      <c r="T635" s="44"/>
      <c r="U635" s="44"/>
      <c r="V635" s="44"/>
      <c r="W635" s="44" t="s">
        <v>2</v>
      </c>
      <c r="X635" s="44"/>
      <c r="Y635" s="44" t="s">
        <v>2</v>
      </c>
      <c r="Z635" s="44">
        <v>45083</v>
      </c>
      <c r="AA635" s="44" t="s">
        <v>2</v>
      </c>
      <c r="AB635" s="44"/>
      <c r="AC635" s="84">
        <v>45141</v>
      </c>
      <c r="AD635" s="83">
        <v>45259</v>
      </c>
      <c r="AE635" s="40" t="s">
        <v>2</v>
      </c>
      <c r="AF635" s="40" t="s">
        <v>2</v>
      </c>
      <c r="AG635" s="40" t="s">
        <v>5</v>
      </c>
      <c r="AH635" s="36" t="s">
        <v>0</v>
      </c>
      <c r="AI635" s="49">
        <v>0</v>
      </c>
      <c r="AJ635" s="36"/>
      <c r="AK635" s="10"/>
      <c r="AL635" s="36" t="s">
        <v>22</v>
      </c>
      <c r="AM635" s="36" t="s">
        <v>1</v>
      </c>
      <c r="AN635" s="35" t="s">
        <v>1</v>
      </c>
      <c r="AO635" s="35" t="s">
        <v>1</v>
      </c>
      <c r="AP635" s="35" t="s">
        <v>2</v>
      </c>
      <c r="AQ635" s="35" t="s">
        <v>1</v>
      </c>
      <c r="AR635" s="33" t="s">
        <v>1</v>
      </c>
      <c r="AS635" s="33"/>
      <c r="AT635" s="30"/>
      <c r="AU635" s="55"/>
      <c r="AV635" s="30"/>
      <c r="AW635" s="55"/>
      <c r="AX635" s="30" t="s">
        <v>2</v>
      </c>
      <c r="AY635" s="55">
        <v>45259</v>
      </c>
      <c r="AZ635" s="30" t="s">
        <v>2</v>
      </c>
      <c r="BA635" s="85"/>
      <c r="BB635" s="39"/>
      <c r="BC635" s="25"/>
      <c r="BD635" s="24" t="s">
        <v>11</v>
      </c>
      <c r="BE635" s="24" t="s">
        <v>11</v>
      </c>
      <c r="BF635" s="79" t="s">
        <v>21</v>
      </c>
      <c r="BG635" s="79" t="s">
        <v>11</v>
      </c>
      <c r="BH635" s="80" t="s">
        <v>2</v>
      </c>
      <c r="BI635" s="79" t="s">
        <v>243</v>
      </c>
      <c r="BJ635" s="54" t="s">
        <v>37</v>
      </c>
      <c r="BK635" s="78" t="s">
        <v>243</v>
      </c>
      <c r="BL635" s="69">
        <v>45393</v>
      </c>
      <c r="BM635" s="78" t="s">
        <v>18</v>
      </c>
      <c r="BN635" s="78" t="s">
        <v>11</v>
      </c>
      <c r="BO635" s="78"/>
      <c r="BP635" s="78" t="s">
        <v>253</v>
      </c>
      <c r="BQ635" s="21">
        <f>YEAR([1]!BANCO10[[#This Row],[DATA INÍCIO]])</f>
        <v>2023</v>
      </c>
      <c r="BR635" s="21">
        <f>MONTH([1]!BANCO10[[#This Row],[DATA INÍCIO]])</f>
        <v>8</v>
      </c>
      <c r="BS635" s="21" t="e">
        <f>CONCATENATE(#REF!,#REF!)</f>
        <v>#REF!</v>
      </c>
      <c r="BT635" s="21"/>
      <c r="BU635" s="21" t="s">
        <v>252</v>
      </c>
      <c r="BV635" s="21" t="str">
        <f>IF([1]!BANCO10[[#This Row],[SOLUÇÃO]]=BV$1,[1]!BANCO10[[#This Row],[STATUS DA ETAPA]],"")</f>
        <v/>
      </c>
      <c r="BW635" s="21" t="str">
        <f>IF([1]!BANCO10[[#This Row],[SOLUÇÃO]]=BW$1,[1]!BANCO10[[#This Row],[STATUS DA ETAPA]],"")</f>
        <v/>
      </c>
      <c r="BX635" s="21" t="str">
        <f>IF([1]!BANCO10[[#This Row],[SOLUÇÃO]]=BX$1,[1]!BANCO10[[#This Row],[STATUS DA ETAPA]],"")</f>
        <v/>
      </c>
      <c r="BY635" s="21" t="str">
        <f>IF([1]!BANCO10[[#This Row],[SOLUÇÃO]]=BY$1,[1]!BANCO10[[#This Row],[STATUS DA ETAPA]],"")</f>
        <v/>
      </c>
      <c r="BZ635" s="21" t="str">
        <f>IF([1]!BANCO10[[#This Row],[SOLUÇÃO]]=BZ$1,[1]!BANCO10[[#This Row],[STATUS DA ETAPA]],"")</f>
        <v/>
      </c>
      <c r="CA635" s="21" t="str">
        <f>IF([1]!BANCO10[[#This Row],[SOLUÇÃO]]=CA$1,[1]!BANCO10[[#This Row],[STATUS DA ETAPA]],"")</f>
        <v>CONCLUÍDO</v>
      </c>
      <c r="CB635" s="21" t="str">
        <f>IF([1]!BANCO10[[#This Row],[SOLUÇÃO]]=CB$1,[1]!BANCO10[[#This Row],[STATUS DA ETAPA]],"")</f>
        <v/>
      </c>
      <c r="CC635" s="21" t="str">
        <f>IF([1]!BANCO10[[#This Row],[SOLUÇÃO]]=CC$1,[1]!BANCO10[[#This Row],[STATUS DA ETAPA]],"")</f>
        <v/>
      </c>
      <c r="CD635" s="21" t="str">
        <f>IF([1]!BANCO10[[#This Row],[SOLUÇÃO]]=CD$1,[1]!BANCO10[[#This Row],[STATUS DA ETAPA]],"")</f>
        <v/>
      </c>
      <c r="CE635" s="21" t="str">
        <f>IF([1]!BANCO10[[#This Row],[SOLUÇÃO]]=CE$1,[1]!BANCO10[[#This Row],[STATUS DA ETAPA]],"")</f>
        <v/>
      </c>
      <c r="CF635" s="21" t="str">
        <f>IF([1]!BANCO10[[#This Row],[SOLUÇÃO]]=CF$1,[1]!BANCO10[[#This Row],[STATUS DA ETAPA]],"")</f>
        <v/>
      </c>
      <c r="CG635" s="21" t="str">
        <f>IF([1]!BANCO10[[#This Row],[SOLUÇÃO]]=CG$1,[1]!BANCO10[[#This Row],[STATUS DA ETAPA]],"")</f>
        <v/>
      </c>
      <c r="CH635" s="21" t="str">
        <f>IF([1]!BANCO10[[#This Row],[SOLUÇÃO]]=CH$1,[1]!BANCO10[[#This Row],[STATUS DA ETAPA]],"")</f>
        <v/>
      </c>
      <c r="CI635" s="21" t="str">
        <f>IF([1]!BANCO10[[#This Row],[SOLUÇÃO]]=CI$1,[1]!BANCO10[[#This Row],[STATUS DA ETAPA]],"")</f>
        <v/>
      </c>
      <c r="CJ635" s="21" t="str">
        <f>IF([1]!BANCO10[[#This Row],[SOLUÇÃO]]=CJ$1,[1]!BANCO10[[#This Row],[STATUS DA ETAPA]],"")</f>
        <v/>
      </c>
      <c r="CK635" s="21" t="str">
        <f>IF([1]!BANCO10[[#This Row],[SOLUÇÃO]]=CK$1,[1]!BANCO10[[#This Row],[STATUS DA ETAPA]],"")</f>
        <v/>
      </c>
      <c r="CL635" s="22" t="str">
        <f>IF([1]!BANCO10[[#This Row],[SOLUÇÃO]]=CL$1,[1]!BANCO10[[#This Row],[STATUS DA ETAPA]],"")</f>
        <v/>
      </c>
      <c r="CM635" s="64" t="str">
        <f>IF([1]!BANCO10[[#This Row],[SOLUÇÃO]]=CM$1,[1]!BANCO10[[#This Row],[STATUS DA ETAPA]],"")</f>
        <v/>
      </c>
      <c r="CN635" s="64" t="str">
        <f>IF([1]!BANCO10[[#This Row],[SOLUÇÃO]]=CN$1,[1]!BANCO10[[#This Row],[STATUS DA ETAPA]],"")</f>
        <v/>
      </c>
      <c r="CO635" s="64" t="str">
        <f>IF([1]!BANCO10[[#This Row],[SOLUÇÃO]]=CO$1,[1]!BANCO10[[#This Row],[STATUS DA ETAPA]],"")</f>
        <v/>
      </c>
      <c r="CP635" s="64" t="str">
        <f>IF([1]!BANCO10[[#This Row],[SOLUÇÃO]]=CP$1,[1]!BANCO10[[#This Row],[STATUS DA ETAPA]],"")</f>
        <v/>
      </c>
      <c r="CQ635" s="64" t="str">
        <f>IF([1]!BANCO10[[#This Row],[SOLUÇÃO]]=CQ$1,[1]!BANCO10[[#This Row],[STATUS DA ETAPA]],"")</f>
        <v/>
      </c>
      <c r="CR635" s="64" t="str">
        <f>IF([1]!BANCO10[[#This Row],[SOLUÇÃO]]=CR$1,[1]!BANCO10[[#This Row],[STATUS DA ETAPA]],"")</f>
        <v/>
      </c>
      <c r="CS635" s="64" t="str">
        <f>IF([1]!BANCO10[[#This Row],[SOLUÇÃO]]=CS$1,[1]!BANCO10[[#This Row],[STATUS DA ETAPA]],"")</f>
        <v/>
      </c>
      <c r="CT635" s="64" t="str">
        <f>IF([1]!BANCO10[[#This Row],[SOLUÇÃO]]=CT$1,[1]!BANCO10[[#This Row],[STATUS DA ETAPA]],"")</f>
        <v/>
      </c>
      <c r="CU635" s="64" t="str">
        <f>IF([1]!BANCO10[[#This Row],[SOLUÇÃO]]=CU$1,[1]!BANCO10[[#This Row],[STATUS DA ETAPA]],"")</f>
        <v/>
      </c>
      <c r="CV635" s="64" t="str">
        <f>IF([1]!BANCO10[[#This Row],[SOLUÇÃO]]=CV$1,[1]!BANCO10[[#This Row],[STATUS DA ETAPA]],"")</f>
        <v/>
      </c>
    </row>
    <row r="636" spans="1:100">
      <c r="A636" s="44" t="s">
        <v>1</v>
      </c>
      <c r="B636" s="44"/>
      <c r="C636" s="44" t="s">
        <v>1</v>
      </c>
      <c r="D636" s="44"/>
      <c r="E636" s="44" t="s">
        <v>1</v>
      </c>
      <c r="F636" s="44"/>
      <c r="G636" s="44" t="s">
        <v>1</v>
      </c>
      <c r="H636" s="44"/>
      <c r="I636" s="45" t="s">
        <v>1</v>
      </c>
      <c r="J636" s="46"/>
      <c r="K636" s="45" t="s">
        <v>1</v>
      </c>
      <c r="L636" s="33"/>
      <c r="M636" s="45" t="s">
        <v>1</v>
      </c>
      <c r="N636" s="33"/>
      <c r="O636" s="44" t="s">
        <v>0</v>
      </c>
      <c r="P636" s="44"/>
      <c r="Q636" s="44" t="s">
        <v>0</v>
      </c>
      <c r="R636" s="44"/>
      <c r="S636" s="44" t="s">
        <v>0</v>
      </c>
      <c r="T636" s="44"/>
      <c r="U636" s="44" t="s">
        <v>0</v>
      </c>
      <c r="V636" s="44"/>
      <c r="W636" s="44" t="s">
        <v>0</v>
      </c>
      <c r="X636" s="44"/>
      <c r="Y636" s="44" t="s">
        <v>0</v>
      </c>
      <c r="Z636" s="44"/>
      <c r="AA636" s="44" t="s">
        <v>0</v>
      </c>
      <c r="AB636" s="44"/>
      <c r="AC636" s="51">
        <v>46022</v>
      </c>
      <c r="AD636" s="50">
        <v>46022</v>
      </c>
      <c r="AE636" s="41" t="s">
        <v>1</v>
      </c>
      <c r="AF636" s="41" t="s">
        <v>1</v>
      </c>
      <c r="AG636" s="76" t="s">
        <v>5</v>
      </c>
      <c r="AH636" s="36" t="s">
        <v>0</v>
      </c>
      <c r="AI636" s="49">
        <v>0</v>
      </c>
      <c r="AJ636" s="36" t="s">
        <v>1</v>
      </c>
      <c r="AK636" s="9" t="s">
        <v>1</v>
      </c>
      <c r="AL636" s="36" t="s">
        <v>1</v>
      </c>
      <c r="AM636" s="36" t="s">
        <v>1</v>
      </c>
      <c r="AN636" s="35" t="s">
        <v>0</v>
      </c>
      <c r="AO636" s="35" t="s">
        <v>0</v>
      </c>
      <c r="AP636" s="35" t="s">
        <v>0</v>
      </c>
      <c r="AQ636" s="35" t="s">
        <v>0</v>
      </c>
      <c r="AR636" s="34" t="s">
        <v>1</v>
      </c>
      <c r="AS636" s="33"/>
      <c r="AT636" s="32" t="s">
        <v>1</v>
      </c>
      <c r="AU636" s="31"/>
      <c r="AV636" s="32" t="s">
        <v>1</v>
      </c>
      <c r="AW636" s="31"/>
      <c r="AX636" s="30" t="s">
        <v>0</v>
      </c>
      <c r="AY636" s="29"/>
      <c r="AZ636" s="28" t="s">
        <v>0</v>
      </c>
      <c r="BA636" s="81"/>
      <c r="BB636" s="124"/>
      <c r="BC636" s="25"/>
      <c r="BD636" s="24"/>
      <c r="BE636" s="24"/>
      <c r="BF636" s="24"/>
      <c r="BG636" s="24"/>
      <c r="BH636" s="24"/>
      <c r="BI636" s="24"/>
      <c r="BJ636" s="24"/>
      <c r="BK636" s="24"/>
      <c r="BL636" s="24"/>
      <c r="BM636" s="24"/>
      <c r="BN636" s="24"/>
      <c r="BO636" s="24"/>
      <c r="BP636" s="24"/>
      <c r="BQ636" s="22">
        <f>YEAR([1]!BANCO10[[#This Row],[DATA INÍCIO]])</f>
        <v>2025</v>
      </c>
      <c r="BR636" s="22">
        <f>MONTH([1]!BANCO10[[#This Row],[DATA INÍCIO]])</f>
        <v>12</v>
      </c>
      <c r="BS636" s="23" t="e">
        <f>CONCATENATE(#REF!,#REF!)</f>
        <v>#REF!</v>
      </c>
      <c r="BT636" s="22"/>
      <c r="BU636" s="22"/>
      <c r="BV636" s="21" t="str">
        <f>IF([1]!BANCO10[[#This Row],[SOLUÇÃO]]=BV$1,[1]!BANCO10[[#This Row],[STATUS DA ETAPA]],"")</f>
        <v/>
      </c>
      <c r="BW636" s="21" t="str">
        <f>IF([1]!BANCO10[[#This Row],[SOLUÇÃO]]=BW$1,[1]!BANCO10[[#This Row],[STATUS DA ETAPA]],"")</f>
        <v/>
      </c>
      <c r="BX636" s="21" t="str">
        <f>IF([1]!BANCO10[[#This Row],[SOLUÇÃO]]=BX$1,[1]!BANCO10[[#This Row],[STATUS DA ETAPA]],"")</f>
        <v/>
      </c>
      <c r="BY636" s="21" t="str">
        <f>IF([1]!BANCO10[[#This Row],[SOLUÇÃO]]=BY$1,[1]!BANCO10[[#This Row],[STATUS DA ETAPA]],"")</f>
        <v/>
      </c>
      <c r="BZ636" s="21" t="str">
        <f>IF([1]!BANCO10[[#This Row],[SOLUÇÃO]]=BZ$1,[1]!BANCO10[[#This Row],[STATUS DA ETAPA]],"")</f>
        <v/>
      </c>
      <c r="CA636" s="21" t="str">
        <f>IF([1]!BANCO10[[#This Row],[SOLUÇÃO]]=CA$1,[1]!BANCO10[[#This Row],[STATUS DA ETAPA]],"")</f>
        <v/>
      </c>
      <c r="CB636" s="21" t="str">
        <f>IF([1]!BANCO10[[#This Row],[SOLUÇÃO]]=CB$1,[1]!BANCO10[[#This Row],[STATUS DA ETAPA]],"")</f>
        <v/>
      </c>
      <c r="CC636" s="21" t="str">
        <f>IF([1]!BANCO10[[#This Row],[SOLUÇÃO]]=CC$1,[1]!BANCO10[[#This Row],[STATUS DA ETAPA]],"")</f>
        <v/>
      </c>
      <c r="CD636" s="21" t="str">
        <f>IF([1]!BANCO10[[#This Row],[SOLUÇÃO]]=CD$1,[1]!BANCO10[[#This Row],[STATUS DA ETAPA]],"")</f>
        <v/>
      </c>
      <c r="CE636" s="21" t="str">
        <f>IF([1]!BANCO10[[#This Row],[SOLUÇÃO]]=CE$1,[1]!BANCO10[[#This Row],[STATUS DA ETAPA]],"")</f>
        <v/>
      </c>
      <c r="CF636" s="21" t="str">
        <f>IF([1]!BANCO10[[#This Row],[SOLUÇÃO]]=CF$1,[1]!BANCO10[[#This Row],[STATUS DA ETAPA]],"")</f>
        <v/>
      </c>
      <c r="CG636" s="21" t="str">
        <f>IF([1]!BANCO10[[#This Row],[SOLUÇÃO]]=CG$1,[1]!BANCO10[[#This Row],[STATUS DA ETAPA]],"")</f>
        <v/>
      </c>
      <c r="CH636" s="21" t="str">
        <f>IF([1]!BANCO10[[#This Row],[SOLUÇÃO]]=CH$1,[1]!BANCO10[[#This Row],[STATUS DA ETAPA]],"")</f>
        <v/>
      </c>
      <c r="CI636" s="21" t="str">
        <f>IF([1]!BANCO10[[#This Row],[SOLUÇÃO]]=CI$1,[1]!BANCO10[[#This Row],[STATUS DA ETAPA]],"")</f>
        <v/>
      </c>
      <c r="CJ636" s="21" t="str">
        <f>IF([1]!BANCO10[[#This Row],[SOLUÇÃO]]=CJ$1,[1]!BANCO10[[#This Row],[STATUS DA ETAPA]],"")</f>
        <v/>
      </c>
      <c r="CK636" s="21" t="str">
        <f>IF([1]!BANCO10[[#This Row],[SOLUÇÃO]]=CK$1,[1]!BANCO10[[#This Row],[STATUS DA ETAPA]],"")</f>
        <v/>
      </c>
      <c r="CL636" s="21" t="str">
        <f>IF([1]!BANCO10[[#This Row],[SOLUÇÃO]]=CL$1,[1]!BANCO10[[#This Row],[STATUS DA ETAPA]],"")</f>
        <v/>
      </c>
      <c r="CM636" s="21" t="str">
        <f>IF([1]!BANCO10[[#This Row],[SOLUÇÃO]]=CM$1,[1]!BANCO10[[#This Row],[STATUS DA ETAPA]],"")</f>
        <v/>
      </c>
      <c r="CN636" s="21" t="str">
        <f>IF([1]!BANCO10[[#This Row],[SOLUÇÃO]]=CN$1,[1]!BANCO10[[#This Row],[STATUS DA ETAPA]],"")</f>
        <v/>
      </c>
      <c r="CO636" s="21" t="str">
        <f>IF([1]!BANCO10[[#This Row],[SOLUÇÃO]]=CO$1,[1]!BANCO10[[#This Row],[STATUS DA ETAPA]],"")</f>
        <v/>
      </c>
      <c r="CP636" s="21" t="str">
        <f>IF([1]!BANCO10[[#This Row],[SOLUÇÃO]]=CP$1,[1]!BANCO10[[#This Row],[STATUS DA ETAPA]],"")</f>
        <v/>
      </c>
      <c r="CQ636" s="21" t="str">
        <f>IF([1]!BANCO10[[#This Row],[SOLUÇÃO]]=CQ$1,[1]!BANCO10[[#This Row],[STATUS DA ETAPA]],"")</f>
        <v/>
      </c>
      <c r="CR636" s="21" t="str">
        <f>IF([1]!BANCO10[[#This Row],[SOLUÇÃO]]=CR$1,[1]!BANCO10[[#This Row],[STATUS DA ETAPA]],"")</f>
        <v/>
      </c>
      <c r="CS636" s="21" t="str">
        <f>IF([1]!BANCO10[[#This Row],[SOLUÇÃO]]=CS$1,[1]!BANCO10[[#This Row],[STATUS DA ETAPA]],"")</f>
        <v/>
      </c>
      <c r="CT636" s="21" t="str">
        <f>IF([1]!BANCO10[[#This Row],[SOLUÇÃO]]=CT$1,[1]!BANCO10[[#This Row],[STATUS DA ETAPA]],"")</f>
        <v/>
      </c>
      <c r="CU636" s="21" t="str">
        <f>IF([1]!BANCO10[[#This Row],[SOLUÇÃO]]=CU$1,[1]!BANCO10[[#This Row],[STATUS DA ETAPA]],"")</f>
        <v/>
      </c>
      <c r="CV636" s="21" t="str">
        <f>IF([1]!BANCO10[[#This Row],[SOLUÇÃO]]=CV$1,[1]!BANCO10[[#This Row],[STATUS DA ETAPA]],"")</f>
        <v/>
      </c>
    </row>
    <row r="637" spans="1:100">
      <c r="A637" s="44" t="s">
        <v>1</v>
      </c>
      <c r="B637" s="44"/>
      <c r="C637" s="44" t="s">
        <v>1</v>
      </c>
      <c r="D637" s="44"/>
      <c r="E637" s="44" t="s">
        <v>1</v>
      </c>
      <c r="F637" s="44"/>
      <c r="G637" s="44" t="s">
        <v>1</v>
      </c>
      <c r="H637" s="44"/>
      <c r="I637" s="45" t="s">
        <v>1</v>
      </c>
      <c r="J637" s="46"/>
      <c r="K637" s="45" t="s">
        <v>1</v>
      </c>
      <c r="L637" s="33"/>
      <c r="M637" s="45" t="s">
        <v>1</v>
      </c>
      <c r="N637" s="33"/>
      <c r="O637" s="44" t="s">
        <v>2</v>
      </c>
      <c r="P637" s="44">
        <v>45049</v>
      </c>
      <c r="Q637" s="44" t="s">
        <v>0</v>
      </c>
      <c r="R637" s="44"/>
      <c r="S637" s="44" t="s">
        <v>1</v>
      </c>
      <c r="T637" s="44"/>
      <c r="U637" s="44" t="s">
        <v>1</v>
      </c>
      <c r="V637" s="44"/>
      <c r="W637" s="44" t="s">
        <v>1</v>
      </c>
      <c r="X637" s="44"/>
      <c r="Y637" s="44" t="s">
        <v>1</v>
      </c>
      <c r="Z637" s="44"/>
      <c r="AA637" s="44" t="s">
        <v>1</v>
      </c>
      <c r="AB637" s="44"/>
      <c r="AC637" s="84">
        <v>45048</v>
      </c>
      <c r="AD637" s="83">
        <v>45048</v>
      </c>
      <c r="AE637" s="40" t="s">
        <v>1</v>
      </c>
      <c r="AF637" s="40" t="s">
        <v>1</v>
      </c>
      <c r="AG637" s="40" t="s">
        <v>5</v>
      </c>
      <c r="AH637" s="36" t="s">
        <v>1</v>
      </c>
      <c r="AI637" s="49">
        <v>0</v>
      </c>
      <c r="AJ637" s="36" t="s">
        <v>1</v>
      </c>
      <c r="AK637" s="10" t="s">
        <v>1</v>
      </c>
      <c r="AL637" s="36" t="s">
        <v>1</v>
      </c>
      <c r="AM637" s="36" t="s">
        <v>1</v>
      </c>
      <c r="AN637" s="35" t="s">
        <v>1</v>
      </c>
      <c r="AO637" s="35" t="s">
        <v>1</v>
      </c>
      <c r="AP637" s="35" t="s">
        <v>1</v>
      </c>
      <c r="AQ637" s="35" t="s">
        <v>1</v>
      </c>
      <c r="AR637" s="48" t="s">
        <v>1</v>
      </c>
      <c r="AS637" s="33"/>
      <c r="AT637" s="30"/>
      <c r="AU637" s="55"/>
      <c r="AV637" s="30"/>
      <c r="AW637" s="55"/>
      <c r="AX637" s="30" t="s">
        <v>1</v>
      </c>
      <c r="AY637" s="55"/>
      <c r="AZ637" s="30" t="s">
        <v>1</v>
      </c>
      <c r="BA637" s="85"/>
      <c r="BB637" s="39"/>
      <c r="BC637" s="25"/>
      <c r="BD637" s="24" t="s">
        <v>11</v>
      </c>
      <c r="BE637" s="24" t="s">
        <v>11</v>
      </c>
      <c r="BF637" s="79" t="s">
        <v>21</v>
      </c>
      <c r="BG637" s="79" t="s">
        <v>88</v>
      </c>
      <c r="BH637" s="80" t="s">
        <v>18</v>
      </c>
      <c r="BI637" s="79" t="s">
        <v>21</v>
      </c>
      <c r="BJ637" s="54" t="s">
        <v>11</v>
      </c>
      <c r="BK637" s="78" t="s">
        <v>11</v>
      </c>
      <c r="BL637" s="69" t="s">
        <v>11</v>
      </c>
      <c r="BM637" s="78" t="s">
        <v>11</v>
      </c>
      <c r="BN637" s="78" t="s">
        <v>11</v>
      </c>
      <c r="BO637" s="78" t="s">
        <v>11</v>
      </c>
      <c r="BP637" s="78" t="s">
        <v>11</v>
      </c>
      <c r="BQ637" s="21">
        <f>YEAR([1]!BANCO10[[#This Row],[DATA INÍCIO]])</f>
        <v>2023</v>
      </c>
      <c r="BR637" s="21">
        <f>MONTH([1]!BANCO10[[#This Row],[DATA INÍCIO]])</f>
        <v>5</v>
      </c>
      <c r="BS637" s="21" t="e">
        <f>CONCATENATE(#REF!,#REF!)</f>
        <v>#REF!</v>
      </c>
      <c r="BT637" s="21"/>
      <c r="BU637" s="21" t="s">
        <v>251</v>
      </c>
      <c r="BV637" s="21" t="str">
        <f>IF([1]!BANCO10[[#This Row],[SOLUÇÃO]]=BV$1,[1]!BANCO10[[#This Row],[STATUS DA ETAPA]],"")</f>
        <v>CONCLUÍDO</v>
      </c>
      <c r="BW637" s="21" t="str">
        <f>IF([1]!BANCO10[[#This Row],[SOLUÇÃO]]=BW$1,[1]!BANCO10[[#This Row],[STATUS DA ETAPA]],"")</f>
        <v/>
      </c>
      <c r="BX637" s="21" t="str">
        <f>IF([1]!BANCO10[[#This Row],[SOLUÇÃO]]=BX$1,[1]!BANCO10[[#This Row],[STATUS DA ETAPA]],"")</f>
        <v/>
      </c>
      <c r="BY637" s="21" t="str">
        <f>IF([1]!BANCO10[[#This Row],[SOLUÇÃO]]=BY$1,[1]!BANCO10[[#This Row],[STATUS DA ETAPA]],"")</f>
        <v/>
      </c>
      <c r="BZ637" s="21" t="str">
        <f>IF([1]!BANCO10[[#This Row],[SOLUÇÃO]]=BZ$1,[1]!BANCO10[[#This Row],[STATUS DA ETAPA]],"")</f>
        <v/>
      </c>
      <c r="CA637" s="21" t="str">
        <f>IF([1]!BANCO10[[#This Row],[SOLUÇÃO]]=CA$1,[1]!BANCO10[[#This Row],[STATUS DA ETAPA]],"")</f>
        <v/>
      </c>
      <c r="CB637" s="21" t="str">
        <f>IF([1]!BANCO10[[#This Row],[SOLUÇÃO]]=CB$1,[1]!BANCO10[[#This Row],[STATUS DA ETAPA]],"")</f>
        <v/>
      </c>
      <c r="CC637" s="21" t="str">
        <f>IF([1]!BANCO10[[#This Row],[SOLUÇÃO]]=CC$1,[1]!BANCO10[[#This Row],[STATUS DA ETAPA]],"")</f>
        <v/>
      </c>
      <c r="CD637" s="21" t="str">
        <f>IF([1]!BANCO10[[#This Row],[SOLUÇÃO]]=CD$1,[1]!BANCO10[[#This Row],[STATUS DA ETAPA]],"")</f>
        <v/>
      </c>
      <c r="CE637" s="21" t="str">
        <f>IF([1]!BANCO10[[#This Row],[SOLUÇÃO]]=CE$1,[1]!BANCO10[[#This Row],[STATUS DA ETAPA]],"")</f>
        <v/>
      </c>
      <c r="CF637" s="21" t="str">
        <f>IF([1]!BANCO10[[#This Row],[SOLUÇÃO]]=CF$1,[1]!BANCO10[[#This Row],[STATUS DA ETAPA]],"")</f>
        <v/>
      </c>
      <c r="CG637" s="21" t="str">
        <f>IF([1]!BANCO10[[#This Row],[SOLUÇÃO]]=CG$1,[1]!BANCO10[[#This Row],[STATUS DA ETAPA]],"")</f>
        <v/>
      </c>
      <c r="CH637" s="21" t="str">
        <f>IF([1]!BANCO10[[#This Row],[SOLUÇÃO]]=CH$1,[1]!BANCO10[[#This Row],[STATUS DA ETAPA]],"")</f>
        <v/>
      </c>
      <c r="CI637" s="21" t="str">
        <f>IF([1]!BANCO10[[#This Row],[SOLUÇÃO]]=CI$1,[1]!BANCO10[[#This Row],[STATUS DA ETAPA]],"")</f>
        <v/>
      </c>
      <c r="CJ637" s="21" t="str">
        <f>IF([1]!BANCO10[[#This Row],[SOLUÇÃO]]=CJ$1,[1]!BANCO10[[#This Row],[STATUS DA ETAPA]],"")</f>
        <v/>
      </c>
      <c r="CK637" s="21" t="str">
        <f>IF([1]!BANCO10[[#This Row],[SOLUÇÃO]]=CK$1,[1]!BANCO10[[#This Row],[STATUS DA ETAPA]],"")</f>
        <v/>
      </c>
      <c r="CL637" s="22" t="str">
        <f>IF([1]!BANCO10[[#This Row],[SOLUÇÃO]]=CL$1,[1]!BANCO10[[#This Row],[STATUS DA ETAPA]],"")</f>
        <v/>
      </c>
      <c r="CM637" s="64" t="str">
        <f>IF([1]!BANCO10[[#This Row],[SOLUÇÃO]]=CM$1,[1]!BANCO10[[#This Row],[STATUS DA ETAPA]],"")</f>
        <v/>
      </c>
      <c r="CN637" s="64" t="str">
        <f>IF([1]!BANCO10[[#This Row],[SOLUÇÃO]]=CN$1,[1]!BANCO10[[#This Row],[STATUS DA ETAPA]],"")</f>
        <v/>
      </c>
      <c r="CO637" s="64" t="str">
        <f>IF([1]!BANCO10[[#This Row],[SOLUÇÃO]]=CO$1,[1]!BANCO10[[#This Row],[STATUS DA ETAPA]],"")</f>
        <v/>
      </c>
      <c r="CP637" s="64" t="str">
        <f>IF([1]!BANCO10[[#This Row],[SOLUÇÃO]]=CP$1,[1]!BANCO10[[#This Row],[STATUS DA ETAPA]],"")</f>
        <v/>
      </c>
      <c r="CQ637" s="64" t="str">
        <f>IF([1]!BANCO10[[#This Row],[SOLUÇÃO]]=CQ$1,[1]!BANCO10[[#This Row],[STATUS DA ETAPA]],"")</f>
        <v/>
      </c>
      <c r="CR637" s="64" t="str">
        <f>IF([1]!BANCO10[[#This Row],[SOLUÇÃO]]=CR$1,[1]!BANCO10[[#This Row],[STATUS DA ETAPA]],"")</f>
        <v/>
      </c>
      <c r="CS637" s="64" t="str">
        <f>IF([1]!BANCO10[[#This Row],[SOLUÇÃO]]=CS$1,[1]!BANCO10[[#This Row],[STATUS DA ETAPA]],"")</f>
        <v/>
      </c>
      <c r="CT637" s="64" t="str">
        <f>IF([1]!BANCO10[[#This Row],[SOLUÇÃO]]=CT$1,[1]!BANCO10[[#This Row],[STATUS DA ETAPA]],"")</f>
        <v/>
      </c>
      <c r="CU637" s="64" t="str">
        <f>IF([1]!BANCO10[[#This Row],[SOLUÇÃO]]=CU$1,[1]!BANCO10[[#This Row],[STATUS DA ETAPA]],"")</f>
        <v/>
      </c>
      <c r="CV637" s="64" t="str">
        <f>IF([1]!BANCO10[[#This Row],[SOLUÇÃO]]=CV$1,[1]!BANCO10[[#This Row],[STATUS DA ETAPA]],"")</f>
        <v/>
      </c>
    </row>
    <row r="638" spans="1:100">
      <c r="A638" s="44" t="s">
        <v>1</v>
      </c>
      <c r="B638" s="44"/>
      <c r="C638" s="44" t="s">
        <v>1</v>
      </c>
      <c r="D638" s="44"/>
      <c r="E638" s="44" t="s">
        <v>1</v>
      </c>
      <c r="F638" s="44"/>
      <c r="G638" s="44" t="s">
        <v>1</v>
      </c>
      <c r="H638" s="44"/>
      <c r="I638" s="45" t="s">
        <v>1</v>
      </c>
      <c r="J638" s="46"/>
      <c r="K638" s="45" t="s">
        <v>1</v>
      </c>
      <c r="L638" s="33"/>
      <c r="M638" s="45" t="s">
        <v>1</v>
      </c>
      <c r="N638" s="33"/>
      <c r="O638" s="44" t="s">
        <v>2</v>
      </c>
      <c r="P638" s="44">
        <v>45049</v>
      </c>
      <c r="Q638" s="44" t="s">
        <v>2</v>
      </c>
      <c r="R638" s="44">
        <v>45134</v>
      </c>
      <c r="S638" s="44" t="s">
        <v>2</v>
      </c>
      <c r="T638" s="44">
        <v>45134</v>
      </c>
      <c r="U638" s="44"/>
      <c r="V638" s="44"/>
      <c r="W638" s="44" t="s">
        <v>2</v>
      </c>
      <c r="X638" s="44"/>
      <c r="Y638" s="44" t="s">
        <v>2</v>
      </c>
      <c r="Z638" s="44">
        <v>45134</v>
      </c>
      <c r="AA638" s="44" t="s">
        <v>2</v>
      </c>
      <c r="AB638" s="44"/>
      <c r="AC638" s="84">
        <v>45147</v>
      </c>
      <c r="AD638" s="83">
        <v>45266</v>
      </c>
      <c r="AE638" s="40" t="s">
        <v>2</v>
      </c>
      <c r="AF638" s="40" t="s">
        <v>2</v>
      </c>
      <c r="AG638" s="40" t="s">
        <v>5</v>
      </c>
      <c r="AH638" s="36" t="s">
        <v>0</v>
      </c>
      <c r="AI638" s="49">
        <v>0</v>
      </c>
      <c r="AJ638" s="36"/>
      <c r="AK638" s="10"/>
      <c r="AL638" s="36" t="s">
        <v>22</v>
      </c>
      <c r="AM638" s="36" t="s">
        <v>1</v>
      </c>
      <c r="AN638" s="35" t="s">
        <v>1</v>
      </c>
      <c r="AO638" s="35" t="s">
        <v>1</v>
      </c>
      <c r="AP638" s="35" t="s">
        <v>2</v>
      </c>
      <c r="AQ638" s="35" t="s">
        <v>1</v>
      </c>
      <c r="AR638" s="34" t="s">
        <v>1</v>
      </c>
      <c r="AS638" s="33"/>
      <c r="AT638" s="30"/>
      <c r="AU638" s="55"/>
      <c r="AV638" s="30"/>
      <c r="AW638" s="55"/>
      <c r="AX638" s="30" t="s">
        <v>2</v>
      </c>
      <c r="AY638" s="55">
        <v>45638</v>
      </c>
      <c r="AZ638" s="30" t="s">
        <v>2</v>
      </c>
      <c r="BA638" s="91">
        <v>45266</v>
      </c>
      <c r="BB638" s="120"/>
      <c r="BC638" s="25"/>
      <c r="BD638" s="24" t="s">
        <v>11</v>
      </c>
      <c r="BE638" s="24" t="s">
        <v>11</v>
      </c>
      <c r="BF638" s="79" t="s">
        <v>21</v>
      </c>
      <c r="BG638" s="79" t="s">
        <v>88</v>
      </c>
      <c r="BH638" s="80" t="s">
        <v>18</v>
      </c>
      <c r="BI638" s="79" t="s">
        <v>21</v>
      </c>
      <c r="BJ638" s="54" t="s">
        <v>37</v>
      </c>
      <c r="BK638" s="78" t="s">
        <v>19</v>
      </c>
      <c r="BL638" s="69">
        <v>45397</v>
      </c>
      <c r="BM638" s="78" t="s">
        <v>18</v>
      </c>
      <c r="BN638" s="78" t="s">
        <v>11</v>
      </c>
      <c r="BO638" s="78"/>
      <c r="BP638" s="78" t="s">
        <v>190</v>
      </c>
      <c r="BQ638" s="21">
        <f>YEAR([1]!BANCO10[[#This Row],[DATA INÍCIO]])</f>
        <v>2023</v>
      </c>
      <c r="BR638" s="21">
        <f>MONTH([1]!BANCO10[[#This Row],[DATA INÍCIO]])</f>
        <v>8</v>
      </c>
      <c r="BS638" s="21" t="e">
        <f>CONCATENATE(#REF!,#REF!)</f>
        <v>#REF!</v>
      </c>
      <c r="BT638" s="21"/>
      <c r="BU638" s="21" t="s">
        <v>250</v>
      </c>
      <c r="BV638" s="21" t="str">
        <f>IF([1]!BANCO10[[#This Row],[SOLUÇÃO]]=BV$1,[1]!BANCO10[[#This Row],[STATUS DA ETAPA]],"")</f>
        <v/>
      </c>
      <c r="BW638" s="21" t="str">
        <f>IF([1]!BANCO10[[#This Row],[SOLUÇÃO]]=BW$1,[1]!BANCO10[[#This Row],[STATUS DA ETAPA]],"")</f>
        <v/>
      </c>
      <c r="BX638" s="21" t="str">
        <f>IF([1]!BANCO10[[#This Row],[SOLUÇÃO]]=BX$1,[1]!BANCO10[[#This Row],[STATUS DA ETAPA]],"")</f>
        <v/>
      </c>
      <c r="BY638" s="21" t="str">
        <f>IF([1]!BANCO10[[#This Row],[SOLUÇÃO]]=BY$1,[1]!BANCO10[[#This Row],[STATUS DA ETAPA]],"")</f>
        <v/>
      </c>
      <c r="BZ638" s="21" t="str">
        <f>IF([1]!BANCO10[[#This Row],[SOLUÇÃO]]=BZ$1,[1]!BANCO10[[#This Row],[STATUS DA ETAPA]],"")</f>
        <v/>
      </c>
      <c r="CA638" s="21" t="str">
        <f>IF([1]!BANCO10[[#This Row],[SOLUÇÃO]]=CA$1,[1]!BANCO10[[#This Row],[STATUS DA ETAPA]],"")</f>
        <v>CONCLUÍDO</v>
      </c>
      <c r="CB638" s="21" t="str">
        <f>IF([1]!BANCO10[[#This Row],[SOLUÇÃO]]=CB$1,[1]!BANCO10[[#This Row],[STATUS DA ETAPA]],"")</f>
        <v/>
      </c>
      <c r="CC638" s="21" t="str">
        <f>IF([1]!BANCO10[[#This Row],[SOLUÇÃO]]=CC$1,[1]!BANCO10[[#This Row],[STATUS DA ETAPA]],"")</f>
        <v/>
      </c>
      <c r="CD638" s="21" t="str">
        <f>IF([1]!BANCO10[[#This Row],[SOLUÇÃO]]=CD$1,[1]!BANCO10[[#This Row],[STATUS DA ETAPA]],"")</f>
        <v/>
      </c>
      <c r="CE638" s="21" t="str">
        <f>IF([1]!BANCO10[[#This Row],[SOLUÇÃO]]=CE$1,[1]!BANCO10[[#This Row],[STATUS DA ETAPA]],"")</f>
        <v/>
      </c>
      <c r="CF638" s="21" t="str">
        <f>IF([1]!BANCO10[[#This Row],[SOLUÇÃO]]=CF$1,[1]!BANCO10[[#This Row],[STATUS DA ETAPA]],"")</f>
        <v/>
      </c>
      <c r="CG638" s="21" t="str">
        <f>IF([1]!BANCO10[[#This Row],[SOLUÇÃO]]=CG$1,[1]!BANCO10[[#This Row],[STATUS DA ETAPA]],"")</f>
        <v/>
      </c>
      <c r="CH638" s="21" t="str">
        <f>IF([1]!BANCO10[[#This Row],[SOLUÇÃO]]=CH$1,[1]!BANCO10[[#This Row],[STATUS DA ETAPA]],"")</f>
        <v/>
      </c>
      <c r="CI638" s="21" t="str">
        <f>IF([1]!BANCO10[[#This Row],[SOLUÇÃO]]=CI$1,[1]!BANCO10[[#This Row],[STATUS DA ETAPA]],"")</f>
        <v/>
      </c>
      <c r="CJ638" s="21" t="str">
        <f>IF([1]!BANCO10[[#This Row],[SOLUÇÃO]]=CJ$1,[1]!BANCO10[[#This Row],[STATUS DA ETAPA]],"")</f>
        <v/>
      </c>
      <c r="CK638" s="21" t="str">
        <f>IF([1]!BANCO10[[#This Row],[SOLUÇÃO]]=CK$1,[1]!BANCO10[[#This Row],[STATUS DA ETAPA]],"")</f>
        <v/>
      </c>
      <c r="CL638" s="22" t="str">
        <f>IF([1]!BANCO10[[#This Row],[SOLUÇÃO]]=CL$1,[1]!BANCO10[[#This Row],[STATUS DA ETAPA]],"")</f>
        <v/>
      </c>
      <c r="CM638" s="64" t="str">
        <f>IF([1]!BANCO10[[#This Row],[SOLUÇÃO]]=CM$1,[1]!BANCO10[[#This Row],[STATUS DA ETAPA]],"")</f>
        <v/>
      </c>
      <c r="CN638" s="64" t="str">
        <f>IF([1]!BANCO10[[#This Row],[SOLUÇÃO]]=CN$1,[1]!BANCO10[[#This Row],[STATUS DA ETAPA]],"")</f>
        <v/>
      </c>
      <c r="CO638" s="64" t="str">
        <f>IF([1]!BANCO10[[#This Row],[SOLUÇÃO]]=CO$1,[1]!BANCO10[[#This Row],[STATUS DA ETAPA]],"")</f>
        <v/>
      </c>
      <c r="CP638" s="64" t="str">
        <f>IF([1]!BANCO10[[#This Row],[SOLUÇÃO]]=CP$1,[1]!BANCO10[[#This Row],[STATUS DA ETAPA]],"")</f>
        <v/>
      </c>
      <c r="CQ638" s="64" t="str">
        <f>IF([1]!BANCO10[[#This Row],[SOLUÇÃO]]=CQ$1,[1]!BANCO10[[#This Row],[STATUS DA ETAPA]],"")</f>
        <v/>
      </c>
      <c r="CR638" s="64" t="str">
        <f>IF([1]!BANCO10[[#This Row],[SOLUÇÃO]]=CR$1,[1]!BANCO10[[#This Row],[STATUS DA ETAPA]],"")</f>
        <v/>
      </c>
      <c r="CS638" s="64" t="str">
        <f>IF([1]!BANCO10[[#This Row],[SOLUÇÃO]]=CS$1,[1]!BANCO10[[#This Row],[STATUS DA ETAPA]],"")</f>
        <v/>
      </c>
      <c r="CT638" s="64" t="str">
        <f>IF([1]!BANCO10[[#This Row],[SOLUÇÃO]]=CT$1,[1]!BANCO10[[#This Row],[STATUS DA ETAPA]],"")</f>
        <v/>
      </c>
      <c r="CU638" s="64" t="str">
        <f>IF([1]!BANCO10[[#This Row],[SOLUÇÃO]]=CU$1,[1]!BANCO10[[#This Row],[STATUS DA ETAPA]],"")</f>
        <v/>
      </c>
      <c r="CV638" s="64" t="str">
        <f>IF([1]!BANCO10[[#This Row],[SOLUÇÃO]]=CV$1,[1]!BANCO10[[#This Row],[STATUS DA ETAPA]],"")</f>
        <v/>
      </c>
    </row>
    <row r="639" spans="1:100">
      <c r="A639" s="44" t="s">
        <v>0</v>
      </c>
      <c r="B639" s="44"/>
      <c r="C639" s="44" t="s">
        <v>0</v>
      </c>
      <c r="D639" s="44"/>
      <c r="E639" s="44" t="s">
        <v>0</v>
      </c>
      <c r="F639" s="44"/>
      <c r="G639" s="44" t="s">
        <v>0</v>
      </c>
      <c r="H639" s="44"/>
      <c r="I639" s="45" t="s">
        <v>0</v>
      </c>
      <c r="J639" s="46"/>
      <c r="K639" s="45" t="s">
        <v>0</v>
      </c>
      <c r="L639" s="33"/>
      <c r="M639" s="45" t="s">
        <v>0</v>
      </c>
      <c r="N639" s="33"/>
      <c r="O639" s="44" t="s">
        <v>0</v>
      </c>
      <c r="P639" s="44"/>
      <c r="Q639" s="44" t="s">
        <v>2</v>
      </c>
      <c r="R639" s="44">
        <v>45918</v>
      </c>
      <c r="S639" s="44" t="s">
        <v>0</v>
      </c>
      <c r="T639" s="44"/>
      <c r="U639" s="44" t="s">
        <v>1</v>
      </c>
      <c r="V639" s="44"/>
      <c r="W639" s="44" t="s">
        <v>1</v>
      </c>
      <c r="X639" s="44"/>
      <c r="Y639" s="44" t="s">
        <v>1</v>
      </c>
      <c r="Z639" s="44"/>
      <c r="AA639" s="44" t="s">
        <v>1</v>
      </c>
      <c r="AB639" s="44"/>
      <c r="AC639" s="51">
        <v>45931</v>
      </c>
      <c r="AD639" s="50">
        <v>46022</v>
      </c>
      <c r="AE639" s="41" t="s">
        <v>0</v>
      </c>
      <c r="AF639" s="41" t="s">
        <v>0</v>
      </c>
      <c r="AG639" s="40" t="s">
        <v>5</v>
      </c>
      <c r="AH639" s="36" t="s">
        <v>0</v>
      </c>
      <c r="AI639" s="49">
        <v>14440</v>
      </c>
      <c r="AJ639" s="36"/>
      <c r="AK639" s="21" t="s">
        <v>1</v>
      </c>
      <c r="AL639" s="36" t="s">
        <v>1</v>
      </c>
      <c r="AM639" s="36" t="s">
        <v>1</v>
      </c>
      <c r="AN639" s="35" t="s">
        <v>0</v>
      </c>
      <c r="AO639" s="35" t="s">
        <v>0</v>
      </c>
      <c r="AP639" s="35" t="s">
        <v>0</v>
      </c>
      <c r="AQ639" s="35" t="s">
        <v>0</v>
      </c>
      <c r="AR639" s="33" t="s">
        <v>0</v>
      </c>
      <c r="AS639" s="33"/>
      <c r="AT639" s="32" t="s">
        <v>0</v>
      </c>
      <c r="AU639" s="31"/>
      <c r="AV639" s="32" t="s">
        <v>0</v>
      </c>
      <c r="AW639" s="31"/>
      <c r="AX639" s="32" t="s">
        <v>0</v>
      </c>
      <c r="AY639" s="31"/>
      <c r="AZ639" s="32" t="s">
        <v>0</v>
      </c>
      <c r="BA639" s="47"/>
      <c r="BB639" s="122" t="s">
        <v>224</v>
      </c>
      <c r="BC639" s="39"/>
      <c r="BD639" s="24"/>
      <c r="BE639" s="24"/>
      <c r="BF639" s="24"/>
      <c r="BG639" s="24"/>
      <c r="BH639" s="24"/>
      <c r="BI639" s="24"/>
      <c r="BJ639" s="24"/>
      <c r="BK639" s="24"/>
      <c r="BL639" s="24"/>
      <c r="BM639" s="24"/>
      <c r="BN639" s="24"/>
      <c r="BO639" s="24"/>
      <c r="BP639" s="24"/>
      <c r="BQ639" s="22">
        <f>YEAR([1]!BANCO10[[#This Row],[DATA INÍCIO]])</f>
        <v>2025</v>
      </c>
      <c r="BR639" s="22">
        <f>MONTH([1]!BANCO10[[#This Row],[DATA INÍCIO]])</f>
        <v>10</v>
      </c>
      <c r="BS639" s="23" t="e">
        <f>CONCATENATE(#REF!,#REF!)</f>
        <v>#REF!</v>
      </c>
      <c r="BT639" s="22"/>
      <c r="BU639" s="22"/>
      <c r="BV639" s="21" t="str">
        <f>IF([1]!BANCO10[[#This Row],[SOLUÇÃO]]=BV$1,[1]!BANCO10[[#This Row],[STATUS DA ETAPA]],"")</f>
        <v/>
      </c>
      <c r="BW639" s="21" t="str">
        <f>IF([1]!BANCO10[[#This Row],[SOLUÇÃO]]=BW$1,[1]!BANCO10[[#This Row],[STATUS DA ETAPA]],"")</f>
        <v/>
      </c>
      <c r="BX639" s="21" t="str">
        <f>IF([1]!BANCO10[[#This Row],[SOLUÇÃO]]=BX$1,[1]!BANCO10[[#This Row],[STATUS DA ETAPA]],"")</f>
        <v/>
      </c>
      <c r="BY639" s="21" t="str">
        <f>IF([1]!BANCO10[[#This Row],[SOLUÇÃO]]=BY$1,[1]!BANCO10[[#This Row],[STATUS DA ETAPA]],"")</f>
        <v/>
      </c>
      <c r="BZ639" s="21" t="str">
        <f>IF([1]!BANCO10[[#This Row],[SOLUÇÃO]]=BZ$1,[1]!BANCO10[[#This Row],[STATUS DA ETAPA]],"")</f>
        <v/>
      </c>
      <c r="CA639" s="21" t="str">
        <f>IF([1]!BANCO10[[#This Row],[SOLUÇÃO]]=CA$1,[1]!BANCO10[[#This Row],[STATUS DA ETAPA]],"")</f>
        <v>AGUARDANDO ACEITE</v>
      </c>
      <c r="CB639" s="21" t="str">
        <f>IF([1]!BANCO10[[#This Row],[SOLUÇÃO]]=CB$1,[1]!BANCO10[[#This Row],[STATUS DA ETAPA]],"")</f>
        <v/>
      </c>
      <c r="CC639" s="21" t="str">
        <f>IF([1]!BANCO10[[#This Row],[SOLUÇÃO]]=CC$1,[1]!BANCO10[[#This Row],[STATUS DA ETAPA]],"")</f>
        <v/>
      </c>
      <c r="CD639" s="21" t="str">
        <f>IF([1]!BANCO10[[#This Row],[SOLUÇÃO]]=CD$1,[1]!BANCO10[[#This Row],[STATUS DA ETAPA]],"")</f>
        <v/>
      </c>
      <c r="CE639" s="21" t="str">
        <f>IF([1]!BANCO10[[#This Row],[SOLUÇÃO]]=CE$1,[1]!BANCO10[[#This Row],[STATUS DA ETAPA]],"")</f>
        <v/>
      </c>
      <c r="CF639" s="21" t="str">
        <f>IF([1]!BANCO10[[#This Row],[SOLUÇÃO]]=CF$1,[1]!BANCO10[[#This Row],[STATUS DA ETAPA]],"")</f>
        <v/>
      </c>
      <c r="CG639" s="21" t="str">
        <f>IF([1]!BANCO10[[#This Row],[SOLUÇÃO]]=CG$1,[1]!BANCO10[[#This Row],[STATUS DA ETAPA]],"")</f>
        <v/>
      </c>
      <c r="CH639" s="21" t="str">
        <f>IF([1]!BANCO10[[#This Row],[SOLUÇÃO]]=CH$1,[1]!BANCO10[[#This Row],[STATUS DA ETAPA]],"")</f>
        <v/>
      </c>
      <c r="CI639" s="21" t="str">
        <f>IF([1]!BANCO10[[#This Row],[SOLUÇÃO]]=CI$1,[1]!BANCO10[[#This Row],[STATUS DA ETAPA]],"")</f>
        <v/>
      </c>
      <c r="CJ639" s="21" t="str">
        <f>IF([1]!BANCO10[[#This Row],[SOLUÇÃO]]=CJ$1,[1]!BANCO10[[#This Row],[STATUS DA ETAPA]],"")</f>
        <v/>
      </c>
      <c r="CK639" s="21" t="str">
        <f>IF([1]!BANCO10[[#This Row],[SOLUÇÃO]]=CK$1,[1]!BANCO10[[#This Row],[STATUS DA ETAPA]],"")</f>
        <v/>
      </c>
      <c r="CL639" s="21" t="str">
        <f>IF([1]!BANCO10[[#This Row],[SOLUÇÃO]]=CL$1,[1]!BANCO10[[#This Row],[STATUS DA ETAPA]],"")</f>
        <v/>
      </c>
      <c r="CM639" s="21" t="str">
        <f>IF([1]!BANCO10[[#This Row],[SOLUÇÃO]]=CM$1,[1]!BANCO10[[#This Row],[STATUS DA ETAPA]],"")</f>
        <v/>
      </c>
      <c r="CN639" s="21" t="str">
        <f>IF([1]!BANCO10[[#This Row],[SOLUÇÃO]]=CN$1,[1]!BANCO10[[#This Row],[STATUS DA ETAPA]],"")</f>
        <v/>
      </c>
      <c r="CO639" s="21" t="str">
        <f>IF([1]!BANCO10[[#This Row],[SOLUÇÃO]]=CO$1,[1]!BANCO10[[#This Row],[STATUS DA ETAPA]],"")</f>
        <v/>
      </c>
      <c r="CP639" s="21" t="str">
        <f>IF([1]!BANCO10[[#This Row],[SOLUÇÃO]]=CP$1,[1]!BANCO10[[#This Row],[STATUS DA ETAPA]],"")</f>
        <v/>
      </c>
      <c r="CQ639" s="21" t="str">
        <f>IF([1]!BANCO10[[#This Row],[SOLUÇÃO]]=CQ$1,[1]!BANCO10[[#This Row],[STATUS DA ETAPA]],"")</f>
        <v/>
      </c>
      <c r="CR639" s="21" t="str">
        <f>IF([1]!BANCO10[[#This Row],[SOLUÇÃO]]=CR$1,[1]!BANCO10[[#This Row],[STATUS DA ETAPA]],"")</f>
        <v/>
      </c>
      <c r="CS639" s="21" t="str">
        <f>IF([1]!BANCO10[[#This Row],[SOLUÇÃO]]=CS$1,[1]!BANCO10[[#This Row],[STATUS DA ETAPA]],"")</f>
        <v/>
      </c>
      <c r="CT639" s="21" t="str">
        <f>IF([1]!BANCO10[[#This Row],[SOLUÇÃO]]=CT$1,[1]!BANCO10[[#This Row],[STATUS DA ETAPA]],"")</f>
        <v/>
      </c>
      <c r="CU639" s="21" t="str">
        <f>IF([1]!BANCO10[[#This Row],[SOLUÇÃO]]=CU$1,[1]!BANCO10[[#This Row],[STATUS DA ETAPA]],"")</f>
        <v/>
      </c>
      <c r="CV639" s="21" t="str">
        <f>IF([1]!BANCO10[[#This Row],[SOLUÇÃO]]=CV$1,[1]!BANCO10[[#This Row],[STATUS DA ETAPA]],"")</f>
        <v/>
      </c>
    </row>
    <row r="640" spans="1:100">
      <c r="A640" s="44" t="s">
        <v>1</v>
      </c>
      <c r="B640" s="44"/>
      <c r="C640" s="44" t="s">
        <v>1</v>
      </c>
      <c r="D640" s="44"/>
      <c r="E640" s="44" t="s">
        <v>1</v>
      </c>
      <c r="F640" s="44"/>
      <c r="G640" s="44" t="s">
        <v>1</v>
      </c>
      <c r="H640" s="44"/>
      <c r="I640" s="45" t="s">
        <v>1</v>
      </c>
      <c r="J640" s="46"/>
      <c r="K640" s="45" t="s">
        <v>1</v>
      </c>
      <c r="L640" s="33"/>
      <c r="M640" s="45" t="s">
        <v>1</v>
      </c>
      <c r="N640" s="33"/>
      <c r="O640" s="44" t="s">
        <v>2</v>
      </c>
      <c r="P640" s="44">
        <v>44746</v>
      </c>
      <c r="Q640" s="44" t="s">
        <v>0</v>
      </c>
      <c r="R640" s="44"/>
      <c r="S640" s="44" t="s">
        <v>1</v>
      </c>
      <c r="T640" s="44"/>
      <c r="U640" s="44" t="s">
        <v>1</v>
      </c>
      <c r="V640" s="44"/>
      <c r="W640" s="44" t="s">
        <v>1</v>
      </c>
      <c r="X640" s="44"/>
      <c r="Y640" s="44" t="s">
        <v>1</v>
      </c>
      <c r="Z640" s="44"/>
      <c r="AA640" s="44" t="s">
        <v>1</v>
      </c>
      <c r="AB640" s="44"/>
      <c r="AC640" s="84">
        <v>44741</v>
      </c>
      <c r="AD640" s="83">
        <v>44926</v>
      </c>
      <c r="AE640" s="40" t="s">
        <v>1</v>
      </c>
      <c r="AF640" s="40" t="s">
        <v>1</v>
      </c>
      <c r="AG640" s="40" t="s">
        <v>5</v>
      </c>
      <c r="AH640" s="36" t="s">
        <v>1</v>
      </c>
      <c r="AI640" s="49">
        <v>0</v>
      </c>
      <c r="AJ640" s="36" t="s">
        <v>1</v>
      </c>
      <c r="AK640" s="10" t="s">
        <v>1</v>
      </c>
      <c r="AL640" s="36" t="s">
        <v>1</v>
      </c>
      <c r="AM640" s="36" t="s">
        <v>1</v>
      </c>
      <c r="AN640" s="35" t="s">
        <v>1</v>
      </c>
      <c r="AO640" s="35" t="s">
        <v>1</v>
      </c>
      <c r="AP640" s="35" t="s">
        <v>1</v>
      </c>
      <c r="AQ640" s="35" t="s">
        <v>1</v>
      </c>
      <c r="AR640" s="82" t="s">
        <v>1</v>
      </c>
      <c r="AS640" s="33"/>
      <c r="AT640" s="30"/>
      <c r="AU640" s="55"/>
      <c r="AV640" s="30"/>
      <c r="AW640" s="55"/>
      <c r="AX640" s="30" t="s">
        <v>1</v>
      </c>
      <c r="AY640" s="55"/>
      <c r="AZ640" s="30" t="s">
        <v>1</v>
      </c>
      <c r="BA640" s="85"/>
      <c r="BB640" s="120" t="s">
        <v>19</v>
      </c>
      <c r="BC640" s="25"/>
      <c r="BD640" s="24" t="s">
        <v>11</v>
      </c>
      <c r="BE640" s="24" t="s">
        <v>11</v>
      </c>
      <c r="BF640" s="79" t="s">
        <v>80</v>
      </c>
      <c r="BG640" s="79" t="s">
        <v>248</v>
      </c>
      <c r="BH640" s="80" t="s">
        <v>234</v>
      </c>
      <c r="BI640" s="79"/>
      <c r="BJ640" s="54" t="s">
        <v>11</v>
      </c>
      <c r="BK640" s="78" t="s">
        <v>11</v>
      </c>
      <c r="BL640" s="69" t="s">
        <v>11</v>
      </c>
      <c r="BM640" s="78" t="s">
        <v>11</v>
      </c>
      <c r="BN640" s="78" t="s">
        <v>11</v>
      </c>
      <c r="BO640" s="78" t="s">
        <v>11</v>
      </c>
      <c r="BP640" s="78" t="s">
        <v>11</v>
      </c>
      <c r="BQ640" s="21">
        <f>YEAR([1]!BANCO10[[#This Row],[DATA INÍCIO]])</f>
        <v>2022</v>
      </c>
      <c r="BR640" s="21">
        <f>MONTH([1]!BANCO10[[#This Row],[DATA INÍCIO]])</f>
        <v>6</v>
      </c>
      <c r="BS640" s="21" t="e">
        <f>CONCATENATE(#REF!,#REF!)</f>
        <v>#REF!</v>
      </c>
      <c r="BT640" s="21"/>
      <c r="BU640" s="21" t="s">
        <v>249</v>
      </c>
      <c r="BV640" s="21" t="str">
        <f>IF([1]!BANCO10[[#This Row],[SOLUÇÃO]]=BV$1,[1]!BANCO10[[#This Row],[STATUS DA ETAPA]],"")</f>
        <v>CONCLUÍDO</v>
      </c>
      <c r="BW640" s="21" t="str">
        <f>IF([1]!BANCO10[[#This Row],[SOLUÇÃO]]=BW$1,[1]!BANCO10[[#This Row],[STATUS DA ETAPA]],"")</f>
        <v/>
      </c>
      <c r="BX640" s="21" t="str">
        <f>IF([1]!BANCO10[[#This Row],[SOLUÇÃO]]=BX$1,[1]!BANCO10[[#This Row],[STATUS DA ETAPA]],"")</f>
        <v/>
      </c>
      <c r="BY640" s="21" t="str">
        <f>IF([1]!BANCO10[[#This Row],[SOLUÇÃO]]=BY$1,[1]!BANCO10[[#This Row],[STATUS DA ETAPA]],"")</f>
        <v/>
      </c>
      <c r="BZ640" s="21" t="str">
        <f>IF([1]!BANCO10[[#This Row],[SOLUÇÃO]]=BZ$1,[1]!BANCO10[[#This Row],[STATUS DA ETAPA]],"")</f>
        <v/>
      </c>
      <c r="CA640" s="21" t="str">
        <f>IF([1]!BANCO10[[#This Row],[SOLUÇÃO]]=CA$1,[1]!BANCO10[[#This Row],[STATUS DA ETAPA]],"")</f>
        <v/>
      </c>
      <c r="CB640" s="21" t="str">
        <f>IF([1]!BANCO10[[#This Row],[SOLUÇÃO]]=CB$1,[1]!BANCO10[[#This Row],[STATUS DA ETAPA]],"")</f>
        <v/>
      </c>
      <c r="CC640" s="21" t="str">
        <f>IF([1]!BANCO10[[#This Row],[SOLUÇÃO]]=CC$1,[1]!BANCO10[[#This Row],[STATUS DA ETAPA]],"")</f>
        <v/>
      </c>
      <c r="CD640" s="21" t="str">
        <f>IF([1]!BANCO10[[#This Row],[SOLUÇÃO]]=CD$1,[1]!BANCO10[[#This Row],[STATUS DA ETAPA]],"")</f>
        <v/>
      </c>
      <c r="CE640" s="21" t="str">
        <f>IF([1]!BANCO10[[#This Row],[SOLUÇÃO]]=CE$1,[1]!BANCO10[[#This Row],[STATUS DA ETAPA]],"")</f>
        <v/>
      </c>
      <c r="CF640" s="21" t="str">
        <f>IF([1]!BANCO10[[#This Row],[SOLUÇÃO]]=CF$1,[1]!BANCO10[[#This Row],[STATUS DA ETAPA]],"")</f>
        <v/>
      </c>
      <c r="CG640" s="21" t="str">
        <f>IF([1]!BANCO10[[#This Row],[SOLUÇÃO]]=CG$1,[1]!BANCO10[[#This Row],[STATUS DA ETAPA]],"")</f>
        <v/>
      </c>
      <c r="CH640" s="21" t="str">
        <f>IF([1]!BANCO10[[#This Row],[SOLUÇÃO]]=CH$1,[1]!BANCO10[[#This Row],[STATUS DA ETAPA]],"")</f>
        <v/>
      </c>
      <c r="CI640" s="21" t="str">
        <f>IF([1]!BANCO10[[#This Row],[SOLUÇÃO]]=CI$1,[1]!BANCO10[[#This Row],[STATUS DA ETAPA]],"")</f>
        <v/>
      </c>
      <c r="CJ640" s="21" t="str">
        <f>IF([1]!BANCO10[[#This Row],[SOLUÇÃO]]=CJ$1,[1]!BANCO10[[#This Row],[STATUS DA ETAPA]],"")</f>
        <v/>
      </c>
      <c r="CK640" s="21" t="str">
        <f>IF([1]!BANCO10[[#This Row],[SOLUÇÃO]]=CK$1,[1]!BANCO10[[#This Row],[STATUS DA ETAPA]],"")</f>
        <v/>
      </c>
      <c r="CL640" s="22" t="str">
        <f>IF([1]!BANCO10[[#This Row],[SOLUÇÃO]]=CL$1,[1]!BANCO10[[#This Row],[STATUS DA ETAPA]],"")</f>
        <v/>
      </c>
      <c r="CM640" s="64" t="str">
        <f>IF([1]!BANCO10[[#This Row],[SOLUÇÃO]]=CM$1,[1]!BANCO10[[#This Row],[STATUS DA ETAPA]],"")</f>
        <v/>
      </c>
      <c r="CN640" s="64" t="str">
        <f>IF([1]!BANCO10[[#This Row],[SOLUÇÃO]]=CN$1,[1]!BANCO10[[#This Row],[STATUS DA ETAPA]],"")</f>
        <v/>
      </c>
      <c r="CO640" s="64" t="str">
        <f>IF([1]!BANCO10[[#This Row],[SOLUÇÃO]]=CO$1,[1]!BANCO10[[#This Row],[STATUS DA ETAPA]],"")</f>
        <v/>
      </c>
      <c r="CP640" s="64" t="str">
        <f>IF([1]!BANCO10[[#This Row],[SOLUÇÃO]]=CP$1,[1]!BANCO10[[#This Row],[STATUS DA ETAPA]],"")</f>
        <v/>
      </c>
      <c r="CQ640" s="64" t="str">
        <f>IF([1]!BANCO10[[#This Row],[SOLUÇÃO]]=CQ$1,[1]!BANCO10[[#This Row],[STATUS DA ETAPA]],"")</f>
        <v/>
      </c>
      <c r="CR640" s="64" t="str">
        <f>IF([1]!BANCO10[[#This Row],[SOLUÇÃO]]=CR$1,[1]!BANCO10[[#This Row],[STATUS DA ETAPA]],"")</f>
        <v/>
      </c>
      <c r="CS640" s="64" t="str">
        <f>IF([1]!BANCO10[[#This Row],[SOLUÇÃO]]=CS$1,[1]!BANCO10[[#This Row],[STATUS DA ETAPA]],"")</f>
        <v/>
      </c>
      <c r="CT640" s="64" t="str">
        <f>IF([1]!BANCO10[[#This Row],[SOLUÇÃO]]=CT$1,[1]!BANCO10[[#This Row],[STATUS DA ETAPA]],"")</f>
        <v/>
      </c>
      <c r="CU640" s="64" t="str">
        <f>IF([1]!BANCO10[[#This Row],[SOLUÇÃO]]=CU$1,[1]!BANCO10[[#This Row],[STATUS DA ETAPA]],"")</f>
        <v/>
      </c>
      <c r="CV640" s="64" t="str">
        <f>IF([1]!BANCO10[[#This Row],[SOLUÇÃO]]=CV$1,[1]!BANCO10[[#This Row],[STATUS DA ETAPA]],"")</f>
        <v/>
      </c>
    </row>
    <row r="641" spans="1:100">
      <c r="A641" s="44" t="s">
        <v>1</v>
      </c>
      <c r="B641" s="44"/>
      <c r="C641" s="44" t="s">
        <v>1</v>
      </c>
      <c r="D641" s="44"/>
      <c r="E641" s="44" t="s">
        <v>1</v>
      </c>
      <c r="F641" s="44"/>
      <c r="G641" s="44" t="s">
        <v>1</v>
      </c>
      <c r="H641" s="44"/>
      <c r="I641" s="45" t="s">
        <v>1</v>
      </c>
      <c r="J641" s="46"/>
      <c r="K641" s="45" t="s">
        <v>1</v>
      </c>
      <c r="L641" s="33"/>
      <c r="M641" s="45" t="s">
        <v>1</v>
      </c>
      <c r="N641" s="33"/>
      <c r="O641" s="44" t="s">
        <v>2</v>
      </c>
      <c r="P641" s="44">
        <v>44746</v>
      </c>
      <c r="Q641" s="44" t="s">
        <v>2</v>
      </c>
      <c r="R641" s="44">
        <v>45113</v>
      </c>
      <c r="S641" s="44" t="s">
        <v>2</v>
      </c>
      <c r="T641" s="44">
        <v>45118</v>
      </c>
      <c r="U641" s="44"/>
      <c r="V641" s="44"/>
      <c r="W641" s="44" t="s">
        <v>2</v>
      </c>
      <c r="X641" s="44"/>
      <c r="Y641" s="44" t="s">
        <v>2</v>
      </c>
      <c r="Z641" s="44">
        <v>44928</v>
      </c>
      <c r="AA641" s="44" t="s">
        <v>2</v>
      </c>
      <c r="AB641" s="44"/>
      <c r="AC641" s="84">
        <v>44936</v>
      </c>
      <c r="AD641" s="83">
        <v>45027</v>
      </c>
      <c r="AE641" s="40" t="s">
        <v>2</v>
      </c>
      <c r="AF641" s="40" t="s">
        <v>2</v>
      </c>
      <c r="AG641" s="40" t="s">
        <v>5</v>
      </c>
      <c r="AH641" s="36" t="s">
        <v>0</v>
      </c>
      <c r="AI641" s="49">
        <v>0</v>
      </c>
      <c r="AJ641" s="36"/>
      <c r="AK641" s="10"/>
      <c r="AL641" s="36" t="s">
        <v>22</v>
      </c>
      <c r="AM641" s="36" t="s">
        <v>1</v>
      </c>
      <c r="AN641" s="35" t="s">
        <v>1</v>
      </c>
      <c r="AO641" s="35" t="s">
        <v>1</v>
      </c>
      <c r="AP641" s="35" t="s">
        <v>2</v>
      </c>
      <c r="AQ641" s="35" t="s">
        <v>1</v>
      </c>
      <c r="AR641" s="33" t="s">
        <v>1</v>
      </c>
      <c r="AS641" s="33"/>
      <c r="AT641" s="30"/>
      <c r="AU641" s="55"/>
      <c r="AV641" s="30"/>
      <c r="AW641" s="55"/>
      <c r="AX641" s="30" t="s">
        <v>2</v>
      </c>
      <c r="AY641" s="55">
        <v>45054</v>
      </c>
      <c r="AZ641" s="30" t="s">
        <v>2</v>
      </c>
      <c r="BA641" s="85"/>
      <c r="BB641" s="39"/>
      <c r="BC641" s="25"/>
      <c r="BD641" s="24" t="s">
        <v>11</v>
      </c>
      <c r="BE641" s="24" t="s">
        <v>11</v>
      </c>
      <c r="BF641" s="79" t="s">
        <v>80</v>
      </c>
      <c r="BG641" s="79" t="s">
        <v>248</v>
      </c>
      <c r="BH641" s="80" t="s">
        <v>234</v>
      </c>
      <c r="BI641" s="79"/>
      <c r="BJ641" s="54" t="s">
        <v>11</v>
      </c>
      <c r="BK641" s="78" t="s">
        <v>11</v>
      </c>
      <c r="BL641" s="69">
        <v>45397</v>
      </c>
      <c r="BM641" s="78" t="s">
        <v>18</v>
      </c>
      <c r="BN641" s="78" t="s">
        <v>11</v>
      </c>
      <c r="BO641" s="78"/>
      <c r="BP641" s="78" t="s">
        <v>247</v>
      </c>
      <c r="BQ641" s="21">
        <f>YEAR([1]!BANCO10[[#This Row],[DATA INÍCIO]])</f>
        <v>2023</v>
      </c>
      <c r="BR641" s="21">
        <f>MONTH([1]!BANCO10[[#This Row],[DATA INÍCIO]])</f>
        <v>1</v>
      </c>
      <c r="BS641" s="21" t="e">
        <f>CONCATENATE(#REF!,#REF!)</f>
        <v>#REF!</v>
      </c>
      <c r="BT641" s="21"/>
      <c r="BU641" s="21" t="s">
        <v>246</v>
      </c>
      <c r="BV641" s="21" t="str">
        <f>IF([1]!BANCO10[[#This Row],[SOLUÇÃO]]=BV$1,[1]!BANCO10[[#This Row],[STATUS DA ETAPA]],"")</f>
        <v/>
      </c>
      <c r="BW641" s="21" t="str">
        <f>IF([1]!BANCO10[[#This Row],[SOLUÇÃO]]=BW$1,[1]!BANCO10[[#This Row],[STATUS DA ETAPA]],"")</f>
        <v/>
      </c>
      <c r="BX641" s="21" t="str">
        <f>IF([1]!BANCO10[[#This Row],[SOLUÇÃO]]=BX$1,[1]!BANCO10[[#This Row],[STATUS DA ETAPA]],"")</f>
        <v/>
      </c>
      <c r="BY641" s="21" t="str">
        <f>IF([1]!BANCO10[[#This Row],[SOLUÇÃO]]=BY$1,[1]!BANCO10[[#This Row],[STATUS DA ETAPA]],"")</f>
        <v/>
      </c>
      <c r="BZ641" s="21" t="str">
        <f>IF([1]!BANCO10[[#This Row],[SOLUÇÃO]]=BZ$1,[1]!BANCO10[[#This Row],[STATUS DA ETAPA]],"")</f>
        <v/>
      </c>
      <c r="CA641" s="21" t="str">
        <f>IF([1]!BANCO10[[#This Row],[SOLUÇÃO]]=CA$1,[1]!BANCO10[[#This Row],[STATUS DA ETAPA]],"")</f>
        <v>CONCLUÍDO</v>
      </c>
      <c r="CB641" s="21" t="str">
        <f>IF([1]!BANCO10[[#This Row],[SOLUÇÃO]]=CB$1,[1]!BANCO10[[#This Row],[STATUS DA ETAPA]],"")</f>
        <v/>
      </c>
      <c r="CC641" s="21" t="str">
        <f>IF([1]!BANCO10[[#This Row],[SOLUÇÃO]]=CC$1,[1]!BANCO10[[#This Row],[STATUS DA ETAPA]],"")</f>
        <v/>
      </c>
      <c r="CD641" s="21" t="str">
        <f>IF([1]!BANCO10[[#This Row],[SOLUÇÃO]]=CD$1,[1]!BANCO10[[#This Row],[STATUS DA ETAPA]],"")</f>
        <v/>
      </c>
      <c r="CE641" s="21" t="str">
        <f>IF([1]!BANCO10[[#This Row],[SOLUÇÃO]]=CE$1,[1]!BANCO10[[#This Row],[STATUS DA ETAPA]],"")</f>
        <v/>
      </c>
      <c r="CF641" s="21" t="str">
        <f>IF([1]!BANCO10[[#This Row],[SOLUÇÃO]]=CF$1,[1]!BANCO10[[#This Row],[STATUS DA ETAPA]],"")</f>
        <v/>
      </c>
      <c r="CG641" s="21" t="str">
        <f>IF([1]!BANCO10[[#This Row],[SOLUÇÃO]]=CG$1,[1]!BANCO10[[#This Row],[STATUS DA ETAPA]],"")</f>
        <v/>
      </c>
      <c r="CH641" s="21" t="str">
        <f>IF([1]!BANCO10[[#This Row],[SOLUÇÃO]]=CH$1,[1]!BANCO10[[#This Row],[STATUS DA ETAPA]],"")</f>
        <v/>
      </c>
      <c r="CI641" s="21" t="str">
        <f>IF([1]!BANCO10[[#This Row],[SOLUÇÃO]]=CI$1,[1]!BANCO10[[#This Row],[STATUS DA ETAPA]],"")</f>
        <v/>
      </c>
      <c r="CJ641" s="21" t="str">
        <f>IF([1]!BANCO10[[#This Row],[SOLUÇÃO]]=CJ$1,[1]!BANCO10[[#This Row],[STATUS DA ETAPA]],"")</f>
        <v/>
      </c>
      <c r="CK641" s="21" t="str">
        <f>IF([1]!BANCO10[[#This Row],[SOLUÇÃO]]=CK$1,[1]!BANCO10[[#This Row],[STATUS DA ETAPA]],"")</f>
        <v/>
      </c>
      <c r="CL641" s="22" t="str">
        <f>IF([1]!BANCO10[[#This Row],[SOLUÇÃO]]=CL$1,[1]!BANCO10[[#This Row],[STATUS DA ETAPA]],"")</f>
        <v/>
      </c>
      <c r="CM641" s="64" t="str">
        <f>IF([1]!BANCO10[[#This Row],[SOLUÇÃO]]=CM$1,[1]!BANCO10[[#This Row],[STATUS DA ETAPA]],"")</f>
        <v/>
      </c>
      <c r="CN641" s="64" t="str">
        <f>IF([1]!BANCO10[[#This Row],[SOLUÇÃO]]=CN$1,[1]!BANCO10[[#This Row],[STATUS DA ETAPA]],"")</f>
        <v/>
      </c>
      <c r="CO641" s="64" t="str">
        <f>IF([1]!BANCO10[[#This Row],[SOLUÇÃO]]=CO$1,[1]!BANCO10[[#This Row],[STATUS DA ETAPA]],"")</f>
        <v/>
      </c>
      <c r="CP641" s="64" t="str">
        <f>IF([1]!BANCO10[[#This Row],[SOLUÇÃO]]=CP$1,[1]!BANCO10[[#This Row],[STATUS DA ETAPA]],"")</f>
        <v/>
      </c>
      <c r="CQ641" s="64" t="str">
        <f>IF([1]!BANCO10[[#This Row],[SOLUÇÃO]]=CQ$1,[1]!BANCO10[[#This Row],[STATUS DA ETAPA]],"")</f>
        <v/>
      </c>
      <c r="CR641" s="64" t="str">
        <f>IF([1]!BANCO10[[#This Row],[SOLUÇÃO]]=CR$1,[1]!BANCO10[[#This Row],[STATUS DA ETAPA]],"")</f>
        <v/>
      </c>
      <c r="CS641" s="64" t="str">
        <f>IF([1]!BANCO10[[#This Row],[SOLUÇÃO]]=CS$1,[1]!BANCO10[[#This Row],[STATUS DA ETAPA]],"")</f>
        <v/>
      </c>
      <c r="CT641" s="64" t="str">
        <f>IF([1]!BANCO10[[#This Row],[SOLUÇÃO]]=CT$1,[1]!BANCO10[[#This Row],[STATUS DA ETAPA]],"")</f>
        <v/>
      </c>
      <c r="CU641" s="64" t="str">
        <f>IF([1]!BANCO10[[#This Row],[SOLUÇÃO]]=CU$1,[1]!BANCO10[[#This Row],[STATUS DA ETAPA]],"")</f>
        <v/>
      </c>
      <c r="CV641" s="64" t="str">
        <f>IF([1]!BANCO10[[#This Row],[SOLUÇÃO]]=CV$1,[1]!BANCO10[[#This Row],[STATUS DA ETAPA]],"")</f>
        <v/>
      </c>
    </row>
    <row r="642" spans="1:100">
      <c r="A642" s="44" t="s">
        <v>1</v>
      </c>
      <c r="B642" s="44"/>
      <c r="C642" s="44" t="s">
        <v>1</v>
      </c>
      <c r="D642" s="44"/>
      <c r="E642" s="44" t="s">
        <v>1</v>
      </c>
      <c r="F642" s="44"/>
      <c r="G642" s="44" t="s">
        <v>1</v>
      </c>
      <c r="H642" s="44"/>
      <c r="I642" s="45" t="s">
        <v>1</v>
      </c>
      <c r="J642" s="46"/>
      <c r="K642" s="45" t="s">
        <v>1</v>
      </c>
      <c r="L642" s="33"/>
      <c r="M642" s="45" t="s">
        <v>1</v>
      </c>
      <c r="N642" s="33"/>
      <c r="O642" s="44" t="s">
        <v>2</v>
      </c>
      <c r="P642" s="44">
        <v>44972</v>
      </c>
      <c r="Q642" s="44" t="s">
        <v>0</v>
      </c>
      <c r="R642" s="44"/>
      <c r="S642" s="44" t="s">
        <v>1</v>
      </c>
      <c r="T642" s="44"/>
      <c r="U642" s="44" t="s">
        <v>1</v>
      </c>
      <c r="V642" s="44"/>
      <c r="W642" s="44" t="s">
        <v>1</v>
      </c>
      <c r="X642" s="44"/>
      <c r="Y642" s="44" t="s">
        <v>1</v>
      </c>
      <c r="Z642" s="44"/>
      <c r="AA642" s="44" t="s">
        <v>1</v>
      </c>
      <c r="AB642" s="44"/>
      <c r="AC642" s="84">
        <v>44971</v>
      </c>
      <c r="AD642" s="83">
        <v>44971</v>
      </c>
      <c r="AE642" s="40" t="s">
        <v>1</v>
      </c>
      <c r="AF642" s="40" t="s">
        <v>1</v>
      </c>
      <c r="AG642" s="40" t="s">
        <v>5</v>
      </c>
      <c r="AH642" s="36" t="s">
        <v>1</v>
      </c>
      <c r="AI642" s="49">
        <v>0</v>
      </c>
      <c r="AJ642" s="36" t="s">
        <v>1</v>
      </c>
      <c r="AK642" s="10" t="s">
        <v>1</v>
      </c>
      <c r="AL642" s="36" t="s">
        <v>1</v>
      </c>
      <c r="AM642" s="36" t="s">
        <v>1</v>
      </c>
      <c r="AN642" s="35" t="s">
        <v>1</v>
      </c>
      <c r="AO642" s="35" t="s">
        <v>1</v>
      </c>
      <c r="AP642" s="35" t="s">
        <v>1</v>
      </c>
      <c r="AQ642" s="35" t="s">
        <v>1</v>
      </c>
      <c r="AR642" s="82" t="s">
        <v>1</v>
      </c>
      <c r="AS642" s="33"/>
      <c r="AT642" s="30"/>
      <c r="AU642" s="55"/>
      <c r="AV642" s="30"/>
      <c r="AW642" s="55"/>
      <c r="AX642" s="30" t="s">
        <v>1</v>
      </c>
      <c r="AY642" s="55"/>
      <c r="AZ642" s="30" t="s">
        <v>1</v>
      </c>
      <c r="BA642" s="85"/>
      <c r="BB642" s="39"/>
      <c r="BC642" s="39"/>
      <c r="BD642" s="24" t="s">
        <v>11</v>
      </c>
      <c r="BE642" s="24" t="s">
        <v>11</v>
      </c>
      <c r="BF642" s="79" t="s">
        <v>21</v>
      </c>
      <c r="BG642" s="79" t="s">
        <v>20</v>
      </c>
      <c r="BH642" s="80" t="s">
        <v>234</v>
      </c>
      <c r="BI642" s="79"/>
      <c r="BJ642" s="54" t="s">
        <v>11</v>
      </c>
      <c r="BK642" s="78" t="s">
        <v>11</v>
      </c>
      <c r="BL642" s="69" t="s">
        <v>11</v>
      </c>
      <c r="BM642" s="78" t="s">
        <v>11</v>
      </c>
      <c r="BN642" s="78" t="s">
        <v>11</v>
      </c>
      <c r="BO642" s="78" t="s">
        <v>11</v>
      </c>
      <c r="BP642" s="78" t="s">
        <v>11</v>
      </c>
      <c r="BQ642" s="21">
        <f>YEAR([1]!BANCO10[[#This Row],[DATA INÍCIO]])</f>
        <v>2023</v>
      </c>
      <c r="BR642" s="21">
        <f>MONTH([1]!BANCO10[[#This Row],[DATA INÍCIO]])</f>
        <v>2</v>
      </c>
      <c r="BS642" s="21" t="e">
        <f>CONCATENATE(#REF!,#REF!)</f>
        <v>#REF!</v>
      </c>
      <c r="BT642" s="21"/>
      <c r="BU642" s="21" t="s">
        <v>245</v>
      </c>
      <c r="BV642" s="21" t="str">
        <f>IF([1]!BANCO10[[#This Row],[SOLUÇÃO]]=BV$1,[1]!BANCO10[[#This Row],[STATUS DA ETAPA]],"")</f>
        <v>CONCLUÍDO</v>
      </c>
      <c r="BW642" s="21" t="str">
        <f>IF([1]!BANCO10[[#This Row],[SOLUÇÃO]]=BW$1,[1]!BANCO10[[#This Row],[STATUS DA ETAPA]],"")</f>
        <v/>
      </c>
      <c r="BX642" s="21" t="str">
        <f>IF([1]!BANCO10[[#This Row],[SOLUÇÃO]]=BX$1,[1]!BANCO10[[#This Row],[STATUS DA ETAPA]],"")</f>
        <v/>
      </c>
      <c r="BY642" s="21" t="str">
        <f>IF([1]!BANCO10[[#This Row],[SOLUÇÃO]]=BY$1,[1]!BANCO10[[#This Row],[STATUS DA ETAPA]],"")</f>
        <v/>
      </c>
      <c r="BZ642" s="21" t="str">
        <f>IF([1]!BANCO10[[#This Row],[SOLUÇÃO]]=BZ$1,[1]!BANCO10[[#This Row],[STATUS DA ETAPA]],"")</f>
        <v/>
      </c>
      <c r="CA642" s="21" t="str">
        <f>IF([1]!BANCO10[[#This Row],[SOLUÇÃO]]=CA$1,[1]!BANCO10[[#This Row],[STATUS DA ETAPA]],"")</f>
        <v/>
      </c>
      <c r="CB642" s="21" t="str">
        <f>IF([1]!BANCO10[[#This Row],[SOLUÇÃO]]=CB$1,[1]!BANCO10[[#This Row],[STATUS DA ETAPA]],"")</f>
        <v/>
      </c>
      <c r="CC642" s="21" t="str">
        <f>IF([1]!BANCO10[[#This Row],[SOLUÇÃO]]=CC$1,[1]!BANCO10[[#This Row],[STATUS DA ETAPA]],"")</f>
        <v/>
      </c>
      <c r="CD642" s="21" t="str">
        <f>IF([1]!BANCO10[[#This Row],[SOLUÇÃO]]=CD$1,[1]!BANCO10[[#This Row],[STATUS DA ETAPA]],"")</f>
        <v/>
      </c>
      <c r="CE642" s="21" t="str">
        <f>IF([1]!BANCO10[[#This Row],[SOLUÇÃO]]=CE$1,[1]!BANCO10[[#This Row],[STATUS DA ETAPA]],"")</f>
        <v/>
      </c>
      <c r="CF642" s="21" t="str">
        <f>IF([1]!BANCO10[[#This Row],[SOLUÇÃO]]=CF$1,[1]!BANCO10[[#This Row],[STATUS DA ETAPA]],"")</f>
        <v/>
      </c>
      <c r="CG642" s="21" t="str">
        <f>IF([1]!BANCO10[[#This Row],[SOLUÇÃO]]=CG$1,[1]!BANCO10[[#This Row],[STATUS DA ETAPA]],"")</f>
        <v/>
      </c>
      <c r="CH642" s="21" t="str">
        <f>IF([1]!BANCO10[[#This Row],[SOLUÇÃO]]=CH$1,[1]!BANCO10[[#This Row],[STATUS DA ETAPA]],"")</f>
        <v/>
      </c>
      <c r="CI642" s="21" t="str">
        <f>IF([1]!BANCO10[[#This Row],[SOLUÇÃO]]=CI$1,[1]!BANCO10[[#This Row],[STATUS DA ETAPA]],"")</f>
        <v/>
      </c>
      <c r="CJ642" s="21" t="str">
        <f>IF([1]!BANCO10[[#This Row],[SOLUÇÃO]]=CJ$1,[1]!BANCO10[[#This Row],[STATUS DA ETAPA]],"")</f>
        <v/>
      </c>
      <c r="CK642" s="21" t="str">
        <f>IF([1]!BANCO10[[#This Row],[SOLUÇÃO]]=CK$1,[1]!BANCO10[[#This Row],[STATUS DA ETAPA]],"")</f>
        <v/>
      </c>
      <c r="CL642" s="22" t="str">
        <f>IF([1]!BANCO10[[#This Row],[SOLUÇÃO]]=CL$1,[1]!BANCO10[[#This Row],[STATUS DA ETAPA]],"")</f>
        <v/>
      </c>
      <c r="CM642" s="64" t="str">
        <f>IF([1]!BANCO10[[#This Row],[SOLUÇÃO]]=CM$1,[1]!BANCO10[[#This Row],[STATUS DA ETAPA]],"")</f>
        <v/>
      </c>
      <c r="CN642" s="64" t="str">
        <f>IF([1]!BANCO10[[#This Row],[SOLUÇÃO]]=CN$1,[1]!BANCO10[[#This Row],[STATUS DA ETAPA]],"")</f>
        <v/>
      </c>
      <c r="CO642" s="64" t="str">
        <f>IF([1]!BANCO10[[#This Row],[SOLUÇÃO]]=CO$1,[1]!BANCO10[[#This Row],[STATUS DA ETAPA]],"")</f>
        <v/>
      </c>
      <c r="CP642" s="64" t="str">
        <f>IF([1]!BANCO10[[#This Row],[SOLUÇÃO]]=CP$1,[1]!BANCO10[[#This Row],[STATUS DA ETAPA]],"")</f>
        <v/>
      </c>
      <c r="CQ642" s="64" t="str">
        <f>IF([1]!BANCO10[[#This Row],[SOLUÇÃO]]=CQ$1,[1]!BANCO10[[#This Row],[STATUS DA ETAPA]],"")</f>
        <v/>
      </c>
      <c r="CR642" s="64" t="str">
        <f>IF([1]!BANCO10[[#This Row],[SOLUÇÃO]]=CR$1,[1]!BANCO10[[#This Row],[STATUS DA ETAPA]],"")</f>
        <v/>
      </c>
      <c r="CS642" s="64" t="str">
        <f>IF([1]!BANCO10[[#This Row],[SOLUÇÃO]]=CS$1,[1]!BANCO10[[#This Row],[STATUS DA ETAPA]],"")</f>
        <v/>
      </c>
      <c r="CT642" s="64" t="str">
        <f>IF([1]!BANCO10[[#This Row],[SOLUÇÃO]]=CT$1,[1]!BANCO10[[#This Row],[STATUS DA ETAPA]],"")</f>
        <v/>
      </c>
      <c r="CU642" s="64" t="str">
        <f>IF([1]!BANCO10[[#This Row],[SOLUÇÃO]]=CU$1,[1]!BANCO10[[#This Row],[STATUS DA ETAPA]],"")</f>
        <v/>
      </c>
      <c r="CV642" s="64" t="str">
        <f>IF([1]!BANCO10[[#This Row],[SOLUÇÃO]]=CV$1,[1]!BANCO10[[#This Row],[STATUS DA ETAPA]],"")</f>
        <v/>
      </c>
    </row>
    <row r="643" spans="1:100">
      <c r="A643" s="44" t="s">
        <v>1</v>
      </c>
      <c r="B643" s="44"/>
      <c r="C643" s="44" t="s">
        <v>1</v>
      </c>
      <c r="D643" s="44"/>
      <c r="E643" s="44" t="s">
        <v>1</v>
      </c>
      <c r="F643" s="44"/>
      <c r="G643" s="44" t="s">
        <v>1</v>
      </c>
      <c r="H643" s="44"/>
      <c r="I643" s="45" t="s">
        <v>1</v>
      </c>
      <c r="J643" s="46"/>
      <c r="K643" s="45" t="s">
        <v>1</v>
      </c>
      <c r="L643" s="33"/>
      <c r="M643" s="45" t="s">
        <v>1</v>
      </c>
      <c r="N643" s="33"/>
      <c r="O643" s="44" t="s">
        <v>2</v>
      </c>
      <c r="P643" s="44">
        <v>44927</v>
      </c>
      <c r="Q643" s="44"/>
      <c r="R643" s="44"/>
      <c r="S643" s="44" t="s">
        <v>2</v>
      </c>
      <c r="T643" s="44">
        <v>44980</v>
      </c>
      <c r="U643" s="44"/>
      <c r="V643" s="44"/>
      <c r="W643" s="44" t="s">
        <v>2</v>
      </c>
      <c r="X643" s="44"/>
      <c r="Y643" s="44" t="s">
        <v>2</v>
      </c>
      <c r="Z643" s="44">
        <v>44980</v>
      </c>
      <c r="AA643" s="44" t="s">
        <v>2</v>
      </c>
      <c r="AB643" s="44"/>
      <c r="AC643" s="84">
        <v>45055</v>
      </c>
      <c r="AD643" s="83">
        <v>45105</v>
      </c>
      <c r="AE643" s="40" t="s">
        <v>2</v>
      </c>
      <c r="AF643" s="40" t="s">
        <v>2</v>
      </c>
      <c r="AG643" s="40" t="s">
        <v>5</v>
      </c>
      <c r="AH643" s="36" t="s">
        <v>0</v>
      </c>
      <c r="AI643" s="49">
        <v>0</v>
      </c>
      <c r="AJ643" s="36" t="s">
        <v>6</v>
      </c>
      <c r="AK643" s="10"/>
      <c r="AL643" s="36" t="s">
        <v>61</v>
      </c>
      <c r="AM643" s="36"/>
      <c r="AN643" s="35" t="s">
        <v>1</v>
      </c>
      <c r="AO643" s="35" t="s">
        <v>1</v>
      </c>
      <c r="AP643" s="35" t="s">
        <v>2</v>
      </c>
      <c r="AQ643" s="35" t="s">
        <v>1</v>
      </c>
      <c r="AR643" s="33" t="s">
        <v>1</v>
      </c>
      <c r="AS643" s="33"/>
      <c r="AT643" s="30"/>
      <c r="AU643" s="55"/>
      <c r="AV643" s="30"/>
      <c r="AW643" s="55"/>
      <c r="AX643" s="30" t="s">
        <v>2</v>
      </c>
      <c r="AY643" s="55">
        <v>45133</v>
      </c>
      <c r="AZ643" s="30" t="s">
        <v>0</v>
      </c>
      <c r="BA643" s="85"/>
      <c r="BB643" s="120"/>
      <c r="BC643" s="25"/>
      <c r="BD643" s="24" t="s">
        <v>11</v>
      </c>
      <c r="BE643" s="24" t="s">
        <v>11</v>
      </c>
      <c r="BF643" s="79" t="s">
        <v>21</v>
      </c>
      <c r="BG643" s="79" t="s">
        <v>20</v>
      </c>
      <c r="BH643" s="80" t="s">
        <v>234</v>
      </c>
      <c r="BI643" s="79"/>
      <c r="BJ643" s="54" t="s">
        <v>11</v>
      </c>
      <c r="BK643" s="78" t="s">
        <v>11</v>
      </c>
      <c r="BL643" s="69">
        <v>45391</v>
      </c>
      <c r="BM643" s="78" t="s">
        <v>18</v>
      </c>
      <c r="BN643" s="78" t="s">
        <v>11</v>
      </c>
      <c r="BO643" s="78"/>
      <c r="BP643" s="78" t="s">
        <v>188</v>
      </c>
      <c r="BQ643" s="21">
        <f>YEAR([1]!BANCO10[[#This Row],[DATA INÍCIO]])</f>
        <v>2023</v>
      </c>
      <c r="BR643" s="21">
        <f>MONTH([1]!BANCO10[[#This Row],[DATA INÍCIO]])</f>
        <v>5</v>
      </c>
      <c r="BS643" s="21" t="e">
        <f>CONCATENATE(#REF!,#REF!)</f>
        <v>#REF!</v>
      </c>
      <c r="BT643" s="21"/>
      <c r="BU643" s="21" t="s">
        <v>78</v>
      </c>
      <c r="BV643" s="21" t="str">
        <f>IF([1]!BANCO10[[#This Row],[SOLUÇÃO]]=BV$1,[1]!BANCO10[[#This Row],[STATUS DA ETAPA]],"")</f>
        <v/>
      </c>
      <c r="BW643" s="21" t="str">
        <f>IF([1]!BANCO10[[#This Row],[SOLUÇÃO]]=BW$1,[1]!BANCO10[[#This Row],[STATUS DA ETAPA]],"")</f>
        <v/>
      </c>
      <c r="BX643" s="21" t="str">
        <f>IF([1]!BANCO10[[#This Row],[SOLUÇÃO]]=BX$1,[1]!BANCO10[[#This Row],[STATUS DA ETAPA]],"")</f>
        <v/>
      </c>
      <c r="BY643" s="21" t="str">
        <f>IF([1]!BANCO10[[#This Row],[SOLUÇÃO]]=BY$1,[1]!BANCO10[[#This Row],[STATUS DA ETAPA]],"")</f>
        <v/>
      </c>
      <c r="BZ643" s="21" t="str">
        <f>IF([1]!BANCO10[[#This Row],[SOLUÇÃO]]=BZ$1,[1]!BANCO10[[#This Row],[STATUS DA ETAPA]],"")</f>
        <v/>
      </c>
      <c r="CA643" s="21" t="str">
        <f>IF([1]!BANCO10[[#This Row],[SOLUÇÃO]]=CA$1,[1]!BANCO10[[#This Row],[STATUS DA ETAPA]],"")</f>
        <v>CONCLUÍDO</v>
      </c>
      <c r="CB643" s="21" t="str">
        <f>IF([1]!BANCO10[[#This Row],[SOLUÇÃO]]=CB$1,[1]!BANCO10[[#This Row],[STATUS DA ETAPA]],"")</f>
        <v/>
      </c>
      <c r="CC643" s="21" t="str">
        <f>IF([1]!BANCO10[[#This Row],[SOLUÇÃO]]=CC$1,[1]!BANCO10[[#This Row],[STATUS DA ETAPA]],"")</f>
        <v/>
      </c>
      <c r="CD643" s="21" t="str">
        <f>IF([1]!BANCO10[[#This Row],[SOLUÇÃO]]=CD$1,[1]!BANCO10[[#This Row],[STATUS DA ETAPA]],"")</f>
        <v/>
      </c>
      <c r="CE643" s="21" t="str">
        <f>IF([1]!BANCO10[[#This Row],[SOLUÇÃO]]=CE$1,[1]!BANCO10[[#This Row],[STATUS DA ETAPA]],"")</f>
        <v/>
      </c>
      <c r="CF643" s="21" t="str">
        <f>IF([1]!BANCO10[[#This Row],[SOLUÇÃO]]=CF$1,[1]!BANCO10[[#This Row],[STATUS DA ETAPA]],"")</f>
        <v/>
      </c>
      <c r="CG643" s="21" t="str">
        <f>IF([1]!BANCO10[[#This Row],[SOLUÇÃO]]=CG$1,[1]!BANCO10[[#This Row],[STATUS DA ETAPA]],"")</f>
        <v/>
      </c>
      <c r="CH643" s="21" t="str">
        <f>IF([1]!BANCO10[[#This Row],[SOLUÇÃO]]=CH$1,[1]!BANCO10[[#This Row],[STATUS DA ETAPA]],"")</f>
        <v/>
      </c>
      <c r="CI643" s="21" t="str">
        <f>IF([1]!BANCO10[[#This Row],[SOLUÇÃO]]=CI$1,[1]!BANCO10[[#This Row],[STATUS DA ETAPA]],"")</f>
        <v/>
      </c>
      <c r="CJ643" s="21" t="str">
        <f>IF([1]!BANCO10[[#This Row],[SOLUÇÃO]]=CJ$1,[1]!BANCO10[[#This Row],[STATUS DA ETAPA]],"")</f>
        <v/>
      </c>
      <c r="CK643" s="21" t="str">
        <f>IF([1]!BANCO10[[#This Row],[SOLUÇÃO]]=CK$1,[1]!BANCO10[[#This Row],[STATUS DA ETAPA]],"")</f>
        <v/>
      </c>
      <c r="CL643" s="22" t="str">
        <f>IF([1]!BANCO10[[#This Row],[SOLUÇÃO]]=CL$1,[1]!BANCO10[[#This Row],[STATUS DA ETAPA]],"")</f>
        <v/>
      </c>
      <c r="CM643" s="64" t="str">
        <f>IF([1]!BANCO10[[#This Row],[SOLUÇÃO]]=CM$1,[1]!BANCO10[[#This Row],[STATUS DA ETAPA]],"")</f>
        <v/>
      </c>
      <c r="CN643" s="64" t="str">
        <f>IF([1]!BANCO10[[#This Row],[SOLUÇÃO]]=CN$1,[1]!BANCO10[[#This Row],[STATUS DA ETAPA]],"")</f>
        <v/>
      </c>
      <c r="CO643" s="64" t="str">
        <f>IF([1]!BANCO10[[#This Row],[SOLUÇÃO]]=CO$1,[1]!BANCO10[[#This Row],[STATUS DA ETAPA]],"")</f>
        <v/>
      </c>
      <c r="CP643" s="64" t="str">
        <f>IF([1]!BANCO10[[#This Row],[SOLUÇÃO]]=CP$1,[1]!BANCO10[[#This Row],[STATUS DA ETAPA]],"")</f>
        <v/>
      </c>
      <c r="CQ643" s="64" t="str">
        <f>IF([1]!BANCO10[[#This Row],[SOLUÇÃO]]=CQ$1,[1]!BANCO10[[#This Row],[STATUS DA ETAPA]],"")</f>
        <v/>
      </c>
      <c r="CR643" s="64" t="str">
        <f>IF([1]!BANCO10[[#This Row],[SOLUÇÃO]]=CR$1,[1]!BANCO10[[#This Row],[STATUS DA ETAPA]],"")</f>
        <v/>
      </c>
      <c r="CS643" s="64" t="str">
        <f>IF([1]!BANCO10[[#This Row],[SOLUÇÃO]]=CS$1,[1]!BANCO10[[#This Row],[STATUS DA ETAPA]],"")</f>
        <v/>
      </c>
      <c r="CT643" s="64" t="str">
        <f>IF([1]!BANCO10[[#This Row],[SOLUÇÃO]]=CT$1,[1]!BANCO10[[#This Row],[STATUS DA ETAPA]],"")</f>
        <v/>
      </c>
      <c r="CU643" s="64" t="str">
        <f>IF([1]!BANCO10[[#This Row],[SOLUÇÃO]]=CU$1,[1]!BANCO10[[#This Row],[STATUS DA ETAPA]],"")</f>
        <v/>
      </c>
      <c r="CV643" s="64" t="str">
        <f>IF([1]!BANCO10[[#This Row],[SOLUÇÃO]]=CV$1,[1]!BANCO10[[#This Row],[STATUS DA ETAPA]],"")</f>
        <v/>
      </c>
    </row>
    <row r="644" spans="1:100">
      <c r="A644" s="44" t="s">
        <v>1</v>
      </c>
      <c r="B644" s="44"/>
      <c r="C644" s="44" t="s">
        <v>1</v>
      </c>
      <c r="D644" s="44"/>
      <c r="E644" s="44" t="s">
        <v>1</v>
      </c>
      <c r="F644" s="44"/>
      <c r="G644" s="44" t="s">
        <v>1</v>
      </c>
      <c r="H644" s="44"/>
      <c r="I644" s="45" t="s">
        <v>1</v>
      </c>
      <c r="J644" s="46"/>
      <c r="K644" s="45" t="s">
        <v>1</v>
      </c>
      <c r="L644" s="33"/>
      <c r="M644" s="45" t="s">
        <v>1</v>
      </c>
      <c r="N644" s="33"/>
      <c r="O644" s="44" t="s">
        <v>2</v>
      </c>
      <c r="P644" s="44">
        <v>45077</v>
      </c>
      <c r="Q644" s="44" t="s">
        <v>0</v>
      </c>
      <c r="R644" s="44"/>
      <c r="S644" s="44" t="s">
        <v>1</v>
      </c>
      <c r="T644" s="44"/>
      <c r="U644" s="44" t="s">
        <v>1</v>
      </c>
      <c r="V644" s="44"/>
      <c r="W644" s="44" t="s">
        <v>1</v>
      </c>
      <c r="X644" s="44"/>
      <c r="Y644" s="44" t="s">
        <v>1</v>
      </c>
      <c r="Z644" s="44"/>
      <c r="AA644" s="44" t="s">
        <v>1</v>
      </c>
      <c r="AB644" s="44"/>
      <c r="AC644" s="84">
        <v>45076</v>
      </c>
      <c r="AD644" s="83">
        <v>45076</v>
      </c>
      <c r="AE644" s="40" t="s">
        <v>1</v>
      </c>
      <c r="AF644" s="40" t="s">
        <v>1</v>
      </c>
      <c r="AG644" s="40" t="s">
        <v>5</v>
      </c>
      <c r="AH644" s="36" t="s">
        <v>1</v>
      </c>
      <c r="AI644" s="49">
        <v>0</v>
      </c>
      <c r="AJ644" s="36" t="s">
        <v>1</v>
      </c>
      <c r="AK644" s="10" t="s">
        <v>1</v>
      </c>
      <c r="AL644" s="36" t="s">
        <v>1</v>
      </c>
      <c r="AM644" s="36" t="s">
        <v>1</v>
      </c>
      <c r="AN644" s="35" t="s">
        <v>1</v>
      </c>
      <c r="AO644" s="35" t="s">
        <v>1</v>
      </c>
      <c r="AP644" s="35" t="s">
        <v>1</v>
      </c>
      <c r="AQ644" s="35" t="s">
        <v>1</v>
      </c>
      <c r="AR644" s="82" t="s">
        <v>1</v>
      </c>
      <c r="AS644" s="33"/>
      <c r="AT644" s="30"/>
      <c r="AU644" s="55"/>
      <c r="AV644" s="30"/>
      <c r="AW644" s="55"/>
      <c r="AX644" s="30" t="s">
        <v>1</v>
      </c>
      <c r="AY644" s="55"/>
      <c r="AZ644" s="30" t="s">
        <v>2</v>
      </c>
      <c r="BA644" s="85"/>
      <c r="BB644" s="120"/>
      <c r="BC644" s="39"/>
      <c r="BD644" s="24" t="s">
        <v>11</v>
      </c>
      <c r="BE644" s="24" t="s">
        <v>11</v>
      </c>
      <c r="BF644" s="79" t="s">
        <v>21</v>
      </c>
      <c r="BG644" s="79" t="s">
        <v>136</v>
      </c>
      <c r="BH644" s="80" t="s">
        <v>18</v>
      </c>
      <c r="BI644" s="79" t="s">
        <v>243</v>
      </c>
      <c r="BJ644" s="54" t="s">
        <v>11</v>
      </c>
      <c r="BK644" s="78" t="s">
        <v>11</v>
      </c>
      <c r="BL644" s="69" t="s">
        <v>11</v>
      </c>
      <c r="BM644" s="78" t="s">
        <v>11</v>
      </c>
      <c r="BN644" s="78" t="s">
        <v>11</v>
      </c>
      <c r="BO644" s="78" t="s">
        <v>11</v>
      </c>
      <c r="BP644" s="78" t="s">
        <v>11</v>
      </c>
      <c r="BQ644" s="21">
        <f>YEAR([1]!BANCO10[[#This Row],[DATA INÍCIO]])</f>
        <v>2023</v>
      </c>
      <c r="BR644" s="21">
        <f>MONTH([1]!BANCO10[[#This Row],[DATA INÍCIO]])</f>
        <v>5</v>
      </c>
      <c r="BS644" s="21" t="e">
        <f>CONCATENATE(#REF!,#REF!)</f>
        <v>#REF!</v>
      </c>
      <c r="BT644" s="21"/>
      <c r="BU644" s="21" t="s">
        <v>244</v>
      </c>
      <c r="BV644" s="21" t="str">
        <f>IF([1]!BANCO10[[#This Row],[SOLUÇÃO]]=BV$1,[1]!BANCO10[[#This Row],[STATUS DA ETAPA]],"")</f>
        <v>CONCLUÍDO</v>
      </c>
      <c r="BW644" s="21" t="str">
        <f>IF([1]!BANCO10[[#This Row],[SOLUÇÃO]]=BW$1,[1]!BANCO10[[#This Row],[STATUS DA ETAPA]],"")</f>
        <v/>
      </c>
      <c r="BX644" s="21" t="str">
        <f>IF([1]!BANCO10[[#This Row],[SOLUÇÃO]]=BX$1,[1]!BANCO10[[#This Row],[STATUS DA ETAPA]],"")</f>
        <v/>
      </c>
      <c r="BY644" s="21" t="str">
        <f>IF([1]!BANCO10[[#This Row],[SOLUÇÃO]]=BY$1,[1]!BANCO10[[#This Row],[STATUS DA ETAPA]],"")</f>
        <v/>
      </c>
      <c r="BZ644" s="21" t="str">
        <f>IF([1]!BANCO10[[#This Row],[SOLUÇÃO]]=BZ$1,[1]!BANCO10[[#This Row],[STATUS DA ETAPA]],"")</f>
        <v/>
      </c>
      <c r="CA644" s="21" t="str">
        <f>IF([1]!BANCO10[[#This Row],[SOLUÇÃO]]=CA$1,[1]!BANCO10[[#This Row],[STATUS DA ETAPA]],"")</f>
        <v/>
      </c>
      <c r="CB644" s="21" t="str">
        <f>IF([1]!BANCO10[[#This Row],[SOLUÇÃO]]=CB$1,[1]!BANCO10[[#This Row],[STATUS DA ETAPA]],"")</f>
        <v/>
      </c>
      <c r="CC644" s="21" t="str">
        <f>IF([1]!BANCO10[[#This Row],[SOLUÇÃO]]=CC$1,[1]!BANCO10[[#This Row],[STATUS DA ETAPA]],"")</f>
        <v/>
      </c>
      <c r="CD644" s="21" t="str">
        <f>IF([1]!BANCO10[[#This Row],[SOLUÇÃO]]=CD$1,[1]!BANCO10[[#This Row],[STATUS DA ETAPA]],"")</f>
        <v/>
      </c>
      <c r="CE644" s="21" t="str">
        <f>IF([1]!BANCO10[[#This Row],[SOLUÇÃO]]=CE$1,[1]!BANCO10[[#This Row],[STATUS DA ETAPA]],"")</f>
        <v/>
      </c>
      <c r="CF644" s="21" t="str">
        <f>IF([1]!BANCO10[[#This Row],[SOLUÇÃO]]=CF$1,[1]!BANCO10[[#This Row],[STATUS DA ETAPA]],"")</f>
        <v/>
      </c>
      <c r="CG644" s="21" t="str">
        <f>IF([1]!BANCO10[[#This Row],[SOLUÇÃO]]=CG$1,[1]!BANCO10[[#This Row],[STATUS DA ETAPA]],"")</f>
        <v/>
      </c>
      <c r="CH644" s="21" t="str">
        <f>IF([1]!BANCO10[[#This Row],[SOLUÇÃO]]=CH$1,[1]!BANCO10[[#This Row],[STATUS DA ETAPA]],"")</f>
        <v/>
      </c>
      <c r="CI644" s="21" t="str">
        <f>IF([1]!BANCO10[[#This Row],[SOLUÇÃO]]=CI$1,[1]!BANCO10[[#This Row],[STATUS DA ETAPA]],"")</f>
        <v/>
      </c>
      <c r="CJ644" s="21" t="str">
        <f>IF([1]!BANCO10[[#This Row],[SOLUÇÃO]]=CJ$1,[1]!BANCO10[[#This Row],[STATUS DA ETAPA]],"")</f>
        <v/>
      </c>
      <c r="CK644" s="21" t="str">
        <f>IF([1]!BANCO10[[#This Row],[SOLUÇÃO]]=CK$1,[1]!BANCO10[[#This Row],[STATUS DA ETAPA]],"")</f>
        <v/>
      </c>
      <c r="CL644" s="22" t="str">
        <f>IF([1]!BANCO10[[#This Row],[SOLUÇÃO]]=CL$1,[1]!BANCO10[[#This Row],[STATUS DA ETAPA]],"")</f>
        <v/>
      </c>
      <c r="CM644" s="64" t="str">
        <f>IF([1]!BANCO10[[#This Row],[SOLUÇÃO]]=CM$1,[1]!BANCO10[[#This Row],[STATUS DA ETAPA]],"")</f>
        <v/>
      </c>
      <c r="CN644" s="64" t="str">
        <f>IF([1]!BANCO10[[#This Row],[SOLUÇÃO]]=CN$1,[1]!BANCO10[[#This Row],[STATUS DA ETAPA]],"")</f>
        <v/>
      </c>
      <c r="CO644" s="64" t="str">
        <f>IF([1]!BANCO10[[#This Row],[SOLUÇÃO]]=CO$1,[1]!BANCO10[[#This Row],[STATUS DA ETAPA]],"")</f>
        <v/>
      </c>
      <c r="CP644" s="64" t="str">
        <f>IF([1]!BANCO10[[#This Row],[SOLUÇÃO]]=CP$1,[1]!BANCO10[[#This Row],[STATUS DA ETAPA]],"")</f>
        <v/>
      </c>
      <c r="CQ644" s="64" t="str">
        <f>IF([1]!BANCO10[[#This Row],[SOLUÇÃO]]=CQ$1,[1]!BANCO10[[#This Row],[STATUS DA ETAPA]],"")</f>
        <v/>
      </c>
      <c r="CR644" s="64" t="str">
        <f>IF([1]!BANCO10[[#This Row],[SOLUÇÃO]]=CR$1,[1]!BANCO10[[#This Row],[STATUS DA ETAPA]],"")</f>
        <v/>
      </c>
      <c r="CS644" s="64" t="str">
        <f>IF([1]!BANCO10[[#This Row],[SOLUÇÃO]]=CS$1,[1]!BANCO10[[#This Row],[STATUS DA ETAPA]],"")</f>
        <v/>
      </c>
      <c r="CT644" s="64" t="str">
        <f>IF([1]!BANCO10[[#This Row],[SOLUÇÃO]]=CT$1,[1]!BANCO10[[#This Row],[STATUS DA ETAPA]],"")</f>
        <v/>
      </c>
      <c r="CU644" s="64" t="str">
        <f>IF([1]!BANCO10[[#This Row],[SOLUÇÃO]]=CU$1,[1]!BANCO10[[#This Row],[STATUS DA ETAPA]],"")</f>
        <v/>
      </c>
      <c r="CV644" s="64" t="str">
        <f>IF([1]!BANCO10[[#This Row],[SOLUÇÃO]]=CV$1,[1]!BANCO10[[#This Row],[STATUS DA ETAPA]],"")</f>
        <v/>
      </c>
    </row>
    <row r="645" spans="1:100">
      <c r="A645" s="44" t="s">
        <v>1</v>
      </c>
      <c r="B645" s="44"/>
      <c r="C645" s="44" t="s">
        <v>1</v>
      </c>
      <c r="D645" s="44"/>
      <c r="E645" s="44" t="s">
        <v>1</v>
      </c>
      <c r="F645" s="44"/>
      <c r="G645" s="44" t="s">
        <v>1</v>
      </c>
      <c r="H645" s="44"/>
      <c r="I645" s="45" t="s">
        <v>1</v>
      </c>
      <c r="J645" s="46"/>
      <c r="K645" s="45" t="s">
        <v>1</v>
      </c>
      <c r="L645" s="33"/>
      <c r="M645" s="45" t="s">
        <v>1</v>
      </c>
      <c r="N645" s="33"/>
      <c r="O645" s="44" t="s">
        <v>2</v>
      </c>
      <c r="P645" s="44">
        <v>45077</v>
      </c>
      <c r="Q645" s="44" t="s">
        <v>2</v>
      </c>
      <c r="R645" s="44">
        <v>45083</v>
      </c>
      <c r="S645" s="44" t="s">
        <v>2</v>
      </c>
      <c r="T645" s="44">
        <v>45083</v>
      </c>
      <c r="U645" s="44" t="s">
        <v>2</v>
      </c>
      <c r="V645" s="44">
        <v>45083</v>
      </c>
      <c r="W645" s="44" t="s">
        <v>2</v>
      </c>
      <c r="X645" s="44"/>
      <c r="Y645" s="44" t="s">
        <v>2</v>
      </c>
      <c r="Z645" s="44">
        <v>45083</v>
      </c>
      <c r="AA645" s="44" t="s">
        <v>2</v>
      </c>
      <c r="AB645" s="44"/>
      <c r="AC645" s="43">
        <v>45107</v>
      </c>
      <c r="AD645" s="43">
        <v>45219</v>
      </c>
      <c r="AE645" s="24" t="s">
        <v>2</v>
      </c>
      <c r="AF645" s="40" t="s">
        <v>2</v>
      </c>
      <c r="AG645" s="40" t="s">
        <v>5</v>
      </c>
      <c r="AH645" s="36" t="s">
        <v>0</v>
      </c>
      <c r="AI645" s="49">
        <v>0</v>
      </c>
      <c r="AJ645" s="36"/>
      <c r="AK645" s="10"/>
      <c r="AL645" s="36" t="s">
        <v>22</v>
      </c>
      <c r="AM645" s="36" t="s">
        <v>1</v>
      </c>
      <c r="AN645" s="35" t="s">
        <v>1</v>
      </c>
      <c r="AO645" s="35" t="s">
        <v>1</v>
      </c>
      <c r="AP645" s="35" t="s">
        <v>2</v>
      </c>
      <c r="AQ645" s="35" t="s">
        <v>1</v>
      </c>
      <c r="AR645" s="33" t="s">
        <v>1</v>
      </c>
      <c r="AS645" s="33"/>
      <c r="AT645" s="30"/>
      <c r="AU645" s="55"/>
      <c r="AV645" s="30"/>
      <c r="AW645" s="55"/>
      <c r="AX645" s="30" t="s">
        <v>2</v>
      </c>
      <c r="AY645" s="55">
        <v>45223</v>
      </c>
      <c r="AZ645" s="30" t="s">
        <v>2</v>
      </c>
      <c r="BA645" s="85"/>
      <c r="BB645" s="39"/>
      <c r="BC645" s="25"/>
      <c r="BD645" s="24" t="s">
        <v>11</v>
      </c>
      <c r="BE645" s="24" t="s">
        <v>11</v>
      </c>
      <c r="BF645" s="79" t="s">
        <v>21</v>
      </c>
      <c r="BG645" s="79" t="s">
        <v>136</v>
      </c>
      <c r="BH645" s="80" t="s">
        <v>18</v>
      </c>
      <c r="BI645" s="79" t="s">
        <v>243</v>
      </c>
      <c r="BJ645" s="54" t="s">
        <v>37</v>
      </c>
      <c r="BK645" s="78" t="s">
        <v>19</v>
      </c>
      <c r="BL645" s="69">
        <v>45391</v>
      </c>
      <c r="BM645" s="78" t="s">
        <v>18</v>
      </c>
      <c r="BN645" s="78" t="s">
        <v>11</v>
      </c>
      <c r="BO645" s="78"/>
      <c r="BP645" s="78" t="s">
        <v>188</v>
      </c>
      <c r="BQ645" s="21">
        <f>YEAR([1]!BANCO10[[#This Row],[DATA INÍCIO]])</f>
        <v>2023</v>
      </c>
      <c r="BR645" s="21">
        <f>MONTH([1]!BANCO10[[#This Row],[DATA INÍCIO]])</f>
        <v>6</v>
      </c>
      <c r="BS645" s="21" t="e">
        <f>CONCATENATE(#REF!,#REF!)</f>
        <v>#REF!</v>
      </c>
      <c r="BT645" s="21"/>
      <c r="BU645" s="21" t="s">
        <v>242</v>
      </c>
      <c r="BV645" s="21" t="str">
        <f>IF([1]!BANCO10[[#This Row],[SOLUÇÃO]]=BV$1,[1]!BANCO10[[#This Row],[STATUS DA ETAPA]],"")</f>
        <v/>
      </c>
      <c r="BW645" s="21" t="str">
        <f>IF([1]!BANCO10[[#This Row],[SOLUÇÃO]]=BW$1,[1]!BANCO10[[#This Row],[STATUS DA ETAPA]],"")</f>
        <v/>
      </c>
      <c r="BX645" s="21" t="str">
        <f>IF([1]!BANCO10[[#This Row],[SOLUÇÃO]]=BX$1,[1]!BANCO10[[#This Row],[STATUS DA ETAPA]],"")</f>
        <v/>
      </c>
      <c r="BY645" s="21" t="str">
        <f>IF([1]!BANCO10[[#This Row],[SOLUÇÃO]]=BY$1,[1]!BANCO10[[#This Row],[STATUS DA ETAPA]],"")</f>
        <v/>
      </c>
      <c r="BZ645" s="21" t="str">
        <f>IF([1]!BANCO10[[#This Row],[SOLUÇÃO]]=BZ$1,[1]!BANCO10[[#This Row],[STATUS DA ETAPA]],"")</f>
        <v/>
      </c>
      <c r="CA645" s="21" t="str">
        <f>IF([1]!BANCO10[[#This Row],[SOLUÇÃO]]=CA$1,[1]!BANCO10[[#This Row],[STATUS DA ETAPA]],"")</f>
        <v>CONCLUÍDO</v>
      </c>
      <c r="CB645" s="21" t="str">
        <f>IF([1]!BANCO10[[#This Row],[SOLUÇÃO]]=CB$1,[1]!BANCO10[[#This Row],[STATUS DA ETAPA]],"")</f>
        <v/>
      </c>
      <c r="CC645" s="21" t="str">
        <f>IF([1]!BANCO10[[#This Row],[SOLUÇÃO]]=CC$1,[1]!BANCO10[[#This Row],[STATUS DA ETAPA]],"")</f>
        <v/>
      </c>
      <c r="CD645" s="21" t="str">
        <f>IF([1]!BANCO10[[#This Row],[SOLUÇÃO]]=CD$1,[1]!BANCO10[[#This Row],[STATUS DA ETAPA]],"")</f>
        <v/>
      </c>
      <c r="CE645" s="21" t="str">
        <f>IF([1]!BANCO10[[#This Row],[SOLUÇÃO]]=CE$1,[1]!BANCO10[[#This Row],[STATUS DA ETAPA]],"")</f>
        <v/>
      </c>
      <c r="CF645" s="21" t="str">
        <f>IF([1]!BANCO10[[#This Row],[SOLUÇÃO]]=CF$1,[1]!BANCO10[[#This Row],[STATUS DA ETAPA]],"")</f>
        <v/>
      </c>
      <c r="CG645" s="21" t="str">
        <f>IF([1]!BANCO10[[#This Row],[SOLUÇÃO]]=CG$1,[1]!BANCO10[[#This Row],[STATUS DA ETAPA]],"")</f>
        <v/>
      </c>
      <c r="CH645" s="21" t="str">
        <f>IF([1]!BANCO10[[#This Row],[SOLUÇÃO]]=CH$1,[1]!BANCO10[[#This Row],[STATUS DA ETAPA]],"")</f>
        <v/>
      </c>
      <c r="CI645" s="21" t="str">
        <f>IF([1]!BANCO10[[#This Row],[SOLUÇÃO]]=CI$1,[1]!BANCO10[[#This Row],[STATUS DA ETAPA]],"")</f>
        <v/>
      </c>
      <c r="CJ645" s="21" t="str">
        <f>IF([1]!BANCO10[[#This Row],[SOLUÇÃO]]=CJ$1,[1]!BANCO10[[#This Row],[STATUS DA ETAPA]],"")</f>
        <v/>
      </c>
      <c r="CK645" s="21" t="str">
        <f>IF([1]!BANCO10[[#This Row],[SOLUÇÃO]]=CK$1,[1]!BANCO10[[#This Row],[STATUS DA ETAPA]],"")</f>
        <v/>
      </c>
      <c r="CL645" s="22" t="str">
        <f>IF([1]!BANCO10[[#This Row],[SOLUÇÃO]]=CL$1,[1]!BANCO10[[#This Row],[STATUS DA ETAPA]],"")</f>
        <v/>
      </c>
      <c r="CM645" s="64" t="str">
        <f>IF([1]!BANCO10[[#This Row],[SOLUÇÃO]]=CM$1,[1]!BANCO10[[#This Row],[STATUS DA ETAPA]],"")</f>
        <v/>
      </c>
      <c r="CN645" s="64" t="str">
        <f>IF([1]!BANCO10[[#This Row],[SOLUÇÃO]]=CN$1,[1]!BANCO10[[#This Row],[STATUS DA ETAPA]],"")</f>
        <v/>
      </c>
      <c r="CO645" s="64" t="str">
        <f>IF([1]!BANCO10[[#This Row],[SOLUÇÃO]]=CO$1,[1]!BANCO10[[#This Row],[STATUS DA ETAPA]],"")</f>
        <v/>
      </c>
      <c r="CP645" s="64" t="str">
        <f>IF([1]!BANCO10[[#This Row],[SOLUÇÃO]]=CP$1,[1]!BANCO10[[#This Row],[STATUS DA ETAPA]],"")</f>
        <v/>
      </c>
      <c r="CQ645" s="64" t="str">
        <f>IF([1]!BANCO10[[#This Row],[SOLUÇÃO]]=CQ$1,[1]!BANCO10[[#This Row],[STATUS DA ETAPA]],"")</f>
        <v/>
      </c>
      <c r="CR645" s="64" t="str">
        <f>IF([1]!BANCO10[[#This Row],[SOLUÇÃO]]=CR$1,[1]!BANCO10[[#This Row],[STATUS DA ETAPA]],"")</f>
        <v/>
      </c>
      <c r="CS645" s="64" t="str">
        <f>IF([1]!BANCO10[[#This Row],[SOLUÇÃO]]=CS$1,[1]!BANCO10[[#This Row],[STATUS DA ETAPA]],"")</f>
        <v/>
      </c>
      <c r="CT645" s="64" t="str">
        <f>IF([1]!BANCO10[[#This Row],[SOLUÇÃO]]=CT$1,[1]!BANCO10[[#This Row],[STATUS DA ETAPA]],"")</f>
        <v/>
      </c>
      <c r="CU645" s="64" t="str">
        <f>IF([1]!BANCO10[[#This Row],[SOLUÇÃO]]=CU$1,[1]!BANCO10[[#This Row],[STATUS DA ETAPA]],"")</f>
        <v/>
      </c>
      <c r="CV645" s="64" t="str">
        <f>IF([1]!BANCO10[[#This Row],[SOLUÇÃO]]=CV$1,[1]!BANCO10[[#This Row],[STATUS DA ETAPA]],"")</f>
        <v/>
      </c>
    </row>
    <row r="646" spans="1:100">
      <c r="A646" s="44" t="s">
        <v>1</v>
      </c>
      <c r="B646" s="44"/>
      <c r="C646" s="44" t="s">
        <v>1</v>
      </c>
      <c r="D646" s="44"/>
      <c r="E646" s="44" t="s">
        <v>1</v>
      </c>
      <c r="F646" s="44"/>
      <c r="G646" s="44" t="s">
        <v>1</v>
      </c>
      <c r="H646" s="44"/>
      <c r="I646" s="45" t="s">
        <v>1</v>
      </c>
      <c r="J646" s="46"/>
      <c r="K646" s="45" t="s">
        <v>1</v>
      </c>
      <c r="L646" s="33"/>
      <c r="M646" s="45" t="s">
        <v>1</v>
      </c>
      <c r="N646" s="33"/>
      <c r="O646" s="44" t="s">
        <v>2</v>
      </c>
      <c r="P646" s="44">
        <v>45077</v>
      </c>
      <c r="Q646" s="44" t="s">
        <v>2</v>
      </c>
      <c r="R646" s="44">
        <v>45083</v>
      </c>
      <c r="S646" s="44" t="s">
        <v>2</v>
      </c>
      <c r="T646" s="44">
        <v>45083</v>
      </c>
      <c r="U646" s="44" t="s">
        <v>2</v>
      </c>
      <c r="V646" s="44">
        <v>45083</v>
      </c>
      <c r="W646" s="44" t="s">
        <v>2</v>
      </c>
      <c r="X646" s="44"/>
      <c r="Y646" s="44" t="s">
        <v>2</v>
      </c>
      <c r="Z646" s="44">
        <v>45083</v>
      </c>
      <c r="AA646" s="44" t="s">
        <v>2</v>
      </c>
      <c r="AB646" s="44"/>
      <c r="AC646" s="84">
        <v>45453</v>
      </c>
      <c r="AD646" s="83">
        <v>45569</v>
      </c>
      <c r="AE646" s="40" t="s">
        <v>2</v>
      </c>
      <c r="AF646" s="40" t="s">
        <v>2</v>
      </c>
      <c r="AG646" s="40" t="s">
        <v>5</v>
      </c>
      <c r="AH646" s="36" t="s">
        <v>0</v>
      </c>
      <c r="AI646" s="49">
        <v>0</v>
      </c>
      <c r="AJ646" s="36" t="s">
        <v>6</v>
      </c>
      <c r="AK646" s="10"/>
      <c r="AL646" s="36">
        <v>4712</v>
      </c>
      <c r="AM646" s="36">
        <v>0</v>
      </c>
      <c r="AN646" s="35" t="s">
        <v>1</v>
      </c>
      <c r="AO646" s="35" t="s">
        <v>1</v>
      </c>
      <c r="AP646" s="35" t="s">
        <v>2</v>
      </c>
      <c r="AQ646" s="35" t="s">
        <v>1</v>
      </c>
      <c r="AR646" s="34" t="s">
        <v>1</v>
      </c>
      <c r="AS646" s="33"/>
      <c r="AT646" s="30"/>
      <c r="AU646" s="55"/>
      <c r="AV646" s="30"/>
      <c r="AW646" s="55"/>
      <c r="AX646" s="30" t="s">
        <v>2</v>
      </c>
      <c r="AY646" s="55">
        <v>45562</v>
      </c>
      <c r="AZ646" s="30" t="s">
        <v>2</v>
      </c>
      <c r="BA646" s="91">
        <v>45622</v>
      </c>
      <c r="BB646" s="120"/>
      <c r="BC646" s="25"/>
      <c r="BD646" s="24"/>
      <c r="BE646" s="24"/>
      <c r="BF646" s="79"/>
      <c r="BG646" s="79"/>
      <c r="BH646" s="80"/>
      <c r="BI646" s="79"/>
      <c r="BJ646" s="54"/>
      <c r="BK646" s="78"/>
      <c r="BL646" s="69"/>
      <c r="BM646" s="78"/>
      <c r="BN646" s="78"/>
      <c r="BO646" s="78"/>
      <c r="BP646" s="78"/>
      <c r="BQ646" s="21">
        <f>YEAR([1]!BANCO10[[#This Row],[DATA INÍCIO]])</f>
        <v>2024</v>
      </c>
      <c r="BR646" s="21">
        <f>MONTH([1]!BANCO10[[#This Row],[DATA INÍCIO]])</f>
        <v>6</v>
      </c>
      <c r="BS646" s="21" t="e">
        <f>CONCATENATE(#REF!,#REF!)</f>
        <v>#REF!</v>
      </c>
      <c r="BT646" s="21"/>
      <c r="BU646" s="21" t="s">
        <v>241</v>
      </c>
      <c r="BV646" s="21" t="str">
        <f>IF([1]!BANCO10[[#This Row],[SOLUÇÃO]]=BV$1,[1]!BANCO10[[#This Row],[STATUS DA ETAPA]],"")</f>
        <v/>
      </c>
      <c r="BW646" s="21" t="str">
        <f>IF([1]!BANCO10[[#This Row],[SOLUÇÃO]]=BW$1,[1]!BANCO10[[#This Row],[STATUS DA ETAPA]],"")</f>
        <v>CONCLUÍDO</v>
      </c>
      <c r="BX646" s="21" t="str">
        <f>IF([1]!BANCO10[[#This Row],[SOLUÇÃO]]=BX$1,[1]!BANCO10[[#This Row],[STATUS DA ETAPA]],"")</f>
        <v/>
      </c>
      <c r="BY646" s="21" t="str">
        <f>IF([1]!BANCO10[[#This Row],[SOLUÇÃO]]=BY$1,[1]!BANCO10[[#This Row],[STATUS DA ETAPA]],"")</f>
        <v/>
      </c>
      <c r="BZ646" s="21" t="str">
        <f>IF([1]!BANCO10[[#This Row],[SOLUÇÃO]]=BZ$1,[1]!BANCO10[[#This Row],[STATUS DA ETAPA]],"")</f>
        <v/>
      </c>
      <c r="CA646" s="21" t="str">
        <f>IF([1]!BANCO10[[#This Row],[SOLUÇÃO]]=CA$1,[1]!BANCO10[[#This Row],[STATUS DA ETAPA]],"")</f>
        <v/>
      </c>
      <c r="CB646" s="21" t="str">
        <f>IF([1]!BANCO10[[#This Row],[SOLUÇÃO]]=CB$1,[1]!BANCO10[[#This Row],[STATUS DA ETAPA]],"")</f>
        <v/>
      </c>
      <c r="CC646" s="21" t="str">
        <f>IF([1]!BANCO10[[#This Row],[SOLUÇÃO]]=CC$1,[1]!BANCO10[[#This Row],[STATUS DA ETAPA]],"")</f>
        <v/>
      </c>
      <c r="CD646" s="21" t="str">
        <f>IF([1]!BANCO10[[#This Row],[SOLUÇÃO]]=CD$1,[1]!BANCO10[[#This Row],[STATUS DA ETAPA]],"")</f>
        <v/>
      </c>
      <c r="CE646" s="21" t="str">
        <f>IF([1]!BANCO10[[#This Row],[SOLUÇÃO]]=CE$1,[1]!BANCO10[[#This Row],[STATUS DA ETAPA]],"")</f>
        <v/>
      </c>
      <c r="CF646" s="21" t="str">
        <f>IF([1]!BANCO10[[#This Row],[SOLUÇÃO]]=CF$1,[1]!BANCO10[[#This Row],[STATUS DA ETAPA]],"")</f>
        <v/>
      </c>
      <c r="CG646" s="21" t="str">
        <f>IF([1]!BANCO10[[#This Row],[SOLUÇÃO]]=CG$1,[1]!BANCO10[[#This Row],[STATUS DA ETAPA]],"")</f>
        <v/>
      </c>
      <c r="CH646" s="21" t="str">
        <f>IF([1]!BANCO10[[#This Row],[SOLUÇÃO]]=CH$1,[1]!BANCO10[[#This Row],[STATUS DA ETAPA]],"")</f>
        <v/>
      </c>
      <c r="CI646" s="21" t="str">
        <f>IF([1]!BANCO10[[#This Row],[SOLUÇÃO]]=CI$1,[1]!BANCO10[[#This Row],[STATUS DA ETAPA]],"")</f>
        <v/>
      </c>
      <c r="CJ646" s="21" t="str">
        <f>IF([1]!BANCO10[[#This Row],[SOLUÇÃO]]=CJ$1,[1]!BANCO10[[#This Row],[STATUS DA ETAPA]],"")</f>
        <v/>
      </c>
      <c r="CK646" s="21" t="str">
        <f>IF([1]!BANCO10[[#This Row],[SOLUÇÃO]]=CK$1,[1]!BANCO10[[#This Row],[STATUS DA ETAPA]],"")</f>
        <v/>
      </c>
      <c r="CL646" s="22" t="str">
        <f>IF([1]!BANCO10[[#This Row],[SOLUÇÃO]]=CL$1,[1]!BANCO10[[#This Row],[STATUS DA ETAPA]],"")</f>
        <v/>
      </c>
      <c r="CM646" s="64" t="str">
        <f>IF([1]!BANCO10[[#This Row],[SOLUÇÃO]]=CM$1,[1]!BANCO10[[#This Row],[STATUS DA ETAPA]],"")</f>
        <v/>
      </c>
      <c r="CN646" s="64" t="str">
        <f>IF([1]!BANCO10[[#This Row],[SOLUÇÃO]]=CN$1,[1]!BANCO10[[#This Row],[STATUS DA ETAPA]],"")</f>
        <v/>
      </c>
      <c r="CO646" s="64" t="str">
        <f>IF([1]!BANCO10[[#This Row],[SOLUÇÃO]]=CO$1,[1]!BANCO10[[#This Row],[STATUS DA ETAPA]],"")</f>
        <v/>
      </c>
      <c r="CP646" s="64" t="str">
        <f>IF([1]!BANCO10[[#This Row],[SOLUÇÃO]]=CP$1,[1]!BANCO10[[#This Row],[STATUS DA ETAPA]],"")</f>
        <v/>
      </c>
      <c r="CQ646" s="64" t="str">
        <f>IF([1]!BANCO10[[#This Row],[SOLUÇÃO]]=CQ$1,[1]!BANCO10[[#This Row],[STATUS DA ETAPA]],"")</f>
        <v/>
      </c>
      <c r="CR646" s="64" t="str">
        <f>IF([1]!BANCO10[[#This Row],[SOLUÇÃO]]=CR$1,[1]!BANCO10[[#This Row],[STATUS DA ETAPA]],"")</f>
        <v/>
      </c>
      <c r="CS646" s="64" t="str">
        <f>IF([1]!BANCO10[[#This Row],[SOLUÇÃO]]=CS$1,[1]!BANCO10[[#This Row],[STATUS DA ETAPA]],"")</f>
        <v/>
      </c>
      <c r="CT646" s="64" t="str">
        <f>IF([1]!BANCO10[[#This Row],[SOLUÇÃO]]=CT$1,[1]!BANCO10[[#This Row],[STATUS DA ETAPA]],"")</f>
        <v/>
      </c>
      <c r="CU646" s="64" t="str">
        <f>IF([1]!BANCO10[[#This Row],[SOLUÇÃO]]=CU$1,[1]!BANCO10[[#This Row],[STATUS DA ETAPA]],"")</f>
        <v/>
      </c>
      <c r="CV646" s="64" t="str">
        <f>IF([1]!BANCO10[[#This Row],[SOLUÇÃO]]=CV$1,[1]!BANCO10[[#This Row],[STATUS DA ETAPA]],"")</f>
        <v/>
      </c>
    </row>
    <row r="647" spans="1:100">
      <c r="A647" s="44" t="s">
        <v>2</v>
      </c>
      <c r="B647" s="44">
        <v>45757</v>
      </c>
      <c r="C647" s="44" t="s">
        <v>2</v>
      </c>
      <c r="D647" s="44">
        <v>45757</v>
      </c>
      <c r="E647" s="44" t="s">
        <v>2</v>
      </c>
      <c r="F647" s="44">
        <v>45757</v>
      </c>
      <c r="G647" s="44" t="s">
        <v>2</v>
      </c>
      <c r="H647" s="44">
        <v>45757</v>
      </c>
      <c r="I647" s="45" t="s">
        <v>2</v>
      </c>
      <c r="J647" s="46"/>
      <c r="K647" s="45" t="s">
        <v>0</v>
      </c>
      <c r="L647" s="33"/>
      <c r="M647" s="45" t="s">
        <v>0</v>
      </c>
      <c r="N647" s="33"/>
      <c r="O647" s="44" t="s">
        <v>1</v>
      </c>
      <c r="P647" s="44"/>
      <c r="Q647" s="44" t="s">
        <v>1</v>
      </c>
      <c r="R647" s="44"/>
      <c r="S647" s="44" t="s">
        <v>2</v>
      </c>
      <c r="T647" s="44">
        <v>45708</v>
      </c>
      <c r="U647" s="44" t="s">
        <v>1</v>
      </c>
      <c r="V647" s="44"/>
      <c r="W647" s="44" t="s">
        <v>1</v>
      </c>
      <c r="X647" s="44"/>
      <c r="Y647" s="44" t="s">
        <v>1</v>
      </c>
      <c r="Z647" s="44"/>
      <c r="AA647" s="44" t="s">
        <v>1</v>
      </c>
      <c r="AB647" s="44"/>
      <c r="AC647" s="51">
        <v>46022</v>
      </c>
      <c r="AD647" s="50">
        <v>46022</v>
      </c>
      <c r="AE647" s="41" t="s">
        <v>0</v>
      </c>
      <c r="AF647" s="41" t="s">
        <v>0</v>
      </c>
      <c r="AG647" s="40" t="s">
        <v>5</v>
      </c>
      <c r="AH647" s="36" t="s">
        <v>0</v>
      </c>
      <c r="AI647" s="49">
        <v>20140</v>
      </c>
      <c r="AJ647" s="36" t="s">
        <v>3</v>
      </c>
      <c r="AK647" s="21" t="s">
        <v>1</v>
      </c>
      <c r="AL647" s="36" t="s">
        <v>1</v>
      </c>
      <c r="AM647" s="36" t="s">
        <v>1</v>
      </c>
      <c r="AN647" s="35" t="s">
        <v>0</v>
      </c>
      <c r="AO647" s="35" t="s">
        <v>0</v>
      </c>
      <c r="AP647" s="35" t="s">
        <v>0</v>
      </c>
      <c r="AQ647" s="35" t="s">
        <v>0</v>
      </c>
      <c r="AR647" s="33" t="s">
        <v>0</v>
      </c>
      <c r="AS647" s="33"/>
      <c r="AT647" s="32" t="s">
        <v>0</v>
      </c>
      <c r="AU647" s="31"/>
      <c r="AV647" s="32" t="s">
        <v>0</v>
      </c>
      <c r="AW647" s="31"/>
      <c r="AX647" s="32" t="s">
        <v>0</v>
      </c>
      <c r="AY647" s="31"/>
      <c r="AZ647" s="32" t="s">
        <v>0</v>
      </c>
      <c r="BA647" s="47"/>
      <c r="BB647" s="124" t="s">
        <v>7</v>
      </c>
      <c r="BC647" s="25"/>
      <c r="BD647" s="24"/>
      <c r="BE647" s="24"/>
      <c r="BF647" s="24"/>
      <c r="BG647" s="24"/>
      <c r="BH647" s="24"/>
      <c r="BI647" s="24"/>
      <c r="BJ647" s="24"/>
      <c r="BK647" s="24"/>
      <c r="BL647" s="24"/>
      <c r="BM647" s="24"/>
      <c r="BN647" s="24"/>
      <c r="BO647" s="24"/>
      <c r="BP647" s="24"/>
      <c r="BQ647" s="22">
        <f>YEAR([1]!BANCO10[[#This Row],[DATA INÍCIO]])</f>
        <v>2025</v>
      </c>
      <c r="BR647" s="22">
        <f>MONTH([1]!BANCO10[[#This Row],[DATA INÍCIO]])</f>
        <v>12</v>
      </c>
      <c r="BS647" s="23" t="e">
        <f>CONCATENATE(#REF!,#REF!)</f>
        <v>#REF!</v>
      </c>
      <c r="BT647" s="22"/>
      <c r="BU647" s="22"/>
      <c r="BV647" s="21" t="str">
        <f>IF([1]!BANCO10[[#This Row],[SOLUÇÃO]]=BV$1,[1]!BANCO10[[#This Row],[STATUS DA ETAPA]],"")</f>
        <v/>
      </c>
      <c r="BW647" s="21" t="str">
        <f>IF([1]!BANCO10[[#This Row],[SOLUÇÃO]]=BW$1,[1]!BANCO10[[#This Row],[STATUS DA ETAPA]],"")</f>
        <v/>
      </c>
      <c r="BX647" s="21" t="str">
        <f>IF([1]!BANCO10[[#This Row],[SOLUÇÃO]]=BX$1,[1]!BANCO10[[#This Row],[STATUS DA ETAPA]],"")</f>
        <v/>
      </c>
      <c r="BY647" s="21" t="str">
        <f>IF([1]!BANCO10[[#This Row],[SOLUÇÃO]]=BY$1,[1]!BANCO10[[#This Row],[STATUS DA ETAPA]],"")</f>
        <v/>
      </c>
      <c r="BZ647" s="21" t="str">
        <f>IF([1]!BANCO10[[#This Row],[SOLUÇÃO]]=BZ$1,[1]!BANCO10[[#This Row],[STATUS DA ETAPA]],"")</f>
        <v/>
      </c>
      <c r="CA647" s="21" t="str">
        <f>IF([1]!BANCO10[[#This Row],[SOLUÇÃO]]=CA$1,[1]!BANCO10[[#This Row],[STATUS DA ETAPA]],"")</f>
        <v/>
      </c>
      <c r="CB647" s="21" t="str">
        <f>IF([1]!BANCO10[[#This Row],[SOLUÇÃO]]=CB$1,[1]!BANCO10[[#This Row],[STATUS DA ETAPA]],"")</f>
        <v>AGUARDANDO SALDO</v>
      </c>
      <c r="CC647" s="21" t="str">
        <f>IF([1]!BANCO10[[#This Row],[SOLUÇÃO]]=CC$1,[1]!BANCO10[[#This Row],[STATUS DA ETAPA]],"")</f>
        <v/>
      </c>
      <c r="CD647" s="21" t="str">
        <f>IF([1]!BANCO10[[#This Row],[SOLUÇÃO]]=CD$1,[1]!BANCO10[[#This Row],[STATUS DA ETAPA]],"")</f>
        <v/>
      </c>
      <c r="CE647" s="21" t="str">
        <f>IF([1]!BANCO10[[#This Row],[SOLUÇÃO]]=CE$1,[1]!BANCO10[[#This Row],[STATUS DA ETAPA]],"")</f>
        <v/>
      </c>
      <c r="CF647" s="21" t="str">
        <f>IF([1]!BANCO10[[#This Row],[SOLUÇÃO]]=CF$1,[1]!BANCO10[[#This Row],[STATUS DA ETAPA]],"")</f>
        <v/>
      </c>
      <c r="CG647" s="21" t="str">
        <f>IF([1]!BANCO10[[#This Row],[SOLUÇÃO]]=CG$1,[1]!BANCO10[[#This Row],[STATUS DA ETAPA]],"")</f>
        <v/>
      </c>
      <c r="CH647" s="21" t="str">
        <f>IF([1]!BANCO10[[#This Row],[SOLUÇÃO]]=CH$1,[1]!BANCO10[[#This Row],[STATUS DA ETAPA]],"")</f>
        <v/>
      </c>
      <c r="CI647" s="21" t="str">
        <f>IF([1]!BANCO10[[#This Row],[SOLUÇÃO]]=CI$1,[1]!BANCO10[[#This Row],[STATUS DA ETAPA]],"")</f>
        <v/>
      </c>
      <c r="CJ647" s="21" t="str">
        <f>IF([1]!BANCO10[[#This Row],[SOLUÇÃO]]=CJ$1,[1]!BANCO10[[#This Row],[STATUS DA ETAPA]],"")</f>
        <v/>
      </c>
      <c r="CK647" s="21" t="str">
        <f>IF([1]!BANCO10[[#This Row],[SOLUÇÃO]]=CK$1,[1]!BANCO10[[#This Row],[STATUS DA ETAPA]],"")</f>
        <v/>
      </c>
      <c r="CL647" s="21" t="str">
        <f>IF([1]!BANCO10[[#This Row],[SOLUÇÃO]]=CL$1,[1]!BANCO10[[#This Row],[STATUS DA ETAPA]],"")</f>
        <v/>
      </c>
      <c r="CM647" s="21" t="str">
        <f>IF([1]!BANCO10[[#This Row],[SOLUÇÃO]]=CM$1,[1]!BANCO10[[#This Row],[STATUS DA ETAPA]],"")</f>
        <v/>
      </c>
      <c r="CN647" s="21" t="str">
        <f>IF([1]!BANCO10[[#This Row],[SOLUÇÃO]]=CN$1,[1]!BANCO10[[#This Row],[STATUS DA ETAPA]],"")</f>
        <v/>
      </c>
      <c r="CO647" s="21" t="str">
        <f>IF([1]!BANCO10[[#This Row],[SOLUÇÃO]]=CO$1,[1]!BANCO10[[#This Row],[STATUS DA ETAPA]],"")</f>
        <v/>
      </c>
      <c r="CP647" s="21" t="str">
        <f>IF([1]!BANCO10[[#This Row],[SOLUÇÃO]]=CP$1,[1]!BANCO10[[#This Row],[STATUS DA ETAPA]],"")</f>
        <v/>
      </c>
      <c r="CQ647" s="21" t="str">
        <f>IF([1]!BANCO10[[#This Row],[SOLUÇÃO]]=CQ$1,[1]!BANCO10[[#This Row],[STATUS DA ETAPA]],"")</f>
        <v/>
      </c>
      <c r="CR647" s="21" t="str">
        <f>IF([1]!BANCO10[[#This Row],[SOLUÇÃO]]=CR$1,[1]!BANCO10[[#This Row],[STATUS DA ETAPA]],"")</f>
        <v/>
      </c>
      <c r="CS647" s="21" t="str">
        <f>IF([1]!BANCO10[[#This Row],[SOLUÇÃO]]=CS$1,[1]!BANCO10[[#This Row],[STATUS DA ETAPA]],"")</f>
        <v/>
      </c>
      <c r="CT647" s="21" t="str">
        <f>IF([1]!BANCO10[[#This Row],[SOLUÇÃO]]=CT$1,[1]!BANCO10[[#This Row],[STATUS DA ETAPA]],"")</f>
        <v/>
      </c>
      <c r="CU647" s="21" t="str">
        <f>IF([1]!BANCO10[[#This Row],[SOLUÇÃO]]=CU$1,[1]!BANCO10[[#This Row],[STATUS DA ETAPA]],"")</f>
        <v/>
      </c>
      <c r="CV647" s="21" t="str">
        <f>IF([1]!BANCO10[[#This Row],[SOLUÇÃO]]=CV$1,[1]!BANCO10[[#This Row],[STATUS DA ETAPA]],"")</f>
        <v/>
      </c>
    </row>
    <row r="648" spans="1:100">
      <c r="A648" s="44" t="s">
        <v>1</v>
      </c>
      <c r="B648" s="44"/>
      <c r="C648" s="44" t="s">
        <v>1</v>
      </c>
      <c r="D648" s="44"/>
      <c r="E648" s="44" t="s">
        <v>1</v>
      </c>
      <c r="F648" s="44"/>
      <c r="G648" s="44" t="s">
        <v>1</v>
      </c>
      <c r="H648" s="44"/>
      <c r="I648" s="45" t="s">
        <v>1</v>
      </c>
      <c r="J648" s="46"/>
      <c r="K648" s="45" t="s">
        <v>1</v>
      </c>
      <c r="L648" s="33"/>
      <c r="M648" s="45" t="s">
        <v>1</v>
      </c>
      <c r="N648" s="33"/>
      <c r="O648" s="44" t="s">
        <v>2</v>
      </c>
      <c r="P648" s="44">
        <v>44971</v>
      </c>
      <c r="Q648" s="44" t="s">
        <v>0</v>
      </c>
      <c r="R648" s="44"/>
      <c r="S648" s="44" t="s">
        <v>1</v>
      </c>
      <c r="T648" s="44"/>
      <c r="U648" s="44" t="s">
        <v>1</v>
      </c>
      <c r="V648" s="44"/>
      <c r="W648" s="44" t="s">
        <v>1</v>
      </c>
      <c r="X648" s="44"/>
      <c r="Y648" s="44" t="s">
        <v>1</v>
      </c>
      <c r="Z648" s="44"/>
      <c r="AA648" s="44" t="s">
        <v>1</v>
      </c>
      <c r="AB648" s="44"/>
      <c r="AC648" s="51">
        <v>44970</v>
      </c>
      <c r="AD648" s="50">
        <v>44970</v>
      </c>
      <c r="AE648" s="40" t="s">
        <v>1</v>
      </c>
      <c r="AF648" s="40" t="s">
        <v>1</v>
      </c>
      <c r="AG648" s="40" t="s">
        <v>5</v>
      </c>
      <c r="AH648" s="36" t="s">
        <v>1</v>
      </c>
      <c r="AI648" s="49">
        <v>0</v>
      </c>
      <c r="AJ648" s="36" t="s">
        <v>1</v>
      </c>
      <c r="AK648" s="10" t="s">
        <v>1</v>
      </c>
      <c r="AL648" s="36" t="s">
        <v>1</v>
      </c>
      <c r="AM648" s="36" t="s">
        <v>1</v>
      </c>
      <c r="AN648" s="35" t="s">
        <v>1</v>
      </c>
      <c r="AO648" s="35" t="s">
        <v>1</v>
      </c>
      <c r="AP648" s="35" t="s">
        <v>1</v>
      </c>
      <c r="AQ648" s="35" t="s">
        <v>1</v>
      </c>
      <c r="AR648" s="82" t="s">
        <v>1</v>
      </c>
      <c r="AS648" s="33"/>
      <c r="AT648" s="30"/>
      <c r="AU648" s="55"/>
      <c r="AV648" s="30"/>
      <c r="AW648" s="55"/>
      <c r="AX648" s="30" t="s">
        <v>1</v>
      </c>
      <c r="AY648" s="55"/>
      <c r="AZ648" s="30" t="s">
        <v>1</v>
      </c>
      <c r="BA648" s="66"/>
      <c r="BB648" s="120" t="s">
        <v>239</v>
      </c>
      <c r="BC648" s="25"/>
      <c r="BD648" s="24" t="s">
        <v>238</v>
      </c>
      <c r="BE648" s="24" t="s">
        <v>238</v>
      </c>
      <c r="BF648" s="79" t="s">
        <v>238</v>
      </c>
      <c r="BG648" s="79" t="s">
        <v>238</v>
      </c>
      <c r="BH648" s="80" t="s">
        <v>238</v>
      </c>
      <c r="BI648" s="79"/>
      <c r="BJ648" s="54" t="s">
        <v>11</v>
      </c>
      <c r="BK648" s="78" t="s">
        <v>11</v>
      </c>
      <c r="BL648" s="69" t="s">
        <v>11</v>
      </c>
      <c r="BM648" s="78" t="s">
        <v>11</v>
      </c>
      <c r="BN648" s="78" t="s">
        <v>11</v>
      </c>
      <c r="BO648" s="78" t="s">
        <v>11</v>
      </c>
      <c r="BP648" s="78" t="s">
        <v>11</v>
      </c>
      <c r="BQ648" s="21">
        <f>YEAR([1]!BANCO10[[#This Row],[DATA INÍCIO]])</f>
        <v>2023</v>
      </c>
      <c r="BR648" s="21">
        <f>MONTH([1]!BANCO10[[#This Row],[DATA INÍCIO]])</f>
        <v>2</v>
      </c>
      <c r="BS648" s="21" t="e">
        <f>CONCATENATE(#REF!,#REF!)</f>
        <v>#REF!</v>
      </c>
      <c r="BT648" s="21"/>
      <c r="BU648" s="21" t="s">
        <v>240</v>
      </c>
      <c r="BV648" s="21" t="str">
        <f>IF([1]!BANCO10[[#This Row],[SOLUÇÃO]]=BV$1,[1]!BANCO10[[#This Row],[STATUS DA ETAPA]],"")</f>
        <v>CONCLUÍDO</v>
      </c>
      <c r="BW648" s="21" t="str">
        <f>IF([1]!BANCO10[[#This Row],[SOLUÇÃO]]=BW$1,[1]!BANCO10[[#This Row],[STATUS DA ETAPA]],"")</f>
        <v/>
      </c>
      <c r="BX648" s="21" t="str">
        <f>IF([1]!BANCO10[[#This Row],[SOLUÇÃO]]=BX$1,[1]!BANCO10[[#This Row],[STATUS DA ETAPA]],"")</f>
        <v/>
      </c>
      <c r="BY648" s="21" t="str">
        <f>IF([1]!BANCO10[[#This Row],[SOLUÇÃO]]=BY$1,[1]!BANCO10[[#This Row],[STATUS DA ETAPA]],"")</f>
        <v/>
      </c>
      <c r="BZ648" s="21" t="str">
        <f>IF([1]!BANCO10[[#This Row],[SOLUÇÃO]]=BZ$1,[1]!BANCO10[[#This Row],[STATUS DA ETAPA]],"")</f>
        <v/>
      </c>
      <c r="CA648" s="21" t="str">
        <f>IF([1]!BANCO10[[#This Row],[SOLUÇÃO]]=CA$1,[1]!BANCO10[[#This Row],[STATUS DA ETAPA]],"")</f>
        <v/>
      </c>
      <c r="CB648" s="21" t="str">
        <f>IF([1]!BANCO10[[#This Row],[SOLUÇÃO]]=CB$1,[1]!BANCO10[[#This Row],[STATUS DA ETAPA]],"")</f>
        <v/>
      </c>
      <c r="CC648" s="21" t="str">
        <f>IF([1]!BANCO10[[#This Row],[SOLUÇÃO]]=CC$1,[1]!BANCO10[[#This Row],[STATUS DA ETAPA]],"")</f>
        <v/>
      </c>
      <c r="CD648" s="21" t="str">
        <f>IF([1]!BANCO10[[#This Row],[SOLUÇÃO]]=CD$1,[1]!BANCO10[[#This Row],[STATUS DA ETAPA]],"")</f>
        <v/>
      </c>
      <c r="CE648" s="21" t="str">
        <f>IF([1]!BANCO10[[#This Row],[SOLUÇÃO]]=CE$1,[1]!BANCO10[[#This Row],[STATUS DA ETAPA]],"")</f>
        <v/>
      </c>
      <c r="CF648" s="21" t="str">
        <f>IF([1]!BANCO10[[#This Row],[SOLUÇÃO]]=CF$1,[1]!BANCO10[[#This Row],[STATUS DA ETAPA]],"")</f>
        <v/>
      </c>
      <c r="CG648" s="21" t="str">
        <f>IF([1]!BANCO10[[#This Row],[SOLUÇÃO]]=CG$1,[1]!BANCO10[[#This Row],[STATUS DA ETAPA]],"")</f>
        <v/>
      </c>
      <c r="CH648" s="21" t="str">
        <f>IF([1]!BANCO10[[#This Row],[SOLUÇÃO]]=CH$1,[1]!BANCO10[[#This Row],[STATUS DA ETAPA]],"")</f>
        <v/>
      </c>
      <c r="CI648" s="21" t="str">
        <f>IF([1]!BANCO10[[#This Row],[SOLUÇÃO]]=CI$1,[1]!BANCO10[[#This Row],[STATUS DA ETAPA]],"")</f>
        <v/>
      </c>
      <c r="CJ648" s="21" t="str">
        <f>IF([1]!BANCO10[[#This Row],[SOLUÇÃO]]=CJ$1,[1]!BANCO10[[#This Row],[STATUS DA ETAPA]],"")</f>
        <v/>
      </c>
      <c r="CK648" s="21" t="str">
        <f>IF([1]!BANCO10[[#This Row],[SOLUÇÃO]]=CK$1,[1]!BANCO10[[#This Row],[STATUS DA ETAPA]],"")</f>
        <v/>
      </c>
      <c r="CL648" s="22" t="str">
        <f>IF([1]!BANCO10[[#This Row],[SOLUÇÃO]]=CL$1,[1]!BANCO10[[#This Row],[STATUS DA ETAPA]],"")</f>
        <v/>
      </c>
      <c r="CM648" s="64" t="str">
        <f>IF([1]!BANCO10[[#This Row],[SOLUÇÃO]]=CM$1,[1]!BANCO10[[#This Row],[STATUS DA ETAPA]],"")</f>
        <v/>
      </c>
      <c r="CN648" s="64" t="str">
        <f>IF([1]!BANCO10[[#This Row],[SOLUÇÃO]]=CN$1,[1]!BANCO10[[#This Row],[STATUS DA ETAPA]],"")</f>
        <v/>
      </c>
      <c r="CO648" s="64" t="str">
        <f>IF([1]!BANCO10[[#This Row],[SOLUÇÃO]]=CO$1,[1]!BANCO10[[#This Row],[STATUS DA ETAPA]],"")</f>
        <v/>
      </c>
      <c r="CP648" s="64" t="str">
        <f>IF([1]!BANCO10[[#This Row],[SOLUÇÃO]]=CP$1,[1]!BANCO10[[#This Row],[STATUS DA ETAPA]],"")</f>
        <v/>
      </c>
      <c r="CQ648" s="64" t="str">
        <f>IF([1]!BANCO10[[#This Row],[SOLUÇÃO]]=CQ$1,[1]!BANCO10[[#This Row],[STATUS DA ETAPA]],"")</f>
        <v/>
      </c>
      <c r="CR648" s="64" t="str">
        <f>IF([1]!BANCO10[[#This Row],[SOLUÇÃO]]=CR$1,[1]!BANCO10[[#This Row],[STATUS DA ETAPA]],"")</f>
        <v/>
      </c>
      <c r="CS648" s="64" t="str">
        <f>IF([1]!BANCO10[[#This Row],[SOLUÇÃO]]=CS$1,[1]!BANCO10[[#This Row],[STATUS DA ETAPA]],"")</f>
        <v/>
      </c>
      <c r="CT648" s="64" t="str">
        <f>IF([1]!BANCO10[[#This Row],[SOLUÇÃO]]=CT$1,[1]!BANCO10[[#This Row],[STATUS DA ETAPA]],"")</f>
        <v/>
      </c>
      <c r="CU648" s="64" t="str">
        <f>IF([1]!BANCO10[[#This Row],[SOLUÇÃO]]=CU$1,[1]!BANCO10[[#This Row],[STATUS DA ETAPA]],"")</f>
        <v/>
      </c>
      <c r="CV648" s="64" t="str">
        <f>IF([1]!BANCO10[[#This Row],[SOLUÇÃO]]=CV$1,[1]!BANCO10[[#This Row],[STATUS DA ETAPA]],"")</f>
        <v/>
      </c>
    </row>
    <row r="649" spans="1:100">
      <c r="A649" s="44" t="s">
        <v>1</v>
      </c>
      <c r="B649" s="44"/>
      <c r="C649" s="44" t="s">
        <v>1</v>
      </c>
      <c r="D649" s="44"/>
      <c r="E649" s="44" t="s">
        <v>1</v>
      </c>
      <c r="F649" s="44"/>
      <c r="G649" s="44" t="s">
        <v>1</v>
      </c>
      <c r="H649" s="44"/>
      <c r="I649" s="45" t="s">
        <v>1</v>
      </c>
      <c r="J649" s="46"/>
      <c r="K649" s="45" t="s">
        <v>1</v>
      </c>
      <c r="L649" s="33"/>
      <c r="M649" s="45" t="s">
        <v>1</v>
      </c>
      <c r="N649" s="33"/>
      <c r="O649" s="44" t="s">
        <v>2</v>
      </c>
      <c r="P649" s="44">
        <v>44971</v>
      </c>
      <c r="Q649" s="44" t="s">
        <v>2</v>
      </c>
      <c r="R649" s="44">
        <v>45260</v>
      </c>
      <c r="S649" s="44" t="s">
        <v>2</v>
      </c>
      <c r="T649" s="44"/>
      <c r="U649" s="44" t="s">
        <v>2</v>
      </c>
      <c r="V649" s="44"/>
      <c r="W649" s="44"/>
      <c r="X649" s="44"/>
      <c r="Y649" s="44"/>
      <c r="Z649" s="44"/>
      <c r="AA649" s="44" t="s">
        <v>1</v>
      </c>
      <c r="AB649" s="44"/>
      <c r="AC649" s="51">
        <v>45963</v>
      </c>
      <c r="AD649" s="50">
        <v>45963</v>
      </c>
      <c r="AE649" s="41" t="s">
        <v>1</v>
      </c>
      <c r="AF649" s="41" t="s">
        <v>1</v>
      </c>
      <c r="AG649" s="40" t="s">
        <v>5</v>
      </c>
      <c r="AH649" s="36" t="s">
        <v>0</v>
      </c>
      <c r="AI649" s="49">
        <v>0</v>
      </c>
      <c r="AJ649" s="36"/>
      <c r="AK649" s="10" t="s">
        <v>30</v>
      </c>
      <c r="AL649" s="36" t="s">
        <v>30</v>
      </c>
      <c r="AM649" s="36" t="s">
        <v>30</v>
      </c>
      <c r="AN649" s="35" t="s">
        <v>1</v>
      </c>
      <c r="AO649" s="35" t="s">
        <v>1</v>
      </c>
      <c r="AP649" s="35"/>
      <c r="AQ649" s="35" t="s">
        <v>1</v>
      </c>
      <c r="AR649" s="34" t="s">
        <v>1</v>
      </c>
      <c r="AS649" s="33"/>
      <c r="AT649" s="32"/>
      <c r="AU649" s="31"/>
      <c r="AV649" s="32"/>
      <c r="AW649" s="31"/>
      <c r="AX649" s="30" t="s">
        <v>0</v>
      </c>
      <c r="AY649" s="29"/>
      <c r="AZ649" s="28" t="s">
        <v>0</v>
      </c>
      <c r="BA649" s="27"/>
      <c r="BB649" s="120" t="s">
        <v>239</v>
      </c>
      <c r="BC649" s="39"/>
      <c r="BD649" s="24" t="s">
        <v>238</v>
      </c>
      <c r="BE649" s="24" t="s">
        <v>238</v>
      </c>
      <c r="BF649" s="79" t="s">
        <v>238</v>
      </c>
      <c r="BG649" s="79" t="s">
        <v>238</v>
      </c>
      <c r="BH649" s="80" t="s">
        <v>238</v>
      </c>
      <c r="BI649" s="79"/>
      <c r="BJ649" s="54" t="s">
        <v>238</v>
      </c>
      <c r="BK649" s="78" t="s">
        <v>238</v>
      </c>
      <c r="BL649" s="69">
        <v>45397</v>
      </c>
      <c r="BM649" s="78"/>
      <c r="BN649" s="78" t="s">
        <v>11</v>
      </c>
      <c r="BO649" s="78"/>
      <c r="BP649" s="78" t="s">
        <v>227</v>
      </c>
      <c r="BQ649" s="21">
        <f>YEAR([1]!BANCO10[[#This Row],[DATA INÍCIO]])</f>
        <v>2025</v>
      </c>
      <c r="BR649" s="21">
        <f>MONTH([1]!BANCO10[[#This Row],[DATA INÍCIO]])</f>
        <v>11</v>
      </c>
      <c r="BS649" s="21" t="e">
        <f>CONCATENATE(#REF!,#REF!)</f>
        <v>#REF!</v>
      </c>
      <c r="BT649" s="21"/>
      <c r="BU649" s="21" t="s">
        <v>30</v>
      </c>
      <c r="BV649" s="21" t="str">
        <f>IF([1]!BANCO10[[#This Row],[SOLUÇÃO]]=BV$1,[1]!BANCO10[[#This Row],[STATUS DA ETAPA]],"")</f>
        <v/>
      </c>
      <c r="BW649" s="21" t="str">
        <f>IF([1]!BANCO10[[#This Row],[SOLUÇÃO]]=BW$1,[1]!BANCO10[[#This Row],[STATUS DA ETAPA]],"")</f>
        <v/>
      </c>
      <c r="BX649" s="21" t="str">
        <f>IF([1]!BANCO10[[#This Row],[SOLUÇÃO]]=BX$1,[1]!BANCO10[[#This Row],[STATUS DA ETAPA]],"")</f>
        <v/>
      </c>
      <c r="BY649" s="21" t="str">
        <f>IF([1]!BANCO10[[#This Row],[SOLUÇÃO]]=BY$1,[1]!BANCO10[[#This Row],[STATUS DA ETAPA]],"")</f>
        <v/>
      </c>
      <c r="BZ649" s="21" t="str">
        <f>IF([1]!BANCO10[[#This Row],[SOLUÇÃO]]=BZ$1,[1]!BANCO10[[#This Row],[STATUS DA ETAPA]],"")</f>
        <v/>
      </c>
      <c r="CA649" s="21" t="str">
        <f>IF([1]!BANCO10[[#This Row],[SOLUÇÃO]]=CA$1,[1]!BANCO10[[#This Row],[STATUS DA ETAPA]],"")</f>
        <v>PROSPECÇÃO</v>
      </c>
      <c r="CB649" s="21" t="str">
        <f>IF([1]!BANCO10[[#This Row],[SOLUÇÃO]]=CB$1,[1]!BANCO10[[#This Row],[STATUS DA ETAPA]],"")</f>
        <v/>
      </c>
      <c r="CC649" s="21" t="str">
        <f>IF([1]!BANCO10[[#This Row],[SOLUÇÃO]]=CC$1,[1]!BANCO10[[#This Row],[STATUS DA ETAPA]],"")</f>
        <v/>
      </c>
      <c r="CD649" s="21" t="str">
        <f>IF([1]!BANCO10[[#This Row],[SOLUÇÃO]]=CD$1,[1]!BANCO10[[#This Row],[STATUS DA ETAPA]],"")</f>
        <v/>
      </c>
      <c r="CE649" s="21" t="str">
        <f>IF([1]!BANCO10[[#This Row],[SOLUÇÃO]]=CE$1,[1]!BANCO10[[#This Row],[STATUS DA ETAPA]],"")</f>
        <v/>
      </c>
      <c r="CF649" s="21" t="str">
        <f>IF([1]!BANCO10[[#This Row],[SOLUÇÃO]]=CF$1,[1]!BANCO10[[#This Row],[STATUS DA ETAPA]],"")</f>
        <v/>
      </c>
      <c r="CG649" s="21" t="str">
        <f>IF([1]!BANCO10[[#This Row],[SOLUÇÃO]]=CG$1,[1]!BANCO10[[#This Row],[STATUS DA ETAPA]],"")</f>
        <v/>
      </c>
      <c r="CH649" s="21" t="str">
        <f>IF([1]!BANCO10[[#This Row],[SOLUÇÃO]]=CH$1,[1]!BANCO10[[#This Row],[STATUS DA ETAPA]],"")</f>
        <v/>
      </c>
      <c r="CI649" s="21" t="str">
        <f>IF([1]!BANCO10[[#This Row],[SOLUÇÃO]]=CI$1,[1]!BANCO10[[#This Row],[STATUS DA ETAPA]],"")</f>
        <v/>
      </c>
      <c r="CJ649" s="21" t="str">
        <f>IF([1]!BANCO10[[#This Row],[SOLUÇÃO]]=CJ$1,[1]!BANCO10[[#This Row],[STATUS DA ETAPA]],"")</f>
        <v/>
      </c>
      <c r="CK649" s="21" t="str">
        <f>IF([1]!BANCO10[[#This Row],[SOLUÇÃO]]=CK$1,[1]!BANCO10[[#This Row],[STATUS DA ETAPA]],"")</f>
        <v/>
      </c>
      <c r="CL649" s="22" t="str">
        <f>IF([1]!BANCO10[[#This Row],[SOLUÇÃO]]=CL$1,[1]!BANCO10[[#This Row],[STATUS DA ETAPA]],"")</f>
        <v/>
      </c>
      <c r="CM649" s="64" t="str">
        <f>IF([1]!BANCO10[[#This Row],[SOLUÇÃO]]=CM$1,[1]!BANCO10[[#This Row],[STATUS DA ETAPA]],"")</f>
        <v/>
      </c>
      <c r="CN649" s="64" t="str">
        <f>IF([1]!BANCO10[[#This Row],[SOLUÇÃO]]=CN$1,[1]!BANCO10[[#This Row],[STATUS DA ETAPA]],"")</f>
        <v/>
      </c>
      <c r="CO649" s="64" t="str">
        <f>IF([1]!BANCO10[[#This Row],[SOLUÇÃO]]=CO$1,[1]!BANCO10[[#This Row],[STATUS DA ETAPA]],"")</f>
        <v/>
      </c>
      <c r="CP649" s="64" t="str">
        <f>IF([1]!BANCO10[[#This Row],[SOLUÇÃO]]=CP$1,[1]!BANCO10[[#This Row],[STATUS DA ETAPA]],"")</f>
        <v/>
      </c>
      <c r="CQ649" s="64" t="str">
        <f>IF([1]!BANCO10[[#This Row],[SOLUÇÃO]]=CQ$1,[1]!BANCO10[[#This Row],[STATUS DA ETAPA]],"")</f>
        <v/>
      </c>
      <c r="CR649" s="64" t="str">
        <f>IF([1]!BANCO10[[#This Row],[SOLUÇÃO]]=CR$1,[1]!BANCO10[[#This Row],[STATUS DA ETAPA]],"")</f>
        <v/>
      </c>
      <c r="CS649" s="64" t="str">
        <f>IF([1]!BANCO10[[#This Row],[SOLUÇÃO]]=CS$1,[1]!BANCO10[[#This Row],[STATUS DA ETAPA]],"")</f>
        <v/>
      </c>
      <c r="CT649" s="64" t="str">
        <f>IF([1]!BANCO10[[#This Row],[SOLUÇÃO]]=CT$1,[1]!BANCO10[[#This Row],[STATUS DA ETAPA]],"")</f>
        <v/>
      </c>
      <c r="CU649" s="64" t="str">
        <f>IF([1]!BANCO10[[#This Row],[SOLUÇÃO]]=CU$1,[1]!BANCO10[[#This Row],[STATUS DA ETAPA]],"")</f>
        <v/>
      </c>
      <c r="CV649" s="64" t="str">
        <f>IF([1]!BANCO10[[#This Row],[SOLUÇÃO]]=CV$1,[1]!BANCO10[[#This Row],[STATUS DA ETAPA]],"")</f>
        <v/>
      </c>
    </row>
    <row r="650" spans="1:100">
      <c r="A650" s="44" t="s">
        <v>1</v>
      </c>
      <c r="B650" s="44"/>
      <c r="C650" s="44" t="s">
        <v>1</v>
      </c>
      <c r="D650" s="44"/>
      <c r="E650" s="44" t="s">
        <v>1</v>
      </c>
      <c r="F650" s="44"/>
      <c r="G650" s="44" t="s">
        <v>1</v>
      </c>
      <c r="H650" s="44"/>
      <c r="I650" s="45" t="s">
        <v>1</v>
      </c>
      <c r="J650" s="46"/>
      <c r="K650" s="45" t="s">
        <v>1</v>
      </c>
      <c r="L650" s="33"/>
      <c r="M650" s="45" t="s">
        <v>1</v>
      </c>
      <c r="N650" s="33"/>
      <c r="O650" s="44" t="s">
        <v>2</v>
      </c>
      <c r="P650" s="44">
        <v>44731</v>
      </c>
      <c r="Q650" s="44" t="s">
        <v>2</v>
      </c>
      <c r="R650" s="44">
        <v>44825</v>
      </c>
      <c r="S650" s="44" t="s">
        <v>2</v>
      </c>
      <c r="T650" s="44">
        <v>44931</v>
      </c>
      <c r="U650" s="44"/>
      <c r="V650" s="44"/>
      <c r="W650" s="44" t="s">
        <v>2</v>
      </c>
      <c r="X650" s="44"/>
      <c r="Y650" s="44" t="s">
        <v>2</v>
      </c>
      <c r="Z650" s="44">
        <v>44931</v>
      </c>
      <c r="AA650" s="44" t="s">
        <v>2</v>
      </c>
      <c r="AB650" s="44"/>
      <c r="AC650" s="84">
        <v>44946</v>
      </c>
      <c r="AD650" s="83">
        <v>45022</v>
      </c>
      <c r="AE650" s="40" t="s">
        <v>2</v>
      </c>
      <c r="AF650" s="40" t="s">
        <v>2</v>
      </c>
      <c r="AG650" s="40" t="s">
        <v>5</v>
      </c>
      <c r="AH650" s="36" t="s">
        <v>0</v>
      </c>
      <c r="AI650" s="49">
        <v>0</v>
      </c>
      <c r="AJ650" s="36" t="s">
        <v>6</v>
      </c>
      <c r="AK650" s="10"/>
      <c r="AL650" s="36" t="s">
        <v>61</v>
      </c>
      <c r="AM650" s="36"/>
      <c r="AN650" s="35" t="s">
        <v>1</v>
      </c>
      <c r="AO650" s="35" t="s">
        <v>1</v>
      </c>
      <c r="AP650" s="35" t="s">
        <v>2</v>
      </c>
      <c r="AQ650" s="35" t="s">
        <v>1</v>
      </c>
      <c r="AR650" s="34" t="s">
        <v>1</v>
      </c>
      <c r="AS650" s="33"/>
      <c r="AT650" s="30"/>
      <c r="AU650" s="55"/>
      <c r="AV650" s="30"/>
      <c r="AW650" s="55"/>
      <c r="AX650" s="30" t="s">
        <v>2</v>
      </c>
      <c r="AY650" s="55">
        <v>45022</v>
      </c>
      <c r="AZ650" s="30" t="s">
        <v>2</v>
      </c>
      <c r="BA650" s="85"/>
      <c r="BB650" s="120"/>
      <c r="BC650" s="39"/>
      <c r="BD650" s="24" t="s">
        <v>11</v>
      </c>
      <c r="BE650" s="24" t="s">
        <v>11</v>
      </c>
      <c r="BF650" s="79" t="s">
        <v>21</v>
      </c>
      <c r="BG650" s="79" t="s">
        <v>11</v>
      </c>
      <c r="BH650" s="80" t="s">
        <v>234</v>
      </c>
      <c r="BI650" s="79"/>
      <c r="BJ650" s="54" t="s">
        <v>11</v>
      </c>
      <c r="BK650" s="78" t="s">
        <v>11</v>
      </c>
      <c r="BL650" s="69" t="s">
        <v>11</v>
      </c>
      <c r="BM650" s="78" t="s">
        <v>11</v>
      </c>
      <c r="BN650" s="78" t="s">
        <v>11</v>
      </c>
      <c r="BO650" s="78" t="s">
        <v>11</v>
      </c>
      <c r="BP650" s="78" t="s">
        <v>11</v>
      </c>
      <c r="BQ650" s="21">
        <f>YEAR([1]!BANCO10[[#This Row],[DATA INÍCIO]])</f>
        <v>2023</v>
      </c>
      <c r="BR650" s="21">
        <f>MONTH([1]!BANCO10[[#This Row],[DATA INÍCIO]])</f>
        <v>1</v>
      </c>
      <c r="BS650" s="21" t="e">
        <f>CONCATENATE(#REF!,#REF!)</f>
        <v>#REF!</v>
      </c>
      <c r="BT650" s="21"/>
      <c r="BU650" s="21" t="s">
        <v>237</v>
      </c>
      <c r="BV650" s="21" t="str">
        <f>IF([1]!BANCO10[[#This Row],[SOLUÇÃO]]=BV$1,[1]!BANCO10[[#This Row],[STATUS DA ETAPA]],"")</f>
        <v/>
      </c>
      <c r="BW650" s="21" t="str">
        <f>IF([1]!BANCO10[[#This Row],[SOLUÇÃO]]=BW$1,[1]!BANCO10[[#This Row],[STATUS DA ETAPA]],"")</f>
        <v/>
      </c>
      <c r="BX650" s="21" t="str">
        <f>IF([1]!BANCO10[[#This Row],[SOLUÇÃO]]=BX$1,[1]!BANCO10[[#This Row],[STATUS DA ETAPA]],"")</f>
        <v/>
      </c>
      <c r="BY650" s="21" t="str">
        <f>IF([1]!BANCO10[[#This Row],[SOLUÇÃO]]=BY$1,[1]!BANCO10[[#This Row],[STATUS DA ETAPA]],"")</f>
        <v/>
      </c>
      <c r="BZ650" s="21" t="str">
        <f>IF([1]!BANCO10[[#This Row],[SOLUÇÃO]]=BZ$1,[1]!BANCO10[[#This Row],[STATUS DA ETAPA]],"")</f>
        <v/>
      </c>
      <c r="CA650" s="21" t="str">
        <f>IF([1]!BANCO10[[#This Row],[SOLUÇÃO]]=CA$1,[1]!BANCO10[[#This Row],[STATUS DA ETAPA]],"")</f>
        <v>CONCLUÍDO</v>
      </c>
      <c r="CB650" s="21" t="str">
        <f>IF([1]!BANCO10[[#This Row],[SOLUÇÃO]]=CB$1,[1]!BANCO10[[#This Row],[STATUS DA ETAPA]],"")</f>
        <v/>
      </c>
      <c r="CC650" s="21" t="str">
        <f>IF([1]!BANCO10[[#This Row],[SOLUÇÃO]]=CC$1,[1]!BANCO10[[#This Row],[STATUS DA ETAPA]],"")</f>
        <v/>
      </c>
      <c r="CD650" s="21" t="str">
        <f>IF([1]!BANCO10[[#This Row],[SOLUÇÃO]]=CD$1,[1]!BANCO10[[#This Row],[STATUS DA ETAPA]],"")</f>
        <v/>
      </c>
      <c r="CE650" s="21" t="str">
        <f>IF([1]!BANCO10[[#This Row],[SOLUÇÃO]]=CE$1,[1]!BANCO10[[#This Row],[STATUS DA ETAPA]],"")</f>
        <v/>
      </c>
      <c r="CF650" s="21" t="str">
        <f>IF([1]!BANCO10[[#This Row],[SOLUÇÃO]]=CF$1,[1]!BANCO10[[#This Row],[STATUS DA ETAPA]],"")</f>
        <v/>
      </c>
      <c r="CG650" s="21" t="str">
        <f>IF([1]!BANCO10[[#This Row],[SOLUÇÃO]]=CG$1,[1]!BANCO10[[#This Row],[STATUS DA ETAPA]],"")</f>
        <v/>
      </c>
      <c r="CH650" s="21" t="str">
        <f>IF([1]!BANCO10[[#This Row],[SOLUÇÃO]]=CH$1,[1]!BANCO10[[#This Row],[STATUS DA ETAPA]],"")</f>
        <v/>
      </c>
      <c r="CI650" s="21" t="str">
        <f>IF([1]!BANCO10[[#This Row],[SOLUÇÃO]]=CI$1,[1]!BANCO10[[#This Row],[STATUS DA ETAPA]],"")</f>
        <v/>
      </c>
      <c r="CJ650" s="21" t="str">
        <f>IF([1]!BANCO10[[#This Row],[SOLUÇÃO]]=CJ$1,[1]!BANCO10[[#This Row],[STATUS DA ETAPA]],"")</f>
        <v/>
      </c>
      <c r="CK650" s="21" t="str">
        <f>IF([1]!BANCO10[[#This Row],[SOLUÇÃO]]=CK$1,[1]!BANCO10[[#This Row],[STATUS DA ETAPA]],"")</f>
        <v/>
      </c>
      <c r="CL650" s="22" t="str">
        <f>IF([1]!BANCO10[[#This Row],[SOLUÇÃO]]=CL$1,[1]!BANCO10[[#This Row],[STATUS DA ETAPA]],"")</f>
        <v/>
      </c>
      <c r="CM650" s="64" t="str">
        <f>IF([1]!BANCO10[[#This Row],[SOLUÇÃO]]=CM$1,[1]!BANCO10[[#This Row],[STATUS DA ETAPA]],"")</f>
        <v/>
      </c>
      <c r="CN650" s="64" t="str">
        <f>IF([1]!BANCO10[[#This Row],[SOLUÇÃO]]=CN$1,[1]!BANCO10[[#This Row],[STATUS DA ETAPA]],"")</f>
        <v/>
      </c>
      <c r="CO650" s="64" t="str">
        <f>IF([1]!BANCO10[[#This Row],[SOLUÇÃO]]=CO$1,[1]!BANCO10[[#This Row],[STATUS DA ETAPA]],"")</f>
        <v/>
      </c>
      <c r="CP650" s="64" t="str">
        <f>IF([1]!BANCO10[[#This Row],[SOLUÇÃO]]=CP$1,[1]!BANCO10[[#This Row],[STATUS DA ETAPA]],"")</f>
        <v/>
      </c>
      <c r="CQ650" s="64" t="str">
        <f>IF([1]!BANCO10[[#This Row],[SOLUÇÃO]]=CQ$1,[1]!BANCO10[[#This Row],[STATUS DA ETAPA]],"")</f>
        <v/>
      </c>
      <c r="CR650" s="64" t="str">
        <f>IF([1]!BANCO10[[#This Row],[SOLUÇÃO]]=CR$1,[1]!BANCO10[[#This Row],[STATUS DA ETAPA]],"")</f>
        <v/>
      </c>
      <c r="CS650" s="64" t="str">
        <f>IF([1]!BANCO10[[#This Row],[SOLUÇÃO]]=CS$1,[1]!BANCO10[[#This Row],[STATUS DA ETAPA]],"")</f>
        <v/>
      </c>
      <c r="CT650" s="64" t="str">
        <f>IF([1]!BANCO10[[#This Row],[SOLUÇÃO]]=CT$1,[1]!BANCO10[[#This Row],[STATUS DA ETAPA]],"")</f>
        <v/>
      </c>
      <c r="CU650" s="64" t="str">
        <f>IF([1]!BANCO10[[#This Row],[SOLUÇÃO]]=CU$1,[1]!BANCO10[[#This Row],[STATUS DA ETAPA]],"")</f>
        <v/>
      </c>
      <c r="CV650" s="64" t="str">
        <f>IF([1]!BANCO10[[#This Row],[SOLUÇÃO]]=CV$1,[1]!BANCO10[[#This Row],[STATUS DA ETAPA]],"")</f>
        <v/>
      </c>
    </row>
    <row r="651" spans="1:100">
      <c r="A651" s="44" t="s">
        <v>1</v>
      </c>
      <c r="B651" s="44"/>
      <c r="C651" s="44" t="s">
        <v>1</v>
      </c>
      <c r="D651" s="44"/>
      <c r="E651" s="44" t="s">
        <v>1</v>
      </c>
      <c r="F651" s="44"/>
      <c r="G651" s="44" t="s">
        <v>1</v>
      </c>
      <c r="H651" s="44"/>
      <c r="I651" s="45" t="s">
        <v>1</v>
      </c>
      <c r="J651" s="46"/>
      <c r="K651" s="45" t="s">
        <v>1</v>
      </c>
      <c r="L651" s="33"/>
      <c r="M651" s="45" t="s">
        <v>1</v>
      </c>
      <c r="N651" s="33"/>
      <c r="O651" s="44" t="s">
        <v>2</v>
      </c>
      <c r="P651" s="44">
        <v>44823</v>
      </c>
      <c r="Q651" s="44" t="s">
        <v>0</v>
      </c>
      <c r="R651" s="44"/>
      <c r="S651" s="44" t="s">
        <v>1</v>
      </c>
      <c r="T651" s="44"/>
      <c r="U651" s="44" t="s">
        <v>1</v>
      </c>
      <c r="V651" s="44"/>
      <c r="W651" s="44" t="s">
        <v>1</v>
      </c>
      <c r="X651" s="44"/>
      <c r="Y651" s="44" t="s">
        <v>1</v>
      </c>
      <c r="Z651" s="44"/>
      <c r="AA651" s="44" t="s">
        <v>1</v>
      </c>
      <c r="AB651" s="44"/>
      <c r="AC651" s="84">
        <v>45182</v>
      </c>
      <c r="AD651" s="83">
        <v>45182</v>
      </c>
      <c r="AE651" s="40" t="s">
        <v>1</v>
      </c>
      <c r="AF651" s="40" t="s">
        <v>1</v>
      </c>
      <c r="AG651" s="40" t="s">
        <v>5</v>
      </c>
      <c r="AH651" s="36" t="s">
        <v>1</v>
      </c>
      <c r="AI651" s="49">
        <v>0</v>
      </c>
      <c r="AJ651" s="36" t="s">
        <v>1</v>
      </c>
      <c r="AK651" s="10" t="s">
        <v>1</v>
      </c>
      <c r="AL651" s="36" t="s">
        <v>1</v>
      </c>
      <c r="AM651" s="36" t="s">
        <v>1</v>
      </c>
      <c r="AN651" s="35" t="s">
        <v>1</v>
      </c>
      <c r="AO651" s="35" t="s">
        <v>1</v>
      </c>
      <c r="AP651" s="35" t="s">
        <v>1</v>
      </c>
      <c r="AQ651" s="35" t="s">
        <v>1</v>
      </c>
      <c r="AR651" s="48" t="s">
        <v>1</v>
      </c>
      <c r="AS651" s="33"/>
      <c r="AT651" s="30"/>
      <c r="AU651" s="55"/>
      <c r="AV651" s="30"/>
      <c r="AW651" s="55"/>
      <c r="AX651" s="30" t="s">
        <v>1</v>
      </c>
      <c r="AY651" s="55"/>
      <c r="AZ651" s="30" t="s">
        <v>1</v>
      </c>
      <c r="BA651" s="85"/>
      <c r="BB651" s="120"/>
      <c r="BC651" s="39"/>
      <c r="BD651" s="24" t="s">
        <v>11</v>
      </c>
      <c r="BE651" s="24" t="s">
        <v>11</v>
      </c>
      <c r="BF651" s="79" t="s">
        <v>21</v>
      </c>
      <c r="BG651" s="79" t="s">
        <v>11</v>
      </c>
      <c r="BH651" s="80" t="s">
        <v>234</v>
      </c>
      <c r="BI651" s="79"/>
      <c r="BJ651" s="54" t="s">
        <v>11</v>
      </c>
      <c r="BK651" s="78" t="s">
        <v>11</v>
      </c>
      <c r="BL651" s="69" t="s">
        <v>11</v>
      </c>
      <c r="BM651" s="78" t="s">
        <v>11</v>
      </c>
      <c r="BN651" s="78" t="s">
        <v>11</v>
      </c>
      <c r="BO651" s="78" t="s">
        <v>11</v>
      </c>
      <c r="BP651" s="78" t="s">
        <v>11</v>
      </c>
      <c r="BQ651" s="21">
        <f>YEAR([1]!BANCO10[[#This Row],[DATA INÍCIO]])</f>
        <v>2023</v>
      </c>
      <c r="BR651" s="21">
        <f>MONTH([1]!BANCO10[[#This Row],[DATA INÍCIO]])</f>
        <v>9</v>
      </c>
      <c r="BS651" s="21" t="e">
        <f>CONCATENATE(#REF!,#REF!)</f>
        <v>#REF!</v>
      </c>
      <c r="BT651" s="21"/>
      <c r="BU651" s="21" t="s">
        <v>236</v>
      </c>
      <c r="BV651" s="21" t="str">
        <f>IF([1]!BANCO10[[#This Row],[SOLUÇÃO]]=BV$1,[1]!BANCO10[[#This Row],[STATUS DA ETAPA]],"")</f>
        <v>CONCLUÍDO</v>
      </c>
      <c r="BW651" s="21" t="str">
        <f>IF([1]!BANCO10[[#This Row],[SOLUÇÃO]]=BW$1,[1]!BANCO10[[#This Row],[STATUS DA ETAPA]],"")</f>
        <v/>
      </c>
      <c r="BX651" s="21" t="str">
        <f>IF([1]!BANCO10[[#This Row],[SOLUÇÃO]]=BX$1,[1]!BANCO10[[#This Row],[STATUS DA ETAPA]],"")</f>
        <v/>
      </c>
      <c r="BY651" s="21" t="str">
        <f>IF([1]!BANCO10[[#This Row],[SOLUÇÃO]]=BY$1,[1]!BANCO10[[#This Row],[STATUS DA ETAPA]],"")</f>
        <v/>
      </c>
      <c r="BZ651" s="21" t="str">
        <f>IF([1]!BANCO10[[#This Row],[SOLUÇÃO]]=BZ$1,[1]!BANCO10[[#This Row],[STATUS DA ETAPA]],"")</f>
        <v/>
      </c>
      <c r="CA651" s="21" t="str">
        <f>IF([1]!BANCO10[[#This Row],[SOLUÇÃO]]=CA$1,[1]!BANCO10[[#This Row],[STATUS DA ETAPA]],"")</f>
        <v/>
      </c>
      <c r="CB651" s="21" t="str">
        <f>IF([1]!BANCO10[[#This Row],[SOLUÇÃO]]=CB$1,[1]!BANCO10[[#This Row],[STATUS DA ETAPA]],"")</f>
        <v/>
      </c>
      <c r="CC651" s="21" t="str">
        <f>IF([1]!BANCO10[[#This Row],[SOLUÇÃO]]=CC$1,[1]!BANCO10[[#This Row],[STATUS DA ETAPA]],"")</f>
        <v/>
      </c>
      <c r="CD651" s="21" t="str">
        <f>IF([1]!BANCO10[[#This Row],[SOLUÇÃO]]=CD$1,[1]!BANCO10[[#This Row],[STATUS DA ETAPA]],"")</f>
        <v/>
      </c>
      <c r="CE651" s="21" t="str">
        <f>IF([1]!BANCO10[[#This Row],[SOLUÇÃO]]=CE$1,[1]!BANCO10[[#This Row],[STATUS DA ETAPA]],"")</f>
        <v/>
      </c>
      <c r="CF651" s="21" t="str">
        <f>IF([1]!BANCO10[[#This Row],[SOLUÇÃO]]=CF$1,[1]!BANCO10[[#This Row],[STATUS DA ETAPA]],"")</f>
        <v/>
      </c>
      <c r="CG651" s="21" t="str">
        <f>IF([1]!BANCO10[[#This Row],[SOLUÇÃO]]=CG$1,[1]!BANCO10[[#This Row],[STATUS DA ETAPA]],"")</f>
        <v/>
      </c>
      <c r="CH651" s="21" t="str">
        <f>IF([1]!BANCO10[[#This Row],[SOLUÇÃO]]=CH$1,[1]!BANCO10[[#This Row],[STATUS DA ETAPA]],"")</f>
        <v/>
      </c>
      <c r="CI651" s="21" t="str">
        <f>IF([1]!BANCO10[[#This Row],[SOLUÇÃO]]=CI$1,[1]!BANCO10[[#This Row],[STATUS DA ETAPA]],"")</f>
        <v/>
      </c>
      <c r="CJ651" s="21" t="str">
        <f>IF([1]!BANCO10[[#This Row],[SOLUÇÃO]]=CJ$1,[1]!BANCO10[[#This Row],[STATUS DA ETAPA]],"")</f>
        <v/>
      </c>
      <c r="CK651" s="21" t="str">
        <f>IF([1]!BANCO10[[#This Row],[SOLUÇÃO]]=CK$1,[1]!BANCO10[[#This Row],[STATUS DA ETAPA]],"")</f>
        <v/>
      </c>
      <c r="CL651" s="22" t="str">
        <f>IF([1]!BANCO10[[#This Row],[SOLUÇÃO]]=CL$1,[1]!BANCO10[[#This Row],[STATUS DA ETAPA]],"")</f>
        <v/>
      </c>
      <c r="CM651" s="64" t="str">
        <f>IF([1]!BANCO10[[#This Row],[SOLUÇÃO]]=CM$1,[1]!BANCO10[[#This Row],[STATUS DA ETAPA]],"")</f>
        <v/>
      </c>
      <c r="CN651" s="64" t="str">
        <f>IF([1]!BANCO10[[#This Row],[SOLUÇÃO]]=CN$1,[1]!BANCO10[[#This Row],[STATUS DA ETAPA]],"")</f>
        <v/>
      </c>
      <c r="CO651" s="64" t="str">
        <f>IF([1]!BANCO10[[#This Row],[SOLUÇÃO]]=CO$1,[1]!BANCO10[[#This Row],[STATUS DA ETAPA]],"")</f>
        <v/>
      </c>
      <c r="CP651" s="64" t="str">
        <f>IF([1]!BANCO10[[#This Row],[SOLUÇÃO]]=CP$1,[1]!BANCO10[[#This Row],[STATUS DA ETAPA]],"")</f>
        <v/>
      </c>
      <c r="CQ651" s="64" t="str">
        <f>IF([1]!BANCO10[[#This Row],[SOLUÇÃO]]=CQ$1,[1]!BANCO10[[#This Row],[STATUS DA ETAPA]],"")</f>
        <v/>
      </c>
      <c r="CR651" s="64" t="str">
        <f>IF([1]!BANCO10[[#This Row],[SOLUÇÃO]]=CR$1,[1]!BANCO10[[#This Row],[STATUS DA ETAPA]],"")</f>
        <v/>
      </c>
      <c r="CS651" s="64" t="str">
        <f>IF([1]!BANCO10[[#This Row],[SOLUÇÃO]]=CS$1,[1]!BANCO10[[#This Row],[STATUS DA ETAPA]],"")</f>
        <v/>
      </c>
      <c r="CT651" s="64" t="str">
        <f>IF([1]!BANCO10[[#This Row],[SOLUÇÃO]]=CT$1,[1]!BANCO10[[#This Row],[STATUS DA ETAPA]],"")</f>
        <v/>
      </c>
      <c r="CU651" s="64" t="str">
        <f>IF([1]!BANCO10[[#This Row],[SOLUÇÃO]]=CU$1,[1]!BANCO10[[#This Row],[STATUS DA ETAPA]],"")</f>
        <v/>
      </c>
      <c r="CV651" s="64" t="str">
        <f>IF([1]!BANCO10[[#This Row],[SOLUÇÃO]]=CV$1,[1]!BANCO10[[#This Row],[STATUS DA ETAPA]],"")</f>
        <v/>
      </c>
    </row>
    <row r="652" spans="1:100">
      <c r="A652" s="44" t="s">
        <v>1</v>
      </c>
      <c r="B652" s="44"/>
      <c r="C652" s="44" t="s">
        <v>1</v>
      </c>
      <c r="D652" s="44"/>
      <c r="E652" s="44" t="s">
        <v>1</v>
      </c>
      <c r="F652" s="44"/>
      <c r="G652" s="44" t="s">
        <v>1</v>
      </c>
      <c r="H652" s="44"/>
      <c r="I652" s="45" t="s">
        <v>1</v>
      </c>
      <c r="J652" s="46"/>
      <c r="K652" s="45" t="s">
        <v>1</v>
      </c>
      <c r="L652" s="33"/>
      <c r="M652" s="45" t="s">
        <v>1</v>
      </c>
      <c r="N652" s="33"/>
      <c r="O652" s="44" t="s">
        <v>2</v>
      </c>
      <c r="P652" s="44">
        <v>44731</v>
      </c>
      <c r="Q652" s="44" t="s">
        <v>2</v>
      </c>
      <c r="R652" s="44">
        <v>45378</v>
      </c>
      <c r="S652" s="44" t="s">
        <v>2</v>
      </c>
      <c r="T652" s="44">
        <v>45409</v>
      </c>
      <c r="U652" s="44" t="s">
        <v>2</v>
      </c>
      <c r="V652" s="44">
        <v>45379</v>
      </c>
      <c r="W652" s="44"/>
      <c r="X652" s="44"/>
      <c r="Y652" s="44"/>
      <c r="Z652" s="44"/>
      <c r="AA652" s="44" t="s">
        <v>2</v>
      </c>
      <c r="AB652" s="44"/>
      <c r="AC652" s="84">
        <v>45424</v>
      </c>
      <c r="AD652" s="83">
        <v>45502</v>
      </c>
      <c r="AE652" s="40" t="s">
        <v>2</v>
      </c>
      <c r="AF652" s="40" t="s">
        <v>2</v>
      </c>
      <c r="AG652" s="40" t="s">
        <v>5</v>
      </c>
      <c r="AH652" s="36" t="s">
        <v>0</v>
      </c>
      <c r="AI652" s="49">
        <v>0</v>
      </c>
      <c r="AJ652" s="36" t="s">
        <v>6</v>
      </c>
      <c r="AK652" s="10">
        <v>0</v>
      </c>
      <c r="AL652" s="36" t="s">
        <v>235</v>
      </c>
      <c r="AM652" s="36">
        <v>0</v>
      </c>
      <c r="AN652" s="35" t="s">
        <v>1</v>
      </c>
      <c r="AO652" s="35" t="s">
        <v>1</v>
      </c>
      <c r="AP652" s="35" t="s">
        <v>2</v>
      </c>
      <c r="AQ652" s="35" t="s">
        <v>1</v>
      </c>
      <c r="AR652" s="34" t="s">
        <v>1</v>
      </c>
      <c r="AS652" s="33"/>
      <c r="AT652" s="30"/>
      <c r="AU652" s="55"/>
      <c r="AV652" s="30"/>
      <c r="AW652" s="55"/>
      <c r="AX652" s="30" t="s">
        <v>2</v>
      </c>
      <c r="AY652" s="55">
        <v>45502</v>
      </c>
      <c r="AZ652" s="30" t="s">
        <v>0</v>
      </c>
      <c r="BA652" s="91"/>
      <c r="BB652" s="39"/>
      <c r="BC652" s="25"/>
      <c r="BD652" s="24" t="s">
        <v>11</v>
      </c>
      <c r="BE652" s="24" t="s">
        <v>11</v>
      </c>
      <c r="BF652" s="79" t="s">
        <v>21</v>
      </c>
      <c r="BG652" s="79" t="s">
        <v>11</v>
      </c>
      <c r="BH652" s="80" t="s">
        <v>234</v>
      </c>
      <c r="BI652" s="79"/>
      <c r="BJ652" s="54" t="s">
        <v>11</v>
      </c>
      <c r="BK652" s="78" t="s">
        <v>11</v>
      </c>
      <c r="BL652" s="69">
        <v>45391</v>
      </c>
      <c r="BM652" s="78" t="s">
        <v>18</v>
      </c>
      <c r="BN652" s="78" t="s">
        <v>11</v>
      </c>
      <c r="BO652" s="78"/>
      <c r="BP652" s="78" t="s">
        <v>214</v>
      </c>
      <c r="BQ652" s="21">
        <f>YEAR([1]!BANCO10[[#This Row],[DATA INÍCIO]])</f>
        <v>2024</v>
      </c>
      <c r="BR652" s="21">
        <f>MONTH([1]!BANCO10[[#This Row],[DATA INÍCIO]])</f>
        <v>5</v>
      </c>
      <c r="BS652" s="21" t="e">
        <f>CONCATENATE(#REF!,#REF!)</f>
        <v>#REF!</v>
      </c>
      <c r="BT652" s="21"/>
      <c r="BU652" s="21" t="s">
        <v>233</v>
      </c>
      <c r="BV652" s="21" t="str">
        <f>IF([1]!BANCO10[[#This Row],[SOLUÇÃO]]=BV$1,[1]!BANCO10[[#This Row],[STATUS DA ETAPA]],"")</f>
        <v/>
      </c>
      <c r="BW652" s="21" t="str">
        <f>IF([1]!BANCO10[[#This Row],[SOLUÇÃO]]=BW$1,[1]!BANCO10[[#This Row],[STATUS DA ETAPA]],"")</f>
        <v/>
      </c>
      <c r="BX652" s="21" t="str">
        <f>IF([1]!BANCO10[[#This Row],[SOLUÇÃO]]=BX$1,[1]!BANCO10[[#This Row],[STATUS DA ETAPA]],"")</f>
        <v/>
      </c>
      <c r="BY652" s="21" t="str">
        <f>IF([1]!BANCO10[[#This Row],[SOLUÇÃO]]=BY$1,[1]!BANCO10[[#This Row],[STATUS DA ETAPA]],"")</f>
        <v/>
      </c>
      <c r="BZ652" s="21" t="str">
        <f>IF([1]!BANCO10[[#This Row],[SOLUÇÃO]]=BZ$1,[1]!BANCO10[[#This Row],[STATUS DA ETAPA]],"")</f>
        <v/>
      </c>
      <c r="CA652" s="21" t="str">
        <f>IF([1]!BANCO10[[#This Row],[SOLUÇÃO]]=CA$1,[1]!BANCO10[[#This Row],[STATUS DA ETAPA]],"")</f>
        <v/>
      </c>
      <c r="CB652" s="21" t="str">
        <f>IF([1]!BANCO10[[#This Row],[SOLUÇÃO]]=CB$1,[1]!BANCO10[[#This Row],[STATUS DA ETAPA]],"")</f>
        <v/>
      </c>
      <c r="CC652" s="21" t="str">
        <f>IF([1]!BANCO10[[#This Row],[SOLUÇÃO]]=CC$1,[1]!BANCO10[[#This Row],[STATUS DA ETAPA]],"")</f>
        <v>CONCLUÍDO</v>
      </c>
      <c r="CD652" s="21" t="str">
        <f>IF([1]!BANCO10[[#This Row],[SOLUÇÃO]]=CD$1,[1]!BANCO10[[#This Row],[STATUS DA ETAPA]],"")</f>
        <v/>
      </c>
      <c r="CE652" s="21" t="str">
        <f>IF([1]!BANCO10[[#This Row],[SOLUÇÃO]]=CE$1,[1]!BANCO10[[#This Row],[STATUS DA ETAPA]],"")</f>
        <v/>
      </c>
      <c r="CF652" s="21" t="str">
        <f>IF([1]!BANCO10[[#This Row],[SOLUÇÃO]]=CF$1,[1]!BANCO10[[#This Row],[STATUS DA ETAPA]],"")</f>
        <v/>
      </c>
      <c r="CG652" s="21" t="str">
        <f>IF([1]!BANCO10[[#This Row],[SOLUÇÃO]]=CG$1,[1]!BANCO10[[#This Row],[STATUS DA ETAPA]],"")</f>
        <v/>
      </c>
      <c r="CH652" s="21" t="str">
        <f>IF([1]!BANCO10[[#This Row],[SOLUÇÃO]]=CH$1,[1]!BANCO10[[#This Row],[STATUS DA ETAPA]],"")</f>
        <v/>
      </c>
      <c r="CI652" s="21" t="str">
        <f>IF([1]!BANCO10[[#This Row],[SOLUÇÃO]]=CI$1,[1]!BANCO10[[#This Row],[STATUS DA ETAPA]],"")</f>
        <v/>
      </c>
      <c r="CJ652" s="21" t="str">
        <f>IF([1]!BANCO10[[#This Row],[SOLUÇÃO]]=CJ$1,[1]!BANCO10[[#This Row],[STATUS DA ETAPA]],"")</f>
        <v/>
      </c>
      <c r="CK652" s="21" t="str">
        <f>IF([1]!BANCO10[[#This Row],[SOLUÇÃO]]=CK$1,[1]!BANCO10[[#This Row],[STATUS DA ETAPA]],"")</f>
        <v/>
      </c>
      <c r="CL652" s="22" t="str">
        <f>IF([1]!BANCO10[[#This Row],[SOLUÇÃO]]=CL$1,[1]!BANCO10[[#This Row],[STATUS DA ETAPA]],"")</f>
        <v/>
      </c>
      <c r="CM652" s="64" t="str">
        <f>IF([1]!BANCO10[[#This Row],[SOLUÇÃO]]=CM$1,[1]!BANCO10[[#This Row],[STATUS DA ETAPA]],"")</f>
        <v/>
      </c>
      <c r="CN652" s="64" t="str">
        <f>IF([1]!BANCO10[[#This Row],[SOLUÇÃO]]=CN$1,[1]!BANCO10[[#This Row],[STATUS DA ETAPA]],"")</f>
        <v/>
      </c>
      <c r="CO652" s="64" t="str">
        <f>IF([1]!BANCO10[[#This Row],[SOLUÇÃO]]=CO$1,[1]!BANCO10[[#This Row],[STATUS DA ETAPA]],"")</f>
        <v/>
      </c>
      <c r="CP652" s="64" t="str">
        <f>IF([1]!BANCO10[[#This Row],[SOLUÇÃO]]=CP$1,[1]!BANCO10[[#This Row],[STATUS DA ETAPA]],"")</f>
        <v/>
      </c>
      <c r="CQ652" s="64" t="str">
        <f>IF([1]!BANCO10[[#This Row],[SOLUÇÃO]]=CQ$1,[1]!BANCO10[[#This Row],[STATUS DA ETAPA]],"")</f>
        <v/>
      </c>
      <c r="CR652" s="64" t="str">
        <f>IF([1]!BANCO10[[#This Row],[SOLUÇÃO]]=CR$1,[1]!BANCO10[[#This Row],[STATUS DA ETAPA]],"")</f>
        <v/>
      </c>
      <c r="CS652" s="64" t="str">
        <f>IF([1]!BANCO10[[#This Row],[SOLUÇÃO]]=CS$1,[1]!BANCO10[[#This Row],[STATUS DA ETAPA]],"")</f>
        <v/>
      </c>
      <c r="CT652" s="64" t="str">
        <f>IF([1]!BANCO10[[#This Row],[SOLUÇÃO]]=CT$1,[1]!BANCO10[[#This Row],[STATUS DA ETAPA]],"")</f>
        <v/>
      </c>
      <c r="CU652" s="64" t="str">
        <f>IF([1]!BANCO10[[#This Row],[SOLUÇÃO]]=CU$1,[1]!BANCO10[[#This Row],[STATUS DA ETAPA]],"")</f>
        <v/>
      </c>
      <c r="CV652" s="64" t="str">
        <f>IF([1]!BANCO10[[#This Row],[SOLUÇÃO]]=CV$1,[1]!BANCO10[[#This Row],[STATUS DA ETAPA]],"")</f>
        <v/>
      </c>
    </row>
    <row r="653" spans="1:100">
      <c r="A653" s="44" t="s">
        <v>1</v>
      </c>
      <c r="B653" s="44"/>
      <c r="C653" s="44" t="s">
        <v>1</v>
      </c>
      <c r="D653" s="44"/>
      <c r="E653" s="44" t="s">
        <v>1</v>
      </c>
      <c r="F653" s="44"/>
      <c r="G653" s="44" t="s">
        <v>1</v>
      </c>
      <c r="H653" s="44"/>
      <c r="I653" s="45" t="s">
        <v>1</v>
      </c>
      <c r="J653" s="46"/>
      <c r="K653" s="45" t="s">
        <v>1</v>
      </c>
      <c r="L653" s="33"/>
      <c r="M653" s="45" t="s">
        <v>1</v>
      </c>
      <c r="N653" s="33"/>
      <c r="O653" s="44" t="s">
        <v>2</v>
      </c>
      <c r="P653" s="44">
        <v>44927</v>
      </c>
      <c r="Q653" s="44" t="s">
        <v>2</v>
      </c>
      <c r="R653" s="44">
        <v>45254</v>
      </c>
      <c r="S653" s="44" t="s">
        <v>2</v>
      </c>
      <c r="T653" s="44">
        <v>45254</v>
      </c>
      <c r="U653" s="44" t="s">
        <v>1</v>
      </c>
      <c r="V653" s="44"/>
      <c r="W653" s="44" t="s">
        <v>1</v>
      </c>
      <c r="X653" s="44"/>
      <c r="Y653" s="44" t="s">
        <v>1</v>
      </c>
      <c r="Z653" s="44"/>
      <c r="AA653" s="44" t="s">
        <v>1</v>
      </c>
      <c r="AB653" s="44"/>
      <c r="AC653" s="84">
        <v>45260</v>
      </c>
      <c r="AD653" s="83">
        <v>45362</v>
      </c>
      <c r="AE653" s="40" t="s">
        <v>2</v>
      </c>
      <c r="AF653" s="40" t="s">
        <v>2</v>
      </c>
      <c r="AG653" s="40" t="s">
        <v>5</v>
      </c>
      <c r="AH653" s="36" t="s">
        <v>2</v>
      </c>
      <c r="AI653" s="49">
        <v>0</v>
      </c>
      <c r="AJ653" s="36" t="s">
        <v>1</v>
      </c>
      <c r="AK653" s="10" t="s">
        <v>1</v>
      </c>
      <c r="AL653" s="36" t="s">
        <v>1</v>
      </c>
      <c r="AM653" s="36" t="s">
        <v>1</v>
      </c>
      <c r="AN653" s="35" t="s">
        <v>1</v>
      </c>
      <c r="AO653" s="35" t="s">
        <v>1</v>
      </c>
      <c r="AP653" s="35" t="s">
        <v>2</v>
      </c>
      <c r="AQ653" s="35" t="s">
        <v>1</v>
      </c>
      <c r="AR653" s="33" t="s">
        <v>1</v>
      </c>
      <c r="AS653" s="33"/>
      <c r="AT653" s="30"/>
      <c r="AU653" s="55"/>
      <c r="AV653" s="30"/>
      <c r="AW653" s="55"/>
      <c r="AX653" s="30" t="s">
        <v>2</v>
      </c>
      <c r="AY653" s="55">
        <v>45362</v>
      </c>
      <c r="AZ653" s="30" t="s">
        <v>2</v>
      </c>
      <c r="BA653" s="91">
        <v>45363</v>
      </c>
      <c r="BB653" s="39" t="s">
        <v>34</v>
      </c>
      <c r="BC653" s="25"/>
      <c r="BD653" s="24" t="s">
        <v>11</v>
      </c>
      <c r="BE653" s="24" t="s">
        <v>11</v>
      </c>
      <c r="BF653" s="79" t="s">
        <v>11</v>
      </c>
      <c r="BG653" s="79" t="s">
        <v>11</v>
      </c>
      <c r="BH653" s="80" t="s">
        <v>11</v>
      </c>
      <c r="BI653" s="79"/>
      <c r="BJ653" s="54" t="s">
        <v>11</v>
      </c>
      <c r="BK653" s="78" t="s">
        <v>11</v>
      </c>
      <c r="BL653" s="69">
        <v>45391</v>
      </c>
      <c r="BM653" s="78" t="s">
        <v>11</v>
      </c>
      <c r="BN653" s="78" t="s">
        <v>11</v>
      </c>
      <c r="BO653" s="78"/>
      <c r="BP653" s="78" t="s">
        <v>188</v>
      </c>
      <c r="BQ653" s="21">
        <f>YEAR([1]!BANCO10[[#This Row],[DATA INÍCIO]])</f>
        <v>2023</v>
      </c>
      <c r="BR653" s="21">
        <f>MONTH([1]!BANCO10[[#This Row],[DATA INÍCIO]])</f>
        <v>11</v>
      </c>
      <c r="BS653" s="21" t="e">
        <f>CONCATENATE(#REF!,#REF!)</f>
        <v>#REF!</v>
      </c>
      <c r="BT653" s="21"/>
      <c r="BU653" s="21" t="s">
        <v>232</v>
      </c>
      <c r="BV653" s="21" t="str">
        <f>IF([1]!BANCO10[[#This Row],[SOLUÇÃO]]=BV$1,[1]!BANCO10[[#This Row],[STATUS DA ETAPA]],"")</f>
        <v/>
      </c>
      <c r="BW653" s="21" t="str">
        <f>IF([1]!BANCO10[[#This Row],[SOLUÇÃO]]=BW$1,[1]!BANCO10[[#This Row],[STATUS DA ETAPA]],"")</f>
        <v/>
      </c>
      <c r="BX653" s="21" t="str">
        <f>IF([1]!BANCO10[[#This Row],[SOLUÇÃO]]=BX$1,[1]!BANCO10[[#This Row],[STATUS DA ETAPA]],"")</f>
        <v/>
      </c>
      <c r="BY653" s="21" t="str">
        <f>IF([1]!BANCO10[[#This Row],[SOLUÇÃO]]=BY$1,[1]!BANCO10[[#This Row],[STATUS DA ETAPA]],"")</f>
        <v/>
      </c>
      <c r="BZ653" s="21" t="str">
        <f>IF([1]!BANCO10[[#This Row],[SOLUÇÃO]]=BZ$1,[1]!BANCO10[[#This Row],[STATUS DA ETAPA]],"")</f>
        <v/>
      </c>
      <c r="CA653" s="21" t="str">
        <f>IF([1]!BANCO10[[#This Row],[SOLUÇÃO]]=CA$1,[1]!BANCO10[[#This Row],[STATUS DA ETAPA]],"")</f>
        <v>CONCLUÍDO</v>
      </c>
      <c r="CB653" s="21" t="str">
        <f>IF([1]!BANCO10[[#This Row],[SOLUÇÃO]]=CB$1,[1]!BANCO10[[#This Row],[STATUS DA ETAPA]],"")</f>
        <v/>
      </c>
      <c r="CC653" s="21" t="str">
        <f>IF([1]!BANCO10[[#This Row],[SOLUÇÃO]]=CC$1,[1]!BANCO10[[#This Row],[STATUS DA ETAPA]],"")</f>
        <v/>
      </c>
      <c r="CD653" s="21" t="str">
        <f>IF([1]!BANCO10[[#This Row],[SOLUÇÃO]]=CD$1,[1]!BANCO10[[#This Row],[STATUS DA ETAPA]],"")</f>
        <v/>
      </c>
      <c r="CE653" s="21" t="str">
        <f>IF([1]!BANCO10[[#This Row],[SOLUÇÃO]]=CE$1,[1]!BANCO10[[#This Row],[STATUS DA ETAPA]],"")</f>
        <v/>
      </c>
      <c r="CF653" s="21" t="str">
        <f>IF([1]!BANCO10[[#This Row],[SOLUÇÃO]]=CF$1,[1]!BANCO10[[#This Row],[STATUS DA ETAPA]],"")</f>
        <v/>
      </c>
      <c r="CG653" s="21" t="str">
        <f>IF([1]!BANCO10[[#This Row],[SOLUÇÃO]]=CG$1,[1]!BANCO10[[#This Row],[STATUS DA ETAPA]],"")</f>
        <v/>
      </c>
      <c r="CH653" s="21" t="str">
        <f>IF([1]!BANCO10[[#This Row],[SOLUÇÃO]]=CH$1,[1]!BANCO10[[#This Row],[STATUS DA ETAPA]],"")</f>
        <v/>
      </c>
      <c r="CI653" s="21" t="str">
        <f>IF([1]!BANCO10[[#This Row],[SOLUÇÃO]]=CI$1,[1]!BANCO10[[#This Row],[STATUS DA ETAPA]],"")</f>
        <v/>
      </c>
      <c r="CJ653" s="21" t="str">
        <f>IF([1]!BANCO10[[#This Row],[SOLUÇÃO]]=CJ$1,[1]!BANCO10[[#This Row],[STATUS DA ETAPA]],"")</f>
        <v/>
      </c>
      <c r="CK653" s="21" t="str">
        <f>IF([1]!BANCO10[[#This Row],[SOLUÇÃO]]=CK$1,[1]!BANCO10[[#This Row],[STATUS DA ETAPA]],"")</f>
        <v/>
      </c>
      <c r="CL653" s="22" t="str">
        <f>IF([1]!BANCO10[[#This Row],[SOLUÇÃO]]=CL$1,[1]!BANCO10[[#This Row],[STATUS DA ETAPA]],"")</f>
        <v/>
      </c>
      <c r="CM653" s="64" t="str">
        <f>IF([1]!BANCO10[[#This Row],[SOLUÇÃO]]=CM$1,[1]!BANCO10[[#This Row],[STATUS DA ETAPA]],"")</f>
        <v/>
      </c>
      <c r="CN653" s="64" t="str">
        <f>IF([1]!BANCO10[[#This Row],[SOLUÇÃO]]=CN$1,[1]!BANCO10[[#This Row],[STATUS DA ETAPA]],"")</f>
        <v/>
      </c>
      <c r="CO653" s="64" t="str">
        <f>IF([1]!BANCO10[[#This Row],[SOLUÇÃO]]=CO$1,[1]!BANCO10[[#This Row],[STATUS DA ETAPA]],"")</f>
        <v/>
      </c>
      <c r="CP653" s="64" t="str">
        <f>IF([1]!BANCO10[[#This Row],[SOLUÇÃO]]=CP$1,[1]!BANCO10[[#This Row],[STATUS DA ETAPA]],"")</f>
        <v/>
      </c>
      <c r="CQ653" s="64" t="str">
        <f>IF([1]!BANCO10[[#This Row],[SOLUÇÃO]]=CQ$1,[1]!BANCO10[[#This Row],[STATUS DA ETAPA]],"")</f>
        <v/>
      </c>
      <c r="CR653" s="64" t="str">
        <f>IF([1]!BANCO10[[#This Row],[SOLUÇÃO]]=CR$1,[1]!BANCO10[[#This Row],[STATUS DA ETAPA]],"")</f>
        <v/>
      </c>
      <c r="CS653" s="64" t="str">
        <f>IF([1]!BANCO10[[#This Row],[SOLUÇÃO]]=CS$1,[1]!BANCO10[[#This Row],[STATUS DA ETAPA]],"")</f>
        <v/>
      </c>
      <c r="CT653" s="64" t="str">
        <f>IF([1]!BANCO10[[#This Row],[SOLUÇÃO]]=CT$1,[1]!BANCO10[[#This Row],[STATUS DA ETAPA]],"")</f>
        <v/>
      </c>
      <c r="CU653" s="64" t="str">
        <f>IF([1]!BANCO10[[#This Row],[SOLUÇÃO]]=CU$1,[1]!BANCO10[[#This Row],[STATUS DA ETAPA]],"")</f>
        <v/>
      </c>
      <c r="CV653" s="64" t="str">
        <f>IF([1]!BANCO10[[#This Row],[SOLUÇÃO]]=CV$1,[1]!BANCO10[[#This Row],[STATUS DA ETAPA]],"")</f>
        <v/>
      </c>
    </row>
    <row r="654" spans="1:100">
      <c r="A654" s="44" t="s">
        <v>0</v>
      </c>
      <c r="B654" s="44"/>
      <c r="C654" s="44" t="s">
        <v>0</v>
      </c>
      <c r="D654" s="44"/>
      <c r="E654" s="44" t="s">
        <v>0</v>
      </c>
      <c r="F654" s="44"/>
      <c r="G654" s="44" t="s">
        <v>0</v>
      </c>
      <c r="H654" s="44"/>
      <c r="I654" s="45" t="s">
        <v>0</v>
      </c>
      <c r="J654" s="46"/>
      <c r="K654" s="45" t="s">
        <v>0</v>
      </c>
      <c r="L654" s="33"/>
      <c r="M654" s="45" t="s">
        <v>0</v>
      </c>
      <c r="N654" s="33"/>
      <c r="O654" s="44" t="s">
        <v>0</v>
      </c>
      <c r="P654" s="44"/>
      <c r="Q654" s="44" t="s">
        <v>2</v>
      </c>
      <c r="R654" s="44">
        <v>45918</v>
      </c>
      <c r="S654" s="44" t="s">
        <v>0</v>
      </c>
      <c r="T654" s="44"/>
      <c r="U654" s="44" t="s">
        <v>1</v>
      </c>
      <c r="V654" s="44"/>
      <c r="W654" s="44" t="s">
        <v>1</v>
      </c>
      <c r="X654" s="44"/>
      <c r="Y654" s="44" t="s">
        <v>1</v>
      </c>
      <c r="Z654" s="44"/>
      <c r="AA654" s="44" t="s">
        <v>1</v>
      </c>
      <c r="AB654" s="44"/>
      <c r="AC654" s="51">
        <v>46022</v>
      </c>
      <c r="AD654" s="50">
        <v>46022</v>
      </c>
      <c r="AE654" s="41" t="s">
        <v>0</v>
      </c>
      <c r="AF654" s="41" t="s">
        <v>0</v>
      </c>
      <c r="AG654" s="76" t="s">
        <v>5</v>
      </c>
      <c r="AH654" s="36" t="s">
        <v>0</v>
      </c>
      <c r="AI654" s="49">
        <v>20140</v>
      </c>
      <c r="AJ654" s="36"/>
      <c r="AK654" s="21" t="s">
        <v>1</v>
      </c>
      <c r="AL654" s="36" t="s">
        <v>1</v>
      </c>
      <c r="AM654" s="36" t="s">
        <v>1</v>
      </c>
      <c r="AN654" s="35" t="s">
        <v>0</v>
      </c>
      <c r="AO654" s="35" t="s">
        <v>0</v>
      </c>
      <c r="AP654" s="35" t="s">
        <v>0</v>
      </c>
      <c r="AQ654" s="35" t="s">
        <v>0</v>
      </c>
      <c r="AR654" s="34" t="s">
        <v>0</v>
      </c>
      <c r="AS654" s="33"/>
      <c r="AT654" s="32" t="s">
        <v>0</v>
      </c>
      <c r="AU654" s="31"/>
      <c r="AV654" s="32" t="s">
        <v>0</v>
      </c>
      <c r="AW654" s="31"/>
      <c r="AX654" s="32" t="s">
        <v>0</v>
      </c>
      <c r="AY654" s="31"/>
      <c r="AZ654" s="32" t="s">
        <v>0</v>
      </c>
      <c r="BA654" s="31"/>
      <c r="BB654" s="124"/>
      <c r="BC654" s="25"/>
      <c r="BD654" s="24"/>
      <c r="BE654" s="24"/>
      <c r="BF654" s="24"/>
      <c r="BG654" s="24"/>
      <c r="BH654" s="24"/>
      <c r="BI654" s="24"/>
      <c r="BJ654" s="24"/>
      <c r="BK654" s="24"/>
      <c r="BL654" s="24"/>
      <c r="BM654" s="24"/>
      <c r="BN654" s="24"/>
      <c r="BO654" s="24"/>
      <c r="BP654" s="24"/>
      <c r="BQ654" s="22">
        <f>YEAR([1]!BANCO10[[#This Row],[DATA INÍCIO]])</f>
        <v>2025</v>
      </c>
      <c r="BR654" s="22">
        <f>MONTH([1]!BANCO10[[#This Row],[DATA INÍCIO]])</f>
        <v>12</v>
      </c>
      <c r="BS654" s="23" t="e">
        <f>CONCATENATE(#REF!,#REF!)</f>
        <v>#REF!</v>
      </c>
      <c r="BT654" s="22"/>
      <c r="BU654" s="22"/>
      <c r="BV654" s="21" t="str">
        <f>IF([1]!BANCO10[[#This Row],[SOLUÇÃO]]=BV$1,[1]!BANCO10[[#This Row],[STATUS DA ETAPA]],"")</f>
        <v/>
      </c>
      <c r="BW654" s="21" t="str">
        <f>IF([1]!BANCO10[[#This Row],[SOLUÇÃO]]=BW$1,[1]!BANCO10[[#This Row],[STATUS DA ETAPA]],"")</f>
        <v/>
      </c>
      <c r="BX654" s="21" t="str">
        <f>IF([1]!BANCO10[[#This Row],[SOLUÇÃO]]=BX$1,[1]!BANCO10[[#This Row],[STATUS DA ETAPA]],"")</f>
        <v/>
      </c>
      <c r="BY654" s="21" t="str">
        <f>IF([1]!BANCO10[[#This Row],[SOLUÇÃO]]=BY$1,[1]!BANCO10[[#This Row],[STATUS DA ETAPA]],"")</f>
        <v/>
      </c>
      <c r="BZ654" s="21" t="str">
        <f>IF([1]!BANCO10[[#This Row],[SOLUÇÃO]]=BZ$1,[1]!BANCO10[[#This Row],[STATUS DA ETAPA]],"")</f>
        <v/>
      </c>
      <c r="CA654" s="21" t="str">
        <f>IF([1]!BANCO10[[#This Row],[SOLUÇÃO]]=CA$1,[1]!BANCO10[[#This Row],[STATUS DA ETAPA]],"")</f>
        <v/>
      </c>
      <c r="CB654" s="21" t="str">
        <f>IF([1]!BANCO10[[#This Row],[SOLUÇÃO]]=CB$1,[1]!BANCO10[[#This Row],[STATUS DA ETAPA]],"")</f>
        <v/>
      </c>
      <c r="CC654" s="21" t="str">
        <f>IF([1]!BANCO10[[#This Row],[SOLUÇÃO]]=CC$1,[1]!BANCO10[[#This Row],[STATUS DA ETAPA]],"")</f>
        <v/>
      </c>
      <c r="CD654" s="21" t="str">
        <f>IF([1]!BANCO10[[#This Row],[SOLUÇÃO]]=CD$1,[1]!BANCO10[[#This Row],[STATUS DA ETAPA]],"")</f>
        <v/>
      </c>
      <c r="CE654" s="21" t="str">
        <f>IF([1]!BANCO10[[#This Row],[SOLUÇÃO]]=CE$1,[1]!BANCO10[[#This Row],[STATUS DA ETAPA]],"")</f>
        <v/>
      </c>
      <c r="CF654" s="21" t="str">
        <f>IF([1]!BANCO10[[#This Row],[SOLUÇÃO]]=CF$1,[1]!BANCO10[[#This Row],[STATUS DA ETAPA]],"")</f>
        <v/>
      </c>
      <c r="CG654" s="21" t="str">
        <f>IF([1]!BANCO10[[#This Row],[SOLUÇÃO]]=CG$1,[1]!BANCO10[[#This Row],[STATUS DA ETAPA]],"")</f>
        <v/>
      </c>
      <c r="CH654" s="21" t="str">
        <f>IF([1]!BANCO10[[#This Row],[SOLUÇÃO]]=CH$1,[1]!BANCO10[[#This Row],[STATUS DA ETAPA]],"")</f>
        <v/>
      </c>
      <c r="CI654" s="21" t="str">
        <f>IF([1]!BANCO10[[#This Row],[SOLUÇÃO]]=CI$1,[1]!BANCO10[[#This Row],[STATUS DA ETAPA]],"")</f>
        <v/>
      </c>
      <c r="CJ654" s="21" t="str">
        <f>IF([1]!BANCO10[[#This Row],[SOLUÇÃO]]=CJ$1,[1]!BANCO10[[#This Row],[STATUS DA ETAPA]],"")</f>
        <v/>
      </c>
      <c r="CK654" s="21" t="str">
        <f>IF([1]!BANCO10[[#This Row],[SOLUÇÃO]]=CK$1,[1]!BANCO10[[#This Row],[STATUS DA ETAPA]],"")</f>
        <v/>
      </c>
      <c r="CL654" s="21" t="str">
        <f>IF([1]!BANCO10[[#This Row],[SOLUÇÃO]]=CL$1,[1]!BANCO10[[#This Row],[STATUS DA ETAPA]],"")</f>
        <v/>
      </c>
      <c r="CM654" s="21" t="str">
        <f>IF([1]!BANCO10[[#This Row],[SOLUÇÃO]]=CM$1,[1]!BANCO10[[#This Row],[STATUS DA ETAPA]],"")</f>
        <v/>
      </c>
      <c r="CN654" s="21" t="str">
        <f>IF([1]!BANCO10[[#This Row],[SOLUÇÃO]]=CN$1,[1]!BANCO10[[#This Row],[STATUS DA ETAPA]],"")</f>
        <v/>
      </c>
      <c r="CO654" s="21" t="str">
        <f>IF([1]!BANCO10[[#This Row],[SOLUÇÃO]]=CO$1,[1]!BANCO10[[#This Row],[STATUS DA ETAPA]],"")</f>
        <v/>
      </c>
      <c r="CP654" s="21" t="str">
        <f>IF([1]!BANCO10[[#This Row],[SOLUÇÃO]]=CP$1,[1]!BANCO10[[#This Row],[STATUS DA ETAPA]],"")</f>
        <v/>
      </c>
      <c r="CQ654" s="21" t="str">
        <f>IF([1]!BANCO10[[#This Row],[SOLUÇÃO]]=CQ$1,[1]!BANCO10[[#This Row],[STATUS DA ETAPA]],"")</f>
        <v/>
      </c>
      <c r="CR654" s="21" t="str">
        <f>IF([1]!BANCO10[[#This Row],[SOLUÇÃO]]=CR$1,[1]!BANCO10[[#This Row],[STATUS DA ETAPA]],"")</f>
        <v/>
      </c>
      <c r="CS654" s="21" t="str">
        <f>IF([1]!BANCO10[[#This Row],[SOLUÇÃO]]=CS$1,[1]!BANCO10[[#This Row],[STATUS DA ETAPA]],"")</f>
        <v/>
      </c>
      <c r="CT654" s="21" t="str">
        <f>IF([1]!BANCO10[[#This Row],[SOLUÇÃO]]=CT$1,[1]!BANCO10[[#This Row],[STATUS DA ETAPA]],"")</f>
        <v/>
      </c>
      <c r="CU654" s="21" t="str">
        <f>IF([1]!BANCO10[[#This Row],[SOLUÇÃO]]=CU$1,[1]!BANCO10[[#This Row],[STATUS DA ETAPA]],"")</f>
        <v/>
      </c>
      <c r="CV654" s="21" t="str">
        <f>IF([1]!BANCO10[[#This Row],[SOLUÇÃO]]=CV$1,[1]!BANCO10[[#This Row],[STATUS DA ETAPA]],"")</f>
        <v/>
      </c>
    </row>
    <row r="655" spans="1:100">
      <c r="A655" s="44" t="s">
        <v>1</v>
      </c>
      <c r="B655" s="44"/>
      <c r="C655" s="44" t="s">
        <v>1</v>
      </c>
      <c r="D655" s="44"/>
      <c r="E655" s="44" t="s">
        <v>1</v>
      </c>
      <c r="F655" s="44"/>
      <c r="G655" s="44" t="s">
        <v>1</v>
      </c>
      <c r="H655" s="44"/>
      <c r="I655" s="45" t="s">
        <v>1</v>
      </c>
      <c r="J655" s="46"/>
      <c r="K655" s="45" t="s">
        <v>1</v>
      </c>
      <c r="L655" s="33"/>
      <c r="M655" s="45" t="s">
        <v>1</v>
      </c>
      <c r="N655" s="33"/>
      <c r="O655" s="44" t="s">
        <v>1</v>
      </c>
      <c r="P655" s="44"/>
      <c r="Q655" s="44" t="s">
        <v>1</v>
      </c>
      <c r="R655" s="44"/>
      <c r="S655" s="44" t="s">
        <v>1</v>
      </c>
      <c r="T655" s="44"/>
      <c r="U655" s="44" t="s">
        <v>1</v>
      </c>
      <c r="V655" s="44"/>
      <c r="W655" s="44" t="s">
        <v>1</v>
      </c>
      <c r="X655" s="44"/>
      <c r="Y655" s="44" t="s">
        <v>1</v>
      </c>
      <c r="Z655" s="44"/>
      <c r="AA655" s="44" t="s">
        <v>1</v>
      </c>
      <c r="AB655" s="44"/>
      <c r="AC655" s="84">
        <v>45577</v>
      </c>
      <c r="AD655" s="83">
        <v>45577</v>
      </c>
      <c r="AE655" s="41" t="s">
        <v>0</v>
      </c>
      <c r="AF655" s="41" t="s">
        <v>0</v>
      </c>
      <c r="AG655" s="40" t="s">
        <v>5</v>
      </c>
      <c r="AH655" s="36" t="s">
        <v>1</v>
      </c>
      <c r="AI655" s="49">
        <v>0</v>
      </c>
      <c r="AJ655" s="36" t="s">
        <v>1</v>
      </c>
      <c r="AK655" s="10" t="s">
        <v>1</v>
      </c>
      <c r="AL655" s="36" t="s">
        <v>1</v>
      </c>
      <c r="AM655" s="36" t="s">
        <v>1</v>
      </c>
      <c r="AN655" s="35" t="s">
        <v>1</v>
      </c>
      <c r="AO655" s="35" t="s">
        <v>1</v>
      </c>
      <c r="AP655" s="35" t="s">
        <v>1</v>
      </c>
      <c r="AQ655" s="35" t="s">
        <v>1</v>
      </c>
      <c r="AR655" s="93" t="s">
        <v>1</v>
      </c>
      <c r="AS655" s="89"/>
      <c r="AT655" s="88"/>
      <c r="AU655" s="25"/>
      <c r="AV655" s="88"/>
      <c r="AW655" s="25"/>
      <c r="AX655" s="88" t="s">
        <v>1</v>
      </c>
      <c r="AY655" s="25"/>
      <c r="AZ655" s="88" t="s">
        <v>1</v>
      </c>
      <c r="BA655" s="87"/>
      <c r="BB655" s="39"/>
      <c r="BC655" s="25"/>
      <c r="BD655" s="24"/>
      <c r="BE655" s="24"/>
      <c r="BF655" s="79"/>
      <c r="BG655" s="79"/>
      <c r="BH655" s="80"/>
      <c r="BI655" s="79"/>
      <c r="BJ655" s="54"/>
      <c r="BK655" s="78"/>
      <c r="BL655" s="69"/>
      <c r="BM655" s="78"/>
      <c r="BN655" s="78"/>
      <c r="BO655" s="78"/>
      <c r="BP655" s="78"/>
      <c r="BQ655" s="21">
        <f>YEAR([1]!BANCO10[[#This Row],[DATA INÍCIO]])</f>
        <v>2024</v>
      </c>
      <c r="BR655" s="21">
        <f>MONTH([1]!BANCO10[[#This Row],[DATA INÍCIO]])</f>
        <v>10</v>
      </c>
      <c r="BS655" s="21" t="e">
        <f>CONCATENATE(#REF!,#REF!)</f>
        <v>#REF!</v>
      </c>
      <c r="BT655" s="21"/>
      <c r="BU655" s="21"/>
      <c r="BV655" s="21" t="str">
        <f>IF([1]!BANCO10[[#This Row],[SOLUÇÃO]]=BV$1,[1]!BANCO10[[#This Row],[STATUS DA ETAPA]],"")</f>
        <v>CONCLUÍDO</v>
      </c>
      <c r="BW655" s="21" t="str">
        <f>IF([1]!BANCO10[[#This Row],[SOLUÇÃO]]=BW$1,[1]!BANCO10[[#This Row],[STATUS DA ETAPA]],"")</f>
        <v/>
      </c>
      <c r="BX655" s="21" t="str">
        <f>IF([1]!BANCO10[[#This Row],[SOLUÇÃO]]=BX$1,[1]!BANCO10[[#This Row],[STATUS DA ETAPA]],"")</f>
        <v/>
      </c>
      <c r="BY655" s="21" t="str">
        <f>IF([1]!BANCO10[[#This Row],[SOLUÇÃO]]=BY$1,[1]!BANCO10[[#This Row],[STATUS DA ETAPA]],"")</f>
        <v/>
      </c>
      <c r="BZ655" s="21" t="str">
        <f>IF([1]!BANCO10[[#This Row],[SOLUÇÃO]]=BZ$1,[1]!BANCO10[[#This Row],[STATUS DA ETAPA]],"")</f>
        <v/>
      </c>
      <c r="CA655" s="21" t="str">
        <f>IF([1]!BANCO10[[#This Row],[SOLUÇÃO]]=CA$1,[1]!BANCO10[[#This Row],[STATUS DA ETAPA]],"")</f>
        <v/>
      </c>
      <c r="CB655" s="21" t="str">
        <f>IF([1]!BANCO10[[#This Row],[SOLUÇÃO]]=CB$1,[1]!BANCO10[[#This Row],[STATUS DA ETAPA]],"")</f>
        <v/>
      </c>
      <c r="CC655" s="21" t="str">
        <f>IF([1]!BANCO10[[#This Row],[SOLUÇÃO]]=CC$1,[1]!BANCO10[[#This Row],[STATUS DA ETAPA]],"")</f>
        <v/>
      </c>
      <c r="CD655" s="21" t="str">
        <f>IF([1]!BANCO10[[#This Row],[SOLUÇÃO]]=CD$1,[1]!BANCO10[[#This Row],[STATUS DA ETAPA]],"")</f>
        <v/>
      </c>
      <c r="CE655" s="21" t="str">
        <f>IF([1]!BANCO10[[#This Row],[SOLUÇÃO]]=CE$1,[1]!BANCO10[[#This Row],[STATUS DA ETAPA]],"")</f>
        <v/>
      </c>
      <c r="CF655" s="21" t="str">
        <f>IF([1]!BANCO10[[#This Row],[SOLUÇÃO]]=CF$1,[1]!BANCO10[[#This Row],[STATUS DA ETAPA]],"")</f>
        <v/>
      </c>
      <c r="CG655" s="21" t="str">
        <f>IF([1]!BANCO10[[#This Row],[SOLUÇÃO]]=CG$1,[1]!BANCO10[[#This Row],[STATUS DA ETAPA]],"")</f>
        <v/>
      </c>
      <c r="CH655" s="21" t="str">
        <f>IF([1]!BANCO10[[#This Row],[SOLUÇÃO]]=CH$1,[1]!BANCO10[[#This Row],[STATUS DA ETAPA]],"")</f>
        <v/>
      </c>
      <c r="CI655" s="21" t="str">
        <f>IF([1]!BANCO10[[#This Row],[SOLUÇÃO]]=CI$1,[1]!BANCO10[[#This Row],[STATUS DA ETAPA]],"")</f>
        <v/>
      </c>
      <c r="CJ655" s="21" t="str">
        <f>IF([1]!BANCO10[[#This Row],[SOLUÇÃO]]=CJ$1,[1]!BANCO10[[#This Row],[STATUS DA ETAPA]],"")</f>
        <v/>
      </c>
      <c r="CK655" s="21" t="str">
        <f>IF([1]!BANCO10[[#This Row],[SOLUÇÃO]]=CK$1,[1]!BANCO10[[#This Row],[STATUS DA ETAPA]],"")</f>
        <v/>
      </c>
      <c r="CL655" s="22" t="str">
        <f>IF([1]!BANCO10[[#This Row],[SOLUÇÃO]]=CL$1,[1]!BANCO10[[#This Row],[STATUS DA ETAPA]],"")</f>
        <v/>
      </c>
      <c r="CM655" s="64" t="str">
        <f>IF([1]!BANCO10[[#This Row],[SOLUÇÃO]]=CM$1,[1]!BANCO10[[#This Row],[STATUS DA ETAPA]],"")</f>
        <v/>
      </c>
      <c r="CN655" s="64" t="str">
        <f>IF([1]!BANCO10[[#This Row],[SOLUÇÃO]]=CN$1,[1]!BANCO10[[#This Row],[STATUS DA ETAPA]],"")</f>
        <v/>
      </c>
      <c r="CO655" s="64" t="str">
        <f>IF([1]!BANCO10[[#This Row],[SOLUÇÃO]]=CO$1,[1]!BANCO10[[#This Row],[STATUS DA ETAPA]],"")</f>
        <v/>
      </c>
      <c r="CP655" s="64" t="str">
        <f>IF([1]!BANCO10[[#This Row],[SOLUÇÃO]]=CP$1,[1]!BANCO10[[#This Row],[STATUS DA ETAPA]],"")</f>
        <v/>
      </c>
      <c r="CQ655" s="64" t="str">
        <f>IF([1]!BANCO10[[#This Row],[SOLUÇÃO]]=CQ$1,[1]!BANCO10[[#This Row],[STATUS DA ETAPA]],"")</f>
        <v/>
      </c>
      <c r="CR655" s="64" t="str">
        <f>IF([1]!BANCO10[[#This Row],[SOLUÇÃO]]=CR$1,[1]!BANCO10[[#This Row],[STATUS DA ETAPA]],"")</f>
        <v/>
      </c>
      <c r="CS655" s="64" t="str">
        <f>IF([1]!BANCO10[[#This Row],[SOLUÇÃO]]=CS$1,[1]!BANCO10[[#This Row],[STATUS DA ETAPA]],"")</f>
        <v/>
      </c>
      <c r="CT655" s="64" t="str">
        <f>IF([1]!BANCO10[[#This Row],[SOLUÇÃO]]=CT$1,[1]!BANCO10[[#This Row],[STATUS DA ETAPA]],"")</f>
        <v/>
      </c>
      <c r="CU655" s="64" t="str">
        <f>IF([1]!BANCO10[[#This Row],[SOLUÇÃO]]=CU$1,[1]!BANCO10[[#This Row],[STATUS DA ETAPA]],"")</f>
        <v/>
      </c>
      <c r="CV655" s="64" t="str">
        <f>IF([1]!BANCO10[[#This Row],[SOLUÇÃO]]=CV$1,[1]!BANCO10[[#This Row],[STATUS DA ETAPA]],"")</f>
        <v/>
      </c>
    </row>
    <row r="656" spans="1:100">
      <c r="A656" s="44" t="s">
        <v>1</v>
      </c>
      <c r="B656" s="44"/>
      <c r="C656" s="44" t="s">
        <v>1</v>
      </c>
      <c r="D656" s="44"/>
      <c r="E656" s="44" t="s">
        <v>1</v>
      </c>
      <c r="F656" s="44"/>
      <c r="G656" s="44" t="s">
        <v>1</v>
      </c>
      <c r="H656" s="44"/>
      <c r="I656" s="45" t="s">
        <v>1</v>
      </c>
      <c r="J656" s="46"/>
      <c r="K656" s="45" t="s">
        <v>1</v>
      </c>
      <c r="L656" s="33"/>
      <c r="M656" s="45" t="s">
        <v>1</v>
      </c>
      <c r="N656" s="33"/>
      <c r="O656" s="44" t="s">
        <v>2</v>
      </c>
      <c r="P656" s="44">
        <v>45536</v>
      </c>
      <c r="Q656" s="44" t="s">
        <v>2</v>
      </c>
      <c r="R656" s="44">
        <v>45536</v>
      </c>
      <c r="S656" s="44" t="s">
        <v>2</v>
      </c>
      <c r="T656" s="44">
        <v>45594</v>
      </c>
      <c r="U656" s="44" t="s">
        <v>1</v>
      </c>
      <c r="V656" s="44"/>
      <c r="W656" s="44" t="s">
        <v>1</v>
      </c>
      <c r="X656" s="44"/>
      <c r="Y656" s="44" t="s">
        <v>1</v>
      </c>
      <c r="Z656" s="44"/>
      <c r="AA656" s="44" t="s">
        <v>1</v>
      </c>
      <c r="AB656" s="44"/>
      <c r="AC656" s="51">
        <v>45665</v>
      </c>
      <c r="AD656" s="50">
        <v>45803</v>
      </c>
      <c r="AE656" s="41" t="s">
        <v>2</v>
      </c>
      <c r="AF656" s="41" t="s">
        <v>2</v>
      </c>
      <c r="AG656" s="40" t="s">
        <v>5</v>
      </c>
      <c r="AH656" s="36" t="s">
        <v>0</v>
      </c>
      <c r="AI656" s="49">
        <v>14440</v>
      </c>
      <c r="AJ656" s="36" t="s">
        <v>6</v>
      </c>
      <c r="AK656" s="10">
        <v>580765</v>
      </c>
      <c r="AL656" s="36" t="s">
        <v>1</v>
      </c>
      <c r="AM656" s="36" t="s">
        <v>1</v>
      </c>
      <c r="AN656" s="35" t="s">
        <v>2</v>
      </c>
      <c r="AO656" s="35" t="s">
        <v>2</v>
      </c>
      <c r="AP656" s="35" t="s">
        <v>2</v>
      </c>
      <c r="AQ656" s="35" t="s">
        <v>2</v>
      </c>
      <c r="AR656" s="33" t="s">
        <v>2</v>
      </c>
      <c r="AS656" s="33">
        <v>45803</v>
      </c>
      <c r="AT656" s="32" t="s">
        <v>1</v>
      </c>
      <c r="AU656" s="31"/>
      <c r="AV656" s="32" t="s">
        <v>1</v>
      </c>
      <c r="AW656" s="31"/>
      <c r="AX656" s="30" t="s">
        <v>2</v>
      </c>
      <c r="AY656" s="29">
        <v>45803</v>
      </c>
      <c r="AZ656" s="28" t="s">
        <v>0</v>
      </c>
      <c r="BA656" s="81"/>
      <c r="BB656" s="95" t="s">
        <v>143</v>
      </c>
      <c r="BC656" s="25" t="s">
        <v>41</v>
      </c>
      <c r="BD656" s="24"/>
      <c r="BE656" s="24"/>
      <c r="BF656" s="79"/>
      <c r="BG656" s="79"/>
      <c r="BH656" s="80"/>
      <c r="BI656" s="79"/>
      <c r="BJ656" s="54"/>
      <c r="BK656" s="78"/>
      <c r="BL656" s="69"/>
      <c r="BM656" s="78"/>
      <c r="BN656" s="78"/>
      <c r="BO656" s="78"/>
      <c r="BP656" s="78"/>
      <c r="BQ656" s="21">
        <f>YEAR([1]!BANCO10[[#This Row],[DATA INÍCIO]])</f>
        <v>2025</v>
      </c>
      <c r="BR656" s="21">
        <f>MONTH([1]!BANCO10[[#This Row],[DATA INÍCIO]])</f>
        <v>1</v>
      </c>
      <c r="BS656" s="21" t="e">
        <f>CONCATENATE(#REF!,#REF!)</f>
        <v>#REF!</v>
      </c>
      <c r="BT656" s="21"/>
      <c r="BU656" s="21"/>
      <c r="BV656" s="21" t="str">
        <f>IF([1]!BANCO10[[#This Row],[SOLUÇÃO]]=BV$1,[1]!BANCO10[[#This Row],[STATUS DA ETAPA]],"")</f>
        <v/>
      </c>
      <c r="BW656" s="21" t="str">
        <f>IF([1]!BANCO10[[#This Row],[SOLUÇÃO]]=BW$1,[1]!BANCO10[[#This Row],[STATUS DA ETAPA]],"")</f>
        <v/>
      </c>
      <c r="BX656" s="21" t="str">
        <f>IF([1]!BANCO10[[#This Row],[SOLUÇÃO]]=BX$1,[1]!BANCO10[[#This Row],[STATUS DA ETAPA]],"")</f>
        <v/>
      </c>
      <c r="BY656" s="21" t="str">
        <f>IF([1]!BANCO10[[#This Row],[SOLUÇÃO]]=BY$1,[1]!BANCO10[[#This Row],[STATUS DA ETAPA]],"")</f>
        <v/>
      </c>
      <c r="BZ656" s="21" t="str">
        <f>IF([1]!BANCO10[[#This Row],[SOLUÇÃO]]=BZ$1,[1]!BANCO10[[#This Row],[STATUS DA ETAPA]],"")</f>
        <v/>
      </c>
      <c r="CA656" s="21" t="str">
        <f>IF([1]!BANCO10[[#This Row],[SOLUÇÃO]]=CA$1,[1]!BANCO10[[#This Row],[STATUS DA ETAPA]],"")</f>
        <v/>
      </c>
      <c r="CB656" s="21" t="str">
        <f>IF([1]!BANCO10[[#This Row],[SOLUÇÃO]]=CB$1,[1]!BANCO10[[#This Row],[STATUS DA ETAPA]],"")</f>
        <v>CONCLUÍDO</v>
      </c>
      <c r="CC656" s="21" t="str">
        <f>IF([1]!BANCO10[[#This Row],[SOLUÇÃO]]=CC$1,[1]!BANCO10[[#This Row],[STATUS DA ETAPA]],"")</f>
        <v/>
      </c>
      <c r="CD656" s="21" t="str">
        <f>IF([1]!BANCO10[[#This Row],[SOLUÇÃO]]=CD$1,[1]!BANCO10[[#This Row],[STATUS DA ETAPA]],"")</f>
        <v/>
      </c>
      <c r="CE656" s="21" t="str">
        <f>IF([1]!BANCO10[[#This Row],[SOLUÇÃO]]=CE$1,[1]!BANCO10[[#This Row],[STATUS DA ETAPA]],"")</f>
        <v/>
      </c>
      <c r="CF656" s="21" t="str">
        <f>IF([1]!BANCO10[[#This Row],[SOLUÇÃO]]=CF$1,[1]!BANCO10[[#This Row],[STATUS DA ETAPA]],"")</f>
        <v/>
      </c>
      <c r="CG656" s="21" t="str">
        <f>IF([1]!BANCO10[[#This Row],[SOLUÇÃO]]=CG$1,[1]!BANCO10[[#This Row],[STATUS DA ETAPA]],"")</f>
        <v/>
      </c>
      <c r="CH656" s="21" t="str">
        <f>IF([1]!BANCO10[[#This Row],[SOLUÇÃO]]=CH$1,[1]!BANCO10[[#This Row],[STATUS DA ETAPA]],"")</f>
        <v/>
      </c>
      <c r="CI656" s="21" t="str">
        <f>IF([1]!BANCO10[[#This Row],[SOLUÇÃO]]=CI$1,[1]!BANCO10[[#This Row],[STATUS DA ETAPA]],"")</f>
        <v/>
      </c>
      <c r="CJ656" s="21" t="str">
        <f>IF([1]!BANCO10[[#This Row],[SOLUÇÃO]]=CJ$1,[1]!BANCO10[[#This Row],[STATUS DA ETAPA]],"")</f>
        <v/>
      </c>
      <c r="CK656" s="21" t="str">
        <f>IF([1]!BANCO10[[#This Row],[SOLUÇÃO]]=CK$1,[1]!BANCO10[[#This Row],[STATUS DA ETAPA]],"")</f>
        <v/>
      </c>
      <c r="CL656" s="22" t="str">
        <f>IF([1]!BANCO10[[#This Row],[SOLUÇÃO]]=CL$1,[1]!BANCO10[[#This Row],[STATUS DA ETAPA]],"")</f>
        <v/>
      </c>
      <c r="CM656" s="64" t="str">
        <f>IF([1]!BANCO10[[#This Row],[SOLUÇÃO]]=CM$1,[1]!BANCO10[[#This Row],[STATUS DA ETAPA]],"")</f>
        <v/>
      </c>
      <c r="CN656" s="64" t="str">
        <f>IF([1]!BANCO10[[#This Row],[SOLUÇÃO]]=CN$1,[1]!BANCO10[[#This Row],[STATUS DA ETAPA]],"")</f>
        <v/>
      </c>
      <c r="CO656" s="64" t="str">
        <f>IF([1]!BANCO10[[#This Row],[SOLUÇÃO]]=CO$1,[1]!BANCO10[[#This Row],[STATUS DA ETAPA]],"")</f>
        <v/>
      </c>
      <c r="CP656" s="64" t="str">
        <f>IF([1]!BANCO10[[#This Row],[SOLUÇÃO]]=CP$1,[1]!BANCO10[[#This Row],[STATUS DA ETAPA]],"")</f>
        <v/>
      </c>
      <c r="CQ656" s="64" t="str">
        <f>IF([1]!BANCO10[[#This Row],[SOLUÇÃO]]=CQ$1,[1]!BANCO10[[#This Row],[STATUS DA ETAPA]],"")</f>
        <v/>
      </c>
      <c r="CR656" s="64" t="str">
        <f>IF([1]!BANCO10[[#This Row],[SOLUÇÃO]]=CR$1,[1]!BANCO10[[#This Row],[STATUS DA ETAPA]],"")</f>
        <v/>
      </c>
      <c r="CS656" s="64" t="str">
        <f>IF([1]!BANCO10[[#This Row],[SOLUÇÃO]]=CS$1,[1]!BANCO10[[#This Row],[STATUS DA ETAPA]],"")</f>
        <v/>
      </c>
      <c r="CT656" s="64" t="str">
        <f>IF([1]!BANCO10[[#This Row],[SOLUÇÃO]]=CT$1,[1]!BANCO10[[#This Row],[STATUS DA ETAPA]],"")</f>
        <v/>
      </c>
      <c r="CU656" s="64" t="str">
        <f>IF([1]!BANCO10[[#This Row],[SOLUÇÃO]]=CU$1,[1]!BANCO10[[#This Row],[STATUS DA ETAPA]],"")</f>
        <v/>
      </c>
      <c r="CV656" s="64" t="str">
        <f>IF([1]!BANCO10[[#This Row],[SOLUÇÃO]]=CV$1,[1]!BANCO10[[#This Row],[STATUS DA ETAPA]],"")</f>
        <v/>
      </c>
    </row>
    <row r="657" spans="1:100">
      <c r="A657" s="44" t="s">
        <v>1</v>
      </c>
      <c r="B657" s="44"/>
      <c r="C657" s="44" t="s">
        <v>1</v>
      </c>
      <c r="D657" s="44"/>
      <c r="E657" s="44" t="s">
        <v>1</v>
      </c>
      <c r="F657" s="44"/>
      <c r="G657" s="44" t="s">
        <v>1</v>
      </c>
      <c r="H657" s="44"/>
      <c r="I657" s="45" t="s">
        <v>1</v>
      </c>
      <c r="J657" s="46"/>
      <c r="K657" s="45" t="s">
        <v>1</v>
      </c>
      <c r="L657" s="33"/>
      <c r="M657" s="45" t="s">
        <v>1</v>
      </c>
      <c r="N657" s="33"/>
      <c r="O657" s="44" t="s">
        <v>1</v>
      </c>
      <c r="P657" s="44"/>
      <c r="Q657" s="44" t="s">
        <v>1</v>
      </c>
      <c r="R657" s="44"/>
      <c r="S657" s="44" t="s">
        <v>1</v>
      </c>
      <c r="T657" s="44"/>
      <c r="U657" s="44" t="s">
        <v>1</v>
      </c>
      <c r="V657" s="44"/>
      <c r="W657" s="44" t="s">
        <v>1</v>
      </c>
      <c r="X657" s="44"/>
      <c r="Y657" s="44" t="s">
        <v>1</v>
      </c>
      <c r="Z657" s="44"/>
      <c r="AA657" s="44" t="s">
        <v>1</v>
      </c>
      <c r="AB657" s="44"/>
      <c r="AC657" s="51">
        <v>45807</v>
      </c>
      <c r="AD657" s="50">
        <v>45807</v>
      </c>
      <c r="AE657" s="41" t="s">
        <v>1</v>
      </c>
      <c r="AF657" s="41" t="s">
        <v>1</v>
      </c>
      <c r="AG657" s="40" t="s">
        <v>4</v>
      </c>
      <c r="AH657" s="36" t="s">
        <v>0</v>
      </c>
      <c r="AI657" s="49">
        <v>0</v>
      </c>
      <c r="AJ657" s="36" t="s">
        <v>1</v>
      </c>
      <c r="AK657" s="10" t="s">
        <v>1</v>
      </c>
      <c r="AL657" s="36" t="s">
        <v>1</v>
      </c>
      <c r="AM657" s="36" t="s">
        <v>1</v>
      </c>
      <c r="AN657" s="35" t="s">
        <v>1</v>
      </c>
      <c r="AO657" s="35" t="s">
        <v>1</v>
      </c>
      <c r="AP657" s="35" t="s">
        <v>1</v>
      </c>
      <c r="AQ657" s="35" t="s">
        <v>2</v>
      </c>
      <c r="AR657" s="34" t="s">
        <v>0</v>
      </c>
      <c r="AS657" s="33"/>
      <c r="AT657" s="30" t="s">
        <v>0</v>
      </c>
      <c r="AU657" s="31"/>
      <c r="AV657" s="30" t="s">
        <v>0</v>
      </c>
      <c r="AW657" s="31"/>
      <c r="AX657" s="30" t="s">
        <v>0</v>
      </c>
      <c r="AY657" s="29"/>
      <c r="AZ657" s="28" t="s">
        <v>0</v>
      </c>
      <c r="BA657" s="27"/>
      <c r="BB657" s="124"/>
      <c r="BC657" s="25"/>
      <c r="BD657" s="24"/>
      <c r="BE657" s="24"/>
      <c r="BF657" s="24"/>
      <c r="BG657" s="24"/>
      <c r="BH657" s="24"/>
      <c r="BI657" s="24"/>
      <c r="BJ657" s="24"/>
      <c r="BK657" s="24"/>
      <c r="BL657" s="24"/>
      <c r="BM657" s="24"/>
      <c r="BN657" s="24"/>
      <c r="BO657" s="24"/>
      <c r="BP657" s="24"/>
      <c r="BQ657" s="22">
        <f>YEAR([1]!BANCO10[[#This Row],[DATA INÍCIO]])</f>
        <v>2025</v>
      </c>
      <c r="BR657" s="22">
        <f>MONTH([1]!BANCO10[[#This Row],[DATA INÍCIO]])</f>
        <v>5</v>
      </c>
      <c r="BS657" s="23" t="e">
        <f>CONCATENATE(#REF!,#REF!)</f>
        <v>#REF!</v>
      </c>
      <c r="BT657" s="22"/>
      <c r="BU657" s="22"/>
      <c r="BV657" s="21" t="str">
        <f>IF([1]!BANCO10[[#This Row],[SOLUÇÃO]]=BV$1,[1]!BANCO10[[#This Row],[STATUS DA ETAPA]],"")</f>
        <v/>
      </c>
      <c r="BW657" s="21" t="str">
        <f>IF([1]!BANCO10[[#This Row],[SOLUÇÃO]]=BW$1,[1]!BANCO10[[#This Row],[STATUS DA ETAPA]],"")</f>
        <v/>
      </c>
      <c r="BX657" s="21" t="str">
        <f>IF([1]!BANCO10[[#This Row],[SOLUÇÃO]]=BX$1,[1]!BANCO10[[#This Row],[STATUS DA ETAPA]],"")</f>
        <v/>
      </c>
      <c r="BY657" s="21" t="str">
        <f>IF([1]!BANCO10[[#This Row],[SOLUÇÃO]]=BY$1,[1]!BANCO10[[#This Row],[STATUS DA ETAPA]],"")</f>
        <v/>
      </c>
      <c r="BZ657" s="21" t="str">
        <f>IF([1]!BANCO10[[#This Row],[SOLUÇÃO]]=BZ$1,[1]!BANCO10[[#This Row],[STATUS DA ETAPA]],"")</f>
        <v/>
      </c>
      <c r="CA657" s="21" t="str">
        <f>IF([1]!BANCO10[[#This Row],[SOLUÇÃO]]=CA$1,[1]!BANCO10[[#This Row],[STATUS DA ETAPA]],"")</f>
        <v/>
      </c>
      <c r="CB657" s="21" t="str">
        <f>IF([1]!BANCO10[[#This Row],[SOLUÇÃO]]=CB$1,[1]!BANCO10[[#This Row],[STATUS DA ETAPA]],"")</f>
        <v/>
      </c>
      <c r="CC657" s="21" t="str">
        <f>IF([1]!BANCO10[[#This Row],[SOLUÇÃO]]=CC$1,[1]!BANCO10[[#This Row],[STATUS DA ETAPA]],"")</f>
        <v/>
      </c>
      <c r="CD657" s="21" t="str">
        <f>IF([1]!BANCO10[[#This Row],[SOLUÇÃO]]=CD$1,[1]!BANCO10[[#This Row],[STATUS DA ETAPA]],"")</f>
        <v/>
      </c>
      <c r="CE657" s="21" t="str">
        <f>IF([1]!BANCO10[[#This Row],[SOLUÇÃO]]=CE$1,[1]!BANCO10[[#This Row],[STATUS DA ETAPA]],"")</f>
        <v/>
      </c>
      <c r="CF657" s="21" t="str">
        <f>IF([1]!BANCO10[[#This Row],[SOLUÇÃO]]=CF$1,[1]!BANCO10[[#This Row],[STATUS DA ETAPA]],"")</f>
        <v/>
      </c>
      <c r="CG657" s="21" t="str">
        <f>IF([1]!BANCO10[[#This Row],[SOLUÇÃO]]=CG$1,[1]!BANCO10[[#This Row],[STATUS DA ETAPA]],"")</f>
        <v/>
      </c>
      <c r="CH657" s="21" t="str">
        <f>IF([1]!BANCO10[[#This Row],[SOLUÇÃO]]=CH$1,[1]!BANCO10[[#This Row],[STATUS DA ETAPA]],"")</f>
        <v/>
      </c>
      <c r="CI657" s="21" t="str">
        <f>IF([1]!BANCO10[[#This Row],[SOLUÇÃO]]=CI$1,[1]!BANCO10[[#This Row],[STATUS DA ETAPA]],"")</f>
        <v/>
      </c>
      <c r="CJ657" s="21" t="str">
        <f>IF([1]!BANCO10[[#This Row],[SOLUÇÃO]]=CJ$1,[1]!BANCO10[[#This Row],[STATUS DA ETAPA]],"")</f>
        <v/>
      </c>
      <c r="CK657" s="21" t="str">
        <f>IF([1]!BANCO10[[#This Row],[SOLUÇÃO]]=CK$1,[1]!BANCO10[[#This Row],[STATUS DA ETAPA]],"")</f>
        <v/>
      </c>
      <c r="CL657" s="21" t="str">
        <f>IF([1]!BANCO10[[#This Row],[SOLUÇÃO]]=CL$1,[1]!BANCO10[[#This Row],[STATUS DA ETAPA]],"")</f>
        <v/>
      </c>
      <c r="CM657" s="21" t="str">
        <f>IF([1]!BANCO10[[#This Row],[SOLUÇÃO]]=CM$1,[1]!BANCO10[[#This Row],[STATUS DA ETAPA]],"")</f>
        <v/>
      </c>
      <c r="CN657" s="21" t="str">
        <f>IF([1]!BANCO10[[#This Row],[SOLUÇÃO]]=CN$1,[1]!BANCO10[[#This Row],[STATUS DA ETAPA]],"")</f>
        <v/>
      </c>
      <c r="CO657" s="21" t="str">
        <f>IF([1]!BANCO10[[#This Row],[SOLUÇÃO]]=CO$1,[1]!BANCO10[[#This Row],[STATUS DA ETAPA]],"")</f>
        <v/>
      </c>
      <c r="CP657" s="21" t="str">
        <f>IF([1]!BANCO10[[#This Row],[SOLUÇÃO]]=CP$1,[1]!BANCO10[[#This Row],[STATUS DA ETAPA]],"")</f>
        <v/>
      </c>
      <c r="CQ657" s="21" t="str">
        <f>IF([1]!BANCO10[[#This Row],[SOLUÇÃO]]=CQ$1,[1]!BANCO10[[#This Row],[STATUS DA ETAPA]],"")</f>
        <v/>
      </c>
      <c r="CR657" s="21" t="str">
        <f>IF([1]!BANCO10[[#This Row],[SOLUÇÃO]]=CR$1,[1]!BANCO10[[#This Row],[STATUS DA ETAPA]],"")</f>
        <v/>
      </c>
      <c r="CS657" s="21" t="str">
        <f>IF([1]!BANCO10[[#This Row],[SOLUÇÃO]]=CS$1,[1]!BANCO10[[#This Row],[STATUS DA ETAPA]],"")</f>
        <v/>
      </c>
      <c r="CT657" s="21" t="str">
        <f>IF([1]!BANCO10[[#This Row],[SOLUÇÃO]]=CT$1,[1]!BANCO10[[#This Row],[STATUS DA ETAPA]],"")</f>
        <v/>
      </c>
      <c r="CU657" s="21" t="str">
        <f>IF([1]!BANCO10[[#This Row],[SOLUÇÃO]]=CU$1,[1]!BANCO10[[#This Row],[STATUS DA ETAPA]],"")</f>
        <v/>
      </c>
      <c r="CV657" s="21" t="str">
        <f>IF([1]!BANCO10[[#This Row],[SOLUÇÃO]]=CV$1,[1]!BANCO10[[#This Row],[STATUS DA ETAPA]],"")</f>
        <v/>
      </c>
    </row>
    <row r="658" spans="1:100">
      <c r="A658" s="44" t="s">
        <v>1</v>
      </c>
      <c r="B658" s="44"/>
      <c r="C658" s="44" t="s">
        <v>1</v>
      </c>
      <c r="D658" s="44"/>
      <c r="E658" s="44" t="s">
        <v>1</v>
      </c>
      <c r="F658" s="44"/>
      <c r="G658" s="44" t="s">
        <v>1</v>
      </c>
      <c r="H658" s="44"/>
      <c r="I658" s="45" t="s">
        <v>1</v>
      </c>
      <c r="J658" s="46"/>
      <c r="K658" s="45" t="s">
        <v>1</v>
      </c>
      <c r="L658" s="33"/>
      <c r="M658" s="45" t="s">
        <v>1</v>
      </c>
      <c r="N658" s="33"/>
      <c r="O658" s="44" t="s">
        <v>2</v>
      </c>
      <c r="P658" s="44">
        <v>44985</v>
      </c>
      <c r="Q658" s="44" t="s">
        <v>0</v>
      </c>
      <c r="R658" s="44"/>
      <c r="S658" s="44" t="s">
        <v>1</v>
      </c>
      <c r="T658" s="44"/>
      <c r="U658" s="44" t="s">
        <v>1</v>
      </c>
      <c r="V658" s="44"/>
      <c r="W658" s="44" t="s">
        <v>1</v>
      </c>
      <c r="X658" s="44"/>
      <c r="Y658" s="44" t="s">
        <v>1</v>
      </c>
      <c r="Z658" s="44"/>
      <c r="AA658" s="44" t="s">
        <v>1</v>
      </c>
      <c r="AB658" s="44"/>
      <c r="AC658" s="84">
        <v>44984</v>
      </c>
      <c r="AD658" s="83">
        <v>44984</v>
      </c>
      <c r="AE658" s="40" t="s">
        <v>1</v>
      </c>
      <c r="AF658" s="40" t="s">
        <v>1</v>
      </c>
      <c r="AG658" s="40" t="s">
        <v>5</v>
      </c>
      <c r="AH658" s="36" t="s">
        <v>1</v>
      </c>
      <c r="AI658" s="49">
        <v>0</v>
      </c>
      <c r="AJ658" s="36" t="s">
        <v>1</v>
      </c>
      <c r="AK658" s="10" t="s">
        <v>1</v>
      </c>
      <c r="AL658" s="36" t="s">
        <v>1</v>
      </c>
      <c r="AM658" s="36" t="s">
        <v>1</v>
      </c>
      <c r="AN658" s="35" t="s">
        <v>1</v>
      </c>
      <c r="AO658" s="35" t="s">
        <v>1</v>
      </c>
      <c r="AP658" s="35" t="s">
        <v>1</v>
      </c>
      <c r="AQ658" s="35" t="s">
        <v>1</v>
      </c>
      <c r="AR658" s="48" t="s">
        <v>1</v>
      </c>
      <c r="AS658" s="33"/>
      <c r="AT658" s="30"/>
      <c r="AU658" s="55"/>
      <c r="AV658" s="30"/>
      <c r="AW658" s="55"/>
      <c r="AX658" s="30" t="s">
        <v>1</v>
      </c>
      <c r="AY658" s="55"/>
      <c r="AZ658" s="30" t="s">
        <v>1</v>
      </c>
      <c r="BA658" s="85"/>
      <c r="BB658" s="120" t="s">
        <v>230</v>
      </c>
      <c r="BC658" s="25"/>
      <c r="BD658" s="24" t="s">
        <v>19</v>
      </c>
      <c r="BE658" s="24" t="s">
        <v>19</v>
      </c>
      <c r="BF658" s="79" t="s">
        <v>51</v>
      </c>
      <c r="BG658" s="79" t="s">
        <v>11</v>
      </c>
      <c r="BH658" s="80" t="s">
        <v>19</v>
      </c>
      <c r="BI658" s="79"/>
      <c r="BJ658" s="54" t="s">
        <v>11</v>
      </c>
      <c r="BK658" s="78" t="s">
        <v>11</v>
      </c>
      <c r="BL658" s="69" t="s">
        <v>11</v>
      </c>
      <c r="BM658" s="78" t="s">
        <v>11</v>
      </c>
      <c r="BN658" s="78" t="s">
        <v>11</v>
      </c>
      <c r="BO658" s="78" t="s">
        <v>11</v>
      </c>
      <c r="BP658" s="78" t="s">
        <v>11</v>
      </c>
      <c r="BQ658" s="21">
        <f>YEAR([1]!BANCO10[[#This Row],[DATA INÍCIO]])</f>
        <v>2023</v>
      </c>
      <c r="BR658" s="21">
        <f>MONTH([1]!BANCO10[[#This Row],[DATA INÍCIO]])</f>
        <v>2</v>
      </c>
      <c r="BS658" s="21" t="e">
        <f>CONCATENATE(#REF!,#REF!)</f>
        <v>#REF!</v>
      </c>
      <c r="BT658" s="21"/>
      <c r="BU658" s="21" t="s">
        <v>231</v>
      </c>
      <c r="BV658" s="21" t="str">
        <f>IF([1]!BANCO10[[#This Row],[SOLUÇÃO]]=BV$1,[1]!BANCO10[[#This Row],[STATUS DA ETAPA]],"")</f>
        <v>CONCLUÍDO</v>
      </c>
      <c r="BW658" s="21" t="str">
        <f>IF([1]!BANCO10[[#This Row],[SOLUÇÃO]]=BW$1,[1]!BANCO10[[#This Row],[STATUS DA ETAPA]],"")</f>
        <v/>
      </c>
      <c r="BX658" s="21" t="str">
        <f>IF([1]!BANCO10[[#This Row],[SOLUÇÃO]]=BX$1,[1]!BANCO10[[#This Row],[STATUS DA ETAPA]],"")</f>
        <v/>
      </c>
      <c r="BY658" s="21" t="str">
        <f>IF([1]!BANCO10[[#This Row],[SOLUÇÃO]]=BY$1,[1]!BANCO10[[#This Row],[STATUS DA ETAPA]],"")</f>
        <v/>
      </c>
      <c r="BZ658" s="21" t="str">
        <f>IF([1]!BANCO10[[#This Row],[SOLUÇÃO]]=BZ$1,[1]!BANCO10[[#This Row],[STATUS DA ETAPA]],"")</f>
        <v/>
      </c>
      <c r="CA658" s="21" t="str">
        <f>IF([1]!BANCO10[[#This Row],[SOLUÇÃO]]=CA$1,[1]!BANCO10[[#This Row],[STATUS DA ETAPA]],"")</f>
        <v/>
      </c>
      <c r="CB658" s="21" t="str">
        <f>IF([1]!BANCO10[[#This Row],[SOLUÇÃO]]=CB$1,[1]!BANCO10[[#This Row],[STATUS DA ETAPA]],"")</f>
        <v/>
      </c>
      <c r="CC658" s="21" t="str">
        <f>IF([1]!BANCO10[[#This Row],[SOLUÇÃO]]=CC$1,[1]!BANCO10[[#This Row],[STATUS DA ETAPA]],"")</f>
        <v/>
      </c>
      <c r="CD658" s="21" t="str">
        <f>IF([1]!BANCO10[[#This Row],[SOLUÇÃO]]=CD$1,[1]!BANCO10[[#This Row],[STATUS DA ETAPA]],"")</f>
        <v/>
      </c>
      <c r="CE658" s="21" t="str">
        <f>IF([1]!BANCO10[[#This Row],[SOLUÇÃO]]=CE$1,[1]!BANCO10[[#This Row],[STATUS DA ETAPA]],"")</f>
        <v/>
      </c>
      <c r="CF658" s="21" t="str">
        <f>IF([1]!BANCO10[[#This Row],[SOLUÇÃO]]=CF$1,[1]!BANCO10[[#This Row],[STATUS DA ETAPA]],"")</f>
        <v/>
      </c>
      <c r="CG658" s="21" t="str">
        <f>IF([1]!BANCO10[[#This Row],[SOLUÇÃO]]=CG$1,[1]!BANCO10[[#This Row],[STATUS DA ETAPA]],"")</f>
        <v/>
      </c>
      <c r="CH658" s="21" t="str">
        <f>IF([1]!BANCO10[[#This Row],[SOLUÇÃO]]=CH$1,[1]!BANCO10[[#This Row],[STATUS DA ETAPA]],"")</f>
        <v/>
      </c>
      <c r="CI658" s="21" t="str">
        <f>IF([1]!BANCO10[[#This Row],[SOLUÇÃO]]=CI$1,[1]!BANCO10[[#This Row],[STATUS DA ETAPA]],"")</f>
        <v/>
      </c>
      <c r="CJ658" s="21" t="str">
        <f>IF([1]!BANCO10[[#This Row],[SOLUÇÃO]]=CJ$1,[1]!BANCO10[[#This Row],[STATUS DA ETAPA]],"")</f>
        <v/>
      </c>
      <c r="CK658" s="21" t="str">
        <f>IF([1]!BANCO10[[#This Row],[SOLUÇÃO]]=CK$1,[1]!BANCO10[[#This Row],[STATUS DA ETAPA]],"")</f>
        <v/>
      </c>
      <c r="CL658" s="22" t="str">
        <f>IF([1]!BANCO10[[#This Row],[SOLUÇÃO]]=CL$1,[1]!BANCO10[[#This Row],[STATUS DA ETAPA]],"")</f>
        <v/>
      </c>
      <c r="CM658" s="64" t="str">
        <f>IF([1]!BANCO10[[#This Row],[SOLUÇÃO]]=CM$1,[1]!BANCO10[[#This Row],[STATUS DA ETAPA]],"")</f>
        <v/>
      </c>
      <c r="CN658" s="64" t="str">
        <f>IF([1]!BANCO10[[#This Row],[SOLUÇÃO]]=CN$1,[1]!BANCO10[[#This Row],[STATUS DA ETAPA]],"")</f>
        <v/>
      </c>
      <c r="CO658" s="64" t="str">
        <f>IF([1]!BANCO10[[#This Row],[SOLUÇÃO]]=CO$1,[1]!BANCO10[[#This Row],[STATUS DA ETAPA]],"")</f>
        <v/>
      </c>
      <c r="CP658" s="64" t="str">
        <f>IF([1]!BANCO10[[#This Row],[SOLUÇÃO]]=CP$1,[1]!BANCO10[[#This Row],[STATUS DA ETAPA]],"")</f>
        <v/>
      </c>
      <c r="CQ658" s="64" t="str">
        <f>IF([1]!BANCO10[[#This Row],[SOLUÇÃO]]=CQ$1,[1]!BANCO10[[#This Row],[STATUS DA ETAPA]],"")</f>
        <v/>
      </c>
      <c r="CR658" s="64" t="str">
        <f>IF([1]!BANCO10[[#This Row],[SOLUÇÃO]]=CR$1,[1]!BANCO10[[#This Row],[STATUS DA ETAPA]],"")</f>
        <v/>
      </c>
      <c r="CS658" s="64" t="str">
        <f>IF([1]!BANCO10[[#This Row],[SOLUÇÃO]]=CS$1,[1]!BANCO10[[#This Row],[STATUS DA ETAPA]],"")</f>
        <v/>
      </c>
      <c r="CT658" s="64" t="str">
        <f>IF([1]!BANCO10[[#This Row],[SOLUÇÃO]]=CT$1,[1]!BANCO10[[#This Row],[STATUS DA ETAPA]],"")</f>
        <v/>
      </c>
      <c r="CU658" s="64" t="str">
        <f>IF([1]!BANCO10[[#This Row],[SOLUÇÃO]]=CU$1,[1]!BANCO10[[#This Row],[STATUS DA ETAPA]],"")</f>
        <v/>
      </c>
      <c r="CV658" s="64" t="str">
        <f>IF([1]!BANCO10[[#This Row],[SOLUÇÃO]]=CV$1,[1]!BANCO10[[#This Row],[STATUS DA ETAPA]],"")</f>
        <v/>
      </c>
    </row>
    <row r="659" spans="1:100">
      <c r="A659" s="44" t="s">
        <v>1</v>
      </c>
      <c r="B659" s="44"/>
      <c r="C659" s="44" t="s">
        <v>1</v>
      </c>
      <c r="D659" s="44"/>
      <c r="E659" s="44" t="s">
        <v>1</v>
      </c>
      <c r="F659" s="44"/>
      <c r="G659" s="44" t="s">
        <v>1</v>
      </c>
      <c r="H659" s="44"/>
      <c r="I659" s="45" t="s">
        <v>1</v>
      </c>
      <c r="J659" s="46"/>
      <c r="K659" s="45" t="s">
        <v>1</v>
      </c>
      <c r="L659" s="33"/>
      <c r="M659" s="45" t="s">
        <v>1</v>
      </c>
      <c r="N659" s="33"/>
      <c r="O659" s="44" t="s">
        <v>2</v>
      </c>
      <c r="P659" s="44">
        <v>44985</v>
      </c>
      <c r="Q659" s="44" t="s">
        <v>2</v>
      </c>
      <c r="R659" s="44">
        <v>45261</v>
      </c>
      <c r="S659" s="44" t="s">
        <v>2</v>
      </c>
      <c r="T659" s="44"/>
      <c r="U659" s="44" t="s">
        <v>2</v>
      </c>
      <c r="V659" s="44"/>
      <c r="W659" s="44"/>
      <c r="X659" s="44"/>
      <c r="Y659" s="44"/>
      <c r="Z659" s="44"/>
      <c r="AA659" s="44" t="s">
        <v>1</v>
      </c>
      <c r="AB659" s="44"/>
      <c r="AC659" s="51">
        <v>45963</v>
      </c>
      <c r="AD659" s="50">
        <v>45963</v>
      </c>
      <c r="AE659" s="41" t="s">
        <v>1</v>
      </c>
      <c r="AF659" s="41" t="s">
        <v>1</v>
      </c>
      <c r="AG659" s="40" t="s">
        <v>5</v>
      </c>
      <c r="AH659" s="36" t="s">
        <v>0</v>
      </c>
      <c r="AI659" s="49">
        <v>0</v>
      </c>
      <c r="AJ659" s="36"/>
      <c r="AK659" s="10" t="s">
        <v>30</v>
      </c>
      <c r="AL659" s="36" t="s">
        <v>30</v>
      </c>
      <c r="AM659" s="36" t="s">
        <v>30</v>
      </c>
      <c r="AN659" s="35" t="s">
        <v>1</v>
      </c>
      <c r="AO659" s="35" t="s">
        <v>1</v>
      </c>
      <c r="AP659" s="35"/>
      <c r="AQ659" s="35" t="s">
        <v>1</v>
      </c>
      <c r="AR659" s="33" t="s">
        <v>1</v>
      </c>
      <c r="AS659" s="33"/>
      <c r="AT659" s="32"/>
      <c r="AU659" s="31"/>
      <c r="AV659" s="32"/>
      <c r="AW659" s="31"/>
      <c r="AX659" s="30" t="s">
        <v>0</v>
      </c>
      <c r="AY659" s="29"/>
      <c r="AZ659" s="28" t="s">
        <v>0</v>
      </c>
      <c r="BA659" s="81"/>
      <c r="BB659" s="120" t="s">
        <v>230</v>
      </c>
      <c r="BC659" s="39"/>
      <c r="BD659" s="24" t="s">
        <v>19</v>
      </c>
      <c r="BE659" s="24" t="s">
        <v>19</v>
      </c>
      <c r="BF659" s="79" t="s">
        <v>51</v>
      </c>
      <c r="BG659" s="79" t="s">
        <v>11</v>
      </c>
      <c r="BH659" s="80" t="s">
        <v>19</v>
      </c>
      <c r="BI659" s="79"/>
      <c r="BJ659" s="54" t="s">
        <v>11</v>
      </c>
      <c r="BK659" s="78" t="s">
        <v>11</v>
      </c>
      <c r="BL659" s="69">
        <v>45393</v>
      </c>
      <c r="BM659" s="78">
        <v>45393</v>
      </c>
      <c r="BN659" s="78" t="s">
        <v>11</v>
      </c>
      <c r="BO659" s="78"/>
      <c r="BP659" s="78" t="s">
        <v>227</v>
      </c>
      <c r="BQ659" s="21">
        <f>YEAR([1]!BANCO10[[#This Row],[DATA INÍCIO]])</f>
        <v>2025</v>
      </c>
      <c r="BR659" s="21">
        <f>MONTH([1]!BANCO10[[#This Row],[DATA INÍCIO]])</f>
        <v>11</v>
      </c>
      <c r="BS659" s="21" t="e">
        <f>CONCATENATE(#REF!,#REF!)</f>
        <v>#REF!</v>
      </c>
      <c r="BT659" s="21"/>
      <c r="BU659" s="21" t="s">
        <v>30</v>
      </c>
      <c r="BV659" s="21" t="str">
        <f>IF([1]!BANCO10[[#This Row],[SOLUÇÃO]]=BV$1,[1]!BANCO10[[#This Row],[STATUS DA ETAPA]],"")</f>
        <v/>
      </c>
      <c r="BW659" s="21" t="str">
        <f>IF([1]!BANCO10[[#This Row],[SOLUÇÃO]]=BW$1,[1]!BANCO10[[#This Row],[STATUS DA ETAPA]],"")</f>
        <v/>
      </c>
      <c r="BX659" s="21" t="str">
        <f>IF([1]!BANCO10[[#This Row],[SOLUÇÃO]]=BX$1,[1]!BANCO10[[#This Row],[STATUS DA ETAPA]],"")</f>
        <v/>
      </c>
      <c r="BY659" s="21" t="str">
        <f>IF([1]!BANCO10[[#This Row],[SOLUÇÃO]]=BY$1,[1]!BANCO10[[#This Row],[STATUS DA ETAPA]],"")</f>
        <v/>
      </c>
      <c r="BZ659" s="21" t="str">
        <f>IF([1]!BANCO10[[#This Row],[SOLUÇÃO]]=BZ$1,[1]!BANCO10[[#This Row],[STATUS DA ETAPA]],"")</f>
        <v/>
      </c>
      <c r="CA659" s="21" t="str">
        <f>IF([1]!BANCO10[[#This Row],[SOLUÇÃO]]=CA$1,[1]!BANCO10[[#This Row],[STATUS DA ETAPA]],"")</f>
        <v>PROSPECÇÃO</v>
      </c>
      <c r="CB659" s="21" t="str">
        <f>IF([1]!BANCO10[[#This Row],[SOLUÇÃO]]=CB$1,[1]!BANCO10[[#This Row],[STATUS DA ETAPA]],"")</f>
        <v/>
      </c>
      <c r="CC659" s="21" t="str">
        <f>IF([1]!BANCO10[[#This Row],[SOLUÇÃO]]=CC$1,[1]!BANCO10[[#This Row],[STATUS DA ETAPA]],"")</f>
        <v/>
      </c>
      <c r="CD659" s="21" t="str">
        <f>IF([1]!BANCO10[[#This Row],[SOLUÇÃO]]=CD$1,[1]!BANCO10[[#This Row],[STATUS DA ETAPA]],"")</f>
        <v/>
      </c>
      <c r="CE659" s="21" t="str">
        <f>IF([1]!BANCO10[[#This Row],[SOLUÇÃO]]=CE$1,[1]!BANCO10[[#This Row],[STATUS DA ETAPA]],"")</f>
        <v/>
      </c>
      <c r="CF659" s="21" t="str">
        <f>IF([1]!BANCO10[[#This Row],[SOLUÇÃO]]=CF$1,[1]!BANCO10[[#This Row],[STATUS DA ETAPA]],"")</f>
        <v/>
      </c>
      <c r="CG659" s="21" t="str">
        <f>IF([1]!BANCO10[[#This Row],[SOLUÇÃO]]=CG$1,[1]!BANCO10[[#This Row],[STATUS DA ETAPA]],"")</f>
        <v/>
      </c>
      <c r="CH659" s="21" t="str">
        <f>IF([1]!BANCO10[[#This Row],[SOLUÇÃO]]=CH$1,[1]!BANCO10[[#This Row],[STATUS DA ETAPA]],"")</f>
        <v/>
      </c>
      <c r="CI659" s="21" t="str">
        <f>IF([1]!BANCO10[[#This Row],[SOLUÇÃO]]=CI$1,[1]!BANCO10[[#This Row],[STATUS DA ETAPA]],"")</f>
        <v/>
      </c>
      <c r="CJ659" s="21" t="str">
        <f>IF([1]!BANCO10[[#This Row],[SOLUÇÃO]]=CJ$1,[1]!BANCO10[[#This Row],[STATUS DA ETAPA]],"")</f>
        <v/>
      </c>
      <c r="CK659" s="21" t="str">
        <f>IF([1]!BANCO10[[#This Row],[SOLUÇÃO]]=CK$1,[1]!BANCO10[[#This Row],[STATUS DA ETAPA]],"")</f>
        <v/>
      </c>
      <c r="CL659" s="22" t="str">
        <f>IF([1]!BANCO10[[#This Row],[SOLUÇÃO]]=CL$1,[1]!BANCO10[[#This Row],[STATUS DA ETAPA]],"")</f>
        <v/>
      </c>
      <c r="CM659" s="64" t="str">
        <f>IF([1]!BANCO10[[#This Row],[SOLUÇÃO]]=CM$1,[1]!BANCO10[[#This Row],[STATUS DA ETAPA]],"")</f>
        <v/>
      </c>
      <c r="CN659" s="64" t="str">
        <f>IF([1]!BANCO10[[#This Row],[SOLUÇÃO]]=CN$1,[1]!BANCO10[[#This Row],[STATUS DA ETAPA]],"")</f>
        <v/>
      </c>
      <c r="CO659" s="64" t="str">
        <f>IF([1]!BANCO10[[#This Row],[SOLUÇÃO]]=CO$1,[1]!BANCO10[[#This Row],[STATUS DA ETAPA]],"")</f>
        <v/>
      </c>
      <c r="CP659" s="64" t="str">
        <f>IF([1]!BANCO10[[#This Row],[SOLUÇÃO]]=CP$1,[1]!BANCO10[[#This Row],[STATUS DA ETAPA]],"")</f>
        <v/>
      </c>
      <c r="CQ659" s="64" t="str">
        <f>IF([1]!BANCO10[[#This Row],[SOLUÇÃO]]=CQ$1,[1]!BANCO10[[#This Row],[STATUS DA ETAPA]],"")</f>
        <v/>
      </c>
      <c r="CR659" s="64" t="str">
        <f>IF([1]!BANCO10[[#This Row],[SOLUÇÃO]]=CR$1,[1]!BANCO10[[#This Row],[STATUS DA ETAPA]],"")</f>
        <v/>
      </c>
      <c r="CS659" s="64" t="str">
        <f>IF([1]!BANCO10[[#This Row],[SOLUÇÃO]]=CS$1,[1]!BANCO10[[#This Row],[STATUS DA ETAPA]],"")</f>
        <v/>
      </c>
      <c r="CT659" s="64" t="str">
        <f>IF([1]!BANCO10[[#This Row],[SOLUÇÃO]]=CT$1,[1]!BANCO10[[#This Row],[STATUS DA ETAPA]],"")</f>
        <v/>
      </c>
      <c r="CU659" s="64" t="str">
        <f>IF([1]!BANCO10[[#This Row],[SOLUÇÃO]]=CU$1,[1]!BANCO10[[#This Row],[STATUS DA ETAPA]],"")</f>
        <v/>
      </c>
      <c r="CV659" s="64" t="str">
        <f>IF([1]!BANCO10[[#This Row],[SOLUÇÃO]]=CV$1,[1]!BANCO10[[#This Row],[STATUS DA ETAPA]],"")</f>
        <v/>
      </c>
    </row>
    <row r="660" spans="1:100">
      <c r="A660" s="44" t="s">
        <v>1</v>
      </c>
      <c r="B660" s="44"/>
      <c r="C660" s="44" t="s">
        <v>1</v>
      </c>
      <c r="D660" s="44"/>
      <c r="E660" s="44" t="s">
        <v>1</v>
      </c>
      <c r="F660" s="44"/>
      <c r="G660" s="44" t="s">
        <v>1</v>
      </c>
      <c r="H660" s="44"/>
      <c r="I660" s="45" t="s">
        <v>1</v>
      </c>
      <c r="J660" s="46"/>
      <c r="K660" s="45" t="s">
        <v>1</v>
      </c>
      <c r="L660" s="33"/>
      <c r="M660" s="45" t="s">
        <v>1</v>
      </c>
      <c r="N660" s="33"/>
      <c r="O660" s="44" t="s">
        <v>1</v>
      </c>
      <c r="P660" s="44"/>
      <c r="Q660" s="44" t="s">
        <v>0</v>
      </c>
      <c r="R660" s="44"/>
      <c r="S660" s="44" t="s">
        <v>1</v>
      </c>
      <c r="T660" s="44"/>
      <c r="U660" s="44" t="s">
        <v>1</v>
      </c>
      <c r="V660" s="44"/>
      <c r="W660" s="44" t="s">
        <v>1</v>
      </c>
      <c r="X660" s="44"/>
      <c r="Y660" s="44" t="s">
        <v>1</v>
      </c>
      <c r="Z660" s="44"/>
      <c r="AA660" s="44" t="s">
        <v>1</v>
      </c>
      <c r="AB660" s="44"/>
      <c r="AC660" s="51">
        <v>45963</v>
      </c>
      <c r="AD660" s="50">
        <v>45963</v>
      </c>
      <c r="AE660" s="40" t="s">
        <v>1</v>
      </c>
      <c r="AF660" s="40" t="s">
        <v>1</v>
      </c>
      <c r="AG660" s="40" t="s">
        <v>1</v>
      </c>
      <c r="AH660" s="36" t="s">
        <v>1</v>
      </c>
      <c r="AI660" s="49">
        <v>0</v>
      </c>
      <c r="AJ660" s="36" t="s">
        <v>1</v>
      </c>
      <c r="AK660" s="10" t="s">
        <v>1</v>
      </c>
      <c r="AL660" s="36" t="s">
        <v>1</v>
      </c>
      <c r="AM660" s="36" t="s">
        <v>1</v>
      </c>
      <c r="AN660" s="35" t="s">
        <v>1</v>
      </c>
      <c r="AO660" s="35" t="s">
        <v>1</v>
      </c>
      <c r="AP660" s="35" t="s">
        <v>1</v>
      </c>
      <c r="AQ660" s="35" t="s">
        <v>1</v>
      </c>
      <c r="AR660" s="82" t="s">
        <v>1</v>
      </c>
      <c r="AS660" s="63"/>
      <c r="AT660" s="32" t="s">
        <v>1</v>
      </c>
      <c r="AU660" s="31"/>
      <c r="AV660" s="32" t="s">
        <v>1</v>
      </c>
      <c r="AW660" s="31"/>
      <c r="AX660" s="32" t="s">
        <v>1</v>
      </c>
      <c r="AY660" s="31"/>
      <c r="AZ660" s="32" t="s">
        <v>1</v>
      </c>
      <c r="BA660" s="47"/>
      <c r="BB660" s="120" t="s">
        <v>228</v>
      </c>
      <c r="BC660" s="39"/>
      <c r="BD660" s="24" t="s">
        <v>19</v>
      </c>
      <c r="BE660" s="24" t="s">
        <v>19</v>
      </c>
      <c r="BF660" s="79" t="s">
        <v>51</v>
      </c>
      <c r="BG660" s="79" t="s">
        <v>11</v>
      </c>
      <c r="BH660" s="80" t="s">
        <v>19</v>
      </c>
      <c r="BI660" s="79"/>
      <c r="BJ660" s="54" t="s">
        <v>11</v>
      </c>
      <c r="BK660" s="78" t="s">
        <v>11</v>
      </c>
      <c r="BL660" s="69" t="s">
        <v>11</v>
      </c>
      <c r="BM660" s="78" t="s">
        <v>11</v>
      </c>
      <c r="BN660" s="78" t="s">
        <v>11</v>
      </c>
      <c r="BO660" s="78" t="s">
        <v>11</v>
      </c>
      <c r="BP660" s="78" t="s">
        <v>11</v>
      </c>
      <c r="BQ660" s="21">
        <f>YEAR([1]!BANCO10[[#This Row],[DATA INÍCIO]])</f>
        <v>2025</v>
      </c>
      <c r="BR660" s="21">
        <f>MONTH([1]!BANCO10[[#This Row],[DATA INÍCIO]])</f>
        <v>11</v>
      </c>
      <c r="BS660" s="21" t="e">
        <f>CONCATENATE(#REF!,#REF!)</f>
        <v>#REF!</v>
      </c>
      <c r="BT660" s="21"/>
      <c r="BU660" s="21" t="s">
        <v>229</v>
      </c>
      <c r="BV660" s="21" t="str">
        <f>IF([1]!BANCO10[[#This Row],[SOLUÇÃO]]=BV$1,[1]!BANCO10[[#This Row],[STATUS DA ETAPA]],"")</f>
        <v>CANCELADO</v>
      </c>
      <c r="BW660" s="21" t="str">
        <f>IF([1]!BANCO10[[#This Row],[SOLUÇÃO]]=BW$1,[1]!BANCO10[[#This Row],[STATUS DA ETAPA]],"")</f>
        <v/>
      </c>
      <c r="BX660" s="21" t="str">
        <f>IF([1]!BANCO10[[#This Row],[SOLUÇÃO]]=BX$1,[1]!BANCO10[[#This Row],[STATUS DA ETAPA]],"")</f>
        <v/>
      </c>
      <c r="BY660" s="21" t="str">
        <f>IF([1]!BANCO10[[#This Row],[SOLUÇÃO]]=BY$1,[1]!BANCO10[[#This Row],[STATUS DA ETAPA]],"")</f>
        <v/>
      </c>
      <c r="BZ660" s="21" t="str">
        <f>IF([1]!BANCO10[[#This Row],[SOLUÇÃO]]=BZ$1,[1]!BANCO10[[#This Row],[STATUS DA ETAPA]],"")</f>
        <v/>
      </c>
      <c r="CA660" s="21" t="str">
        <f>IF([1]!BANCO10[[#This Row],[SOLUÇÃO]]=CA$1,[1]!BANCO10[[#This Row],[STATUS DA ETAPA]],"")</f>
        <v/>
      </c>
      <c r="CB660" s="21" t="str">
        <f>IF([1]!BANCO10[[#This Row],[SOLUÇÃO]]=CB$1,[1]!BANCO10[[#This Row],[STATUS DA ETAPA]],"")</f>
        <v/>
      </c>
      <c r="CC660" s="21" t="str">
        <f>IF([1]!BANCO10[[#This Row],[SOLUÇÃO]]=CC$1,[1]!BANCO10[[#This Row],[STATUS DA ETAPA]],"")</f>
        <v/>
      </c>
      <c r="CD660" s="21" t="str">
        <f>IF([1]!BANCO10[[#This Row],[SOLUÇÃO]]=CD$1,[1]!BANCO10[[#This Row],[STATUS DA ETAPA]],"")</f>
        <v/>
      </c>
      <c r="CE660" s="21" t="str">
        <f>IF([1]!BANCO10[[#This Row],[SOLUÇÃO]]=CE$1,[1]!BANCO10[[#This Row],[STATUS DA ETAPA]],"")</f>
        <v/>
      </c>
      <c r="CF660" s="21" t="str">
        <f>IF([1]!BANCO10[[#This Row],[SOLUÇÃO]]=CF$1,[1]!BANCO10[[#This Row],[STATUS DA ETAPA]],"")</f>
        <v/>
      </c>
      <c r="CG660" s="21" t="str">
        <f>IF([1]!BANCO10[[#This Row],[SOLUÇÃO]]=CG$1,[1]!BANCO10[[#This Row],[STATUS DA ETAPA]],"")</f>
        <v/>
      </c>
      <c r="CH660" s="21" t="str">
        <f>IF([1]!BANCO10[[#This Row],[SOLUÇÃO]]=CH$1,[1]!BANCO10[[#This Row],[STATUS DA ETAPA]],"")</f>
        <v/>
      </c>
      <c r="CI660" s="21" t="str">
        <f>IF([1]!BANCO10[[#This Row],[SOLUÇÃO]]=CI$1,[1]!BANCO10[[#This Row],[STATUS DA ETAPA]],"")</f>
        <v/>
      </c>
      <c r="CJ660" s="21" t="str">
        <f>IF([1]!BANCO10[[#This Row],[SOLUÇÃO]]=CJ$1,[1]!BANCO10[[#This Row],[STATUS DA ETAPA]],"")</f>
        <v/>
      </c>
      <c r="CK660" s="21" t="str">
        <f>IF([1]!BANCO10[[#This Row],[SOLUÇÃO]]=CK$1,[1]!BANCO10[[#This Row],[STATUS DA ETAPA]],"")</f>
        <v/>
      </c>
      <c r="CL660" s="22" t="str">
        <f>IF([1]!BANCO10[[#This Row],[SOLUÇÃO]]=CL$1,[1]!BANCO10[[#This Row],[STATUS DA ETAPA]],"")</f>
        <v/>
      </c>
      <c r="CM660" s="64" t="str">
        <f>IF([1]!BANCO10[[#This Row],[SOLUÇÃO]]=CM$1,[1]!BANCO10[[#This Row],[STATUS DA ETAPA]],"")</f>
        <v/>
      </c>
      <c r="CN660" s="64" t="str">
        <f>IF([1]!BANCO10[[#This Row],[SOLUÇÃO]]=CN$1,[1]!BANCO10[[#This Row],[STATUS DA ETAPA]],"")</f>
        <v/>
      </c>
      <c r="CO660" s="64" t="str">
        <f>IF([1]!BANCO10[[#This Row],[SOLUÇÃO]]=CO$1,[1]!BANCO10[[#This Row],[STATUS DA ETAPA]],"")</f>
        <v/>
      </c>
      <c r="CP660" s="64" t="str">
        <f>IF([1]!BANCO10[[#This Row],[SOLUÇÃO]]=CP$1,[1]!BANCO10[[#This Row],[STATUS DA ETAPA]],"")</f>
        <v/>
      </c>
      <c r="CQ660" s="64" t="str">
        <f>IF([1]!BANCO10[[#This Row],[SOLUÇÃO]]=CQ$1,[1]!BANCO10[[#This Row],[STATUS DA ETAPA]],"")</f>
        <v/>
      </c>
      <c r="CR660" s="64" t="str">
        <f>IF([1]!BANCO10[[#This Row],[SOLUÇÃO]]=CR$1,[1]!BANCO10[[#This Row],[STATUS DA ETAPA]],"")</f>
        <v/>
      </c>
      <c r="CS660" s="64" t="str">
        <f>IF([1]!BANCO10[[#This Row],[SOLUÇÃO]]=CS$1,[1]!BANCO10[[#This Row],[STATUS DA ETAPA]],"")</f>
        <v/>
      </c>
      <c r="CT660" s="64" t="str">
        <f>IF([1]!BANCO10[[#This Row],[SOLUÇÃO]]=CT$1,[1]!BANCO10[[#This Row],[STATUS DA ETAPA]],"")</f>
        <v/>
      </c>
      <c r="CU660" s="64" t="str">
        <f>IF([1]!BANCO10[[#This Row],[SOLUÇÃO]]=CU$1,[1]!BANCO10[[#This Row],[STATUS DA ETAPA]],"")</f>
        <v/>
      </c>
      <c r="CV660" s="64" t="str">
        <f>IF([1]!BANCO10[[#This Row],[SOLUÇÃO]]=CV$1,[1]!BANCO10[[#This Row],[STATUS DA ETAPA]],"")</f>
        <v/>
      </c>
    </row>
    <row r="661" spans="1:100">
      <c r="A661" s="44" t="s">
        <v>1</v>
      </c>
      <c r="B661" s="44"/>
      <c r="C661" s="44" t="s">
        <v>1</v>
      </c>
      <c r="D661" s="44"/>
      <c r="E661" s="44" t="s">
        <v>1</v>
      </c>
      <c r="F661" s="44"/>
      <c r="G661" s="44" t="s">
        <v>1</v>
      </c>
      <c r="H661" s="44"/>
      <c r="I661" s="45" t="s">
        <v>1</v>
      </c>
      <c r="J661" s="46"/>
      <c r="K661" s="45" t="s">
        <v>1</v>
      </c>
      <c r="L661" s="33"/>
      <c r="M661" s="45" t="s">
        <v>1</v>
      </c>
      <c r="N661" s="33"/>
      <c r="O661" s="44" t="s">
        <v>1</v>
      </c>
      <c r="P661" s="44"/>
      <c r="Q661" s="44" t="s">
        <v>1</v>
      </c>
      <c r="R661" s="44"/>
      <c r="S661" s="44" t="s">
        <v>1</v>
      </c>
      <c r="T661" s="44"/>
      <c r="U661" s="44" t="s">
        <v>1</v>
      </c>
      <c r="V661" s="44"/>
      <c r="W661" s="44" t="s">
        <v>1</v>
      </c>
      <c r="X661" s="44"/>
      <c r="Y661" s="44" t="s">
        <v>1</v>
      </c>
      <c r="Z661" s="44"/>
      <c r="AA661" s="44" t="s">
        <v>1</v>
      </c>
      <c r="AB661" s="44"/>
      <c r="AC661" s="51">
        <v>45963</v>
      </c>
      <c r="AD661" s="50">
        <v>45963</v>
      </c>
      <c r="AE661" s="40" t="s">
        <v>1</v>
      </c>
      <c r="AF661" s="40" t="s">
        <v>1</v>
      </c>
      <c r="AG661" s="40" t="s">
        <v>1</v>
      </c>
      <c r="AH661" s="36" t="s">
        <v>1</v>
      </c>
      <c r="AI661" s="49">
        <v>0</v>
      </c>
      <c r="AJ661" s="36" t="s">
        <v>1</v>
      </c>
      <c r="AK661" s="10" t="s">
        <v>1</v>
      </c>
      <c r="AL661" s="36" t="s">
        <v>1</v>
      </c>
      <c r="AM661" s="36" t="s">
        <v>1</v>
      </c>
      <c r="AN661" s="35" t="s">
        <v>1</v>
      </c>
      <c r="AO661" s="35" t="s">
        <v>1</v>
      </c>
      <c r="AP661" s="35" t="s">
        <v>1</v>
      </c>
      <c r="AQ661" s="35" t="s">
        <v>1</v>
      </c>
      <c r="AR661" s="33" t="s">
        <v>1</v>
      </c>
      <c r="AS661" s="63"/>
      <c r="AT661" s="32" t="s">
        <v>1</v>
      </c>
      <c r="AU661" s="31"/>
      <c r="AV661" s="32" t="s">
        <v>1</v>
      </c>
      <c r="AW661" s="31"/>
      <c r="AX661" s="32" t="s">
        <v>1</v>
      </c>
      <c r="AY661" s="31"/>
      <c r="AZ661" s="32" t="s">
        <v>1</v>
      </c>
      <c r="BA661" s="47"/>
      <c r="BB661" s="39" t="s">
        <v>228</v>
      </c>
      <c r="BC661" s="25"/>
      <c r="BD661" s="24" t="s">
        <v>19</v>
      </c>
      <c r="BE661" s="24" t="s">
        <v>19</v>
      </c>
      <c r="BF661" s="79" t="s">
        <v>51</v>
      </c>
      <c r="BG661" s="79" t="s">
        <v>11</v>
      </c>
      <c r="BH661" s="80" t="s">
        <v>19</v>
      </c>
      <c r="BI661" s="79"/>
      <c r="BJ661" s="54" t="s">
        <v>11</v>
      </c>
      <c r="BK661" s="78" t="s">
        <v>11</v>
      </c>
      <c r="BL661" s="69">
        <v>45393</v>
      </c>
      <c r="BM661" s="78">
        <v>45393</v>
      </c>
      <c r="BN661" s="78" t="s">
        <v>11</v>
      </c>
      <c r="BO661" s="78"/>
      <c r="BP661" s="78" t="s">
        <v>227</v>
      </c>
      <c r="BQ661" s="21">
        <f>YEAR([1]!BANCO10[[#This Row],[DATA INÍCIO]])</f>
        <v>2025</v>
      </c>
      <c r="BR661" s="21">
        <f>MONTH([1]!BANCO10[[#This Row],[DATA INÍCIO]])</f>
        <v>11</v>
      </c>
      <c r="BS661" s="21" t="e">
        <f>CONCATENATE(#REF!,#REF!)</f>
        <v>#REF!</v>
      </c>
      <c r="BT661" s="21"/>
      <c r="BU661" s="21" t="s">
        <v>1</v>
      </c>
      <c r="BV661" s="21" t="str">
        <f>IF([1]!BANCO10[[#This Row],[SOLUÇÃO]]=BV$1,[1]!BANCO10[[#This Row],[STATUS DA ETAPA]],"")</f>
        <v/>
      </c>
      <c r="BW661" s="21" t="str">
        <f>IF([1]!BANCO10[[#This Row],[SOLUÇÃO]]=BW$1,[1]!BANCO10[[#This Row],[STATUS DA ETAPA]],"")</f>
        <v/>
      </c>
      <c r="BX661" s="21" t="str">
        <f>IF([1]!BANCO10[[#This Row],[SOLUÇÃO]]=BX$1,[1]!BANCO10[[#This Row],[STATUS DA ETAPA]],"")</f>
        <v/>
      </c>
      <c r="BY661" s="21" t="str">
        <f>IF([1]!BANCO10[[#This Row],[SOLUÇÃO]]=BY$1,[1]!BANCO10[[#This Row],[STATUS DA ETAPA]],"")</f>
        <v/>
      </c>
      <c r="BZ661" s="21" t="str">
        <f>IF([1]!BANCO10[[#This Row],[SOLUÇÃO]]=BZ$1,[1]!BANCO10[[#This Row],[STATUS DA ETAPA]],"")</f>
        <v/>
      </c>
      <c r="CA661" s="21" t="str">
        <f>IF([1]!BANCO10[[#This Row],[SOLUÇÃO]]=CA$1,[1]!BANCO10[[#This Row],[STATUS DA ETAPA]],"")</f>
        <v>CANCELADO</v>
      </c>
      <c r="CB661" s="21" t="str">
        <f>IF([1]!BANCO10[[#This Row],[SOLUÇÃO]]=CB$1,[1]!BANCO10[[#This Row],[STATUS DA ETAPA]],"")</f>
        <v/>
      </c>
      <c r="CC661" s="21" t="str">
        <f>IF([1]!BANCO10[[#This Row],[SOLUÇÃO]]=CC$1,[1]!BANCO10[[#This Row],[STATUS DA ETAPA]],"")</f>
        <v/>
      </c>
      <c r="CD661" s="21" t="str">
        <f>IF([1]!BANCO10[[#This Row],[SOLUÇÃO]]=CD$1,[1]!BANCO10[[#This Row],[STATUS DA ETAPA]],"")</f>
        <v/>
      </c>
      <c r="CE661" s="21" t="str">
        <f>IF([1]!BANCO10[[#This Row],[SOLUÇÃO]]=CE$1,[1]!BANCO10[[#This Row],[STATUS DA ETAPA]],"")</f>
        <v/>
      </c>
      <c r="CF661" s="21" t="str">
        <f>IF([1]!BANCO10[[#This Row],[SOLUÇÃO]]=CF$1,[1]!BANCO10[[#This Row],[STATUS DA ETAPA]],"")</f>
        <v/>
      </c>
      <c r="CG661" s="21" t="str">
        <f>IF([1]!BANCO10[[#This Row],[SOLUÇÃO]]=CG$1,[1]!BANCO10[[#This Row],[STATUS DA ETAPA]],"")</f>
        <v/>
      </c>
      <c r="CH661" s="21" t="str">
        <f>IF([1]!BANCO10[[#This Row],[SOLUÇÃO]]=CH$1,[1]!BANCO10[[#This Row],[STATUS DA ETAPA]],"")</f>
        <v/>
      </c>
      <c r="CI661" s="21" t="str">
        <f>IF([1]!BANCO10[[#This Row],[SOLUÇÃO]]=CI$1,[1]!BANCO10[[#This Row],[STATUS DA ETAPA]],"")</f>
        <v/>
      </c>
      <c r="CJ661" s="21" t="str">
        <f>IF([1]!BANCO10[[#This Row],[SOLUÇÃO]]=CJ$1,[1]!BANCO10[[#This Row],[STATUS DA ETAPA]],"")</f>
        <v/>
      </c>
      <c r="CK661" s="21" t="str">
        <f>IF([1]!BANCO10[[#This Row],[SOLUÇÃO]]=CK$1,[1]!BANCO10[[#This Row],[STATUS DA ETAPA]],"")</f>
        <v/>
      </c>
      <c r="CL661" s="22" t="str">
        <f>IF([1]!BANCO10[[#This Row],[SOLUÇÃO]]=CL$1,[1]!BANCO10[[#This Row],[STATUS DA ETAPA]],"")</f>
        <v/>
      </c>
      <c r="CM661" s="64" t="str">
        <f>IF([1]!BANCO10[[#This Row],[SOLUÇÃO]]=CM$1,[1]!BANCO10[[#This Row],[STATUS DA ETAPA]],"")</f>
        <v/>
      </c>
      <c r="CN661" s="64" t="str">
        <f>IF([1]!BANCO10[[#This Row],[SOLUÇÃO]]=CN$1,[1]!BANCO10[[#This Row],[STATUS DA ETAPA]],"")</f>
        <v/>
      </c>
      <c r="CO661" s="64" t="str">
        <f>IF([1]!BANCO10[[#This Row],[SOLUÇÃO]]=CO$1,[1]!BANCO10[[#This Row],[STATUS DA ETAPA]],"")</f>
        <v/>
      </c>
      <c r="CP661" s="64" t="str">
        <f>IF([1]!BANCO10[[#This Row],[SOLUÇÃO]]=CP$1,[1]!BANCO10[[#This Row],[STATUS DA ETAPA]],"")</f>
        <v/>
      </c>
      <c r="CQ661" s="64" t="str">
        <f>IF([1]!BANCO10[[#This Row],[SOLUÇÃO]]=CQ$1,[1]!BANCO10[[#This Row],[STATUS DA ETAPA]],"")</f>
        <v/>
      </c>
      <c r="CR661" s="64" t="str">
        <f>IF([1]!BANCO10[[#This Row],[SOLUÇÃO]]=CR$1,[1]!BANCO10[[#This Row],[STATUS DA ETAPA]],"")</f>
        <v/>
      </c>
      <c r="CS661" s="64" t="str">
        <f>IF([1]!BANCO10[[#This Row],[SOLUÇÃO]]=CS$1,[1]!BANCO10[[#This Row],[STATUS DA ETAPA]],"")</f>
        <v/>
      </c>
      <c r="CT661" s="64" t="str">
        <f>IF([1]!BANCO10[[#This Row],[SOLUÇÃO]]=CT$1,[1]!BANCO10[[#This Row],[STATUS DA ETAPA]],"")</f>
        <v/>
      </c>
      <c r="CU661" s="64" t="str">
        <f>IF([1]!BANCO10[[#This Row],[SOLUÇÃO]]=CU$1,[1]!BANCO10[[#This Row],[STATUS DA ETAPA]],"")</f>
        <v/>
      </c>
      <c r="CV661" s="64" t="str">
        <f>IF([1]!BANCO10[[#This Row],[SOLUÇÃO]]=CV$1,[1]!BANCO10[[#This Row],[STATUS DA ETAPA]],"")</f>
        <v/>
      </c>
    </row>
    <row r="662" spans="1:100">
      <c r="A662" s="44" t="s">
        <v>2</v>
      </c>
      <c r="B662" s="44">
        <v>45757</v>
      </c>
      <c r="C662" s="44" t="s">
        <v>2</v>
      </c>
      <c r="D662" s="44">
        <v>45757</v>
      </c>
      <c r="E662" s="44" t="s">
        <v>2</v>
      </c>
      <c r="F662" s="44">
        <v>45757</v>
      </c>
      <c r="G662" s="44" t="s">
        <v>2</v>
      </c>
      <c r="H662" s="44">
        <v>45757</v>
      </c>
      <c r="I662" s="45" t="s">
        <v>2</v>
      </c>
      <c r="J662" s="46">
        <v>45736</v>
      </c>
      <c r="K662" s="45" t="s">
        <v>2</v>
      </c>
      <c r="L662" s="33">
        <v>45932</v>
      </c>
      <c r="M662" s="45" t="s">
        <v>2</v>
      </c>
      <c r="N662" s="33">
        <v>45932</v>
      </c>
      <c r="O662" s="44" t="s">
        <v>1</v>
      </c>
      <c r="P662" s="44"/>
      <c r="Q662" s="44" t="s">
        <v>1</v>
      </c>
      <c r="R662" s="44"/>
      <c r="S662" s="44" t="s">
        <v>2</v>
      </c>
      <c r="T662" s="44">
        <v>45708</v>
      </c>
      <c r="U662" s="44" t="s">
        <v>1</v>
      </c>
      <c r="V662" s="44"/>
      <c r="W662" s="44" t="s">
        <v>1</v>
      </c>
      <c r="X662" s="44"/>
      <c r="Y662" s="44" t="s">
        <v>1</v>
      </c>
      <c r="Z662" s="44"/>
      <c r="AA662" s="44" t="s">
        <v>1</v>
      </c>
      <c r="AB662" s="44"/>
      <c r="AC662" s="51">
        <v>45932</v>
      </c>
      <c r="AD662" s="50">
        <v>46022</v>
      </c>
      <c r="AE662" s="54" t="s">
        <v>2</v>
      </c>
      <c r="AF662" s="41" t="s">
        <v>0</v>
      </c>
      <c r="AG662" s="40" t="s">
        <v>5</v>
      </c>
      <c r="AH662" s="36" t="s">
        <v>0</v>
      </c>
      <c r="AI662" s="49">
        <v>22040</v>
      </c>
      <c r="AJ662" s="36" t="s">
        <v>6</v>
      </c>
      <c r="AK662" s="10">
        <v>678870</v>
      </c>
      <c r="AL662" s="36" t="s">
        <v>1</v>
      </c>
      <c r="AM662" s="36" t="s">
        <v>1</v>
      </c>
      <c r="AN662" s="52" t="s">
        <v>0</v>
      </c>
      <c r="AO662" s="52" t="s">
        <v>0</v>
      </c>
      <c r="AP662" s="52" t="s">
        <v>0</v>
      </c>
      <c r="AQ662" s="52" t="s">
        <v>0</v>
      </c>
      <c r="AR662" s="34" t="s">
        <v>0</v>
      </c>
      <c r="AS662" s="33"/>
      <c r="AT662" s="32" t="s">
        <v>1</v>
      </c>
      <c r="AU662" s="31"/>
      <c r="AV662" s="32" t="s">
        <v>1</v>
      </c>
      <c r="AW662" s="31"/>
      <c r="AX662" s="32" t="s">
        <v>0</v>
      </c>
      <c r="AY662" s="31"/>
      <c r="AZ662" s="32" t="s">
        <v>0</v>
      </c>
      <c r="BA662" s="31"/>
      <c r="BB662" s="26" t="s">
        <v>7</v>
      </c>
      <c r="BC662" s="25"/>
      <c r="BD662" s="24"/>
      <c r="BE662" s="24"/>
      <c r="BF662" s="24"/>
      <c r="BG662" s="24"/>
      <c r="BH662" s="24"/>
      <c r="BI662" s="24"/>
      <c r="BJ662" s="24"/>
      <c r="BK662" s="24"/>
      <c r="BL662" s="24"/>
      <c r="BM662" s="24"/>
      <c r="BN662" s="24"/>
      <c r="BO662" s="24"/>
      <c r="BP662" s="24"/>
      <c r="BQ662" s="22">
        <f>YEAR([1]!BANCO10[[#This Row],[DATA INÍCIO]])</f>
        <v>2025</v>
      </c>
      <c r="BR662" s="22">
        <f>MONTH([1]!BANCO10[[#This Row],[DATA INÍCIO]])</f>
        <v>10</v>
      </c>
      <c r="BS662" s="23" t="e">
        <f>CONCATENATE(#REF!,#REF!)</f>
        <v>#REF!</v>
      </c>
      <c r="BT662" s="22"/>
      <c r="BU662" s="22"/>
      <c r="BV662" s="21" t="str">
        <f>IF([1]!BANCO10[[#This Row],[SOLUÇÃO]]=BV$1,[1]!BANCO10[[#This Row],[STATUS DA ETAPA]],"")</f>
        <v/>
      </c>
      <c r="BW662" s="21" t="str">
        <f>IF([1]!BANCO10[[#This Row],[SOLUÇÃO]]=BW$1,[1]!BANCO10[[#This Row],[STATUS DA ETAPA]],"")</f>
        <v/>
      </c>
      <c r="BX662" s="21" t="str">
        <f>IF([1]!BANCO10[[#This Row],[SOLUÇÃO]]=BX$1,[1]!BANCO10[[#This Row],[STATUS DA ETAPA]],"")</f>
        <v/>
      </c>
      <c r="BY662" s="21" t="str">
        <f>IF([1]!BANCO10[[#This Row],[SOLUÇÃO]]=BY$1,[1]!BANCO10[[#This Row],[STATUS DA ETAPA]],"")</f>
        <v/>
      </c>
      <c r="BZ662" s="21" t="str">
        <f>IF([1]!BANCO10[[#This Row],[SOLUÇÃO]]=BZ$1,[1]!BANCO10[[#This Row],[STATUS DA ETAPA]],"")</f>
        <v/>
      </c>
      <c r="CA662" s="21" t="str">
        <f>IF([1]!BANCO10[[#This Row],[SOLUÇÃO]]=CA$1,[1]!BANCO10[[#This Row],[STATUS DA ETAPA]],"")</f>
        <v/>
      </c>
      <c r="CB662" s="21" t="str">
        <f>IF([1]!BANCO10[[#This Row],[SOLUÇÃO]]=CB$1,[1]!BANCO10[[#This Row],[STATUS DA ETAPA]],"")</f>
        <v>EM ANDAMENTO</v>
      </c>
      <c r="CC662" s="21" t="str">
        <f>IF([1]!BANCO10[[#This Row],[SOLUÇÃO]]=CC$1,[1]!BANCO10[[#This Row],[STATUS DA ETAPA]],"")</f>
        <v/>
      </c>
      <c r="CD662" s="21" t="str">
        <f>IF([1]!BANCO10[[#This Row],[SOLUÇÃO]]=CD$1,[1]!BANCO10[[#This Row],[STATUS DA ETAPA]],"")</f>
        <v/>
      </c>
      <c r="CE662" s="21" t="str">
        <f>IF([1]!BANCO10[[#This Row],[SOLUÇÃO]]=CE$1,[1]!BANCO10[[#This Row],[STATUS DA ETAPA]],"")</f>
        <v/>
      </c>
      <c r="CF662" s="21" t="str">
        <f>IF([1]!BANCO10[[#This Row],[SOLUÇÃO]]=CF$1,[1]!BANCO10[[#This Row],[STATUS DA ETAPA]],"")</f>
        <v/>
      </c>
      <c r="CG662" s="21" t="str">
        <f>IF([1]!BANCO10[[#This Row],[SOLUÇÃO]]=CG$1,[1]!BANCO10[[#This Row],[STATUS DA ETAPA]],"")</f>
        <v/>
      </c>
      <c r="CH662" s="21" t="str">
        <f>IF([1]!BANCO10[[#This Row],[SOLUÇÃO]]=CH$1,[1]!BANCO10[[#This Row],[STATUS DA ETAPA]],"")</f>
        <v/>
      </c>
      <c r="CI662" s="21" t="str">
        <f>IF([1]!BANCO10[[#This Row],[SOLUÇÃO]]=CI$1,[1]!BANCO10[[#This Row],[STATUS DA ETAPA]],"")</f>
        <v/>
      </c>
      <c r="CJ662" s="21" t="str">
        <f>IF([1]!BANCO10[[#This Row],[SOLUÇÃO]]=CJ$1,[1]!BANCO10[[#This Row],[STATUS DA ETAPA]],"")</f>
        <v/>
      </c>
      <c r="CK662" s="21" t="str">
        <f>IF([1]!BANCO10[[#This Row],[SOLUÇÃO]]=CK$1,[1]!BANCO10[[#This Row],[STATUS DA ETAPA]],"")</f>
        <v/>
      </c>
      <c r="CL662" s="21" t="str">
        <f>IF([1]!BANCO10[[#This Row],[SOLUÇÃO]]=CL$1,[1]!BANCO10[[#This Row],[STATUS DA ETAPA]],"")</f>
        <v/>
      </c>
      <c r="CM662" s="21" t="str">
        <f>IF([1]!BANCO10[[#This Row],[SOLUÇÃO]]=CM$1,[1]!BANCO10[[#This Row],[STATUS DA ETAPA]],"")</f>
        <v/>
      </c>
      <c r="CN662" s="21" t="str">
        <f>IF([1]!BANCO10[[#This Row],[SOLUÇÃO]]=CN$1,[1]!BANCO10[[#This Row],[STATUS DA ETAPA]],"")</f>
        <v/>
      </c>
      <c r="CO662" s="21" t="str">
        <f>IF([1]!BANCO10[[#This Row],[SOLUÇÃO]]=CO$1,[1]!BANCO10[[#This Row],[STATUS DA ETAPA]],"")</f>
        <v/>
      </c>
      <c r="CP662" s="21" t="str">
        <f>IF([1]!BANCO10[[#This Row],[SOLUÇÃO]]=CP$1,[1]!BANCO10[[#This Row],[STATUS DA ETAPA]],"")</f>
        <v/>
      </c>
      <c r="CQ662" s="21" t="str">
        <f>IF([1]!BANCO10[[#This Row],[SOLUÇÃO]]=CQ$1,[1]!BANCO10[[#This Row],[STATUS DA ETAPA]],"")</f>
        <v/>
      </c>
      <c r="CR662" s="21" t="str">
        <f>IF([1]!BANCO10[[#This Row],[SOLUÇÃO]]=CR$1,[1]!BANCO10[[#This Row],[STATUS DA ETAPA]],"")</f>
        <v/>
      </c>
      <c r="CS662" s="21" t="str">
        <f>IF([1]!BANCO10[[#This Row],[SOLUÇÃO]]=CS$1,[1]!BANCO10[[#This Row],[STATUS DA ETAPA]],"")</f>
        <v/>
      </c>
      <c r="CT662" s="21" t="str">
        <f>IF([1]!BANCO10[[#This Row],[SOLUÇÃO]]=CT$1,[1]!BANCO10[[#This Row],[STATUS DA ETAPA]],"")</f>
        <v/>
      </c>
      <c r="CU662" s="21" t="str">
        <f>IF([1]!BANCO10[[#This Row],[SOLUÇÃO]]=CU$1,[1]!BANCO10[[#This Row],[STATUS DA ETAPA]],"")</f>
        <v/>
      </c>
      <c r="CV662" s="21" t="str">
        <f>IF([1]!BANCO10[[#This Row],[SOLUÇÃO]]=CV$1,[1]!BANCO10[[#This Row],[STATUS DA ETAPA]],"")</f>
        <v/>
      </c>
    </row>
    <row r="663" spans="1:100">
      <c r="A663" s="44" t="s">
        <v>1</v>
      </c>
      <c r="B663" s="44"/>
      <c r="C663" s="44" t="s">
        <v>1</v>
      </c>
      <c r="D663" s="44"/>
      <c r="E663" s="44" t="s">
        <v>1</v>
      </c>
      <c r="F663" s="44"/>
      <c r="G663" s="44" t="s">
        <v>1</v>
      </c>
      <c r="H663" s="44"/>
      <c r="I663" s="45" t="s">
        <v>1</v>
      </c>
      <c r="J663" s="46"/>
      <c r="K663" s="45" t="s">
        <v>1</v>
      </c>
      <c r="L663" s="33"/>
      <c r="M663" s="45" t="s">
        <v>1</v>
      </c>
      <c r="N663" s="33"/>
      <c r="O663" s="44" t="s">
        <v>2</v>
      </c>
      <c r="P663" s="44">
        <v>45310</v>
      </c>
      <c r="Q663" s="44"/>
      <c r="R663" s="44"/>
      <c r="S663" s="44"/>
      <c r="T663" s="44"/>
      <c r="U663" s="44" t="s">
        <v>1</v>
      </c>
      <c r="V663" s="44"/>
      <c r="W663" s="44" t="s">
        <v>1</v>
      </c>
      <c r="X663" s="44"/>
      <c r="Y663" s="44" t="s">
        <v>1</v>
      </c>
      <c r="Z663" s="44"/>
      <c r="AA663" s="44" t="s">
        <v>1</v>
      </c>
      <c r="AB663" s="44"/>
      <c r="AC663" s="84">
        <v>45307</v>
      </c>
      <c r="AD663" s="83">
        <v>45356</v>
      </c>
      <c r="AE663" s="40" t="s">
        <v>2</v>
      </c>
      <c r="AF663" s="40" t="s">
        <v>2</v>
      </c>
      <c r="AG663" s="40" t="s">
        <v>5</v>
      </c>
      <c r="AH663" s="36" t="s">
        <v>2</v>
      </c>
      <c r="AI663" s="49">
        <v>0</v>
      </c>
      <c r="AJ663" s="36" t="s">
        <v>1</v>
      </c>
      <c r="AK663" s="10" t="s">
        <v>1</v>
      </c>
      <c r="AL663" s="36" t="s">
        <v>1</v>
      </c>
      <c r="AM663" s="36" t="s">
        <v>1</v>
      </c>
      <c r="AN663" s="35" t="s">
        <v>1</v>
      </c>
      <c r="AO663" s="35" t="s">
        <v>1</v>
      </c>
      <c r="AP663" s="35" t="s">
        <v>2</v>
      </c>
      <c r="AQ663" s="35" t="s">
        <v>1</v>
      </c>
      <c r="AR663" s="34" t="s">
        <v>1</v>
      </c>
      <c r="AS663" s="33"/>
      <c r="AT663" s="30"/>
      <c r="AU663" s="55"/>
      <c r="AV663" s="30"/>
      <c r="AW663" s="55"/>
      <c r="AX663" s="30" t="s">
        <v>2</v>
      </c>
      <c r="AY663" s="55">
        <v>45356</v>
      </c>
      <c r="AZ663" s="30" t="s">
        <v>2</v>
      </c>
      <c r="BA663" s="91">
        <v>45363</v>
      </c>
      <c r="BB663" s="39" t="s">
        <v>34</v>
      </c>
      <c r="BC663" s="25"/>
      <c r="BD663" s="24"/>
      <c r="BE663" s="24"/>
      <c r="BF663" s="79"/>
      <c r="BG663" s="79"/>
      <c r="BH663" s="80"/>
      <c r="BI663" s="79"/>
      <c r="BJ663" s="54" t="s">
        <v>11</v>
      </c>
      <c r="BK663" s="78" t="s">
        <v>11</v>
      </c>
      <c r="BL663" s="69" t="s">
        <v>11</v>
      </c>
      <c r="BM663" s="78" t="s">
        <v>11</v>
      </c>
      <c r="BN663" s="78" t="s">
        <v>11</v>
      </c>
      <c r="BO663" s="78" t="s">
        <v>11</v>
      </c>
      <c r="BP663" s="78" t="s">
        <v>11</v>
      </c>
      <c r="BQ663" s="21">
        <f>YEAR([1]!BANCO10[[#This Row],[DATA INÍCIO]])</f>
        <v>2024</v>
      </c>
      <c r="BR663" s="21">
        <f>MONTH([1]!BANCO10[[#This Row],[DATA INÍCIO]])</f>
        <v>1</v>
      </c>
      <c r="BS663" s="21" t="e">
        <f>CONCATENATE(#REF!,#REF!)</f>
        <v>#REF!</v>
      </c>
      <c r="BT663" s="21"/>
      <c r="BU663" s="21" t="s">
        <v>226</v>
      </c>
      <c r="BV663" s="21" t="str">
        <f>IF([1]!BANCO10[[#This Row],[SOLUÇÃO]]=BV$1,[1]!BANCO10[[#This Row],[STATUS DA ETAPA]],"")</f>
        <v/>
      </c>
      <c r="BW663" s="21" t="str">
        <f>IF([1]!BANCO10[[#This Row],[SOLUÇÃO]]=BW$1,[1]!BANCO10[[#This Row],[STATUS DA ETAPA]],"")</f>
        <v/>
      </c>
      <c r="BX663" s="21" t="str">
        <f>IF([1]!BANCO10[[#This Row],[SOLUÇÃO]]=BX$1,[1]!BANCO10[[#This Row],[STATUS DA ETAPA]],"")</f>
        <v/>
      </c>
      <c r="BY663" s="21" t="str">
        <f>IF([1]!BANCO10[[#This Row],[SOLUÇÃO]]=BY$1,[1]!BANCO10[[#This Row],[STATUS DA ETAPA]],"")</f>
        <v/>
      </c>
      <c r="BZ663" s="21" t="str">
        <f>IF([1]!BANCO10[[#This Row],[SOLUÇÃO]]=BZ$1,[1]!BANCO10[[#This Row],[STATUS DA ETAPA]],"")</f>
        <v/>
      </c>
      <c r="CA663" s="21" t="str">
        <f>IF([1]!BANCO10[[#This Row],[SOLUÇÃO]]=CA$1,[1]!BANCO10[[#This Row],[STATUS DA ETAPA]],"")</f>
        <v>CONCLUÍDO</v>
      </c>
      <c r="CB663" s="21" t="str">
        <f>IF([1]!BANCO10[[#This Row],[SOLUÇÃO]]=CB$1,[1]!BANCO10[[#This Row],[STATUS DA ETAPA]],"")</f>
        <v/>
      </c>
      <c r="CC663" s="21" t="str">
        <f>IF([1]!BANCO10[[#This Row],[SOLUÇÃO]]=CC$1,[1]!BANCO10[[#This Row],[STATUS DA ETAPA]],"")</f>
        <v/>
      </c>
      <c r="CD663" s="21" t="str">
        <f>IF([1]!BANCO10[[#This Row],[SOLUÇÃO]]=CD$1,[1]!BANCO10[[#This Row],[STATUS DA ETAPA]],"")</f>
        <v/>
      </c>
      <c r="CE663" s="21" t="str">
        <f>IF([1]!BANCO10[[#This Row],[SOLUÇÃO]]=CE$1,[1]!BANCO10[[#This Row],[STATUS DA ETAPA]],"")</f>
        <v/>
      </c>
      <c r="CF663" s="21" t="str">
        <f>IF([1]!BANCO10[[#This Row],[SOLUÇÃO]]=CF$1,[1]!BANCO10[[#This Row],[STATUS DA ETAPA]],"")</f>
        <v/>
      </c>
      <c r="CG663" s="21" t="str">
        <f>IF([1]!BANCO10[[#This Row],[SOLUÇÃO]]=CG$1,[1]!BANCO10[[#This Row],[STATUS DA ETAPA]],"")</f>
        <v/>
      </c>
      <c r="CH663" s="21" t="str">
        <f>IF([1]!BANCO10[[#This Row],[SOLUÇÃO]]=CH$1,[1]!BANCO10[[#This Row],[STATUS DA ETAPA]],"")</f>
        <v/>
      </c>
      <c r="CI663" s="21" t="str">
        <f>IF([1]!BANCO10[[#This Row],[SOLUÇÃO]]=CI$1,[1]!BANCO10[[#This Row],[STATUS DA ETAPA]],"")</f>
        <v/>
      </c>
      <c r="CJ663" s="21" t="str">
        <f>IF([1]!BANCO10[[#This Row],[SOLUÇÃO]]=CJ$1,[1]!BANCO10[[#This Row],[STATUS DA ETAPA]],"")</f>
        <v/>
      </c>
      <c r="CK663" s="21" t="str">
        <f>IF([1]!BANCO10[[#This Row],[SOLUÇÃO]]=CK$1,[1]!BANCO10[[#This Row],[STATUS DA ETAPA]],"")</f>
        <v/>
      </c>
      <c r="CL663" s="22" t="str">
        <f>IF([1]!BANCO10[[#This Row],[SOLUÇÃO]]=CL$1,[1]!BANCO10[[#This Row],[STATUS DA ETAPA]],"")</f>
        <v/>
      </c>
      <c r="CM663" s="64" t="str">
        <f>IF([1]!BANCO10[[#This Row],[SOLUÇÃO]]=CM$1,[1]!BANCO10[[#This Row],[STATUS DA ETAPA]],"")</f>
        <v/>
      </c>
      <c r="CN663" s="64" t="str">
        <f>IF([1]!BANCO10[[#This Row],[SOLUÇÃO]]=CN$1,[1]!BANCO10[[#This Row],[STATUS DA ETAPA]],"")</f>
        <v/>
      </c>
      <c r="CO663" s="64" t="str">
        <f>IF([1]!BANCO10[[#This Row],[SOLUÇÃO]]=CO$1,[1]!BANCO10[[#This Row],[STATUS DA ETAPA]],"")</f>
        <v/>
      </c>
      <c r="CP663" s="64" t="str">
        <f>IF([1]!BANCO10[[#This Row],[SOLUÇÃO]]=CP$1,[1]!BANCO10[[#This Row],[STATUS DA ETAPA]],"")</f>
        <v/>
      </c>
      <c r="CQ663" s="64" t="str">
        <f>IF([1]!BANCO10[[#This Row],[SOLUÇÃO]]=CQ$1,[1]!BANCO10[[#This Row],[STATUS DA ETAPA]],"")</f>
        <v/>
      </c>
      <c r="CR663" s="64" t="str">
        <f>IF([1]!BANCO10[[#This Row],[SOLUÇÃO]]=CR$1,[1]!BANCO10[[#This Row],[STATUS DA ETAPA]],"")</f>
        <v/>
      </c>
      <c r="CS663" s="64" t="str">
        <f>IF([1]!BANCO10[[#This Row],[SOLUÇÃO]]=CS$1,[1]!BANCO10[[#This Row],[STATUS DA ETAPA]],"")</f>
        <v/>
      </c>
      <c r="CT663" s="64" t="str">
        <f>IF([1]!BANCO10[[#This Row],[SOLUÇÃO]]=CT$1,[1]!BANCO10[[#This Row],[STATUS DA ETAPA]],"")</f>
        <v/>
      </c>
      <c r="CU663" s="64" t="str">
        <f>IF([1]!BANCO10[[#This Row],[SOLUÇÃO]]=CU$1,[1]!BANCO10[[#This Row],[STATUS DA ETAPA]],"")</f>
        <v/>
      </c>
      <c r="CV663" s="64" t="str">
        <f>IF([1]!BANCO10[[#This Row],[SOLUÇÃO]]=CV$1,[1]!BANCO10[[#This Row],[STATUS DA ETAPA]],"")</f>
        <v/>
      </c>
    </row>
    <row r="664" spans="1:100">
      <c r="A664" s="44" t="s">
        <v>1</v>
      </c>
      <c r="B664" s="44"/>
      <c r="C664" s="44" t="s">
        <v>1</v>
      </c>
      <c r="D664" s="44"/>
      <c r="E664" s="44" t="s">
        <v>1</v>
      </c>
      <c r="F664" s="44"/>
      <c r="G664" s="44" t="s">
        <v>1</v>
      </c>
      <c r="H664" s="44"/>
      <c r="I664" s="45" t="s">
        <v>1</v>
      </c>
      <c r="J664" s="46"/>
      <c r="K664" s="45" t="s">
        <v>1</v>
      </c>
      <c r="L664" s="33"/>
      <c r="M664" s="45" t="s">
        <v>1</v>
      </c>
      <c r="N664" s="33"/>
      <c r="O664" s="44" t="s">
        <v>2</v>
      </c>
      <c r="P664" s="44">
        <v>45310</v>
      </c>
      <c r="Q664" s="44"/>
      <c r="R664" s="44"/>
      <c r="S664" s="44"/>
      <c r="T664" s="44"/>
      <c r="U664" s="44" t="s">
        <v>1</v>
      </c>
      <c r="V664" s="44"/>
      <c r="W664" s="44" t="s">
        <v>1</v>
      </c>
      <c r="X664" s="44"/>
      <c r="Y664" s="44" t="s">
        <v>1</v>
      </c>
      <c r="Z664" s="44"/>
      <c r="AA664" s="44" t="s">
        <v>2</v>
      </c>
      <c r="AB664" s="44"/>
      <c r="AC664" s="84">
        <v>45470</v>
      </c>
      <c r="AD664" s="83">
        <v>45643</v>
      </c>
      <c r="AE664" s="40" t="s">
        <v>2</v>
      </c>
      <c r="AF664" s="40" t="s">
        <v>2</v>
      </c>
      <c r="AG664" s="76" t="s">
        <v>4</v>
      </c>
      <c r="AH664" s="36" t="s">
        <v>0</v>
      </c>
      <c r="AI664" s="49">
        <v>0</v>
      </c>
      <c r="AJ664" s="36" t="s">
        <v>6</v>
      </c>
      <c r="AK664" s="10" t="s">
        <v>30</v>
      </c>
      <c r="AL664" s="36" t="s">
        <v>182</v>
      </c>
      <c r="AM664" s="36" t="s">
        <v>30</v>
      </c>
      <c r="AN664" s="35" t="s">
        <v>1</v>
      </c>
      <c r="AO664" s="35" t="s">
        <v>1</v>
      </c>
      <c r="AP664" s="35" t="s">
        <v>2</v>
      </c>
      <c r="AQ664" s="35" t="s">
        <v>1</v>
      </c>
      <c r="AR664" s="33" t="s">
        <v>1</v>
      </c>
      <c r="AS664" s="33"/>
      <c r="AT664" s="30"/>
      <c r="AU664" s="55"/>
      <c r="AV664" s="30"/>
      <c r="AW664" s="55"/>
      <c r="AX664" s="30" t="s">
        <v>2</v>
      </c>
      <c r="AY664" s="55">
        <v>45642</v>
      </c>
      <c r="AZ664" s="30" t="s">
        <v>2</v>
      </c>
      <c r="BA664" s="91">
        <v>45629</v>
      </c>
      <c r="BB664" s="122" t="s">
        <v>181</v>
      </c>
      <c r="BC664" s="25"/>
      <c r="BD664" s="24"/>
      <c r="BE664" s="24"/>
      <c r="BF664" s="79"/>
      <c r="BG664" s="79"/>
      <c r="BH664" s="80"/>
      <c r="BI664" s="79"/>
      <c r="BJ664" s="54"/>
      <c r="BK664" s="78"/>
      <c r="BL664" s="69"/>
      <c r="BM664" s="78"/>
      <c r="BN664" s="78"/>
      <c r="BO664" s="78"/>
      <c r="BP664" s="78"/>
      <c r="BQ664" s="21">
        <f>YEAR([1]!BANCO10[[#This Row],[DATA INÍCIO]])</f>
        <v>2024</v>
      </c>
      <c r="BR664" s="21">
        <f>MONTH([1]!BANCO10[[#This Row],[DATA INÍCIO]])</f>
        <v>6</v>
      </c>
      <c r="BS664" s="21" t="e">
        <f>CONCATENATE(#REF!,#REF!)</f>
        <v>#REF!</v>
      </c>
      <c r="BT664" s="21"/>
      <c r="BU664" s="21" t="s">
        <v>225</v>
      </c>
      <c r="BV664" s="21" t="str">
        <f>IF([1]!BANCO10[[#This Row],[SOLUÇÃO]]=BV$1,[1]!BANCO10[[#This Row],[STATUS DA ETAPA]],"")</f>
        <v/>
      </c>
      <c r="BW664" s="21" t="str">
        <f>IF([1]!BANCO10[[#This Row],[SOLUÇÃO]]=BW$1,[1]!BANCO10[[#This Row],[STATUS DA ETAPA]],"")</f>
        <v/>
      </c>
      <c r="BX664" s="21" t="str">
        <f>IF([1]!BANCO10[[#This Row],[SOLUÇÃO]]=BX$1,[1]!BANCO10[[#This Row],[STATUS DA ETAPA]],"")</f>
        <v>CONCLUÍDO</v>
      </c>
      <c r="BY664" s="21" t="str">
        <f>IF([1]!BANCO10[[#This Row],[SOLUÇÃO]]=BY$1,[1]!BANCO10[[#This Row],[STATUS DA ETAPA]],"")</f>
        <v/>
      </c>
      <c r="BZ664" s="21" t="str">
        <f>IF([1]!BANCO10[[#This Row],[SOLUÇÃO]]=BZ$1,[1]!BANCO10[[#This Row],[STATUS DA ETAPA]],"")</f>
        <v/>
      </c>
      <c r="CA664" s="21" t="str">
        <f>IF([1]!BANCO10[[#This Row],[SOLUÇÃO]]=CA$1,[1]!BANCO10[[#This Row],[STATUS DA ETAPA]],"")</f>
        <v/>
      </c>
      <c r="CB664" s="21" t="str">
        <f>IF([1]!BANCO10[[#This Row],[SOLUÇÃO]]=CB$1,[1]!BANCO10[[#This Row],[STATUS DA ETAPA]],"")</f>
        <v/>
      </c>
      <c r="CC664" s="21" t="str">
        <f>IF([1]!BANCO10[[#This Row],[SOLUÇÃO]]=CC$1,[1]!BANCO10[[#This Row],[STATUS DA ETAPA]],"")</f>
        <v/>
      </c>
      <c r="CD664" s="21" t="str">
        <f>IF([1]!BANCO10[[#This Row],[SOLUÇÃO]]=CD$1,[1]!BANCO10[[#This Row],[STATUS DA ETAPA]],"")</f>
        <v/>
      </c>
      <c r="CE664" s="21" t="str">
        <f>IF([1]!BANCO10[[#This Row],[SOLUÇÃO]]=CE$1,[1]!BANCO10[[#This Row],[STATUS DA ETAPA]],"")</f>
        <v/>
      </c>
      <c r="CF664" s="21" t="str">
        <f>IF([1]!BANCO10[[#This Row],[SOLUÇÃO]]=CF$1,[1]!BANCO10[[#This Row],[STATUS DA ETAPA]],"")</f>
        <v/>
      </c>
      <c r="CG664" s="21" t="str">
        <f>IF([1]!BANCO10[[#This Row],[SOLUÇÃO]]=CG$1,[1]!BANCO10[[#This Row],[STATUS DA ETAPA]],"")</f>
        <v/>
      </c>
      <c r="CH664" s="21" t="str">
        <f>IF([1]!BANCO10[[#This Row],[SOLUÇÃO]]=CH$1,[1]!BANCO10[[#This Row],[STATUS DA ETAPA]],"")</f>
        <v/>
      </c>
      <c r="CI664" s="21" t="str">
        <f>IF([1]!BANCO10[[#This Row],[SOLUÇÃO]]=CI$1,[1]!BANCO10[[#This Row],[STATUS DA ETAPA]],"")</f>
        <v/>
      </c>
      <c r="CJ664" s="21" t="str">
        <f>IF([1]!BANCO10[[#This Row],[SOLUÇÃO]]=CJ$1,[1]!BANCO10[[#This Row],[STATUS DA ETAPA]],"")</f>
        <v/>
      </c>
      <c r="CK664" s="21" t="str">
        <f>IF([1]!BANCO10[[#This Row],[SOLUÇÃO]]=CK$1,[1]!BANCO10[[#This Row],[STATUS DA ETAPA]],"")</f>
        <v/>
      </c>
      <c r="CL664" s="22" t="str">
        <f>IF([1]!BANCO10[[#This Row],[SOLUÇÃO]]=CL$1,[1]!BANCO10[[#This Row],[STATUS DA ETAPA]],"")</f>
        <v/>
      </c>
      <c r="CM664" s="64" t="str">
        <f>IF([1]!BANCO10[[#This Row],[SOLUÇÃO]]=CM$1,[1]!BANCO10[[#This Row],[STATUS DA ETAPA]],"")</f>
        <v/>
      </c>
      <c r="CN664" s="64" t="str">
        <f>IF([1]!BANCO10[[#This Row],[SOLUÇÃO]]=CN$1,[1]!BANCO10[[#This Row],[STATUS DA ETAPA]],"")</f>
        <v/>
      </c>
      <c r="CO664" s="64" t="str">
        <f>IF([1]!BANCO10[[#This Row],[SOLUÇÃO]]=CO$1,[1]!BANCO10[[#This Row],[STATUS DA ETAPA]],"")</f>
        <v/>
      </c>
      <c r="CP664" s="64" t="str">
        <f>IF([1]!BANCO10[[#This Row],[SOLUÇÃO]]=CP$1,[1]!BANCO10[[#This Row],[STATUS DA ETAPA]],"")</f>
        <v/>
      </c>
      <c r="CQ664" s="64" t="str">
        <f>IF([1]!BANCO10[[#This Row],[SOLUÇÃO]]=CQ$1,[1]!BANCO10[[#This Row],[STATUS DA ETAPA]],"")</f>
        <v/>
      </c>
      <c r="CR664" s="64" t="str">
        <f>IF([1]!BANCO10[[#This Row],[SOLUÇÃO]]=CR$1,[1]!BANCO10[[#This Row],[STATUS DA ETAPA]],"")</f>
        <v/>
      </c>
      <c r="CS664" s="64" t="str">
        <f>IF([1]!BANCO10[[#This Row],[SOLUÇÃO]]=CS$1,[1]!BANCO10[[#This Row],[STATUS DA ETAPA]],"")</f>
        <v/>
      </c>
      <c r="CT664" s="64" t="str">
        <f>IF([1]!BANCO10[[#This Row],[SOLUÇÃO]]=CT$1,[1]!BANCO10[[#This Row],[STATUS DA ETAPA]],"")</f>
        <v/>
      </c>
      <c r="CU664" s="64" t="str">
        <f>IF([1]!BANCO10[[#This Row],[SOLUÇÃO]]=CU$1,[1]!BANCO10[[#This Row],[STATUS DA ETAPA]],"")</f>
        <v/>
      </c>
      <c r="CV664" s="64" t="str">
        <f>IF([1]!BANCO10[[#This Row],[SOLUÇÃO]]=CV$1,[1]!BANCO10[[#This Row],[STATUS DA ETAPA]],"")</f>
        <v/>
      </c>
    </row>
    <row r="665" spans="1:100">
      <c r="A665" s="44" t="s">
        <v>0</v>
      </c>
      <c r="B665" s="44"/>
      <c r="C665" s="44" t="s">
        <v>0</v>
      </c>
      <c r="D665" s="44"/>
      <c r="E665" s="44" t="s">
        <v>0</v>
      </c>
      <c r="F665" s="44"/>
      <c r="G665" s="44" t="s">
        <v>0</v>
      </c>
      <c r="H665" s="44"/>
      <c r="I665" s="45" t="s">
        <v>0</v>
      </c>
      <c r="J665" s="46"/>
      <c r="K665" s="45" t="s">
        <v>0</v>
      </c>
      <c r="L665" s="33"/>
      <c r="M665" s="45" t="s">
        <v>0</v>
      </c>
      <c r="N665" s="33"/>
      <c r="O665" s="44" t="s">
        <v>0</v>
      </c>
      <c r="P665" s="44"/>
      <c r="Q665" s="44" t="s">
        <v>2</v>
      </c>
      <c r="R665" s="44">
        <v>45918</v>
      </c>
      <c r="S665" s="44" t="s">
        <v>0</v>
      </c>
      <c r="T665" s="44"/>
      <c r="U665" s="44" t="s">
        <v>1</v>
      </c>
      <c r="V665" s="44"/>
      <c r="W665" s="44" t="s">
        <v>1</v>
      </c>
      <c r="X665" s="44"/>
      <c r="Y665" s="44" t="s">
        <v>1</v>
      </c>
      <c r="Z665" s="44"/>
      <c r="AA665" s="44" t="s">
        <v>1</v>
      </c>
      <c r="AB665" s="44"/>
      <c r="AC665" s="51">
        <v>45931</v>
      </c>
      <c r="AD665" s="50">
        <v>46022</v>
      </c>
      <c r="AE665" s="41" t="s">
        <v>0</v>
      </c>
      <c r="AF665" s="41" t="s">
        <v>0</v>
      </c>
      <c r="AG665" s="40" t="s">
        <v>5</v>
      </c>
      <c r="AH665" s="36" t="s">
        <v>0</v>
      </c>
      <c r="AI665" s="49">
        <v>20140</v>
      </c>
      <c r="AJ665" s="36"/>
      <c r="AK665" s="21" t="s">
        <v>1</v>
      </c>
      <c r="AL665" s="36" t="s">
        <v>1</v>
      </c>
      <c r="AM665" s="36" t="s">
        <v>1</v>
      </c>
      <c r="AN665" s="35" t="s">
        <v>0</v>
      </c>
      <c r="AO665" s="35" t="s">
        <v>0</v>
      </c>
      <c r="AP665" s="35" t="s">
        <v>0</v>
      </c>
      <c r="AQ665" s="35" t="s">
        <v>0</v>
      </c>
      <c r="AR665" s="34" t="s">
        <v>0</v>
      </c>
      <c r="AS665" s="33"/>
      <c r="AT665" s="32" t="s">
        <v>0</v>
      </c>
      <c r="AU665" s="31"/>
      <c r="AV665" s="32" t="s">
        <v>0</v>
      </c>
      <c r="AW665" s="31"/>
      <c r="AX665" s="32" t="s">
        <v>0</v>
      </c>
      <c r="AY665" s="31"/>
      <c r="AZ665" s="32" t="s">
        <v>0</v>
      </c>
      <c r="BA665" s="31"/>
      <c r="BB665" s="74" t="s">
        <v>224</v>
      </c>
      <c r="BC665" s="25"/>
      <c r="BD665" s="24"/>
      <c r="BE665" s="24"/>
      <c r="BF665" s="24"/>
      <c r="BG665" s="24"/>
      <c r="BH665" s="24"/>
      <c r="BI665" s="24"/>
      <c r="BJ665" s="24"/>
      <c r="BK665" s="24"/>
      <c r="BL665" s="24"/>
      <c r="BM665" s="24"/>
      <c r="BN665" s="24"/>
      <c r="BO665" s="24"/>
      <c r="BP665" s="24"/>
      <c r="BQ665" s="22">
        <f>YEAR([1]!BANCO10[[#This Row],[DATA INÍCIO]])</f>
        <v>2025</v>
      </c>
      <c r="BR665" s="22">
        <f>MONTH([1]!BANCO10[[#This Row],[DATA INÍCIO]])</f>
        <v>10</v>
      </c>
      <c r="BS665" s="23" t="e">
        <f>CONCATENATE(#REF!,#REF!)</f>
        <v>#REF!</v>
      </c>
      <c r="BT665" s="22"/>
      <c r="BU665" s="22"/>
      <c r="BV665" s="21" t="str">
        <f>IF([1]!BANCO10[[#This Row],[SOLUÇÃO]]=BV$1,[1]!BANCO10[[#This Row],[STATUS DA ETAPA]],"")</f>
        <v/>
      </c>
      <c r="BW665" s="21" t="str">
        <f>IF([1]!BANCO10[[#This Row],[SOLUÇÃO]]=BW$1,[1]!BANCO10[[#This Row],[STATUS DA ETAPA]],"")</f>
        <v/>
      </c>
      <c r="BX665" s="21" t="str">
        <f>IF([1]!BANCO10[[#This Row],[SOLUÇÃO]]=BX$1,[1]!BANCO10[[#This Row],[STATUS DA ETAPA]],"")</f>
        <v/>
      </c>
      <c r="BY665" s="21" t="str">
        <f>IF([1]!BANCO10[[#This Row],[SOLUÇÃO]]=BY$1,[1]!BANCO10[[#This Row],[STATUS DA ETAPA]],"")</f>
        <v/>
      </c>
      <c r="BZ665" s="21" t="str">
        <f>IF([1]!BANCO10[[#This Row],[SOLUÇÃO]]=BZ$1,[1]!BANCO10[[#This Row],[STATUS DA ETAPA]],"")</f>
        <v/>
      </c>
      <c r="CA665" s="21" t="str">
        <f>IF([1]!BANCO10[[#This Row],[SOLUÇÃO]]=CA$1,[1]!BANCO10[[#This Row],[STATUS DA ETAPA]],"")</f>
        <v>AGUARDANDO ACEITE</v>
      </c>
      <c r="CB665" s="21" t="str">
        <f>IF([1]!BANCO10[[#This Row],[SOLUÇÃO]]=CB$1,[1]!BANCO10[[#This Row],[STATUS DA ETAPA]],"")</f>
        <v/>
      </c>
      <c r="CC665" s="21" t="str">
        <f>IF([1]!BANCO10[[#This Row],[SOLUÇÃO]]=CC$1,[1]!BANCO10[[#This Row],[STATUS DA ETAPA]],"")</f>
        <v/>
      </c>
      <c r="CD665" s="21" t="str">
        <f>IF([1]!BANCO10[[#This Row],[SOLUÇÃO]]=CD$1,[1]!BANCO10[[#This Row],[STATUS DA ETAPA]],"")</f>
        <v/>
      </c>
      <c r="CE665" s="21" t="str">
        <f>IF([1]!BANCO10[[#This Row],[SOLUÇÃO]]=CE$1,[1]!BANCO10[[#This Row],[STATUS DA ETAPA]],"")</f>
        <v/>
      </c>
      <c r="CF665" s="21" t="str">
        <f>IF([1]!BANCO10[[#This Row],[SOLUÇÃO]]=CF$1,[1]!BANCO10[[#This Row],[STATUS DA ETAPA]],"")</f>
        <v/>
      </c>
      <c r="CG665" s="21" t="str">
        <f>IF([1]!BANCO10[[#This Row],[SOLUÇÃO]]=CG$1,[1]!BANCO10[[#This Row],[STATUS DA ETAPA]],"")</f>
        <v/>
      </c>
      <c r="CH665" s="21" t="str">
        <f>IF([1]!BANCO10[[#This Row],[SOLUÇÃO]]=CH$1,[1]!BANCO10[[#This Row],[STATUS DA ETAPA]],"")</f>
        <v/>
      </c>
      <c r="CI665" s="21" t="str">
        <f>IF([1]!BANCO10[[#This Row],[SOLUÇÃO]]=CI$1,[1]!BANCO10[[#This Row],[STATUS DA ETAPA]],"")</f>
        <v/>
      </c>
      <c r="CJ665" s="21" t="str">
        <f>IF([1]!BANCO10[[#This Row],[SOLUÇÃO]]=CJ$1,[1]!BANCO10[[#This Row],[STATUS DA ETAPA]],"")</f>
        <v/>
      </c>
      <c r="CK665" s="21" t="str">
        <f>IF([1]!BANCO10[[#This Row],[SOLUÇÃO]]=CK$1,[1]!BANCO10[[#This Row],[STATUS DA ETAPA]],"")</f>
        <v/>
      </c>
      <c r="CL665" s="21" t="str">
        <f>IF([1]!BANCO10[[#This Row],[SOLUÇÃO]]=CL$1,[1]!BANCO10[[#This Row],[STATUS DA ETAPA]],"")</f>
        <v/>
      </c>
      <c r="CM665" s="21" t="str">
        <f>IF([1]!BANCO10[[#This Row],[SOLUÇÃO]]=CM$1,[1]!BANCO10[[#This Row],[STATUS DA ETAPA]],"")</f>
        <v/>
      </c>
      <c r="CN665" s="21" t="str">
        <f>IF([1]!BANCO10[[#This Row],[SOLUÇÃO]]=CN$1,[1]!BANCO10[[#This Row],[STATUS DA ETAPA]],"")</f>
        <v/>
      </c>
      <c r="CO665" s="21" t="str">
        <f>IF([1]!BANCO10[[#This Row],[SOLUÇÃO]]=CO$1,[1]!BANCO10[[#This Row],[STATUS DA ETAPA]],"")</f>
        <v/>
      </c>
      <c r="CP665" s="21" t="str">
        <f>IF([1]!BANCO10[[#This Row],[SOLUÇÃO]]=CP$1,[1]!BANCO10[[#This Row],[STATUS DA ETAPA]],"")</f>
        <v/>
      </c>
      <c r="CQ665" s="21" t="str">
        <f>IF([1]!BANCO10[[#This Row],[SOLUÇÃO]]=CQ$1,[1]!BANCO10[[#This Row],[STATUS DA ETAPA]],"")</f>
        <v/>
      </c>
      <c r="CR665" s="21" t="str">
        <f>IF([1]!BANCO10[[#This Row],[SOLUÇÃO]]=CR$1,[1]!BANCO10[[#This Row],[STATUS DA ETAPA]],"")</f>
        <v/>
      </c>
      <c r="CS665" s="21" t="str">
        <f>IF([1]!BANCO10[[#This Row],[SOLUÇÃO]]=CS$1,[1]!BANCO10[[#This Row],[STATUS DA ETAPA]],"")</f>
        <v/>
      </c>
      <c r="CT665" s="21" t="str">
        <f>IF([1]!BANCO10[[#This Row],[SOLUÇÃO]]=CT$1,[1]!BANCO10[[#This Row],[STATUS DA ETAPA]],"")</f>
        <v/>
      </c>
      <c r="CU665" s="21" t="str">
        <f>IF([1]!BANCO10[[#This Row],[SOLUÇÃO]]=CU$1,[1]!BANCO10[[#This Row],[STATUS DA ETAPA]],"")</f>
        <v/>
      </c>
      <c r="CV665" s="21" t="str">
        <f>IF([1]!BANCO10[[#This Row],[SOLUÇÃO]]=CV$1,[1]!BANCO10[[#This Row],[STATUS DA ETAPA]],"")</f>
        <v/>
      </c>
    </row>
    <row r="666" spans="1:100">
      <c r="A666" s="44" t="s">
        <v>2</v>
      </c>
      <c r="B666" s="44">
        <v>45688</v>
      </c>
      <c r="C666" s="44" t="s">
        <v>2</v>
      </c>
      <c r="D666" s="44">
        <v>45688</v>
      </c>
      <c r="E666" s="44" t="s">
        <v>2</v>
      </c>
      <c r="F666" s="44">
        <v>45694</v>
      </c>
      <c r="G666" s="44" t="s">
        <v>2</v>
      </c>
      <c r="H666" s="44">
        <v>45695</v>
      </c>
      <c r="I666" s="45" t="s">
        <v>2</v>
      </c>
      <c r="J666" s="46">
        <v>45692</v>
      </c>
      <c r="K666" s="45" t="s">
        <v>2</v>
      </c>
      <c r="L666" s="33">
        <v>45695</v>
      </c>
      <c r="M666" s="45" t="s">
        <v>2</v>
      </c>
      <c r="N666" s="33">
        <v>45695</v>
      </c>
      <c r="O666" s="44" t="s">
        <v>1</v>
      </c>
      <c r="P666" s="44"/>
      <c r="Q666" s="44" t="s">
        <v>2</v>
      </c>
      <c r="R666" s="44"/>
      <c r="S666" s="44" t="s">
        <v>2</v>
      </c>
      <c r="T666" s="44">
        <v>45708</v>
      </c>
      <c r="U666" s="44" t="s">
        <v>1</v>
      </c>
      <c r="V666" s="44"/>
      <c r="W666" s="44" t="s">
        <v>1</v>
      </c>
      <c r="X666" s="44"/>
      <c r="Y666" s="44" t="s">
        <v>1</v>
      </c>
      <c r="Z666" s="44"/>
      <c r="AA666" s="44" t="s">
        <v>1</v>
      </c>
      <c r="AB666" s="44"/>
      <c r="AC666" s="51">
        <v>45800</v>
      </c>
      <c r="AD666" s="50">
        <v>45869</v>
      </c>
      <c r="AE666" s="41" t="s">
        <v>2</v>
      </c>
      <c r="AF666" s="41" t="s">
        <v>2</v>
      </c>
      <c r="AG666" s="40" t="s">
        <v>5</v>
      </c>
      <c r="AH666" s="36" t="s">
        <v>0</v>
      </c>
      <c r="AI666" s="49">
        <v>14440</v>
      </c>
      <c r="AJ666" s="36" t="s">
        <v>6</v>
      </c>
      <c r="AK666" s="10">
        <v>604503</v>
      </c>
      <c r="AL666" s="36" t="s">
        <v>1</v>
      </c>
      <c r="AM666" s="36" t="s">
        <v>1</v>
      </c>
      <c r="AN666" s="35" t="s">
        <v>2</v>
      </c>
      <c r="AO666" s="35" t="s">
        <v>2</v>
      </c>
      <c r="AP666" s="35" t="s">
        <v>2</v>
      </c>
      <c r="AQ666" s="35" t="s">
        <v>2</v>
      </c>
      <c r="AR666" s="34" t="s">
        <v>2</v>
      </c>
      <c r="AS666" s="33">
        <v>45818</v>
      </c>
      <c r="AT666" s="32" t="s">
        <v>1</v>
      </c>
      <c r="AU666" s="31"/>
      <c r="AV666" s="32" t="s">
        <v>1</v>
      </c>
      <c r="AW666" s="31"/>
      <c r="AX666" s="30" t="s">
        <v>2</v>
      </c>
      <c r="AY666" s="31">
        <v>45889</v>
      </c>
      <c r="AZ666" s="32" t="s">
        <v>0</v>
      </c>
      <c r="BA666" s="31"/>
      <c r="BB666" s="123" t="s">
        <v>68</v>
      </c>
      <c r="BC666" s="122">
        <v>8</v>
      </c>
      <c r="BD666" s="24"/>
      <c r="BE666" s="24"/>
      <c r="BF666" s="24"/>
      <c r="BG666" s="24"/>
      <c r="BH666" s="24"/>
      <c r="BI666" s="24"/>
      <c r="BJ666" s="24"/>
      <c r="BK666" s="24"/>
      <c r="BL666" s="24"/>
      <c r="BM666" s="24"/>
      <c r="BN666" s="24"/>
      <c r="BO666" s="24"/>
      <c r="BP666" s="24"/>
      <c r="BQ666" s="22">
        <f>YEAR([1]!BANCO10[[#This Row],[DATA INÍCIO]])</f>
        <v>2025</v>
      </c>
      <c r="BR666" s="22">
        <f>MONTH([1]!BANCO10[[#This Row],[DATA INÍCIO]])</f>
        <v>5</v>
      </c>
      <c r="BS666" s="23" t="e">
        <f>CONCATENATE(#REF!,#REF!)</f>
        <v>#REF!</v>
      </c>
      <c r="BT666" s="22"/>
      <c r="BU666" s="22"/>
      <c r="BV666" s="21" t="str">
        <f>IF([1]!BANCO10[[#This Row],[SOLUÇÃO]]=BV$1,[1]!BANCO10[[#This Row],[STATUS DA ETAPA]],"")</f>
        <v/>
      </c>
      <c r="BW666" s="21" t="str">
        <f>IF([1]!BANCO10[[#This Row],[SOLUÇÃO]]=BW$1,[1]!BANCO10[[#This Row],[STATUS DA ETAPA]],"")</f>
        <v/>
      </c>
      <c r="BX666" s="21" t="str">
        <f>IF([1]!BANCO10[[#This Row],[SOLUÇÃO]]=BX$1,[1]!BANCO10[[#This Row],[STATUS DA ETAPA]],"")</f>
        <v/>
      </c>
      <c r="BY666" s="21" t="str">
        <f>IF([1]!BANCO10[[#This Row],[SOLUÇÃO]]=BY$1,[1]!BANCO10[[#This Row],[STATUS DA ETAPA]],"")</f>
        <v/>
      </c>
      <c r="BZ666" s="21" t="str">
        <f>IF([1]!BANCO10[[#This Row],[SOLUÇÃO]]=BZ$1,[1]!BANCO10[[#This Row],[STATUS DA ETAPA]],"")</f>
        <v/>
      </c>
      <c r="CA666" s="21" t="str">
        <f>IF([1]!BANCO10[[#This Row],[SOLUÇÃO]]=CA$1,[1]!BANCO10[[#This Row],[STATUS DA ETAPA]],"")</f>
        <v/>
      </c>
      <c r="CB666" s="21" t="str">
        <f>IF([1]!BANCO10[[#This Row],[SOLUÇÃO]]=CB$1,[1]!BANCO10[[#This Row],[STATUS DA ETAPA]],"")</f>
        <v>CONCLUÍDO</v>
      </c>
      <c r="CC666" s="21" t="str">
        <f>IF([1]!BANCO10[[#This Row],[SOLUÇÃO]]=CC$1,[1]!BANCO10[[#This Row],[STATUS DA ETAPA]],"")</f>
        <v/>
      </c>
      <c r="CD666" s="21" t="str">
        <f>IF([1]!BANCO10[[#This Row],[SOLUÇÃO]]=CD$1,[1]!BANCO10[[#This Row],[STATUS DA ETAPA]],"")</f>
        <v/>
      </c>
      <c r="CE666" s="21" t="str">
        <f>IF([1]!BANCO10[[#This Row],[SOLUÇÃO]]=CE$1,[1]!BANCO10[[#This Row],[STATUS DA ETAPA]],"")</f>
        <v/>
      </c>
      <c r="CF666" s="21" t="str">
        <f>IF([1]!BANCO10[[#This Row],[SOLUÇÃO]]=CF$1,[1]!BANCO10[[#This Row],[STATUS DA ETAPA]],"")</f>
        <v/>
      </c>
      <c r="CG666" s="21" t="str">
        <f>IF([1]!BANCO10[[#This Row],[SOLUÇÃO]]=CG$1,[1]!BANCO10[[#This Row],[STATUS DA ETAPA]],"")</f>
        <v/>
      </c>
      <c r="CH666" s="21" t="str">
        <f>IF([1]!BANCO10[[#This Row],[SOLUÇÃO]]=CH$1,[1]!BANCO10[[#This Row],[STATUS DA ETAPA]],"")</f>
        <v/>
      </c>
      <c r="CI666" s="21" t="str">
        <f>IF([1]!BANCO10[[#This Row],[SOLUÇÃO]]=CI$1,[1]!BANCO10[[#This Row],[STATUS DA ETAPA]],"")</f>
        <v/>
      </c>
      <c r="CJ666" s="21" t="str">
        <f>IF([1]!BANCO10[[#This Row],[SOLUÇÃO]]=CJ$1,[1]!BANCO10[[#This Row],[STATUS DA ETAPA]],"")</f>
        <v/>
      </c>
      <c r="CK666" s="21" t="str">
        <f>IF([1]!BANCO10[[#This Row],[SOLUÇÃO]]=CK$1,[1]!BANCO10[[#This Row],[STATUS DA ETAPA]],"")</f>
        <v/>
      </c>
      <c r="CL666" s="21" t="str">
        <f>IF([1]!BANCO10[[#This Row],[SOLUÇÃO]]=CL$1,[1]!BANCO10[[#This Row],[STATUS DA ETAPA]],"")</f>
        <v/>
      </c>
      <c r="CM666" s="21" t="str">
        <f>IF([1]!BANCO10[[#This Row],[SOLUÇÃO]]=CM$1,[1]!BANCO10[[#This Row],[STATUS DA ETAPA]],"")</f>
        <v/>
      </c>
      <c r="CN666" s="21" t="str">
        <f>IF([1]!BANCO10[[#This Row],[SOLUÇÃO]]=CN$1,[1]!BANCO10[[#This Row],[STATUS DA ETAPA]],"")</f>
        <v/>
      </c>
      <c r="CO666" s="21" t="str">
        <f>IF([1]!BANCO10[[#This Row],[SOLUÇÃO]]=CO$1,[1]!BANCO10[[#This Row],[STATUS DA ETAPA]],"")</f>
        <v/>
      </c>
      <c r="CP666" s="21" t="str">
        <f>IF([1]!BANCO10[[#This Row],[SOLUÇÃO]]=CP$1,[1]!BANCO10[[#This Row],[STATUS DA ETAPA]],"")</f>
        <v/>
      </c>
      <c r="CQ666" s="21" t="str">
        <f>IF([1]!BANCO10[[#This Row],[SOLUÇÃO]]=CQ$1,[1]!BANCO10[[#This Row],[STATUS DA ETAPA]],"")</f>
        <v/>
      </c>
      <c r="CR666" s="21" t="str">
        <f>IF([1]!BANCO10[[#This Row],[SOLUÇÃO]]=CR$1,[1]!BANCO10[[#This Row],[STATUS DA ETAPA]],"")</f>
        <v/>
      </c>
      <c r="CS666" s="21" t="str">
        <f>IF([1]!BANCO10[[#This Row],[SOLUÇÃO]]=CS$1,[1]!BANCO10[[#This Row],[STATUS DA ETAPA]],"")</f>
        <v/>
      </c>
      <c r="CT666" s="21" t="str">
        <f>IF([1]!BANCO10[[#This Row],[SOLUÇÃO]]=CT$1,[1]!BANCO10[[#This Row],[STATUS DA ETAPA]],"")</f>
        <v/>
      </c>
      <c r="CU666" s="21" t="str">
        <f>IF([1]!BANCO10[[#This Row],[SOLUÇÃO]]=CU$1,[1]!BANCO10[[#This Row],[STATUS DA ETAPA]],"")</f>
        <v/>
      </c>
      <c r="CV666" s="21" t="str">
        <f>IF([1]!BANCO10[[#This Row],[SOLUÇÃO]]=CV$1,[1]!BANCO10[[#This Row],[STATUS DA ETAPA]],"")</f>
        <v/>
      </c>
    </row>
    <row r="667" spans="1:100">
      <c r="A667" s="44" t="s">
        <v>1</v>
      </c>
      <c r="B667" s="44"/>
      <c r="C667" s="44" t="s">
        <v>1</v>
      </c>
      <c r="D667" s="44"/>
      <c r="E667" s="44" t="s">
        <v>1</v>
      </c>
      <c r="F667" s="44"/>
      <c r="G667" s="44" t="s">
        <v>1</v>
      </c>
      <c r="H667" s="44"/>
      <c r="I667" s="45" t="s">
        <v>1</v>
      </c>
      <c r="J667" s="46"/>
      <c r="K667" s="45" t="s">
        <v>1</v>
      </c>
      <c r="L667" s="33"/>
      <c r="M667" s="45" t="s">
        <v>1</v>
      </c>
      <c r="N667" s="33"/>
      <c r="O667" s="44" t="s">
        <v>1</v>
      </c>
      <c r="P667" s="44"/>
      <c r="Q667" s="44" t="s">
        <v>1</v>
      </c>
      <c r="R667" s="44" t="s">
        <v>1</v>
      </c>
      <c r="S667" s="44" t="s">
        <v>1</v>
      </c>
      <c r="T667" s="44"/>
      <c r="U667" s="44" t="s">
        <v>1</v>
      </c>
      <c r="V667" s="44"/>
      <c r="W667" s="44" t="s">
        <v>1</v>
      </c>
      <c r="X667" s="44"/>
      <c r="Y667" s="44" t="s">
        <v>1</v>
      </c>
      <c r="Z667" s="44"/>
      <c r="AA667" s="44" t="s">
        <v>1</v>
      </c>
      <c r="AB667" s="44"/>
      <c r="AC667" s="51">
        <v>45713</v>
      </c>
      <c r="AD667" s="50">
        <v>45713</v>
      </c>
      <c r="AE667" s="41" t="s">
        <v>1</v>
      </c>
      <c r="AF667" s="41" t="s">
        <v>1</v>
      </c>
      <c r="AG667" s="40" t="s">
        <v>5</v>
      </c>
      <c r="AH667" s="36" t="s">
        <v>2</v>
      </c>
      <c r="AI667" s="49">
        <v>0</v>
      </c>
      <c r="AJ667" s="36" t="s">
        <v>1</v>
      </c>
      <c r="AK667" s="10" t="s">
        <v>1</v>
      </c>
      <c r="AL667" s="36" t="s">
        <v>1</v>
      </c>
      <c r="AM667" s="36" t="s">
        <v>1</v>
      </c>
      <c r="AN667" s="35" t="s">
        <v>1</v>
      </c>
      <c r="AO667" s="35" t="s">
        <v>1</v>
      </c>
      <c r="AP667" s="35" t="s">
        <v>1</v>
      </c>
      <c r="AQ667" s="35" t="s">
        <v>1</v>
      </c>
      <c r="AR667" s="48" t="s">
        <v>1</v>
      </c>
      <c r="AS667" s="33"/>
      <c r="AT667" s="32" t="s">
        <v>1</v>
      </c>
      <c r="AU667" s="31"/>
      <c r="AV667" s="32" t="s">
        <v>1</v>
      </c>
      <c r="AW667" s="31"/>
      <c r="AX667" s="32" t="s">
        <v>1</v>
      </c>
      <c r="AY667" s="31"/>
      <c r="AZ667" s="32" t="s">
        <v>1</v>
      </c>
      <c r="BA667" s="47"/>
      <c r="BB667" s="26"/>
      <c r="BC667" s="39"/>
      <c r="BD667" s="24"/>
      <c r="BE667" s="24"/>
      <c r="BF667" s="24"/>
      <c r="BG667" s="24"/>
      <c r="BH667" s="24"/>
      <c r="BI667" s="24"/>
      <c r="BJ667" s="24"/>
      <c r="BK667" s="24"/>
      <c r="BL667" s="24"/>
      <c r="BM667" s="24"/>
      <c r="BN667" s="24"/>
      <c r="BO667" s="24"/>
      <c r="BP667" s="24"/>
      <c r="BQ667" s="22">
        <f>YEAR([1]!BANCO10[[#This Row],[DATA INÍCIO]])</f>
        <v>2025</v>
      </c>
      <c r="BR667" s="22">
        <f>MONTH([1]!BANCO10[[#This Row],[DATA INÍCIO]])</f>
        <v>2</v>
      </c>
      <c r="BS667" s="23" t="e">
        <f>CONCATENATE(#REF!,#REF!)</f>
        <v>#REF!</v>
      </c>
      <c r="BT667" s="22"/>
      <c r="BU667" s="22"/>
      <c r="BV667" s="21" t="str">
        <f>IF([1]!BANCO10[[#This Row],[SOLUÇÃO]]=BV$1,[1]!BANCO10[[#This Row],[STATUS DA ETAPA]],"")</f>
        <v>CONCLUÍDO</v>
      </c>
      <c r="BW667" s="21" t="str">
        <f>IF([1]!BANCO10[[#This Row],[SOLUÇÃO]]=BW$1,[1]!BANCO10[[#This Row],[STATUS DA ETAPA]],"")</f>
        <v/>
      </c>
      <c r="BX667" s="21" t="str">
        <f>IF([1]!BANCO10[[#This Row],[SOLUÇÃO]]=BX$1,[1]!BANCO10[[#This Row],[STATUS DA ETAPA]],"")</f>
        <v/>
      </c>
      <c r="BY667" s="21" t="str">
        <f>IF([1]!BANCO10[[#This Row],[SOLUÇÃO]]=BY$1,[1]!BANCO10[[#This Row],[STATUS DA ETAPA]],"")</f>
        <v/>
      </c>
      <c r="BZ667" s="21" t="str">
        <f>IF([1]!BANCO10[[#This Row],[SOLUÇÃO]]=BZ$1,[1]!BANCO10[[#This Row],[STATUS DA ETAPA]],"")</f>
        <v/>
      </c>
      <c r="CA667" s="21" t="str">
        <f>IF([1]!BANCO10[[#This Row],[SOLUÇÃO]]=CA$1,[1]!BANCO10[[#This Row],[STATUS DA ETAPA]],"")</f>
        <v/>
      </c>
      <c r="CB667" s="21" t="str">
        <f>IF([1]!BANCO10[[#This Row],[SOLUÇÃO]]=CB$1,[1]!BANCO10[[#This Row],[STATUS DA ETAPA]],"")</f>
        <v/>
      </c>
      <c r="CC667" s="21" t="str">
        <f>IF([1]!BANCO10[[#This Row],[SOLUÇÃO]]=CC$1,[1]!BANCO10[[#This Row],[STATUS DA ETAPA]],"")</f>
        <v/>
      </c>
      <c r="CD667" s="21" t="str">
        <f>IF([1]!BANCO10[[#This Row],[SOLUÇÃO]]=CD$1,[1]!BANCO10[[#This Row],[STATUS DA ETAPA]],"")</f>
        <v/>
      </c>
      <c r="CE667" s="21" t="str">
        <f>IF([1]!BANCO10[[#This Row],[SOLUÇÃO]]=CE$1,[1]!BANCO10[[#This Row],[STATUS DA ETAPA]],"")</f>
        <v/>
      </c>
      <c r="CF667" s="21" t="str">
        <f>IF([1]!BANCO10[[#This Row],[SOLUÇÃO]]=CF$1,[1]!BANCO10[[#This Row],[STATUS DA ETAPA]],"")</f>
        <v/>
      </c>
      <c r="CG667" s="21" t="str">
        <f>IF([1]!BANCO10[[#This Row],[SOLUÇÃO]]=CG$1,[1]!BANCO10[[#This Row],[STATUS DA ETAPA]],"")</f>
        <v/>
      </c>
      <c r="CH667" s="21" t="str">
        <f>IF([1]!BANCO10[[#This Row],[SOLUÇÃO]]=CH$1,[1]!BANCO10[[#This Row],[STATUS DA ETAPA]],"")</f>
        <v/>
      </c>
      <c r="CI667" s="21" t="str">
        <f>IF([1]!BANCO10[[#This Row],[SOLUÇÃO]]=CI$1,[1]!BANCO10[[#This Row],[STATUS DA ETAPA]],"")</f>
        <v/>
      </c>
      <c r="CJ667" s="21" t="str">
        <f>IF([1]!BANCO10[[#This Row],[SOLUÇÃO]]=CJ$1,[1]!BANCO10[[#This Row],[STATUS DA ETAPA]],"")</f>
        <v/>
      </c>
      <c r="CK667" s="21" t="str">
        <f>IF([1]!BANCO10[[#This Row],[SOLUÇÃO]]=CK$1,[1]!BANCO10[[#This Row],[STATUS DA ETAPA]],"")</f>
        <v/>
      </c>
      <c r="CL667" s="21" t="str">
        <f>IF([1]!BANCO10[[#This Row],[SOLUÇÃO]]=CL$1,[1]!BANCO10[[#This Row],[STATUS DA ETAPA]],"")</f>
        <v/>
      </c>
      <c r="CM667" s="21" t="str">
        <f>IF([1]!BANCO10[[#This Row],[SOLUÇÃO]]=CM$1,[1]!BANCO10[[#This Row],[STATUS DA ETAPA]],"")</f>
        <v/>
      </c>
      <c r="CN667" s="21" t="str">
        <f>IF([1]!BANCO10[[#This Row],[SOLUÇÃO]]=CN$1,[1]!BANCO10[[#This Row],[STATUS DA ETAPA]],"")</f>
        <v/>
      </c>
      <c r="CO667" s="21" t="str">
        <f>IF([1]!BANCO10[[#This Row],[SOLUÇÃO]]=CO$1,[1]!BANCO10[[#This Row],[STATUS DA ETAPA]],"")</f>
        <v/>
      </c>
      <c r="CP667" s="21" t="str">
        <f>IF([1]!BANCO10[[#This Row],[SOLUÇÃO]]=CP$1,[1]!BANCO10[[#This Row],[STATUS DA ETAPA]],"")</f>
        <v/>
      </c>
      <c r="CQ667" s="21" t="str">
        <f>IF([1]!BANCO10[[#This Row],[SOLUÇÃO]]=CQ$1,[1]!BANCO10[[#This Row],[STATUS DA ETAPA]],"")</f>
        <v/>
      </c>
      <c r="CR667" s="21" t="str">
        <f>IF([1]!BANCO10[[#This Row],[SOLUÇÃO]]=CR$1,[1]!BANCO10[[#This Row],[STATUS DA ETAPA]],"")</f>
        <v/>
      </c>
      <c r="CS667" s="21" t="str">
        <f>IF([1]!BANCO10[[#This Row],[SOLUÇÃO]]=CS$1,[1]!BANCO10[[#This Row],[STATUS DA ETAPA]],"")</f>
        <v/>
      </c>
      <c r="CT667" s="21" t="str">
        <f>IF([1]!BANCO10[[#This Row],[SOLUÇÃO]]=CT$1,[1]!BANCO10[[#This Row],[STATUS DA ETAPA]],"")</f>
        <v/>
      </c>
      <c r="CU667" s="21" t="str">
        <f>IF([1]!BANCO10[[#This Row],[SOLUÇÃO]]=CU$1,[1]!BANCO10[[#This Row],[STATUS DA ETAPA]],"")</f>
        <v/>
      </c>
      <c r="CV667" s="21" t="str">
        <f>IF([1]!BANCO10[[#This Row],[SOLUÇÃO]]=CV$1,[1]!BANCO10[[#This Row],[STATUS DA ETAPA]],"")</f>
        <v/>
      </c>
    </row>
    <row r="668" spans="1:100">
      <c r="A668" s="44" t="s">
        <v>2</v>
      </c>
      <c r="B668" s="44">
        <v>45713</v>
      </c>
      <c r="C668" s="44" t="s">
        <v>2</v>
      </c>
      <c r="D668" s="44">
        <v>45713</v>
      </c>
      <c r="E668" s="44" t="s">
        <v>2</v>
      </c>
      <c r="F668" s="44">
        <v>45713</v>
      </c>
      <c r="G668" s="44" t="s">
        <v>2</v>
      </c>
      <c r="H668" s="44">
        <v>45713</v>
      </c>
      <c r="I668" s="45" t="s">
        <v>2</v>
      </c>
      <c r="J668" s="46">
        <v>45715</v>
      </c>
      <c r="K668" s="45" t="s">
        <v>2</v>
      </c>
      <c r="L668" s="33">
        <v>45712</v>
      </c>
      <c r="M668" s="45" t="s">
        <v>2</v>
      </c>
      <c r="N668" s="33">
        <v>45713</v>
      </c>
      <c r="O668" s="44" t="s">
        <v>1</v>
      </c>
      <c r="P668" s="44"/>
      <c r="Q668" s="44" t="s">
        <v>1</v>
      </c>
      <c r="R668" s="44"/>
      <c r="S668" s="44" t="s">
        <v>2</v>
      </c>
      <c r="T668" s="44">
        <v>45708</v>
      </c>
      <c r="U668" s="44" t="s">
        <v>1</v>
      </c>
      <c r="V668" s="44"/>
      <c r="W668" s="44" t="s">
        <v>1</v>
      </c>
      <c r="X668" s="44"/>
      <c r="Y668" s="44" t="s">
        <v>1</v>
      </c>
      <c r="Z668" s="44"/>
      <c r="AA668" s="44" t="s">
        <v>1</v>
      </c>
      <c r="AB668" s="44"/>
      <c r="AC668" s="51">
        <v>46022</v>
      </c>
      <c r="AD668" s="50">
        <v>46022</v>
      </c>
      <c r="AE668" s="41" t="s">
        <v>0</v>
      </c>
      <c r="AF668" s="41" t="s">
        <v>0</v>
      </c>
      <c r="AG668" s="40" t="s">
        <v>5</v>
      </c>
      <c r="AH668" s="36" t="s">
        <v>0</v>
      </c>
      <c r="AI668" s="49">
        <v>14440</v>
      </c>
      <c r="AJ668" s="36" t="s">
        <v>3</v>
      </c>
      <c r="AK668" s="10">
        <v>675782</v>
      </c>
      <c r="AL668" s="36" t="s">
        <v>1</v>
      </c>
      <c r="AM668" s="36" t="s">
        <v>1</v>
      </c>
      <c r="AN668" s="35" t="s">
        <v>0</v>
      </c>
      <c r="AO668" s="35" t="s">
        <v>0</v>
      </c>
      <c r="AP668" s="35" t="s">
        <v>0</v>
      </c>
      <c r="AQ668" s="35" t="s">
        <v>0</v>
      </c>
      <c r="AR668" s="33" t="s">
        <v>0</v>
      </c>
      <c r="AS668" s="33"/>
      <c r="AT668" s="32" t="s">
        <v>0</v>
      </c>
      <c r="AU668" s="31"/>
      <c r="AV668" s="32" t="s">
        <v>0</v>
      </c>
      <c r="AW668" s="31"/>
      <c r="AX668" s="32" t="s">
        <v>0</v>
      </c>
      <c r="AY668" s="31"/>
      <c r="AZ668" s="32" t="s">
        <v>0</v>
      </c>
      <c r="BA668" s="47"/>
      <c r="BB668" s="26" t="s">
        <v>7</v>
      </c>
      <c r="BC668" s="22" t="s">
        <v>223</v>
      </c>
      <c r="BD668" s="24"/>
      <c r="BE668" s="24"/>
      <c r="BF668" s="24"/>
      <c r="BG668" s="24"/>
      <c r="BH668" s="24"/>
      <c r="BI668" s="24"/>
      <c r="BJ668" s="24"/>
      <c r="BK668" s="24"/>
      <c r="BL668" s="24"/>
      <c r="BM668" s="24"/>
      <c r="BN668" s="24"/>
      <c r="BO668" s="24"/>
      <c r="BP668" s="24"/>
      <c r="BQ668" s="22">
        <f>YEAR([1]!BANCO10[[#This Row],[DATA INÍCIO]])</f>
        <v>2025</v>
      </c>
      <c r="BR668" s="22">
        <f>MONTH([1]!BANCO10[[#This Row],[DATA INÍCIO]])</f>
        <v>12</v>
      </c>
      <c r="BS668" s="23" t="e">
        <f>CONCATENATE(#REF!,#REF!)</f>
        <v>#REF!</v>
      </c>
      <c r="BT668" s="22"/>
      <c r="BU668" s="22"/>
      <c r="BV668" s="21" t="str">
        <f>IF([1]!BANCO10[[#This Row],[SOLUÇÃO]]=BV$1,[1]!BANCO10[[#This Row],[STATUS DA ETAPA]],"")</f>
        <v/>
      </c>
      <c r="BW668" s="21" t="str">
        <f>IF([1]!BANCO10[[#This Row],[SOLUÇÃO]]=BW$1,[1]!BANCO10[[#This Row],[STATUS DA ETAPA]],"")</f>
        <v/>
      </c>
      <c r="BX668" s="21" t="str">
        <f>IF([1]!BANCO10[[#This Row],[SOLUÇÃO]]=BX$1,[1]!BANCO10[[#This Row],[STATUS DA ETAPA]],"")</f>
        <v/>
      </c>
      <c r="BY668" s="21" t="str">
        <f>IF([1]!BANCO10[[#This Row],[SOLUÇÃO]]=BY$1,[1]!BANCO10[[#This Row],[STATUS DA ETAPA]],"")</f>
        <v/>
      </c>
      <c r="BZ668" s="21" t="str">
        <f>IF([1]!BANCO10[[#This Row],[SOLUÇÃO]]=BZ$1,[1]!BANCO10[[#This Row],[STATUS DA ETAPA]],"")</f>
        <v/>
      </c>
      <c r="CA668" s="21" t="str">
        <f>IF([1]!BANCO10[[#This Row],[SOLUÇÃO]]=CA$1,[1]!BANCO10[[#This Row],[STATUS DA ETAPA]],"")</f>
        <v/>
      </c>
      <c r="CB668" s="21" t="str">
        <f>IF([1]!BANCO10[[#This Row],[SOLUÇÃO]]=CB$1,[1]!BANCO10[[#This Row],[STATUS DA ETAPA]],"")</f>
        <v>AGUARDANDO SALDO</v>
      </c>
      <c r="CC668" s="21" t="str">
        <f>IF([1]!BANCO10[[#This Row],[SOLUÇÃO]]=CC$1,[1]!BANCO10[[#This Row],[STATUS DA ETAPA]],"")</f>
        <v/>
      </c>
      <c r="CD668" s="21" t="str">
        <f>IF([1]!BANCO10[[#This Row],[SOLUÇÃO]]=CD$1,[1]!BANCO10[[#This Row],[STATUS DA ETAPA]],"")</f>
        <v/>
      </c>
      <c r="CE668" s="21" t="str">
        <f>IF([1]!BANCO10[[#This Row],[SOLUÇÃO]]=CE$1,[1]!BANCO10[[#This Row],[STATUS DA ETAPA]],"")</f>
        <v/>
      </c>
      <c r="CF668" s="21" t="str">
        <f>IF([1]!BANCO10[[#This Row],[SOLUÇÃO]]=CF$1,[1]!BANCO10[[#This Row],[STATUS DA ETAPA]],"")</f>
        <v/>
      </c>
      <c r="CG668" s="21" t="str">
        <f>IF([1]!BANCO10[[#This Row],[SOLUÇÃO]]=CG$1,[1]!BANCO10[[#This Row],[STATUS DA ETAPA]],"")</f>
        <v/>
      </c>
      <c r="CH668" s="21" t="str">
        <f>IF([1]!BANCO10[[#This Row],[SOLUÇÃO]]=CH$1,[1]!BANCO10[[#This Row],[STATUS DA ETAPA]],"")</f>
        <v/>
      </c>
      <c r="CI668" s="21" t="str">
        <f>IF([1]!BANCO10[[#This Row],[SOLUÇÃO]]=CI$1,[1]!BANCO10[[#This Row],[STATUS DA ETAPA]],"")</f>
        <v/>
      </c>
      <c r="CJ668" s="21" t="str">
        <f>IF([1]!BANCO10[[#This Row],[SOLUÇÃO]]=CJ$1,[1]!BANCO10[[#This Row],[STATUS DA ETAPA]],"")</f>
        <v/>
      </c>
      <c r="CK668" s="21" t="str">
        <f>IF([1]!BANCO10[[#This Row],[SOLUÇÃO]]=CK$1,[1]!BANCO10[[#This Row],[STATUS DA ETAPA]],"")</f>
        <v/>
      </c>
      <c r="CL668" s="21" t="str">
        <f>IF([1]!BANCO10[[#This Row],[SOLUÇÃO]]=CL$1,[1]!BANCO10[[#This Row],[STATUS DA ETAPA]],"")</f>
        <v/>
      </c>
      <c r="CM668" s="21" t="str">
        <f>IF([1]!BANCO10[[#This Row],[SOLUÇÃO]]=CM$1,[1]!BANCO10[[#This Row],[STATUS DA ETAPA]],"")</f>
        <v/>
      </c>
      <c r="CN668" s="21" t="str">
        <f>IF([1]!BANCO10[[#This Row],[SOLUÇÃO]]=CN$1,[1]!BANCO10[[#This Row],[STATUS DA ETAPA]],"")</f>
        <v/>
      </c>
      <c r="CO668" s="21" t="str">
        <f>IF([1]!BANCO10[[#This Row],[SOLUÇÃO]]=CO$1,[1]!BANCO10[[#This Row],[STATUS DA ETAPA]],"")</f>
        <v/>
      </c>
      <c r="CP668" s="21" t="str">
        <f>IF([1]!BANCO10[[#This Row],[SOLUÇÃO]]=CP$1,[1]!BANCO10[[#This Row],[STATUS DA ETAPA]],"")</f>
        <v/>
      </c>
      <c r="CQ668" s="21" t="str">
        <f>IF([1]!BANCO10[[#This Row],[SOLUÇÃO]]=CQ$1,[1]!BANCO10[[#This Row],[STATUS DA ETAPA]],"")</f>
        <v/>
      </c>
      <c r="CR668" s="21" t="str">
        <f>IF([1]!BANCO10[[#This Row],[SOLUÇÃO]]=CR$1,[1]!BANCO10[[#This Row],[STATUS DA ETAPA]],"")</f>
        <v/>
      </c>
      <c r="CS668" s="21" t="str">
        <f>IF([1]!BANCO10[[#This Row],[SOLUÇÃO]]=CS$1,[1]!BANCO10[[#This Row],[STATUS DA ETAPA]],"")</f>
        <v/>
      </c>
      <c r="CT668" s="21" t="str">
        <f>IF([1]!BANCO10[[#This Row],[SOLUÇÃO]]=CT$1,[1]!BANCO10[[#This Row],[STATUS DA ETAPA]],"")</f>
        <v/>
      </c>
      <c r="CU668" s="21" t="str">
        <f>IF([1]!BANCO10[[#This Row],[SOLUÇÃO]]=CU$1,[1]!BANCO10[[#This Row],[STATUS DA ETAPA]],"")</f>
        <v/>
      </c>
      <c r="CV668" s="21" t="str">
        <f>IF([1]!BANCO10[[#This Row],[SOLUÇÃO]]=CV$1,[1]!BANCO10[[#This Row],[STATUS DA ETAPA]],"")</f>
        <v/>
      </c>
    </row>
    <row r="669" spans="1:100">
      <c r="A669" s="44" t="s">
        <v>1</v>
      </c>
      <c r="B669" s="44"/>
      <c r="C669" s="44" t="s">
        <v>1</v>
      </c>
      <c r="D669" s="44"/>
      <c r="E669" s="44" t="s">
        <v>1</v>
      </c>
      <c r="F669" s="44"/>
      <c r="G669" s="44" t="s">
        <v>1</v>
      </c>
      <c r="H669" s="44"/>
      <c r="I669" s="45" t="s">
        <v>1</v>
      </c>
      <c r="J669" s="46"/>
      <c r="K669" s="45" t="s">
        <v>1</v>
      </c>
      <c r="L669" s="33"/>
      <c r="M669" s="45" t="s">
        <v>1</v>
      </c>
      <c r="N669" s="33"/>
      <c r="O669" s="44" t="s">
        <v>1</v>
      </c>
      <c r="P669" s="44"/>
      <c r="Q669" s="44" t="s">
        <v>1</v>
      </c>
      <c r="R669" s="44" t="s">
        <v>1</v>
      </c>
      <c r="S669" s="44" t="s">
        <v>1</v>
      </c>
      <c r="T669" s="44"/>
      <c r="U669" s="44" t="s">
        <v>1</v>
      </c>
      <c r="V669" s="44"/>
      <c r="W669" s="44" t="s">
        <v>1</v>
      </c>
      <c r="X669" s="44"/>
      <c r="Y669" s="44" t="s">
        <v>1</v>
      </c>
      <c r="Z669" s="44"/>
      <c r="AA669" s="44" t="s">
        <v>1</v>
      </c>
      <c r="AB669" s="44"/>
      <c r="AC669" s="51">
        <v>45713</v>
      </c>
      <c r="AD669" s="50">
        <v>45713</v>
      </c>
      <c r="AE669" s="41" t="s">
        <v>1</v>
      </c>
      <c r="AF669" s="41" t="s">
        <v>1</v>
      </c>
      <c r="AG669" s="40" t="s">
        <v>5</v>
      </c>
      <c r="AH669" s="36" t="s">
        <v>2</v>
      </c>
      <c r="AI669" s="49">
        <v>0</v>
      </c>
      <c r="AJ669" s="36" t="s">
        <v>1</v>
      </c>
      <c r="AK669" s="10" t="s">
        <v>1</v>
      </c>
      <c r="AL669" s="36" t="s">
        <v>1</v>
      </c>
      <c r="AM669" s="36" t="s">
        <v>1</v>
      </c>
      <c r="AN669" s="35" t="s">
        <v>1</v>
      </c>
      <c r="AO669" s="35" t="s">
        <v>1</v>
      </c>
      <c r="AP669" s="35" t="s">
        <v>1</v>
      </c>
      <c r="AQ669" s="35" t="s">
        <v>1</v>
      </c>
      <c r="AR669" s="48" t="s">
        <v>1</v>
      </c>
      <c r="AS669" s="33"/>
      <c r="AT669" s="32" t="s">
        <v>1</v>
      </c>
      <c r="AU669" s="31"/>
      <c r="AV669" s="32" t="s">
        <v>1</v>
      </c>
      <c r="AW669" s="31"/>
      <c r="AX669" s="32" t="s">
        <v>1</v>
      </c>
      <c r="AY669" s="31"/>
      <c r="AZ669" s="32" t="s">
        <v>1</v>
      </c>
      <c r="BA669" s="47"/>
      <c r="BB669" s="121"/>
      <c r="BC669" s="25"/>
      <c r="BD669" s="24"/>
      <c r="BE669" s="24"/>
      <c r="BF669" s="24"/>
      <c r="BG669" s="24"/>
      <c r="BH669" s="24"/>
      <c r="BI669" s="24"/>
      <c r="BJ669" s="24"/>
      <c r="BK669" s="24"/>
      <c r="BL669" s="24"/>
      <c r="BM669" s="24"/>
      <c r="BN669" s="24"/>
      <c r="BO669" s="24"/>
      <c r="BP669" s="24"/>
      <c r="BQ669" s="22">
        <f>YEAR([1]!BANCO10[[#This Row],[DATA INÍCIO]])</f>
        <v>2025</v>
      </c>
      <c r="BR669" s="22">
        <f>MONTH([1]!BANCO10[[#This Row],[DATA INÍCIO]])</f>
        <v>2</v>
      </c>
      <c r="BS669" s="23" t="e">
        <f>CONCATENATE(#REF!,#REF!)</f>
        <v>#REF!</v>
      </c>
      <c r="BT669" s="22"/>
      <c r="BU669" s="22"/>
      <c r="BV669" s="21" t="str">
        <f>IF([1]!BANCO10[[#This Row],[SOLUÇÃO]]=BV$1,[1]!BANCO10[[#This Row],[STATUS DA ETAPA]],"")</f>
        <v>CONCLUÍDO</v>
      </c>
      <c r="BW669" s="21" t="str">
        <f>IF([1]!BANCO10[[#This Row],[SOLUÇÃO]]=BW$1,[1]!BANCO10[[#This Row],[STATUS DA ETAPA]],"")</f>
        <v/>
      </c>
      <c r="BX669" s="21" t="str">
        <f>IF([1]!BANCO10[[#This Row],[SOLUÇÃO]]=BX$1,[1]!BANCO10[[#This Row],[STATUS DA ETAPA]],"")</f>
        <v/>
      </c>
      <c r="BY669" s="21" t="str">
        <f>IF([1]!BANCO10[[#This Row],[SOLUÇÃO]]=BY$1,[1]!BANCO10[[#This Row],[STATUS DA ETAPA]],"")</f>
        <v/>
      </c>
      <c r="BZ669" s="21" t="str">
        <f>IF([1]!BANCO10[[#This Row],[SOLUÇÃO]]=BZ$1,[1]!BANCO10[[#This Row],[STATUS DA ETAPA]],"")</f>
        <v/>
      </c>
      <c r="CA669" s="21" t="str">
        <f>IF([1]!BANCO10[[#This Row],[SOLUÇÃO]]=CA$1,[1]!BANCO10[[#This Row],[STATUS DA ETAPA]],"")</f>
        <v/>
      </c>
      <c r="CB669" s="21" t="str">
        <f>IF([1]!BANCO10[[#This Row],[SOLUÇÃO]]=CB$1,[1]!BANCO10[[#This Row],[STATUS DA ETAPA]],"")</f>
        <v/>
      </c>
      <c r="CC669" s="21" t="str">
        <f>IF([1]!BANCO10[[#This Row],[SOLUÇÃO]]=CC$1,[1]!BANCO10[[#This Row],[STATUS DA ETAPA]],"")</f>
        <v/>
      </c>
      <c r="CD669" s="21" t="str">
        <f>IF([1]!BANCO10[[#This Row],[SOLUÇÃO]]=CD$1,[1]!BANCO10[[#This Row],[STATUS DA ETAPA]],"")</f>
        <v/>
      </c>
      <c r="CE669" s="21" t="str">
        <f>IF([1]!BANCO10[[#This Row],[SOLUÇÃO]]=CE$1,[1]!BANCO10[[#This Row],[STATUS DA ETAPA]],"")</f>
        <v/>
      </c>
      <c r="CF669" s="21" t="str">
        <f>IF([1]!BANCO10[[#This Row],[SOLUÇÃO]]=CF$1,[1]!BANCO10[[#This Row],[STATUS DA ETAPA]],"")</f>
        <v/>
      </c>
      <c r="CG669" s="21" t="str">
        <f>IF([1]!BANCO10[[#This Row],[SOLUÇÃO]]=CG$1,[1]!BANCO10[[#This Row],[STATUS DA ETAPA]],"")</f>
        <v/>
      </c>
      <c r="CH669" s="21" t="str">
        <f>IF([1]!BANCO10[[#This Row],[SOLUÇÃO]]=CH$1,[1]!BANCO10[[#This Row],[STATUS DA ETAPA]],"")</f>
        <v/>
      </c>
      <c r="CI669" s="21" t="str">
        <f>IF([1]!BANCO10[[#This Row],[SOLUÇÃO]]=CI$1,[1]!BANCO10[[#This Row],[STATUS DA ETAPA]],"")</f>
        <v/>
      </c>
      <c r="CJ669" s="21" t="str">
        <f>IF([1]!BANCO10[[#This Row],[SOLUÇÃO]]=CJ$1,[1]!BANCO10[[#This Row],[STATUS DA ETAPA]],"")</f>
        <v/>
      </c>
      <c r="CK669" s="21" t="str">
        <f>IF([1]!BANCO10[[#This Row],[SOLUÇÃO]]=CK$1,[1]!BANCO10[[#This Row],[STATUS DA ETAPA]],"")</f>
        <v/>
      </c>
      <c r="CL669" s="21" t="str">
        <f>IF([1]!BANCO10[[#This Row],[SOLUÇÃO]]=CL$1,[1]!BANCO10[[#This Row],[STATUS DA ETAPA]],"")</f>
        <v/>
      </c>
      <c r="CM669" s="21" t="str">
        <f>IF([1]!BANCO10[[#This Row],[SOLUÇÃO]]=CM$1,[1]!BANCO10[[#This Row],[STATUS DA ETAPA]],"")</f>
        <v/>
      </c>
      <c r="CN669" s="21" t="str">
        <f>IF([1]!BANCO10[[#This Row],[SOLUÇÃO]]=CN$1,[1]!BANCO10[[#This Row],[STATUS DA ETAPA]],"")</f>
        <v/>
      </c>
      <c r="CO669" s="21" t="str">
        <f>IF([1]!BANCO10[[#This Row],[SOLUÇÃO]]=CO$1,[1]!BANCO10[[#This Row],[STATUS DA ETAPA]],"")</f>
        <v/>
      </c>
      <c r="CP669" s="21" t="str">
        <f>IF([1]!BANCO10[[#This Row],[SOLUÇÃO]]=CP$1,[1]!BANCO10[[#This Row],[STATUS DA ETAPA]],"")</f>
        <v/>
      </c>
      <c r="CQ669" s="21" t="str">
        <f>IF([1]!BANCO10[[#This Row],[SOLUÇÃO]]=CQ$1,[1]!BANCO10[[#This Row],[STATUS DA ETAPA]],"")</f>
        <v/>
      </c>
      <c r="CR669" s="21" t="str">
        <f>IF([1]!BANCO10[[#This Row],[SOLUÇÃO]]=CR$1,[1]!BANCO10[[#This Row],[STATUS DA ETAPA]],"")</f>
        <v/>
      </c>
      <c r="CS669" s="21" t="str">
        <f>IF([1]!BANCO10[[#This Row],[SOLUÇÃO]]=CS$1,[1]!BANCO10[[#This Row],[STATUS DA ETAPA]],"")</f>
        <v/>
      </c>
      <c r="CT669" s="21" t="str">
        <f>IF([1]!BANCO10[[#This Row],[SOLUÇÃO]]=CT$1,[1]!BANCO10[[#This Row],[STATUS DA ETAPA]],"")</f>
        <v/>
      </c>
      <c r="CU669" s="21" t="str">
        <f>IF([1]!BANCO10[[#This Row],[SOLUÇÃO]]=CU$1,[1]!BANCO10[[#This Row],[STATUS DA ETAPA]],"")</f>
        <v/>
      </c>
      <c r="CV669" s="21" t="str">
        <f>IF([1]!BANCO10[[#This Row],[SOLUÇÃO]]=CV$1,[1]!BANCO10[[#This Row],[STATUS DA ETAPA]],"")</f>
        <v/>
      </c>
    </row>
    <row r="670" spans="1:100">
      <c r="A670" s="44" t="s">
        <v>1</v>
      </c>
      <c r="B670" s="44"/>
      <c r="C670" s="44" t="s">
        <v>1</v>
      </c>
      <c r="D670" s="44"/>
      <c r="E670" s="44" t="s">
        <v>1</v>
      </c>
      <c r="F670" s="44"/>
      <c r="G670" s="44" t="s">
        <v>1</v>
      </c>
      <c r="H670" s="44"/>
      <c r="I670" s="45" t="s">
        <v>1</v>
      </c>
      <c r="J670" s="46"/>
      <c r="K670" s="45" t="s">
        <v>1</v>
      </c>
      <c r="L670" s="33"/>
      <c r="M670" s="45" t="s">
        <v>1</v>
      </c>
      <c r="N670" s="33"/>
      <c r="O670" s="44" t="s">
        <v>2</v>
      </c>
      <c r="P670" s="44">
        <v>44927</v>
      </c>
      <c r="Q670" s="44" t="s">
        <v>1</v>
      </c>
      <c r="R670" s="44"/>
      <c r="S670" s="44"/>
      <c r="T670" s="44"/>
      <c r="U670" s="44" t="s">
        <v>1</v>
      </c>
      <c r="V670" s="44"/>
      <c r="W670" s="44" t="s">
        <v>1</v>
      </c>
      <c r="X670" s="44"/>
      <c r="Y670" s="44" t="s">
        <v>1</v>
      </c>
      <c r="Z670" s="44"/>
      <c r="AA670" s="44" t="s">
        <v>1</v>
      </c>
      <c r="AB670" s="44"/>
      <c r="AC670" s="84">
        <v>45260</v>
      </c>
      <c r="AD670" s="83">
        <v>45376</v>
      </c>
      <c r="AE670" s="40" t="s">
        <v>2</v>
      </c>
      <c r="AF670" s="40" t="s">
        <v>2</v>
      </c>
      <c r="AG670" s="40" t="s">
        <v>5</v>
      </c>
      <c r="AH670" s="36" t="s">
        <v>2</v>
      </c>
      <c r="AI670" s="49">
        <v>0</v>
      </c>
      <c r="AJ670" s="36" t="s">
        <v>1</v>
      </c>
      <c r="AK670" s="10" t="s">
        <v>1</v>
      </c>
      <c r="AL670" s="36" t="s">
        <v>1</v>
      </c>
      <c r="AM670" s="36" t="s">
        <v>1</v>
      </c>
      <c r="AN670" s="35" t="s">
        <v>1</v>
      </c>
      <c r="AO670" s="35" t="s">
        <v>1</v>
      </c>
      <c r="AP670" s="35" t="s">
        <v>2</v>
      </c>
      <c r="AQ670" s="35" t="s">
        <v>1</v>
      </c>
      <c r="AR670" s="34" t="s">
        <v>1</v>
      </c>
      <c r="AS670" s="33"/>
      <c r="AT670" s="30"/>
      <c r="AU670" s="55"/>
      <c r="AV670" s="30"/>
      <c r="AW670" s="55"/>
      <c r="AX670" s="30" t="s">
        <v>2</v>
      </c>
      <c r="AY670" s="55">
        <v>45376</v>
      </c>
      <c r="AZ670" s="30" t="s">
        <v>2</v>
      </c>
      <c r="BA670" s="91">
        <v>45376</v>
      </c>
      <c r="BB670" s="39" t="s">
        <v>34</v>
      </c>
      <c r="BC670" s="39"/>
      <c r="BD670" s="24" t="s">
        <v>11</v>
      </c>
      <c r="BE670" s="24" t="s">
        <v>11</v>
      </c>
      <c r="BF670" s="79" t="s">
        <v>11</v>
      </c>
      <c r="BG670" s="79" t="s">
        <v>11</v>
      </c>
      <c r="BH670" s="80" t="s">
        <v>11</v>
      </c>
      <c r="BI670" s="79"/>
      <c r="BJ670" s="54" t="s">
        <v>11</v>
      </c>
      <c r="BK670" s="78" t="s">
        <v>11</v>
      </c>
      <c r="BL670" s="69" t="s">
        <v>11</v>
      </c>
      <c r="BM670" s="78" t="s">
        <v>11</v>
      </c>
      <c r="BN670" s="78" t="s">
        <v>11</v>
      </c>
      <c r="BO670" s="78" t="s">
        <v>11</v>
      </c>
      <c r="BP670" s="78" t="s">
        <v>11</v>
      </c>
      <c r="BQ670" s="21">
        <f>YEAR([1]!BANCO10[[#This Row],[DATA INÍCIO]])</f>
        <v>2023</v>
      </c>
      <c r="BR670" s="21">
        <f>MONTH([1]!BANCO10[[#This Row],[DATA INÍCIO]])</f>
        <v>11</v>
      </c>
      <c r="BS670" s="21" t="e">
        <f>CONCATENATE(#REF!,#REF!)</f>
        <v>#REF!</v>
      </c>
      <c r="BT670" s="21"/>
      <c r="BU670" s="21" t="s">
        <v>222</v>
      </c>
      <c r="BV670" s="21" t="str">
        <f>IF([1]!BANCO10[[#This Row],[SOLUÇÃO]]=BV$1,[1]!BANCO10[[#This Row],[STATUS DA ETAPA]],"")</f>
        <v/>
      </c>
      <c r="BW670" s="21" t="str">
        <f>IF([1]!BANCO10[[#This Row],[SOLUÇÃO]]=BW$1,[1]!BANCO10[[#This Row],[STATUS DA ETAPA]],"")</f>
        <v/>
      </c>
      <c r="BX670" s="21" t="str">
        <f>IF([1]!BANCO10[[#This Row],[SOLUÇÃO]]=BX$1,[1]!BANCO10[[#This Row],[STATUS DA ETAPA]],"")</f>
        <v/>
      </c>
      <c r="BY670" s="21" t="str">
        <f>IF([1]!BANCO10[[#This Row],[SOLUÇÃO]]=BY$1,[1]!BANCO10[[#This Row],[STATUS DA ETAPA]],"")</f>
        <v/>
      </c>
      <c r="BZ670" s="21" t="str">
        <f>IF([1]!BANCO10[[#This Row],[SOLUÇÃO]]=BZ$1,[1]!BANCO10[[#This Row],[STATUS DA ETAPA]],"")</f>
        <v/>
      </c>
      <c r="CA670" s="21" t="str">
        <f>IF([1]!BANCO10[[#This Row],[SOLUÇÃO]]=CA$1,[1]!BANCO10[[#This Row],[STATUS DA ETAPA]],"")</f>
        <v>CONCLUÍDO</v>
      </c>
      <c r="CB670" s="21" t="str">
        <f>IF([1]!BANCO10[[#This Row],[SOLUÇÃO]]=CB$1,[1]!BANCO10[[#This Row],[STATUS DA ETAPA]],"")</f>
        <v/>
      </c>
      <c r="CC670" s="21" t="str">
        <f>IF([1]!BANCO10[[#This Row],[SOLUÇÃO]]=CC$1,[1]!BANCO10[[#This Row],[STATUS DA ETAPA]],"")</f>
        <v/>
      </c>
      <c r="CD670" s="21" t="str">
        <f>IF([1]!BANCO10[[#This Row],[SOLUÇÃO]]=CD$1,[1]!BANCO10[[#This Row],[STATUS DA ETAPA]],"")</f>
        <v/>
      </c>
      <c r="CE670" s="21" t="str">
        <f>IF([1]!BANCO10[[#This Row],[SOLUÇÃO]]=CE$1,[1]!BANCO10[[#This Row],[STATUS DA ETAPA]],"")</f>
        <v/>
      </c>
      <c r="CF670" s="21" t="str">
        <f>IF([1]!BANCO10[[#This Row],[SOLUÇÃO]]=CF$1,[1]!BANCO10[[#This Row],[STATUS DA ETAPA]],"")</f>
        <v/>
      </c>
      <c r="CG670" s="21" t="str">
        <f>IF([1]!BANCO10[[#This Row],[SOLUÇÃO]]=CG$1,[1]!BANCO10[[#This Row],[STATUS DA ETAPA]],"")</f>
        <v/>
      </c>
      <c r="CH670" s="21" t="str">
        <f>IF([1]!BANCO10[[#This Row],[SOLUÇÃO]]=CH$1,[1]!BANCO10[[#This Row],[STATUS DA ETAPA]],"")</f>
        <v/>
      </c>
      <c r="CI670" s="21" t="str">
        <f>IF([1]!BANCO10[[#This Row],[SOLUÇÃO]]=CI$1,[1]!BANCO10[[#This Row],[STATUS DA ETAPA]],"")</f>
        <v/>
      </c>
      <c r="CJ670" s="21" t="str">
        <f>IF([1]!BANCO10[[#This Row],[SOLUÇÃO]]=CJ$1,[1]!BANCO10[[#This Row],[STATUS DA ETAPA]],"")</f>
        <v/>
      </c>
      <c r="CK670" s="21" t="str">
        <f>IF([1]!BANCO10[[#This Row],[SOLUÇÃO]]=CK$1,[1]!BANCO10[[#This Row],[STATUS DA ETAPA]],"")</f>
        <v/>
      </c>
      <c r="CL670" s="22" t="str">
        <f>IF([1]!BANCO10[[#This Row],[SOLUÇÃO]]=CL$1,[1]!BANCO10[[#This Row],[STATUS DA ETAPA]],"")</f>
        <v/>
      </c>
      <c r="CM670" s="64" t="str">
        <f>IF([1]!BANCO10[[#This Row],[SOLUÇÃO]]=CM$1,[1]!BANCO10[[#This Row],[STATUS DA ETAPA]],"")</f>
        <v/>
      </c>
      <c r="CN670" s="64" t="str">
        <f>IF([1]!BANCO10[[#This Row],[SOLUÇÃO]]=CN$1,[1]!BANCO10[[#This Row],[STATUS DA ETAPA]],"")</f>
        <v/>
      </c>
      <c r="CO670" s="64" t="str">
        <f>IF([1]!BANCO10[[#This Row],[SOLUÇÃO]]=CO$1,[1]!BANCO10[[#This Row],[STATUS DA ETAPA]],"")</f>
        <v/>
      </c>
      <c r="CP670" s="64" t="str">
        <f>IF([1]!BANCO10[[#This Row],[SOLUÇÃO]]=CP$1,[1]!BANCO10[[#This Row],[STATUS DA ETAPA]],"")</f>
        <v/>
      </c>
      <c r="CQ670" s="64" t="str">
        <f>IF([1]!BANCO10[[#This Row],[SOLUÇÃO]]=CQ$1,[1]!BANCO10[[#This Row],[STATUS DA ETAPA]],"")</f>
        <v/>
      </c>
      <c r="CR670" s="64" t="str">
        <f>IF([1]!BANCO10[[#This Row],[SOLUÇÃO]]=CR$1,[1]!BANCO10[[#This Row],[STATUS DA ETAPA]],"")</f>
        <v/>
      </c>
      <c r="CS670" s="64" t="str">
        <f>IF([1]!BANCO10[[#This Row],[SOLUÇÃO]]=CS$1,[1]!BANCO10[[#This Row],[STATUS DA ETAPA]],"")</f>
        <v/>
      </c>
      <c r="CT670" s="64" t="str">
        <f>IF([1]!BANCO10[[#This Row],[SOLUÇÃO]]=CT$1,[1]!BANCO10[[#This Row],[STATUS DA ETAPA]],"")</f>
        <v/>
      </c>
      <c r="CU670" s="64" t="str">
        <f>IF([1]!BANCO10[[#This Row],[SOLUÇÃO]]=CU$1,[1]!BANCO10[[#This Row],[STATUS DA ETAPA]],"")</f>
        <v/>
      </c>
      <c r="CV670" s="64" t="str">
        <f>IF([1]!BANCO10[[#This Row],[SOLUÇÃO]]=CV$1,[1]!BANCO10[[#This Row],[STATUS DA ETAPA]],"")</f>
        <v/>
      </c>
    </row>
    <row r="671" spans="1:100">
      <c r="A671" s="44" t="s">
        <v>1</v>
      </c>
      <c r="B671" s="44"/>
      <c r="C671" s="44" t="s">
        <v>1</v>
      </c>
      <c r="D671" s="44"/>
      <c r="E671" s="44" t="s">
        <v>1</v>
      </c>
      <c r="F671" s="44"/>
      <c r="G671" s="44" t="s">
        <v>1</v>
      </c>
      <c r="H671" s="44"/>
      <c r="I671" s="45" t="s">
        <v>1</v>
      </c>
      <c r="J671" s="46"/>
      <c r="K671" s="45" t="s">
        <v>1</v>
      </c>
      <c r="L671" s="33"/>
      <c r="M671" s="45" t="s">
        <v>1</v>
      </c>
      <c r="N671" s="33"/>
      <c r="O671" s="44" t="s">
        <v>2</v>
      </c>
      <c r="P671" s="44">
        <v>45310</v>
      </c>
      <c r="Q671" s="44" t="s">
        <v>2</v>
      </c>
      <c r="R671" s="44">
        <v>45378</v>
      </c>
      <c r="S671" s="44" t="s">
        <v>2</v>
      </c>
      <c r="T671" s="44">
        <v>45378</v>
      </c>
      <c r="U671" s="44" t="s">
        <v>2</v>
      </c>
      <c r="V671" s="44">
        <v>45379</v>
      </c>
      <c r="W671" s="44" t="s">
        <v>2</v>
      </c>
      <c r="X671" s="44">
        <v>45378</v>
      </c>
      <c r="Y671" s="44" t="s">
        <v>2</v>
      </c>
      <c r="Z671" s="44">
        <v>45378</v>
      </c>
      <c r="AA671" s="44" t="s">
        <v>2</v>
      </c>
      <c r="AB671" s="44"/>
      <c r="AC671" s="84">
        <v>45464</v>
      </c>
      <c r="AD671" s="83">
        <v>45637</v>
      </c>
      <c r="AE671" s="40" t="s">
        <v>2</v>
      </c>
      <c r="AF671" s="41" t="s">
        <v>2</v>
      </c>
      <c r="AG671" s="40" t="s">
        <v>4</v>
      </c>
      <c r="AH671" s="36" t="s">
        <v>0</v>
      </c>
      <c r="AI671" s="49">
        <v>0</v>
      </c>
      <c r="AJ671" s="36" t="s">
        <v>6</v>
      </c>
      <c r="AK671" s="10" t="s">
        <v>30</v>
      </c>
      <c r="AL671" s="36" t="s">
        <v>182</v>
      </c>
      <c r="AM671" s="36" t="s">
        <v>30</v>
      </c>
      <c r="AN671" s="35" t="s">
        <v>1</v>
      </c>
      <c r="AO671" s="35" t="s">
        <v>1</v>
      </c>
      <c r="AP671" s="35" t="s">
        <v>2</v>
      </c>
      <c r="AQ671" s="35" t="s">
        <v>1</v>
      </c>
      <c r="AR671" s="33" t="s">
        <v>1</v>
      </c>
      <c r="AS671" s="33"/>
      <c r="AT671" s="30"/>
      <c r="AU671" s="55"/>
      <c r="AV671" s="30"/>
      <c r="AW671" s="55"/>
      <c r="AX671" s="30" t="s">
        <v>2</v>
      </c>
      <c r="AY671" s="55">
        <v>45642</v>
      </c>
      <c r="AZ671" s="30" t="s">
        <v>0</v>
      </c>
      <c r="BA671" s="91"/>
      <c r="BB671" s="120" t="s">
        <v>32</v>
      </c>
      <c r="BC671" s="25" t="s">
        <v>31</v>
      </c>
      <c r="BD671" s="24" t="s">
        <v>11</v>
      </c>
      <c r="BE671" s="24" t="s">
        <v>11</v>
      </c>
      <c r="BF671" s="79" t="s">
        <v>11</v>
      </c>
      <c r="BG671" s="79" t="s">
        <v>11</v>
      </c>
      <c r="BH671" s="80" t="s">
        <v>11</v>
      </c>
      <c r="BI671" s="79"/>
      <c r="BJ671" s="54" t="s">
        <v>11</v>
      </c>
      <c r="BK671" s="78" t="s">
        <v>11</v>
      </c>
      <c r="BL671" s="69">
        <v>45390</v>
      </c>
      <c r="BM671" s="78"/>
      <c r="BN671" s="78" t="s">
        <v>11</v>
      </c>
      <c r="BO671" s="78"/>
      <c r="BP671" s="78" t="s">
        <v>44</v>
      </c>
      <c r="BQ671" s="21">
        <f>YEAR([1]!BANCO10[[#This Row],[DATA INÍCIO]])</f>
        <v>2024</v>
      </c>
      <c r="BR671" s="21">
        <f>MONTH([1]!BANCO10[[#This Row],[DATA INÍCIO]])</f>
        <v>6</v>
      </c>
      <c r="BS671" s="21" t="e">
        <f>CONCATENATE(#REF!,#REF!)</f>
        <v>#REF!</v>
      </c>
      <c r="BT671" s="21"/>
      <c r="BU671" s="21" t="s">
        <v>221</v>
      </c>
      <c r="BV671" s="21" t="str">
        <f>IF([1]!BANCO10[[#This Row],[SOLUÇÃO]]=BV$1,[1]!BANCO10[[#This Row],[STATUS DA ETAPA]],"")</f>
        <v/>
      </c>
      <c r="BW671" s="21" t="str">
        <f>IF([1]!BANCO10[[#This Row],[SOLUÇÃO]]=BW$1,[1]!BANCO10[[#This Row],[STATUS DA ETAPA]],"")</f>
        <v/>
      </c>
      <c r="BX671" s="21" t="str">
        <f>IF([1]!BANCO10[[#This Row],[SOLUÇÃO]]=BX$1,[1]!BANCO10[[#This Row],[STATUS DA ETAPA]],"")</f>
        <v>CONCLUÍDO</v>
      </c>
      <c r="BY671" s="21" t="str">
        <f>IF([1]!BANCO10[[#This Row],[SOLUÇÃO]]=BY$1,[1]!BANCO10[[#This Row],[STATUS DA ETAPA]],"")</f>
        <v/>
      </c>
      <c r="BZ671" s="21" t="str">
        <f>IF([1]!BANCO10[[#This Row],[SOLUÇÃO]]=BZ$1,[1]!BANCO10[[#This Row],[STATUS DA ETAPA]],"")</f>
        <v/>
      </c>
      <c r="CA671" s="21" t="str">
        <f>IF([1]!BANCO10[[#This Row],[SOLUÇÃO]]=CA$1,[1]!BANCO10[[#This Row],[STATUS DA ETAPA]],"")</f>
        <v/>
      </c>
      <c r="CB671" s="21" t="str">
        <f>IF([1]!BANCO10[[#This Row],[SOLUÇÃO]]=CB$1,[1]!BANCO10[[#This Row],[STATUS DA ETAPA]],"")</f>
        <v/>
      </c>
      <c r="CC671" s="21" t="str">
        <f>IF([1]!BANCO10[[#This Row],[SOLUÇÃO]]=CC$1,[1]!BANCO10[[#This Row],[STATUS DA ETAPA]],"")</f>
        <v/>
      </c>
      <c r="CD671" s="21" t="str">
        <f>IF([1]!BANCO10[[#This Row],[SOLUÇÃO]]=CD$1,[1]!BANCO10[[#This Row],[STATUS DA ETAPA]],"")</f>
        <v/>
      </c>
      <c r="CE671" s="21" t="str">
        <f>IF([1]!BANCO10[[#This Row],[SOLUÇÃO]]=CE$1,[1]!BANCO10[[#This Row],[STATUS DA ETAPA]],"")</f>
        <v/>
      </c>
      <c r="CF671" s="21" t="str">
        <f>IF([1]!BANCO10[[#This Row],[SOLUÇÃO]]=CF$1,[1]!BANCO10[[#This Row],[STATUS DA ETAPA]],"")</f>
        <v/>
      </c>
      <c r="CG671" s="21" t="str">
        <f>IF([1]!BANCO10[[#This Row],[SOLUÇÃO]]=CG$1,[1]!BANCO10[[#This Row],[STATUS DA ETAPA]],"")</f>
        <v/>
      </c>
      <c r="CH671" s="21" t="str">
        <f>IF([1]!BANCO10[[#This Row],[SOLUÇÃO]]=CH$1,[1]!BANCO10[[#This Row],[STATUS DA ETAPA]],"")</f>
        <v/>
      </c>
      <c r="CI671" s="21" t="str">
        <f>IF([1]!BANCO10[[#This Row],[SOLUÇÃO]]=CI$1,[1]!BANCO10[[#This Row],[STATUS DA ETAPA]],"")</f>
        <v/>
      </c>
      <c r="CJ671" s="21" t="str">
        <f>IF([1]!BANCO10[[#This Row],[SOLUÇÃO]]=CJ$1,[1]!BANCO10[[#This Row],[STATUS DA ETAPA]],"")</f>
        <v/>
      </c>
      <c r="CK671" s="21" t="str">
        <f>IF([1]!BANCO10[[#This Row],[SOLUÇÃO]]=CK$1,[1]!BANCO10[[#This Row],[STATUS DA ETAPA]],"")</f>
        <v/>
      </c>
      <c r="CL671" s="22" t="str">
        <f>IF([1]!BANCO10[[#This Row],[SOLUÇÃO]]=CL$1,[1]!BANCO10[[#This Row],[STATUS DA ETAPA]],"")</f>
        <v/>
      </c>
      <c r="CM671" s="64" t="str">
        <f>IF([1]!BANCO10[[#This Row],[SOLUÇÃO]]=CM$1,[1]!BANCO10[[#This Row],[STATUS DA ETAPA]],"")</f>
        <v/>
      </c>
      <c r="CN671" s="64" t="str">
        <f>IF([1]!BANCO10[[#This Row],[SOLUÇÃO]]=CN$1,[1]!BANCO10[[#This Row],[STATUS DA ETAPA]],"")</f>
        <v/>
      </c>
      <c r="CO671" s="64" t="str">
        <f>IF([1]!BANCO10[[#This Row],[SOLUÇÃO]]=CO$1,[1]!BANCO10[[#This Row],[STATUS DA ETAPA]],"")</f>
        <v/>
      </c>
      <c r="CP671" s="64" t="str">
        <f>IF([1]!BANCO10[[#This Row],[SOLUÇÃO]]=CP$1,[1]!BANCO10[[#This Row],[STATUS DA ETAPA]],"")</f>
        <v/>
      </c>
      <c r="CQ671" s="64" t="str">
        <f>IF([1]!BANCO10[[#This Row],[SOLUÇÃO]]=CQ$1,[1]!BANCO10[[#This Row],[STATUS DA ETAPA]],"")</f>
        <v/>
      </c>
      <c r="CR671" s="64" t="str">
        <f>IF([1]!BANCO10[[#This Row],[SOLUÇÃO]]=CR$1,[1]!BANCO10[[#This Row],[STATUS DA ETAPA]],"")</f>
        <v/>
      </c>
      <c r="CS671" s="64" t="str">
        <f>IF([1]!BANCO10[[#This Row],[SOLUÇÃO]]=CS$1,[1]!BANCO10[[#This Row],[STATUS DA ETAPA]],"")</f>
        <v/>
      </c>
      <c r="CT671" s="64" t="str">
        <f>IF([1]!BANCO10[[#This Row],[SOLUÇÃO]]=CT$1,[1]!BANCO10[[#This Row],[STATUS DA ETAPA]],"")</f>
        <v/>
      </c>
      <c r="CU671" s="64" t="str">
        <f>IF([1]!BANCO10[[#This Row],[SOLUÇÃO]]=CU$1,[1]!BANCO10[[#This Row],[STATUS DA ETAPA]],"")</f>
        <v/>
      </c>
      <c r="CV671" s="64" t="str">
        <f>IF([1]!BANCO10[[#This Row],[SOLUÇÃO]]=CV$1,[1]!BANCO10[[#This Row],[STATUS DA ETAPA]],"")</f>
        <v/>
      </c>
    </row>
    <row r="672" spans="1:100">
      <c r="A672" s="44" t="s">
        <v>1</v>
      </c>
      <c r="B672" s="44"/>
      <c r="C672" s="44" t="s">
        <v>1</v>
      </c>
      <c r="D672" s="44"/>
      <c r="E672" s="44" t="s">
        <v>1</v>
      </c>
      <c r="F672" s="44"/>
      <c r="G672" s="44" t="s">
        <v>1</v>
      </c>
      <c r="H672" s="44"/>
      <c r="I672" s="45" t="s">
        <v>1</v>
      </c>
      <c r="J672" s="46"/>
      <c r="K672" s="45" t="s">
        <v>1</v>
      </c>
      <c r="L672" s="33"/>
      <c r="M672" s="45" t="s">
        <v>1</v>
      </c>
      <c r="N672" s="33"/>
      <c r="O672" s="44" t="s">
        <v>2</v>
      </c>
      <c r="P672" s="44">
        <v>44927</v>
      </c>
      <c r="Q672" s="44"/>
      <c r="R672" s="44"/>
      <c r="S672" s="44"/>
      <c r="T672" s="44"/>
      <c r="U672" s="44" t="s">
        <v>1</v>
      </c>
      <c r="V672" s="44"/>
      <c r="W672" s="44" t="s">
        <v>1</v>
      </c>
      <c r="X672" s="44"/>
      <c r="Y672" s="44" t="s">
        <v>1</v>
      </c>
      <c r="Z672" s="44"/>
      <c r="AA672" s="44" t="s">
        <v>1</v>
      </c>
      <c r="AB672" s="44"/>
      <c r="AC672" s="51">
        <v>45264</v>
      </c>
      <c r="AD672" s="50">
        <v>45408</v>
      </c>
      <c r="AE672" s="24" t="s">
        <v>2</v>
      </c>
      <c r="AF672" s="40" t="s">
        <v>2</v>
      </c>
      <c r="AG672" s="40" t="s">
        <v>5</v>
      </c>
      <c r="AH672" s="36" t="s">
        <v>2</v>
      </c>
      <c r="AI672" s="49">
        <v>0</v>
      </c>
      <c r="AJ672" s="36" t="s">
        <v>1</v>
      </c>
      <c r="AK672" s="10" t="s">
        <v>1</v>
      </c>
      <c r="AL672" s="36" t="s">
        <v>1</v>
      </c>
      <c r="AM672" s="36" t="s">
        <v>1</v>
      </c>
      <c r="AN672" s="35" t="s">
        <v>1</v>
      </c>
      <c r="AO672" s="35" t="s">
        <v>1</v>
      </c>
      <c r="AP672" s="35" t="s">
        <v>2</v>
      </c>
      <c r="AQ672" s="35" t="s">
        <v>1</v>
      </c>
      <c r="AR672" s="34" t="s">
        <v>1</v>
      </c>
      <c r="AS672" s="33"/>
      <c r="AT672" s="30"/>
      <c r="AU672" s="55"/>
      <c r="AV672" s="30"/>
      <c r="AW672" s="55"/>
      <c r="AX672" s="30" t="s">
        <v>2</v>
      </c>
      <c r="AY672" s="55">
        <v>45408</v>
      </c>
      <c r="AZ672" s="30" t="s">
        <v>2</v>
      </c>
      <c r="BA672" s="55">
        <v>45408</v>
      </c>
      <c r="BB672" s="39" t="s">
        <v>34</v>
      </c>
      <c r="BC672" s="25"/>
      <c r="BD672" s="24" t="s">
        <v>11</v>
      </c>
      <c r="BE672" s="24" t="s">
        <v>11</v>
      </c>
      <c r="BF672" s="79" t="s">
        <v>11</v>
      </c>
      <c r="BG672" s="79" t="s">
        <v>11</v>
      </c>
      <c r="BH672" s="80" t="s">
        <v>11</v>
      </c>
      <c r="BI672" s="79"/>
      <c r="BJ672" s="54" t="s">
        <v>11</v>
      </c>
      <c r="BK672" s="78" t="s">
        <v>11</v>
      </c>
      <c r="BL672" s="69">
        <v>45391</v>
      </c>
      <c r="BM672" s="78" t="s">
        <v>18</v>
      </c>
      <c r="BN672" s="78" t="s">
        <v>11</v>
      </c>
      <c r="BO672" s="78"/>
      <c r="BP672" s="78" t="s">
        <v>188</v>
      </c>
      <c r="BQ672" s="21">
        <f>YEAR([1]!BANCO10[[#This Row],[DATA INÍCIO]])</f>
        <v>2023</v>
      </c>
      <c r="BR672" s="21">
        <f>MONTH([1]!BANCO10[[#This Row],[DATA INÍCIO]])</f>
        <v>12</v>
      </c>
      <c r="BS672" s="21" t="e">
        <f>CONCATENATE(#REF!,#REF!)</f>
        <v>#REF!</v>
      </c>
      <c r="BT672" s="21"/>
      <c r="BU672" s="21" t="s">
        <v>220</v>
      </c>
      <c r="BV672" s="21" t="str">
        <f>IF([1]!BANCO10[[#This Row],[SOLUÇÃO]]=BV$1,[1]!BANCO10[[#This Row],[STATUS DA ETAPA]],"")</f>
        <v/>
      </c>
      <c r="BW672" s="21" t="str">
        <f>IF([1]!BANCO10[[#This Row],[SOLUÇÃO]]=BW$1,[1]!BANCO10[[#This Row],[STATUS DA ETAPA]],"")</f>
        <v/>
      </c>
      <c r="BX672" s="21" t="str">
        <f>IF([1]!BANCO10[[#This Row],[SOLUÇÃO]]=BX$1,[1]!BANCO10[[#This Row],[STATUS DA ETAPA]],"")</f>
        <v/>
      </c>
      <c r="BY672" s="21" t="str">
        <f>IF([1]!BANCO10[[#This Row],[SOLUÇÃO]]=BY$1,[1]!BANCO10[[#This Row],[STATUS DA ETAPA]],"")</f>
        <v/>
      </c>
      <c r="BZ672" s="21" t="str">
        <f>IF([1]!BANCO10[[#This Row],[SOLUÇÃO]]=BZ$1,[1]!BANCO10[[#This Row],[STATUS DA ETAPA]],"")</f>
        <v/>
      </c>
      <c r="CA672" s="21" t="str">
        <f>IF([1]!BANCO10[[#This Row],[SOLUÇÃO]]=CA$1,[1]!BANCO10[[#This Row],[STATUS DA ETAPA]],"")</f>
        <v>CONCLUÍDO</v>
      </c>
      <c r="CB672" s="21" t="str">
        <f>IF([1]!BANCO10[[#This Row],[SOLUÇÃO]]=CB$1,[1]!BANCO10[[#This Row],[STATUS DA ETAPA]],"")</f>
        <v/>
      </c>
      <c r="CC672" s="21" t="str">
        <f>IF([1]!BANCO10[[#This Row],[SOLUÇÃO]]=CC$1,[1]!BANCO10[[#This Row],[STATUS DA ETAPA]],"")</f>
        <v/>
      </c>
      <c r="CD672" s="21" t="str">
        <f>IF([1]!BANCO10[[#This Row],[SOLUÇÃO]]=CD$1,[1]!BANCO10[[#This Row],[STATUS DA ETAPA]],"")</f>
        <v/>
      </c>
      <c r="CE672" s="21" t="str">
        <f>IF([1]!BANCO10[[#This Row],[SOLUÇÃO]]=CE$1,[1]!BANCO10[[#This Row],[STATUS DA ETAPA]],"")</f>
        <v/>
      </c>
      <c r="CF672" s="21" t="str">
        <f>IF([1]!BANCO10[[#This Row],[SOLUÇÃO]]=CF$1,[1]!BANCO10[[#This Row],[STATUS DA ETAPA]],"")</f>
        <v/>
      </c>
      <c r="CG672" s="21" t="str">
        <f>IF([1]!BANCO10[[#This Row],[SOLUÇÃO]]=CG$1,[1]!BANCO10[[#This Row],[STATUS DA ETAPA]],"")</f>
        <v/>
      </c>
      <c r="CH672" s="21" t="str">
        <f>IF([1]!BANCO10[[#This Row],[SOLUÇÃO]]=CH$1,[1]!BANCO10[[#This Row],[STATUS DA ETAPA]],"")</f>
        <v/>
      </c>
      <c r="CI672" s="21" t="str">
        <f>IF([1]!BANCO10[[#This Row],[SOLUÇÃO]]=CI$1,[1]!BANCO10[[#This Row],[STATUS DA ETAPA]],"")</f>
        <v/>
      </c>
      <c r="CJ672" s="21" t="str">
        <f>IF([1]!BANCO10[[#This Row],[SOLUÇÃO]]=CJ$1,[1]!BANCO10[[#This Row],[STATUS DA ETAPA]],"")</f>
        <v/>
      </c>
      <c r="CK672" s="21" t="str">
        <f>IF([1]!BANCO10[[#This Row],[SOLUÇÃO]]=CK$1,[1]!BANCO10[[#This Row],[STATUS DA ETAPA]],"")</f>
        <v/>
      </c>
      <c r="CL672" s="22" t="str">
        <f>IF([1]!BANCO10[[#This Row],[SOLUÇÃO]]=CL$1,[1]!BANCO10[[#This Row],[STATUS DA ETAPA]],"")</f>
        <v/>
      </c>
      <c r="CM672" s="64" t="str">
        <f>IF([1]!BANCO10[[#This Row],[SOLUÇÃO]]=CM$1,[1]!BANCO10[[#This Row],[STATUS DA ETAPA]],"")</f>
        <v/>
      </c>
      <c r="CN672" s="64" t="str">
        <f>IF([1]!BANCO10[[#This Row],[SOLUÇÃO]]=CN$1,[1]!BANCO10[[#This Row],[STATUS DA ETAPA]],"")</f>
        <v/>
      </c>
      <c r="CO672" s="64" t="str">
        <f>IF([1]!BANCO10[[#This Row],[SOLUÇÃO]]=CO$1,[1]!BANCO10[[#This Row],[STATUS DA ETAPA]],"")</f>
        <v/>
      </c>
      <c r="CP672" s="64" t="str">
        <f>IF([1]!BANCO10[[#This Row],[SOLUÇÃO]]=CP$1,[1]!BANCO10[[#This Row],[STATUS DA ETAPA]],"")</f>
        <v/>
      </c>
      <c r="CQ672" s="64" t="str">
        <f>IF([1]!BANCO10[[#This Row],[SOLUÇÃO]]=CQ$1,[1]!BANCO10[[#This Row],[STATUS DA ETAPA]],"")</f>
        <v/>
      </c>
      <c r="CR672" s="64" t="str">
        <f>IF([1]!BANCO10[[#This Row],[SOLUÇÃO]]=CR$1,[1]!BANCO10[[#This Row],[STATUS DA ETAPA]],"")</f>
        <v/>
      </c>
      <c r="CS672" s="64" t="str">
        <f>IF([1]!BANCO10[[#This Row],[SOLUÇÃO]]=CS$1,[1]!BANCO10[[#This Row],[STATUS DA ETAPA]],"")</f>
        <v/>
      </c>
      <c r="CT672" s="64" t="str">
        <f>IF([1]!BANCO10[[#This Row],[SOLUÇÃO]]=CT$1,[1]!BANCO10[[#This Row],[STATUS DA ETAPA]],"")</f>
        <v/>
      </c>
      <c r="CU672" s="64" t="str">
        <f>IF([1]!BANCO10[[#This Row],[SOLUÇÃO]]=CU$1,[1]!BANCO10[[#This Row],[STATUS DA ETAPA]],"")</f>
        <v/>
      </c>
      <c r="CV672" s="64" t="str">
        <f>IF([1]!BANCO10[[#This Row],[SOLUÇÃO]]=CV$1,[1]!BANCO10[[#This Row],[STATUS DA ETAPA]],"")</f>
        <v/>
      </c>
    </row>
    <row r="673" spans="1:100">
      <c r="A673" s="44" t="s">
        <v>1</v>
      </c>
      <c r="B673" s="44"/>
      <c r="C673" s="44" t="s">
        <v>1</v>
      </c>
      <c r="D673" s="44"/>
      <c r="E673" s="44" t="s">
        <v>1</v>
      </c>
      <c r="F673" s="44"/>
      <c r="G673" s="44" t="s">
        <v>1</v>
      </c>
      <c r="H673" s="44"/>
      <c r="I673" s="45" t="s">
        <v>1</v>
      </c>
      <c r="J673" s="46"/>
      <c r="K673" s="45" t="s">
        <v>1</v>
      </c>
      <c r="L673" s="33"/>
      <c r="M673" s="45" t="s">
        <v>1</v>
      </c>
      <c r="N673" s="33"/>
      <c r="O673" s="44" t="s">
        <v>1</v>
      </c>
      <c r="P673" s="44"/>
      <c r="Q673" s="44" t="s">
        <v>1</v>
      </c>
      <c r="R673" s="44"/>
      <c r="S673" s="44" t="s">
        <v>1</v>
      </c>
      <c r="T673" s="44"/>
      <c r="U673" s="44" t="s">
        <v>1</v>
      </c>
      <c r="V673" s="44"/>
      <c r="W673" s="44" t="s">
        <v>1</v>
      </c>
      <c r="X673" s="44"/>
      <c r="Y673" s="44" t="s">
        <v>1</v>
      </c>
      <c r="Z673" s="44"/>
      <c r="AA673" s="44" t="s">
        <v>1</v>
      </c>
      <c r="AB673" s="44"/>
      <c r="AC673" s="51">
        <v>45963</v>
      </c>
      <c r="AD673" s="50">
        <v>45963</v>
      </c>
      <c r="AE673" s="40" t="s">
        <v>1</v>
      </c>
      <c r="AF673" s="40" t="s">
        <v>1</v>
      </c>
      <c r="AG673" s="40" t="s">
        <v>1</v>
      </c>
      <c r="AH673" s="36" t="s">
        <v>1</v>
      </c>
      <c r="AI673" s="49">
        <v>0</v>
      </c>
      <c r="AJ673" s="36" t="s">
        <v>1</v>
      </c>
      <c r="AK673" s="10" t="s">
        <v>1</v>
      </c>
      <c r="AL673" s="36" t="s">
        <v>1</v>
      </c>
      <c r="AM673" s="36" t="s">
        <v>1</v>
      </c>
      <c r="AN673" s="35" t="s">
        <v>1</v>
      </c>
      <c r="AO673" s="35" t="s">
        <v>1</v>
      </c>
      <c r="AP673" s="35" t="s">
        <v>1</v>
      </c>
      <c r="AQ673" s="35" t="s">
        <v>1</v>
      </c>
      <c r="AR673" s="34" t="s">
        <v>1</v>
      </c>
      <c r="AS673" s="63"/>
      <c r="AT673" s="32" t="s">
        <v>1</v>
      </c>
      <c r="AU673" s="31"/>
      <c r="AV673" s="32" t="s">
        <v>1</v>
      </c>
      <c r="AW673" s="31"/>
      <c r="AX673" s="32" t="s">
        <v>1</v>
      </c>
      <c r="AY673" s="31"/>
      <c r="AZ673" s="32" t="s">
        <v>1</v>
      </c>
      <c r="BA673" s="47"/>
      <c r="BB673" s="39"/>
      <c r="BC673" s="25"/>
      <c r="BD673" s="24" t="s">
        <v>11</v>
      </c>
      <c r="BE673" s="24" t="s">
        <v>11</v>
      </c>
      <c r="BF673" s="79" t="s">
        <v>11</v>
      </c>
      <c r="BG673" s="79" t="s">
        <v>11</v>
      </c>
      <c r="BH673" s="80" t="s">
        <v>11</v>
      </c>
      <c r="BI673" s="79"/>
      <c r="BJ673" s="54" t="s">
        <v>11</v>
      </c>
      <c r="BK673" s="78" t="s">
        <v>11</v>
      </c>
      <c r="BL673" s="69">
        <v>45389</v>
      </c>
      <c r="BM673" s="78" t="s">
        <v>11</v>
      </c>
      <c r="BN673" s="78" t="s">
        <v>11</v>
      </c>
      <c r="BO673" s="78" t="s">
        <v>11</v>
      </c>
      <c r="BP673" s="78" t="s">
        <v>108</v>
      </c>
      <c r="BQ673" s="21">
        <f>YEAR([1]!BANCO10[[#This Row],[DATA INÍCIO]])</f>
        <v>2025</v>
      </c>
      <c r="BR673" s="21">
        <f>MONTH([1]!BANCO10[[#This Row],[DATA INÍCIO]])</f>
        <v>11</v>
      </c>
      <c r="BS673" s="21" t="e">
        <f>CONCATENATE(#REF!,#REF!)</f>
        <v>#REF!</v>
      </c>
      <c r="BT673" s="21"/>
      <c r="BU673" s="21" t="s">
        <v>218</v>
      </c>
      <c r="BV673" s="21" t="str">
        <f>IF([1]!BANCO10[[#This Row],[SOLUÇÃO]]=BV$1,[1]!BANCO10[[#This Row],[STATUS DA ETAPA]],"")</f>
        <v/>
      </c>
      <c r="BW673" s="21" t="str">
        <f>IF([1]!BANCO10[[#This Row],[SOLUÇÃO]]=BW$1,[1]!BANCO10[[#This Row],[STATUS DA ETAPA]],"")</f>
        <v/>
      </c>
      <c r="BX673" s="21" t="str">
        <f>IF([1]!BANCO10[[#This Row],[SOLUÇÃO]]=BX$1,[1]!BANCO10[[#This Row],[STATUS DA ETAPA]],"")</f>
        <v/>
      </c>
      <c r="BY673" s="21" t="str">
        <f>IF([1]!BANCO10[[#This Row],[SOLUÇÃO]]=BY$1,[1]!BANCO10[[#This Row],[STATUS DA ETAPA]],"")</f>
        <v/>
      </c>
      <c r="BZ673" s="21" t="str">
        <f>IF([1]!BANCO10[[#This Row],[SOLUÇÃO]]=BZ$1,[1]!BANCO10[[#This Row],[STATUS DA ETAPA]],"")</f>
        <v/>
      </c>
      <c r="CA673" s="21" t="str">
        <f>IF([1]!BANCO10[[#This Row],[SOLUÇÃO]]=CA$1,[1]!BANCO10[[#This Row],[STATUS DA ETAPA]],"")</f>
        <v/>
      </c>
      <c r="CB673" s="21" t="str">
        <f>IF([1]!BANCO10[[#This Row],[SOLUÇÃO]]=CB$1,[1]!BANCO10[[#This Row],[STATUS DA ETAPA]],"")</f>
        <v>CANCELADO</v>
      </c>
      <c r="CC673" s="21" t="str">
        <f>IF([1]!BANCO10[[#This Row],[SOLUÇÃO]]=CC$1,[1]!BANCO10[[#This Row],[STATUS DA ETAPA]],"")</f>
        <v/>
      </c>
      <c r="CD673" s="21" t="str">
        <f>IF([1]!BANCO10[[#This Row],[SOLUÇÃO]]=CD$1,[1]!BANCO10[[#This Row],[STATUS DA ETAPA]],"")</f>
        <v/>
      </c>
      <c r="CE673" s="21" t="str">
        <f>IF([1]!BANCO10[[#This Row],[SOLUÇÃO]]=CE$1,[1]!BANCO10[[#This Row],[STATUS DA ETAPA]],"")</f>
        <v/>
      </c>
      <c r="CF673" s="21" t="str">
        <f>IF([1]!BANCO10[[#This Row],[SOLUÇÃO]]=CF$1,[1]!BANCO10[[#This Row],[STATUS DA ETAPA]],"")</f>
        <v/>
      </c>
      <c r="CG673" s="21" t="str">
        <f>IF([1]!BANCO10[[#This Row],[SOLUÇÃO]]=CG$1,[1]!BANCO10[[#This Row],[STATUS DA ETAPA]],"")</f>
        <v/>
      </c>
      <c r="CH673" s="21" t="str">
        <f>IF([1]!BANCO10[[#This Row],[SOLUÇÃO]]=CH$1,[1]!BANCO10[[#This Row],[STATUS DA ETAPA]],"")</f>
        <v/>
      </c>
      <c r="CI673" s="21" t="str">
        <f>IF([1]!BANCO10[[#This Row],[SOLUÇÃO]]=CI$1,[1]!BANCO10[[#This Row],[STATUS DA ETAPA]],"")</f>
        <v/>
      </c>
      <c r="CJ673" s="21" t="str">
        <f>IF([1]!BANCO10[[#This Row],[SOLUÇÃO]]=CJ$1,[1]!BANCO10[[#This Row],[STATUS DA ETAPA]],"")</f>
        <v/>
      </c>
      <c r="CK673" s="21" t="str">
        <f>IF([1]!BANCO10[[#This Row],[SOLUÇÃO]]=CK$1,[1]!BANCO10[[#This Row],[STATUS DA ETAPA]],"")</f>
        <v/>
      </c>
      <c r="CL673" s="22" t="str">
        <f>IF([1]!BANCO10[[#This Row],[SOLUÇÃO]]=CL$1,[1]!BANCO10[[#This Row],[STATUS DA ETAPA]],"")</f>
        <v/>
      </c>
      <c r="CM673" s="64" t="str">
        <f>IF([1]!BANCO10[[#This Row],[SOLUÇÃO]]=CM$1,[1]!BANCO10[[#This Row],[STATUS DA ETAPA]],"")</f>
        <v/>
      </c>
      <c r="CN673" s="64" t="str">
        <f>IF([1]!BANCO10[[#This Row],[SOLUÇÃO]]=CN$1,[1]!BANCO10[[#This Row],[STATUS DA ETAPA]],"")</f>
        <v/>
      </c>
      <c r="CO673" s="64" t="str">
        <f>IF([1]!BANCO10[[#This Row],[SOLUÇÃO]]=CO$1,[1]!BANCO10[[#This Row],[STATUS DA ETAPA]],"")</f>
        <v/>
      </c>
      <c r="CP673" s="64" t="str">
        <f>IF([1]!BANCO10[[#This Row],[SOLUÇÃO]]=CP$1,[1]!BANCO10[[#This Row],[STATUS DA ETAPA]],"")</f>
        <v/>
      </c>
      <c r="CQ673" s="64" t="str">
        <f>IF([1]!BANCO10[[#This Row],[SOLUÇÃO]]=CQ$1,[1]!BANCO10[[#This Row],[STATUS DA ETAPA]],"")</f>
        <v/>
      </c>
      <c r="CR673" s="64" t="str">
        <f>IF([1]!BANCO10[[#This Row],[SOLUÇÃO]]=CR$1,[1]!BANCO10[[#This Row],[STATUS DA ETAPA]],"")</f>
        <v/>
      </c>
      <c r="CS673" s="64" t="str">
        <f>IF([1]!BANCO10[[#This Row],[SOLUÇÃO]]=CS$1,[1]!BANCO10[[#This Row],[STATUS DA ETAPA]],"")</f>
        <v/>
      </c>
      <c r="CT673" s="64" t="str">
        <f>IF([1]!BANCO10[[#This Row],[SOLUÇÃO]]=CT$1,[1]!BANCO10[[#This Row],[STATUS DA ETAPA]],"")</f>
        <v/>
      </c>
      <c r="CU673" s="64" t="str">
        <f>IF([1]!BANCO10[[#This Row],[SOLUÇÃO]]=CU$1,[1]!BANCO10[[#This Row],[STATUS DA ETAPA]],"")</f>
        <v/>
      </c>
      <c r="CV673" s="64" t="str">
        <f>IF([1]!BANCO10[[#This Row],[SOLUÇÃO]]=CV$1,[1]!BANCO10[[#This Row],[STATUS DA ETAPA]],"")</f>
        <v/>
      </c>
    </row>
    <row r="674" spans="1:100">
      <c r="A674" s="44" t="s">
        <v>1</v>
      </c>
      <c r="B674" s="44"/>
      <c r="C674" s="44" t="s">
        <v>1</v>
      </c>
      <c r="D674" s="44"/>
      <c r="E674" s="44" t="s">
        <v>1</v>
      </c>
      <c r="F674" s="44"/>
      <c r="G674" s="44" t="s">
        <v>1</v>
      </c>
      <c r="H674" s="44"/>
      <c r="I674" s="45" t="s">
        <v>1</v>
      </c>
      <c r="J674" s="46"/>
      <c r="K674" s="45" t="s">
        <v>1</v>
      </c>
      <c r="L674" s="33"/>
      <c r="M674" s="45" t="s">
        <v>1</v>
      </c>
      <c r="N674" s="33"/>
      <c r="O674" s="44" t="s">
        <v>1</v>
      </c>
      <c r="P674" s="44"/>
      <c r="Q674" s="44" t="s">
        <v>1</v>
      </c>
      <c r="R674" s="44"/>
      <c r="S674" s="44" t="s">
        <v>1</v>
      </c>
      <c r="T674" s="44"/>
      <c r="U674" s="44" t="s">
        <v>1</v>
      </c>
      <c r="V674" s="44"/>
      <c r="W674" s="44" t="s">
        <v>1</v>
      </c>
      <c r="X674" s="44"/>
      <c r="Y674" s="44" t="s">
        <v>1</v>
      </c>
      <c r="Z674" s="44"/>
      <c r="AA674" s="44" t="s">
        <v>1</v>
      </c>
      <c r="AB674" s="44"/>
      <c r="AC674" s="84">
        <v>44738</v>
      </c>
      <c r="AD674" s="83">
        <v>44852</v>
      </c>
      <c r="AE674" s="40" t="s">
        <v>2</v>
      </c>
      <c r="AF674" s="40" t="s">
        <v>2</v>
      </c>
      <c r="AG674" s="40" t="s">
        <v>5</v>
      </c>
      <c r="AH674" s="36" t="s">
        <v>0</v>
      </c>
      <c r="AI674" s="49">
        <v>0</v>
      </c>
      <c r="AJ674" s="36"/>
      <c r="AK674" s="10"/>
      <c r="AL674" s="36" t="s">
        <v>1</v>
      </c>
      <c r="AM674" s="36" t="s">
        <v>1</v>
      </c>
      <c r="AN674" s="35" t="s">
        <v>1</v>
      </c>
      <c r="AO674" s="35" t="s">
        <v>1</v>
      </c>
      <c r="AP674" s="35" t="s">
        <v>2</v>
      </c>
      <c r="AQ674" s="35" t="s">
        <v>1</v>
      </c>
      <c r="AR674" s="33" t="s">
        <v>1</v>
      </c>
      <c r="AS674" s="33"/>
      <c r="AT674" s="30"/>
      <c r="AU674" s="55"/>
      <c r="AV674" s="30"/>
      <c r="AW674" s="55"/>
      <c r="AX674" s="30" t="s">
        <v>1</v>
      </c>
      <c r="AY674" s="55"/>
      <c r="AZ674" s="30" t="s">
        <v>1</v>
      </c>
      <c r="BA674" s="85"/>
      <c r="BB674" s="39" t="s">
        <v>149</v>
      </c>
      <c r="BC674" s="25"/>
      <c r="BD674" s="24" t="s">
        <v>11</v>
      </c>
      <c r="BE674" s="24" t="s">
        <v>11</v>
      </c>
      <c r="BF674" s="79" t="s">
        <v>11</v>
      </c>
      <c r="BG674" s="79" t="s">
        <v>11</v>
      </c>
      <c r="BH674" s="80" t="s">
        <v>11</v>
      </c>
      <c r="BI674" s="79"/>
      <c r="BJ674" s="54" t="s">
        <v>11</v>
      </c>
      <c r="BK674" s="78" t="s">
        <v>11</v>
      </c>
      <c r="BL674" s="69" t="s">
        <v>11</v>
      </c>
      <c r="BM674" s="78" t="s">
        <v>11</v>
      </c>
      <c r="BN674" s="78" t="s">
        <v>11</v>
      </c>
      <c r="BO674" s="78" t="s">
        <v>11</v>
      </c>
      <c r="BP674" s="78" t="s">
        <v>11</v>
      </c>
      <c r="BQ674" s="21">
        <f>YEAR([1]!BANCO10[[#This Row],[DATA INÍCIO]])</f>
        <v>2022</v>
      </c>
      <c r="BR674" s="21">
        <f>MONTH([1]!BANCO10[[#This Row],[DATA INÍCIO]])</f>
        <v>6</v>
      </c>
      <c r="BS674" s="21" t="e">
        <f>CONCATENATE(#REF!,#REF!)</f>
        <v>#REF!</v>
      </c>
      <c r="BT674" s="21"/>
      <c r="BU674" s="21" t="s">
        <v>219</v>
      </c>
      <c r="BV674" s="21" t="str">
        <f>IF([1]!BANCO10[[#This Row],[SOLUÇÃO]]=BV$1,[1]!BANCO10[[#This Row],[STATUS DA ETAPA]],"")</f>
        <v/>
      </c>
      <c r="BW674" s="21" t="str">
        <f>IF([1]!BANCO10[[#This Row],[SOLUÇÃO]]=BW$1,[1]!BANCO10[[#This Row],[STATUS DA ETAPA]],"")</f>
        <v/>
      </c>
      <c r="BX674" s="21" t="str">
        <f>IF([1]!BANCO10[[#This Row],[SOLUÇÃO]]=BX$1,[1]!BANCO10[[#This Row],[STATUS DA ETAPA]],"")</f>
        <v/>
      </c>
      <c r="BY674" s="21" t="str">
        <f>IF([1]!BANCO10[[#This Row],[SOLUÇÃO]]=BY$1,[1]!BANCO10[[#This Row],[STATUS DA ETAPA]],"")</f>
        <v/>
      </c>
      <c r="BZ674" s="21" t="str">
        <f>IF([1]!BANCO10[[#This Row],[SOLUÇÃO]]=BZ$1,[1]!BANCO10[[#This Row],[STATUS DA ETAPA]],"")</f>
        <v/>
      </c>
      <c r="CA674" s="21" t="str">
        <f>IF([1]!BANCO10[[#This Row],[SOLUÇÃO]]=CA$1,[1]!BANCO10[[#This Row],[STATUS DA ETAPA]],"")</f>
        <v>CONCLUÍDO</v>
      </c>
      <c r="CB674" s="21" t="str">
        <f>IF([1]!BANCO10[[#This Row],[SOLUÇÃO]]=CB$1,[1]!BANCO10[[#This Row],[STATUS DA ETAPA]],"")</f>
        <v/>
      </c>
      <c r="CC674" s="21" t="str">
        <f>IF([1]!BANCO10[[#This Row],[SOLUÇÃO]]=CC$1,[1]!BANCO10[[#This Row],[STATUS DA ETAPA]],"")</f>
        <v/>
      </c>
      <c r="CD674" s="21" t="str">
        <f>IF([1]!BANCO10[[#This Row],[SOLUÇÃO]]=CD$1,[1]!BANCO10[[#This Row],[STATUS DA ETAPA]],"")</f>
        <v/>
      </c>
      <c r="CE674" s="21" t="str">
        <f>IF([1]!BANCO10[[#This Row],[SOLUÇÃO]]=CE$1,[1]!BANCO10[[#This Row],[STATUS DA ETAPA]],"")</f>
        <v/>
      </c>
      <c r="CF674" s="21" t="str">
        <f>IF([1]!BANCO10[[#This Row],[SOLUÇÃO]]=CF$1,[1]!BANCO10[[#This Row],[STATUS DA ETAPA]],"")</f>
        <v/>
      </c>
      <c r="CG674" s="21" t="str">
        <f>IF([1]!BANCO10[[#This Row],[SOLUÇÃO]]=CG$1,[1]!BANCO10[[#This Row],[STATUS DA ETAPA]],"")</f>
        <v/>
      </c>
      <c r="CH674" s="21" t="str">
        <f>IF([1]!BANCO10[[#This Row],[SOLUÇÃO]]=CH$1,[1]!BANCO10[[#This Row],[STATUS DA ETAPA]],"")</f>
        <v/>
      </c>
      <c r="CI674" s="21" t="str">
        <f>IF([1]!BANCO10[[#This Row],[SOLUÇÃO]]=CI$1,[1]!BANCO10[[#This Row],[STATUS DA ETAPA]],"")</f>
        <v/>
      </c>
      <c r="CJ674" s="21" t="str">
        <f>IF([1]!BANCO10[[#This Row],[SOLUÇÃO]]=CJ$1,[1]!BANCO10[[#This Row],[STATUS DA ETAPA]],"")</f>
        <v/>
      </c>
      <c r="CK674" s="21" t="str">
        <f>IF([1]!BANCO10[[#This Row],[SOLUÇÃO]]=CK$1,[1]!BANCO10[[#This Row],[STATUS DA ETAPA]],"")</f>
        <v/>
      </c>
      <c r="CL674" s="22" t="str">
        <f>IF([1]!BANCO10[[#This Row],[SOLUÇÃO]]=CL$1,[1]!BANCO10[[#This Row],[STATUS DA ETAPA]],"")</f>
        <v/>
      </c>
      <c r="CM674" s="64" t="str">
        <f>IF([1]!BANCO10[[#This Row],[SOLUÇÃO]]=CM$1,[1]!BANCO10[[#This Row],[STATUS DA ETAPA]],"")</f>
        <v/>
      </c>
      <c r="CN674" s="64" t="str">
        <f>IF([1]!BANCO10[[#This Row],[SOLUÇÃO]]=CN$1,[1]!BANCO10[[#This Row],[STATUS DA ETAPA]],"")</f>
        <v/>
      </c>
      <c r="CO674" s="64" t="str">
        <f>IF([1]!BANCO10[[#This Row],[SOLUÇÃO]]=CO$1,[1]!BANCO10[[#This Row],[STATUS DA ETAPA]],"")</f>
        <v/>
      </c>
      <c r="CP674" s="64" t="str">
        <f>IF([1]!BANCO10[[#This Row],[SOLUÇÃO]]=CP$1,[1]!BANCO10[[#This Row],[STATUS DA ETAPA]],"")</f>
        <v/>
      </c>
      <c r="CQ674" s="64" t="str">
        <f>IF([1]!BANCO10[[#This Row],[SOLUÇÃO]]=CQ$1,[1]!BANCO10[[#This Row],[STATUS DA ETAPA]],"")</f>
        <v/>
      </c>
      <c r="CR674" s="64" t="str">
        <f>IF([1]!BANCO10[[#This Row],[SOLUÇÃO]]=CR$1,[1]!BANCO10[[#This Row],[STATUS DA ETAPA]],"")</f>
        <v/>
      </c>
      <c r="CS674" s="64" t="str">
        <f>IF([1]!BANCO10[[#This Row],[SOLUÇÃO]]=CS$1,[1]!BANCO10[[#This Row],[STATUS DA ETAPA]],"")</f>
        <v/>
      </c>
      <c r="CT674" s="64" t="str">
        <f>IF([1]!BANCO10[[#This Row],[SOLUÇÃO]]=CT$1,[1]!BANCO10[[#This Row],[STATUS DA ETAPA]],"")</f>
        <v/>
      </c>
      <c r="CU674" s="64" t="str">
        <f>IF([1]!BANCO10[[#This Row],[SOLUÇÃO]]=CU$1,[1]!BANCO10[[#This Row],[STATUS DA ETAPA]],"")</f>
        <v/>
      </c>
      <c r="CV674" s="64" t="str">
        <f>IF([1]!BANCO10[[#This Row],[SOLUÇÃO]]=CV$1,[1]!BANCO10[[#This Row],[STATUS DA ETAPA]],"")</f>
        <v/>
      </c>
    </row>
    <row r="675" spans="1:100">
      <c r="A675" s="44" t="s">
        <v>1</v>
      </c>
      <c r="B675" s="44"/>
      <c r="C675" s="44" t="s">
        <v>1</v>
      </c>
      <c r="D675" s="44"/>
      <c r="E675" s="44" t="s">
        <v>1</v>
      </c>
      <c r="F675" s="44"/>
      <c r="G675" s="44" t="s">
        <v>1</v>
      </c>
      <c r="H675" s="44"/>
      <c r="I675" s="45" t="s">
        <v>1</v>
      </c>
      <c r="J675" s="46"/>
      <c r="K675" s="45" t="s">
        <v>1</v>
      </c>
      <c r="L675" s="33"/>
      <c r="M675" s="45" t="s">
        <v>1</v>
      </c>
      <c r="N675" s="33"/>
      <c r="O675" s="44" t="s">
        <v>2</v>
      </c>
      <c r="P675" s="44">
        <v>44927</v>
      </c>
      <c r="Q675" s="44"/>
      <c r="R675" s="44"/>
      <c r="S675" s="44"/>
      <c r="T675" s="44"/>
      <c r="U675" s="44"/>
      <c r="V675" s="44"/>
      <c r="W675" s="44" t="s">
        <v>2</v>
      </c>
      <c r="X675" s="44"/>
      <c r="Y675" s="44" t="s">
        <v>2</v>
      </c>
      <c r="Z675" s="44">
        <v>45142</v>
      </c>
      <c r="AA675" s="44" t="s">
        <v>2</v>
      </c>
      <c r="AB675" s="44"/>
      <c r="AC675" s="84">
        <v>45142</v>
      </c>
      <c r="AD675" s="83">
        <v>45261</v>
      </c>
      <c r="AE675" s="40" t="s">
        <v>2</v>
      </c>
      <c r="AF675" s="40" t="s">
        <v>2</v>
      </c>
      <c r="AG675" s="40" t="s">
        <v>5</v>
      </c>
      <c r="AH675" s="36" t="s">
        <v>0</v>
      </c>
      <c r="AI675" s="49">
        <v>0</v>
      </c>
      <c r="AJ675" s="36"/>
      <c r="AK675" s="10"/>
      <c r="AL675" s="36" t="s">
        <v>22</v>
      </c>
      <c r="AM675" s="36">
        <v>86217</v>
      </c>
      <c r="AN675" s="35" t="s">
        <v>1</v>
      </c>
      <c r="AO675" s="35" t="s">
        <v>1</v>
      </c>
      <c r="AP675" s="35" t="s">
        <v>2</v>
      </c>
      <c r="AQ675" s="35" t="s">
        <v>1</v>
      </c>
      <c r="AR675" s="33" t="s">
        <v>1</v>
      </c>
      <c r="AS675" s="33"/>
      <c r="AT675" s="30"/>
      <c r="AU675" s="55"/>
      <c r="AV675" s="30"/>
      <c r="AW675" s="55"/>
      <c r="AX675" s="30" t="s">
        <v>2</v>
      </c>
      <c r="AY675" s="55">
        <v>45261</v>
      </c>
      <c r="AZ675" s="30" t="s">
        <v>2</v>
      </c>
      <c r="BA675" s="85"/>
      <c r="BB675" s="39" t="s">
        <v>149</v>
      </c>
      <c r="BC675" s="25"/>
      <c r="BD675" s="24" t="s">
        <v>11</v>
      </c>
      <c r="BE675" s="24" t="s">
        <v>11</v>
      </c>
      <c r="BF675" s="79" t="s">
        <v>11</v>
      </c>
      <c r="BG675" s="79" t="s">
        <v>11</v>
      </c>
      <c r="BH675" s="80" t="s">
        <v>11</v>
      </c>
      <c r="BI675" s="79"/>
      <c r="BJ675" s="54" t="s">
        <v>11</v>
      </c>
      <c r="BK675" s="78" t="s">
        <v>11</v>
      </c>
      <c r="BL675" s="69" t="s">
        <v>11</v>
      </c>
      <c r="BM675" s="78" t="s">
        <v>11</v>
      </c>
      <c r="BN675" s="78" t="s">
        <v>11</v>
      </c>
      <c r="BO675" s="78" t="s">
        <v>11</v>
      </c>
      <c r="BP675" s="78" t="s">
        <v>11</v>
      </c>
      <c r="BQ675" s="21">
        <f>YEAR([1]!BANCO10[[#This Row],[DATA INÍCIO]])</f>
        <v>2023</v>
      </c>
      <c r="BR675" s="21">
        <f>MONTH([1]!BANCO10[[#This Row],[DATA INÍCIO]])</f>
        <v>8</v>
      </c>
      <c r="BS675" s="21" t="e">
        <f>CONCATENATE(#REF!,#REF!)</f>
        <v>#REF!</v>
      </c>
      <c r="BT675" s="21"/>
      <c r="BU675" s="21" t="s">
        <v>218</v>
      </c>
      <c r="BV675" s="21" t="str">
        <f>IF([1]!BANCO10[[#This Row],[SOLUÇÃO]]=BV$1,[1]!BANCO10[[#This Row],[STATUS DA ETAPA]],"")</f>
        <v/>
      </c>
      <c r="BW675" s="21" t="str">
        <f>IF([1]!BANCO10[[#This Row],[SOLUÇÃO]]=BW$1,[1]!BANCO10[[#This Row],[STATUS DA ETAPA]],"")</f>
        <v/>
      </c>
      <c r="BX675" s="21" t="str">
        <f>IF([1]!BANCO10[[#This Row],[SOLUÇÃO]]=BX$1,[1]!BANCO10[[#This Row],[STATUS DA ETAPA]],"")</f>
        <v/>
      </c>
      <c r="BY675" s="21" t="str">
        <f>IF([1]!BANCO10[[#This Row],[SOLUÇÃO]]=BY$1,[1]!BANCO10[[#This Row],[STATUS DA ETAPA]],"")</f>
        <v/>
      </c>
      <c r="BZ675" s="21" t="str">
        <f>IF([1]!BANCO10[[#This Row],[SOLUÇÃO]]=BZ$1,[1]!BANCO10[[#This Row],[STATUS DA ETAPA]],"")</f>
        <v/>
      </c>
      <c r="CA675" s="21" t="str">
        <f>IF([1]!BANCO10[[#This Row],[SOLUÇÃO]]=CA$1,[1]!BANCO10[[#This Row],[STATUS DA ETAPA]],"")</f>
        <v>CONCLUÍDO</v>
      </c>
      <c r="CB675" s="21" t="str">
        <f>IF([1]!BANCO10[[#This Row],[SOLUÇÃO]]=CB$1,[1]!BANCO10[[#This Row],[STATUS DA ETAPA]],"")</f>
        <v/>
      </c>
      <c r="CC675" s="21" t="str">
        <f>IF([1]!BANCO10[[#This Row],[SOLUÇÃO]]=CC$1,[1]!BANCO10[[#This Row],[STATUS DA ETAPA]],"")</f>
        <v/>
      </c>
      <c r="CD675" s="21" t="str">
        <f>IF([1]!BANCO10[[#This Row],[SOLUÇÃO]]=CD$1,[1]!BANCO10[[#This Row],[STATUS DA ETAPA]],"")</f>
        <v/>
      </c>
      <c r="CE675" s="21" t="str">
        <f>IF([1]!BANCO10[[#This Row],[SOLUÇÃO]]=CE$1,[1]!BANCO10[[#This Row],[STATUS DA ETAPA]],"")</f>
        <v/>
      </c>
      <c r="CF675" s="21" t="str">
        <f>IF([1]!BANCO10[[#This Row],[SOLUÇÃO]]=CF$1,[1]!BANCO10[[#This Row],[STATUS DA ETAPA]],"")</f>
        <v/>
      </c>
      <c r="CG675" s="21" t="str">
        <f>IF([1]!BANCO10[[#This Row],[SOLUÇÃO]]=CG$1,[1]!BANCO10[[#This Row],[STATUS DA ETAPA]],"")</f>
        <v/>
      </c>
      <c r="CH675" s="21" t="str">
        <f>IF([1]!BANCO10[[#This Row],[SOLUÇÃO]]=CH$1,[1]!BANCO10[[#This Row],[STATUS DA ETAPA]],"")</f>
        <v/>
      </c>
      <c r="CI675" s="21" t="str">
        <f>IF([1]!BANCO10[[#This Row],[SOLUÇÃO]]=CI$1,[1]!BANCO10[[#This Row],[STATUS DA ETAPA]],"")</f>
        <v/>
      </c>
      <c r="CJ675" s="21" t="str">
        <f>IF([1]!BANCO10[[#This Row],[SOLUÇÃO]]=CJ$1,[1]!BANCO10[[#This Row],[STATUS DA ETAPA]],"")</f>
        <v/>
      </c>
      <c r="CK675" s="21" t="str">
        <f>IF([1]!BANCO10[[#This Row],[SOLUÇÃO]]=CK$1,[1]!BANCO10[[#This Row],[STATUS DA ETAPA]],"")</f>
        <v/>
      </c>
      <c r="CL675" s="22" t="str">
        <f>IF([1]!BANCO10[[#This Row],[SOLUÇÃO]]=CL$1,[1]!BANCO10[[#This Row],[STATUS DA ETAPA]],"")</f>
        <v/>
      </c>
      <c r="CM675" s="64" t="str">
        <f>IF([1]!BANCO10[[#This Row],[SOLUÇÃO]]=CM$1,[1]!BANCO10[[#This Row],[STATUS DA ETAPA]],"")</f>
        <v/>
      </c>
      <c r="CN675" s="64" t="str">
        <f>IF([1]!BANCO10[[#This Row],[SOLUÇÃO]]=CN$1,[1]!BANCO10[[#This Row],[STATUS DA ETAPA]],"")</f>
        <v/>
      </c>
      <c r="CO675" s="64" t="str">
        <f>IF([1]!BANCO10[[#This Row],[SOLUÇÃO]]=CO$1,[1]!BANCO10[[#This Row],[STATUS DA ETAPA]],"")</f>
        <v/>
      </c>
      <c r="CP675" s="64" t="str">
        <f>IF([1]!BANCO10[[#This Row],[SOLUÇÃO]]=CP$1,[1]!BANCO10[[#This Row],[STATUS DA ETAPA]],"")</f>
        <v/>
      </c>
      <c r="CQ675" s="64" t="str">
        <f>IF([1]!BANCO10[[#This Row],[SOLUÇÃO]]=CQ$1,[1]!BANCO10[[#This Row],[STATUS DA ETAPA]],"")</f>
        <v/>
      </c>
      <c r="CR675" s="64" t="str">
        <f>IF([1]!BANCO10[[#This Row],[SOLUÇÃO]]=CR$1,[1]!BANCO10[[#This Row],[STATUS DA ETAPA]],"")</f>
        <v/>
      </c>
      <c r="CS675" s="64" t="str">
        <f>IF([1]!BANCO10[[#This Row],[SOLUÇÃO]]=CS$1,[1]!BANCO10[[#This Row],[STATUS DA ETAPA]],"")</f>
        <v/>
      </c>
      <c r="CT675" s="64" t="str">
        <f>IF([1]!BANCO10[[#This Row],[SOLUÇÃO]]=CT$1,[1]!BANCO10[[#This Row],[STATUS DA ETAPA]],"")</f>
        <v/>
      </c>
      <c r="CU675" s="64" t="str">
        <f>IF([1]!BANCO10[[#This Row],[SOLUÇÃO]]=CU$1,[1]!BANCO10[[#This Row],[STATUS DA ETAPA]],"")</f>
        <v/>
      </c>
      <c r="CV675" s="64" t="str">
        <f>IF([1]!BANCO10[[#This Row],[SOLUÇÃO]]=CV$1,[1]!BANCO10[[#This Row],[STATUS DA ETAPA]],"")</f>
        <v/>
      </c>
    </row>
    <row r="676" spans="1:100">
      <c r="A676" s="44" t="s">
        <v>1</v>
      </c>
      <c r="B676" s="44"/>
      <c r="C676" s="44" t="s">
        <v>1</v>
      </c>
      <c r="D676" s="44"/>
      <c r="E676" s="44" t="s">
        <v>1</v>
      </c>
      <c r="F676" s="44"/>
      <c r="G676" s="44" t="s">
        <v>1</v>
      </c>
      <c r="H676" s="44"/>
      <c r="I676" s="45" t="s">
        <v>1</v>
      </c>
      <c r="J676" s="46"/>
      <c r="K676" s="45" t="s">
        <v>1</v>
      </c>
      <c r="L676" s="33"/>
      <c r="M676" s="45" t="s">
        <v>1</v>
      </c>
      <c r="N676" s="33"/>
      <c r="O676" s="44" t="s">
        <v>1</v>
      </c>
      <c r="P676" s="44"/>
      <c r="Q676" s="44" t="s">
        <v>1</v>
      </c>
      <c r="R676" s="44"/>
      <c r="S676" s="44" t="s">
        <v>1</v>
      </c>
      <c r="T676" s="44"/>
      <c r="U676" s="44" t="s">
        <v>1</v>
      </c>
      <c r="V676" s="44"/>
      <c r="W676" s="44" t="s">
        <v>1</v>
      </c>
      <c r="X676" s="44"/>
      <c r="Y676" s="44" t="s">
        <v>1</v>
      </c>
      <c r="Z676" s="44"/>
      <c r="AA676" s="44" t="s">
        <v>1</v>
      </c>
      <c r="AB676" s="44"/>
      <c r="AC676" s="84">
        <v>45415</v>
      </c>
      <c r="AD676" s="83">
        <v>45621</v>
      </c>
      <c r="AE676" s="40" t="s">
        <v>2</v>
      </c>
      <c r="AF676" s="41" t="s">
        <v>2</v>
      </c>
      <c r="AG676" s="40" t="s">
        <v>5</v>
      </c>
      <c r="AH676" s="36" t="s">
        <v>0</v>
      </c>
      <c r="AI676" s="49">
        <v>0</v>
      </c>
      <c r="AJ676" s="36" t="s">
        <v>6</v>
      </c>
      <c r="AK676" s="10" t="s">
        <v>1</v>
      </c>
      <c r="AL676" s="36" t="s">
        <v>1</v>
      </c>
      <c r="AM676" s="36" t="s">
        <v>1</v>
      </c>
      <c r="AN676" s="35" t="s">
        <v>1</v>
      </c>
      <c r="AO676" s="35" t="s">
        <v>1</v>
      </c>
      <c r="AP676" s="35" t="s">
        <v>2</v>
      </c>
      <c r="AQ676" s="35" t="s">
        <v>1</v>
      </c>
      <c r="AR676" s="33" t="s">
        <v>1</v>
      </c>
      <c r="AS676" s="33"/>
      <c r="AT676" s="30"/>
      <c r="AU676" s="55"/>
      <c r="AV676" s="30"/>
      <c r="AW676" s="55"/>
      <c r="AX676" s="30" t="s">
        <v>2</v>
      </c>
      <c r="AY676" s="55"/>
      <c r="AZ676" s="30" t="s">
        <v>0</v>
      </c>
      <c r="BA676" s="85"/>
      <c r="BB676" s="39"/>
      <c r="BC676" s="25"/>
      <c r="BD676" s="24" t="s">
        <v>11</v>
      </c>
      <c r="BE676" s="24" t="s">
        <v>11</v>
      </c>
      <c r="BF676" s="79" t="s">
        <v>11</v>
      </c>
      <c r="BG676" s="79" t="s">
        <v>11</v>
      </c>
      <c r="BH676" s="80" t="s">
        <v>11</v>
      </c>
      <c r="BI676" s="79"/>
      <c r="BJ676" s="54" t="s">
        <v>11</v>
      </c>
      <c r="BK676" s="78" t="s">
        <v>11</v>
      </c>
      <c r="BL676" s="69">
        <v>45389</v>
      </c>
      <c r="BM676" s="78" t="s">
        <v>11</v>
      </c>
      <c r="BN676" s="78" t="s">
        <v>11</v>
      </c>
      <c r="BO676" s="78" t="s">
        <v>11</v>
      </c>
      <c r="BP676" s="78" t="s">
        <v>108</v>
      </c>
      <c r="BQ676" s="21">
        <f>YEAR([1]!BANCO10[[#This Row],[DATA INÍCIO]])</f>
        <v>2024</v>
      </c>
      <c r="BR676" s="21">
        <f>MONTH([1]!BANCO10[[#This Row],[DATA INÍCIO]])</f>
        <v>5</v>
      </c>
      <c r="BS676" s="21" t="e">
        <f>CONCATENATE(#REF!,#REF!)</f>
        <v>#REF!</v>
      </c>
      <c r="BT676" s="21"/>
      <c r="BU676" s="21" t="s">
        <v>217</v>
      </c>
      <c r="BV676" s="21" t="str">
        <f>IF([1]!BANCO10[[#This Row],[SOLUÇÃO]]=BV$1,[1]!BANCO10[[#This Row],[STATUS DA ETAPA]],"")</f>
        <v/>
      </c>
      <c r="BW676" s="21" t="str">
        <f>IF([1]!BANCO10[[#This Row],[SOLUÇÃO]]=BW$1,[1]!BANCO10[[#This Row],[STATUS DA ETAPA]],"")</f>
        <v/>
      </c>
      <c r="BX676" s="21" t="str">
        <f>IF([1]!BANCO10[[#This Row],[SOLUÇÃO]]=BX$1,[1]!BANCO10[[#This Row],[STATUS DA ETAPA]],"")</f>
        <v/>
      </c>
      <c r="BY676" s="21" t="str">
        <f>IF([1]!BANCO10[[#This Row],[SOLUÇÃO]]=BY$1,[1]!BANCO10[[#This Row],[STATUS DA ETAPA]],"")</f>
        <v/>
      </c>
      <c r="BZ676" s="21" t="str">
        <f>IF([1]!BANCO10[[#This Row],[SOLUÇÃO]]=BZ$1,[1]!BANCO10[[#This Row],[STATUS DA ETAPA]],"")</f>
        <v/>
      </c>
      <c r="CA676" s="21" t="str">
        <f>IF([1]!BANCO10[[#This Row],[SOLUÇÃO]]=CA$1,[1]!BANCO10[[#This Row],[STATUS DA ETAPA]],"")</f>
        <v/>
      </c>
      <c r="CB676" s="21" t="str">
        <f>IF([1]!BANCO10[[#This Row],[SOLUÇÃO]]=CB$1,[1]!BANCO10[[#This Row],[STATUS DA ETAPA]],"")</f>
        <v>CONCLUÍDO</v>
      </c>
      <c r="CC676" s="21" t="str">
        <f>IF([1]!BANCO10[[#This Row],[SOLUÇÃO]]=CC$1,[1]!BANCO10[[#This Row],[STATUS DA ETAPA]],"")</f>
        <v/>
      </c>
      <c r="CD676" s="21" t="str">
        <f>IF([1]!BANCO10[[#This Row],[SOLUÇÃO]]=CD$1,[1]!BANCO10[[#This Row],[STATUS DA ETAPA]],"")</f>
        <v/>
      </c>
      <c r="CE676" s="21" t="str">
        <f>IF([1]!BANCO10[[#This Row],[SOLUÇÃO]]=CE$1,[1]!BANCO10[[#This Row],[STATUS DA ETAPA]],"")</f>
        <v/>
      </c>
      <c r="CF676" s="21" t="str">
        <f>IF([1]!BANCO10[[#This Row],[SOLUÇÃO]]=CF$1,[1]!BANCO10[[#This Row],[STATUS DA ETAPA]],"")</f>
        <v/>
      </c>
      <c r="CG676" s="21" t="str">
        <f>IF([1]!BANCO10[[#This Row],[SOLUÇÃO]]=CG$1,[1]!BANCO10[[#This Row],[STATUS DA ETAPA]],"")</f>
        <v/>
      </c>
      <c r="CH676" s="21" t="str">
        <f>IF([1]!BANCO10[[#This Row],[SOLUÇÃO]]=CH$1,[1]!BANCO10[[#This Row],[STATUS DA ETAPA]],"")</f>
        <v/>
      </c>
      <c r="CI676" s="21" t="str">
        <f>IF([1]!BANCO10[[#This Row],[SOLUÇÃO]]=CI$1,[1]!BANCO10[[#This Row],[STATUS DA ETAPA]],"")</f>
        <v/>
      </c>
      <c r="CJ676" s="21" t="str">
        <f>IF([1]!BANCO10[[#This Row],[SOLUÇÃO]]=CJ$1,[1]!BANCO10[[#This Row],[STATUS DA ETAPA]],"")</f>
        <v/>
      </c>
      <c r="CK676" s="21" t="str">
        <f>IF([1]!BANCO10[[#This Row],[SOLUÇÃO]]=CK$1,[1]!BANCO10[[#This Row],[STATUS DA ETAPA]],"")</f>
        <v/>
      </c>
      <c r="CL676" s="22" t="str">
        <f>IF([1]!BANCO10[[#This Row],[SOLUÇÃO]]=CL$1,[1]!BANCO10[[#This Row],[STATUS DA ETAPA]],"")</f>
        <v/>
      </c>
      <c r="CM676" s="64" t="str">
        <f>IF([1]!BANCO10[[#This Row],[SOLUÇÃO]]=CM$1,[1]!BANCO10[[#This Row],[STATUS DA ETAPA]],"")</f>
        <v/>
      </c>
      <c r="CN676" s="64" t="str">
        <f>IF([1]!BANCO10[[#This Row],[SOLUÇÃO]]=CN$1,[1]!BANCO10[[#This Row],[STATUS DA ETAPA]],"")</f>
        <v/>
      </c>
      <c r="CO676" s="64" t="str">
        <f>IF([1]!BANCO10[[#This Row],[SOLUÇÃO]]=CO$1,[1]!BANCO10[[#This Row],[STATUS DA ETAPA]],"")</f>
        <v/>
      </c>
      <c r="CP676" s="64" t="str">
        <f>IF([1]!BANCO10[[#This Row],[SOLUÇÃO]]=CP$1,[1]!BANCO10[[#This Row],[STATUS DA ETAPA]],"")</f>
        <v/>
      </c>
      <c r="CQ676" s="64" t="str">
        <f>IF([1]!BANCO10[[#This Row],[SOLUÇÃO]]=CQ$1,[1]!BANCO10[[#This Row],[STATUS DA ETAPA]],"")</f>
        <v/>
      </c>
      <c r="CR676" s="64" t="str">
        <f>IF([1]!BANCO10[[#This Row],[SOLUÇÃO]]=CR$1,[1]!BANCO10[[#This Row],[STATUS DA ETAPA]],"")</f>
        <v/>
      </c>
      <c r="CS676" s="64" t="str">
        <f>IF([1]!BANCO10[[#This Row],[SOLUÇÃO]]=CS$1,[1]!BANCO10[[#This Row],[STATUS DA ETAPA]],"")</f>
        <v/>
      </c>
      <c r="CT676" s="64" t="str">
        <f>IF([1]!BANCO10[[#This Row],[SOLUÇÃO]]=CT$1,[1]!BANCO10[[#This Row],[STATUS DA ETAPA]],"")</f>
        <v/>
      </c>
      <c r="CU676" s="64" t="str">
        <f>IF([1]!BANCO10[[#This Row],[SOLUÇÃO]]=CU$1,[1]!BANCO10[[#This Row],[STATUS DA ETAPA]],"")</f>
        <v/>
      </c>
      <c r="CV676" s="64" t="str">
        <f>IF([1]!BANCO10[[#This Row],[SOLUÇÃO]]=CV$1,[1]!BANCO10[[#This Row],[STATUS DA ETAPA]],"")</f>
        <v/>
      </c>
    </row>
    <row r="677" spans="1:100">
      <c r="A677" s="44" t="s">
        <v>1</v>
      </c>
      <c r="B677" s="44"/>
      <c r="C677" s="44" t="s">
        <v>1</v>
      </c>
      <c r="D677" s="44"/>
      <c r="E677" s="44" t="s">
        <v>1</v>
      </c>
      <c r="F677" s="44"/>
      <c r="G677" s="44" t="s">
        <v>1</v>
      </c>
      <c r="H677" s="44"/>
      <c r="I677" s="45" t="s">
        <v>1</v>
      </c>
      <c r="J677" s="46"/>
      <c r="K677" s="45" t="s">
        <v>1</v>
      </c>
      <c r="L677" s="33"/>
      <c r="M677" s="45" t="s">
        <v>1</v>
      </c>
      <c r="N677" s="33"/>
      <c r="O677" s="44" t="s">
        <v>1</v>
      </c>
      <c r="P677" s="44"/>
      <c r="Q677" s="44" t="s">
        <v>1</v>
      </c>
      <c r="R677" s="44"/>
      <c r="S677" s="44" t="s">
        <v>1</v>
      </c>
      <c r="T677" s="44"/>
      <c r="U677" s="44" t="s">
        <v>1</v>
      </c>
      <c r="V677" s="44"/>
      <c r="W677" s="44" t="s">
        <v>1</v>
      </c>
      <c r="X677" s="44"/>
      <c r="Y677" s="44" t="s">
        <v>1</v>
      </c>
      <c r="Z677" s="44"/>
      <c r="AA677" s="44" t="s">
        <v>1</v>
      </c>
      <c r="AB677" s="44"/>
      <c r="AC677" s="84">
        <v>45415</v>
      </c>
      <c r="AD677" s="83">
        <v>45621</v>
      </c>
      <c r="AE677" s="40" t="s">
        <v>2</v>
      </c>
      <c r="AF677" s="41" t="s">
        <v>2</v>
      </c>
      <c r="AG677" s="40" t="s">
        <v>5</v>
      </c>
      <c r="AH677" s="36" t="s">
        <v>0</v>
      </c>
      <c r="AI677" s="49">
        <v>0</v>
      </c>
      <c r="AJ677" s="36" t="s">
        <v>6</v>
      </c>
      <c r="AK677" s="10" t="s">
        <v>1</v>
      </c>
      <c r="AL677" s="36" t="s">
        <v>1</v>
      </c>
      <c r="AM677" s="36" t="s">
        <v>1</v>
      </c>
      <c r="AN677" s="35" t="s">
        <v>1</v>
      </c>
      <c r="AO677" s="35" t="s">
        <v>1</v>
      </c>
      <c r="AP677" s="35" t="s">
        <v>2</v>
      </c>
      <c r="AQ677" s="35" t="s">
        <v>1</v>
      </c>
      <c r="AR677" s="33" t="s">
        <v>1</v>
      </c>
      <c r="AS677" s="33"/>
      <c r="AT677" s="30"/>
      <c r="AU677" s="55"/>
      <c r="AV677" s="30"/>
      <c r="AW677" s="55"/>
      <c r="AX677" s="30" t="s">
        <v>2</v>
      </c>
      <c r="AY677" s="55"/>
      <c r="AZ677" s="30" t="s">
        <v>0</v>
      </c>
      <c r="BA677" s="85"/>
      <c r="BB677" s="39"/>
      <c r="BC677" s="25"/>
      <c r="BD677" s="24" t="s">
        <v>11</v>
      </c>
      <c r="BE677" s="24" t="s">
        <v>11</v>
      </c>
      <c r="BF677" s="79" t="s">
        <v>11</v>
      </c>
      <c r="BG677" s="79" t="s">
        <v>11</v>
      </c>
      <c r="BH677" s="80" t="s">
        <v>11</v>
      </c>
      <c r="BI677" s="79"/>
      <c r="BJ677" s="54" t="s">
        <v>11</v>
      </c>
      <c r="BK677" s="78" t="s">
        <v>11</v>
      </c>
      <c r="BL677" s="69">
        <v>45389</v>
      </c>
      <c r="BM677" s="78" t="s">
        <v>11</v>
      </c>
      <c r="BN677" s="78" t="s">
        <v>11</v>
      </c>
      <c r="BO677" s="78" t="s">
        <v>11</v>
      </c>
      <c r="BP677" s="78" t="s">
        <v>108</v>
      </c>
      <c r="BQ677" s="21">
        <f>YEAR([1]!BANCO10[[#This Row],[DATA INÍCIO]])</f>
        <v>2024</v>
      </c>
      <c r="BR677" s="21">
        <f>MONTH([1]!BANCO10[[#This Row],[DATA INÍCIO]])</f>
        <v>5</v>
      </c>
      <c r="BS677" s="21" t="e">
        <f>CONCATENATE(#REF!,#REF!)</f>
        <v>#REF!</v>
      </c>
      <c r="BT677" s="21"/>
      <c r="BU677" s="21" t="s">
        <v>217</v>
      </c>
      <c r="BV677" s="21" t="str">
        <f>IF([1]!BANCO10[[#This Row],[SOLUÇÃO]]=BV$1,[1]!BANCO10[[#This Row],[STATUS DA ETAPA]],"")</f>
        <v/>
      </c>
      <c r="BW677" s="21" t="str">
        <f>IF([1]!BANCO10[[#This Row],[SOLUÇÃO]]=BW$1,[1]!BANCO10[[#This Row],[STATUS DA ETAPA]],"")</f>
        <v/>
      </c>
      <c r="BX677" s="21" t="str">
        <f>IF([1]!BANCO10[[#This Row],[SOLUÇÃO]]=BX$1,[1]!BANCO10[[#This Row],[STATUS DA ETAPA]],"")</f>
        <v/>
      </c>
      <c r="BY677" s="21" t="str">
        <f>IF([1]!BANCO10[[#This Row],[SOLUÇÃO]]=BY$1,[1]!BANCO10[[#This Row],[STATUS DA ETAPA]],"")</f>
        <v/>
      </c>
      <c r="BZ677" s="21" t="str">
        <f>IF([1]!BANCO10[[#This Row],[SOLUÇÃO]]=BZ$1,[1]!BANCO10[[#This Row],[STATUS DA ETAPA]],"")</f>
        <v/>
      </c>
      <c r="CA677" s="21" t="str">
        <f>IF([1]!BANCO10[[#This Row],[SOLUÇÃO]]=CA$1,[1]!BANCO10[[#This Row],[STATUS DA ETAPA]],"")</f>
        <v/>
      </c>
      <c r="CB677" s="21" t="str">
        <f>IF([1]!BANCO10[[#This Row],[SOLUÇÃO]]=CB$1,[1]!BANCO10[[#This Row],[STATUS DA ETAPA]],"")</f>
        <v>CONCLUÍDO</v>
      </c>
      <c r="CC677" s="21" t="str">
        <f>IF([1]!BANCO10[[#This Row],[SOLUÇÃO]]=CC$1,[1]!BANCO10[[#This Row],[STATUS DA ETAPA]],"")</f>
        <v/>
      </c>
      <c r="CD677" s="21" t="str">
        <f>IF([1]!BANCO10[[#This Row],[SOLUÇÃO]]=CD$1,[1]!BANCO10[[#This Row],[STATUS DA ETAPA]],"")</f>
        <v/>
      </c>
      <c r="CE677" s="21" t="str">
        <f>IF([1]!BANCO10[[#This Row],[SOLUÇÃO]]=CE$1,[1]!BANCO10[[#This Row],[STATUS DA ETAPA]],"")</f>
        <v/>
      </c>
      <c r="CF677" s="21" t="str">
        <f>IF([1]!BANCO10[[#This Row],[SOLUÇÃO]]=CF$1,[1]!BANCO10[[#This Row],[STATUS DA ETAPA]],"")</f>
        <v/>
      </c>
      <c r="CG677" s="21" t="str">
        <f>IF([1]!BANCO10[[#This Row],[SOLUÇÃO]]=CG$1,[1]!BANCO10[[#This Row],[STATUS DA ETAPA]],"")</f>
        <v/>
      </c>
      <c r="CH677" s="21" t="str">
        <f>IF([1]!BANCO10[[#This Row],[SOLUÇÃO]]=CH$1,[1]!BANCO10[[#This Row],[STATUS DA ETAPA]],"")</f>
        <v/>
      </c>
      <c r="CI677" s="21" t="str">
        <f>IF([1]!BANCO10[[#This Row],[SOLUÇÃO]]=CI$1,[1]!BANCO10[[#This Row],[STATUS DA ETAPA]],"")</f>
        <v/>
      </c>
      <c r="CJ677" s="21" t="str">
        <f>IF([1]!BANCO10[[#This Row],[SOLUÇÃO]]=CJ$1,[1]!BANCO10[[#This Row],[STATUS DA ETAPA]],"")</f>
        <v/>
      </c>
      <c r="CK677" s="21" t="str">
        <f>IF([1]!BANCO10[[#This Row],[SOLUÇÃO]]=CK$1,[1]!BANCO10[[#This Row],[STATUS DA ETAPA]],"")</f>
        <v/>
      </c>
      <c r="CL677" s="22" t="str">
        <f>IF([1]!BANCO10[[#This Row],[SOLUÇÃO]]=CL$1,[1]!BANCO10[[#This Row],[STATUS DA ETAPA]],"")</f>
        <v/>
      </c>
      <c r="CM677" s="64" t="str">
        <f>IF([1]!BANCO10[[#This Row],[SOLUÇÃO]]=CM$1,[1]!BANCO10[[#This Row],[STATUS DA ETAPA]],"")</f>
        <v/>
      </c>
      <c r="CN677" s="64" t="str">
        <f>IF([1]!BANCO10[[#This Row],[SOLUÇÃO]]=CN$1,[1]!BANCO10[[#This Row],[STATUS DA ETAPA]],"")</f>
        <v/>
      </c>
      <c r="CO677" s="64" t="str">
        <f>IF([1]!BANCO10[[#This Row],[SOLUÇÃO]]=CO$1,[1]!BANCO10[[#This Row],[STATUS DA ETAPA]],"")</f>
        <v/>
      </c>
      <c r="CP677" s="64" t="str">
        <f>IF([1]!BANCO10[[#This Row],[SOLUÇÃO]]=CP$1,[1]!BANCO10[[#This Row],[STATUS DA ETAPA]],"")</f>
        <v/>
      </c>
      <c r="CQ677" s="64" t="str">
        <f>IF([1]!BANCO10[[#This Row],[SOLUÇÃO]]=CQ$1,[1]!BANCO10[[#This Row],[STATUS DA ETAPA]],"")</f>
        <v/>
      </c>
      <c r="CR677" s="64" t="str">
        <f>IF([1]!BANCO10[[#This Row],[SOLUÇÃO]]=CR$1,[1]!BANCO10[[#This Row],[STATUS DA ETAPA]],"")</f>
        <v/>
      </c>
      <c r="CS677" s="64" t="str">
        <f>IF([1]!BANCO10[[#This Row],[SOLUÇÃO]]=CS$1,[1]!BANCO10[[#This Row],[STATUS DA ETAPA]],"")</f>
        <v/>
      </c>
      <c r="CT677" s="64" t="str">
        <f>IF([1]!BANCO10[[#This Row],[SOLUÇÃO]]=CT$1,[1]!BANCO10[[#This Row],[STATUS DA ETAPA]],"")</f>
        <v/>
      </c>
      <c r="CU677" s="64" t="str">
        <f>IF([1]!BANCO10[[#This Row],[SOLUÇÃO]]=CU$1,[1]!BANCO10[[#This Row],[STATUS DA ETAPA]],"")</f>
        <v/>
      </c>
      <c r="CV677" s="64" t="str">
        <f>IF([1]!BANCO10[[#This Row],[SOLUÇÃO]]=CV$1,[1]!BANCO10[[#This Row],[STATUS DA ETAPA]],"")</f>
        <v/>
      </c>
    </row>
    <row r="678" spans="1:100">
      <c r="A678" s="44" t="s">
        <v>1</v>
      </c>
      <c r="B678" s="44"/>
      <c r="C678" s="44" t="s">
        <v>1</v>
      </c>
      <c r="D678" s="44"/>
      <c r="E678" s="44" t="s">
        <v>1</v>
      </c>
      <c r="F678" s="44"/>
      <c r="G678" s="44" t="s">
        <v>1</v>
      </c>
      <c r="H678" s="44"/>
      <c r="I678" s="45" t="s">
        <v>1</v>
      </c>
      <c r="J678" s="46"/>
      <c r="K678" s="45" t="s">
        <v>1</v>
      </c>
      <c r="L678" s="33"/>
      <c r="M678" s="45" t="s">
        <v>1</v>
      </c>
      <c r="N678" s="33"/>
      <c r="O678" s="44" t="s">
        <v>2</v>
      </c>
      <c r="P678" s="44">
        <v>45153</v>
      </c>
      <c r="Q678" s="44" t="s">
        <v>0</v>
      </c>
      <c r="R678" s="44"/>
      <c r="S678" s="44" t="s">
        <v>1</v>
      </c>
      <c r="T678" s="44"/>
      <c r="U678" s="44" t="s">
        <v>1</v>
      </c>
      <c r="V678" s="44"/>
      <c r="W678" s="44" t="s">
        <v>1</v>
      </c>
      <c r="X678" s="44"/>
      <c r="Y678" s="44" t="s">
        <v>1</v>
      </c>
      <c r="Z678" s="44"/>
      <c r="AA678" s="44" t="s">
        <v>1</v>
      </c>
      <c r="AB678" s="44"/>
      <c r="AC678" s="84">
        <v>45153</v>
      </c>
      <c r="AD678" s="83">
        <v>45153</v>
      </c>
      <c r="AE678" s="40" t="s">
        <v>1</v>
      </c>
      <c r="AF678" s="40" t="s">
        <v>1</v>
      </c>
      <c r="AG678" s="40" t="s">
        <v>5</v>
      </c>
      <c r="AH678" s="36" t="s">
        <v>1</v>
      </c>
      <c r="AI678" s="49">
        <v>0</v>
      </c>
      <c r="AJ678" s="36" t="s">
        <v>1</v>
      </c>
      <c r="AK678" s="10" t="s">
        <v>1</v>
      </c>
      <c r="AL678" s="36" t="s">
        <v>1</v>
      </c>
      <c r="AM678" s="36" t="s">
        <v>1</v>
      </c>
      <c r="AN678" s="35" t="s">
        <v>1</v>
      </c>
      <c r="AO678" s="35" t="s">
        <v>1</v>
      </c>
      <c r="AP678" s="35" t="s">
        <v>1</v>
      </c>
      <c r="AQ678" s="35" t="s">
        <v>1</v>
      </c>
      <c r="AR678" s="48" t="s">
        <v>1</v>
      </c>
      <c r="AS678" s="33"/>
      <c r="AT678" s="30"/>
      <c r="AU678" s="55"/>
      <c r="AV678" s="30"/>
      <c r="AW678" s="55"/>
      <c r="AX678" s="30" t="s">
        <v>1</v>
      </c>
      <c r="AY678" s="55"/>
      <c r="AZ678" s="30" t="s">
        <v>1</v>
      </c>
      <c r="BA678" s="85"/>
      <c r="BB678" s="39" t="s">
        <v>216</v>
      </c>
      <c r="BC678" s="39"/>
      <c r="BD678" s="24" t="s">
        <v>72</v>
      </c>
      <c r="BE678" s="24" t="s">
        <v>19</v>
      </c>
      <c r="BF678" s="79" t="s">
        <v>51</v>
      </c>
      <c r="BG678" s="79" t="s">
        <v>11</v>
      </c>
      <c r="BH678" s="80" t="s">
        <v>18</v>
      </c>
      <c r="BI678" s="79" t="s">
        <v>51</v>
      </c>
      <c r="BJ678" s="54" t="s">
        <v>11</v>
      </c>
      <c r="BK678" s="78" t="s">
        <v>11</v>
      </c>
      <c r="BL678" s="69" t="s">
        <v>11</v>
      </c>
      <c r="BM678" s="78" t="s">
        <v>11</v>
      </c>
      <c r="BN678" s="78" t="s">
        <v>11</v>
      </c>
      <c r="BO678" s="78" t="s">
        <v>11</v>
      </c>
      <c r="BP678" s="78" t="s">
        <v>11</v>
      </c>
      <c r="BQ678" s="21">
        <f>YEAR([1]!BANCO10[[#This Row],[DATA INÍCIO]])</f>
        <v>2023</v>
      </c>
      <c r="BR678" s="21">
        <f>MONTH([1]!BANCO10[[#This Row],[DATA INÍCIO]])</f>
        <v>8</v>
      </c>
      <c r="BS678" s="21" t="e">
        <f>CONCATENATE(#REF!,#REF!)</f>
        <v>#REF!</v>
      </c>
      <c r="BT678" s="21"/>
      <c r="BU678" s="21" t="s">
        <v>215</v>
      </c>
      <c r="BV678" s="21" t="str">
        <f>IF([1]!BANCO10[[#This Row],[SOLUÇÃO]]=BV$1,[1]!BANCO10[[#This Row],[STATUS DA ETAPA]],"")</f>
        <v>CONCLUÍDO</v>
      </c>
      <c r="BW678" s="21" t="str">
        <f>IF([1]!BANCO10[[#This Row],[SOLUÇÃO]]=BW$1,[1]!BANCO10[[#This Row],[STATUS DA ETAPA]],"")</f>
        <v/>
      </c>
      <c r="BX678" s="21" t="str">
        <f>IF([1]!BANCO10[[#This Row],[SOLUÇÃO]]=BX$1,[1]!BANCO10[[#This Row],[STATUS DA ETAPA]],"")</f>
        <v/>
      </c>
      <c r="BY678" s="21" t="str">
        <f>IF([1]!BANCO10[[#This Row],[SOLUÇÃO]]=BY$1,[1]!BANCO10[[#This Row],[STATUS DA ETAPA]],"")</f>
        <v/>
      </c>
      <c r="BZ678" s="21" t="str">
        <f>IF([1]!BANCO10[[#This Row],[SOLUÇÃO]]=BZ$1,[1]!BANCO10[[#This Row],[STATUS DA ETAPA]],"")</f>
        <v/>
      </c>
      <c r="CA678" s="21" t="str">
        <f>IF([1]!BANCO10[[#This Row],[SOLUÇÃO]]=CA$1,[1]!BANCO10[[#This Row],[STATUS DA ETAPA]],"")</f>
        <v/>
      </c>
      <c r="CB678" s="21" t="str">
        <f>IF([1]!BANCO10[[#This Row],[SOLUÇÃO]]=CB$1,[1]!BANCO10[[#This Row],[STATUS DA ETAPA]],"")</f>
        <v/>
      </c>
      <c r="CC678" s="21" t="str">
        <f>IF([1]!BANCO10[[#This Row],[SOLUÇÃO]]=CC$1,[1]!BANCO10[[#This Row],[STATUS DA ETAPA]],"")</f>
        <v/>
      </c>
      <c r="CD678" s="21" t="str">
        <f>IF([1]!BANCO10[[#This Row],[SOLUÇÃO]]=CD$1,[1]!BANCO10[[#This Row],[STATUS DA ETAPA]],"")</f>
        <v/>
      </c>
      <c r="CE678" s="21" t="str">
        <f>IF([1]!BANCO10[[#This Row],[SOLUÇÃO]]=CE$1,[1]!BANCO10[[#This Row],[STATUS DA ETAPA]],"")</f>
        <v/>
      </c>
      <c r="CF678" s="21" t="str">
        <f>IF([1]!BANCO10[[#This Row],[SOLUÇÃO]]=CF$1,[1]!BANCO10[[#This Row],[STATUS DA ETAPA]],"")</f>
        <v/>
      </c>
      <c r="CG678" s="21" t="str">
        <f>IF([1]!BANCO10[[#This Row],[SOLUÇÃO]]=CG$1,[1]!BANCO10[[#This Row],[STATUS DA ETAPA]],"")</f>
        <v/>
      </c>
      <c r="CH678" s="21" t="str">
        <f>IF([1]!BANCO10[[#This Row],[SOLUÇÃO]]=CH$1,[1]!BANCO10[[#This Row],[STATUS DA ETAPA]],"")</f>
        <v/>
      </c>
      <c r="CI678" s="21" t="str">
        <f>IF([1]!BANCO10[[#This Row],[SOLUÇÃO]]=CI$1,[1]!BANCO10[[#This Row],[STATUS DA ETAPA]],"")</f>
        <v/>
      </c>
      <c r="CJ678" s="21" t="str">
        <f>IF([1]!BANCO10[[#This Row],[SOLUÇÃO]]=CJ$1,[1]!BANCO10[[#This Row],[STATUS DA ETAPA]],"")</f>
        <v/>
      </c>
      <c r="CK678" s="21" t="str">
        <f>IF([1]!BANCO10[[#This Row],[SOLUÇÃO]]=CK$1,[1]!BANCO10[[#This Row],[STATUS DA ETAPA]],"")</f>
        <v/>
      </c>
      <c r="CL678" s="22" t="str">
        <f>IF([1]!BANCO10[[#This Row],[SOLUÇÃO]]=CL$1,[1]!BANCO10[[#This Row],[STATUS DA ETAPA]],"")</f>
        <v/>
      </c>
      <c r="CM678" s="64" t="str">
        <f>IF([1]!BANCO10[[#This Row],[SOLUÇÃO]]=CM$1,[1]!BANCO10[[#This Row],[STATUS DA ETAPA]],"")</f>
        <v/>
      </c>
      <c r="CN678" s="64" t="str">
        <f>IF([1]!BANCO10[[#This Row],[SOLUÇÃO]]=CN$1,[1]!BANCO10[[#This Row],[STATUS DA ETAPA]],"")</f>
        <v/>
      </c>
      <c r="CO678" s="64" t="str">
        <f>IF([1]!BANCO10[[#This Row],[SOLUÇÃO]]=CO$1,[1]!BANCO10[[#This Row],[STATUS DA ETAPA]],"")</f>
        <v/>
      </c>
      <c r="CP678" s="64" t="str">
        <f>IF([1]!BANCO10[[#This Row],[SOLUÇÃO]]=CP$1,[1]!BANCO10[[#This Row],[STATUS DA ETAPA]],"")</f>
        <v/>
      </c>
      <c r="CQ678" s="64" t="str">
        <f>IF([1]!BANCO10[[#This Row],[SOLUÇÃO]]=CQ$1,[1]!BANCO10[[#This Row],[STATUS DA ETAPA]],"")</f>
        <v/>
      </c>
      <c r="CR678" s="64" t="str">
        <f>IF([1]!BANCO10[[#This Row],[SOLUÇÃO]]=CR$1,[1]!BANCO10[[#This Row],[STATUS DA ETAPA]],"")</f>
        <v/>
      </c>
      <c r="CS678" s="64" t="str">
        <f>IF([1]!BANCO10[[#This Row],[SOLUÇÃO]]=CS$1,[1]!BANCO10[[#This Row],[STATUS DA ETAPA]],"")</f>
        <v/>
      </c>
      <c r="CT678" s="64" t="str">
        <f>IF([1]!BANCO10[[#This Row],[SOLUÇÃO]]=CT$1,[1]!BANCO10[[#This Row],[STATUS DA ETAPA]],"")</f>
        <v/>
      </c>
      <c r="CU678" s="64" t="str">
        <f>IF([1]!BANCO10[[#This Row],[SOLUÇÃO]]=CU$1,[1]!BANCO10[[#This Row],[STATUS DA ETAPA]],"")</f>
        <v/>
      </c>
      <c r="CV678" s="64" t="str">
        <f>IF([1]!BANCO10[[#This Row],[SOLUÇÃO]]=CV$1,[1]!BANCO10[[#This Row],[STATUS DA ETAPA]],"")</f>
        <v/>
      </c>
    </row>
    <row r="679" spans="1:100">
      <c r="A679" s="44" t="s">
        <v>1</v>
      </c>
      <c r="B679" s="44"/>
      <c r="C679" s="44" t="s">
        <v>1</v>
      </c>
      <c r="D679" s="44"/>
      <c r="E679" s="44" t="s">
        <v>1</v>
      </c>
      <c r="F679" s="44"/>
      <c r="G679" s="44" t="s">
        <v>1</v>
      </c>
      <c r="H679" s="44"/>
      <c r="I679" s="45" t="s">
        <v>1</v>
      </c>
      <c r="J679" s="46"/>
      <c r="K679" s="45" t="s">
        <v>1</v>
      </c>
      <c r="L679" s="33"/>
      <c r="M679" s="45" t="s">
        <v>1</v>
      </c>
      <c r="N679" s="33"/>
      <c r="O679" s="44" t="s">
        <v>2</v>
      </c>
      <c r="P679" s="44">
        <v>45153</v>
      </c>
      <c r="Q679" s="44" t="s">
        <v>2</v>
      </c>
      <c r="R679" s="44">
        <v>45376</v>
      </c>
      <c r="S679" s="44" t="s">
        <v>2</v>
      </c>
      <c r="T679" s="44">
        <v>45376</v>
      </c>
      <c r="U679" s="44" t="s">
        <v>2</v>
      </c>
      <c r="V679" s="44">
        <v>45376</v>
      </c>
      <c r="W679" s="44" t="s">
        <v>2</v>
      </c>
      <c r="X679" s="44"/>
      <c r="Y679" s="44"/>
      <c r="Z679" s="44"/>
      <c r="AA679" s="44" t="s">
        <v>2</v>
      </c>
      <c r="AB679" s="44"/>
      <c r="AC679" s="84">
        <v>45441</v>
      </c>
      <c r="AD679" s="83">
        <v>45621</v>
      </c>
      <c r="AE679" s="40" t="s">
        <v>2</v>
      </c>
      <c r="AF679" s="41" t="s">
        <v>2</v>
      </c>
      <c r="AG679" s="40" t="s">
        <v>5</v>
      </c>
      <c r="AH679" s="36" t="s">
        <v>0</v>
      </c>
      <c r="AI679" s="49">
        <v>0</v>
      </c>
      <c r="AJ679" s="36" t="s">
        <v>6</v>
      </c>
      <c r="AK679" s="10"/>
      <c r="AL679" s="36" t="s">
        <v>61</v>
      </c>
      <c r="AM679" s="36"/>
      <c r="AN679" s="35" t="s">
        <v>1</v>
      </c>
      <c r="AO679" s="35" t="s">
        <v>1</v>
      </c>
      <c r="AP679" s="35" t="s">
        <v>2</v>
      </c>
      <c r="AQ679" s="35" t="s">
        <v>1</v>
      </c>
      <c r="AR679" s="33" t="s">
        <v>1</v>
      </c>
      <c r="AS679" s="33"/>
      <c r="AT679" s="30"/>
      <c r="AU679" s="55"/>
      <c r="AV679" s="30"/>
      <c r="AW679" s="55"/>
      <c r="AX679" s="30" t="s">
        <v>2</v>
      </c>
      <c r="AY679" s="55">
        <v>45621</v>
      </c>
      <c r="AZ679" s="30" t="s">
        <v>2</v>
      </c>
      <c r="BA679" s="91">
        <v>45622</v>
      </c>
      <c r="BB679" s="39"/>
      <c r="BC679" s="25"/>
      <c r="BD679" s="24" t="s">
        <v>72</v>
      </c>
      <c r="BE679" s="24" t="s">
        <v>19</v>
      </c>
      <c r="BF679" s="79" t="s">
        <v>51</v>
      </c>
      <c r="BG679" s="79" t="s">
        <v>11</v>
      </c>
      <c r="BH679" s="80" t="s">
        <v>18</v>
      </c>
      <c r="BI679" s="79" t="s">
        <v>51</v>
      </c>
      <c r="BJ679" s="54" t="s">
        <v>11</v>
      </c>
      <c r="BK679" s="78" t="s">
        <v>11</v>
      </c>
      <c r="BL679" s="69">
        <v>45391</v>
      </c>
      <c r="BM679" s="78" t="s">
        <v>18</v>
      </c>
      <c r="BN679" s="78" t="s">
        <v>11</v>
      </c>
      <c r="BO679" s="78"/>
      <c r="BP679" s="78" t="s">
        <v>214</v>
      </c>
      <c r="BQ679" s="21">
        <f>YEAR([1]!BANCO10[[#This Row],[DATA INÍCIO]])</f>
        <v>2024</v>
      </c>
      <c r="BR679" s="21">
        <f>MONTH([1]!BANCO10[[#This Row],[DATA INÍCIO]])</f>
        <v>5</v>
      </c>
      <c r="BS679" s="21" t="e">
        <f>CONCATENATE(#REF!,#REF!)</f>
        <v>#REF!</v>
      </c>
      <c r="BT679" s="21"/>
      <c r="BU679" s="21" t="s">
        <v>213</v>
      </c>
      <c r="BV679" s="21" t="str">
        <f>IF([1]!BANCO10[[#This Row],[SOLUÇÃO]]=BV$1,[1]!BANCO10[[#This Row],[STATUS DA ETAPA]],"")</f>
        <v/>
      </c>
      <c r="BW679" s="21" t="str">
        <f>IF([1]!BANCO10[[#This Row],[SOLUÇÃO]]=BW$1,[1]!BANCO10[[#This Row],[STATUS DA ETAPA]],"")</f>
        <v/>
      </c>
      <c r="BX679" s="21" t="str">
        <f>IF([1]!BANCO10[[#This Row],[SOLUÇÃO]]=BX$1,[1]!BANCO10[[#This Row],[STATUS DA ETAPA]],"")</f>
        <v/>
      </c>
      <c r="BY679" s="21" t="str">
        <f>IF([1]!BANCO10[[#This Row],[SOLUÇÃO]]=BY$1,[1]!BANCO10[[#This Row],[STATUS DA ETAPA]],"")</f>
        <v/>
      </c>
      <c r="BZ679" s="21" t="str">
        <f>IF([1]!BANCO10[[#This Row],[SOLUÇÃO]]=BZ$1,[1]!BANCO10[[#This Row],[STATUS DA ETAPA]],"")</f>
        <v/>
      </c>
      <c r="CA679" s="21" t="str">
        <f>IF([1]!BANCO10[[#This Row],[SOLUÇÃO]]=CA$1,[1]!BANCO10[[#This Row],[STATUS DA ETAPA]],"")</f>
        <v>CONCLUÍDO</v>
      </c>
      <c r="CB679" s="21" t="str">
        <f>IF([1]!BANCO10[[#This Row],[SOLUÇÃO]]=CB$1,[1]!BANCO10[[#This Row],[STATUS DA ETAPA]],"")</f>
        <v/>
      </c>
      <c r="CC679" s="21" t="str">
        <f>IF([1]!BANCO10[[#This Row],[SOLUÇÃO]]=CC$1,[1]!BANCO10[[#This Row],[STATUS DA ETAPA]],"")</f>
        <v/>
      </c>
      <c r="CD679" s="21" t="str">
        <f>IF([1]!BANCO10[[#This Row],[SOLUÇÃO]]=CD$1,[1]!BANCO10[[#This Row],[STATUS DA ETAPA]],"")</f>
        <v/>
      </c>
      <c r="CE679" s="21" t="str">
        <f>IF([1]!BANCO10[[#This Row],[SOLUÇÃO]]=CE$1,[1]!BANCO10[[#This Row],[STATUS DA ETAPA]],"")</f>
        <v/>
      </c>
      <c r="CF679" s="21" t="str">
        <f>IF([1]!BANCO10[[#This Row],[SOLUÇÃO]]=CF$1,[1]!BANCO10[[#This Row],[STATUS DA ETAPA]],"")</f>
        <v/>
      </c>
      <c r="CG679" s="21" t="str">
        <f>IF([1]!BANCO10[[#This Row],[SOLUÇÃO]]=CG$1,[1]!BANCO10[[#This Row],[STATUS DA ETAPA]],"")</f>
        <v/>
      </c>
      <c r="CH679" s="21" t="str">
        <f>IF([1]!BANCO10[[#This Row],[SOLUÇÃO]]=CH$1,[1]!BANCO10[[#This Row],[STATUS DA ETAPA]],"")</f>
        <v/>
      </c>
      <c r="CI679" s="21" t="str">
        <f>IF([1]!BANCO10[[#This Row],[SOLUÇÃO]]=CI$1,[1]!BANCO10[[#This Row],[STATUS DA ETAPA]],"")</f>
        <v/>
      </c>
      <c r="CJ679" s="21" t="str">
        <f>IF([1]!BANCO10[[#This Row],[SOLUÇÃO]]=CJ$1,[1]!BANCO10[[#This Row],[STATUS DA ETAPA]],"")</f>
        <v/>
      </c>
      <c r="CK679" s="21" t="str">
        <f>IF([1]!BANCO10[[#This Row],[SOLUÇÃO]]=CK$1,[1]!BANCO10[[#This Row],[STATUS DA ETAPA]],"")</f>
        <v/>
      </c>
      <c r="CL679" s="22" t="str">
        <f>IF([1]!BANCO10[[#This Row],[SOLUÇÃO]]=CL$1,[1]!BANCO10[[#This Row],[STATUS DA ETAPA]],"")</f>
        <v/>
      </c>
      <c r="CM679" s="64" t="str">
        <f>IF([1]!BANCO10[[#This Row],[SOLUÇÃO]]=CM$1,[1]!BANCO10[[#This Row],[STATUS DA ETAPA]],"")</f>
        <v/>
      </c>
      <c r="CN679" s="64" t="str">
        <f>IF([1]!BANCO10[[#This Row],[SOLUÇÃO]]=CN$1,[1]!BANCO10[[#This Row],[STATUS DA ETAPA]],"")</f>
        <v/>
      </c>
      <c r="CO679" s="64" t="str">
        <f>IF([1]!BANCO10[[#This Row],[SOLUÇÃO]]=CO$1,[1]!BANCO10[[#This Row],[STATUS DA ETAPA]],"")</f>
        <v/>
      </c>
      <c r="CP679" s="64" t="str">
        <f>IF([1]!BANCO10[[#This Row],[SOLUÇÃO]]=CP$1,[1]!BANCO10[[#This Row],[STATUS DA ETAPA]],"")</f>
        <v/>
      </c>
      <c r="CQ679" s="64" t="str">
        <f>IF([1]!BANCO10[[#This Row],[SOLUÇÃO]]=CQ$1,[1]!BANCO10[[#This Row],[STATUS DA ETAPA]],"")</f>
        <v/>
      </c>
      <c r="CR679" s="64" t="str">
        <f>IF([1]!BANCO10[[#This Row],[SOLUÇÃO]]=CR$1,[1]!BANCO10[[#This Row],[STATUS DA ETAPA]],"")</f>
        <v/>
      </c>
      <c r="CS679" s="64" t="str">
        <f>IF([1]!BANCO10[[#This Row],[SOLUÇÃO]]=CS$1,[1]!BANCO10[[#This Row],[STATUS DA ETAPA]],"")</f>
        <v/>
      </c>
      <c r="CT679" s="64" t="str">
        <f>IF([1]!BANCO10[[#This Row],[SOLUÇÃO]]=CT$1,[1]!BANCO10[[#This Row],[STATUS DA ETAPA]],"")</f>
        <v/>
      </c>
      <c r="CU679" s="64" t="str">
        <f>IF([1]!BANCO10[[#This Row],[SOLUÇÃO]]=CU$1,[1]!BANCO10[[#This Row],[STATUS DA ETAPA]],"")</f>
        <v/>
      </c>
      <c r="CV679" s="64" t="str">
        <f>IF([1]!BANCO10[[#This Row],[SOLUÇÃO]]=CV$1,[1]!BANCO10[[#This Row],[STATUS DA ETAPA]],"")</f>
        <v/>
      </c>
    </row>
    <row r="680" spans="1:100">
      <c r="A680" s="44" t="s">
        <v>1</v>
      </c>
      <c r="B680" s="44"/>
      <c r="C680" s="44" t="s">
        <v>1</v>
      </c>
      <c r="D680" s="44"/>
      <c r="E680" s="44" t="s">
        <v>1</v>
      </c>
      <c r="F680" s="44"/>
      <c r="G680" s="44" t="s">
        <v>1</v>
      </c>
      <c r="H680" s="44"/>
      <c r="I680" s="45" t="s">
        <v>1</v>
      </c>
      <c r="J680" s="46"/>
      <c r="K680" s="45" t="s">
        <v>1</v>
      </c>
      <c r="L680" s="33"/>
      <c r="M680" s="45" t="s">
        <v>1</v>
      </c>
      <c r="N680" s="33"/>
      <c r="O680" s="44" t="s">
        <v>1</v>
      </c>
      <c r="P680" s="44"/>
      <c r="Q680" s="44" t="s">
        <v>1</v>
      </c>
      <c r="R680" s="44"/>
      <c r="S680" s="44" t="s">
        <v>1</v>
      </c>
      <c r="T680" s="44"/>
      <c r="U680" s="44" t="s">
        <v>2</v>
      </c>
      <c r="V680" s="44">
        <v>45617</v>
      </c>
      <c r="W680" s="44" t="s">
        <v>2</v>
      </c>
      <c r="X680" s="44">
        <v>45617</v>
      </c>
      <c r="Y680" s="44" t="s">
        <v>2</v>
      </c>
      <c r="Z680" s="44">
        <v>45617</v>
      </c>
      <c r="AA680" s="44" t="s">
        <v>2</v>
      </c>
      <c r="AB680" s="44">
        <v>45589</v>
      </c>
      <c r="AC680" s="84">
        <v>45635</v>
      </c>
      <c r="AD680" s="83">
        <v>45761</v>
      </c>
      <c r="AE680" s="41" t="s">
        <v>2</v>
      </c>
      <c r="AF680" s="41" t="s">
        <v>2</v>
      </c>
      <c r="AG680" s="76" t="s">
        <v>4</v>
      </c>
      <c r="AH680" s="36" t="s">
        <v>0</v>
      </c>
      <c r="AI680" s="49">
        <v>0</v>
      </c>
      <c r="AJ680" s="36" t="s">
        <v>6</v>
      </c>
      <c r="AK680" s="10" t="s">
        <v>212</v>
      </c>
      <c r="AL680" s="36" t="s">
        <v>182</v>
      </c>
      <c r="AM680" s="36" t="s">
        <v>211</v>
      </c>
      <c r="AN680" s="35" t="s">
        <v>1</v>
      </c>
      <c r="AO680" s="35" t="s">
        <v>1</v>
      </c>
      <c r="AP680" s="35" t="s">
        <v>2</v>
      </c>
      <c r="AQ680" s="35" t="s">
        <v>1</v>
      </c>
      <c r="AR680" s="33" t="s">
        <v>1</v>
      </c>
      <c r="AS680" s="33"/>
      <c r="AT680" s="32" t="s">
        <v>2</v>
      </c>
      <c r="AU680" s="31">
        <v>45771</v>
      </c>
      <c r="AV680" s="32" t="s">
        <v>2</v>
      </c>
      <c r="AW680" s="31">
        <v>45406</v>
      </c>
      <c r="AX680" s="30" t="s">
        <v>2</v>
      </c>
      <c r="AY680" s="29">
        <v>45771</v>
      </c>
      <c r="AZ680" s="28" t="s">
        <v>0</v>
      </c>
      <c r="BA680" s="81"/>
      <c r="BB680" s="95"/>
      <c r="BC680" s="25" t="s">
        <v>162</v>
      </c>
      <c r="BD680" s="24"/>
      <c r="BE680" s="24"/>
      <c r="BF680" s="79"/>
      <c r="BG680" s="79"/>
      <c r="BH680" s="80"/>
      <c r="BI680" s="79"/>
      <c r="BJ680" s="54"/>
      <c r="BK680" s="78"/>
      <c r="BL680" s="69"/>
      <c r="BM680" s="78"/>
      <c r="BN680" s="78"/>
      <c r="BO680" s="78"/>
      <c r="BP680" s="78"/>
      <c r="BQ680" s="21">
        <f>YEAR([1]!BANCO10[[#This Row],[DATA INÍCIO]])</f>
        <v>2024</v>
      </c>
      <c r="BR680" s="21">
        <f>MONTH([1]!BANCO10[[#This Row],[DATA INÍCIO]])</f>
        <v>12</v>
      </c>
      <c r="BS680" s="21" t="e">
        <f>CONCATENATE(#REF!,#REF!)</f>
        <v>#REF!</v>
      </c>
      <c r="BT680" s="21"/>
      <c r="BU680" s="21"/>
      <c r="BV680" s="21" t="str">
        <f>IF([1]!BANCO10[[#This Row],[SOLUÇÃO]]=BV$1,[1]!BANCO10[[#This Row],[STATUS DA ETAPA]],"")</f>
        <v/>
      </c>
      <c r="BW680" s="21" t="str">
        <f>IF([1]!BANCO10[[#This Row],[SOLUÇÃO]]=BW$1,[1]!BANCO10[[#This Row],[STATUS DA ETAPA]],"")</f>
        <v/>
      </c>
      <c r="BX680" s="21" t="str">
        <f>IF([1]!BANCO10[[#This Row],[SOLUÇÃO]]=BX$1,[1]!BANCO10[[#This Row],[STATUS DA ETAPA]],"")</f>
        <v>CONCLUÍDO</v>
      </c>
      <c r="BY680" s="21" t="str">
        <f>IF([1]!BANCO10[[#This Row],[SOLUÇÃO]]=BY$1,[1]!BANCO10[[#This Row],[STATUS DA ETAPA]],"")</f>
        <v/>
      </c>
      <c r="BZ680" s="21" t="str">
        <f>IF([1]!BANCO10[[#This Row],[SOLUÇÃO]]=BZ$1,[1]!BANCO10[[#This Row],[STATUS DA ETAPA]],"")</f>
        <v/>
      </c>
      <c r="CA680" s="21" t="str">
        <f>IF([1]!BANCO10[[#This Row],[SOLUÇÃO]]=CA$1,[1]!BANCO10[[#This Row],[STATUS DA ETAPA]],"")</f>
        <v/>
      </c>
      <c r="CB680" s="21" t="str">
        <f>IF([1]!BANCO10[[#This Row],[SOLUÇÃO]]=CB$1,[1]!BANCO10[[#This Row],[STATUS DA ETAPA]],"")</f>
        <v/>
      </c>
      <c r="CC680" s="21" t="str">
        <f>IF([1]!BANCO10[[#This Row],[SOLUÇÃO]]=CC$1,[1]!BANCO10[[#This Row],[STATUS DA ETAPA]],"")</f>
        <v/>
      </c>
      <c r="CD680" s="21" t="str">
        <f>IF([1]!BANCO10[[#This Row],[SOLUÇÃO]]=CD$1,[1]!BANCO10[[#This Row],[STATUS DA ETAPA]],"")</f>
        <v/>
      </c>
      <c r="CE680" s="21" t="str">
        <f>IF([1]!BANCO10[[#This Row],[SOLUÇÃO]]=CE$1,[1]!BANCO10[[#This Row],[STATUS DA ETAPA]],"")</f>
        <v/>
      </c>
      <c r="CF680" s="21" t="str">
        <f>IF([1]!BANCO10[[#This Row],[SOLUÇÃO]]=CF$1,[1]!BANCO10[[#This Row],[STATUS DA ETAPA]],"")</f>
        <v/>
      </c>
      <c r="CG680" s="21" t="str">
        <f>IF([1]!BANCO10[[#This Row],[SOLUÇÃO]]=CG$1,[1]!BANCO10[[#This Row],[STATUS DA ETAPA]],"")</f>
        <v/>
      </c>
      <c r="CH680" s="21" t="str">
        <f>IF([1]!BANCO10[[#This Row],[SOLUÇÃO]]=CH$1,[1]!BANCO10[[#This Row],[STATUS DA ETAPA]],"")</f>
        <v/>
      </c>
      <c r="CI680" s="21" t="str">
        <f>IF([1]!BANCO10[[#This Row],[SOLUÇÃO]]=CI$1,[1]!BANCO10[[#This Row],[STATUS DA ETAPA]],"")</f>
        <v/>
      </c>
      <c r="CJ680" s="21" t="str">
        <f>IF([1]!BANCO10[[#This Row],[SOLUÇÃO]]=CJ$1,[1]!BANCO10[[#This Row],[STATUS DA ETAPA]],"")</f>
        <v/>
      </c>
      <c r="CK680" s="21" t="str">
        <f>IF([1]!BANCO10[[#This Row],[SOLUÇÃO]]=CK$1,[1]!BANCO10[[#This Row],[STATUS DA ETAPA]],"")</f>
        <v/>
      </c>
      <c r="CL680" s="22" t="str">
        <f>IF([1]!BANCO10[[#This Row],[SOLUÇÃO]]=CL$1,[1]!BANCO10[[#This Row],[STATUS DA ETAPA]],"")</f>
        <v/>
      </c>
      <c r="CM680" s="64" t="str">
        <f>IF([1]!BANCO10[[#This Row],[SOLUÇÃO]]=CM$1,[1]!BANCO10[[#This Row],[STATUS DA ETAPA]],"")</f>
        <v/>
      </c>
      <c r="CN680" s="64" t="str">
        <f>IF([1]!BANCO10[[#This Row],[SOLUÇÃO]]=CN$1,[1]!BANCO10[[#This Row],[STATUS DA ETAPA]],"")</f>
        <v/>
      </c>
      <c r="CO680" s="64" t="str">
        <f>IF([1]!BANCO10[[#This Row],[SOLUÇÃO]]=CO$1,[1]!BANCO10[[#This Row],[STATUS DA ETAPA]],"")</f>
        <v/>
      </c>
      <c r="CP680" s="64" t="str">
        <f>IF([1]!BANCO10[[#This Row],[SOLUÇÃO]]=CP$1,[1]!BANCO10[[#This Row],[STATUS DA ETAPA]],"")</f>
        <v/>
      </c>
      <c r="CQ680" s="64" t="str">
        <f>IF([1]!BANCO10[[#This Row],[SOLUÇÃO]]=CQ$1,[1]!BANCO10[[#This Row],[STATUS DA ETAPA]],"")</f>
        <v/>
      </c>
      <c r="CR680" s="64" t="str">
        <f>IF([1]!BANCO10[[#This Row],[SOLUÇÃO]]=CR$1,[1]!BANCO10[[#This Row],[STATUS DA ETAPA]],"")</f>
        <v/>
      </c>
      <c r="CS680" s="64" t="str">
        <f>IF([1]!BANCO10[[#This Row],[SOLUÇÃO]]=CS$1,[1]!BANCO10[[#This Row],[STATUS DA ETAPA]],"")</f>
        <v/>
      </c>
      <c r="CT680" s="64" t="str">
        <f>IF([1]!BANCO10[[#This Row],[SOLUÇÃO]]=CT$1,[1]!BANCO10[[#This Row],[STATUS DA ETAPA]],"")</f>
        <v/>
      </c>
      <c r="CU680" s="64" t="str">
        <f>IF([1]!BANCO10[[#This Row],[SOLUÇÃO]]=CU$1,[1]!BANCO10[[#This Row],[STATUS DA ETAPA]],"")</f>
        <v/>
      </c>
      <c r="CV680" s="64" t="str">
        <f>IF([1]!BANCO10[[#This Row],[SOLUÇÃO]]=CV$1,[1]!BANCO10[[#This Row],[STATUS DA ETAPA]],"")</f>
        <v/>
      </c>
    </row>
    <row r="681" spans="1:100">
      <c r="A681" s="44" t="s">
        <v>2</v>
      </c>
      <c r="B681" s="44">
        <v>45756</v>
      </c>
      <c r="C681" s="44" t="s">
        <v>2</v>
      </c>
      <c r="D681" s="44">
        <v>45756</v>
      </c>
      <c r="E681" s="44" t="s">
        <v>2</v>
      </c>
      <c r="F681" s="44">
        <v>45756</v>
      </c>
      <c r="G681" s="44" t="s">
        <v>2</v>
      </c>
      <c r="H681" s="44">
        <v>45756</v>
      </c>
      <c r="I681" s="45" t="s">
        <v>2</v>
      </c>
      <c r="J681" s="46"/>
      <c r="K681" s="45" t="s">
        <v>0</v>
      </c>
      <c r="L681" s="33"/>
      <c r="M681" s="45" t="s">
        <v>0</v>
      </c>
      <c r="N681" s="33"/>
      <c r="O681" s="44" t="s">
        <v>1</v>
      </c>
      <c r="P681" s="44"/>
      <c r="Q681" s="44" t="s">
        <v>1</v>
      </c>
      <c r="R681" s="44"/>
      <c r="S681" s="44" t="s">
        <v>2</v>
      </c>
      <c r="T681" s="44">
        <v>45708</v>
      </c>
      <c r="U681" s="44" t="s">
        <v>1</v>
      </c>
      <c r="V681" s="44"/>
      <c r="W681" s="44" t="s">
        <v>1</v>
      </c>
      <c r="X681" s="44"/>
      <c r="Y681" s="44" t="s">
        <v>1</v>
      </c>
      <c r="Z681" s="44"/>
      <c r="AA681" s="44" t="s">
        <v>1</v>
      </c>
      <c r="AB681" s="44"/>
      <c r="AC681" s="51">
        <v>46022</v>
      </c>
      <c r="AD681" s="50">
        <v>46022</v>
      </c>
      <c r="AE681" s="41" t="s">
        <v>0</v>
      </c>
      <c r="AF681" s="41" t="s">
        <v>0</v>
      </c>
      <c r="AG681" s="40" t="s">
        <v>5</v>
      </c>
      <c r="AH681" s="36" t="s">
        <v>0</v>
      </c>
      <c r="AI681" s="49">
        <v>14440</v>
      </c>
      <c r="AJ681" s="36" t="s">
        <v>3</v>
      </c>
      <c r="AK681" s="21" t="s">
        <v>1</v>
      </c>
      <c r="AL681" s="36" t="s">
        <v>1</v>
      </c>
      <c r="AM681" s="36" t="s">
        <v>1</v>
      </c>
      <c r="AN681" s="35" t="s">
        <v>0</v>
      </c>
      <c r="AO681" s="35" t="s">
        <v>0</v>
      </c>
      <c r="AP681" s="35" t="s">
        <v>0</v>
      </c>
      <c r="AQ681" s="35" t="s">
        <v>0</v>
      </c>
      <c r="AR681" s="33" t="s">
        <v>0</v>
      </c>
      <c r="AS681" s="33"/>
      <c r="AT681" s="32" t="s">
        <v>0</v>
      </c>
      <c r="AU681" s="31"/>
      <c r="AV681" s="32" t="s">
        <v>0</v>
      </c>
      <c r="AW681" s="31"/>
      <c r="AX681" s="32" t="s">
        <v>0</v>
      </c>
      <c r="AY681" s="31"/>
      <c r="AZ681" s="32" t="s">
        <v>0</v>
      </c>
      <c r="BA681" s="47"/>
      <c r="BB681" s="26" t="s">
        <v>7</v>
      </c>
      <c r="BC681" s="25"/>
      <c r="BD681" s="24"/>
      <c r="BE681" s="24"/>
      <c r="BF681" s="24"/>
      <c r="BG681" s="24"/>
      <c r="BH681" s="24"/>
      <c r="BI681" s="24"/>
      <c r="BJ681" s="24"/>
      <c r="BK681" s="24"/>
      <c r="BL681" s="24"/>
      <c r="BM681" s="24"/>
      <c r="BN681" s="24"/>
      <c r="BO681" s="24"/>
      <c r="BP681" s="24"/>
      <c r="BQ681" s="22">
        <f>YEAR([1]!BANCO10[[#This Row],[DATA INÍCIO]])</f>
        <v>2025</v>
      </c>
      <c r="BR681" s="22">
        <f>MONTH([1]!BANCO10[[#This Row],[DATA INÍCIO]])</f>
        <v>12</v>
      </c>
      <c r="BS681" s="23" t="e">
        <f>CONCATENATE(#REF!,#REF!)</f>
        <v>#REF!</v>
      </c>
      <c r="BT681" s="22"/>
      <c r="BU681" s="22"/>
      <c r="BV681" s="21" t="str">
        <f>IF([1]!BANCO10[[#This Row],[SOLUÇÃO]]=BV$1,[1]!BANCO10[[#This Row],[STATUS DA ETAPA]],"")</f>
        <v/>
      </c>
      <c r="BW681" s="21" t="str">
        <f>IF([1]!BANCO10[[#This Row],[SOLUÇÃO]]=BW$1,[1]!BANCO10[[#This Row],[STATUS DA ETAPA]],"")</f>
        <v/>
      </c>
      <c r="BX681" s="21" t="str">
        <f>IF([1]!BANCO10[[#This Row],[SOLUÇÃO]]=BX$1,[1]!BANCO10[[#This Row],[STATUS DA ETAPA]],"")</f>
        <v/>
      </c>
      <c r="BY681" s="21" t="str">
        <f>IF([1]!BANCO10[[#This Row],[SOLUÇÃO]]=BY$1,[1]!BANCO10[[#This Row],[STATUS DA ETAPA]],"")</f>
        <v/>
      </c>
      <c r="BZ681" s="21" t="str">
        <f>IF([1]!BANCO10[[#This Row],[SOLUÇÃO]]=BZ$1,[1]!BANCO10[[#This Row],[STATUS DA ETAPA]],"")</f>
        <v/>
      </c>
      <c r="CA681" s="21" t="str">
        <f>IF([1]!BANCO10[[#This Row],[SOLUÇÃO]]=CA$1,[1]!BANCO10[[#This Row],[STATUS DA ETAPA]],"")</f>
        <v/>
      </c>
      <c r="CB681" s="21" t="str">
        <f>IF([1]!BANCO10[[#This Row],[SOLUÇÃO]]=CB$1,[1]!BANCO10[[#This Row],[STATUS DA ETAPA]],"")</f>
        <v>AGUARDANDO SALDO</v>
      </c>
      <c r="CC681" s="21" t="str">
        <f>IF([1]!BANCO10[[#This Row],[SOLUÇÃO]]=CC$1,[1]!BANCO10[[#This Row],[STATUS DA ETAPA]],"")</f>
        <v/>
      </c>
      <c r="CD681" s="21" t="str">
        <f>IF([1]!BANCO10[[#This Row],[SOLUÇÃO]]=CD$1,[1]!BANCO10[[#This Row],[STATUS DA ETAPA]],"")</f>
        <v/>
      </c>
      <c r="CE681" s="21" t="str">
        <f>IF([1]!BANCO10[[#This Row],[SOLUÇÃO]]=CE$1,[1]!BANCO10[[#This Row],[STATUS DA ETAPA]],"")</f>
        <v/>
      </c>
      <c r="CF681" s="21" t="str">
        <f>IF([1]!BANCO10[[#This Row],[SOLUÇÃO]]=CF$1,[1]!BANCO10[[#This Row],[STATUS DA ETAPA]],"")</f>
        <v/>
      </c>
      <c r="CG681" s="21" t="str">
        <f>IF([1]!BANCO10[[#This Row],[SOLUÇÃO]]=CG$1,[1]!BANCO10[[#This Row],[STATUS DA ETAPA]],"")</f>
        <v/>
      </c>
      <c r="CH681" s="21" t="str">
        <f>IF([1]!BANCO10[[#This Row],[SOLUÇÃO]]=CH$1,[1]!BANCO10[[#This Row],[STATUS DA ETAPA]],"")</f>
        <v/>
      </c>
      <c r="CI681" s="21" t="str">
        <f>IF([1]!BANCO10[[#This Row],[SOLUÇÃO]]=CI$1,[1]!BANCO10[[#This Row],[STATUS DA ETAPA]],"")</f>
        <v/>
      </c>
      <c r="CJ681" s="21" t="str">
        <f>IF([1]!BANCO10[[#This Row],[SOLUÇÃO]]=CJ$1,[1]!BANCO10[[#This Row],[STATUS DA ETAPA]],"")</f>
        <v/>
      </c>
      <c r="CK681" s="21" t="str">
        <f>IF([1]!BANCO10[[#This Row],[SOLUÇÃO]]=CK$1,[1]!BANCO10[[#This Row],[STATUS DA ETAPA]],"")</f>
        <v/>
      </c>
      <c r="CL681" s="21" t="str">
        <f>IF([1]!BANCO10[[#This Row],[SOLUÇÃO]]=CL$1,[1]!BANCO10[[#This Row],[STATUS DA ETAPA]],"")</f>
        <v/>
      </c>
      <c r="CM681" s="21" t="str">
        <f>IF([1]!BANCO10[[#This Row],[SOLUÇÃO]]=CM$1,[1]!BANCO10[[#This Row],[STATUS DA ETAPA]],"")</f>
        <v/>
      </c>
      <c r="CN681" s="21" t="str">
        <f>IF([1]!BANCO10[[#This Row],[SOLUÇÃO]]=CN$1,[1]!BANCO10[[#This Row],[STATUS DA ETAPA]],"")</f>
        <v/>
      </c>
      <c r="CO681" s="21" t="str">
        <f>IF([1]!BANCO10[[#This Row],[SOLUÇÃO]]=CO$1,[1]!BANCO10[[#This Row],[STATUS DA ETAPA]],"")</f>
        <v/>
      </c>
      <c r="CP681" s="21" t="str">
        <f>IF([1]!BANCO10[[#This Row],[SOLUÇÃO]]=CP$1,[1]!BANCO10[[#This Row],[STATUS DA ETAPA]],"")</f>
        <v/>
      </c>
      <c r="CQ681" s="21" t="str">
        <f>IF([1]!BANCO10[[#This Row],[SOLUÇÃO]]=CQ$1,[1]!BANCO10[[#This Row],[STATUS DA ETAPA]],"")</f>
        <v/>
      </c>
      <c r="CR681" s="21" t="str">
        <f>IF([1]!BANCO10[[#This Row],[SOLUÇÃO]]=CR$1,[1]!BANCO10[[#This Row],[STATUS DA ETAPA]],"")</f>
        <v/>
      </c>
      <c r="CS681" s="21" t="str">
        <f>IF([1]!BANCO10[[#This Row],[SOLUÇÃO]]=CS$1,[1]!BANCO10[[#This Row],[STATUS DA ETAPA]],"")</f>
        <v/>
      </c>
      <c r="CT681" s="21" t="str">
        <f>IF([1]!BANCO10[[#This Row],[SOLUÇÃO]]=CT$1,[1]!BANCO10[[#This Row],[STATUS DA ETAPA]],"")</f>
        <v/>
      </c>
      <c r="CU681" s="21" t="str">
        <f>IF([1]!BANCO10[[#This Row],[SOLUÇÃO]]=CU$1,[1]!BANCO10[[#This Row],[STATUS DA ETAPA]],"")</f>
        <v/>
      </c>
      <c r="CV681" s="21" t="str">
        <f>IF([1]!BANCO10[[#This Row],[SOLUÇÃO]]=CV$1,[1]!BANCO10[[#This Row],[STATUS DA ETAPA]],"")</f>
        <v/>
      </c>
    </row>
    <row r="682" spans="1:100">
      <c r="A682" s="44" t="s">
        <v>1</v>
      </c>
      <c r="B682" s="44"/>
      <c r="C682" s="44" t="s">
        <v>1</v>
      </c>
      <c r="D682" s="44"/>
      <c r="E682" s="44" t="s">
        <v>1</v>
      </c>
      <c r="F682" s="44"/>
      <c r="G682" s="44" t="s">
        <v>1</v>
      </c>
      <c r="H682" s="44"/>
      <c r="I682" s="45" t="s">
        <v>1</v>
      </c>
      <c r="J682" s="46"/>
      <c r="K682" s="45" t="s">
        <v>1</v>
      </c>
      <c r="L682" s="33"/>
      <c r="M682" s="45" t="s">
        <v>1</v>
      </c>
      <c r="N682" s="33"/>
      <c r="O682" s="44" t="s">
        <v>1</v>
      </c>
      <c r="P682" s="44"/>
      <c r="Q682" s="44" t="s">
        <v>1</v>
      </c>
      <c r="R682" s="44"/>
      <c r="S682" s="44" t="s">
        <v>1</v>
      </c>
      <c r="T682" s="44"/>
      <c r="U682" s="44" t="s">
        <v>1</v>
      </c>
      <c r="V682" s="44"/>
      <c r="W682" s="44" t="s">
        <v>1</v>
      </c>
      <c r="X682" s="44"/>
      <c r="Y682" s="44" t="s">
        <v>1</v>
      </c>
      <c r="Z682" s="44"/>
      <c r="AA682" s="44" t="s">
        <v>1</v>
      </c>
      <c r="AB682" s="44"/>
      <c r="AC682" s="84">
        <v>45455</v>
      </c>
      <c r="AD682" s="83">
        <v>45455</v>
      </c>
      <c r="AE682" s="40" t="s">
        <v>1</v>
      </c>
      <c r="AF682" s="40" t="s">
        <v>1</v>
      </c>
      <c r="AG682" s="76" t="s">
        <v>5</v>
      </c>
      <c r="AH682" s="36" t="s">
        <v>1</v>
      </c>
      <c r="AI682" s="49">
        <v>0</v>
      </c>
      <c r="AJ682" s="36" t="s">
        <v>1</v>
      </c>
      <c r="AK682" s="10" t="s">
        <v>1</v>
      </c>
      <c r="AL682" s="36" t="s">
        <v>1</v>
      </c>
      <c r="AM682" s="36" t="s">
        <v>1</v>
      </c>
      <c r="AN682" s="35" t="s">
        <v>1</v>
      </c>
      <c r="AO682" s="35" t="s">
        <v>1</v>
      </c>
      <c r="AP682" s="35" t="s">
        <v>1</v>
      </c>
      <c r="AQ682" s="35" t="s">
        <v>1</v>
      </c>
      <c r="AR682" s="48" t="s">
        <v>1</v>
      </c>
      <c r="AS682" s="33"/>
      <c r="AT682" s="30"/>
      <c r="AU682" s="55"/>
      <c r="AV682" s="30"/>
      <c r="AW682" s="55"/>
      <c r="AX682" s="30" t="s">
        <v>1</v>
      </c>
      <c r="AY682" s="55"/>
      <c r="AZ682" s="30" t="s">
        <v>1</v>
      </c>
      <c r="BA682" s="91"/>
      <c r="BB682" s="39" t="s">
        <v>209</v>
      </c>
      <c r="BC682" s="25"/>
      <c r="BD682" s="24"/>
      <c r="BE682" s="24"/>
      <c r="BF682" s="79"/>
      <c r="BG682" s="79"/>
      <c r="BH682" s="80"/>
      <c r="BI682" s="79"/>
      <c r="BJ682" s="54"/>
      <c r="BK682" s="78"/>
      <c r="BL682" s="69"/>
      <c r="BM682" s="78"/>
      <c r="BN682" s="78"/>
      <c r="BO682" s="78"/>
      <c r="BP682" s="78"/>
      <c r="BQ682" s="21">
        <f>YEAR([1]!BANCO10[[#This Row],[DATA INÍCIO]])</f>
        <v>2024</v>
      </c>
      <c r="BR682" s="21">
        <f>MONTH([1]!BANCO10[[#This Row],[DATA INÍCIO]])</f>
        <v>6</v>
      </c>
      <c r="BS682" s="21" t="e">
        <f>CONCATENATE(#REF!,#REF!)</f>
        <v>#REF!</v>
      </c>
      <c r="BT682" s="21"/>
      <c r="BU682" s="21" t="s">
        <v>210</v>
      </c>
      <c r="BV682" s="21" t="str">
        <f>IF([1]!BANCO10[[#This Row],[SOLUÇÃO]]=BV$1,[1]!BANCO10[[#This Row],[STATUS DA ETAPA]],"")</f>
        <v>CONCLUÍDO</v>
      </c>
      <c r="BW682" s="21" t="str">
        <f>IF([1]!BANCO10[[#This Row],[SOLUÇÃO]]=BW$1,[1]!BANCO10[[#This Row],[STATUS DA ETAPA]],"")</f>
        <v/>
      </c>
      <c r="BX682" s="21" t="str">
        <f>IF([1]!BANCO10[[#This Row],[SOLUÇÃO]]=BX$1,[1]!BANCO10[[#This Row],[STATUS DA ETAPA]],"")</f>
        <v/>
      </c>
      <c r="BY682" s="21" t="str">
        <f>IF([1]!BANCO10[[#This Row],[SOLUÇÃO]]=BY$1,[1]!BANCO10[[#This Row],[STATUS DA ETAPA]],"")</f>
        <v/>
      </c>
      <c r="BZ682" s="21" t="str">
        <f>IF([1]!BANCO10[[#This Row],[SOLUÇÃO]]=BZ$1,[1]!BANCO10[[#This Row],[STATUS DA ETAPA]],"")</f>
        <v/>
      </c>
      <c r="CA682" s="21" t="str">
        <f>IF([1]!BANCO10[[#This Row],[SOLUÇÃO]]=CA$1,[1]!BANCO10[[#This Row],[STATUS DA ETAPA]],"")</f>
        <v/>
      </c>
      <c r="CB682" s="21" t="str">
        <f>IF([1]!BANCO10[[#This Row],[SOLUÇÃO]]=CB$1,[1]!BANCO10[[#This Row],[STATUS DA ETAPA]],"")</f>
        <v/>
      </c>
      <c r="CC682" s="21" t="str">
        <f>IF([1]!BANCO10[[#This Row],[SOLUÇÃO]]=CC$1,[1]!BANCO10[[#This Row],[STATUS DA ETAPA]],"")</f>
        <v/>
      </c>
      <c r="CD682" s="21" t="str">
        <f>IF([1]!BANCO10[[#This Row],[SOLUÇÃO]]=CD$1,[1]!BANCO10[[#This Row],[STATUS DA ETAPA]],"")</f>
        <v/>
      </c>
      <c r="CE682" s="21" t="str">
        <f>IF([1]!BANCO10[[#This Row],[SOLUÇÃO]]=CE$1,[1]!BANCO10[[#This Row],[STATUS DA ETAPA]],"")</f>
        <v/>
      </c>
      <c r="CF682" s="21" t="str">
        <f>IF([1]!BANCO10[[#This Row],[SOLUÇÃO]]=CF$1,[1]!BANCO10[[#This Row],[STATUS DA ETAPA]],"")</f>
        <v/>
      </c>
      <c r="CG682" s="21" t="str">
        <f>IF([1]!BANCO10[[#This Row],[SOLUÇÃO]]=CG$1,[1]!BANCO10[[#This Row],[STATUS DA ETAPA]],"")</f>
        <v/>
      </c>
      <c r="CH682" s="21" t="str">
        <f>IF([1]!BANCO10[[#This Row],[SOLUÇÃO]]=CH$1,[1]!BANCO10[[#This Row],[STATUS DA ETAPA]],"")</f>
        <v/>
      </c>
      <c r="CI682" s="21" t="str">
        <f>IF([1]!BANCO10[[#This Row],[SOLUÇÃO]]=CI$1,[1]!BANCO10[[#This Row],[STATUS DA ETAPA]],"")</f>
        <v/>
      </c>
      <c r="CJ682" s="21" t="str">
        <f>IF([1]!BANCO10[[#This Row],[SOLUÇÃO]]=CJ$1,[1]!BANCO10[[#This Row],[STATUS DA ETAPA]],"")</f>
        <v/>
      </c>
      <c r="CK682" s="21" t="str">
        <f>IF([1]!BANCO10[[#This Row],[SOLUÇÃO]]=CK$1,[1]!BANCO10[[#This Row],[STATUS DA ETAPA]],"")</f>
        <v/>
      </c>
      <c r="CL682" s="22" t="str">
        <f>IF([1]!BANCO10[[#This Row],[SOLUÇÃO]]=CL$1,[1]!BANCO10[[#This Row],[STATUS DA ETAPA]],"")</f>
        <v/>
      </c>
      <c r="CM682" s="64" t="str">
        <f>IF([1]!BANCO10[[#This Row],[SOLUÇÃO]]=CM$1,[1]!BANCO10[[#This Row],[STATUS DA ETAPA]],"")</f>
        <v/>
      </c>
      <c r="CN682" s="64" t="str">
        <f>IF([1]!BANCO10[[#This Row],[SOLUÇÃO]]=CN$1,[1]!BANCO10[[#This Row],[STATUS DA ETAPA]],"")</f>
        <v/>
      </c>
      <c r="CO682" s="64" t="str">
        <f>IF([1]!BANCO10[[#This Row],[SOLUÇÃO]]=CO$1,[1]!BANCO10[[#This Row],[STATUS DA ETAPA]],"")</f>
        <v/>
      </c>
      <c r="CP682" s="64" t="str">
        <f>IF([1]!BANCO10[[#This Row],[SOLUÇÃO]]=CP$1,[1]!BANCO10[[#This Row],[STATUS DA ETAPA]],"")</f>
        <v/>
      </c>
      <c r="CQ682" s="64" t="str">
        <f>IF([1]!BANCO10[[#This Row],[SOLUÇÃO]]=CQ$1,[1]!BANCO10[[#This Row],[STATUS DA ETAPA]],"")</f>
        <v/>
      </c>
      <c r="CR682" s="64" t="str">
        <f>IF([1]!BANCO10[[#This Row],[SOLUÇÃO]]=CR$1,[1]!BANCO10[[#This Row],[STATUS DA ETAPA]],"")</f>
        <v/>
      </c>
      <c r="CS682" s="64" t="str">
        <f>IF([1]!BANCO10[[#This Row],[SOLUÇÃO]]=CS$1,[1]!BANCO10[[#This Row],[STATUS DA ETAPA]],"")</f>
        <v/>
      </c>
      <c r="CT682" s="64" t="str">
        <f>IF([1]!BANCO10[[#This Row],[SOLUÇÃO]]=CT$1,[1]!BANCO10[[#This Row],[STATUS DA ETAPA]],"")</f>
        <v/>
      </c>
      <c r="CU682" s="64" t="str">
        <f>IF([1]!BANCO10[[#This Row],[SOLUÇÃO]]=CU$1,[1]!BANCO10[[#This Row],[STATUS DA ETAPA]],"")</f>
        <v/>
      </c>
      <c r="CV682" s="64" t="str">
        <f>IF([1]!BANCO10[[#This Row],[SOLUÇÃO]]=CV$1,[1]!BANCO10[[#This Row],[STATUS DA ETAPA]],"")</f>
        <v/>
      </c>
    </row>
    <row r="683" spans="1:100">
      <c r="A683" s="44" t="s">
        <v>1</v>
      </c>
      <c r="B683" s="44"/>
      <c r="C683" s="44" t="s">
        <v>1</v>
      </c>
      <c r="D683" s="44"/>
      <c r="E683" s="44" t="s">
        <v>1</v>
      </c>
      <c r="F683" s="44"/>
      <c r="G683" s="44" t="s">
        <v>1</v>
      </c>
      <c r="H683" s="44"/>
      <c r="I683" s="45" t="s">
        <v>1</v>
      </c>
      <c r="J683" s="46"/>
      <c r="K683" s="45" t="s">
        <v>1</v>
      </c>
      <c r="L683" s="33"/>
      <c r="M683" s="45" t="s">
        <v>1</v>
      </c>
      <c r="N683" s="33"/>
      <c r="O683" s="44" t="s">
        <v>1</v>
      </c>
      <c r="P683" s="44"/>
      <c r="Q683" s="44" t="s">
        <v>1</v>
      </c>
      <c r="R683" s="44"/>
      <c r="S683" s="44" t="s">
        <v>1</v>
      </c>
      <c r="T683" s="44"/>
      <c r="U683" s="44" t="s">
        <v>1</v>
      </c>
      <c r="V683" s="44"/>
      <c r="W683" s="44" t="s">
        <v>1</v>
      </c>
      <c r="X683" s="44"/>
      <c r="Y683" s="44" t="s">
        <v>1</v>
      </c>
      <c r="Z683" s="44"/>
      <c r="AA683" s="44" t="s">
        <v>1</v>
      </c>
      <c r="AB683" s="44"/>
      <c r="AC683" s="84">
        <v>45455</v>
      </c>
      <c r="AD683" s="83">
        <v>45455</v>
      </c>
      <c r="AE683" s="41" t="s">
        <v>1</v>
      </c>
      <c r="AF683" s="41" t="s">
        <v>1</v>
      </c>
      <c r="AG683" s="40" t="s">
        <v>5</v>
      </c>
      <c r="AH683" s="36" t="s">
        <v>1</v>
      </c>
      <c r="AI683" s="49">
        <v>0</v>
      </c>
      <c r="AJ683" s="36" t="s">
        <v>1</v>
      </c>
      <c r="AK683" s="10" t="s">
        <v>1</v>
      </c>
      <c r="AL683" s="36" t="s">
        <v>1</v>
      </c>
      <c r="AM683" s="36" t="s">
        <v>1</v>
      </c>
      <c r="AN683" s="35" t="s">
        <v>1</v>
      </c>
      <c r="AO683" s="35" t="s">
        <v>1</v>
      </c>
      <c r="AP683" s="35" t="s">
        <v>1</v>
      </c>
      <c r="AQ683" s="35" t="s">
        <v>1</v>
      </c>
      <c r="AR683" s="48" t="s">
        <v>1</v>
      </c>
      <c r="AS683" s="33"/>
      <c r="AT683" s="30"/>
      <c r="AU683" s="55"/>
      <c r="AV683" s="30"/>
      <c r="AW683" s="55"/>
      <c r="AX683" s="30" t="s">
        <v>1</v>
      </c>
      <c r="AY683" s="55"/>
      <c r="AZ683" s="30" t="s">
        <v>1</v>
      </c>
      <c r="BA683" s="91"/>
      <c r="BB683" s="39" t="s">
        <v>209</v>
      </c>
      <c r="BC683" s="25"/>
      <c r="BD683" s="24"/>
      <c r="BE683" s="24"/>
      <c r="BF683" s="79"/>
      <c r="BG683" s="79"/>
      <c r="BH683" s="80"/>
      <c r="BI683" s="79"/>
      <c r="BJ683" s="54"/>
      <c r="BK683" s="78"/>
      <c r="BL683" s="69"/>
      <c r="BM683" s="78"/>
      <c r="BN683" s="78"/>
      <c r="BO683" s="78"/>
      <c r="BP683" s="78"/>
      <c r="BQ683" s="21">
        <f>YEAR([1]!BANCO10[[#This Row],[DATA INÍCIO]])</f>
        <v>2024</v>
      </c>
      <c r="BR683" s="21">
        <f>MONTH([1]!BANCO10[[#This Row],[DATA INÍCIO]])</f>
        <v>6</v>
      </c>
      <c r="BS683" s="21" t="e">
        <f>CONCATENATE(#REF!,#REF!)</f>
        <v>#REF!</v>
      </c>
      <c r="BT683" s="21"/>
      <c r="BU683" s="21" t="s">
        <v>208</v>
      </c>
      <c r="BV683" s="21" t="str">
        <f>IF([1]!BANCO10[[#This Row],[SOLUÇÃO]]=BV$1,[1]!BANCO10[[#This Row],[STATUS DA ETAPA]],"")</f>
        <v>CONCLUÍDO</v>
      </c>
      <c r="BW683" s="21" t="str">
        <f>IF([1]!BANCO10[[#This Row],[SOLUÇÃO]]=BW$1,[1]!BANCO10[[#This Row],[STATUS DA ETAPA]],"")</f>
        <v/>
      </c>
      <c r="BX683" s="21" t="str">
        <f>IF([1]!BANCO10[[#This Row],[SOLUÇÃO]]=BX$1,[1]!BANCO10[[#This Row],[STATUS DA ETAPA]],"")</f>
        <v/>
      </c>
      <c r="BY683" s="21" t="str">
        <f>IF([1]!BANCO10[[#This Row],[SOLUÇÃO]]=BY$1,[1]!BANCO10[[#This Row],[STATUS DA ETAPA]],"")</f>
        <v/>
      </c>
      <c r="BZ683" s="21" t="str">
        <f>IF([1]!BANCO10[[#This Row],[SOLUÇÃO]]=BZ$1,[1]!BANCO10[[#This Row],[STATUS DA ETAPA]],"")</f>
        <v/>
      </c>
      <c r="CA683" s="21" t="str">
        <f>IF([1]!BANCO10[[#This Row],[SOLUÇÃO]]=CA$1,[1]!BANCO10[[#This Row],[STATUS DA ETAPA]],"")</f>
        <v/>
      </c>
      <c r="CB683" s="21" t="str">
        <f>IF([1]!BANCO10[[#This Row],[SOLUÇÃO]]=CB$1,[1]!BANCO10[[#This Row],[STATUS DA ETAPA]],"")</f>
        <v/>
      </c>
      <c r="CC683" s="21" t="str">
        <f>IF([1]!BANCO10[[#This Row],[SOLUÇÃO]]=CC$1,[1]!BANCO10[[#This Row],[STATUS DA ETAPA]],"")</f>
        <v/>
      </c>
      <c r="CD683" s="21" t="str">
        <f>IF([1]!BANCO10[[#This Row],[SOLUÇÃO]]=CD$1,[1]!BANCO10[[#This Row],[STATUS DA ETAPA]],"")</f>
        <v/>
      </c>
      <c r="CE683" s="21" t="str">
        <f>IF([1]!BANCO10[[#This Row],[SOLUÇÃO]]=CE$1,[1]!BANCO10[[#This Row],[STATUS DA ETAPA]],"")</f>
        <v/>
      </c>
      <c r="CF683" s="21" t="str">
        <f>IF([1]!BANCO10[[#This Row],[SOLUÇÃO]]=CF$1,[1]!BANCO10[[#This Row],[STATUS DA ETAPA]],"")</f>
        <v/>
      </c>
      <c r="CG683" s="21" t="str">
        <f>IF([1]!BANCO10[[#This Row],[SOLUÇÃO]]=CG$1,[1]!BANCO10[[#This Row],[STATUS DA ETAPA]],"")</f>
        <v/>
      </c>
      <c r="CH683" s="21" t="str">
        <f>IF([1]!BANCO10[[#This Row],[SOLUÇÃO]]=CH$1,[1]!BANCO10[[#This Row],[STATUS DA ETAPA]],"")</f>
        <v/>
      </c>
      <c r="CI683" s="21" t="str">
        <f>IF([1]!BANCO10[[#This Row],[SOLUÇÃO]]=CI$1,[1]!BANCO10[[#This Row],[STATUS DA ETAPA]],"")</f>
        <v/>
      </c>
      <c r="CJ683" s="21" t="str">
        <f>IF([1]!BANCO10[[#This Row],[SOLUÇÃO]]=CJ$1,[1]!BANCO10[[#This Row],[STATUS DA ETAPA]],"")</f>
        <v/>
      </c>
      <c r="CK683" s="21" t="str">
        <f>IF([1]!BANCO10[[#This Row],[SOLUÇÃO]]=CK$1,[1]!BANCO10[[#This Row],[STATUS DA ETAPA]],"")</f>
        <v/>
      </c>
      <c r="CL683" s="22" t="str">
        <f>IF([1]!BANCO10[[#This Row],[SOLUÇÃO]]=CL$1,[1]!BANCO10[[#This Row],[STATUS DA ETAPA]],"")</f>
        <v/>
      </c>
      <c r="CM683" s="64" t="str">
        <f>IF([1]!BANCO10[[#This Row],[SOLUÇÃO]]=CM$1,[1]!BANCO10[[#This Row],[STATUS DA ETAPA]],"")</f>
        <v/>
      </c>
      <c r="CN683" s="64" t="str">
        <f>IF([1]!BANCO10[[#This Row],[SOLUÇÃO]]=CN$1,[1]!BANCO10[[#This Row],[STATUS DA ETAPA]],"")</f>
        <v/>
      </c>
      <c r="CO683" s="64" t="str">
        <f>IF([1]!BANCO10[[#This Row],[SOLUÇÃO]]=CO$1,[1]!BANCO10[[#This Row],[STATUS DA ETAPA]],"")</f>
        <v/>
      </c>
      <c r="CP683" s="64" t="str">
        <f>IF([1]!BANCO10[[#This Row],[SOLUÇÃO]]=CP$1,[1]!BANCO10[[#This Row],[STATUS DA ETAPA]],"")</f>
        <v/>
      </c>
      <c r="CQ683" s="64" t="str">
        <f>IF([1]!BANCO10[[#This Row],[SOLUÇÃO]]=CQ$1,[1]!BANCO10[[#This Row],[STATUS DA ETAPA]],"")</f>
        <v/>
      </c>
      <c r="CR683" s="64" t="str">
        <f>IF([1]!BANCO10[[#This Row],[SOLUÇÃO]]=CR$1,[1]!BANCO10[[#This Row],[STATUS DA ETAPA]],"")</f>
        <v/>
      </c>
      <c r="CS683" s="64" t="str">
        <f>IF([1]!BANCO10[[#This Row],[SOLUÇÃO]]=CS$1,[1]!BANCO10[[#This Row],[STATUS DA ETAPA]],"")</f>
        <v/>
      </c>
      <c r="CT683" s="64" t="str">
        <f>IF([1]!BANCO10[[#This Row],[SOLUÇÃO]]=CT$1,[1]!BANCO10[[#This Row],[STATUS DA ETAPA]],"")</f>
        <v/>
      </c>
      <c r="CU683" s="64" t="str">
        <f>IF([1]!BANCO10[[#This Row],[SOLUÇÃO]]=CU$1,[1]!BANCO10[[#This Row],[STATUS DA ETAPA]],"")</f>
        <v/>
      </c>
      <c r="CV683" s="64" t="str">
        <f>IF([1]!BANCO10[[#This Row],[SOLUÇÃO]]=CV$1,[1]!BANCO10[[#This Row],[STATUS DA ETAPA]],"")</f>
        <v/>
      </c>
    </row>
    <row r="684" spans="1:100">
      <c r="A684" s="44" t="s">
        <v>2</v>
      </c>
      <c r="B684" s="44">
        <v>45383</v>
      </c>
      <c r="C684" s="44" t="s">
        <v>2</v>
      </c>
      <c r="D684" s="44">
        <v>45383</v>
      </c>
      <c r="E684" s="44" t="s">
        <v>2</v>
      </c>
      <c r="F684" s="44">
        <v>45383</v>
      </c>
      <c r="G684" s="44" t="s">
        <v>2</v>
      </c>
      <c r="H684" s="44">
        <v>45383</v>
      </c>
      <c r="I684" s="45" t="s">
        <v>2</v>
      </c>
      <c r="J684" s="46">
        <v>45536</v>
      </c>
      <c r="K684" s="45" t="s">
        <v>2</v>
      </c>
      <c r="L684" s="33">
        <v>45536</v>
      </c>
      <c r="M684" s="45" t="s">
        <v>2</v>
      </c>
      <c r="N684" s="33">
        <v>45536</v>
      </c>
      <c r="O684" s="44" t="s">
        <v>2</v>
      </c>
      <c r="P684" s="44">
        <v>45506</v>
      </c>
      <c r="Q684" s="44" t="s">
        <v>2</v>
      </c>
      <c r="R684" s="44">
        <v>45509</v>
      </c>
      <c r="S684" s="44" t="s">
        <v>2</v>
      </c>
      <c r="T684" s="44">
        <v>45536</v>
      </c>
      <c r="U684" s="44" t="s">
        <v>1</v>
      </c>
      <c r="V684" s="44"/>
      <c r="W684" s="44" t="s">
        <v>1</v>
      </c>
      <c r="X684" s="44"/>
      <c r="Y684" s="44" t="s">
        <v>1</v>
      </c>
      <c r="Z684" s="44"/>
      <c r="AA684" s="44" t="s">
        <v>1</v>
      </c>
      <c r="AB684" s="44"/>
      <c r="AC684" s="84">
        <v>45572</v>
      </c>
      <c r="AD684" s="83">
        <v>45635</v>
      </c>
      <c r="AE684" s="41" t="s">
        <v>2</v>
      </c>
      <c r="AF684" s="41" t="s">
        <v>2</v>
      </c>
      <c r="AG684" s="40" t="s">
        <v>5</v>
      </c>
      <c r="AH684" s="36" t="s">
        <v>0</v>
      </c>
      <c r="AI684" s="49">
        <v>0</v>
      </c>
      <c r="AJ684" s="36" t="s">
        <v>6</v>
      </c>
      <c r="AK684" s="10">
        <v>564846</v>
      </c>
      <c r="AL684" s="36" t="s">
        <v>1</v>
      </c>
      <c r="AM684" s="36" t="s">
        <v>1</v>
      </c>
      <c r="AN684" s="35" t="s">
        <v>2</v>
      </c>
      <c r="AO684" s="35" t="s">
        <v>2</v>
      </c>
      <c r="AP684" s="35" t="s">
        <v>2</v>
      </c>
      <c r="AQ684" s="35" t="s">
        <v>2</v>
      </c>
      <c r="AR684" s="33" t="s">
        <v>2</v>
      </c>
      <c r="AS684" s="33">
        <v>45644</v>
      </c>
      <c r="AT684" s="30"/>
      <c r="AU684" s="55"/>
      <c r="AV684" s="30"/>
      <c r="AW684" s="55"/>
      <c r="AX684" s="30" t="s">
        <v>2</v>
      </c>
      <c r="AY684" s="55">
        <v>45644</v>
      </c>
      <c r="AZ684" s="30" t="s">
        <v>2</v>
      </c>
      <c r="BA684" s="91">
        <v>45635</v>
      </c>
      <c r="BB684" s="39"/>
      <c r="BC684" s="25" t="s">
        <v>41</v>
      </c>
      <c r="BD684" s="24"/>
      <c r="BE684" s="24"/>
      <c r="BF684" s="79"/>
      <c r="BG684" s="79"/>
      <c r="BH684" s="80"/>
      <c r="BI684" s="79"/>
      <c r="BJ684" s="54"/>
      <c r="BK684" s="78"/>
      <c r="BL684" s="69"/>
      <c r="BM684" s="78"/>
      <c r="BN684" s="78"/>
      <c r="BO684" s="78"/>
      <c r="BP684" s="78"/>
      <c r="BQ684" s="21">
        <f>YEAR([1]!BANCO10[[#This Row],[DATA INÍCIO]])</f>
        <v>2024</v>
      </c>
      <c r="BR684" s="21">
        <f>MONTH([1]!BANCO10[[#This Row],[DATA INÍCIO]])</f>
        <v>10</v>
      </c>
      <c r="BS684" s="21" t="e">
        <f>CONCATENATE(#REF!,#REF!)</f>
        <v>#REF!</v>
      </c>
      <c r="BT684" s="21"/>
      <c r="BU684" s="21" t="s">
        <v>207</v>
      </c>
      <c r="BV684" s="21" t="str">
        <f>IF([1]!BANCO10[[#This Row],[SOLUÇÃO]]=BV$1,[1]!BANCO10[[#This Row],[STATUS DA ETAPA]],"")</f>
        <v/>
      </c>
      <c r="BW684" s="21" t="str">
        <f>IF([1]!BANCO10[[#This Row],[SOLUÇÃO]]=BW$1,[1]!BANCO10[[#This Row],[STATUS DA ETAPA]],"")</f>
        <v/>
      </c>
      <c r="BX684" s="21" t="str">
        <f>IF([1]!BANCO10[[#This Row],[SOLUÇÃO]]=BX$1,[1]!BANCO10[[#This Row],[STATUS DA ETAPA]],"")</f>
        <v/>
      </c>
      <c r="BY684" s="21" t="str">
        <f>IF([1]!BANCO10[[#This Row],[SOLUÇÃO]]=BY$1,[1]!BANCO10[[#This Row],[STATUS DA ETAPA]],"")</f>
        <v/>
      </c>
      <c r="BZ684" s="21" t="str">
        <f>IF([1]!BANCO10[[#This Row],[SOLUÇÃO]]=BZ$1,[1]!BANCO10[[#This Row],[STATUS DA ETAPA]],"")</f>
        <v/>
      </c>
      <c r="CA684" s="21" t="str">
        <f>IF([1]!BANCO10[[#This Row],[SOLUÇÃO]]=CA$1,[1]!BANCO10[[#This Row],[STATUS DA ETAPA]],"")</f>
        <v/>
      </c>
      <c r="CB684" s="21" t="str">
        <f>IF([1]!BANCO10[[#This Row],[SOLUÇÃO]]=CB$1,[1]!BANCO10[[#This Row],[STATUS DA ETAPA]],"")</f>
        <v>CONCLUÍDO</v>
      </c>
      <c r="CC684" s="21" t="str">
        <f>IF([1]!BANCO10[[#This Row],[SOLUÇÃO]]=CC$1,[1]!BANCO10[[#This Row],[STATUS DA ETAPA]],"")</f>
        <v/>
      </c>
      <c r="CD684" s="21" t="str">
        <f>IF([1]!BANCO10[[#This Row],[SOLUÇÃO]]=CD$1,[1]!BANCO10[[#This Row],[STATUS DA ETAPA]],"")</f>
        <v/>
      </c>
      <c r="CE684" s="21" t="str">
        <f>IF([1]!BANCO10[[#This Row],[SOLUÇÃO]]=CE$1,[1]!BANCO10[[#This Row],[STATUS DA ETAPA]],"")</f>
        <v/>
      </c>
      <c r="CF684" s="21" t="str">
        <f>IF([1]!BANCO10[[#This Row],[SOLUÇÃO]]=CF$1,[1]!BANCO10[[#This Row],[STATUS DA ETAPA]],"")</f>
        <v/>
      </c>
      <c r="CG684" s="21" t="str">
        <f>IF([1]!BANCO10[[#This Row],[SOLUÇÃO]]=CG$1,[1]!BANCO10[[#This Row],[STATUS DA ETAPA]],"")</f>
        <v/>
      </c>
      <c r="CH684" s="21" t="str">
        <f>IF([1]!BANCO10[[#This Row],[SOLUÇÃO]]=CH$1,[1]!BANCO10[[#This Row],[STATUS DA ETAPA]],"")</f>
        <v/>
      </c>
      <c r="CI684" s="21" t="str">
        <f>IF([1]!BANCO10[[#This Row],[SOLUÇÃO]]=CI$1,[1]!BANCO10[[#This Row],[STATUS DA ETAPA]],"")</f>
        <v/>
      </c>
      <c r="CJ684" s="21" t="str">
        <f>IF([1]!BANCO10[[#This Row],[SOLUÇÃO]]=CJ$1,[1]!BANCO10[[#This Row],[STATUS DA ETAPA]],"")</f>
        <v/>
      </c>
      <c r="CK684" s="21" t="str">
        <f>IF([1]!BANCO10[[#This Row],[SOLUÇÃO]]=CK$1,[1]!BANCO10[[#This Row],[STATUS DA ETAPA]],"")</f>
        <v/>
      </c>
      <c r="CL684" s="22" t="str">
        <f>IF([1]!BANCO10[[#This Row],[SOLUÇÃO]]=CL$1,[1]!BANCO10[[#This Row],[STATUS DA ETAPA]],"")</f>
        <v/>
      </c>
      <c r="CM684" s="64" t="str">
        <f>IF([1]!BANCO10[[#This Row],[SOLUÇÃO]]=CM$1,[1]!BANCO10[[#This Row],[STATUS DA ETAPA]],"")</f>
        <v/>
      </c>
      <c r="CN684" s="64" t="str">
        <f>IF([1]!BANCO10[[#This Row],[SOLUÇÃO]]=CN$1,[1]!BANCO10[[#This Row],[STATUS DA ETAPA]],"")</f>
        <v/>
      </c>
      <c r="CO684" s="64" t="str">
        <f>IF([1]!BANCO10[[#This Row],[SOLUÇÃO]]=CO$1,[1]!BANCO10[[#This Row],[STATUS DA ETAPA]],"")</f>
        <v/>
      </c>
      <c r="CP684" s="64" t="str">
        <f>IF([1]!BANCO10[[#This Row],[SOLUÇÃO]]=CP$1,[1]!BANCO10[[#This Row],[STATUS DA ETAPA]],"")</f>
        <v/>
      </c>
      <c r="CQ684" s="64" t="str">
        <f>IF([1]!BANCO10[[#This Row],[SOLUÇÃO]]=CQ$1,[1]!BANCO10[[#This Row],[STATUS DA ETAPA]],"")</f>
        <v/>
      </c>
      <c r="CR684" s="64" t="str">
        <f>IF([1]!BANCO10[[#This Row],[SOLUÇÃO]]=CR$1,[1]!BANCO10[[#This Row],[STATUS DA ETAPA]],"")</f>
        <v/>
      </c>
      <c r="CS684" s="64" t="str">
        <f>IF([1]!BANCO10[[#This Row],[SOLUÇÃO]]=CS$1,[1]!BANCO10[[#This Row],[STATUS DA ETAPA]],"")</f>
        <v/>
      </c>
      <c r="CT684" s="64" t="str">
        <f>IF([1]!BANCO10[[#This Row],[SOLUÇÃO]]=CT$1,[1]!BANCO10[[#This Row],[STATUS DA ETAPA]],"")</f>
        <v/>
      </c>
      <c r="CU684" s="64" t="str">
        <f>IF([1]!BANCO10[[#This Row],[SOLUÇÃO]]=CU$1,[1]!BANCO10[[#This Row],[STATUS DA ETAPA]],"")</f>
        <v/>
      </c>
      <c r="CV684" s="64" t="str">
        <f>IF([1]!BANCO10[[#This Row],[SOLUÇÃO]]=CV$1,[1]!BANCO10[[#This Row],[STATUS DA ETAPA]],"")</f>
        <v/>
      </c>
    </row>
    <row r="685" spans="1:100">
      <c r="A685" s="44" t="s">
        <v>2</v>
      </c>
      <c r="B685" s="44">
        <v>45383</v>
      </c>
      <c r="C685" s="44" t="s">
        <v>2</v>
      </c>
      <c r="D685" s="44">
        <v>45383</v>
      </c>
      <c r="E685" s="44" t="s">
        <v>2</v>
      </c>
      <c r="F685" s="44">
        <v>45383</v>
      </c>
      <c r="G685" s="44" t="s">
        <v>2</v>
      </c>
      <c r="H685" s="44">
        <v>45383</v>
      </c>
      <c r="I685" s="45" t="s">
        <v>2</v>
      </c>
      <c r="J685" s="46">
        <v>45536</v>
      </c>
      <c r="K685" s="45" t="s">
        <v>2</v>
      </c>
      <c r="L685" s="33">
        <v>45536</v>
      </c>
      <c r="M685" s="45" t="s">
        <v>2</v>
      </c>
      <c r="N685" s="33">
        <v>45536</v>
      </c>
      <c r="O685" s="44" t="s">
        <v>2</v>
      </c>
      <c r="P685" s="44">
        <v>45506</v>
      </c>
      <c r="Q685" s="44" t="s">
        <v>2</v>
      </c>
      <c r="R685" s="44">
        <v>45509</v>
      </c>
      <c r="S685" s="44" t="s">
        <v>2</v>
      </c>
      <c r="T685" s="44">
        <v>45536</v>
      </c>
      <c r="U685" s="44" t="s">
        <v>1</v>
      </c>
      <c r="V685" s="44"/>
      <c r="W685" s="44" t="s">
        <v>1</v>
      </c>
      <c r="X685" s="44"/>
      <c r="Y685" s="44" t="s">
        <v>1</v>
      </c>
      <c r="Z685" s="44"/>
      <c r="AA685" s="44" t="s">
        <v>1</v>
      </c>
      <c r="AB685" s="44"/>
      <c r="AC685" s="51">
        <v>45572</v>
      </c>
      <c r="AD685" s="51">
        <v>45635</v>
      </c>
      <c r="AE685" s="41" t="s">
        <v>2</v>
      </c>
      <c r="AF685" s="41" t="s">
        <v>2</v>
      </c>
      <c r="AG685" s="119" t="s">
        <v>5</v>
      </c>
      <c r="AH685" s="36" t="s">
        <v>0</v>
      </c>
      <c r="AI685" s="49">
        <v>0</v>
      </c>
      <c r="AJ685" s="36" t="s">
        <v>6</v>
      </c>
      <c r="AK685" s="10">
        <v>564846</v>
      </c>
      <c r="AL685" s="36" t="s">
        <v>1</v>
      </c>
      <c r="AM685" s="36" t="s">
        <v>1</v>
      </c>
      <c r="AN685" s="35" t="s">
        <v>2</v>
      </c>
      <c r="AO685" s="35" t="s">
        <v>2</v>
      </c>
      <c r="AP685" s="35" t="s">
        <v>2</v>
      </c>
      <c r="AQ685" s="35" t="s">
        <v>2</v>
      </c>
      <c r="AR685" s="33" t="s">
        <v>2</v>
      </c>
      <c r="AS685" s="33">
        <v>45644</v>
      </c>
      <c r="AT685" s="30"/>
      <c r="AU685" s="55"/>
      <c r="AV685" s="30"/>
      <c r="AW685" s="55"/>
      <c r="AX685" s="30" t="s">
        <v>2</v>
      </c>
      <c r="AY685" s="55">
        <v>45644</v>
      </c>
      <c r="AZ685" s="30" t="s">
        <v>2</v>
      </c>
      <c r="BA685" s="91">
        <v>45635</v>
      </c>
      <c r="BB685" s="26"/>
      <c r="BC685" s="25"/>
      <c r="BD685" s="24"/>
      <c r="BE685" s="24"/>
      <c r="BF685" s="24"/>
      <c r="BG685" s="24"/>
      <c r="BH685" s="24"/>
      <c r="BI685" s="24"/>
      <c r="BJ685" s="24"/>
      <c r="BK685" s="24"/>
      <c r="BL685" s="24"/>
      <c r="BM685" s="24"/>
      <c r="BN685" s="24"/>
      <c r="BO685" s="24"/>
      <c r="BP685" s="24"/>
      <c r="BQ685" s="22">
        <f>YEAR([1]!BANCO10[[#This Row],[DATA INÍCIO]])</f>
        <v>2024</v>
      </c>
      <c r="BR685" s="22">
        <f>MONTH([1]!BANCO10[[#This Row],[DATA INÍCIO]])</f>
        <v>10</v>
      </c>
      <c r="BS685" s="23" t="e">
        <f>CONCATENATE(#REF!,#REF!)</f>
        <v>#REF!</v>
      </c>
      <c r="BT685" s="22"/>
      <c r="BU685" s="22"/>
      <c r="BV685" s="21" t="str">
        <f>IF([1]!BANCO10[[#This Row],[SOLUÇÃO]]=BV$1,[1]!BANCO10[[#This Row],[STATUS DA ETAPA]],"")</f>
        <v/>
      </c>
      <c r="BW685" s="21" t="str">
        <f>IF([1]!BANCO10[[#This Row],[SOLUÇÃO]]=BW$1,[1]!BANCO10[[#This Row],[STATUS DA ETAPA]],"")</f>
        <v/>
      </c>
      <c r="BX685" s="21" t="str">
        <f>IF([1]!BANCO10[[#This Row],[SOLUÇÃO]]=BX$1,[1]!BANCO10[[#This Row],[STATUS DA ETAPA]],"")</f>
        <v/>
      </c>
      <c r="BY685" s="21" t="str">
        <f>IF([1]!BANCO10[[#This Row],[SOLUÇÃO]]=BY$1,[1]!BANCO10[[#This Row],[STATUS DA ETAPA]],"")</f>
        <v/>
      </c>
      <c r="BZ685" s="21" t="str">
        <f>IF([1]!BANCO10[[#This Row],[SOLUÇÃO]]=BZ$1,[1]!BANCO10[[#This Row],[STATUS DA ETAPA]],"")</f>
        <v/>
      </c>
      <c r="CA685" s="21" t="str">
        <f>IF([1]!BANCO10[[#This Row],[SOLUÇÃO]]=CA$1,[1]!BANCO10[[#This Row],[STATUS DA ETAPA]],"")</f>
        <v/>
      </c>
      <c r="CB685" s="21" t="str">
        <f>IF([1]!BANCO10[[#This Row],[SOLUÇÃO]]=CB$1,[1]!BANCO10[[#This Row],[STATUS DA ETAPA]],"")</f>
        <v>CONCLUÍDO</v>
      </c>
      <c r="CC685" s="21" t="str">
        <f>IF([1]!BANCO10[[#This Row],[SOLUÇÃO]]=CC$1,[1]!BANCO10[[#This Row],[STATUS DA ETAPA]],"")</f>
        <v/>
      </c>
      <c r="CD685" s="21" t="str">
        <f>IF([1]!BANCO10[[#This Row],[SOLUÇÃO]]=CD$1,[1]!BANCO10[[#This Row],[STATUS DA ETAPA]],"")</f>
        <v/>
      </c>
      <c r="CE685" s="21" t="str">
        <f>IF([1]!BANCO10[[#This Row],[SOLUÇÃO]]=CE$1,[1]!BANCO10[[#This Row],[STATUS DA ETAPA]],"")</f>
        <v/>
      </c>
      <c r="CF685" s="21" t="str">
        <f>IF([1]!BANCO10[[#This Row],[SOLUÇÃO]]=CF$1,[1]!BANCO10[[#This Row],[STATUS DA ETAPA]],"")</f>
        <v/>
      </c>
      <c r="CG685" s="21" t="str">
        <f>IF([1]!BANCO10[[#This Row],[SOLUÇÃO]]=CG$1,[1]!BANCO10[[#This Row],[STATUS DA ETAPA]],"")</f>
        <v/>
      </c>
      <c r="CH685" s="21" t="str">
        <f>IF([1]!BANCO10[[#This Row],[SOLUÇÃO]]=CH$1,[1]!BANCO10[[#This Row],[STATUS DA ETAPA]],"")</f>
        <v/>
      </c>
      <c r="CI685" s="21" t="str">
        <f>IF([1]!BANCO10[[#This Row],[SOLUÇÃO]]=CI$1,[1]!BANCO10[[#This Row],[STATUS DA ETAPA]],"")</f>
        <v/>
      </c>
      <c r="CJ685" s="21" t="str">
        <f>IF([1]!BANCO10[[#This Row],[SOLUÇÃO]]=CJ$1,[1]!BANCO10[[#This Row],[STATUS DA ETAPA]],"")</f>
        <v/>
      </c>
      <c r="CK685" s="21" t="str">
        <f>IF([1]!BANCO10[[#This Row],[SOLUÇÃO]]=CK$1,[1]!BANCO10[[#This Row],[STATUS DA ETAPA]],"")</f>
        <v/>
      </c>
      <c r="CL685" s="21" t="str">
        <f>IF([1]!BANCO10[[#This Row],[SOLUÇÃO]]=CL$1,[1]!BANCO10[[#This Row],[STATUS DA ETAPA]],"")</f>
        <v/>
      </c>
      <c r="CM685" s="21" t="str">
        <f>IF([1]!BANCO10[[#This Row],[SOLUÇÃO]]=CM$1,[1]!BANCO10[[#This Row],[STATUS DA ETAPA]],"")</f>
        <v/>
      </c>
      <c r="CN685" s="21" t="str">
        <f>IF([1]!BANCO10[[#This Row],[SOLUÇÃO]]=CN$1,[1]!BANCO10[[#This Row],[STATUS DA ETAPA]],"")</f>
        <v/>
      </c>
      <c r="CO685" s="21" t="str">
        <f>IF([1]!BANCO10[[#This Row],[SOLUÇÃO]]=CO$1,[1]!BANCO10[[#This Row],[STATUS DA ETAPA]],"")</f>
        <v/>
      </c>
      <c r="CP685" s="21" t="str">
        <f>IF([1]!BANCO10[[#This Row],[SOLUÇÃO]]=CP$1,[1]!BANCO10[[#This Row],[STATUS DA ETAPA]],"")</f>
        <v/>
      </c>
      <c r="CQ685" s="21" t="str">
        <f>IF([1]!BANCO10[[#This Row],[SOLUÇÃO]]=CQ$1,[1]!BANCO10[[#This Row],[STATUS DA ETAPA]],"")</f>
        <v/>
      </c>
      <c r="CR685" s="21" t="str">
        <f>IF([1]!BANCO10[[#This Row],[SOLUÇÃO]]=CR$1,[1]!BANCO10[[#This Row],[STATUS DA ETAPA]],"")</f>
        <v/>
      </c>
      <c r="CS685" s="21" t="str">
        <f>IF([1]!BANCO10[[#This Row],[SOLUÇÃO]]=CS$1,[1]!BANCO10[[#This Row],[STATUS DA ETAPA]],"")</f>
        <v/>
      </c>
      <c r="CT685" s="21" t="str">
        <f>IF([1]!BANCO10[[#This Row],[SOLUÇÃO]]=CT$1,[1]!BANCO10[[#This Row],[STATUS DA ETAPA]],"")</f>
        <v/>
      </c>
      <c r="CU685" s="21" t="str">
        <f>IF([1]!BANCO10[[#This Row],[SOLUÇÃO]]=CU$1,[1]!BANCO10[[#This Row],[STATUS DA ETAPA]],"")</f>
        <v/>
      </c>
      <c r="CV685" s="21" t="str">
        <f>IF([1]!BANCO10[[#This Row],[SOLUÇÃO]]=CV$1,[1]!BANCO10[[#This Row],[STATUS DA ETAPA]],"")</f>
        <v/>
      </c>
    </row>
    <row r="686" spans="1:100">
      <c r="A686" s="44" t="s">
        <v>1</v>
      </c>
      <c r="B686" s="44"/>
      <c r="C686" s="44" t="s">
        <v>1</v>
      </c>
      <c r="D686" s="44"/>
      <c r="E686" s="44" t="s">
        <v>1</v>
      </c>
      <c r="F686" s="44"/>
      <c r="G686" s="44" t="s">
        <v>1</v>
      </c>
      <c r="H686" s="44"/>
      <c r="I686" s="45" t="s">
        <v>1</v>
      </c>
      <c r="J686" s="46"/>
      <c r="K686" s="45" t="s">
        <v>1</v>
      </c>
      <c r="L686" s="33"/>
      <c r="M686" s="45" t="s">
        <v>1</v>
      </c>
      <c r="N686" s="33"/>
      <c r="O686" s="44"/>
      <c r="P686" s="44"/>
      <c r="Q686" s="44" t="s">
        <v>1</v>
      </c>
      <c r="R686" s="44"/>
      <c r="S686" s="44"/>
      <c r="T686" s="44"/>
      <c r="U686" s="44"/>
      <c r="V686" s="44"/>
      <c r="W686" s="44"/>
      <c r="X686" s="44"/>
      <c r="Y686" s="44"/>
      <c r="Z686" s="44"/>
      <c r="AA686" s="44"/>
      <c r="AB686" s="44"/>
      <c r="AC686" s="84">
        <v>45636</v>
      </c>
      <c r="AD686" s="83">
        <v>45636</v>
      </c>
      <c r="AE686" s="41" t="s">
        <v>1</v>
      </c>
      <c r="AF686" s="41" t="s">
        <v>1</v>
      </c>
      <c r="AG686" s="40" t="s">
        <v>4</v>
      </c>
      <c r="AH686" s="36" t="s">
        <v>0</v>
      </c>
      <c r="AI686" s="49">
        <v>0</v>
      </c>
      <c r="AJ686" s="36" t="s">
        <v>1</v>
      </c>
      <c r="AK686" s="10" t="s">
        <v>1</v>
      </c>
      <c r="AL686" s="36" t="s">
        <v>1</v>
      </c>
      <c r="AM686" s="36" t="s">
        <v>1</v>
      </c>
      <c r="AN686" s="35" t="s">
        <v>1</v>
      </c>
      <c r="AO686" s="35" t="s">
        <v>1</v>
      </c>
      <c r="AP686" s="35" t="s">
        <v>1</v>
      </c>
      <c r="AQ686" s="35" t="s">
        <v>2</v>
      </c>
      <c r="AR686" s="33" t="s">
        <v>0</v>
      </c>
      <c r="AS686" s="33"/>
      <c r="AT686" s="30" t="s">
        <v>0</v>
      </c>
      <c r="AU686" s="31"/>
      <c r="AV686" s="30" t="s">
        <v>0</v>
      </c>
      <c r="AW686" s="31"/>
      <c r="AX686" s="30" t="s">
        <v>0</v>
      </c>
      <c r="AY686" s="29"/>
      <c r="AZ686" s="28" t="s">
        <v>0</v>
      </c>
      <c r="BA686" s="81"/>
      <c r="BB686" s="26"/>
      <c r="BC686" s="25"/>
      <c r="BD686" s="24"/>
      <c r="BE686" s="24"/>
      <c r="BF686" s="24"/>
      <c r="BG686" s="24"/>
      <c r="BH686" s="24"/>
      <c r="BI686" s="24"/>
      <c r="BJ686" s="24"/>
      <c r="BK686" s="24"/>
      <c r="BL686" s="24"/>
      <c r="BM686" s="24"/>
      <c r="BN686" s="24"/>
      <c r="BO686" s="24"/>
      <c r="BP686" s="24"/>
      <c r="BQ686" s="22">
        <f>YEAR([1]!BANCO10[[#This Row],[DATA INÍCIO]])</f>
        <v>2024</v>
      </c>
      <c r="BR686" s="22">
        <f>MONTH([1]!BANCO10[[#This Row],[DATA INÍCIO]])</f>
        <v>12</v>
      </c>
      <c r="BS686" s="23" t="e">
        <f>CONCATENATE(#REF!,#REF!)</f>
        <v>#REF!</v>
      </c>
      <c r="BT686" s="22"/>
      <c r="BU686" s="22"/>
      <c r="BV686" s="21" t="str">
        <f>IF([1]!BANCO10[[#This Row],[SOLUÇÃO]]=BV$1,[1]!BANCO10[[#This Row],[STATUS DA ETAPA]],"")</f>
        <v/>
      </c>
      <c r="BW686" s="21" t="str">
        <f>IF([1]!BANCO10[[#This Row],[SOLUÇÃO]]=BW$1,[1]!BANCO10[[#This Row],[STATUS DA ETAPA]],"")</f>
        <v/>
      </c>
      <c r="BX686" s="21" t="str">
        <f>IF([1]!BANCO10[[#This Row],[SOLUÇÃO]]=BX$1,[1]!BANCO10[[#This Row],[STATUS DA ETAPA]],"")</f>
        <v/>
      </c>
      <c r="BY686" s="21" t="str">
        <f>IF([1]!BANCO10[[#This Row],[SOLUÇÃO]]=BY$1,[1]!BANCO10[[#This Row],[STATUS DA ETAPA]],"")</f>
        <v/>
      </c>
      <c r="BZ686" s="21" t="str">
        <f>IF([1]!BANCO10[[#This Row],[SOLUÇÃO]]=BZ$1,[1]!BANCO10[[#This Row],[STATUS DA ETAPA]],"")</f>
        <v/>
      </c>
      <c r="CA686" s="21" t="str">
        <f>IF([1]!BANCO10[[#This Row],[SOLUÇÃO]]=CA$1,[1]!BANCO10[[#This Row],[STATUS DA ETAPA]],"")</f>
        <v/>
      </c>
      <c r="CB686" s="21" t="str">
        <f>IF([1]!BANCO10[[#This Row],[SOLUÇÃO]]=CB$1,[1]!BANCO10[[#This Row],[STATUS DA ETAPA]],"")</f>
        <v/>
      </c>
      <c r="CC686" s="21" t="str">
        <f>IF([1]!BANCO10[[#This Row],[SOLUÇÃO]]=CC$1,[1]!BANCO10[[#This Row],[STATUS DA ETAPA]],"")</f>
        <v/>
      </c>
      <c r="CD686" s="21" t="str">
        <f>IF([1]!BANCO10[[#This Row],[SOLUÇÃO]]=CD$1,[1]!BANCO10[[#This Row],[STATUS DA ETAPA]],"")</f>
        <v/>
      </c>
      <c r="CE686" s="21" t="str">
        <f>IF([1]!BANCO10[[#This Row],[SOLUÇÃO]]=CE$1,[1]!BANCO10[[#This Row],[STATUS DA ETAPA]],"")</f>
        <v/>
      </c>
      <c r="CF686" s="21" t="str">
        <f>IF([1]!BANCO10[[#This Row],[SOLUÇÃO]]=CF$1,[1]!BANCO10[[#This Row],[STATUS DA ETAPA]],"")</f>
        <v/>
      </c>
      <c r="CG686" s="21" t="str">
        <f>IF([1]!BANCO10[[#This Row],[SOLUÇÃO]]=CG$1,[1]!BANCO10[[#This Row],[STATUS DA ETAPA]],"")</f>
        <v/>
      </c>
      <c r="CH686" s="21" t="str">
        <f>IF([1]!BANCO10[[#This Row],[SOLUÇÃO]]=CH$1,[1]!BANCO10[[#This Row],[STATUS DA ETAPA]],"")</f>
        <v/>
      </c>
      <c r="CI686" s="21" t="str">
        <f>IF([1]!BANCO10[[#This Row],[SOLUÇÃO]]=CI$1,[1]!BANCO10[[#This Row],[STATUS DA ETAPA]],"")</f>
        <v/>
      </c>
      <c r="CJ686" s="21" t="str">
        <f>IF([1]!BANCO10[[#This Row],[SOLUÇÃO]]=CJ$1,[1]!BANCO10[[#This Row],[STATUS DA ETAPA]],"")</f>
        <v/>
      </c>
      <c r="CK686" s="21" t="str">
        <f>IF([1]!BANCO10[[#This Row],[SOLUÇÃO]]=CK$1,[1]!BANCO10[[#This Row],[STATUS DA ETAPA]],"")</f>
        <v/>
      </c>
      <c r="CL686" s="21" t="str">
        <f>IF([1]!BANCO10[[#This Row],[SOLUÇÃO]]=CL$1,[1]!BANCO10[[#This Row],[STATUS DA ETAPA]],"")</f>
        <v/>
      </c>
      <c r="CM686" s="21" t="str">
        <f>IF([1]!BANCO10[[#This Row],[SOLUÇÃO]]=CM$1,[1]!BANCO10[[#This Row],[STATUS DA ETAPA]],"")</f>
        <v/>
      </c>
      <c r="CN686" s="21" t="str">
        <f>IF([1]!BANCO10[[#This Row],[SOLUÇÃO]]=CN$1,[1]!BANCO10[[#This Row],[STATUS DA ETAPA]],"")</f>
        <v/>
      </c>
      <c r="CO686" s="21" t="str">
        <f>IF([1]!BANCO10[[#This Row],[SOLUÇÃO]]=CO$1,[1]!BANCO10[[#This Row],[STATUS DA ETAPA]],"")</f>
        <v/>
      </c>
      <c r="CP686" s="21" t="str">
        <f>IF([1]!BANCO10[[#This Row],[SOLUÇÃO]]=CP$1,[1]!BANCO10[[#This Row],[STATUS DA ETAPA]],"")</f>
        <v/>
      </c>
      <c r="CQ686" s="21" t="str">
        <f>IF([1]!BANCO10[[#This Row],[SOLUÇÃO]]=CQ$1,[1]!BANCO10[[#This Row],[STATUS DA ETAPA]],"")</f>
        <v/>
      </c>
      <c r="CR686" s="21" t="str">
        <f>IF([1]!BANCO10[[#This Row],[SOLUÇÃO]]=CR$1,[1]!BANCO10[[#This Row],[STATUS DA ETAPA]],"")</f>
        <v/>
      </c>
      <c r="CS686" s="21" t="str">
        <f>IF([1]!BANCO10[[#This Row],[SOLUÇÃO]]=CS$1,[1]!BANCO10[[#This Row],[STATUS DA ETAPA]],"")</f>
        <v/>
      </c>
      <c r="CT686" s="21" t="str">
        <f>IF([1]!BANCO10[[#This Row],[SOLUÇÃO]]=CT$1,[1]!BANCO10[[#This Row],[STATUS DA ETAPA]],"")</f>
        <v/>
      </c>
      <c r="CU686" s="21" t="str">
        <f>IF([1]!BANCO10[[#This Row],[SOLUÇÃO]]=CU$1,[1]!BANCO10[[#This Row],[STATUS DA ETAPA]],"")</f>
        <v/>
      </c>
      <c r="CV686" s="21" t="str">
        <f>IF([1]!BANCO10[[#This Row],[SOLUÇÃO]]=CV$1,[1]!BANCO10[[#This Row],[STATUS DA ETAPA]],"")</f>
        <v/>
      </c>
    </row>
    <row r="687" spans="1:100">
      <c r="A687" s="44" t="s">
        <v>1</v>
      </c>
      <c r="B687" s="44"/>
      <c r="C687" s="44" t="s">
        <v>1</v>
      </c>
      <c r="D687" s="44"/>
      <c r="E687" s="44" t="s">
        <v>1</v>
      </c>
      <c r="F687" s="44"/>
      <c r="G687" s="44" t="s">
        <v>1</v>
      </c>
      <c r="H687" s="44"/>
      <c r="I687" s="45" t="s">
        <v>1</v>
      </c>
      <c r="J687" s="46"/>
      <c r="K687" s="45" t="s">
        <v>1</v>
      </c>
      <c r="L687" s="33"/>
      <c r="M687" s="45" t="s">
        <v>1</v>
      </c>
      <c r="N687" s="33"/>
      <c r="O687" s="44" t="s">
        <v>1</v>
      </c>
      <c r="P687" s="44"/>
      <c r="Q687" s="44" t="s">
        <v>1</v>
      </c>
      <c r="R687" s="44"/>
      <c r="S687" s="44" t="s">
        <v>1</v>
      </c>
      <c r="T687" s="44"/>
      <c r="U687" s="44" t="s">
        <v>1</v>
      </c>
      <c r="V687" s="44"/>
      <c r="W687" s="44" t="s">
        <v>1</v>
      </c>
      <c r="X687" s="44"/>
      <c r="Y687" s="44" t="s">
        <v>1</v>
      </c>
      <c r="Z687" s="44"/>
      <c r="AA687" s="44" t="s">
        <v>1</v>
      </c>
      <c r="AB687" s="44"/>
      <c r="AC687" s="84">
        <v>45577</v>
      </c>
      <c r="AD687" s="83">
        <v>45577</v>
      </c>
      <c r="AE687" s="41" t="s">
        <v>1</v>
      </c>
      <c r="AF687" s="41" t="s">
        <v>1</v>
      </c>
      <c r="AG687" s="40" t="s">
        <v>5</v>
      </c>
      <c r="AH687" s="36" t="s">
        <v>1</v>
      </c>
      <c r="AI687" s="49">
        <v>0</v>
      </c>
      <c r="AJ687" s="36" t="s">
        <v>1</v>
      </c>
      <c r="AK687" s="10" t="s">
        <v>1</v>
      </c>
      <c r="AL687" s="36" t="s">
        <v>1</v>
      </c>
      <c r="AM687" s="36" t="s">
        <v>1</v>
      </c>
      <c r="AN687" s="35" t="s">
        <v>1</v>
      </c>
      <c r="AO687" s="35" t="s">
        <v>1</v>
      </c>
      <c r="AP687" s="35" t="s">
        <v>1</v>
      </c>
      <c r="AQ687" s="35" t="s">
        <v>1</v>
      </c>
      <c r="AR687" s="93" t="s">
        <v>1</v>
      </c>
      <c r="AS687" s="89"/>
      <c r="AT687" s="88"/>
      <c r="AU687" s="25"/>
      <c r="AV687" s="88"/>
      <c r="AW687" s="25"/>
      <c r="AX687" s="88" t="s">
        <v>1</v>
      </c>
      <c r="AY687" s="25"/>
      <c r="AZ687" s="88" t="s">
        <v>1</v>
      </c>
      <c r="BA687" s="87"/>
      <c r="BB687" s="39"/>
      <c r="BC687" s="25"/>
      <c r="BD687" s="24"/>
      <c r="BE687" s="24"/>
      <c r="BF687" s="79"/>
      <c r="BG687" s="79"/>
      <c r="BH687" s="80"/>
      <c r="BI687" s="79"/>
      <c r="BJ687" s="54"/>
      <c r="BK687" s="78"/>
      <c r="BL687" s="69"/>
      <c r="BM687" s="78"/>
      <c r="BN687" s="78"/>
      <c r="BO687" s="78"/>
      <c r="BP687" s="78"/>
      <c r="BQ687" s="21">
        <f>YEAR([1]!BANCO10[[#This Row],[DATA INÍCIO]])</f>
        <v>2024</v>
      </c>
      <c r="BR687" s="21">
        <f>MONTH([1]!BANCO10[[#This Row],[DATA INÍCIO]])</f>
        <v>10</v>
      </c>
      <c r="BS687" s="21" t="e">
        <f>CONCATENATE(#REF!,#REF!)</f>
        <v>#REF!</v>
      </c>
      <c r="BT687" s="21"/>
      <c r="BU687" s="21"/>
      <c r="BV687" s="21" t="str">
        <f>IF([1]!BANCO10[[#This Row],[SOLUÇÃO]]=BV$1,[1]!BANCO10[[#This Row],[STATUS DA ETAPA]],"")</f>
        <v>CONCLUÍDO</v>
      </c>
      <c r="BW687" s="21" t="str">
        <f>IF([1]!BANCO10[[#This Row],[SOLUÇÃO]]=BW$1,[1]!BANCO10[[#This Row],[STATUS DA ETAPA]],"")</f>
        <v/>
      </c>
      <c r="BX687" s="21" t="str">
        <f>IF([1]!BANCO10[[#This Row],[SOLUÇÃO]]=BX$1,[1]!BANCO10[[#This Row],[STATUS DA ETAPA]],"")</f>
        <v/>
      </c>
      <c r="BY687" s="21" t="str">
        <f>IF([1]!BANCO10[[#This Row],[SOLUÇÃO]]=BY$1,[1]!BANCO10[[#This Row],[STATUS DA ETAPA]],"")</f>
        <v/>
      </c>
      <c r="BZ687" s="21" t="str">
        <f>IF([1]!BANCO10[[#This Row],[SOLUÇÃO]]=BZ$1,[1]!BANCO10[[#This Row],[STATUS DA ETAPA]],"")</f>
        <v/>
      </c>
      <c r="CA687" s="21" t="str">
        <f>IF([1]!BANCO10[[#This Row],[SOLUÇÃO]]=CA$1,[1]!BANCO10[[#This Row],[STATUS DA ETAPA]],"")</f>
        <v/>
      </c>
      <c r="CB687" s="21" t="str">
        <f>IF([1]!BANCO10[[#This Row],[SOLUÇÃO]]=CB$1,[1]!BANCO10[[#This Row],[STATUS DA ETAPA]],"")</f>
        <v/>
      </c>
      <c r="CC687" s="21" t="str">
        <f>IF([1]!BANCO10[[#This Row],[SOLUÇÃO]]=CC$1,[1]!BANCO10[[#This Row],[STATUS DA ETAPA]],"")</f>
        <v/>
      </c>
      <c r="CD687" s="21" t="str">
        <f>IF([1]!BANCO10[[#This Row],[SOLUÇÃO]]=CD$1,[1]!BANCO10[[#This Row],[STATUS DA ETAPA]],"")</f>
        <v/>
      </c>
      <c r="CE687" s="21" t="str">
        <f>IF([1]!BANCO10[[#This Row],[SOLUÇÃO]]=CE$1,[1]!BANCO10[[#This Row],[STATUS DA ETAPA]],"")</f>
        <v/>
      </c>
      <c r="CF687" s="21" t="str">
        <f>IF([1]!BANCO10[[#This Row],[SOLUÇÃO]]=CF$1,[1]!BANCO10[[#This Row],[STATUS DA ETAPA]],"")</f>
        <v/>
      </c>
      <c r="CG687" s="21" t="str">
        <f>IF([1]!BANCO10[[#This Row],[SOLUÇÃO]]=CG$1,[1]!BANCO10[[#This Row],[STATUS DA ETAPA]],"")</f>
        <v/>
      </c>
      <c r="CH687" s="21" t="str">
        <f>IF([1]!BANCO10[[#This Row],[SOLUÇÃO]]=CH$1,[1]!BANCO10[[#This Row],[STATUS DA ETAPA]],"")</f>
        <v/>
      </c>
      <c r="CI687" s="21" t="str">
        <f>IF([1]!BANCO10[[#This Row],[SOLUÇÃO]]=CI$1,[1]!BANCO10[[#This Row],[STATUS DA ETAPA]],"")</f>
        <v/>
      </c>
      <c r="CJ687" s="21" t="str">
        <f>IF([1]!BANCO10[[#This Row],[SOLUÇÃO]]=CJ$1,[1]!BANCO10[[#This Row],[STATUS DA ETAPA]],"")</f>
        <v/>
      </c>
      <c r="CK687" s="21" t="str">
        <f>IF([1]!BANCO10[[#This Row],[SOLUÇÃO]]=CK$1,[1]!BANCO10[[#This Row],[STATUS DA ETAPA]],"")</f>
        <v/>
      </c>
      <c r="CL687" s="22" t="str">
        <f>IF([1]!BANCO10[[#This Row],[SOLUÇÃO]]=CL$1,[1]!BANCO10[[#This Row],[STATUS DA ETAPA]],"")</f>
        <v/>
      </c>
      <c r="CM687" s="64" t="str">
        <f>IF([1]!BANCO10[[#This Row],[SOLUÇÃO]]=CM$1,[1]!BANCO10[[#This Row],[STATUS DA ETAPA]],"")</f>
        <v/>
      </c>
      <c r="CN687" s="64" t="str">
        <f>IF([1]!BANCO10[[#This Row],[SOLUÇÃO]]=CN$1,[1]!BANCO10[[#This Row],[STATUS DA ETAPA]],"")</f>
        <v/>
      </c>
      <c r="CO687" s="64" t="str">
        <f>IF([1]!BANCO10[[#This Row],[SOLUÇÃO]]=CO$1,[1]!BANCO10[[#This Row],[STATUS DA ETAPA]],"")</f>
        <v/>
      </c>
      <c r="CP687" s="64" t="str">
        <f>IF([1]!BANCO10[[#This Row],[SOLUÇÃO]]=CP$1,[1]!BANCO10[[#This Row],[STATUS DA ETAPA]],"")</f>
        <v/>
      </c>
      <c r="CQ687" s="64" t="str">
        <f>IF([1]!BANCO10[[#This Row],[SOLUÇÃO]]=CQ$1,[1]!BANCO10[[#This Row],[STATUS DA ETAPA]],"")</f>
        <v/>
      </c>
      <c r="CR687" s="64" t="str">
        <f>IF([1]!BANCO10[[#This Row],[SOLUÇÃO]]=CR$1,[1]!BANCO10[[#This Row],[STATUS DA ETAPA]],"")</f>
        <v/>
      </c>
      <c r="CS687" s="64" t="str">
        <f>IF([1]!BANCO10[[#This Row],[SOLUÇÃO]]=CS$1,[1]!BANCO10[[#This Row],[STATUS DA ETAPA]],"")</f>
        <v/>
      </c>
      <c r="CT687" s="64" t="str">
        <f>IF([1]!BANCO10[[#This Row],[SOLUÇÃO]]=CT$1,[1]!BANCO10[[#This Row],[STATUS DA ETAPA]],"")</f>
        <v/>
      </c>
      <c r="CU687" s="64" t="str">
        <f>IF([1]!BANCO10[[#This Row],[SOLUÇÃO]]=CU$1,[1]!BANCO10[[#This Row],[STATUS DA ETAPA]],"")</f>
        <v/>
      </c>
      <c r="CV687" s="64" t="str">
        <f>IF([1]!BANCO10[[#This Row],[SOLUÇÃO]]=CV$1,[1]!BANCO10[[#This Row],[STATUS DA ETAPA]],"")</f>
        <v/>
      </c>
    </row>
    <row r="688" spans="1:100">
      <c r="A688" s="44" t="s">
        <v>1</v>
      </c>
      <c r="B688" s="44"/>
      <c r="C688" s="44" t="s">
        <v>1</v>
      </c>
      <c r="D688" s="44"/>
      <c r="E688" s="44" t="s">
        <v>1</v>
      </c>
      <c r="F688" s="44"/>
      <c r="G688" s="44" t="s">
        <v>1</v>
      </c>
      <c r="H688" s="44"/>
      <c r="I688" s="45" t="s">
        <v>1</v>
      </c>
      <c r="J688" s="46"/>
      <c r="K688" s="45" t="s">
        <v>1</v>
      </c>
      <c r="L688" s="33"/>
      <c r="M688" s="45" t="s">
        <v>1</v>
      </c>
      <c r="N688" s="33"/>
      <c r="O688" s="44" t="s">
        <v>2</v>
      </c>
      <c r="P688" s="44">
        <v>45536</v>
      </c>
      <c r="Q688" s="44" t="s">
        <v>2</v>
      </c>
      <c r="R688" s="44">
        <v>45589</v>
      </c>
      <c r="S688" s="44" t="s">
        <v>2</v>
      </c>
      <c r="T688" s="44">
        <v>45607</v>
      </c>
      <c r="U688" s="44" t="s">
        <v>1</v>
      </c>
      <c r="V688" s="44"/>
      <c r="W688" s="44" t="s">
        <v>1</v>
      </c>
      <c r="X688" s="44"/>
      <c r="Y688" s="44" t="s">
        <v>1</v>
      </c>
      <c r="Z688" s="44"/>
      <c r="AA688" s="44" t="s">
        <v>1</v>
      </c>
      <c r="AB688" s="44"/>
      <c r="AC688" s="51">
        <v>45673</v>
      </c>
      <c r="AD688" s="50">
        <v>45785</v>
      </c>
      <c r="AE688" s="41" t="s">
        <v>2</v>
      </c>
      <c r="AF688" s="41" t="s">
        <v>2</v>
      </c>
      <c r="AG688" s="40" t="s">
        <v>5</v>
      </c>
      <c r="AH688" s="36" t="s">
        <v>0</v>
      </c>
      <c r="AI688" s="49">
        <v>0</v>
      </c>
      <c r="AJ688" s="36" t="s">
        <v>6</v>
      </c>
      <c r="AK688" s="10">
        <v>581120</v>
      </c>
      <c r="AL688" s="36" t="s">
        <v>1</v>
      </c>
      <c r="AM688" s="36" t="s">
        <v>1</v>
      </c>
      <c r="AN688" s="35" t="s">
        <v>2</v>
      </c>
      <c r="AO688" s="35" t="s">
        <v>2</v>
      </c>
      <c r="AP688" s="35" t="s">
        <v>2</v>
      </c>
      <c r="AQ688" s="35" t="s">
        <v>2</v>
      </c>
      <c r="AR688" s="33" t="s">
        <v>2</v>
      </c>
      <c r="AS688" s="33">
        <v>45803</v>
      </c>
      <c r="AT688" s="32" t="s">
        <v>1</v>
      </c>
      <c r="AU688" s="31"/>
      <c r="AV688" s="32" t="s">
        <v>1</v>
      </c>
      <c r="AW688" s="31"/>
      <c r="AX688" s="30" t="s">
        <v>2</v>
      </c>
      <c r="AY688" s="29">
        <v>45803</v>
      </c>
      <c r="AZ688" s="28" t="s">
        <v>0</v>
      </c>
      <c r="BA688" s="81"/>
      <c r="BB688" s="95" t="s">
        <v>143</v>
      </c>
      <c r="BC688" s="25" t="s">
        <v>41</v>
      </c>
      <c r="BD688" s="24"/>
      <c r="BE688" s="24"/>
      <c r="BF688" s="79"/>
      <c r="BG688" s="79"/>
      <c r="BH688" s="80"/>
      <c r="BI688" s="79"/>
      <c r="BJ688" s="54"/>
      <c r="BK688" s="78"/>
      <c r="BL688" s="69"/>
      <c r="BM688" s="78"/>
      <c r="BN688" s="78"/>
      <c r="BO688" s="78"/>
      <c r="BP688" s="78"/>
      <c r="BQ688" s="21">
        <f>YEAR([1]!BANCO10[[#This Row],[DATA INÍCIO]])</f>
        <v>2025</v>
      </c>
      <c r="BR688" s="21">
        <f>MONTH([1]!BANCO10[[#This Row],[DATA INÍCIO]])</f>
        <v>1</v>
      </c>
      <c r="BS688" s="21" t="e">
        <f>CONCATENATE(#REF!,#REF!)</f>
        <v>#REF!</v>
      </c>
      <c r="BT688" s="21"/>
      <c r="BU688" s="21"/>
      <c r="BV688" s="21" t="str">
        <f>IF([1]!BANCO10[[#This Row],[SOLUÇÃO]]=BV$1,[1]!BANCO10[[#This Row],[STATUS DA ETAPA]],"")</f>
        <v/>
      </c>
      <c r="BW688" s="21" t="str">
        <f>IF([1]!BANCO10[[#This Row],[SOLUÇÃO]]=BW$1,[1]!BANCO10[[#This Row],[STATUS DA ETAPA]],"")</f>
        <v/>
      </c>
      <c r="BX688" s="21" t="str">
        <f>IF([1]!BANCO10[[#This Row],[SOLUÇÃO]]=BX$1,[1]!BANCO10[[#This Row],[STATUS DA ETAPA]],"")</f>
        <v/>
      </c>
      <c r="BY688" s="21" t="str">
        <f>IF([1]!BANCO10[[#This Row],[SOLUÇÃO]]=BY$1,[1]!BANCO10[[#This Row],[STATUS DA ETAPA]],"")</f>
        <v/>
      </c>
      <c r="BZ688" s="21" t="str">
        <f>IF([1]!BANCO10[[#This Row],[SOLUÇÃO]]=BZ$1,[1]!BANCO10[[#This Row],[STATUS DA ETAPA]],"")</f>
        <v/>
      </c>
      <c r="CA688" s="21" t="str">
        <f>IF([1]!BANCO10[[#This Row],[SOLUÇÃO]]=CA$1,[1]!BANCO10[[#This Row],[STATUS DA ETAPA]],"")</f>
        <v/>
      </c>
      <c r="CB688" s="21" t="str">
        <f>IF([1]!BANCO10[[#This Row],[SOLUÇÃO]]=CB$1,[1]!BANCO10[[#This Row],[STATUS DA ETAPA]],"")</f>
        <v>CONCLUÍDO</v>
      </c>
      <c r="CC688" s="21" t="str">
        <f>IF([1]!BANCO10[[#This Row],[SOLUÇÃO]]=CC$1,[1]!BANCO10[[#This Row],[STATUS DA ETAPA]],"")</f>
        <v/>
      </c>
      <c r="CD688" s="21" t="str">
        <f>IF([1]!BANCO10[[#This Row],[SOLUÇÃO]]=CD$1,[1]!BANCO10[[#This Row],[STATUS DA ETAPA]],"")</f>
        <v/>
      </c>
      <c r="CE688" s="21" t="str">
        <f>IF([1]!BANCO10[[#This Row],[SOLUÇÃO]]=CE$1,[1]!BANCO10[[#This Row],[STATUS DA ETAPA]],"")</f>
        <v/>
      </c>
      <c r="CF688" s="21" t="str">
        <f>IF([1]!BANCO10[[#This Row],[SOLUÇÃO]]=CF$1,[1]!BANCO10[[#This Row],[STATUS DA ETAPA]],"")</f>
        <v/>
      </c>
      <c r="CG688" s="21" t="str">
        <f>IF([1]!BANCO10[[#This Row],[SOLUÇÃO]]=CG$1,[1]!BANCO10[[#This Row],[STATUS DA ETAPA]],"")</f>
        <v/>
      </c>
      <c r="CH688" s="21" t="str">
        <f>IF([1]!BANCO10[[#This Row],[SOLUÇÃO]]=CH$1,[1]!BANCO10[[#This Row],[STATUS DA ETAPA]],"")</f>
        <v/>
      </c>
      <c r="CI688" s="21" t="str">
        <f>IF([1]!BANCO10[[#This Row],[SOLUÇÃO]]=CI$1,[1]!BANCO10[[#This Row],[STATUS DA ETAPA]],"")</f>
        <v/>
      </c>
      <c r="CJ688" s="21" t="str">
        <f>IF([1]!BANCO10[[#This Row],[SOLUÇÃO]]=CJ$1,[1]!BANCO10[[#This Row],[STATUS DA ETAPA]],"")</f>
        <v/>
      </c>
      <c r="CK688" s="21" t="str">
        <f>IF([1]!BANCO10[[#This Row],[SOLUÇÃO]]=CK$1,[1]!BANCO10[[#This Row],[STATUS DA ETAPA]],"")</f>
        <v/>
      </c>
      <c r="CL688" s="22" t="str">
        <f>IF([1]!BANCO10[[#This Row],[SOLUÇÃO]]=CL$1,[1]!BANCO10[[#This Row],[STATUS DA ETAPA]],"")</f>
        <v/>
      </c>
      <c r="CM688" s="64" t="str">
        <f>IF([1]!BANCO10[[#This Row],[SOLUÇÃO]]=CM$1,[1]!BANCO10[[#This Row],[STATUS DA ETAPA]],"")</f>
        <v/>
      </c>
      <c r="CN688" s="64" t="str">
        <f>IF([1]!BANCO10[[#This Row],[SOLUÇÃO]]=CN$1,[1]!BANCO10[[#This Row],[STATUS DA ETAPA]],"")</f>
        <v/>
      </c>
      <c r="CO688" s="64" t="str">
        <f>IF([1]!BANCO10[[#This Row],[SOLUÇÃO]]=CO$1,[1]!BANCO10[[#This Row],[STATUS DA ETAPA]],"")</f>
        <v/>
      </c>
      <c r="CP688" s="64" t="str">
        <f>IF([1]!BANCO10[[#This Row],[SOLUÇÃO]]=CP$1,[1]!BANCO10[[#This Row],[STATUS DA ETAPA]],"")</f>
        <v/>
      </c>
      <c r="CQ688" s="64" t="str">
        <f>IF([1]!BANCO10[[#This Row],[SOLUÇÃO]]=CQ$1,[1]!BANCO10[[#This Row],[STATUS DA ETAPA]],"")</f>
        <v/>
      </c>
      <c r="CR688" s="64" t="str">
        <f>IF([1]!BANCO10[[#This Row],[SOLUÇÃO]]=CR$1,[1]!BANCO10[[#This Row],[STATUS DA ETAPA]],"")</f>
        <v/>
      </c>
      <c r="CS688" s="64" t="str">
        <f>IF([1]!BANCO10[[#This Row],[SOLUÇÃO]]=CS$1,[1]!BANCO10[[#This Row],[STATUS DA ETAPA]],"")</f>
        <v/>
      </c>
      <c r="CT688" s="64" t="str">
        <f>IF([1]!BANCO10[[#This Row],[SOLUÇÃO]]=CT$1,[1]!BANCO10[[#This Row],[STATUS DA ETAPA]],"")</f>
        <v/>
      </c>
      <c r="CU688" s="64" t="str">
        <f>IF([1]!BANCO10[[#This Row],[SOLUÇÃO]]=CU$1,[1]!BANCO10[[#This Row],[STATUS DA ETAPA]],"")</f>
        <v/>
      </c>
      <c r="CV688" s="64" t="str">
        <f>IF([1]!BANCO10[[#This Row],[SOLUÇÃO]]=CV$1,[1]!BANCO10[[#This Row],[STATUS DA ETAPA]],"")</f>
        <v/>
      </c>
    </row>
    <row r="689" spans="1:100">
      <c r="A689" s="44" t="s">
        <v>1</v>
      </c>
      <c r="B689" s="44"/>
      <c r="C689" s="44" t="s">
        <v>1</v>
      </c>
      <c r="D689" s="44"/>
      <c r="E689" s="44" t="s">
        <v>1</v>
      </c>
      <c r="F689" s="44"/>
      <c r="G689" s="44" t="s">
        <v>1</v>
      </c>
      <c r="H689" s="44"/>
      <c r="I689" s="45" t="s">
        <v>1</v>
      </c>
      <c r="J689" s="46"/>
      <c r="K689" s="45" t="s">
        <v>1</v>
      </c>
      <c r="L689" s="33"/>
      <c r="M689" s="45" t="s">
        <v>1</v>
      </c>
      <c r="N689" s="33"/>
      <c r="O689" s="44" t="s">
        <v>1</v>
      </c>
      <c r="P689" s="44"/>
      <c r="Q689" s="44" t="s">
        <v>1</v>
      </c>
      <c r="R689" s="44"/>
      <c r="S689" s="44" t="s">
        <v>1</v>
      </c>
      <c r="T689" s="44"/>
      <c r="U689" s="44" t="s">
        <v>1</v>
      </c>
      <c r="V689" s="44"/>
      <c r="W689" s="44" t="s">
        <v>1</v>
      </c>
      <c r="X689" s="44"/>
      <c r="Y689" s="44" t="s">
        <v>1</v>
      </c>
      <c r="Z689" s="44"/>
      <c r="AA689" s="44" t="s">
        <v>1</v>
      </c>
      <c r="AB689" s="44"/>
      <c r="AC689" s="51">
        <v>45807</v>
      </c>
      <c r="AD689" s="50">
        <v>45807</v>
      </c>
      <c r="AE689" s="41" t="s">
        <v>1</v>
      </c>
      <c r="AF689" s="41" t="s">
        <v>1</v>
      </c>
      <c r="AG689" s="40" t="s">
        <v>4</v>
      </c>
      <c r="AH689" s="36" t="s">
        <v>0</v>
      </c>
      <c r="AI689" s="49">
        <v>0</v>
      </c>
      <c r="AJ689" s="36" t="s">
        <v>1</v>
      </c>
      <c r="AK689" s="10" t="s">
        <v>1</v>
      </c>
      <c r="AL689" s="36" t="s">
        <v>1</v>
      </c>
      <c r="AM689" s="36" t="s">
        <v>1</v>
      </c>
      <c r="AN689" s="35" t="s">
        <v>1</v>
      </c>
      <c r="AO689" s="35" t="s">
        <v>1</v>
      </c>
      <c r="AP689" s="35" t="s">
        <v>1</v>
      </c>
      <c r="AQ689" s="35" t="s">
        <v>2</v>
      </c>
      <c r="AR689" s="33" t="s">
        <v>0</v>
      </c>
      <c r="AS689" s="33"/>
      <c r="AT689" s="30" t="s">
        <v>0</v>
      </c>
      <c r="AU689" s="31"/>
      <c r="AV689" s="30" t="s">
        <v>0</v>
      </c>
      <c r="AW689" s="31"/>
      <c r="AX689" s="30" t="s">
        <v>0</v>
      </c>
      <c r="AY689" s="29"/>
      <c r="AZ689" s="28" t="s">
        <v>0</v>
      </c>
      <c r="BA689" s="81"/>
      <c r="BB689" s="26"/>
      <c r="BC689" s="25"/>
      <c r="BD689" s="24"/>
      <c r="BE689" s="24"/>
      <c r="BF689" s="24"/>
      <c r="BG689" s="24"/>
      <c r="BH689" s="24"/>
      <c r="BI689" s="24"/>
      <c r="BJ689" s="24"/>
      <c r="BK689" s="24"/>
      <c r="BL689" s="24"/>
      <c r="BM689" s="24"/>
      <c r="BN689" s="24"/>
      <c r="BO689" s="24"/>
      <c r="BP689" s="24"/>
      <c r="BQ689" s="22">
        <f>YEAR([1]!BANCO10[[#This Row],[DATA INÍCIO]])</f>
        <v>2025</v>
      </c>
      <c r="BR689" s="22">
        <f>MONTH([1]!BANCO10[[#This Row],[DATA INÍCIO]])</f>
        <v>5</v>
      </c>
      <c r="BS689" s="23" t="e">
        <f>CONCATENATE(#REF!,#REF!)</f>
        <v>#REF!</v>
      </c>
      <c r="BT689" s="22"/>
      <c r="BU689" s="22"/>
      <c r="BV689" s="21" t="str">
        <f>IF([1]!BANCO10[[#This Row],[SOLUÇÃO]]=BV$1,[1]!BANCO10[[#This Row],[STATUS DA ETAPA]],"")</f>
        <v/>
      </c>
      <c r="BW689" s="21" t="str">
        <f>IF([1]!BANCO10[[#This Row],[SOLUÇÃO]]=BW$1,[1]!BANCO10[[#This Row],[STATUS DA ETAPA]],"")</f>
        <v/>
      </c>
      <c r="BX689" s="21" t="str">
        <f>IF([1]!BANCO10[[#This Row],[SOLUÇÃO]]=BX$1,[1]!BANCO10[[#This Row],[STATUS DA ETAPA]],"")</f>
        <v/>
      </c>
      <c r="BY689" s="21" t="str">
        <f>IF([1]!BANCO10[[#This Row],[SOLUÇÃO]]=BY$1,[1]!BANCO10[[#This Row],[STATUS DA ETAPA]],"")</f>
        <v/>
      </c>
      <c r="BZ689" s="21" t="str">
        <f>IF([1]!BANCO10[[#This Row],[SOLUÇÃO]]=BZ$1,[1]!BANCO10[[#This Row],[STATUS DA ETAPA]],"")</f>
        <v/>
      </c>
      <c r="CA689" s="21" t="str">
        <f>IF([1]!BANCO10[[#This Row],[SOLUÇÃO]]=CA$1,[1]!BANCO10[[#This Row],[STATUS DA ETAPA]],"")</f>
        <v/>
      </c>
      <c r="CB689" s="21" t="str">
        <f>IF([1]!BANCO10[[#This Row],[SOLUÇÃO]]=CB$1,[1]!BANCO10[[#This Row],[STATUS DA ETAPA]],"")</f>
        <v/>
      </c>
      <c r="CC689" s="21" t="str">
        <f>IF([1]!BANCO10[[#This Row],[SOLUÇÃO]]=CC$1,[1]!BANCO10[[#This Row],[STATUS DA ETAPA]],"")</f>
        <v/>
      </c>
      <c r="CD689" s="21" t="str">
        <f>IF([1]!BANCO10[[#This Row],[SOLUÇÃO]]=CD$1,[1]!BANCO10[[#This Row],[STATUS DA ETAPA]],"")</f>
        <v/>
      </c>
      <c r="CE689" s="21" t="str">
        <f>IF([1]!BANCO10[[#This Row],[SOLUÇÃO]]=CE$1,[1]!BANCO10[[#This Row],[STATUS DA ETAPA]],"")</f>
        <v/>
      </c>
      <c r="CF689" s="21" t="str">
        <f>IF([1]!BANCO10[[#This Row],[SOLUÇÃO]]=CF$1,[1]!BANCO10[[#This Row],[STATUS DA ETAPA]],"")</f>
        <v/>
      </c>
      <c r="CG689" s="21" t="str">
        <f>IF([1]!BANCO10[[#This Row],[SOLUÇÃO]]=CG$1,[1]!BANCO10[[#This Row],[STATUS DA ETAPA]],"")</f>
        <v/>
      </c>
      <c r="CH689" s="21" t="str">
        <f>IF([1]!BANCO10[[#This Row],[SOLUÇÃO]]=CH$1,[1]!BANCO10[[#This Row],[STATUS DA ETAPA]],"")</f>
        <v/>
      </c>
      <c r="CI689" s="21" t="str">
        <f>IF([1]!BANCO10[[#This Row],[SOLUÇÃO]]=CI$1,[1]!BANCO10[[#This Row],[STATUS DA ETAPA]],"")</f>
        <v/>
      </c>
      <c r="CJ689" s="21" t="str">
        <f>IF([1]!BANCO10[[#This Row],[SOLUÇÃO]]=CJ$1,[1]!BANCO10[[#This Row],[STATUS DA ETAPA]],"")</f>
        <v/>
      </c>
      <c r="CK689" s="21" t="str">
        <f>IF([1]!BANCO10[[#This Row],[SOLUÇÃO]]=CK$1,[1]!BANCO10[[#This Row],[STATUS DA ETAPA]],"")</f>
        <v/>
      </c>
      <c r="CL689" s="21" t="str">
        <f>IF([1]!BANCO10[[#This Row],[SOLUÇÃO]]=CL$1,[1]!BANCO10[[#This Row],[STATUS DA ETAPA]],"")</f>
        <v/>
      </c>
      <c r="CM689" s="21" t="str">
        <f>IF([1]!BANCO10[[#This Row],[SOLUÇÃO]]=CM$1,[1]!BANCO10[[#This Row],[STATUS DA ETAPA]],"")</f>
        <v/>
      </c>
      <c r="CN689" s="21" t="str">
        <f>IF([1]!BANCO10[[#This Row],[SOLUÇÃO]]=CN$1,[1]!BANCO10[[#This Row],[STATUS DA ETAPA]],"")</f>
        <v/>
      </c>
      <c r="CO689" s="21" t="str">
        <f>IF([1]!BANCO10[[#This Row],[SOLUÇÃO]]=CO$1,[1]!BANCO10[[#This Row],[STATUS DA ETAPA]],"")</f>
        <v/>
      </c>
      <c r="CP689" s="21" t="str">
        <f>IF([1]!BANCO10[[#This Row],[SOLUÇÃO]]=CP$1,[1]!BANCO10[[#This Row],[STATUS DA ETAPA]],"")</f>
        <v/>
      </c>
      <c r="CQ689" s="21" t="str">
        <f>IF([1]!BANCO10[[#This Row],[SOLUÇÃO]]=CQ$1,[1]!BANCO10[[#This Row],[STATUS DA ETAPA]],"")</f>
        <v/>
      </c>
      <c r="CR689" s="21" t="str">
        <f>IF([1]!BANCO10[[#This Row],[SOLUÇÃO]]=CR$1,[1]!BANCO10[[#This Row],[STATUS DA ETAPA]],"")</f>
        <v/>
      </c>
      <c r="CS689" s="21" t="str">
        <f>IF([1]!BANCO10[[#This Row],[SOLUÇÃO]]=CS$1,[1]!BANCO10[[#This Row],[STATUS DA ETAPA]],"")</f>
        <v/>
      </c>
      <c r="CT689" s="21" t="str">
        <f>IF([1]!BANCO10[[#This Row],[SOLUÇÃO]]=CT$1,[1]!BANCO10[[#This Row],[STATUS DA ETAPA]],"")</f>
        <v/>
      </c>
      <c r="CU689" s="21" t="str">
        <f>IF([1]!BANCO10[[#This Row],[SOLUÇÃO]]=CU$1,[1]!BANCO10[[#This Row],[STATUS DA ETAPA]],"")</f>
        <v/>
      </c>
      <c r="CV689" s="21" t="str">
        <f>IF([1]!BANCO10[[#This Row],[SOLUÇÃO]]=CV$1,[1]!BANCO10[[#This Row],[STATUS DA ETAPA]],"")</f>
        <v/>
      </c>
    </row>
    <row r="690" spans="1:100">
      <c r="A690" s="44" t="s">
        <v>2</v>
      </c>
      <c r="B690" s="44"/>
      <c r="C690" s="44" t="s">
        <v>1</v>
      </c>
      <c r="D690" s="44"/>
      <c r="E690" s="44" t="s">
        <v>1</v>
      </c>
      <c r="F690" s="44"/>
      <c r="G690" s="44" t="s">
        <v>1</v>
      </c>
      <c r="H690" s="44"/>
      <c r="I690" s="45" t="s">
        <v>1</v>
      </c>
      <c r="J690" s="46"/>
      <c r="K690" s="45" t="s">
        <v>1</v>
      </c>
      <c r="L690" s="33"/>
      <c r="M690" s="45" t="s">
        <v>1</v>
      </c>
      <c r="N690" s="33"/>
      <c r="O690" s="44" t="s">
        <v>1</v>
      </c>
      <c r="P690" s="44"/>
      <c r="Q690" s="44" t="s">
        <v>1</v>
      </c>
      <c r="R690" s="44"/>
      <c r="S690" s="44" t="s">
        <v>1</v>
      </c>
      <c r="T690" s="44"/>
      <c r="U690" s="44" t="s">
        <v>2</v>
      </c>
      <c r="V690" s="44">
        <v>45777</v>
      </c>
      <c r="W690" s="44" t="s">
        <v>2</v>
      </c>
      <c r="X690" s="44"/>
      <c r="Y690" s="44" t="s">
        <v>2</v>
      </c>
      <c r="Z690" s="44"/>
      <c r="AA690" s="44" t="s">
        <v>2</v>
      </c>
      <c r="AB690" s="44"/>
      <c r="AC690" s="51">
        <v>45805</v>
      </c>
      <c r="AD690" s="50">
        <v>45910</v>
      </c>
      <c r="AE690" s="68" t="s">
        <v>2</v>
      </c>
      <c r="AF690" s="68" t="s">
        <v>2</v>
      </c>
      <c r="AG690" s="76" t="s">
        <v>4</v>
      </c>
      <c r="AH690" s="36" t="s">
        <v>0</v>
      </c>
      <c r="AI690" s="49">
        <v>21748.21</v>
      </c>
      <c r="AJ690" s="36" t="s">
        <v>6</v>
      </c>
      <c r="AK690" s="10" t="s">
        <v>206</v>
      </c>
      <c r="AL690" s="36">
        <v>4712</v>
      </c>
      <c r="AM690" s="36">
        <v>118597</v>
      </c>
      <c r="AN690" s="35" t="s">
        <v>1</v>
      </c>
      <c r="AO690" s="35" t="s">
        <v>1</v>
      </c>
      <c r="AP690" s="35" t="s">
        <v>2</v>
      </c>
      <c r="AQ690" s="35" t="s">
        <v>1</v>
      </c>
      <c r="AR690" s="34" t="s">
        <v>1</v>
      </c>
      <c r="AS690" s="33"/>
      <c r="AT690" s="32" t="s">
        <v>2</v>
      </c>
      <c r="AU690" s="31">
        <v>45910</v>
      </c>
      <c r="AV690" s="28" t="s">
        <v>0</v>
      </c>
      <c r="AW690" s="31"/>
      <c r="AX690" s="32" t="s">
        <v>0</v>
      </c>
      <c r="AY690" s="31"/>
      <c r="AZ690" s="32" t="s">
        <v>0</v>
      </c>
      <c r="BA690" s="47"/>
      <c r="BB690" s="74" t="s">
        <v>205</v>
      </c>
      <c r="BC690" s="25"/>
      <c r="BD690" s="24"/>
      <c r="BE690" s="24"/>
      <c r="BF690" s="24"/>
      <c r="BG690" s="24"/>
      <c r="BH690" s="24"/>
      <c r="BI690" s="24"/>
      <c r="BJ690" s="24"/>
      <c r="BK690" s="24"/>
      <c r="BL690" s="24"/>
      <c r="BM690" s="24"/>
      <c r="BN690" s="24"/>
      <c r="BO690" s="24"/>
      <c r="BP690" s="24"/>
      <c r="BQ690" s="22">
        <f>YEAR([1]!BANCO10[[#This Row],[DATA INÍCIO]])</f>
        <v>2025</v>
      </c>
      <c r="BR690" s="22">
        <f>MONTH([1]!BANCO10[[#This Row],[DATA INÍCIO]])</f>
        <v>5</v>
      </c>
      <c r="BS690" s="23" t="e">
        <f>CONCATENATE(#REF!,#REF!)</f>
        <v>#REF!</v>
      </c>
      <c r="BT690" s="22"/>
      <c r="BU690" s="22"/>
      <c r="BV690" s="21" t="str">
        <f>IF([1]!BANCO10[[#This Row],[SOLUÇÃO]]=BV$1,[1]!BANCO10[[#This Row],[STATUS DA ETAPA]],"")</f>
        <v/>
      </c>
      <c r="BW690" s="21" t="str">
        <f>IF([1]!BANCO10[[#This Row],[SOLUÇÃO]]=BW$1,[1]!BANCO10[[#This Row],[STATUS DA ETAPA]],"")</f>
        <v>CONCLUÍDO</v>
      </c>
      <c r="BX690" s="21" t="str">
        <f>IF([1]!BANCO10[[#This Row],[SOLUÇÃO]]=BX$1,[1]!BANCO10[[#This Row],[STATUS DA ETAPA]],"")</f>
        <v/>
      </c>
      <c r="BY690" s="21" t="str">
        <f>IF([1]!BANCO10[[#This Row],[SOLUÇÃO]]=BY$1,[1]!BANCO10[[#This Row],[STATUS DA ETAPA]],"")</f>
        <v/>
      </c>
      <c r="BZ690" s="21" t="str">
        <f>IF([1]!BANCO10[[#This Row],[SOLUÇÃO]]=BZ$1,[1]!BANCO10[[#This Row],[STATUS DA ETAPA]],"")</f>
        <v/>
      </c>
      <c r="CA690" s="21" t="str">
        <f>IF([1]!BANCO10[[#This Row],[SOLUÇÃO]]=CA$1,[1]!BANCO10[[#This Row],[STATUS DA ETAPA]],"")</f>
        <v/>
      </c>
      <c r="CB690" s="21" t="str">
        <f>IF([1]!BANCO10[[#This Row],[SOLUÇÃO]]=CB$1,[1]!BANCO10[[#This Row],[STATUS DA ETAPA]],"")</f>
        <v/>
      </c>
      <c r="CC690" s="21" t="str">
        <f>IF([1]!BANCO10[[#This Row],[SOLUÇÃO]]=CC$1,[1]!BANCO10[[#This Row],[STATUS DA ETAPA]],"")</f>
        <v/>
      </c>
      <c r="CD690" s="21" t="str">
        <f>IF([1]!BANCO10[[#This Row],[SOLUÇÃO]]=CD$1,[1]!BANCO10[[#This Row],[STATUS DA ETAPA]],"")</f>
        <v/>
      </c>
      <c r="CE690" s="21" t="str">
        <f>IF([1]!BANCO10[[#This Row],[SOLUÇÃO]]=CE$1,[1]!BANCO10[[#This Row],[STATUS DA ETAPA]],"")</f>
        <v/>
      </c>
      <c r="CF690" s="21" t="str">
        <f>IF([1]!BANCO10[[#This Row],[SOLUÇÃO]]=CF$1,[1]!BANCO10[[#This Row],[STATUS DA ETAPA]],"")</f>
        <v/>
      </c>
      <c r="CG690" s="21" t="str">
        <f>IF([1]!BANCO10[[#This Row],[SOLUÇÃO]]=CG$1,[1]!BANCO10[[#This Row],[STATUS DA ETAPA]],"")</f>
        <v/>
      </c>
      <c r="CH690" s="21" t="str">
        <f>IF([1]!BANCO10[[#This Row],[SOLUÇÃO]]=CH$1,[1]!BANCO10[[#This Row],[STATUS DA ETAPA]],"")</f>
        <v/>
      </c>
      <c r="CI690" s="21" t="str">
        <f>IF([1]!BANCO10[[#This Row],[SOLUÇÃO]]=CI$1,[1]!BANCO10[[#This Row],[STATUS DA ETAPA]],"")</f>
        <v/>
      </c>
      <c r="CJ690" s="21" t="str">
        <f>IF([1]!BANCO10[[#This Row],[SOLUÇÃO]]=CJ$1,[1]!BANCO10[[#This Row],[STATUS DA ETAPA]],"")</f>
        <v/>
      </c>
      <c r="CK690" s="21" t="str">
        <f>IF([1]!BANCO10[[#This Row],[SOLUÇÃO]]=CK$1,[1]!BANCO10[[#This Row],[STATUS DA ETAPA]],"")</f>
        <v/>
      </c>
      <c r="CL690" s="21" t="str">
        <f>IF([1]!BANCO10[[#This Row],[SOLUÇÃO]]=CL$1,[1]!BANCO10[[#This Row],[STATUS DA ETAPA]],"")</f>
        <v/>
      </c>
      <c r="CM690" s="21" t="str">
        <f>IF([1]!BANCO10[[#This Row],[SOLUÇÃO]]=CM$1,[1]!BANCO10[[#This Row],[STATUS DA ETAPA]],"")</f>
        <v/>
      </c>
      <c r="CN690" s="21" t="str">
        <f>IF([1]!BANCO10[[#This Row],[SOLUÇÃO]]=CN$1,[1]!BANCO10[[#This Row],[STATUS DA ETAPA]],"")</f>
        <v/>
      </c>
      <c r="CO690" s="21" t="str">
        <f>IF([1]!BANCO10[[#This Row],[SOLUÇÃO]]=CO$1,[1]!BANCO10[[#This Row],[STATUS DA ETAPA]],"")</f>
        <v/>
      </c>
      <c r="CP690" s="21" t="str">
        <f>IF([1]!BANCO10[[#This Row],[SOLUÇÃO]]=CP$1,[1]!BANCO10[[#This Row],[STATUS DA ETAPA]],"")</f>
        <v/>
      </c>
      <c r="CQ690" s="21" t="str">
        <f>IF([1]!BANCO10[[#This Row],[SOLUÇÃO]]=CQ$1,[1]!BANCO10[[#This Row],[STATUS DA ETAPA]],"")</f>
        <v/>
      </c>
      <c r="CR690" s="21" t="str">
        <f>IF([1]!BANCO10[[#This Row],[SOLUÇÃO]]=CR$1,[1]!BANCO10[[#This Row],[STATUS DA ETAPA]],"")</f>
        <v/>
      </c>
      <c r="CS690" s="21" t="str">
        <f>IF([1]!BANCO10[[#This Row],[SOLUÇÃO]]=CS$1,[1]!BANCO10[[#This Row],[STATUS DA ETAPA]],"")</f>
        <v/>
      </c>
      <c r="CT690" s="21" t="str">
        <f>IF([1]!BANCO10[[#This Row],[SOLUÇÃO]]=CT$1,[1]!BANCO10[[#This Row],[STATUS DA ETAPA]],"")</f>
        <v/>
      </c>
      <c r="CU690" s="21" t="str">
        <f>IF([1]!BANCO10[[#This Row],[SOLUÇÃO]]=CU$1,[1]!BANCO10[[#This Row],[STATUS DA ETAPA]],"")</f>
        <v/>
      </c>
      <c r="CV690" s="21" t="str">
        <f>IF([1]!BANCO10[[#This Row],[SOLUÇÃO]]=CV$1,[1]!BANCO10[[#This Row],[STATUS DA ETAPA]],"")</f>
        <v/>
      </c>
    </row>
    <row r="691" spans="1:100">
      <c r="A691" s="44" t="s">
        <v>2</v>
      </c>
      <c r="B691" s="44">
        <v>45713</v>
      </c>
      <c r="C691" s="44" t="s">
        <v>2</v>
      </c>
      <c r="D691" s="44">
        <v>45713</v>
      </c>
      <c r="E691" s="44" t="s">
        <v>2</v>
      </c>
      <c r="F691" s="44">
        <v>45713</v>
      </c>
      <c r="G691" s="44" t="s">
        <v>2</v>
      </c>
      <c r="H691" s="44">
        <v>45713</v>
      </c>
      <c r="I691" s="45" t="s">
        <v>2</v>
      </c>
      <c r="J691" s="46">
        <v>45736</v>
      </c>
      <c r="K691" s="45" t="s">
        <v>0</v>
      </c>
      <c r="L691" s="33"/>
      <c r="M691" s="45" t="s">
        <v>0</v>
      </c>
      <c r="N691" s="33"/>
      <c r="O691" s="44" t="s">
        <v>1</v>
      </c>
      <c r="P691" s="44"/>
      <c r="Q691" s="44" t="s">
        <v>1</v>
      </c>
      <c r="R691" s="44"/>
      <c r="S691" s="44" t="s">
        <v>2</v>
      </c>
      <c r="T691" s="44">
        <v>45708</v>
      </c>
      <c r="U691" s="44" t="s">
        <v>1</v>
      </c>
      <c r="V691" s="44"/>
      <c r="W691" s="44" t="s">
        <v>1</v>
      </c>
      <c r="X691" s="44"/>
      <c r="Y691" s="44" t="s">
        <v>1</v>
      </c>
      <c r="Z691" s="44"/>
      <c r="AA691" s="44" t="s">
        <v>1</v>
      </c>
      <c r="AB691" s="44"/>
      <c r="AC691" s="51">
        <v>46022</v>
      </c>
      <c r="AD691" s="50">
        <v>46022</v>
      </c>
      <c r="AE691" s="41" t="s">
        <v>0</v>
      </c>
      <c r="AF691" s="41" t="s">
        <v>0</v>
      </c>
      <c r="AG691" s="40" t="s">
        <v>5</v>
      </c>
      <c r="AH691" s="36" t="s">
        <v>0</v>
      </c>
      <c r="AI691" s="49">
        <v>14440</v>
      </c>
      <c r="AJ691" s="36" t="s">
        <v>3</v>
      </c>
      <c r="AK691" s="21">
        <v>678858</v>
      </c>
      <c r="AL691" s="36" t="s">
        <v>1</v>
      </c>
      <c r="AM691" s="36" t="s">
        <v>1</v>
      </c>
      <c r="AN691" s="35" t="s">
        <v>0</v>
      </c>
      <c r="AO691" s="35" t="s">
        <v>0</v>
      </c>
      <c r="AP691" s="35" t="s">
        <v>0</v>
      </c>
      <c r="AQ691" s="35" t="s">
        <v>0</v>
      </c>
      <c r="AR691" s="33" t="s">
        <v>0</v>
      </c>
      <c r="AS691" s="33"/>
      <c r="AT691" s="32" t="s">
        <v>0</v>
      </c>
      <c r="AU691" s="31"/>
      <c r="AV691" s="32" t="s">
        <v>0</v>
      </c>
      <c r="AW691" s="31"/>
      <c r="AX691" s="32" t="s">
        <v>0</v>
      </c>
      <c r="AY691" s="31"/>
      <c r="AZ691" s="32" t="s">
        <v>0</v>
      </c>
      <c r="BA691" s="47"/>
      <c r="BB691" s="26" t="s">
        <v>7</v>
      </c>
      <c r="BC691" s="25" t="s">
        <v>84</v>
      </c>
      <c r="BD691" s="24"/>
      <c r="BE691" s="24"/>
      <c r="BF691" s="24"/>
      <c r="BG691" s="24"/>
      <c r="BH691" s="24"/>
      <c r="BI691" s="24"/>
      <c r="BJ691" s="24"/>
      <c r="BK691" s="24"/>
      <c r="BL691" s="24"/>
      <c r="BM691" s="24"/>
      <c r="BN691" s="24"/>
      <c r="BO691" s="24"/>
      <c r="BP691" s="24"/>
      <c r="BQ691" s="22">
        <f>YEAR([1]!BANCO10[[#This Row],[DATA INÍCIO]])</f>
        <v>2025</v>
      </c>
      <c r="BR691" s="22">
        <f>MONTH([1]!BANCO10[[#This Row],[DATA INÍCIO]])</f>
        <v>12</v>
      </c>
      <c r="BS691" s="23" t="e">
        <f>CONCATENATE(#REF!,#REF!)</f>
        <v>#REF!</v>
      </c>
      <c r="BT691" s="22"/>
      <c r="BU691" s="22"/>
      <c r="BV691" s="21" t="str">
        <f>IF([1]!BANCO10[[#This Row],[SOLUÇÃO]]=BV$1,[1]!BANCO10[[#This Row],[STATUS DA ETAPA]],"")</f>
        <v/>
      </c>
      <c r="BW691" s="21" t="str">
        <f>IF([1]!BANCO10[[#This Row],[SOLUÇÃO]]=BW$1,[1]!BANCO10[[#This Row],[STATUS DA ETAPA]],"")</f>
        <v/>
      </c>
      <c r="BX691" s="21" t="str">
        <f>IF([1]!BANCO10[[#This Row],[SOLUÇÃO]]=BX$1,[1]!BANCO10[[#This Row],[STATUS DA ETAPA]],"")</f>
        <v/>
      </c>
      <c r="BY691" s="21" t="str">
        <f>IF([1]!BANCO10[[#This Row],[SOLUÇÃO]]=BY$1,[1]!BANCO10[[#This Row],[STATUS DA ETAPA]],"")</f>
        <v/>
      </c>
      <c r="BZ691" s="21" t="str">
        <f>IF([1]!BANCO10[[#This Row],[SOLUÇÃO]]=BZ$1,[1]!BANCO10[[#This Row],[STATUS DA ETAPA]],"")</f>
        <v/>
      </c>
      <c r="CA691" s="21" t="str">
        <f>IF([1]!BANCO10[[#This Row],[SOLUÇÃO]]=CA$1,[1]!BANCO10[[#This Row],[STATUS DA ETAPA]],"")</f>
        <v/>
      </c>
      <c r="CB691" s="21" t="str">
        <f>IF([1]!BANCO10[[#This Row],[SOLUÇÃO]]=CB$1,[1]!BANCO10[[#This Row],[STATUS DA ETAPA]],"")</f>
        <v>AGUARDANDO SALDO</v>
      </c>
      <c r="CC691" s="21" t="str">
        <f>IF([1]!BANCO10[[#This Row],[SOLUÇÃO]]=CC$1,[1]!BANCO10[[#This Row],[STATUS DA ETAPA]],"")</f>
        <v/>
      </c>
      <c r="CD691" s="21" t="str">
        <f>IF([1]!BANCO10[[#This Row],[SOLUÇÃO]]=CD$1,[1]!BANCO10[[#This Row],[STATUS DA ETAPA]],"")</f>
        <v/>
      </c>
      <c r="CE691" s="21" t="str">
        <f>IF([1]!BANCO10[[#This Row],[SOLUÇÃO]]=CE$1,[1]!BANCO10[[#This Row],[STATUS DA ETAPA]],"")</f>
        <v/>
      </c>
      <c r="CF691" s="21" t="str">
        <f>IF([1]!BANCO10[[#This Row],[SOLUÇÃO]]=CF$1,[1]!BANCO10[[#This Row],[STATUS DA ETAPA]],"")</f>
        <v/>
      </c>
      <c r="CG691" s="21" t="str">
        <f>IF([1]!BANCO10[[#This Row],[SOLUÇÃO]]=CG$1,[1]!BANCO10[[#This Row],[STATUS DA ETAPA]],"")</f>
        <v/>
      </c>
      <c r="CH691" s="21" t="str">
        <f>IF([1]!BANCO10[[#This Row],[SOLUÇÃO]]=CH$1,[1]!BANCO10[[#This Row],[STATUS DA ETAPA]],"")</f>
        <v/>
      </c>
      <c r="CI691" s="21" t="str">
        <f>IF([1]!BANCO10[[#This Row],[SOLUÇÃO]]=CI$1,[1]!BANCO10[[#This Row],[STATUS DA ETAPA]],"")</f>
        <v/>
      </c>
      <c r="CJ691" s="21" t="str">
        <f>IF([1]!BANCO10[[#This Row],[SOLUÇÃO]]=CJ$1,[1]!BANCO10[[#This Row],[STATUS DA ETAPA]],"")</f>
        <v/>
      </c>
      <c r="CK691" s="21" t="str">
        <f>IF([1]!BANCO10[[#This Row],[SOLUÇÃO]]=CK$1,[1]!BANCO10[[#This Row],[STATUS DA ETAPA]],"")</f>
        <v/>
      </c>
      <c r="CL691" s="21" t="str">
        <f>IF([1]!BANCO10[[#This Row],[SOLUÇÃO]]=CL$1,[1]!BANCO10[[#This Row],[STATUS DA ETAPA]],"")</f>
        <v/>
      </c>
      <c r="CM691" s="21" t="str">
        <f>IF([1]!BANCO10[[#This Row],[SOLUÇÃO]]=CM$1,[1]!BANCO10[[#This Row],[STATUS DA ETAPA]],"")</f>
        <v/>
      </c>
      <c r="CN691" s="21" t="str">
        <f>IF([1]!BANCO10[[#This Row],[SOLUÇÃO]]=CN$1,[1]!BANCO10[[#This Row],[STATUS DA ETAPA]],"")</f>
        <v/>
      </c>
      <c r="CO691" s="21" t="str">
        <f>IF([1]!BANCO10[[#This Row],[SOLUÇÃO]]=CO$1,[1]!BANCO10[[#This Row],[STATUS DA ETAPA]],"")</f>
        <v/>
      </c>
      <c r="CP691" s="21" t="str">
        <f>IF([1]!BANCO10[[#This Row],[SOLUÇÃO]]=CP$1,[1]!BANCO10[[#This Row],[STATUS DA ETAPA]],"")</f>
        <v/>
      </c>
      <c r="CQ691" s="21" t="str">
        <f>IF([1]!BANCO10[[#This Row],[SOLUÇÃO]]=CQ$1,[1]!BANCO10[[#This Row],[STATUS DA ETAPA]],"")</f>
        <v/>
      </c>
      <c r="CR691" s="21" t="str">
        <f>IF([1]!BANCO10[[#This Row],[SOLUÇÃO]]=CR$1,[1]!BANCO10[[#This Row],[STATUS DA ETAPA]],"")</f>
        <v/>
      </c>
      <c r="CS691" s="21" t="str">
        <f>IF([1]!BANCO10[[#This Row],[SOLUÇÃO]]=CS$1,[1]!BANCO10[[#This Row],[STATUS DA ETAPA]],"")</f>
        <v/>
      </c>
      <c r="CT691" s="21" t="str">
        <f>IF([1]!BANCO10[[#This Row],[SOLUÇÃO]]=CT$1,[1]!BANCO10[[#This Row],[STATUS DA ETAPA]],"")</f>
        <v/>
      </c>
      <c r="CU691" s="21" t="str">
        <f>IF([1]!BANCO10[[#This Row],[SOLUÇÃO]]=CU$1,[1]!BANCO10[[#This Row],[STATUS DA ETAPA]],"")</f>
        <v/>
      </c>
      <c r="CV691" s="21" t="str">
        <f>IF([1]!BANCO10[[#This Row],[SOLUÇÃO]]=CV$1,[1]!BANCO10[[#This Row],[STATUS DA ETAPA]],"")</f>
        <v/>
      </c>
    </row>
    <row r="692" spans="1:100">
      <c r="A692" s="44" t="s">
        <v>1</v>
      </c>
      <c r="B692" s="44"/>
      <c r="C692" s="44" t="s">
        <v>1</v>
      </c>
      <c r="D692" s="44"/>
      <c r="E692" s="44" t="s">
        <v>1</v>
      </c>
      <c r="F692" s="44"/>
      <c r="G692" s="44" t="s">
        <v>1</v>
      </c>
      <c r="H692" s="44"/>
      <c r="I692" s="45" t="s">
        <v>1</v>
      </c>
      <c r="J692" s="46"/>
      <c r="K692" s="45" t="s">
        <v>1</v>
      </c>
      <c r="L692" s="33"/>
      <c r="M692" s="45" t="s">
        <v>1</v>
      </c>
      <c r="N692" s="33"/>
      <c r="O692" s="44" t="s">
        <v>2</v>
      </c>
      <c r="P692" s="44">
        <v>44799</v>
      </c>
      <c r="Q692" s="44" t="s">
        <v>0</v>
      </c>
      <c r="R692" s="44"/>
      <c r="S692" s="44" t="s">
        <v>1</v>
      </c>
      <c r="T692" s="44"/>
      <c r="U692" s="44" t="s">
        <v>1</v>
      </c>
      <c r="V692" s="44"/>
      <c r="W692" s="44" t="s">
        <v>1</v>
      </c>
      <c r="X692" s="44"/>
      <c r="Y692" s="44" t="s">
        <v>1</v>
      </c>
      <c r="Z692" s="44"/>
      <c r="AA692" s="44" t="s">
        <v>1</v>
      </c>
      <c r="AB692" s="44"/>
      <c r="AC692" s="84">
        <v>44795</v>
      </c>
      <c r="AD692" s="83">
        <v>44795</v>
      </c>
      <c r="AE692" s="40" t="s">
        <v>1</v>
      </c>
      <c r="AF692" s="40" t="s">
        <v>1</v>
      </c>
      <c r="AG692" s="40" t="s">
        <v>5</v>
      </c>
      <c r="AH692" s="36" t="s">
        <v>1</v>
      </c>
      <c r="AI692" s="49">
        <v>0</v>
      </c>
      <c r="AJ692" s="36" t="s">
        <v>1</v>
      </c>
      <c r="AK692" s="10" t="s">
        <v>1</v>
      </c>
      <c r="AL692" s="36" t="s">
        <v>1</v>
      </c>
      <c r="AM692" s="36" t="s">
        <v>1</v>
      </c>
      <c r="AN692" s="35" t="s">
        <v>1</v>
      </c>
      <c r="AO692" s="35" t="s">
        <v>1</v>
      </c>
      <c r="AP692" s="35" t="s">
        <v>1</v>
      </c>
      <c r="AQ692" s="35" t="s">
        <v>1</v>
      </c>
      <c r="AR692" s="48" t="s">
        <v>1</v>
      </c>
      <c r="AS692" s="33"/>
      <c r="AT692" s="30"/>
      <c r="AU692" s="55"/>
      <c r="AV692" s="30"/>
      <c r="AW692" s="55"/>
      <c r="AX692" s="30" t="s">
        <v>1</v>
      </c>
      <c r="AY692" s="55"/>
      <c r="AZ692" s="30" t="s">
        <v>1</v>
      </c>
      <c r="BA692" s="85"/>
      <c r="BB692" s="39"/>
      <c r="BC692" s="25"/>
      <c r="BD692" s="24" t="s">
        <v>11</v>
      </c>
      <c r="BE692" s="24" t="s">
        <v>11</v>
      </c>
      <c r="BF692" s="79" t="s">
        <v>21</v>
      </c>
      <c r="BG692" s="79" t="s">
        <v>11</v>
      </c>
      <c r="BH692" s="80" t="s">
        <v>19</v>
      </c>
      <c r="BI692" s="79"/>
      <c r="BJ692" s="54" t="s">
        <v>11</v>
      </c>
      <c r="BK692" s="78" t="s">
        <v>11</v>
      </c>
      <c r="BL692" s="69" t="s">
        <v>11</v>
      </c>
      <c r="BM692" s="78" t="s">
        <v>11</v>
      </c>
      <c r="BN692" s="78" t="s">
        <v>11</v>
      </c>
      <c r="BO692" s="78" t="s">
        <v>11</v>
      </c>
      <c r="BP692" s="78" t="s">
        <v>11</v>
      </c>
      <c r="BQ692" s="21">
        <f>YEAR([1]!BANCO10[[#This Row],[DATA INÍCIO]])</f>
        <v>2022</v>
      </c>
      <c r="BR692" s="21">
        <f>MONTH([1]!BANCO10[[#This Row],[DATA INÍCIO]])</f>
        <v>8</v>
      </c>
      <c r="BS692" s="21" t="e">
        <f>CONCATENATE(#REF!,#REF!)</f>
        <v>#REF!</v>
      </c>
      <c r="BT692" s="21"/>
      <c r="BU692" s="21" t="s">
        <v>204</v>
      </c>
      <c r="BV692" s="21" t="str">
        <f>IF([1]!BANCO10[[#This Row],[SOLUÇÃO]]=BV$1,[1]!BANCO10[[#This Row],[STATUS DA ETAPA]],"")</f>
        <v>CONCLUÍDO</v>
      </c>
      <c r="BW692" s="21" t="str">
        <f>IF([1]!BANCO10[[#This Row],[SOLUÇÃO]]=BW$1,[1]!BANCO10[[#This Row],[STATUS DA ETAPA]],"")</f>
        <v/>
      </c>
      <c r="BX692" s="21" t="str">
        <f>IF([1]!BANCO10[[#This Row],[SOLUÇÃO]]=BX$1,[1]!BANCO10[[#This Row],[STATUS DA ETAPA]],"")</f>
        <v/>
      </c>
      <c r="BY692" s="21" t="str">
        <f>IF([1]!BANCO10[[#This Row],[SOLUÇÃO]]=BY$1,[1]!BANCO10[[#This Row],[STATUS DA ETAPA]],"")</f>
        <v/>
      </c>
      <c r="BZ692" s="21" t="str">
        <f>IF([1]!BANCO10[[#This Row],[SOLUÇÃO]]=BZ$1,[1]!BANCO10[[#This Row],[STATUS DA ETAPA]],"")</f>
        <v/>
      </c>
      <c r="CA692" s="21" t="str">
        <f>IF([1]!BANCO10[[#This Row],[SOLUÇÃO]]=CA$1,[1]!BANCO10[[#This Row],[STATUS DA ETAPA]],"")</f>
        <v/>
      </c>
      <c r="CB692" s="21" t="str">
        <f>IF([1]!BANCO10[[#This Row],[SOLUÇÃO]]=CB$1,[1]!BANCO10[[#This Row],[STATUS DA ETAPA]],"")</f>
        <v/>
      </c>
      <c r="CC692" s="21" t="str">
        <f>IF([1]!BANCO10[[#This Row],[SOLUÇÃO]]=CC$1,[1]!BANCO10[[#This Row],[STATUS DA ETAPA]],"")</f>
        <v/>
      </c>
      <c r="CD692" s="21" t="str">
        <f>IF([1]!BANCO10[[#This Row],[SOLUÇÃO]]=CD$1,[1]!BANCO10[[#This Row],[STATUS DA ETAPA]],"")</f>
        <v/>
      </c>
      <c r="CE692" s="21" t="str">
        <f>IF([1]!BANCO10[[#This Row],[SOLUÇÃO]]=CE$1,[1]!BANCO10[[#This Row],[STATUS DA ETAPA]],"")</f>
        <v/>
      </c>
      <c r="CF692" s="21" t="str">
        <f>IF([1]!BANCO10[[#This Row],[SOLUÇÃO]]=CF$1,[1]!BANCO10[[#This Row],[STATUS DA ETAPA]],"")</f>
        <v/>
      </c>
      <c r="CG692" s="21" t="str">
        <f>IF([1]!BANCO10[[#This Row],[SOLUÇÃO]]=CG$1,[1]!BANCO10[[#This Row],[STATUS DA ETAPA]],"")</f>
        <v/>
      </c>
      <c r="CH692" s="21" t="str">
        <f>IF([1]!BANCO10[[#This Row],[SOLUÇÃO]]=CH$1,[1]!BANCO10[[#This Row],[STATUS DA ETAPA]],"")</f>
        <v/>
      </c>
      <c r="CI692" s="21" t="str">
        <f>IF([1]!BANCO10[[#This Row],[SOLUÇÃO]]=CI$1,[1]!BANCO10[[#This Row],[STATUS DA ETAPA]],"")</f>
        <v/>
      </c>
      <c r="CJ692" s="21" t="str">
        <f>IF([1]!BANCO10[[#This Row],[SOLUÇÃO]]=CJ$1,[1]!BANCO10[[#This Row],[STATUS DA ETAPA]],"")</f>
        <v/>
      </c>
      <c r="CK692" s="21" t="str">
        <f>IF([1]!BANCO10[[#This Row],[SOLUÇÃO]]=CK$1,[1]!BANCO10[[#This Row],[STATUS DA ETAPA]],"")</f>
        <v/>
      </c>
      <c r="CL692" s="22" t="str">
        <f>IF([1]!BANCO10[[#This Row],[SOLUÇÃO]]=CL$1,[1]!BANCO10[[#This Row],[STATUS DA ETAPA]],"")</f>
        <v/>
      </c>
      <c r="CM692" s="64" t="str">
        <f>IF([1]!BANCO10[[#This Row],[SOLUÇÃO]]=CM$1,[1]!BANCO10[[#This Row],[STATUS DA ETAPA]],"")</f>
        <v/>
      </c>
      <c r="CN692" s="64" t="str">
        <f>IF([1]!BANCO10[[#This Row],[SOLUÇÃO]]=CN$1,[1]!BANCO10[[#This Row],[STATUS DA ETAPA]],"")</f>
        <v/>
      </c>
      <c r="CO692" s="64" t="str">
        <f>IF([1]!BANCO10[[#This Row],[SOLUÇÃO]]=CO$1,[1]!BANCO10[[#This Row],[STATUS DA ETAPA]],"")</f>
        <v/>
      </c>
      <c r="CP692" s="64" t="str">
        <f>IF([1]!BANCO10[[#This Row],[SOLUÇÃO]]=CP$1,[1]!BANCO10[[#This Row],[STATUS DA ETAPA]],"")</f>
        <v/>
      </c>
      <c r="CQ692" s="64" t="str">
        <f>IF([1]!BANCO10[[#This Row],[SOLUÇÃO]]=CQ$1,[1]!BANCO10[[#This Row],[STATUS DA ETAPA]],"")</f>
        <v/>
      </c>
      <c r="CR692" s="64" t="str">
        <f>IF([1]!BANCO10[[#This Row],[SOLUÇÃO]]=CR$1,[1]!BANCO10[[#This Row],[STATUS DA ETAPA]],"")</f>
        <v/>
      </c>
      <c r="CS692" s="64" t="str">
        <f>IF([1]!BANCO10[[#This Row],[SOLUÇÃO]]=CS$1,[1]!BANCO10[[#This Row],[STATUS DA ETAPA]],"")</f>
        <v/>
      </c>
      <c r="CT692" s="64" t="str">
        <f>IF([1]!BANCO10[[#This Row],[SOLUÇÃO]]=CT$1,[1]!BANCO10[[#This Row],[STATUS DA ETAPA]],"")</f>
        <v/>
      </c>
      <c r="CU692" s="64" t="str">
        <f>IF([1]!BANCO10[[#This Row],[SOLUÇÃO]]=CU$1,[1]!BANCO10[[#This Row],[STATUS DA ETAPA]],"")</f>
        <v/>
      </c>
      <c r="CV692" s="64" t="str">
        <f>IF([1]!BANCO10[[#This Row],[SOLUÇÃO]]=CV$1,[1]!BANCO10[[#This Row],[STATUS DA ETAPA]],"")</f>
        <v/>
      </c>
    </row>
    <row r="693" spans="1:100">
      <c r="A693" s="44" t="s">
        <v>1</v>
      </c>
      <c r="B693" s="44"/>
      <c r="C693" s="44" t="s">
        <v>1</v>
      </c>
      <c r="D693" s="44"/>
      <c r="E693" s="44" t="s">
        <v>1</v>
      </c>
      <c r="F693" s="44"/>
      <c r="G693" s="44" t="s">
        <v>1</v>
      </c>
      <c r="H693" s="44"/>
      <c r="I693" s="45" t="s">
        <v>1</v>
      </c>
      <c r="J693" s="46"/>
      <c r="K693" s="45" t="s">
        <v>1</v>
      </c>
      <c r="L693" s="33"/>
      <c r="M693" s="45" t="s">
        <v>1</v>
      </c>
      <c r="N693" s="33"/>
      <c r="O693" s="44" t="s">
        <v>2</v>
      </c>
      <c r="P693" s="44">
        <v>44799</v>
      </c>
      <c r="Q693" s="44" t="s">
        <v>2</v>
      </c>
      <c r="R693" s="44">
        <v>44802</v>
      </c>
      <c r="S693" s="44" t="s">
        <v>1</v>
      </c>
      <c r="T693" s="44"/>
      <c r="U693" s="44"/>
      <c r="V693" s="44"/>
      <c r="W693" s="44" t="s">
        <v>2</v>
      </c>
      <c r="X693" s="44"/>
      <c r="Y693" s="44" t="s">
        <v>2</v>
      </c>
      <c r="Z693" s="44">
        <v>44798</v>
      </c>
      <c r="AA693" s="44" t="s">
        <v>2</v>
      </c>
      <c r="AB693" s="44"/>
      <c r="AC693" s="51">
        <v>44944</v>
      </c>
      <c r="AD693" s="50">
        <v>45007</v>
      </c>
      <c r="AE693" s="40" t="s">
        <v>2</v>
      </c>
      <c r="AF693" s="40" t="s">
        <v>2</v>
      </c>
      <c r="AG693" s="40" t="s">
        <v>5</v>
      </c>
      <c r="AH693" s="36" t="s">
        <v>0</v>
      </c>
      <c r="AI693" s="49">
        <v>0</v>
      </c>
      <c r="AJ693" s="36" t="s">
        <v>6</v>
      </c>
      <c r="AK693" s="10"/>
      <c r="AL693" s="36" t="s">
        <v>61</v>
      </c>
      <c r="AM693" s="36"/>
      <c r="AN693" s="35" t="s">
        <v>1</v>
      </c>
      <c r="AO693" s="35" t="s">
        <v>1</v>
      </c>
      <c r="AP693" s="35" t="s">
        <v>2</v>
      </c>
      <c r="AQ693" s="35" t="s">
        <v>1</v>
      </c>
      <c r="AR693" s="33" t="s">
        <v>1</v>
      </c>
      <c r="AS693" s="33"/>
      <c r="AT693" s="30"/>
      <c r="AU693" s="55"/>
      <c r="AV693" s="30"/>
      <c r="AW693" s="55"/>
      <c r="AX693" s="30" t="s">
        <v>2</v>
      </c>
      <c r="AY693" s="55">
        <v>45083</v>
      </c>
      <c r="AZ693" s="30" t="s">
        <v>2</v>
      </c>
      <c r="BA693" s="85"/>
      <c r="BB693" s="39"/>
      <c r="BC693" s="25"/>
      <c r="BD693" s="24" t="s">
        <v>11</v>
      </c>
      <c r="BE693" s="24" t="s">
        <v>11</v>
      </c>
      <c r="BF693" s="79" t="s">
        <v>21</v>
      </c>
      <c r="BG693" s="79" t="s">
        <v>11</v>
      </c>
      <c r="BH693" s="80" t="s">
        <v>19</v>
      </c>
      <c r="BI693" s="79"/>
      <c r="BJ693" s="54" t="s">
        <v>11</v>
      </c>
      <c r="BK693" s="78" t="s">
        <v>11</v>
      </c>
      <c r="BL693" s="69" t="s">
        <v>11</v>
      </c>
      <c r="BM693" s="78" t="s">
        <v>11</v>
      </c>
      <c r="BN693" s="78" t="s">
        <v>11</v>
      </c>
      <c r="BO693" s="78" t="s">
        <v>11</v>
      </c>
      <c r="BP693" s="78" t="s">
        <v>11</v>
      </c>
      <c r="BQ693" s="21">
        <f>YEAR([1]!BANCO10[[#This Row],[DATA INÍCIO]])</f>
        <v>2023</v>
      </c>
      <c r="BR693" s="21">
        <f>MONTH([1]!BANCO10[[#This Row],[DATA INÍCIO]])</f>
        <v>1</v>
      </c>
      <c r="BS693" s="21" t="e">
        <f>CONCATENATE(#REF!,#REF!)</f>
        <v>#REF!</v>
      </c>
      <c r="BT693" s="21"/>
      <c r="BU693" s="21" t="s">
        <v>203</v>
      </c>
      <c r="BV693" s="21" t="str">
        <f>IF([1]!BANCO10[[#This Row],[SOLUÇÃO]]=BV$1,[1]!BANCO10[[#This Row],[STATUS DA ETAPA]],"")</f>
        <v/>
      </c>
      <c r="BW693" s="21" t="str">
        <f>IF([1]!BANCO10[[#This Row],[SOLUÇÃO]]=BW$1,[1]!BANCO10[[#This Row],[STATUS DA ETAPA]],"")</f>
        <v/>
      </c>
      <c r="BX693" s="21" t="str">
        <f>IF([1]!BANCO10[[#This Row],[SOLUÇÃO]]=BX$1,[1]!BANCO10[[#This Row],[STATUS DA ETAPA]],"")</f>
        <v/>
      </c>
      <c r="BY693" s="21" t="str">
        <f>IF([1]!BANCO10[[#This Row],[SOLUÇÃO]]=BY$1,[1]!BANCO10[[#This Row],[STATUS DA ETAPA]],"")</f>
        <v/>
      </c>
      <c r="BZ693" s="21" t="str">
        <f>IF([1]!BANCO10[[#This Row],[SOLUÇÃO]]=BZ$1,[1]!BANCO10[[#This Row],[STATUS DA ETAPA]],"")</f>
        <v/>
      </c>
      <c r="CA693" s="21" t="str">
        <f>IF([1]!BANCO10[[#This Row],[SOLUÇÃO]]=CA$1,[1]!BANCO10[[#This Row],[STATUS DA ETAPA]],"")</f>
        <v>CONCLUÍDO</v>
      </c>
      <c r="CB693" s="21" t="str">
        <f>IF([1]!BANCO10[[#This Row],[SOLUÇÃO]]=CB$1,[1]!BANCO10[[#This Row],[STATUS DA ETAPA]],"")</f>
        <v/>
      </c>
      <c r="CC693" s="21" t="str">
        <f>IF([1]!BANCO10[[#This Row],[SOLUÇÃO]]=CC$1,[1]!BANCO10[[#This Row],[STATUS DA ETAPA]],"")</f>
        <v/>
      </c>
      <c r="CD693" s="21" t="str">
        <f>IF([1]!BANCO10[[#This Row],[SOLUÇÃO]]=CD$1,[1]!BANCO10[[#This Row],[STATUS DA ETAPA]],"")</f>
        <v/>
      </c>
      <c r="CE693" s="21" t="str">
        <f>IF([1]!BANCO10[[#This Row],[SOLUÇÃO]]=CE$1,[1]!BANCO10[[#This Row],[STATUS DA ETAPA]],"")</f>
        <v/>
      </c>
      <c r="CF693" s="21" t="str">
        <f>IF([1]!BANCO10[[#This Row],[SOLUÇÃO]]=CF$1,[1]!BANCO10[[#This Row],[STATUS DA ETAPA]],"")</f>
        <v/>
      </c>
      <c r="CG693" s="21" t="str">
        <f>IF([1]!BANCO10[[#This Row],[SOLUÇÃO]]=CG$1,[1]!BANCO10[[#This Row],[STATUS DA ETAPA]],"")</f>
        <v/>
      </c>
      <c r="CH693" s="21" t="str">
        <f>IF([1]!BANCO10[[#This Row],[SOLUÇÃO]]=CH$1,[1]!BANCO10[[#This Row],[STATUS DA ETAPA]],"")</f>
        <v/>
      </c>
      <c r="CI693" s="21" t="str">
        <f>IF([1]!BANCO10[[#This Row],[SOLUÇÃO]]=CI$1,[1]!BANCO10[[#This Row],[STATUS DA ETAPA]],"")</f>
        <v/>
      </c>
      <c r="CJ693" s="21" t="str">
        <f>IF([1]!BANCO10[[#This Row],[SOLUÇÃO]]=CJ$1,[1]!BANCO10[[#This Row],[STATUS DA ETAPA]],"")</f>
        <v/>
      </c>
      <c r="CK693" s="21" t="str">
        <f>IF([1]!BANCO10[[#This Row],[SOLUÇÃO]]=CK$1,[1]!BANCO10[[#This Row],[STATUS DA ETAPA]],"")</f>
        <v/>
      </c>
      <c r="CL693" s="22" t="str">
        <f>IF([1]!BANCO10[[#This Row],[SOLUÇÃO]]=CL$1,[1]!BANCO10[[#This Row],[STATUS DA ETAPA]],"")</f>
        <v/>
      </c>
      <c r="CM693" s="64" t="str">
        <f>IF([1]!BANCO10[[#This Row],[SOLUÇÃO]]=CM$1,[1]!BANCO10[[#This Row],[STATUS DA ETAPA]],"")</f>
        <v/>
      </c>
      <c r="CN693" s="64" t="str">
        <f>IF([1]!BANCO10[[#This Row],[SOLUÇÃO]]=CN$1,[1]!BANCO10[[#This Row],[STATUS DA ETAPA]],"")</f>
        <v/>
      </c>
      <c r="CO693" s="64" t="str">
        <f>IF([1]!BANCO10[[#This Row],[SOLUÇÃO]]=CO$1,[1]!BANCO10[[#This Row],[STATUS DA ETAPA]],"")</f>
        <v/>
      </c>
      <c r="CP693" s="64" t="str">
        <f>IF([1]!BANCO10[[#This Row],[SOLUÇÃO]]=CP$1,[1]!BANCO10[[#This Row],[STATUS DA ETAPA]],"")</f>
        <v/>
      </c>
      <c r="CQ693" s="64" t="str">
        <f>IF([1]!BANCO10[[#This Row],[SOLUÇÃO]]=CQ$1,[1]!BANCO10[[#This Row],[STATUS DA ETAPA]],"")</f>
        <v/>
      </c>
      <c r="CR693" s="64" t="str">
        <f>IF([1]!BANCO10[[#This Row],[SOLUÇÃO]]=CR$1,[1]!BANCO10[[#This Row],[STATUS DA ETAPA]],"")</f>
        <v/>
      </c>
      <c r="CS693" s="64" t="str">
        <f>IF([1]!BANCO10[[#This Row],[SOLUÇÃO]]=CS$1,[1]!BANCO10[[#This Row],[STATUS DA ETAPA]],"")</f>
        <v/>
      </c>
      <c r="CT693" s="64" t="str">
        <f>IF([1]!BANCO10[[#This Row],[SOLUÇÃO]]=CT$1,[1]!BANCO10[[#This Row],[STATUS DA ETAPA]],"")</f>
        <v/>
      </c>
      <c r="CU693" s="64" t="str">
        <f>IF([1]!BANCO10[[#This Row],[SOLUÇÃO]]=CU$1,[1]!BANCO10[[#This Row],[STATUS DA ETAPA]],"")</f>
        <v/>
      </c>
      <c r="CV693" s="64" t="str">
        <f>IF([1]!BANCO10[[#This Row],[SOLUÇÃO]]=CV$1,[1]!BANCO10[[#This Row],[STATUS DA ETAPA]],"")</f>
        <v/>
      </c>
    </row>
    <row r="694" spans="1:100">
      <c r="A694" s="44" t="s">
        <v>1</v>
      </c>
      <c r="B694" s="44"/>
      <c r="C694" s="44" t="s">
        <v>1</v>
      </c>
      <c r="D694" s="44"/>
      <c r="E694" s="44" t="s">
        <v>1</v>
      </c>
      <c r="F694" s="44"/>
      <c r="G694" s="44" t="s">
        <v>1</v>
      </c>
      <c r="H694" s="44"/>
      <c r="I694" s="45" t="s">
        <v>1</v>
      </c>
      <c r="J694" s="46"/>
      <c r="K694" s="45" t="s">
        <v>1</v>
      </c>
      <c r="L694" s="33"/>
      <c r="M694" s="45" t="s">
        <v>1</v>
      </c>
      <c r="N694" s="33"/>
      <c r="O694" s="44" t="s">
        <v>2</v>
      </c>
      <c r="P694" s="44">
        <v>44799</v>
      </c>
      <c r="Q694" s="44" t="s">
        <v>2</v>
      </c>
      <c r="R694" s="44">
        <v>44802</v>
      </c>
      <c r="S694" s="44" t="s">
        <v>1</v>
      </c>
      <c r="T694" s="44"/>
      <c r="U694" s="44"/>
      <c r="V694" s="44"/>
      <c r="W694" s="44" t="s">
        <v>2</v>
      </c>
      <c r="X694" s="44"/>
      <c r="Y694" s="44" t="s">
        <v>2</v>
      </c>
      <c r="Z694" s="44">
        <v>45120</v>
      </c>
      <c r="AA694" s="44" t="s">
        <v>2</v>
      </c>
      <c r="AB694" s="44"/>
      <c r="AC694" s="84">
        <v>45155</v>
      </c>
      <c r="AD694" s="83">
        <v>45271</v>
      </c>
      <c r="AE694" s="40" t="s">
        <v>2</v>
      </c>
      <c r="AF694" s="40" t="s">
        <v>2</v>
      </c>
      <c r="AG694" s="40" t="s">
        <v>5</v>
      </c>
      <c r="AH694" s="36" t="s">
        <v>0</v>
      </c>
      <c r="AI694" s="49">
        <v>0</v>
      </c>
      <c r="AJ694" s="36" t="s">
        <v>6</v>
      </c>
      <c r="AK694" s="10">
        <v>0</v>
      </c>
      <c r="AL694" s="36">
        <v>0</v>
      </c>
      <c r="AM694" s="36">
        <v>0</v>
      </c>
      <c r="AN694" s="35" t="s">
        <v>1</v>
      </c>
      <c r="AO694" s="35" t="s">
        <v>1</v>
      </c>
      <c r="AP694" s="35" t="s">
        <v>2</v>
      </c>
      <c r="AQ694" s="35" t="s">
        <v>1</v>
      </c>
      <c r="AR694" s="33" t="s">
        <v>1</v>
      </c>
      <c r="AS694" s="33"/>
      <c r="AT694" s="30"/>
      <c r="AU694" s="55"/>
      <c r="AV694" s="30"/>
      <c r="AW694" s="55"/>
      <c r="AX694" s="30" t="s">
        <v>2</v>
      </c>
      <c r="AY694" s="55">
        <v>45281</v>
      </c>
      <c r="AZ694" s="30" t="s">
        <v>2</v>
      </c>
      <c r="BA694" s="91"/>
      <c r="BB694" s="39"/>
      <c r="BC694" s="25"/>
      <c r="BD694" s="24" t="s">
        <v>11</v>
      </c>
      <c r="BE694" s="24" t="s">
        <v>11</v>
      </c>
      <c r="BF694" s="79" t="s">
        <v>21</v>
      </c>
      <c r="BG694" s="79" t="s">
        <v>11</v>
      </c>
      <c r="BH694" s="80" t="s">
        <v>19</v>
      </c>
      <c r="BI694" s="79"/>
      <c r="BJ694" s="54" t="s">
        <v>11</v>
      </c>
      <c r="BK694" s="78" t="s">
        <v>11</v>
      </c>
      <c r="BL694" s="69" t="s">
        <v>11</v>
      </c>
      <c r="BM694" s="78" t="s">
        <v>11</v>
      </c>
      <c r="BN694" s="78" t="s">
        <v>11</v>
      </c>
      <c r="BO694" s="78" t="s">
        <v>11</v>
      </c>
      <c r="BP694" s="78" t="s">
        <v>11</v>
      </c>
      <c r="BQ694" s="21">
        <f>YEAR([1]!BANCO10[[#This Row],[DATA INÍCIO]])</f>
        <v>2023</v>
      </c>
      <c r="BR694" s="21">
        <f>MONTH([1]!BANCO10[[#This Row],[DATA INÍCIO]])</f>
        <v>8</v>
      </c>
      <c r="BS694" s="21" t="e">
        <f>CONCATENATE(#REF!,#REF!)</f>
        <v>#REF!</v>
      </c>
      <c r="BT694" s="21"/>
      <c r="BU694" s="21" t="s">
        <v>202</v>
      </c>
      <c r="BV694" s="21" t="str">
        <f>IF([1]!BANCO10[[#This Row],[SOLUÇÃO]]=BV$1,[1]!BANCO10[[#This Row],[STATUS DA ETAPA]],"")</f>
        <v/>
      </c>
      <c r="BW694" s="21" t="str">
        <f>IF([1]!BANCO10[[#This Row],[SOLUÇÃO]]=BW$1,[1]!BANCO10[[#This Row],[STATUS DA ETAPA]],"")</f>
        <v/>
      </c>
      <c r="BX694" s="21" t="str">
        <f>IF([1]!BANCO10[[#This Row],[SOLUÇÃO]]=BX$1,[1]!BANCO10[[#This Row],[STATUS DA ETAPA]],"")</f>
        <v/>
      </c>
      <c r="BY694" s="21" t="str">
        <f>IF([1]!BANCO10[[#This Row],[SOLUÇÃO]]=BY$1,[1]!BANCO10[[#This Row],[STATUS DA ETAPA]],"")</f>
        <v/>
      </c>
      <c r="BZ694" s="21" t="str">
        <f>IF([1]!BANCO10[[#This Row],[SOLUÇÃO]]=BZ$1,[1]!BANCO10[[#This Row],[STATUS DA ETAPA]],"")</f>
        <v/>
      </c>
      <c r="CA694" s="21" t="str">
        <f>IF([1]!BANCO10[[#This Row],[SOLUÇÃO]]=CA$1,[1]!BANCO10[[#This Row],[STATUS DA ETAPA]],"")</f>
        <v/>
      </c>
      <c r="CB694" s="21" t="str">
        <f>IF([1]!BANCO10[[#This Row],[SOLUÇÃO]]=CB$1,[1]!BANCO10[[#This Row],[STATUS DA ETAPA]],"")</f>
        <v/>
      </c>
      <c r="CC694" s="21" t="str">
        <f>IF([1]!BANCO10[[#This Row],[SOLUÇÃO]]=CC$1,[1]!BANCO10[[#This Row],[STATUS DA ETAPA]],"")</f>
        <v/>
      </c>
      <c r="CD694" s="21" t="str">
        <f>IF([1]!BANCO10[[#This Row],[SOLUÇÃO]]=CD$1,[1]!BANCO10[[#This Row],[STATUS DA ETAPA]],"")</f>
        <v/>
      </c>
      <c r="CE694" s="21" t="str">
        <f>IF([1]!BANCO10[[#This Row],[SOLUÇÃO]]=CE$1,[1]!BANCO10[[#This Row],[STATUS DA ETAPA]],"")</f>
        <v/>
      </c>
      <c r="CF694" s="21" t="str">
        <f>IF([1]!BANCO10[[#This Row],[SOLUÇÃO]]=CF$1,[1]!BANCO10[[#This Row],[STATUS DA ETAPA]],"")</f>
        <v/>
      </c>
      <c r="CG694" s="21" t="str">
        <f>IF([1]!BANCO10[[#This Row],[SOLUÇÃO]]=CG$1,[1]!BANCO10[[#This Row],[STATUS DA ETAPA]],"")</f>
        <v/>
      </c>
      <c r="CH694" s="21" t="str">
        <f>IF([1]!BANCO10[[#This Row],[SOLUÇÃO]]=CH$1,[1]!BANCO10[[#This Row],[STATUS DA ETAPA]],"")</f>
        <v/>
      </c>
      <c r="CI694" s="21" t="str">
        <f>IF([1]!BANCO10[[#This Row],[SOLUÇÃO]]=CI$1,[1]!BANCO10[[#This Row],[STATUS DA ETAPA]],"")</f>
        <v/>
      </c>
      <c r="CJ694" s="21" t="str">
        <f>IF([1]!BANCO10[[#This Row],[SOLUÇÃO]]=CJ$1,[1]!BANCO10[[#This Row],[STATUS DA ETAPA]],"")</f>
        <v/>
      </c>
      <c r="CK694" s="21" t="str">
        <f>IF([1]!BANCO10[[#This Row],[SOLUÇÃO]]=CK$1,[1]!BANCO10[[#This Row],[STATUS DA ETAPA]],"")</f>
        <v/>
      </c>
      <c r="CL694" s="22" t="str">
        <f>IF([1]!BANCO10[[#This Row],[SOLUÇÃO]]=CL$1,[1]!BANCO10[[#This Row],[STATUS DA ETAPA]],"")</f>
        <v/>
      </c>
      <c r="CM694" s="64" t="str">
        <f>IF([1]!BANCO10[[#This Row],[SOLUÇÃO]]=CM$1,[1]!BANCO10[[#This Row],[STATUS DA ETAPA]],"")</f>
        <v/>
      </c>
      <c r="CN694" s="64" t="str">
        <f>IF([1]!BANCO10[[#This Row],[SOLUÇÃO]]=CN$1,[1]!BANCO10[[#This Row],[STATUS DA ETAPA]],"")</f>
        <v/>
      </c>
      <c r="CO694" s="64" t="str">
        <f>IF([1]!BANCO10[[#This Row],[SOLUÇÃO]]=CO$1,[1]!BANCO10[[#This Row],[STATUS DA ETAPA]],"")</f>
        <v>CONCLUÍDO</v>
      </c>
      <c r="CP694" s="64" t="str">
        <f>IF([1]!BANCO10[[#This Row],[SOLUÇÃO]]=CP$1,[1]!BANCO10[[#This Row],[STATUS DA ETAPA]],"")</f>
        <v/>
      </c>
      <c r="CQ694" s="64" t="str">
        <f>IF([1]!BANCO10[[#This Row],[SOLUÇÃO]]=CQ$1,[1]!BANCO10[[#This Row],[STATUS DA ETAPA]],"")</f>
        <v/>
      </c>
      <c r="CR694" s="64" t="str">
        <f>IF([1]!BANCO10[[#This Row],[SOLUÇÃO]]=CR$1,[1]!BANCO10[[#This Row],[STATUS DA ETAPA]],"")</f>
        <v/>
      </c>
      <c r="CS694" s="64" t="str">
        <f>IF([1]!BANCO10[[#This Row],[SOLUÇÃO]]=CS$1,[1]!BANCO10[[#This Row],[STATUS DA ETAPA]],"")</f>
        <v/>
      </c>
      <c r="CT694" s="64" t="str">
        <f>IF([1]!BANCO10[[#This Row],[SOLUÇÃO]]=CT$1,[1]!BANCO10[[#This Row],[STATUS DA ETAPA]],"")</f>
        <v/>
      </c>
      <c r="CU694" s="64" t="str">
        <f>IF([1]!BANCO10[[#This Row],[SOLUÇÃO]]=CU$1,[1]!BANCO10[[#This Row],[STATUS DA ETAPA]],"")</f>
        <v/>
      </c>
      <c r="CV694" s="64" t="str">
        <f>IF([1]!BANCO10[[#This Row],[SOLUÇÃO]]=CV$1,[1]!BANCO10[[#This Row],[STATUS DA ETAPA]],"")</f>
        <v/>
      </c>
    </row>
    <row r="695" spans="1:100">
      <c r="A695" s="44" t="s">
        <v>1</v>
      </c>
      <c r="B695" s="44"/>
      <c r="C695" s="44" t="s">
        <v>1</v>
      </c>
      <c r="D695" s="44"/>
      <c r="E695" s="44" t="s">
        <v>1</v>
      </c>
      <c r="F695" s="44"/>
      <c r="G695" s="44" t="s">
        <v>1</v>
      </c>
      <c r="H695" s="44"/>
      <c r="I695" s="45" t="s">
        <v>1</v>
      </c>
      <c r="J695" s="46"/>
      <c r="K695" s="45" t="s">
        <v>1</v>
      </c>
      <c r="L695" s="33"/>
      <c r="M695" s="45" t="s">
        <v>1</v>
      </c>
      <c r="N695" s="33"/>
      <c r="O695" s="44" t="s">
        <v>2</v>
      </c>
      <c r="P695" s="44">
        <v>44799</v>
      </c>
      <c r="Q695" s="44" t="s">
        <v>2</v>
      </c>
      <c r="R695" s="44">
        <v>44802</v>
      </c>
      <c r="S695" s="44" t="s">
        <v>2</v>
      </c>
      <c r="T695" s="44">
        <v>45365</v>
      </c>
      <c r="U695" s="44" t="s">
        <v>2</v>
      </c>
      <c r="V695" s="44">
        <v>45379</v>
      </c>
      <c r="W695" s="44" t="s">
        <v>2</v>
      </c>
      <c r="X695" s="44"/>
      <c r="Y695" s="44" t="s">
        <v>2</v>
      </c>
      <c r="Z695" s="44">
        <v>45365</v>
      </c>
      <c r="AA695" s="44" t="s">
        <v>2</v>
      </c>
      <c r="AB695" s="44"/>
      <c r="AC695" s="84">
        <v>45400</v>
      </c>
      <c r="AD695" s="83">
        <v>45484</v>
      </c>
      <c r="AE695" s="40" t="s">
        <v>2</v>
      </c>
      <c r="AF695" s="41" t="s">
        <v>2</v>
      </c>
      <c r="AG695" s="40" t="s">
        <v>5</v>
      </c>
      <c r="AH695" s="36" t="s">
        <v>0</v>
      </c>
      <c r="AI695" s="49">
        <v>0</v>
      </c>
      <c r="AJ695" s="36" t="s">
        <v>6</v>
      </c>
      <c r="AK695" s="10"/>
      <c r="AL695" s="36" t="s">
        <v>152</v>
      </c>
      <c r="AM695" s="36"/>
      <c r="AN695" s="35" t="s">
        <v>1</v>
      </c>
      <c r="AO695" s="35" t="s">
        <v>1</v>
      </c>
      <c r="AP695" s="35" t="s">
        <v>2</v>
      </c>
      <c r="AQ695" s="35" t="s">
        <v>1</v>
      </c>
      <c r="AR695" s="33" t="s">
        <v>1</v>
      </c>
      <c r="AS695" s="33"/>
      <c r="AT695" s="30"/>
      <c r="AU695" s="55"/>
      <c r="AV695" s="30"/>
      <c r="AW695" s="55"/>
      <c r="AX695" s="30" t="s">
        <v>2</v>
      </c>
      <c r="AY695" s="55">
        <v>45484</v>
      </c>
      <c r="AZ695" s="30" t="s">
        <v>2</v>
      </c>
      <c r="BA695" s="91">
        <v>45622</v>
      </c>
      <c r="BB695" s="39"/>
      <c r="BC695" s="25"/>
      <c r="BD695" s="24"/>
      <c r="BE695" s="24"/>
      <c r="BF695" s="79"/>
      <c r="BG695" s="79"/>
      <c r="BH695" s="80"/>
      <c r="BI695" s="79"/>
      <c r="BJ695" s="54"/>
      <c r="BK695" s="78"/>
      <c r="BL695" s="69">
        <v>45390</v>
      </c>
      <c r="BM695" s="78" t="s">
        <v>18</v>
      </c>
      <c r="BN695" s="78" t="s">
        <v>11</v>
      </c>
      <c r="BO695" s="78"/>
      <c r="BP695" s="78" t="s">
        <v>201</v>
      </c>
      <c r="BQ695" s="21">
        <f>YEAR([1]!BANCO10[[#This Row],[DATA INÍCIO]])</f>
        <v>2024</v>
      </c>
      <c r="BR695" s="21">
        <f>MONTH([1]!BANCO10[[#This Row],[DATA INÍCIO]])</f>
        <v>4</v>
      </c>
      <c r="BS695" s="21" t="e">
        <f>CONCATENATE(#REF!,#REF!)</f>
        <v>#REF!</v>
      </c>
      <c r="BT695" s="21"/>
      <c r="BU695" s="21" t="s">
        <v>200</v>
      </c>
      <c r="BV695" s="21" t="str">
        <f>IF([1]!BANCO10[[#This Row],[SOLUÇÃO]]=BV$1,[1]!BANCO10[[#This Row],[STATUS DA ETAPA]],"")</f>
        <v/>
      </c>
      <c r="BW695" s="21" t="str">
        <f>IF([1]!BANCO10[[#This Row],[SOLUÇÃO]]=BW$1,[1]!BANCO10[[#This Row],[STATUS DA ETAPA]],"")</f>
        <v/>
      </c>
      <c r="BX695" s="21" t="str">
        <f>IF([1]!BANCO10[[#This Row],[SOLUÇÃO]]=BX$1,[1]!BANCO10[[#This Row],[STATUS DA ETAPA]],"")</f>
        <v/>
      </c>
      <c r="BY695" s="21" t="str">
        <f>IF([1]!BANCO10[[#This Row],[SOLUÇÃO]]=BY$1,[1]!BANCO10[[#This Row],[STATUS DA ETAPA]],"")</f>
        <v/>
      </c>
      <c r="BZ695" s="21" t="str">
        <f>IF([1]!BANCO10[[#This Row],[SOLUÇÃO]]=BZ$1,[1]!BANCO10[[#This Row],[STATUS DA ETAPA]],"")</f>
        <v/>
      </c>
      <c r="CA695" s="21" t="str">
        <f>IF([1]!BANCO10[[#This Row],[SOLUÇÃO]]=CA$1,[1]!BANCO10[[#This Row],[STATUS DA ETAPA]],"")</f>
        <v/>
      </c>
      <c r="CB695" s="21" t="str">
        <f>IF([1]!BANCO10[[#This Row],[SOLUÇÃO]]=CB$1,[1]!BANCO10[[#This Row],[STATUS DA ETAPA]],"")</f>
        <v/>
      </c>
      <c r="CC695" s="21" t="str">
        <f>IF([1]!BANCO10[[#This Row],[SOLUÇÃO]]=CC$1,[1]!BANCO10[[#This Row],[STATUS DA ETAPA]],"")</f>
        <v/>
      </c>
      <c r="CD695" s="21" t="str">
        <f>IF([1]!BANCO10[[#This Row],[SOLUÇÃO]]=CD$1,[1]!BANCO10[[#This Row],[STATUS DA ETAPA]],"")</f>
        <v/>
      </c>
      <c r="CE695" s="21" t="str">
        <f>IF([1]!BANCO10[[#This Row],[SOLUÇÃO]]=CE$1,[1]!BANCO10[[#This Row],[STATUS DA ETAPA]],"")</f>
        <v/>
      </c>
      <c r="CF695" s="21" t="str">
        <f>IF([1]!BANCO10[[#This Row],[SOLUÇÃO]]=CF$1,[1]!BANCO10[[#This Row],[STATUS DA ETAPA]],"")</f>
        <v/>
      </c>
      <c r="CG695" s="21" t="str">
        <f>IF([1]!BANCO10[[#This Row],[SOLUÇÃO]]=CG$1,[1]!BANCO10[[#This Row],[STATUS DA ETAPA]],"")</f>
        <v/>
      </c>
      <c r="CH695" s="21" t="str">
        <f>IF([1]!BANCO10[[#This Row],[SOLUÇÃO]]=CH$1,[1]!BANCO10[[#This Row],[STATUS DA ETAPA]],"")</f>
        <v/>
      </c>
      <c r="CI695" s="21" t="str">
        <f>IF([1]!BANCO10[[#This Row],[SOLUÇÃO]]=CI$1,[1]!BANCO10[[#This Row],[STATUS DA ETAPA]],"")</f>
        <v/>
      </c>
      <c r="CJ695" s="21" t="str">
        <f>IF([1]!BANCO10[[#This Row],[SOLUÇÃO]]=CJ$1,[1]!BANCO10[[#This Row],[STATUS DA ETAPA]],"")</f>
        <v/>
      </c>
      <c r="CK695" s="21" t="str">
        <f>IF([1]!BANCO10[[#This Row],[SOLUÇÃO]]=CK$1,[1]!BANCO10[[#This Row],[STATUS DA ETAPA]],"")</f>
        <v/>
      </c>
      <c r="CL695" s="22" t="str">
        <f>IF([1]!BANCO10[[#This Row],[SOLUÇÃO]]=CL$1,[1]!BANCO10[[#This Row],[STATUS DA ETAPA]],"")</f>
        <v>CONCLUÍDO</v>
      </c>
      <c r="CM695" s="64" t="str">
        <f>IF([1]!BANCO10[[#This Row],[SOLUÇÃO]]=CM$1,[1]!BANCO10[[#This Row],[STATUS DA ETAPA]],"")</f>
        <v/>
      </c>
      <c r="CN695" s="64" t="str">
        <f>IF([1]!BANCO10[[#This Row],[SOLUÇÃO]]=CN$1,[1]!BANCO10[[#This Row],[STATUS DA ETAPA]],"")</f>
        <v/>
      </c>
      <c r="CO695" s="64" t="str">
        <f>IF([1]!BANCO10[[#This Row],[SOLUÇÃO]]=CO$1,[1]!BANCO10[[#This Row],[STATUS DA ETAPA]],"")</f>
        <v/>
      </c>
      <c r="CP695" s="64" t="str">
        <f>IF([1]!BANCO10[[#This Row],[SOLUÇÃO]]=CP$1,[1]!BANCO10[[#This Row],[STATUS DA ETAPA]],"")</f>
        <v/>
      </c>
      <c r="CQ695" s="64" t="str">
        <f>IF([1]!BANCO10[[#This Row],[SOLUÇÃO]]=CQ$1,[1]!BANCO10[[#This Row],[STATUS DA ETAPA]],"")</f>
        <v/>
      </c>
      <c r="CR695" s="64" t="str">
        <f>IF([1]!BANCO10[[#This Row],[SOLUÇÃO]]=CR$1,[1]!BANCO10[[#This Row],[STATUS DA ETAPA]],"")</f>
        <v/>
      </c>
      <c r="CS695" s="64" t="str">
        <f>IF([1]!BANCO10[[#This Row],[SOLUÇÃO]]=CS$1,[1]!BANCO10[[#This Row],[STATUS DA ETAPA]],"")</f>
        <v/>
      </c>
      <c r="CT695" s="64" t="str">
        <f>IF([1]!BANCO10[[#This Row],[SOLUÇÃO]]=CT$1,[1]!BANCO10[[#This Row],[STATUS DA ETAPA]],"")</f>
        <v/>
      </c>
      <c r="CU695" s="64" t="str">
        <f>IF([1]!BANCO10[[#This Row],[SOLUÇÃO]]=CU$1,[1]!BANCO10[[#This Row],[STATUS DA ETAPA]],"")</f>
        <v/>
      </c>
      <c r="CV695" s="64" t="str">
        <f>IF([1]!BANCO10[[#This Row],[SOLUÇÃO]]=CV$1,[1]!BANCO10[[#This Row],[STATUS DA ETAPA]],"")</f>
        <v/>
      </c>
    </row>
    <row r="696" spans="1:100">
      <c r="A696" s="44" t="s">
        <v>1</v>
      </c>
      <c r="B696" s="44"/>
      <c r="C696" s="44" t="s">
        <v>1</v>
      </c>
      <c r="D696" s="44"/>
      <c r="E696" s="44" t="s">
        <v>1</v>
      </c>
      <c r="F696" s="44"/>
      <c r="G696" s="44" t="s">
        <v>1</v>
      </c>
      <c r="H696" s="44"/>
      <c r="I696" s="45" t="s">
        <v>1</v>
      </c>
      <c r="J696" s="46"/>
      <c r="K696" s="45" t="s">
        <v>1</v>
      </c>
      <c r="L696" s="33"/>
      <c r="M696" s="45" t="s">
        <v>1</v>
      </c>
      <c r="N696" s="33"/>
      <c r="O696" s="44" t="s">
        <v>2</v>
      </c>
      <c r="P696" s="44">
        <v>44799</v>
      </c>
      <c r="Q696" s="44" t="s">
        <v>0</v>
      </c>
      <c r="R696" s="44"/>
      <c r="S696" s="44" t="s">
        <v>1</v>
      </c>
      <c r="T696" s="44"/>
      <c r="U696" s="44" t="s">
        <v>1</v>
      </c>
      <c r="V696" s="44"/>
      <c r="W696" s="44" t="s">
        <v>1</v>
      </c>
      <c r="X696" s="44"/>
      <c r="Y696" s="44" t="s">
        <v>1</v>
      </c>
      <c r="Z696" s="44"/>
      <c r="AA696" s="44" t="s">
        <v>1</v>
      </c>
      <c r="AB696" s="44"/>
      <c r="AC696" s="84">
        <v>44795</v>
      </c>
      <c r="AD696" s="83">
        <v>44795</v>
      </c>
      <c r="AE696" s="40" t="s">
        <v>1</v>
      </c>
      <c r="AF696" s="40" t="s">
        <v>1</v>
      </c>
      <c r="AG696" s="40" t="s">
        <v>5</v>
      </c>
      <c r="AH696" s="36" t="s">
        <v>1</v>
      </c>
      <c r="AI696" s="49">
        <v>0</v>
      </c>
      <c r="AJ696" s="36" t="s">
        <v>1</v>
      </c>
      <c r="AK696" s="10" t="s">
        <v>1</v>
      </c>
      <c r="AL696" s="36" t="s">
        <v>1</v>
      </c>
      <c r="AM696" s="36" t="s">
        <v>1</v>
      </c>
      <c r="AN696" s="35" t="s">
        <v>1</v>
      </c>
      <c r="AO696" s="35" t="s">
        <v>1</v>
      </c>
      <c r="AP696" s="35" t="s">
        <v>1</v>
      </c>
      <c r="AQ696" s="35" t="s">
        <v>1</v>
      </c>
      <c r="AR696" s="48" t="s">
        <v>1</v>
      </c>
      <c r="AS696" s="33"/>
      <c r="AT696" s="30"/>
      <c r="AU696" s="55"/>
      <c r="AV696" s="30"/>
      <c r="AW696" s="55"/>
      <c r="AX696" s="30" t="s">
        <v>1</v>
      </c>
      <c r="AY696" s="55"/>
      <c r="AZ696" s="30" t="s">
        <v>1</v>
      </c>
      <c r="BA696" s="85"/>
      <c r="BB696" s="39"/>
      <c r="BC696" s="25"/>
      <c r="BD696" s="24" t="s">
        <v>11</v>
      </c>
      <c r="BE696" s="24" t="s">
        <v>11</v>
      </c>
      <c r="BF696" s="79"/>
      <c r="BG696" s="79" t="s">
        <v>11</v>
      </c>
      <c r="BH696" s="80" t="s">
        <v>19</v>
      </c>
      <c r="BI696" s="79"/>
      <c r="BJ696" s="54" t="s">
        <v>11</v>
      </c>
      <c r="BK696" s="78" t="s">
        <v>11</v>
      </c>
      <c r="BL696" s="69" t="s">
        <v>11</v>
      </c>
      <c r="BM696" s="78" t="s">
        <v>11</v>
      </c>
      <c r="BN696" s="78" t="s">
        <v>11</v>
      </c>
      <c r="BO696" s="78" t="s">
        <v>11</v>
      </c>
      <c r="BP696" s="78" t="s">
        <v>11</v>
      </c>
      <c r="BQ696" s="21">
        <f>YEAR([1]!BANCO10[[#This Row],[DATA INÍCIO]])</f>
        <v>2022</v>
      </c>
      <c r="BR696" s="21">
        <f>MONTH([1]!BANCO10[[#This Row],[DATA INÍCIO]])</f>
        <v>8</v>
      </c>
      <c r="BS696" s="21" t="e">
        <f>CONCATENATE(#REF!,#REF!)</f>
        <v>#REF!</v>
      </c>
      <c r="BT696" s="21"/>
      <c r="BU696" s="21" t="s">
        <v>199</v>
      </c>
      <c r="BV696" s="21" t="str">
        <f>IF([1]!BANCO10[[#This Row],[SOLUÇÃO]]=BV$1,[1]!BANCO10[[#This Row],[STATUS DA ETAPA]],"")</f>
        <v>CONCLUÍDO</v>
      </c>
      <c r="BW696" s="21" t="str">
        <f>IF([1]!BANCO10[[#This Row],[SOLUÇÃO]]=BW$1,[1]!BANCO10[[#This Row],[STATUS DA ETAPA]],"")</f>
        <v/>
      </c>
      <c r="BX696" s="21" t="str">
        <f>IF([1]!BANCO10[[#This Row],[SOLUÇÃO]]=BX$1,[1]!BANCO10[[#This Row],[STATUS DA ETAPA]],"")</f>
        <v/>
      </c>
      <c r="BY696" s="21" t="str">
        <f>IF([1]!BANCO10[[#This Row],[SOLUÇÃO]]=BY$1,[1]!BANCO10[[#This Row],[STATUS DA ETAPA]],"")</f>
        <v/>
      </c>
      <c r="BZ696" s="21" t="str">
        <f>IF([1]!BANCO10[[#This Row],[SOLUÇÃO]]=BZ$1,[1]!BANCO10[[#This Row],[STATUS DA ETAPA]],"")</f>
        <v/>
      </c>
      <c r="CA696" s="21" t="str">
        <f>IF([1]!BANCO10[[#This Row],[SOLUÇÃO]]=CA$1,[1]!BANCO10[[#This Row],[STATUS DA ETAPA]],"")</f>
        <v/>
      </c>
      <c r="CB696" s="21" t="str">
        <f>IF([1]!BANCO10[[#This Row],[SOLUÇÃO]]=CB$1,[1]!BANCO10[[#This Row],[STATUS DA ETAPA]],"")</f>
        <v/>
      </c>
      <c r="CC696" s="21" t="str">
        <f>IF([1]!BANCO10[[#This Row],[SOLUÇÃO]]=CC$1,[1]!BANCO10[[#This Row],[STATUS DA ETAPA]],"")</f>
        <v/>
      </c>
      <c r="CD696" s="21" t="str">
        <f>IF([1]!BANCO10[[#This Row],[SOLUÇÃO]]=CD$1,[1]!BANCO10[[#This Row],[STATUS DA ETAPA]],"")</f>
        <v/>
      </c>
      <c r="CE696" s="21" t="str">
        <f>IF([1]!BANCO10[[#This Row],[SOLUÇÃO]]=CE$1,[1]!BANCO10[[#This Row],[STATUS DA ETAPA]],"")</f>
        <v/>
      </c>
      <c r="CF696" s="21" t="str">
        <f>IF([1]!BANCO10[[#This Row],[SOLUÇÃO]]=CF$1,[1]!BANCO10[[#This Row],[STATUS DA ETAPA]],"")</f>
        <v/>
      </c>
      <c r="CG696" s="21" t="str">
        <f>IF([1]!BANCO10[[#This Row],[SOLUÇÃO]]=CG$1,[1]!BANCO10[[#This Row],[STATUS DA ETAPA]],"")</f>
        <v/>
      </c>
      <c r="CH696" s="21" t="str">
        <f>IF([1]!BANCO10[[#This Row],[SOLUÇÃO]]=CH$1,[1]!BANCO10[[#This Row],[STATUS DA ETAPA]],"")</f>
        <v/>
      </c>
      <c r="CI696" s="21" t="str">
        <f>IF([1]!BANCO10[[#This Row],[SOLUÇÃO]]=CI$1,[1]!BANCO10[[#This Row],[STATUS DA ETAPA]],"")</f>
        <v/>
      </c>
      <c r="CJ696" s="21" t="str">
        <f>IF([1]!BANCO10[[#This Row],[SOLUÇÃO]]=CJ$1,[1]!BANCO10[[#This Row],[STATUS DA ETAPA]],"")</f>
        <v/>
      </c>
      <c r="CK696" s="21" t="str">
        <f>IF([1]!BANCO10[[#This Row],[SOLUÇÃO]]=CK$1,[1]!BANCO10[[#This Row],[STATUS DA ETAPA]],"")</f>
        <v/>
      </c>
      <c r="CL696" s="22" t="str">
        <f>IF([1]!BANCO10[[#This Row],[SOLUÇÃO]]=CL$1,[1]!BANCO10[[#This Row],[STATUS DA ETAPA]],"")</f>
        <v/>
      </c>
      <c r="CM696" s="64" t="str">
        <f>IF([1]!BANCO10[[#This Row],[SOLUÇÃO]]=CM$1,[1]!BANCO10[[#This Row],[STATUS DA ETAPA]],"")</f>
        <v/>
      </c>
      <c r="CN696" s="64" t="str">
        <f>IF([1]!BANCO10[[#This Row],[SOLUÇÃO]]=CN$1,[1]!BANCO10[[#This Row],[STATUS DA ETAPA]],"")</f>
        <v/>
      </c>
      <c r="CO696" s="64" t="str">
        <f>IF([1]!BANCO10[[#This Row],[SOLUÇÃO]]=CO$1,[1]!BANCO10[[#This Row],[STATUS DA ETAPA]],"")</f>
        <v/>
      </c>
      <c r="CP696" s="64" t="str">
        <f>IF([1]!BANCO10[[#This Row],[SOLUÇÃO]]=CP$1,[1]!BANCO10[[#This Row],[STATUS DA ETAPA]],"")</f>
        <v/>
      </c>
      <c r="CQ696" s="64" t="str">
        <f>IF([1]!BANCO10[[#This Row],[SOLUÇÃO]]=CQ$1,[1]!BANCO10[[#This Row],[STATUS DA ETAPA]],"")</f>
        <v/>
      </c>
      <c r="CR696" s="64" t="str">
        <f>IF([1]!BANCO10[[#This Row],[SOLUÇÃO]]=CR$1,[1]!BANCO10[[#This Row],[STATUS DA ETAPA]],"")</f>
        <v/>
      </c>
      <c r="CS696" s="64" t="str">
        <f>IF([1]!BANCO10[[#This Row],[SOLUÇÃO]]=CS$1,[1]!BANCO10[[#This Row],[STATUS DA ETAPA]],"")</f>
        <v/>
      </c>
      <c r="CT696" s="64" t="str">
        <f>IF([1]!BANCO10[[#This Row],[SOLUÇÃO]]=CT$1,[1]!BANCO10[[#This Row],[STATUS DA ETAPA]],"")</f>
        <v/>
      </c>
      <c r="CU696" s="64" t="str">
        <f>IF([1]!BANCO10[[#This Row],[SOLUÇÃO]]=CU$1,[1]!BANCO10[[#This Row],[STATUS DA ETAPA]],"")</f>
        <v/>
      </c>
      <c r="CV696" s="64" t="str">
        <f>IF([1]!BANCO10[[#This Row],[SOLUÇÃO]]=CV$1,[1]!BANCO10[[#This Row],[STATUS DA ETAPA]],"")</f>
        <v/>
      </c>
    </row>
    <row r="697" spans="1:100">
      <c r="A697" s="44" t="s">
        <v>1</v>
      </c>
      <c r="B697" s="44"/>
      <c r="C697" s="44" t="s">
        <v>1</v>
      </c>
      <c r="D697" s="44"/>
      <c r="E697" s="44" t="s">
        <v>1</v>
      </c>
      <c r="F697" s="44"/>
      <c r="G697" s="44" t="s">
        <v>1</v>
      </c>
      <c r="H697" s="44"/>
      <c r="I697" s="45" t="s">
        <v>1</v>
      </c>
      <c r="J697" s="46"/>
      <c r="K697" s="45" t="s">
        <v>1</v>
      </c>
      <c r="L697" s="33"/>
      <c r="M697" s="45" t="s">
        <v>1</v>
      </c>
      <c r="N697" s="33"/>
      <c r="O697" s="44" t="s">
        <v>2</v>
      </c>
      <c r="P697" s="44">
        <v>44799</v>
      </c>
      <c r="Q697" s="44" t="s">
        <v>2</v>
      </c>
      <c r="R697" s="44">
        <v>44802</v>
      </c>
      <c r="S697" s="44" t="s">
        <v>2</v>
      </c>
      <c r="T697" s="44">
        <v>44802</v>
      </c>
      <c r="U697" s="44"/>
      <c r="V697" s="44"/>
      <c r="W697" s="44" t="s">
        <v>1</v>
      </c>
      <c r="X697" s="44"/>
      <c r="Y697" s="44" t="s">
        <v>1</v>
      </c>
      <c r="Z697" s="44"/>
      <c r="AA697" s="44" t="s">
        <v>1</v>
      </c>
      <c r="AB697" s="44"/>
      <c r="AC697" s="84">
        <v>44831</v>
      </c>
      <c r="AD697" s="83">
        <v>44922</v>
      </c>
      <c r="AE697" s="40" t="s">
        <v>2</v>
      </c>
      <c r="AF697" s="40" t="s">
        <v>2</v>
      </c>
      <c r="AG697" s="40" t="s">
        <v>5</v>
      </c>
      <c r="AH697" s="36" t="s">
        <v>2</v>
      </c>
      <c r="AI697" s="49">
        <v>0</v>
      </c>
      <c r="AJ697" s="36" t="s">
        <v>1</v>
      </c>
      <c r="AK697" s="10" t="s">
        <v>1</v>
      </c>
      <c r="AL697" s="36" t="s">
        <v>1</v>
      </c>
      <c r="AM697" s="36" t="s">
        <v>1</v>
      </c>
      <c r="AN697" s="35" t="s">
        <v>1</v>
      </c>
      <c r="AO697" s="35" t="s">
        <v>1</v>
      </c>
      <c r="AP697" s="35" t="s">
        <v>2</v>
      </c>
      <c r="AQ697" s="35" t="s">
        <v>1</v>
      </c>
      <c r="AR697" s="33" t="s">
        <v>1</v>
      </c>
      <c r="AS697" s="33"/>
      <c r="AT697" s="30"/>
      <c r="AU697" s="55"/>
      <c r="AV697" s="30"/>
      <c r="AW697" s="55"/>
      <c r="AX697" s="30" t="s">
        <v>2</v>
      </c>
      <c r="AY697" s="55">
        <v>44922</v>
      </c>
      <c r="AZ697" s="30" t="s">
        <v>2</v>
      </c>
      <c r="BA697" s="85"/>
      <c r="BB697" s="74" t="s">
        <v>26</v>
      </c>
      <c r="BC697" s="25"/>
      <c r="BD697" s="24" t="s">
        <v>11</v>
      </c>
      <c r="BE697" s="24" t="s">
        <v>11</v>
      </c>
      <c r="BF697" s="79" t="s">
        <v>19</v>
      </c>
      <c r="BG697" s="79" t="s">
        <v>11</v>
      </c>
      <c r="BH697" s="80" t="s">
        <v>19</v>
      </c>
      <c r="BI697" s="79"/>
      <c r="BJ697" s="54" t="s">
        <v>11</v>
      </c>
      <c r="BK697" s="78" t="s">
        <v>11</v>
      </c>
      <c r="BL697" s="69" t="s">
        <v>11</v>
      </c>
      <c r="BM697" s="78" t="s">
        <v>11</v>
      </c>
      <c r="BN697" s="78" t="s">
        <v>11</v>
      </c>
      <c r="BO697" s="78" t="s">
        <v>11</v>
      </c>
      <c r="BP697" s="78" t="s">
        <v>11</v>
      </c>
      <c r="BQ697" s="21">
        <f>YEAR([1]!BANCO10[[#This Row],[DATA INÍCIO]])</f>
        <v>2022</v>
      </c>
      <c r="BR697" s="21">
        <f>MONTH([1]!BANCO10[[#This Row],[DATA INÍCIO]])</f>
        <v>9</v>
      </c>
      <c r="BS697" s="21" t="e">
        <f>CONCATENATE(#REF!,#REF!)</f>
        <v>#REF!</v>
      </c>
      <c r="BT697" s="21"/>
      <c r="BU697" s="21" t="s">
        <v>198</v>
      </c>
      <c r="BV697" s="21" t="str">
        <f>IF([1]!BANCO10[[#This Row],[SOLUÇÃO]]=BV$1,[1]!BANCO10[[#This Row],[STATUS DA ETAPA]],"")</f>
        <v/>
      </c>
      <c r="BW697" s="21" t="str">
        <f>IF([1]!BANCO10[[#This Row],[SOLUÇÃO]]=BW$1,[1]!BANCO10[[#This Row],[STATUS DA ETAPA]],"")</f>
        <v/>
      </c>
      <c r="BX697" s="21" t="str">
        <f>IF([1]!BANCO10[[#This Row],[SOLUÇÃO]]=BX$1,[1]!BANCO10[[#This Row],[STATUS DA ETAPA]],"")</f>
        <v/>
      </c>
      <c r="BY697" s="21" t="str">
        <f>IF([1]!BANCO10[[#This Row],[SOLUÇÃO]]=BY$1,[1]!BANCO10[[#This Row],[STATUS DA ETAPA]],"")</f>
        <v/>
      </c>
      <c r="BZ697" s="21" t="str">
        <f>IF([1]!BANCO10[[#This Row],[SOLUÇÃO]]=BZ$1,[1]!BANCO10[[#This Row],[STATUS DA ETAPA]],"")</f>
        <v/>
      </c>
      <c r="CA697" s="21" t="str">
        <f>IF([1]!BANCO10[[#This Row],[SOLUÇÃO]]=CA$1,[1]!BANCO10[[#This Row],[STATUS DA ETAPA]],"")</f>
        <v>CONCLUÍDO</v>
      </c>
      <c r="CB697" s="21" t="str">
        <f>IF([1]!BANCO10[[#This Row],[SOLUÇÃO]]=CB$1,[1]!BANCO10[[#This Row],[STATUS DA ETAPA]],"")</f>
        <v/>
      </c>
      <c r="CC697" s="21" t="str">
        <f>IF([1]!BANCO10[[#This Row],[SOLUÇÃO]]=CC$1,[1]!BANCO10[[#This Row],[STATUS DA ETAPA]],"")</f>
        <v/>
      </c>
      <c r="CD697" s="21" t="str">
        <f>IF([1]!BANCO10[[#This Row],[SOLUÇÃO]]=CD$1,[1]!BANCO10[[#This Row],[STATUS DA ETAPA]],"")</f>
        <v/>
      </c>
      <c r="CE697" s="21" t="str">
        <f>IF([1]!BANCO10[[#This Row],[SOLUÇÃO]]=CE$1,[1]!BANCO10[[#This Row],[STATUS DA ETAPA]],"")</f>
        <v/>
      </c>
      <c r="CF697" s="21" t="str">
        <f>IF([1]!BANCO10[[#This Row],[SOLUÇÃO]]=CF$1,[1]!BANCO10[[#This Row],[STATUS DA ETAPA]],"")</f>
        <v/>
      </c>
      <c r="CG697" s="21" t="str">
        <f>IF([1]!BANCO10[[#This Row],[SOLUÇÃO]]=CG$1,[1]!BANCO10[[#This Row],[STATUS DA ETAPA]],"")</f>
        <v/>
      </c>
      <c r="CH697" s="21" t="str">
        <f>IF([1]!BANCO10[[#This Row],[SOLUÇÃO]]=CH$1,[1]!BANCO10[[#This Row],[STATUS DA ETAPA]],"")</f>
        <v/>
      </c>
      <c r="CI697" s="21" t="str">
        <f>IF([1]!BANCO10[[#This Row],[SOLUÇÃO]]=CI$1,[1]!BANCO10[[#This Row],[STATUS DA ETAPA]],"")</f>
        <v/>
      </c>
      <c r="CJ697" s="21" t="str">
        <f>IF([1]!BANCO10[[#This Row],[SOLUÇÃO]]=CJ$1,[1]!BANCO10[[#This Row],[STATUS DA ETAPA]],"")</f>
        <v/>
      </c>
      <c r="CK697" s="21" t="str">
        <f>IF([1]!BANCO10[[#This Row],[SOLUÇÃO]]=CK$1,[1]!BANCO10[[#This Row],[STATUS DA ETAPA]],"")</f>
        <v/>
      </c>
      <c r="CL697" s="22" t="str">
        <f>IF([1]!BANCO10[[#This Row],[SOLUÇÃO]]=CL$1,[1]!BANCO10[[#This Row],[STATUS DA ETAPA]],"")</f>
        <v/>
      </c>
      <c r="CM697" s="64" t="str">
        <f>IF([1]!BANCO10[[#This Row],[SOLUÇÃO]]=CM$1,[1]!BANCO10[[#This Row],[STATUS DA ETAPA]],"")</f>
        <v/>
      </c>
      <c r="CN697" s="64" t="str">
        <f>IF([1]!BANCO10[[#This Row],[SOLUÇÃO]]=CN$1,[1]!BANCO10[[#This Row],[STATUS DA ETAPA]],"")</f>
        <v/>
      </c>
      <c r="CO697" s="64" t="str">
        <f>IF([1]!BANCO10[[#This Row],[SOLUÇÃO]]=CO$1,[1]!BANCO10[[#This Row],[STATUS DA ETAPA]],"")</f>
        <v/>
      </c>
      <c r="CP697" s="64" t="str">
        <f>IF([1]!BANCO10[[#This Row],[SOLUÇÃO]]=CP$1,[1]!BANCO10[[#This Row],[STATUS DA ETAPA]],"")</f>
        <v/>
      </c>
      <c r="CQ697" s="64" t="str">
        <f>IF([1]!BANCO10[[#This Row],[SOLUÇÃO]]=CQ$1,[1]!BANCO10[[#This Row],[STATUS DA ETAPA]],"")</f>
        <v/>
      </c>
      <c r="CR697" s="64" t="str">
        <f>IF([1]!BANCO10[[#This Row],[SOLUÇÃO]]=CR$1,[1]!BANCO10[[#This Row],[STATUS DA ETAPA]],"")</f>
        <v/>
      </c>
      <c r="CS697" s="64" t="str">
        <f>IF([1]!BANCO10[[#This Row],[SOLUÇÃO]]=CS$1,[1]!BANCO10[[#This Row],[STATUS DA ETAPA]],"")</f>
        <v/>
      </c>
      <c r="CT697" s="64" t="str">
        <f>IF([1]!BANCO10[[#This Row],[SOLUÇÃO]]=CT$1,[1]!BANCO10[[#This Row],[STATUS DA ETAPA]],"")</f>
        <v/>
      </c>
      <c r="CU697" s="64" t="str">
        <f>IF([1]!BANCO10[[#This Row],[SOLUÇÃO]]=CU$1,[1]!BANCO10[[#This Row],[STATUS DA ETAPA]],"")</f>
        <v/>
      </c>
      <c r="CV697" s="64" t="str">
        <f>IF([1]!BANCO10[[#This Row],[SOLUÇÃO]]=CV$1,[1]!BANCO10[[#This Row],[STATUS DA ETAPA]],"")</f>
        <v/>
      </c>
    </row>
    <row r="698" spans="1:100">
      <c r="A698" s="44" t="s">
        <v>1</v>
      </c>
      <c r="B698" s="44"/>
      <c r="C698" s="44" t="s">
        <v>1</v>
      </c>
      <c r="D698" s="44"/>
      <c r="E698" s="44" t="s">
        <v>1</v>
      </c>
      <c r="F698" s="44"/>
      <c r="G698" s="44" t="s">
        <v>1</v>
      </c>
      <c r="H698" s="44"/>
      <c r="I698" s="45" t="s">
        <v>1</v>
      </c>
      <c r="J698" s="46"/>
      <c r="K698" s="45" t="s">
        <v>1</v>
      </c>
      <c r="L698" s="33"/>
      <c r="M698" s="45" t="s">
        <v>1</v>
      </c>
      <c r="N698" s="33"/>
      <c r="O698" s="44" t="s">
        <v>2</v>
      </c>
      <c r="P698" s="44">
        <v>44799</v>
      </c>
      <c r="Q698" s="44" t="s">
        <v>2</v>
      </c>
      <c r="R698" s="44">
        <v>44802</v>
      </c>
      <c r="S698" s="44" t="s">
        <v>2</v>
      </c>
      <c r="T698" s="44">
        <v>44802</v>
      </c>
      <c r="U698" s="44"/>
      <c r="V698" s="44"/>
      <c r="W698" s="44" t="s">
        <v>2</v>
      </c>
      <c r="X698" s="44"/>
      <c r="Y698" s="44" t="s">
        <v>2</v>
      </c>
      <c r="Z698" s="44">
        <v>44201</v>
      </c>
      <c r="AA698" s="44" t="s">
        <v>2</v>
      </c>
      <c r="AB698" s="44"/>
      <c r="AC698" s="84">
        <v>44938</v>
      </c>
      <c r="AD698" s="83">
        <v>45064</v>
      </c>
      <c r="AE698" s="40" t="s">
        <v>2</v>
      </c>
      <c r="AF698" s="40" t="s">
        <v>2</v>
      </c>
      <c r="AG698" s="40" t="s">
        <v>5</v>
      </c>
      <c r="AH698" s="36" t="s">
        <v>0</v>
      </c>
      <c r="AI698" s="49">
        <v>0</v>
      </c>
      <c r="AJ698" s="36"/>
      <c r="AK698" s="10"/>
      <c r="AL698" s="36">
        <v>4719</v>
      </c>
      <c r="AM698" s="36"/>
      <c r="AN698" s="35" t="s">
        <v>1</v>
      </c>
      <c r="AO698" s="35" t="s">
        <v>1</v>
      </c>
      <c r="AP698" s="35" t="s">
        <v>2</v>
      </c>
      <c r="AQ698" s="35" t="s">
        <v>1</v>
      </c>
      <c r="AR698" s="33" t="s">
        <v>1</v>
      </c>
      <c r="AS698" s="33"/>
      <c r="AT698" s="30"/>
      <c r="AU698" s="55"/>
      <c r="AV698" s="30"/>
      <c r="AW698" s="55"/>
      <c r="AX698" s="30" t="s">
        <v>2</v>
      </c>
      <c r="AY698" s="55">
        <v>45064</v>
      </c>
      <c r="AZ698" s="30" t="s">
        <v>2</v>
      </c>
      <c r="BA698" s="85"/>
      <c r="BB698" s="39"/>
      <c r="BC698" s="25"/>
      <c r="BD698" s="24" t="s">
        <v>11</v>
      </c>
      <c r="BE698" s="24" t="s">
        <v>11</v>
      </c>
      <c r="BF698" s="79" t="s">
        <v>19</v>
      </c>
      <c r="BG698" s="79" t="s">
        <v>11</v>
      </c>
      <c r="BH698" s="80" t="s">
        <v>19</v>
      </c>
      <c r="BI698" s="79"/>
      <c r="BJ698" s="54" t="s">
        <v>11</v>
      </c>
      <c r="BK698" s="78" t="s">
        <v>11</v>
      </c>
      <c r="BL698" s="69" t="s">
        <v>11</v>
      </c>
      <c r="BM698" s="78" t="s">
        <v>11</v>
      </c>
      <c r="BN698" s="78" t="s">
        <v>11</v>
      </c>
      <c r="BO698" s="78" t="s">
        <v>11</v>
      </c>
      <c r="BP698" s="78" t="s">
        <v>11</v>
      </c>
      <c r="BQ698" s="21">
        <f>YEAR([1]!BANCO10[[#This Row],[DATA INÍCIO]])</f>
        <v>2023</v>
      </c>
      <c r="BR698" s="21">
        <f>MONTH([1]!BANCO10[[#This Row],[DATA INÍCIO]])</f>
        <v>1</v>
      </c>
      <c r="BS698" s="21" t="e">
        <f>CONCATENATE(#REF!,#REF!)</f>
        <v>#REF!</v>
      </c>
      <c r="BT698" s="21"/>
      <c r="BU698" s="21" t="s">
        <v>197</v>
      </c>
      <c r="BV698" s="21" t="str">
        <f>IF([1]!BANCO10[[#This Row],[SOLUÇÃO]]=BV$1,[1]!BANCO10[[#This Row],[STATUS DA ETAPA]],"")</f>
        <v/>
      </c>
      <c r="BW698" s="21" t="str">
        <f>IF([1]!BANCO10[[#This Row],[SOLUÇÃO]]=BW$1,[1]!BANCO10[[#This Row],[STATUS DA ETAPA]],"")</f>
        <v/>
      </c>
      <c r="BX698" s="21" t="str">
        <f>IF([1]!BANCO10[[#This Row],[SOLUÇÃO]]=BX$1,[1]!BANCO10[[#This Row],[STATUS DA ETAPA]],"")</f>
        <v/>
      </c>
      <c r="BY698" s="21" t="str">
        <f>IF([1]!BANCO10[[#This Row],[SOLUÇÃO]]=BY$1,[1]!BANCO10[[#This Row],[STATUS DA ETAPA]],"")</f>
        <v>CONCLUÍDO</v>
      </c>
      <c r="BZ698" s="21" t="str">
        <f>IF([1]!BANCO10[[#This Row],[SOLUÇÃO]]=BZ$1,[1]!BANCO10[[#This Row],[STATUS DA ETAPA]],"")</f>
        <v/>
      </c>
      <c r="CA698" s="21" t="str">
        <f>IF([1]!BANCO10[[#This Row],[SOLUÇÃO]]=CA$1,[1]!BANCO10[[#This Row],[STATUS DA ETAPA]],"")</f>
        <v/>
      </c>
      <c r="CB698" s="21" t="str">
        <f>IF([1]!BANCO10[[#This Row],[SOLUÇÃO]]=CB$1,[1]!BANCO10[[#This Row],[STATUS DA ETAPA]],"")</f>
        <v/>
      </c>
      <c r="CC698" s="21" t="str">
        <f>IF([1]!BANCO10[[#This Row],[SOLUÇÃO]]=CC$1,[1]!BANCO10[[#This Row],[STATUS DA ETAPA]],"")</f>
        <v/>
      </c>
      <c r="CD698" s="21" t="str">
        <f>IF([1]!BANCO10[[#This Row],[SOLUÇÃO]]=CD$1,[1]!BANCO10[[#This Row],[STATUS DA ETAPA]],"")</f>
        <v/>
      </c>
      <c r="CE698" s="21" t="str">
        <f>IF([1]!BANCO10[[#This Row],[SOLUÇÃO]]=CE$1,[1]!BANCO10[[#This Row],[STATUS DA ETAPA]],"")</f>
        <v/>
      </c>
      <c r="CF698" s="21" t="str">
        <f>IF([1]!BANCO10[[#This Row],[SOLUÇÃO]]=CF$1,[1]!BANCO10[[#This Row],[STATUS DA ETAPA]],"")</f>
        <v/>
      </c>
      <c r="CG698" s="21" t="str">
        <f>IF([1]!BANCO10[[#This Row],[SOLUÇÃO]]=CG$1,[1]!BANCO10[[#This Row],[STATUS DA ETAPA]],"")</f>
        <v/>
      </c>
      <c r="CH698" s="21" t="str">
        <f>IF([1]!BANCO10[[#This Row],[SOLUÇÃO]]=CH$1,[1]!BANCO10[[#This Row],[STATUS DA ETAPA]],"")</f>
        <v/>
      </c>
      <c r="CI698" s="21" t="str">
        <f>IF([1]!BANCO10[[#This Row],[SOLUÇÃO]]=CI$1,[1]!BANCO10[[#This Row],[STATUS DA ETAPA]],"")</f>
        <v/>
      </c>
      <c r="CJ698" s="21" t="str">
        <f>IF([1]!BANCO10[[#This Row],[SOLUÇÃO]]=CJ$1,[1]!BANCO10[[#This Row],[STATUS DA ETAPA]],"")</f>
        <v/>
      </c>
      <c r="CK698" s="21" t="str">
        <f>IF([1]!BANCO10[[#This Row],[SOLUÇÃO]]=CK$1,[1]!BANCO10[[#This Row],[STATUS DA ETAPA]],"")</f>
        <v/>
      </c>
      <c r="CL698" s="22" t="str">
        <f>IF([1]!BANCO10[[#This Row],[SOLUÇÃO]]=CL$1,[1]!BANCO10[[#This Row],[STATUS DA ETAPA]],"")</f>
        <v/>
      </c>
      <c r="CM698" s="64" t="str">
        <f>IF([1]!BANCO10[[#This Row],[SOLUÇÃO]]=CM$1,[1]!BANCO10[[#This Row],[STATUS DA ETAPA]],"")</f>
        <v/>
      </c>
      <c r="CN698" s="64" t="str">
        <f>IF([1]!BANCO10[[#This Row],[SOLUÇÃO]]=CN$1,[1]!BANCO10[[#This Row],[STATUS DA ETAPA]],"")</f>
        <v/>
      </c>
      <c r="CO698" s="64" t="str">
        <f>IF([1]!BANCO10[[#This Row],[SOLUÇÃO]]=CO$1,[1]!BANCO10[[#This Row],[STATUS DA ETAPA]],"")</f>
        <v/>
      </c>
      <c r="CP698" s="64" t="str">
        <f>IF([1]!BANCO10[[#This Row],[SOLUÇÃO]]=CP$1,[1]!BANCO10[[#This Row],[STATUS DA ETAPA]],"")</f>
        <v/>
      </c>
      <c r="CQ698" s="64" t="str">
        <f>IF([1]!BANCO10[[#This Row],[SOLUÇÃO]]=CQ$1,[1]!BANCO10[[#This Row],[STATUS DA ETAPA]],"")</f>
        <v/>
      </c>
      <c r="CR698" s="64" t="str">
        <f>IF([1]!BANCO10[[#This Row],[SOLUÇÃO]]=CR$1,[1]!BANCO10[[#This Row],[STATUS DA ETAPA]],"")</f>
        <v/>
      </c>
      <c r="CS698" s="64" t="str">
        <f>IF([1]!BANCO10[[#This Row],[SOLUÇÃO]]=CS$1,[1]!BANCO10[[#This Row],[STATUS DA ETAPA]],"")</f>
        <v/>
      </c>
      <c r="CT698" s="64" t="str">
        <f>IF([1]!BANCO10[[#This Row],[SOLUÇÃO]]=CT$1,[1]!BANCO10[[#This Row],[STATUS DA ETAPA]],"")</f>
        <v/>
      </c>
      <c r="CU698" s="64" t="str">
        <f>IF([1]!BANCO10[[#This Row],[SOLUÇÃO]]=CU$1,[1]!BANCO10[[#This Row],[STATUS DA ETAPA]],"")</f>
        <v/>
      </c>
      <c r="CV698" s="64" t="str">
        <f>IF([1]!BANCO10[[#This Row],[SOLUÇÃO]]=CV$1,[1]!BANCO10[[#This Row],[STATUS DA ETAPA]],"")</f>
        <v/>
      </c>
    </row>
    <row r="699" spans="1:100">
      <c r="A699" s="44" t="s">
        <v>1</v>
      </c>
      <c r="B699" s="44"/>
      <c r="C699" s="44" t="s">
        <v>1</v>
      </c>
      <c r="D699" s="44"/>
      <c r="E699" s="44" t="s">
        <v>1</v>
      </c>
      <c r="F699" s="44"/>
      <c r="G699" s="44" t="s">
        <v>1</v>
      </c>
      <c r="H699" s="44"/>
      <c r="I699" s="45" t="s">
        <v>1</v>
      </c>
      <c r="J699" s="46"/>
      <c r="K699" s="45" t="s">
        <v>1</v>
      </c>
      <c r="L699" s="33"/>
      <c r="M699" s="45" t="s">
        <v>1</v>
      </c>
      <c r="N699" s="33"/>
      <c r="O699" s="44" t="s">
        <v>2</v>
      </c>
      <c r="P699" s="44">
        <v>44799</v>
      </c>
      <c r="Q699" s="44" t="s">
        <v>2</v>
      </c>
      <c r="R699" s="44">
        <v>44802</v>
      </c>
      <c r="S699" s="44" t="s">
        <v>2</v>
      </c>
      <c r="T699" s="44">
        <v>44802</v>
      </c>
      <c r="U699" s="44"/>
      <c r="V699" s="44"/>
      <c r="W699" s="44" t="s">
        <v>2</v>
      </c>
      <c r="X699" s="44"/>
      <c r="Y699" s="44" t="s">
        <v>2</v>
      </c>
      <c r="Z699" s="44">
        <v>45121</v>
      </c>
      <c r="AA699" s="44" t="s">
        <v>2</v>
      </c>
      <c r="AB699" s="44"/>
      <c r="AC699" s="84">
        <v>45149</v>
      </c>
      <c r="AD699" s="83">
        <v>45271</v>
      </c>
      <c r="AE699" s="40" t="s">
        <v>2</v>
      </c>
      <c r="AF699" s="40" t="s">
        <v>2</v>
      </c>
      <c r="AG699" s="40" t="s">
        <v>5</v>
      </c>
      <c r="AH699" s="36" t="s">
        <v>0</v>
      </c>
      <c r="AI699" s="49">
        <v>0</v>
      </c>
      <c r="AJ699" s="36" t="s">
        <v>6</v>
      </c>
      <c r="AK699" s="10">
        <v>0</v>
      </c>
      <c r="AL699" s="36">
        <v>0</v>
      </c>
      <c r="AM699" s="36">
        <v>0</v>
      </c>
      <c r="AN699" s="35" t="s">
        <v>1</v>
      </c>
      <c r="AO699" s="35" t="s">
        <v>1</v>
      </c>
      <c r="AP699" s="35" t="s">
        <v>2</v>
      </c>
      <c r="AQ699" s="35" t="s">
        <v>1</v>
      </c>
      <c r="AR699" s="33" t="s">
        <v>1</v>
      </c>
      <c r="AS699" s="33"/>
      <c r="AT699" s="30"/>
      <c r="AU699" s="55"/>
      <c r="AV699" s="30"/>
      <c r="AW699" s="55"/>
      <c r="AX699" s="30" t="s">
        <v>2</v>
      </c>
      <c r="AY699" s="55">
        <v>45279</v>
      </c>
      <c r="AZ699" s="30" t="s">
        <v>1</v>
      </c>
      <c r="BA699" s="91"/>
      <c r="BB699" s="39"/>
      <c r="BC699" s="25"/>
      <c r="BD699" s="24" t="s">
        <v>11</v>
      </c>
      <c r="BE699" s="24" t="s">
        <v>11</v>
      </c>
      <c r="BF699" s="79" t="s">
        <v>19</v>
      </c>
      <c r="BG699" s="79" t="s">
        <v>11</v>
      </c>
      <c r="BH699" s="80" t="s">
        <v>19</v>
      </c>
      <c r="BI699" s="79"/>
      <c r="BJ699" s="54" t="s">
        <v>11</v>
      </c>
      <c r="BK699" s="78" t="s">
        <v>11</v>
      </c>
      <c r="BL699" s="69">
        <v>45397</v>
      </c>
      <c r="BM699" s="78" t="s">
        <v>18</v>
      </c>
      <c r="BN699" s="78" t="s">
        <v>11</v>
      </c>
      <c r="BO699" s="78"/>
      <c r="BP699" s="78" t="s">
        <v>190</v>
      </c>
      <c r="BQ699" s="21">
        <f>YEAR([1]!BANCO10[[#This Row],[DATA INÍCIO]])</f>
        <v>2023</v>
      </c>
      <c r="BR699" s="21">
        <f>MONTH([1]!BANCO10[[#This Row],[DATA INÍCIO]])</f>
        <v>8</v>
      </c>
      <c r="BS699" s="21" t="e">
        <f>CONCATENATE(#REF!,#REF!)</f>
        <v>#REF!</v>
      </c>
      <c r="BT699" s="21"/>
      <c r="BU699" s="21" t="s">
        <v>196</v>
      </c>
      <c r="BV699" s="21" t="str">
        <f>IF([1]!BANCO10[[#This Row],[SOLUÇÃO]]=BV$1,[1]!BANCO10[[#This Row],[STATUS DA ETAPA]],"")</f>
        <v/>
      </c>
      <c r="BW699" s="21" t="str">
        <f>IF([1]!BANCO10[[#This Row],[SOLUÇÃO]]=BW$1,[1]!BANCO10[[#This Row],[STATUS DA ETAPA]],"")</f>
        <v/>
      </c>
      <c r="BX699" s="21" t="str">
        <f>IF([1]!BANCO10[[#This Row],[SOLUÇÃO]]=BX$1,[1]!BANCO10[[#This Row],[STATUS DA ETAPA]],"")</f>
        <v/>
      </c>
      <c r="BY699" s="21" t="str">
        <f>IF([1]!BANCO10[[#This Row],[SOLUÇÃO]]=BY$1,[1]!BANCO10[[#This Row],[STATUS DA ETAPA]],"")</f>
        <v/>
      </c>
      <c r="BZ699" s="21" t="str">
        <f>IF([1]!BANCO10[[#This Row],[SOLUÇÃO]]=BZ$1,[1]!BANCO10[[#This Row],[STATUS DA ETAPA]],"")</f>
        <v/>
      </c>
      <c r="CA699" s="21" t="str">
        <f>IF([1]!BANCO10[[#This Row],[SOLUÇÃO]]=CA$1,[1]!BANCO10[[#This Row],[STATUS DA ETAPA]],"")</f>
        <v/>
      </c>
      <c r="CB699" s="21" t="str">
        <f>IF([1]!BANCO10[[#This Row],[SOLUÇÃO]]=CB$1,[1]!BANCO10[[#This Row],[STATUS DA ETAPA]],"")</f>
        <v/>
      </c>
      <c r="CC699" s="21" t="str">
        <f>IF([1]!BANCO10[[#This Row],[SOLUÇÃO]]=CC$1,[1]!BANCO10[[#This Row],[STATUS DA ETAPA]],"")</f>
        <v/>
      </c>
      <c r="CD699" s="21" t="str">
        <f>IF([1]!BANCO10[[#This Row],[SOLUÇÃO]]=CD$1,[1]!BANCO10[[#This Row],[STATUS DA ETAPA]],"")</f>
        <v/>
      </c>
      <c r="CE699" s="21" t="str">
        <f>IF([1]!BANCO10[[#This Row],[SOLUÇÃO]]=CE$1,[1]!BANCO10[[#This Row],[STATUS DA ETAPA]],"")</f>
        <v/>
      </c>
      <c r="CF699" s="21" t="str">
        <f>IF([1]!BANCO10[[#This Row],[SOLUÇÃO]]=CF$1,[1]!BANCO10[[#This Row],[STATUS DA ETAPA]],"")</f>
        <v/>
      </c>
      <c r="CG699" s="21" t="str">
        <f>IF([1]!BANCO10[[#This Row],[SOLUÇÃO]]=CG$1,[1]!BANCO10[[#This Row],[STATUS DA ETAPA]],"")</f>
        <v/>
      </c>
      <c r="CH699" s="21" t="str">
        <f>IF([1]!BANCO10[[#This Row],[SOLUÇÃO]]=CH$1,[1]!BANCO10[[#This Row],[STATUS DA ETAPA]],"")</f>
        <v/>
      </c>
      <c r="CI699" s="21" t="str">
        <f>IF([1]!BANCO10[[#This Row],[SOLUÇÃO]]=CI$1,[1]!BANCO10[[#This Row],[STATUS DA ETAPA]],"")</f>
        <v/>
      </c>
      <c r="CJ699" s="21" t="str">
        <f>IF([1]!BANCO10[[#This Row],[SOLUÇÃO]]=CJ$1,[1]!BANCO10[[#This Row],[STATUS DA ETAPA]],"")</f>
        <v/>
      </c>
      <c r="CK699" s="21" t="str">
        <f>IF([1]!BANCO10[[#This Row],[SOLUÇÃO]]=CK$1,[1]!BANCO10[[#This Row],[STATUS DA ETAPA]],"")</f>
        <v/>
      </c>
      <c r="CL699" s="22" t="str">
        <f>IF([1]!BANCO10[[#This Row],[SOLUÇÃO]]=CL$1,[1]!BANCO10[[#This Row],[STATUS DA ETAPA]],"")</f>
        <v/>
      </c>
      <c r="CM699" s="64" t="str">
        <f>IF([1]!BANCO10[[#This Row],[SOLUÇÃO]]=CM$1,[1]!BANCO10[[#This Row],[STATUS DA ETAPA]],"")</f>
        <v/>
      </c>
      <c r="CN699" s="64" t="str">
        <f>IF([1]!BANCO10[[#This Row],[SOLUÇÃO]]=CN$1,[1]!BANCO10[[#This Row],[STATUS DA ETAPA]],"")</f>
        <v/>
      </c>
      <c r="CO699" s="64" t="str">
        <f>IF([1]!BANCO10[[#This Row],[SOLUÇÃO]]=CO$1,[1]!BANCO10[[#This Row],[STATUS DA ETAPA]],"")</f>
        <v>CONCLUÍDO</v>
      </c>
      <c r="CP699" s="64" t="str">
        <f>IF([1]!BANCO10[[#This Row],[SOLUÇÃO]]=CP$1,[1]!BANCO10[[#This Row],[STATUS DA ETAPA]],"")</f>
        <v/>
      </c>
      <c r="CQ699" s="64" t="str">
        <f>IF([1]!BANCO10[[#This Row],[SOLUÇÃO]]=CQ$1,[1]!BANCO10[[#This Row],[STATUS DA ETAPA]],"")</f>
        <v/>
      </c>
      <c r="CR699" s="64" t="str">
        <f>IF([1]!BANCO10[[#This Row],[SOLUÇÃO]]=CR$1,[1]!BANCO10[[#This Row],[STATUS DA ETAPA]],"")</f>
        <v/>
      </c>
      <c r="CS699" s="64" t="str">
        <f>IF([1]!BANCO10[[#This Row],[SOLUÇÃO]]=CS$1,[1]!BANCO10[[#This Row],[STATUS DA ETAPA]],"")</f>
        <v/>
      </c>
      <c r="CT699" s="64" t="str">
        <f>IF([1]!BANCO10[[#This Row],[SOLUÇÃO]]=CT$1,[1]!BANCO10[[#This Row],[STATUS DA ETAPA]],"")</f>
        <v/>
      </c>
      <c r="CU699" s="64" t="str">
        <f>IF([1]!BANCO10[[#This Row],[SOLUÇÃO]]=CU$1,[1]!BANCO10[[#This Row],[STATUS DA ETAPA]],"")</f>
        <v/>
      </c>
      <c r="CV699" s="64" t="str">
        <f>IF([1]!BANCO10[[#This Row],[SOLUÇÃO]]=CV$1,[1]!BANCO10[[#This Row],[STATUS DA ETAPA]],"")</f>
        <v/>
      </c>
    </row>
    <row r="700" spans="1:100">
      <c r="A700" s="44" t="s">
        <v>1</v>
      </c>
      <c r="B700" s="44"/>
      <c r="C700" s="44" t="s">
        <v>1</v>
      </c>
      <c r="D700" s="44"/>
      <c r="E700" s="44" t="s">
        <v>1</v>
      </c>
      <c r="F700" s="44"/>
      <c r="G700" s="44" t="s">
        <v>1</v>
      </c>
      <c r="H700" s="44"/>
      <c r="I700" s="45" t="s">
        <v>1</v>
      </c>
      <c r="J700" s="46"/>
      <c r="K700" s="45" t="s">
        <v>1</v>
      </c>
      <c r="L700" s="33"/>
      <c r="M700" s="45" t="s">
        <v>1</v>
      </c>
      <c r="N700" s="33"/>
      <c r="O700" s="44" t="s">
        <v>2</v>
      </c>
      <c r="P700" s="44">
        <v>44974</v>
      </c>
      <c r="Q700" s="44" t="s">
        <v>0</v>
      </c>
      <c r="R700" s="44"/>
      <c r="S700" s="44" t="s">
        <v>1</v>
      </c>
      <c r="T700" s="44"/>
      <c r="U700" s="44" t="s">
        <v>1</v>
      </c>
      <c r="V700" s="44"/>
      <c r="W700" s="44" t="s">
        <v>1</v>
      </c>
      <c r="X700" s="44"/>
      <c r="Y700" s="44" t="s">
        <v>1</v>
      </c>
      <c r="Z700" s="44"/>
      <c r="AA700" s="44" t="s">
        <v>1</v>
      </c>
      <c r="AB700" s="44"/>
      <c r="AC700" s="84">
        <v>44974</v>
      </c>
      <c r="AD700" s="83">
        <v>44974</v>
      </c>
      <c r="AE700" s="40" t="s">
        <v>1</v>
      </c>
      <c r="AF700" s="40" t="s">
        <v>1</v>
      </c>
      <c r="AG700" s="40" t="s">
        <v>5</v>
      </c>
      <c r="AH700" s="36" t="s">
        <v>1</v>
      </c>
      <c r="AI700" s="49">
        <v>0</v>
      </c>
      <c r="AJ700" s="36" t="s">
        <v>1</v>
      </c>
      <c r="AK700" s="10" t="s">
        <v>1</v>
      </c>
      <c r="AL700" s="36" t="s">
        <v>1</v>
      </c>
      <c r="AM700" s="36" t="s">
        <v>1</v>
      </c>
      <c r="AN700" s="35" t="s">
        <v>1</v>
      </c>
      <c r="AO700" s="35" t="s">
        <v>1</v>
      </c>
      <c r="AP700" s="35" t="s">
        <v>1</v>
      </c>
      <c r="AQ700" s="35" t="s">
        <v>1</v>
      </c>
      <c r="AR700" s="48" t="s">
        <v>1</v>
      </c>
      <c r="AS700" s="33"/>
      <c r="AT700" s="30"/>
      <c r="AU700" s="55"/>
      <c r="AV700" s="30"/>
      <c r="AW700" s="55"/>
      <c r="AX700" s="30" t="s">
        <v>1</v>
      </c>
      <c r="AY700" s="55"/>
      <c r="AZ700" s="30" t="s">
        <v>1</v>
      </c>
      <c r="BA700" s="85"/>
      <c r="BB700" s="39" t="s">
        <v>194</v>
      </c>
      <c r="BC700" s="25"/>
      <c r="BD700" s="24" t="s">
        <v>18</v>
      </c>
      <c r="BE700" s="24" t="s">
        <v>11</v>
      </c>
      <c r="BF700" s="79" t="s">
        <v>51</v>
      </c>
      <c r="BG700" s="79" t="s">
        <v>11</v>
      </c>
      <c r="BH700" s="80" t="s">
        <v>19</v>
      </c>
      <c r="BI700" s="79"/>
      <c r="BJ700" s="54" t="s">
        <v>11</v>
      </c>
      <c r="BK700" s="78" t="s">
        <v>11</v>
      </c>
      <c r="BL700" s="69" t="s">
        <v>11</v>
      </c>
      <c r="BM700" s="78" t="s">
        <v>11</v>
      </c>
      <c r="BN700" s="78" t="s">
        <v>11</v>
      </c>
      <c r="BO700" s="78" t="s">
        <v>11</v>
      </c>
      <c r="BP700" s="78" t="s">
        <v>11</v>
      </c>
      <c r="BQ700" s="21">
        <f>YEAR([1]!BANCO10[[#This Row],[DATA INÍCIO]])</f>
        <v>2023</v>
      </c>
      <c r="BR700" s="21">
        <f>MONTH([1]!BANCO10[[#This Row],[DATA INÍCIO]])</f>
        <v>2</v>
      </c>
      <c r="BS700" s="21" t="e">
        <f>CONCATENATE(#REF!,#REF!)</f>
        <v>#REF!</v>
      </c>
      <c r="BT700" s="21"/>
      <c r="BU700" s="21" t="s">
        <v>195</v>
      </c>
      <c r="BV700" s="21" t="str">
        <f>IF([1]!BANCO10[[#This Row],[SOLUÇÃO]]=BV$1,[1]!BANCO10[[#This Row],[STATUS DA ETAPA]],"")</f>
        <v>CONCLUÍDO</v>
      </c>
      <c r="BW700" s="21" t="str">
        <f>IF([1]!BANCO10[[#This Row],[SOLUÇÃO]]=BW$1,[1]!BANCO10[[#This Row],[STATUS DA ETAPA]],"")</f>
        <v/>
      </c>
      <c r="BX700" s="21" t="str">
        <f>IF([1]!BANCO10[[#This Row],[SOLUÇÃO]]=BX$1,[1]!BANCO10[[#This Row],[STATUS DA ETAPA]],"")</f>
        <v/>
      </c>
      <c r="BY700" s="21" t="str">
        <f>IF([1]!BANCO10[[#This Row],[SOLUÇÃO]]=BY$1,[1]!BANCO10[[#This Row],[STATUS DA ETAPA]],"")</f>
        <v/>
      </c>
      <c r="BZ700" s="21" t="str">
        <f>IF([1]!BANCO10[[#This Row],[SOLUÇÃO]]=BZ$1,[1]!BANCO10[[#This Row],[STATUS DA ETAPA]],"")</f>
        <v/>
      </c>
      <c r="CA700" s="21" t="str">
        <f>IF([1]!BANCO10[[#This Row],[SOLUÇÃO]]=CA$1,[1]!BANCO10[[#This Row],[STATUS DA ETAPA]],"")</f>
        <v/>
      </c>
      <c r="CB700" s="21" t="str">
        <f>IF([1]!BANCO10[[#This Row],[SOLUÇÃO]]=CB$1,[1]!BANCO10[[#This Row],[STATUS DA ETAPA]],"")</f>
        <v/>
      </c>
      <c r="CC700" s="21" t="str">
        <f>IF([1]!BANCO10[[#This Row],[SOLUÇÃO]]=CC$1,[1]!BANCO10[[#This Row],[STATUS DA ETAPA]],"")</f>
        <v/>
      </c>
      <c r="CD700" s="21" t="str">
        <f>IF([1]!BANCO10[[#This Row],[SOLUÇÃO]]=CD$1,[1]!BANCO10[[#This Row],[STATUS DA ETAPA]],"")</f>
        <v/>
      </c>
      <c r="CE700" s="21" t="str">
        <f>IF([1]!BANCO10[[#This Row],[SOLUÇÃO]]=CE$1,[1]!BANCO10[[#This Row],[STATUS DA ETAPA]],"")</f>
        <v/>
      </c>
      <c r="CF700" s="21" t="str">
        <f>IF([1]!BANCO10[[#This Row],[SOLUÇÃO]]=CF$1,[1]!BANCO10[[#This Row],[STATUS DA ETAPA]],"")</f>
        <v/>
      </c>
      <c r="CG700" s="21" t="str">
        <f>IF([1]!BANCO10[[#This Row],[SOLUÇÃO]]=CG$1,[1]!BANCO10[[#This Row],[STATUS DA ETAPA]],"")</f>
        <v/>
      </c>
      <c r="CH700" s="21" t="str">
        <f>IF([1]!BANCO10[[#This Row],[SOLUÇÃO]]=CH$1,[1]!BANCO10[[#This Row],[STATUS DA ETAPA]],"")</f>
        <v/>
      </c>
      <c r="CI700" s="21" t="str">
        <f>IF([1]!BANCO10[[#This Row],[SOLUÇÃO]]=CI$1,[1]!BANCO10[[#This Row],[STATUS DA ETAPA]],"")</f>
        <v/>
      </c>
      <c r="CJ700" s="21" t="str">
        <f>IF([1]!BANCO10[[#This Row],[SOLUÇÃO]]=CJ$1,[1]!BANCO10[[#This Row],[STATUS DA ETAPA]],"")</f>
        <v/>
      </c>
      <c r="CK700" s="21" t="str">
        <f>IF([1]!BANCO10[[#This Row],[SOLUÇÃO]]=CK$1,[1]!BANCO10[[#This Row],[STATUS DA ETAPA]],"")</f>
        <v/>
      </c>
      <c r="CL700" s="22" t="str">
        <f>IF([1]!BANCO10[[#This Row],[SOLUÇÃO]]=CL$1,[1]!BANCO10[[#This Row],[STATUS DA ETAPA]],"")</f>
        <v/>
      </c>
      <c r="CM700" s="64" t="str">
        <f>IF([1]!BANCO10[[#This Row],[SOLUÇÃO]]=CM$1,[1]!BANCO10[[#This Row],[STATUS DA ETAPA]],"")</f>
        <v/>
      </c>
      <c r="CN700" s="64" t="str">
        <f>IF([1]!BANCO10[[#This Row],[SOLUÇÃO]]=CN$1,[1]!BANCO10[[#This Row],[STATUS DA ETAPA]],"")</f>
        <v/>
      </c>
      <c r="CO700" s="64" t="str">
        <f>IF([1]!BANCO10[[#This Row],[SOLUÇÃO]]=CO$1,[1]!BANCO10[[#This Row],[STATUS DA ETAPA]],"")</f>
        <v/>
      </c>
      <c r="CP700" s="64" t="str">
        <f>IF([1]!BANCO10[[#This Row],[SOLUÇÃO]]=CP$1,[1]!BANCO10[[#This Row],[STATUS DA ETAPA]],"")</f>
        <v/>
      </c>
      <c r="CQ700" s="64" t="str">
        <f>IF([1]!BANCO10[[#This Row],[SOLUÇÃO]]=CQ$1,[1]!BANCO10[[#This Row],[STATUS DA ETAPA]],"")</f>
        <v/>
      </c>
      <c r="CR700" s="64" t="str">
        <f>IF([1]!BANCO10[[#This Row],[SOLUÇÃO]]=CR$1,[1]!BANCO10[[#This Row],[STATUS DA ETAPA]],"")</f>
        <v/>
      </c>
      <c r="CS700" s="64" t="str">
        <f>IF([1]!BANCO10[[#This Row],[SOLUÇÃO]]=CS$1,[1]!BANCO10[[#This Row],[STATUS DA ETAPA]],"")</f>
        <v/>
      </c>
      <c r="CT700" s="64" t="str">
        <f>IF([1]!BANCO10[[#This Row],[SOLUÇÃO]]=CT$1,[1]!BANCO10[[#This Row],[STATUS DA ETAPA]],"")</f>
        <v/>
      </c>
      <c r="CU700" s="64" t="str">
        <f>IF([1]!BANCO10[[#This Row],[SOLUÇÃO]]=CU$1,[1]!BANCO10[[#This Row],[STATUS DA ETAPA]],"")</f>
        <v/>
      </c>
      <c r="CV700" s="64" t="str">
        <f>IF([1]!BANCO10[[#This Row],[SOLUÇÃO]]=CV$1,[1]!BANCO10[[#This Row],[STATUS DA ETAPA]],"")</f>
        <v/>
      </c>
    </row>
    <row r="701" spans="1:100">
      <c r="A701" s="44" t="s">
        <v>1</v>
      </c>
      <c r="B701" s="44"/>
      <c r="C701" s="44" t="s">
        <v>1</v>
      </c>
      <c r="D701" s="44"/>
      <c r="E701" s="44" t="s">
        <v>1</v>
      </c>
      <c r="F701" s="44"/>
      <c r="G701" s="44" t="s">
        <v>1</v>
      </c>
      <c r="H701" s="44"/>
      <c r="I701" s="45" t="s">
        <v>1</v>
      </c>
      <c r="J701" s="46"/>
      <c r="K701" s="45" t="s">
        <v>1</v>
      </c>
      <c r="L701" s="33"/>
      <c r="M701" s="45" t="s">
        <v>1</v>
      </c>
      <c r="N701" s="33"/>
      <c r="O701" s="44" t="s">
        <v>2</v>
      </c>
      <c r="P701" s="44">
        <v>44974</v>
      </c>
      <c r="Q701" s="44" t="s">
        <v>2</v>
      </c>
      <c r="R701" s="44">
        <v>45199</v>
      </c>
      <c r="S701" s="44"/>
      <c r="T701" s="44"/>
      <c r="U701" s="44"/>
      <c r="V701" s="44"/>
      <c r="W701" s="44"/>
      <c r="X701" s="44"/>
      <c r="Y701" s="44"/>
      <c r="Z701" s="44"/>
      <c r="AA701" s="44" t="s">
        <v>1</v>
      </c>
      <c r="AB701" s="44"/>
      <c r="AC701" s="51">
        <v>45963</v>
      </c>
      <c r="AD701" s="50">
        <v>45963</v>
      </c>
      <c r="AE701" s="54" t="s">
        <v>1</v>
      </c>
      <c r="AF701" s="41" t="s">
        <v>1</v>
      </c>
      <c r="AG701" s="40" t="s">
        <v>5</v>
      </c>
      <c r="AH701" s="36" t="s">
        <v>0</v>
      </c>
      <c r="AI701" s="49">
        <v>0</v>
      </c>
      <c r="AJ701" s="36"/>
      <c r="AK701" s="10" t="s">
        <v>30</v>
      </c>
      <c r="AL701" s="36" t="s">
        <v>30</v>
      </c>
      <c r="AM701" s="36" t="s">
        <v>30</v>
      </c>
      <c r="AN701" s="35" t="s">
        <v>1</v>
      </c>
      <c r="AO701" s="35" t="s">
        <v>1</v>
      </c>
      <c r="AP701" s="35"/>
      <c r="AQ701" s="35" t="s">
        <v>1</v>
      </c>
      <c r="AR701" s="33" t="s">
        <v>1</v>
      </c>
      <c r="AS701" s="33"/>
      <c r="AT701" s="32"/>
      <c r="AU701" s="31"/>
      <c r="AV701" s="32"/>
      <c r="AW701" s="31"/>
      <c r="AX701" s="30" t="s">
        <v>0</v>
      </c>
      <c r="AY701" s="29"/>
      <c r="AZ701" s="28" t="s">
        <v>0</v>
      </c>
      <c r="BA701" s="81"/>
      <c r="BB701" s="39" t="s">
        <v>194</v>
      </c>
      <c r="BC701" s="25"/>
      <c r="BD701" s="24" t="s">
        <v>18</v>
      </c>
      <c r="BE701" s="24" t="s">
        <v>11</v>
      </c>
      <c r="BF701" s="118" t="s">
        <v>51</v>
      </c>
      <c r="BG701" s="79" t="s">
        <v>11</v>
      </c>
      <c r="BH701" s="117" t="s">
        <v>19</v>
      </c>
      <c r="BI701" s="79"/>
      <c r="BJ701" s="41" t="s">
        <v>11</v>
      </c>
      <c r="BK701" s="78" t="s">
        <v>11</v>
      </c>
      <c r="BL701" s="69" t="s">
        <v>11</v>
      </c>
      <c r="BM701" s="78" t="s">
        <v>11</v>
      </c>
      <c r="BN701" s="78" t="s">
        <v>11</v>
      </c>
      <c r="BO701" s="78" t="s">
        <v>11</v>
      </c>
      <c r="BP701" s="78" t="s">
        <v>178</v>
      </c>
      <c r="BQ701" s="21">
        <f>YEAR([1]!BANCO10[[#This Row],[DATA INÍCIO]])</f>
        <v>2025</v>
      </c>
      <c r="BR701" s="21">
        <f>MONTH([1]!BANCO10[[#This Row],[DATA INÍCIO]])</f>
        <v>11</v>
      </c>
      <c r="BS701" s="21" t="e">
        <f>CONCATENATE(#REF!,#REF!)</f>
        <v>#REF!</v>
      </c>
      <c r="BT701" s="21"/>
      <c r="BU701" s="21" t="s">
        <v>30</v>
      </c>
      <c r="BV701" s="21" t="str">
        <f>IF([1]!BANCO10[[#This Row],[SOLUÇÃO]]=BV$1,[1]!BANCO10[[#This Row],[STATUS DA ETAPA]],"")</f>
        <v/>
      </c>
      <c r="BW701" s="21" t="str">
        <f>IF([1]!BANCO10[[#This Row],[SOLUÇÃO]]=BW$1,[1]!BANCO10[[#This Row],[STATUS DA ETAPA]],"")</f>
        <v/>
      </c>
      <c r="BX701" s="21" t="str">
        <f>IF([1]!BANCO10[[#This Row],[SOLUÇÃO]]=BX$1,[1]!BANCO10[[#This Row],[STATUS DA ETAPA]],"")</f>
        <v/>
      </c>
      <c r="BY701" s="21" t="str">
        <f>IF([1]!BANCO10[[#This Row],[SOLUÇÃO]]=BY$1,[1]!BANCO10[[#This Row],[STATUS DA ETAPA]],"")</f>
        <v/>
      </c>
      <c r="BZ701" s="21" t="str">
        <f>IF([1]!BANCO10[[#This Row],[SOLUÇÃO]]=BZ$1,[1]!BANCO10[[#This Row],[STATUS DA ETAPA]],"")</f>
        <v/>
      </c>
      <c r="CA701" s="21" t="str">
        <f>IF([1]!BANCO10[[#This Row],[SOLUÇÃO]]=CA$1,[1]!BANCO10[[#This Row],[STATUS DA ETAPA]],"")</f>
        <v>PROSPECÇÃO</v>
      </c>
      <c r="CB701" s="21" t="str">
        <f>IF([1]!BANCO10[[#This Row],[SOLUÇÃO]]=CB$1,[1]!BANCO10[[#This Row],[STATUS DA ETAPA]],"")</f>
        <v/>
      </c>
      <c r="CC701" s="21" t="str">
        <f>IF([1]!BANCO10[[#This Row],[SOLUÇÃO]]=CC$1,[1]!BANCO10[[#This Row],[STATUS DA ETAPA]],"")</f>
        <v/>
      </c>
      <c r="CD701" s="21" t="str">
        <f>IF([1]!BANCO10[[#This Row],[SOLUÇÃO]]=CD$1,[1]!BANCO10[[#This Row],[STATUS DA ETAPA]],"")</f>
        <v/>
      </c>
      <c r="CE701" s="21" t="str">
        <f>IF([1]!BANCO10[[#This Row],[SOLUÇÃO]]=CE$1,[1]!BANCO10[[#This Row],[STATUS DA ETAPA]],"")</f>
        <v/>
      </c>
      <c r="CF701" s="21" t="str">
        <f>IF([1]!BANCO10[[#This Row],[SOLUÇÃO]]=CF$1,[1]!BANCO10[[#This Row],[STATUS DA ETAPA]],"")</f>
        <v/>
      </c>
      <c r="CG701" s="21" t="str">
        <f>IF([1]!BANCO10[[#This Row],[SOLUÇÃO]]=CG$1,[1]!BANCO10[[#This Row],[STATUS DA ETAPA]],"")</f>
        <v/>
      </c>
      <c r="CH701" s="21" t="str">
        <f>IF([1]!BANCO10[[#This Row],[SOLUÇÃO]]=CH$1,[1]!BANCO10[[#This Row],[STATUS DA ETAPA]],"")</f>
        <v/>
      </c>
      <c r="CI701" s="21" t="str">
        <f>IF([1]!BANCO10[[#This Row],[SOLUÇÃO]]=CI$1,[1]!BANCO10[[#This Row],[STATUS DA ETAPA]],"")</f>
        <v/>
      </c>
      <c r="CJ701" s="21" t="str">
        <f>IF([1]!BANCO10[[#This Row],[SOLUÇÃO]]=CJ$1,[1]!BANCO10[[#This Row],[STATUS DA ETAPA]],"")</f>
        <v/>
      </c>
      <c r="CK701" s="21" t="str">
        <f>IF([1]!BANCO10[[#This Row],[SOLUÇÃO]]=CK$1,[1]!BANCO10[[#This Row],[STATUS DA ETAPA]],"")</f>
        <v/>
      </c>
      <c r="CL701" s="22" t="str">
        <f>IF([1]!BANCO10[[#This Row],[SOLUÇÃO]]=CL$1,[1]!BANCO10[[#This Row],[STATUS DA ETAPA]],"")</f>
        <v/>
      </c>
      <c r="CM701" s="64" t="str">
        <f>IF([1]!BANCO10[[#This Row],[SOLUÇÃO]]=CM$1,[1]!BANCO10[[#This Row],[STATUS DA ETAPA]],"")</f>
        <v/>
      </c>
      <c r="CN701" s="64" t="str">
        <f>IF([1]!BANCO10[[#This Row],[SOLUÇÃO]]=CN$1,[1]!BANCO10[[#This Row],[STATUS DA ETAPA]],"")</f>
        <v/>
      </c>
      <c r="CO701" s="64" t="str">
        <f>IF([1]!BANCO10[[#This Row],[SOLUÇÃO]]=CO$1,[1]!BANCO10[[#This Row],[STATUS DA ETAPA]],"")</f>
        <v/>
      </c>
      <c r="CP701" s="64" t="str">
        <f>IF([1]!BANCO10[[#This Row],[SOLUÇÃO]]=CP$1,[1]!BANCO10[[#This Row],[STATUS DA ETAPA]],"")</f>
        <v/>
      </c>
      <c r="CQ701" s="64" t="str">
        <f>IF([1]!BANCO10[[#This Row],[SOLUÇÃO]]=CQ$1,[1]!BANCO10[[#This Row],[STATUS DA ETAPA]],"")</f>
        <v/>
      </c>
      <c r="CR701" s="64" t="str">
        <f>IF([1]!BANCO10[[#This Row],[SOLUÇÃO]]=CR$1,[1]!BANCO10[[#This Row],[STATUS DA ETAPA]],"")</f>
        <v/>
      </c>
      <c r="CS701" s="64" t="str">
        <f>IF([1]!BANCO10[[#This Row],[SOLUÇÃO]]=CS$1,[1]!BANCO10[[#This Row],[STATUS DA ETAPA]],"")</f>
        <v/>
      </c>
      <c r="CT701" s="64" t="str">
        <f>IF([1]!BANCO10[[#This Row],[SOLUÇÃO]]=CT$1,[1]!BANCO10[[#This Row],[STATUS DA ETAPA]],"")</f>
        <v/>
      </c>
      <c r="CU701" s="64" t="str">
        <f>IF([1]!BANCO10[[#This Row],[SOLUÇÃO]]=CU$1,[1]!BANCO10[[#This Row],[STATUS DA ETAPA]],"")</f>
        <v/>
      </c>
      <c r="CV701" s="64" t="str">
        <f>IF([1]!BANCO10[[#This Row],[SOLUÇÃO]]=CV$1,[1]!BANCO10[[#This Row],[STATUS DA ETAPA]],"")</f>
        <v/>
      </c>
    </row>
    <row r="702" spans="1:100">
      <c r="A702" s="44" t="s">
        <v>1</v>
      </c>
      <c r="B702" s="44"/>
      <c r="C702" s="44" t="s">
        <v>1</v>
      </c>
      <c r="D702" s="44"/>
      <c r="E702" s="44" t="s">
        <v>1</v>
      </c>
      <c r="F702" s="44"/>
      <c r="G702" s="44" t="s">
        <v>1</v>
      </c>
      <c r="H702" s="44"/>
      <c r="I702" s="45" t="s">
        <v>1</v>
      </c>
      <c r="J702" s="46"/>
      <c r="K702" s="45" t="s">
        <v>1</v>
      </c>
      <c r="L702" s="33"/>
      <c r="M702" s="45" t="s">
        <v>1</v>
      </c>
      <c r="N702" s="33"/>
      <c r="O702" s="44" t="s">
        <v>2</v>
      </c>
      <c r="P702" s="44">
        <v>44926</v>
      </c>
      <c r="Q702" s="44" t="s">
        <v>0</v>
      </c>
      <c r="R702" s="44"/>
      <c r="S702" s="44" t="s">
        <v>1</v>
      </c>
      <c r="T702" s="44"/>
      <c r="U702" s="44" t="s">
        <v>1</v>
      </c>
      <c r="V702" s="44"/>
      <c r="W702" s="44" t="s">
        <v>1</v>
      </c>
      <c r="X702" s="44"/>
      <c r="Y702" s="44" t="s">
        <v>1</v>
      </c>
      <c r="Z702" s="44"/>
      <c r="AA702" s="44" t="s">
        <v>1</v>
      </c>
      <c r="AB702" s="44"/>
      <c r="AC702" s="51">
        <v>44926</v>
      </c>
      <c r="AD702" s="50">
        <v>44926</v>
      </c>
      <c r="AE702" s="24" t="s">
        <v>1</v>
      </c>
      <c r="AF702" s="40" t="s">
        <v>1</v>
      </c>
      <c r="AG702" s="40" t="s">
        <v>5</v>
      </c>
      <c r="AH702" s="36" t="s">
        <v>1</v>
      </c>
      <c r="AI702" s="49">
        <v>0</v>
      </c>
      <c r="AJ702" s="36" t="s">
        <v>1</v>
      </c>
      <c r="AK702" s="10" t="s">
        <v>1</v>
      </c>
      <c r="AL702" s="36" t="s">
        <v>1</v>
      </c>
      <c r="AM702" s="36" t="s">
        <v>1</v>
      </c>
      <c r="AN702" s="35" t="s">
        <v>1</v>
      </c>
      <c r="AO702" s="35" t="s">
        <v>1</v>
      </c>
      <c r="AP702" s="35" t="s">
        <v>1</v>
      </c>
      <c r="AQ702" s="35" t="s">
        <v>1</v>
      </c>
      <c r="AR702" s="48" t="s">
        <v>1</v>
      </c>
      <c r="AS702" s="33"/>
      <c r="AT702" s="30"/>
      <c r="AU702" s="55"/>
      <c r="AV702" s="30"/>
      <c r="AW702" s="55"/>
      <c r="AX702" s="30" t="s">
        <v>1</v>
      </c>
      <c r="AY702" s="55"/>
      <c r="AZ702" s="30" t="s">
        <v>1</v>
      </c>
      <c r="BA702" s="85"/>
      <c r="BB702" s="39" t="s">
        <v>193</v>
      </c>
      <c r="BC702" s="25"/>
      <c r="BD702" s="24" t="s">
        <v>72</v>
      </c>
      <c r="BE702" s="24" t="s">
        <v>19</v>
      </c>
      <c r="BF702" s="79" t="s">
        <v>51</v>
      </c>
      <c r="BG702" s="79" t="s">
        <v>11</v>
      </c>
      <c r="BH702" s="80" t="s">
        <v>19</v>
      </c>
      <c r="BI702" s="79"/>
      <c r="BJ702" s="54" t="s">
        <v>11</v>
      </c>
      <c r="BK702" s="78" t="s">
        <v>11</v>
      </c>
      <c r="BL702" s="69" t="s">
        <v>11</v>
      </c>
      <c r="BM702" s="78" t="s">
        <v>11</v>
      </c>
      <c r="BN702" s="78" t="s">
        <v>11</v>
      </c>
      <c r="BO702" s="78" t="s">
        <v>11</v>
      </c>
      <c r="BP702" s="78" t="s">
        <v>11</v>
      </c>
      <c r="BQ702" s="21">
        <f>YEAR([1]!BANCO10[[#This Row],[DATA INÍCIO]])</f>
        <v>2022</v>
      </c>
      <c r="BR702" s="21">
        <f>MONTH([1]!BANCO10[[#This Row],[DATA INÍCIO]])</f>
        <v>12</v>
      </c>
      <c r="BS702" s="21" t="e">
        <f>CONCATENATE(#REF!,#REF!)</f>
        <v>#REF!</v>
      </c>
      <c r="BT702" s="21"/>
      <c r="BU702" s="21" t="s">
        <v>192</v>
      </c>
      <c r="BV702" s="21" t="str">
        <f>IF([1]!BANCO10[[#This Row],[SOLUÇÃO]]=BV$1,[1]!BANCO10[[#This Row],[STATUS DA ETAPA]],"")</f>
        <v>CONCLUÍDO</v>
      </c>
      <c r="BW702" s="21" t="str">
        <f>IF([1]!BANCO10[[#This Row],[SOLUÇÃO]]=BW$1,[1]!BANCO10[[#This Row],[STATUS DA ETAPA]],"")</f>
        <v/>
      </c>
      <c r="BX702" s="21" t="str">
        <f>IF([1]!BANCO10[[#This Row],[SOLUÇÃO]]=BX$1,[1]!BANCO10[[#This Row],[STATUS DA ETAPA]],"")</f>
        <v/>
      </c>
      <c r="BY702" s="21" t="str">
        <f>IF([1]!BANCO10[[#This Row],[SOLUÇÃO]]=BY$1,[1]!BANCO10[[#This Row],[STATUS DA ETAPA]],"")</f>
        <v/>
      </c>
      <c r="BZ702" s="21" t="str">
        <f>IF([1]!BANCO10[[#This Row],[SOLUÇÃO]]=BZ$1,[1]!BANCO10[[#This Row],[STATUS DA ETAPA]],"")</f>
        <v/>
      </c>
      <c r="CA702" s="21" t="str">
        <f>IF([1]!BANCO10[[#This Row],[SOLUÇÃO]]=CA$1,[1]!BANCO10[[#This Row],[STATUS DA ETAPA]],"")</f>
        <v/>
      </c>
      <c r="CB702" s="21" t="str">
        <f>IF([1]!BANCO10[[#This Row],[SOLUÇÃO]]=CB$1,[1]!BANCO10[[#This Row],[STATUS DA ETAPA]],"")</f>
        <v/>
      </c>
      <c r="CC702" s="21" t="str">
        <f>IF([1]!BANCO10[[#This Row],[SOLUÇÃO]]=CC$1,[1]!BANCO10[[#This Row],[STATUS DA ETAPA]],"")</f>
        <v/>
      </c>
      <c r="CD702" s="21" t="str">
        <f>IF([1]!BANCO10[[#This Row],[SOLUÇÃO]]=CD$1,[1]!BANCO10[[#This Row],[STATUS DA ETAPA]],"")</f>
        <v/>
      </c>
      <c r="CE702" s="21" t="str">
        <f>IF([1]!BANCO10[[#This Row],[SOLUÇÃO]]=CE$1,[1]!BANCO10[[#This Row],[STATUS DA ETAPA]],"")</f>
        <v/>
      </c>
      <c r="CF702" s="21" t="str">
        <f>IF([1]!BANCO10[[#This Row],[SOLUÇÃO]]=CF$1,[1]!BANCO10[[#This Row],[STATUS DA ETAPA]],"")</f>
        <v/>
      </c>
      <c r="CG702" s="21" t="str">
        <f>IF([1]!BANCO10[[#This Row],[SOLUÇÃO]]=CG$1,[1]!BANCO10[[#This Row],[STATUS DA ETAPA]],"")</f>
        <v/>
      </c>
      <c r="CH702" s="21" t="str">
        <f>IF([1]!BANCO10[[#This Row],[SOLUÇÃO]]=CH$1,[1]!BANCO10[[#This Row],[STATUS DA ETAPA]],"")</f>
        <v/>
      </c>
      <c r="CI702" s="21" t="str">
        <f>IF([1]!BANCO10[[#This Row],[SOLUÇÃO]]=CI$1,[1]!BANCO10[[#This Row],[STATUS DA ETAPA]],"")</f>
        <v/>
      </c>
      <c r="CJ702" s="21" t="str">
        <f>IF([1]!BANCO10[[#This Row],[SOLUÇÃO]]=CJ$1,[1]!BANCO10[[#This Row],[STATUS DA ETAPA]],"")</f>
        <v/>
      </c>
      <c r="CK702" s="21" t="str">
        <f>IF([1]!BANCO10[[#This Row],[SOLUÇÃO]]=CK$1,[1]!BANCO10[[#This Row],[STATUS DA ETAPA]],"")</f>
        <v/>
      </c>
      <c r="CL702" s="22" t="str">
        <f>IF([1]!BANCO10[[#This Row],[SOLUÇÃO]]=CL$1,[1]!BANCO10[[#This Row],[STATUS DA ETAPA]],"")</f>
        <v/>
      </c>
      <c r="CM702" s="64" t="str">
        <f>IF([1]!BANCO10[[#This Row],[SOLUÇÃO]]=CM$1,[1]!BANCO10[[#This Row],[STATUS DA ETAPA]],"")</f>
        <v/>
      </c>
      <c r="CN702" s="64" t="str">
        <f>IF([1]!BANCO10[[#This Row],[SOLUÇÃO]]=CN$1,[1]!BANCO10[[#This Row],[STATUS DA ETAPA]],"")</f>
        <v/>
      </c>
      <c r="CO702" s="64" t="str">
        <f>IF([1]!BANCO10[[#This Row],[SOLUÇÃO]]=CO$1,[1]!BANCO10[[#This Row],[STATUS DA ETAPA]],"")</f>
        <v/>
      </c>
      <c r="CP702" s="64" t="str">
        <f>IF([1]!BANCO10[[#This Row],[SOLUÇÃO]]=CP$1,[1]!BANCO10[[#This Row],[STATUS DA ETAPA]],"")</f>
        <v/>
      </c>
      <c r="CQ702" s="64" t="str">
        <f>IF([1]!BANCO10[[#This Row],[SOLUÇÃO]]=CQ$1,[1]!BANCO10[[#This Row],[STATUS DA ETAPA]],"")</f>
        <v/>
      </c>
      <c r="CR702" s="64" t="str">
        <f>IF([1]!BANCO10[[#This Row],[SOLUÇÃO]]=CR$1,[1]!BANCO10[[#This Row],[STATUS DA ETAPA]],"")</f>
        <v/>
      </c>
      <c r="CS702" s="64" t="str">
        <f>IF([1]!BANCO10[[#This Row],[SOLUÇÃO]]=CS$1,[1]!BANCO10[[#This Row],[STATUS DA ETAPA]],"")</f>
        <v/>
      </c>
      <c r="CT702" s="64" t="str">
        <f>IF([1]!BANCO10[[#This Row],[SOLUÇÃO]]=CT$1,[1]!BANCO10[[#This Row],[STATUS DA ETAPA]],"")</f>
        <v/>
      </c>
      <c r="CU702" s="64" t="str">
        <f>IF([1]!BANCO10[[#This Row],[SOLUÇÃO]]=CU$1,[1]!BANCO10[[#This Row],[STATUS DA ETAPA]],"")</f>
        <v/>
      </c>
      <c r="CV702" s="64" t="str">
        <f>IF([1]!BANCO10[[#This Row],[SOLUÇÃO]]=CV$1,[1]!BANCO10[[#This Row],[STATUS DA ETAPA]],"")</f>
        <v/>
      </c>
    </row>
    <row r="703" spans="1:100">
      <c r="A703" s="44" t="s">
        <v>1</v>
      </c>
      <c r="B703" s="44"/>
      <c r="C703" s="44" t="s">
        <v>1</v>
      </c>
      <c r="D703" s="44"/>
      <c r="E703" s="44" t="s">
        <v>1</v>
      </c>
      <c r="F703" s="44"/>
      <c r="G703" s="44" t="s">
        <v>1</v>
      </c>
      <c r="H703" s="44"/>
      <c r="I703" s="45" t="s">
        <v>1</v>
      </c>
      <c r="J703" s="46"/>
      <c r="K703" s="45" t="s">
        <v>1</v>
      </c>
      <c r="L703" s="33"/>
      <c r="M703" s="45" t="s">
        <v>1</v>
      </c>
      <c r="N703" s="33"/>
      <c r="O703" s="44" t="s">
        <v>2</v>
      </c>
      <c r="P703" s="44">
        <v>44926</v>
      </c>
      <c r="Q703" s="44" t="s">
        <v>2</v>
      </c>
      <c r="R703" s="44">
        <v>45160</v>
      </c>
      <c r="S703" s="44"/>
      <c r="T703" s="44"/>
      <c r="U703" s="44"/>
      <c r="V703" s="44"/>
      <c r="W703" s="44"/>
      <c r="X703" s="44"/>
      <c r="Y703" s="44"/>
      <c r="Z703" s="44"/>
      <c r="AA703" s="44" t="s">
        <v>1</v>
      </c>
      <c r="AB703" s="44"/>
      <c r="AC703" s="51">
        <v>45189</v>
      </c>
      <c r="AD703" s="50">
        <v>45467</v>
      </c>
      <c r="AE703" s="24" t="s">
        <v>2</v>
      </c>
      <c r="AF703" s="40" t="s">
        <v>2</v>
      </c>
      <c r="AG703" s="40" t="s">
        <v>5</v>
      </c>
      <c r="AH703" s="36" t="s">
        <v>1</v>
      </c>
      <c r="AI703" s="49">
        <v>0</v>
      </c>
      <c r="AJ703" s="36" t="s">
        <v>1</v>
      </c>
      <c r="AK703" s="10" t="s">
        <v>1</v>
      </c>
      <c r="AL703" s="36" t="s">
        <v>1</v>
      </c>
      <c r="AM703" s="36" t="s">
        <v>1</v>
      </c>
      <c r="AN703" s="35" t="s">
        <v>1</v>
      </c>
      <c r="AO703" s="35" t="s">
        <v>1</v>
      </c>
      <c r="AP703" s="35" t="s">
        <v>1</v>
      </c>
      <c r="AQ703" s="35" t="s">
        <v>1</v>
      </c>
      <c r="AR703" s="33" t="s">
        <v>1</v>
      </c>
      <c r="AS703" s="33"/>
      <c r="AT703" s="30"/>
      <c r="AU703" s="55"/>
      <c r="AV703" s="30"/>
      <c r="AW703" s="55"/>
      <c r="AX703" s="30" t="s">
        <v>2</v>
      </c>
      <c r="AY703" s="55">
        <v>45467</v>
      </c>
      <c r="AZ703" s="30" t="s">
        <v>1</v>
      </c>
      <c r="BA703" s="91"/>
      <c r="BB703" s="39" t="s">
        <v>191</v>
      </c>
      <c r="BC703" s="25"/>
      <c r="BD703" s="24" t="s">
        <v>72</v>
      </c>
      <c r="BE703" s="24" t="s">
        <v>19</v>
      </c>
      <c r="BF703" s="79" t="s">
        <v>51</v>
      </c>
      <c r="BG703" s="79" t="s">
        <v>11</v>
      </c>
      <c r="BH703" s="80" t="s">
        <v>19</v>
      </c>
      <c r="BI703" s="79"/>
      <c r="BJ703" s="54" t="s">
        <v>11</v>
      </c>
      <c r="BK703" s="78" t="s">
        <v>11</v>
      </c>
      <c r="BL703" s="69">
        <v>45397</v>
      </c>
      <c r="BM703" s="78" t="s">
        <v>18</v>
      </c>
      <c r="BN703" s="78" t="s">
        <v>11</v>
      </c>
      <c r="BO703" s="78"/>
      <c r="BP703" s="78" t="s">
        <v>190</v>
      </c>
      <c r="BQ703" s="21">
        <f>YEAR([1]!BANCO10[[#This Row],[DATA INÍCIO]])</f>
        <v>2023</v>
      </c>
      <c r="BR703" s="21">
        <f>MONTH([1]!BANCO10[[#This Row],[DATA INÍCIO]])</f>
        <v>9</v>
      </c>
      <c r="BS703" s="21" t="e">
        <f>CONCATENATE(#REF!,#REF!)</f>
        <v>#REF!</v>
      </c>
      <c r="BT703" s="21"/>
      <c r="BU703" s="21" t="s">
        <v>189</v>
      </c>
      <c r="BV703" s="21" t="str">
        <f>IF([1]!BANCO10[[#This Row],[SOLUÇÃO]]=BV$1,[1]!BANCO10[[#This Row],[STATUS DA ETAPA]],"")</f>
        <v/>
      </c>
      <c r="BW703" s="21" t="str">
        <f>IF([1]!BANCO10[[#This Row],[SOLUÇÃO]]=BW$1,[1]!BANCO10[[#This Row],[STATUS DA ETAPA]],"")</f>
        <v/>
      </c>
      <c r="BX703" s="21" t="str">
        <f>IF([1]!BANCO10[[#This Row],[SOLUÇÃO]]=BX$1,[1]!BANCO10[[#This Row],[STATUS DA ETAPA]],"")</f>
        <v/>
      </c>
      <c r="BY703" s="21" t="str">
        <f>IF([1]!BANCO10[[#This Row],[SOLUÇÃO]]=BY$1,[1]!BANCO10[[#This Row],[STATUS DA ETAPA]],"")</f>
        <v/>
      </c>
      <c r="BZ703" s="21" t="str">
        <f>IF([1]!BANCO10[[#This Row],[SOLUÇÃO]]=BZ$1,[1]!BANCO10[[#This Row],[STATUS DA ETAPA]],"")</f>
        <v/>
      </c>
      <c r="CA703" s="21" t="str">
        <f>IF([1]!BANCO10[[#This Row],[SOLUÇÃO]]=CA$1,[1]!BANCO10[[#This Row],[STATUS DA ETAPA]],"")</f>
        <v/>
      </c>
      <c r="CB703" s="21" t="str">
        <f>IF([1]!BANCO10[[#This Row],[SOLUÇÃO]]=CB$1,[1]!BANCO10[[#This Row],[STATUS DA ETAPA]],"")</f>
        <v/>
      </c>
      <c r="CC703" s="21" t="str">
        <f>IF([1]!BANCO10[[#This Row],[SOLUÇÃO]]=CC$1,[1]!BANCO10[[#This Row],[STATUS DA ETAPA]],"")</f>
        <v/>
      </c>
      <c r="CD703" s="21" t="str">
        <f>IF([1]!BANCO10[[#This Row],[SOLUÇÃO]]=CD$1,[1]!BANCO10[[#This Row],[STATUS DA ETAPA]],"")</f>
        <v/>
      </c>
      <c r="CE703" s="21" t="str">
        <f>IF([1]!BANCO10[[#This Row],[SOLUÇÃO]]=CE$1,[1]!BANCO10[[#This Row],[STATUS DA ETAPA]],"")</f>
        <v/>
      </c>
      <c r="CF703" s="21" t="str">
        <f>IF([1]!BANCO10[[#This Row],[SOLUÇÃO]]=CF$1,[1]!BANCO10[[#This Row],[STATUS DA ETAPA]],"")</f>
        <v/>
      </c>
      <c r="CG703" s="21" t="str">
        <f>IF([1]!BANCO10[[#This Row],[SOLUÇÃO]]=CG$1,[1]!BANCO10[[#This Row],[STATUS DA ETAPA]],"")</f>
        <v/>
      </c>
      <c r="CH703" s="21" t="str">
        <f>IF([1]!BANCO10[[#This Row],[SOLUÇÃO]]=CH$1,[1]!BANCO10[[#This Row],[STATUS DA ETAPA]],"")</f>
        <v/>
      </c>
      <c r="CI703" s="21" t="str">
        <f>IF([1]!BANCO10[[#This Row],[SOLUÇÃO]]=CI$1,[1]!BANCO10[[#This Row],[STATUS DA ETAPA]],"")</f>
        <v/>
      </c>
      <c r="CJ703" s="21" t="str">
        <f>IF([1]!BANCO10[[#This Row],[SOLUÇÃO]]=CJ$1,[1]!BANCO10[[#This Row],[STATUS DA ETAPA]],"")</f>
        <v/>
      </c>
      <c r="CK703" s="21" t="str">
        <f>IF([1]!BANCO10[[#This Row],[SOLUÇÃO]]=CK$1,[1]!BANCO10[[#This Row],[STATUS DA ETAPA]],"")</f>
        <v/>
      </c>
      <c r="CL703" s="22" t="str">
        <f>IF([1]!BANCO10[[#This Row],[SOLUÇÃO]]=CL$1,[1]!BANCO10[[#This Row],[STATUS DA ETAPA]],"")</f>
        <v/>
      </c>
      <c r="CM703" s="64" t="str">
        <f>IF([1]!BANCO10[[#This Row],[SOLUÇÃO]]=CM$1,[1]!BANCO10[[#This Row],[STATUS DA ETAPA]],"")</f>
        <v/>
      </c>
      <c r="CN703" s="64" t="str">
        <f>IF([1]!BANCO10[[#This Row],[SOLUÇÃO]]=CN$1,[1]!BANCO10[[#This Row],[STATUS DA ETAPA]],"")</f>
        <v/>
      </c>
      <c r="CO703" s="64" t="str">
        <f>IF([1]!BANCO10[[#This Row],[SOLUÇÃO]]=CO$1,[1]!BANCO10[[#This Row],[STATUS DA ETAPA]],"")</f>
        <v>CONCLUÍDO</v>
      </c>
      <c r="CP703" s="64" t="str">
        <f>IF([1]!BANCO10[[#This Row],[SOLUÇÃO]]=CP$1,[1]!BANCO10[[#This Row],[STATUS DA ETAPA]],"")</f>
        <v/>
      </c>
      <c r="CQ703" s="64" t="str">
        <f>IF([1]!BANCO10[[#This Row],[SOLUÇÃO]]=CQ$1,[1]!BANCO10[[#This Row],[STATUS DA ETAPA]],"")</f>
        <v/>
      </c>
      <c r="CR703" s="64" t="str">
        <f>IF([1]!BANCO10[[#This Row],[SOLUÇÃO]]=CR$1,[1]!BANCO10[[#This Row],[STATUS DA ETAPA]],"")</f>
        <v/>
      </c>
      <c r="CS703" s="64" t="str">
        <f>IF([1]!BANCO10[[#This Row],[SOLUÇÃO]]=CS$1,[1]!BANCO10[[#This Row],[STATUS DA ETAPA]],"")</f>
        <v/>
      </c>
      <c r="CT703" s="64" t="str">
        <f>IF([1]!BANCO10[[#This Row],[SOLUÇÃO]]=CT$1,[1]!BANCO10[[#This Row],[STATUS DA ETAPA]],"")</f>
        <v/>
      </c>
      <c r="CU703" s="64" t="str">
        <f>IF([1]!BANCO10[[#This Row],[SOLUÇÃO]]=CU$1,[1]!BANCO10[[#This Row],[STATUS DA ETAPA]],"")</f>
        <v/>
      </c>
      <c r="CV703" s="64" t="str">
        <f>IF([1]!BANCO10[[#This Row],[SOLUÇÃO]]=CV$1,[1]!BANCO10[[#This Row],[STATUS DA ETAPA]],"")</f>
        <v/>
      </c>
    </row>
    <row r="704" spans="1:100">
      <c r="A704" s="44" t="s">
        <v>1</v>
      </c>
      <c r="B704" s="44"/>
      <c r="C704" s="44" t="s">
        <v>1</v>
      </c>
      <c r="D704" s="44"/>
      <c r="E704" s="44" t="s">
        <v>1</v>
      </c>
      <c r="F704" s="44"/>
      <c r="G704" s="44" t="s">
        <v>1</v>
      </c>
      <c r="H704" s="44"/>
      <c r="I704" s="45" t="s">
        <v>1</v>
      </c>
      <c r="J704" s="46"/>
      <c r="K704" s="45" t="s">
        <v>1</v>
      </c>
      <c r="L704" s="33"/>
      <c r="M704" s="45" t="s">
        <v>1</v>
      </c>
      <c r="N704" s="33"/>
      <c r="O704" s="44" t="s">
        <v>2</v>
      </c>
      <c r="P704" s="44">
        <v>45310</v>
      </c>
      <c r="Q704" s="44"/>
      <c r="R704" s="44"/>
      <c r="S704" s="44"/>
      <c r="T704" s="44"/>
      <c r="U704" s="44" t="s">
        <v>1</v>
      </c>
      <c r="V704" s="44"/>
      <c r="W704" s="44" t="s">
        <v>1</v>
      </c>
      <c r="X704" s="44"/>
      <c r="Y704" s="44" t="s">
        <v>1</v>
      </c>
      <c r="Z704" s="44"/>
      <c r="AA704" s="44" t="s">
        <v>1</v>
      </c>
      <c r="AB704" s="44"/>
      <c r="AC704" s="51">
        <v>45321</v>
      </c>
      <c r="AD704" s="50">
        <v>45471</v>
      </c>
      <c r="AE704" s="24" t="s">
        <v>2</v>
      </c>
      <c r="AF704" s="40" t="s">
        <v>2</v>
      </c>
      <c r="AG704" s="40" t="s">
        <v>5</v>
      </c>
      <c r="AH704" s="36" t="s">
        <v>2</v>
      </c>
      <c r="AI704" s="49">
        <v>0</v>
      </c>
      <c r="AJ704" s="36" t="s">
        <v>1</v>
      </c>
      <c r="AK704" s="10" t="s">
        <v>1</v>
      </c>
      <c r="AL704" s="36" t="s">
        <v>1</v>
      </c>
      <c r="AM704" s="36" t="s">
        <v>1</v>
      </c>
      <c r="AN704" s="35" t="s">
        <v>1</v>
      </c>
      <c r="AO704" s="35" t="s">
        <v>1</v>
      </c>
      <c r="AP704" s="35" t="s">
        <v>2</v>
      </c>
      <c r="AQ704" s="35" t="s">
        <v>1</v>
      </c>
      <c r="AR704" s="33" t="s">
        <v>1</v>
      </c>
      <c r="AS704" s="33"/>
      <c r="AT704" s="30"/>
      <c r="AU704" s="55"/>
      <c r="AV704" s="30"/>
      <c r="AW704" s="55"/>
      <c r="AX704" s="30" t="s">
        <v>2</v>
      </c>
      <c r="AY704" s="55">
        <v>45471</v>
      </c>
      <c r="AZ704" s="30" t="s">
        <v>2</v>
      </c>
      <c r="BA704" s="91">
        <v>45454</v>
      </c>
      <c r="BB704" s="39" t="s">
        <v>34</v>
      </c>
      <c r="BC704" s="25"/>
      <c r="BD704" s="24"/>
      <c r="BE704" s="24"/>
      <c r="BF704" s="79"/>
      <c r="BG704" s="79"/>
      <c r="BH704" s="80"/>
      <c r="BI704" s="79"/>
      <c r="BJ704" s="54"/>
      <c r="BK704" s="78"/>
      <c r="BL704" s="69">
        <v>45391</v>
      </c>
      <c r="BM704" s="78" t="s">
        <v>18</v>
      </c>
      <c r="BN704" s="78" t="s">
        <v>11</v>
      </c>
      <c r="BO704" s="78"/>
      <c r="BP704" s="78" t="s">
        <v>188</v>
      </c>
      <c r="BQ704" s="21">
        <f>YEAR([1]!BANCO10[[#This Row],[DATA INÍCIO]])</f>
        <v>2024</v>
      </c>
      <c r="BR704" s="21">
        <f>MONTH([1]!BANCO10[[#This Row],[DATA INÍCIO]])</f>
        <v>1</v>
      </c>
      <c r="BS704" s="21" t="e">
        <f>CONCATENATE(#REF!,#REF!)</f>
        <v>#REF!</v>
      </c>
      <c r="BT704" s="21"/>
      <c r="BU704" s="21" t="s">
        <v>187</v>
      </c>
      <c r="BV704" s="21" t="str">
        <f>IF([1]!BANCO10[[#This Row],[SOLUÇÃO]]=BV$1,[1]!BANCO10[[#This Row],[STATUS DA ETAPA]],"")</f>
        <v/>
      </c>
      <c r="BW704" s="21" t="str">
        <f>IF([1]!BANCO10[[#This Row],[SOLUÇÃO]]=BW$1,[1]!BANCO10[[#This Row],[STATUS DA ETAPA]],"")</f>
        <v/>
      </c>
      <c r="BX704" s="21" t="str">
        <f>IF([1]!BANCO10[[#This Row],[SOLUÇÃO]]=BX$1,[1]!BANCO10[[#This Row],[STATUS DA ETAPA]],"")</f>
        <v/>
      </c>
      <c r="BY704" s="21" t="str">
        <f>IF([1]!BANCO10[[#This Row],[SOLUÇÃO]]=BY$1,[1]!BANCO10[[#This Row],[STATUS DA ETAPA]],"")</f>
        <v/>
      </c>
      <c r="BZ704" s="21" t="str">
        <f>IF([1]!BANCO10[[#This Row],[SOLUÇÃO]]=BZ$1,[1]!BANCO10[[#This Row],[STATUS DA ETAPA]],"")</f>
        <v/>
      </c>
      <c r="CA704" s="21" t="str">
        <f>IF([1]!BANCO10[[#This Row],[SOLUÇÃO]]=CA$1,[1]!BANCO10[[#This Row],[STATUS DA ETAPA]],"")</f>
        <v>CONCLUÍDO</v>
      </c>
      <c r="CB704" s="21" t="str">
        <f>IF([1]!BANCO10[[#This Row],[SOLUÇÃO]]=CB$1,[1]!BANCO10[[#This Row],[STATUS DA ETAPA]],"")</f>
        <v/>
      </c>
      <c r="CC704" s="21" t="str">
        <f>IF([1]!BANCO10[[#This Row],[SOLUÇÃO]]=CC$1,[1]!BANCO10[[#This Row],[STATUS DA ETAPA]],"")</f>
        <v/>
      </c>
      <c r="CD704" s="21" t="str">
        <f>IF([1]!BANCO10[[#This Row],[SOLUÇÃO]]=CD$1,[1]!BANCO10[[#This Row],[STATUS DA ETAPA]],"")</f>
        <v/>
      </c>
      <c r="CE704" s="21" t="str">
        <f>IF([1]!BANCO10[[#This Row],[SOLUÇÃO]]=CE$1,[1]!BANCO10[[#This Row],[STATUS DA ETAPA]],"")</f>
        <v/>
      </c>
      <c r="CF704" s="21" t="str">
        <f>IF([1]!BANCO10[[#This Row],[SOLUÇÃO]]=CF$1,[1]!BANCO10[[#This Row],[STATUS DA ETAPA]],"")</f>
        <v/>
      </c>
      <c r="CG704" s="21" t="str">
        <f>IF([1]!BANCO10[[#This Row],[SOLUÇÃO]]=CG$1,[1]!BANCO10[[#This Row],[STATUS DA ETAPA]],"")</f>
        <v/>
      </c>
      <c r="CH704" s="21" t="str">
        <f>IF([1]!BANCO10[[#This Row],[SOLUÇÃO]]=CH$1,[1]!BANCO10[[#This Row],[STATUS DA ETAPA]],"")</f>
        <v/>
      </c>
      <c r="CI704" s="21" t="str">
        <f>IF([1]!BANCO10[[#This Row],[SOLUÇÃO]]=CI$1,[1]!BANCO10[[#This Row],[STATUS DA ETAPA]],"")</f>
        <v/>
      </c>
      <c r="CJ704" s="21" t="str">
        <f>IF([1]!BANCO10[[#This Row],[SOLUÇÃO]]=CJ$1,[1]!BANCO10[[#This Row],[STATUS DA ETAPA]],"")</f>
        <v/>
      </c>
      <c r="CK704" s="21" t="str">
        <f>IF([1]!BANCO10[[#This Row],[SOLUÇÃO]]=CK$1,[1]!BANCO10[[#This Row],[STATUS DA ETAPA]],"")</f>
        <v/>
      </c>
      <c r="CL704" s="22" t="str">
        <f>IF([1]!BANCO10[[#This Row],[SOLUÇÃO]]=CL$1,[1]!BANCO10[[#This Row],[STATUS DA ETAPA]],"")</f>
        <v/>
      </c>
      <c r="CM704" s="64" t="str">
        <f>IF([1]!BANCO10[[#This Row],[SOLUÇÃO]]=CM$1,[1]!BANCO10[[#This Row],[STATUS DA ETAPA]],"")</f>
        <v/>
      </c>
      <c r="CN704" s="64" t="str">
        <f>IF([1]!BANCO10[[#This Row],[SOLUÇÃO]]=CN$1,[1]!BANCO10[[#This Row],[STATUS DA ETAPA]],"")</f>
        <v/>
      </c>
      <c r="CO704" s="64" t="str">
        <f>IF([1]!BANCO10[[#This Row],[SOLUÇÃO]]=CO$1,[1]!BANCO10[[#This Row],[STATUS DA ETAPA]],"")</f>
        <v/>
      </c>
      <c r="CP704" s="64" t="str">
        <f>IF([1]!BANCO10[[#This Row],[SOLUÇÃO]]=CP$1,[1]!BANCO10[[#This Row],[STATUS DA ETAPA]],"")</f>
        <v/>
      </c>
      <c r="CQ704" s="64" t="str">
        <f>IF([1]!BANCO10[[#This Row],[SOLUÇÃO]]=CQ$1,[1]!BANCO10[[#This Row],[STATUS DA ETAPA]],"")</f>
        <v/>
      </c>
      <c r="CR704" s="64" t="str">
        <f>IF([1]!BANCO10[[#This Row],[SOLUÇÃO]]=CR$1,[1]!BANCO10[[#This Row],[STATUS DA ETAPA]],"")</f>
        <v/>
      </c>
      <c r="CS704" s="64" t="str">
        <f>IF([1]!BANCO10[[#This Row],[SOLUÇÃO]]=CS$1,[1]!BANCO10[[#This Row],[STATUS DA ETAPA]],"")</f>
        <v/>
      </c>
      <c r="CT704" s="64" t="str">
        <f>IF([1]!BANCO10[[#This Row],[SOLUÇÃO]]=CT$1,[1]!BANCO10[[#This Row],[STATUS DA ETAPA]],"")</f>
        <v/>
      </c>
      <c r="CU704" s="64" t="str">
        <f>IF([1]!BANCO10[[#This Row],[SOLUÇÃO]]=CU$1,[1]!BANCO10[[#This Row],[STATUS DA ETAPA]],"")</f>
        <v/>
      </c>
      <c r="CV704" s="64" t="str">
        <f>IF([1]!BANCO10[[#This Row],[SOLUÇÃO]]=CV$1,[1]!BANCO10[[#This Row],[STATUS DA ETAPA]],"")</f>
        <v/>
      </c>
    </row>
    <row r="705" spans="1:100">
      <c r="A705" s="44" t="s">
        <v>1</v>
      </c>
      <c r="B705" s="44"/>
      <c r="C705" s="44" t="s">
        <v>1</v>
      </c>
      <c r="D705" s="44"/>
      <c r="E705" s="44" t="s">
        <v>1</v>
      </c>
      <c r="F705" s="44"/>
      <c r="G705" s="44" t="s">
        <v>1</v>
      </c>
      <c r="H705" s="44"/>
      <c r="I705" s="45" t="s">
        <v>1</v>
      </c>
      <c r="J705" s="46"/>
      <c r="K705" s="45" t="s">
        <v>1</v>
      </c>
      <c r="L705" s="33"/>
      <c r="M705" s="45" t="s">
        <v>1</v>
      </c>
      <c r="N705" s="33"/>
      <c r="O705" s="44" t="s">
        <v>1</v>
      </c>
      <c r="P705" s="44"/>
      <c r="Q705" s="44" t="s">
        <v>1</v>
      </c>
      <c r="R705" s="44"/>
      <c r="S705" s="44" t="s">
        <v>1</v>
      </c>
      <c r="T705" s="44"/>
      <c r="U705" s="44" t="s">
        <v>1</v>
      </c>
      <c r="V705" s="44"/>
      <c r="W705" s="44" t="s">
        <v>1</v>
      </c>
      <c r="X705" s="44"/>
      <c r="Y705" s="44" t="s">
        <v>1</v>
      </c>
      <c r="Z705" s="44"/>
      <c r="AA705" s="44" t="s">
        <v>1</v>
      </c>
      <c r="AB705" s="44"/>
      <c r="AC705" s="51">
        <v>45475</v>
      </c>
      <c r="AD705" s="50">
        <v>45475</v>
      </c>
      <c r="AE705" s="24" t="s">
        <v>1</v>
      </c>
      <c r="AF705" s="40" t="s">
        <v>1</v>
      </c>
      <c r="AG705" s="76" t="s">
        <v>5</v>
      </c>
      <c r="AH705" s="36" t="s">
        <v>1</v>
      </c>
      <c r="AI705" s="49">
        <v>0</v>
      </c>
      <c r="AJ705" s="36" t="s">
        <v>1</v>
      </c>
      <c r="AK705" s="10" t="s">
        <v>1</v>
      </c>
      <c r="AL705" s="36" t="s">
        <v>1</v>
      </c>
      <c r="AM705" s="36" t="s">
        <v>1</v>
      </c>
      <c r="AN705" s="35" t="s">
        <v>1</v>
      </c>
      <c r="AO705" s="35" t="s">
        <v>1</v>
      </c>
      <c r="AP705" s="35" t="s">
        <v>1</v>
      </c>
      <c r="AQ705" s="35" t="s">
        <v>1</v>
      </c>
      <c r="AR705" s="48" t="s">
        <v>1</v>
      </c>
      <c r="AS705" s="33"/>
      <c r="AT705" s="30"/>
      <c r="AU705" s="55"/>
      <c r="AV705" s="30"/>
      <c r="AW705" s="55"/>
      <c r="AX705" s="30" t="s">
        <v>1</v>
      </c>
      <c r="AY705" s="55"/>
      <c r="AZ705" s="30" t="s">
        <v>1</v>
      </c>
      <c r="BA705" s="91"/>
      <c r="BB705" s="39"/>
      <c r="BC705" s="25"/>
      <c r="BD705" s="24"/>
      <c r="BE705" s="24"/>
      <c r="BF705" s="79"/>
      <c r="BG705" s="79"/>
      <c r="BH705" s="80"/>
      <c r="BI705" s="79"/>
      <c r="BJ705" s="54"/>
      <c r="BK705" s="78"/>
      <c r="BL705" s="69"/>
      <c r="BM705" s="78"/>
      <c r="BN705" s="78"/>
      <c r="BO705" s="78"/>
      <c r="BP705" s="78"/>
      <c r="BQ705" s="21">
        <f>YEAR([1]!BANCO10[[#This Row],[DATA INÍCIO]])</f>
        <v>2024</v>
      </c>
      <c r="BR705" s="21">
        <f>MONTH([1]!BANCO10[[#This Row],[DATA INÍCIO]])</f>
        <v>7</v>
      </c>
      <c r="BS705" s="21" t="e">
        <f>CONCATENATE(#REF!,#REF!)</f>
        <v>#REF!</v>
      </c>
      <c r="BT705" s="21"/>
      <c r="BU705" s="21" t="s">
        <v>186</v>
      </c>
      <c r="BV705" s="21" t="str">
        <f>IF([1]!BANCO10[[#This Row],[SOLUÇÃO]]=BV$1,[1]!BANCO10[[#This Row],[STATUS DA ETAPA]],"")</f>
        <v>CONCLUÍDO</v>
      </c>
      <c r="BW705" s="21" t="str">
        <f>IF([1]!BANCO10[[#This Row],[SOLUÇÃO]]=BW$1,[1]!BANCO10[[#This Row],[STATUS DA ETAPA]],"")</f>
        <v/>
      </c>
      <c r="BX705" s="21" t="str">
        <f>IF([1]!BANCO10[[#This Row],[SOLUÇÃO]]=BX$1,[1]!BANCO10[[#This Row],[STATUS DA ETAPA]],"")</f>
        <v/>
      </c>
      <c r="BY705" s="21" t="str">
        <f>IF([1]!BANCO10[[#This Row],[SOLUÇÃO]]=BY$1,[1]!BANCO10[[#This Row],[STATUS DA ETAPA]],"")</f>
        <v/>
      </c>
      <c r="BZ705" s="21" t="str">
        <f>IF([1]!BANCO10[[#This Row],[SOLUÇÃO]]=BZ$1,[1]!BANCO10[[#This Row],[STATUS DA ETAPA]],"")</f>
        <v/>
      </c>
      <c r="CA705" s="21" t="str">
        <f>IF([1]!BANCO10[[#This Row],[SOLUÇÃO]]=CA$1,[1]!BANCO10[[#This Row],[STATUS DA ETAPA]],"")</f>
        <v/>
      </c>
      <c r="CB705" s="21" t="str">
        <f>IF([1]!BANCO10[[#This Row],[SOLUÇÃO]]=CB$1,[1]!BANCO10[[#This Row],[STATUS DA ETAPA]],"")</f>
        <v/>
      </c>
      <c r="CC705" s="21" t="str">
        <f>IF([1]!BANCO10[[#This Row],[SOLUÇÃO]]=CC$1,[1]!BANCO10[[#This Row],[STATUS DA ETAPA]],"")</f>
        <v/>
      </c>
      <c r="CD705" s="21" t="str">
        <f>IF([1]!BANCO10[[#This Row],[SOLUÇÃO]]=CD$1,[1]!BANCO10[[#This Row],[STATUS DA ETAPA]],"")</f>
        <v/>
      </c>
      <c r="CE705" s="21" t="str">
        <f>IF([1]!BANCO10[[#This Row],[SOLUÇÃO]]=CE$1,[1]!BANCO10[[#This Row],[STATUS DA ETAPA]],"")</f>
        <v/>
      </c>
      <c r="CF705" s="21" t="str">
        <f>IF([1]!BANCO10[[#This Row],[SOLUÇÃO]]=CF$1,[1]!BANCO10[[#This Row],[STATUS DA ETAPA]],"")</f>
        <v/>
      </c>
      <c r="CG705" s="21" t="str">
        <f>IF([1]!BANCO10[[#This Row],[SOLUÇÃO]]=CG$1,[1]!BANCO10[[#This Row],[STATUS DA ETAPA]],"")</f>
        <v/>
      </c>
      <c r="CH705" s="21" t="str">
        <f>IF([1]!BANCO10[[#This Row],[SOLUÇÃO]]=CH$1,[1]!BANCO10[[#This Row],[STATUS DA ETAPA]],"")</f>
        <v/>
      </c>
      <c r="CI705" s="21" t="str">
        <f>IF([1]!BANCO10[[#This Row],[SOLUÇÃO]]=CI$1,[1]!BANCO10[[#This Row],[STATUS DA ETAPA]],"")</f>
        <v/>
      </c>
      <c r="CJ705" s="21" t="str">
        <f>IF([1]!BANCO10[[#This Row],[SOLUÇÃO]]=CJ$1,[1]!BANCO10[[#This Row],[STATUS DA ETAPA]],"")</f>
        <v/>
      </c>
      <c r="CK705" s="21" t="str">
        <f>IF([1]!BANCO10[[#This Row],[SOLUÇÃO]]=CK$1,[1]!BANCO10[[#This Row],[STATUS DA ETAPA]],"")</f>
        <v/>
      </c>
      <c r="CL705" s="22" t="str">
        <f>IF([1]!BANCO10[[#This Row],[SOLUÇÃO]]=CL$1,[1]!BANCO10[[#This Row],[STATUS DA ETAPA]],"")</f>
        <v/>
      </c>
      <c r="CM705" s="64" t="str">
        <f>IF([1]!BANCO10[[#This Row],[SOLUÇÃO]]=CM$1,[1]!BANCO10[[#This Row],[STATUS DA ETAPA]],"")</f>
        <v/>
      </c>
      <c r="CN705" s="64" t="str">
        <f>IF([1]!BANCO10[[#This Row],[SOLUÇÃO]]=CN$1,[1]!BANCO10[[#This Row],[STATUS DA ETAPA]],"")</f>
        <v/>
      </c>
      <c r="CO705" s="64" t="str">
        <f>IF([1]!BANCO10[[#This Row],[SOLUÇÃO]]=CO$1,[1]!BANCO10[[#This Row],[STATUS DA ETAPA]],"")</f>
        <v/>
      </c>
      <c r="CP705" s="64" t="str">
        <f>IF([1]!BANCO10[[#This Row],[SOLUÇÃO]]=CP$1,[1]!BANCO10[[#This Row],[STATUS DA ETAPA]],"")</f>
        <v/>
      </c>
      <c r="CQ705" s="64" t="str">
        <f>IF([1]!BANCO10[[#This Row],[SOLUÇÃO]]=CQ$1,[1]!BANCO10[[#This Row],[STATUS DA ETAPA]],"")</f>
        <v/>
      </c>
      <c r="CR705" s="64" t="str">
        <f>IF([1]!BANCO10[[#This Row],[SOLUÇÃO]]=CR$1,[1]!BANCO10[[#This Row],[STATUS DA ETAPA]],"")</f>
        <v/>
      </c>
      <c r="CS705" s="64" t="str">
        <f>IF([1]!BANCO10[[#This Row],[SOLUÇÃO]]=CS$1,[1]!BANCO10[[#This Row],[STATUS DA ETAPA]],"")</f>
        <v/>
      </c>
      <c r="CT705" s="64" t="str">
        <f>IF([1]!BANCO10[[#This Row],[SOLUÇÃO]]=CT$1,[1]!BANCO10[[#This Row],[STATUS DA ETAPA]],"")</f>
        <v/>
      </c>
      <c r="CU705" s="64" t="str">
        <f>IF([1]!BANCO10[[#This Row],[SOLUÇÃO]]=CU$1,[1]!BANCO10[[#This Row],[STATUS DA ETAPA]],"")</f>
        <v/>
      </c>
      <c r="CV705" s="64" t="str">
        <f>IF([1]!BANCO10[[#This Row],[SOLUÇÃO]]=CV$1,[1]!BANCO10[[#This Row],[STATUS DA ETAPA]],"")</f>
        <v/>
      </c>
    </row>
    <row r="706" spans="1:100">
      <c r="A706" s="44" t="s">
        <v>1</v>
      </c>
      <c r="B706" s="44"/>
      <c r="C706" s="44" t="s">
        <v>1</v>
      </c>
      <c r="D706" s="44"/>
      <c r="E706" s="44" t="s">
        <v>1</v>
      </c>
      <c r="F706" s="44"/>
      <c r="G706" s="44" t="s">
        <v>1</v>
      </c>
      <c r="H706" s="44"/>
      <c r="I706" s="45" t="s">
        <v>1</v>
      </c>
      <c r="J706" s="46"/>
      <c r="K706" s="45" t="s">
        <v>1</v>
      </c>
      <c r="L706" s="33"/>
      <c r="M706" s="45" t="s">
        <v>1</v>
      </c>
      <c r="N706" s="33"/>
      <c r="O706" s="44" t="s">
        <v>2</v>
      </c>
      <c r="P706" s="44">
        <v>44971</v>
      </c>
      <c r="Q706" s="44" t="s">
        <v>0</v>
      </c>
      <c r="R706" s="44"/>
      <c r="S706" s="44" t="s">
        <v>1</v>
      </c>
      <c r="T706" s="44"/>
      <c r="U706" s="44" t="s">
        <v>1</v>
      </c>
      <c r="V706" s="44"/>
      <c r="W706" s="44" t="s">
        <v>1</v>
      </c>
      <c r="X706" s="44"/>
      <c r="Y706" s="44" t="s">
        <v>1</v>
      </c>
      <c r="Z706" s="44"/>
      <c r="AA706" s="44" t="s">
        <v>1</v>
      </c>
      <c r="AB706" s="44"/>
      <c r="AC706" s="84">
        <v>44970</v>
      </c>
      <c r="AD706" s="83">
        <v>44970</v>
      </c>
      <c r="AE706" s="24" t="s">
        <v>1</v>
      </c>
      <c r="AF706" s="40" t="s">
        <v>1</v>
      </c>
      <c r="AG706" s="40" t="s">
        <v>5</v>
      </c>
      <c r="AH706" s="36" t="s">
        <v>1</v>
      </c>
      <c r="AI706" s="49">
        <v>0</v>
      </c>
      <c r="AJ706" s="36" t="s">
        <v>1</v>
      </c>
      <c r="AK706" s="10" t="s">
        <v>1</v>
      </c>
      <c r="AL706" s="36" t="s">
        <v>1</v>
      </c>
      <c r="AM706" s="36" t="s">
        <v>1</v>
      </c>
      <c r="AN706" s="35" t="s">
        <v>1</v>
      </c>
      <c r="AO706" s="35" t="s">
        <v>1</v>
      </c>
      <c r="AP706" s="35" t="s">
        <v>1</v>
      </c>
      <c r="AQ706" s="35" t="s">
        <v>1</v>
      </c>
      <c r="AR706" s="48" t="s">
        <v>1</v>
      </c>
      <c r="AS706" s="33"/>
      <c r="AT706" s="30"/>
      <c r="AU706" s="55"/>
      <c r="AV706" s="30"/>
      <c r="AW706" s="55"/>
      <c r="AX706" s="30" t="s">
        <v>1</v>
      </c>
      <c r="AY706" s="55"/>
      <c r="AZ706" s="30" t="s">
        <v>1</v>
      </c>
      <c r="BA706" s="85"/>
      <c r="BB706" s="39"/>
      <c r="BC706" s="116"/>
      <c r="BD706" s="24" t="s">
        <v>11</v>
      </c>
      <c r="BE706" s="24" t="s">
        <v>11</v>
      </c>
      <c r="BF706" s="115" t="s">
        <v>88</v>
      </c>
      <c r="BG706" s="114" t="s">
        <v>11</v>
      </c>
      <c r="BH706" s="113" t="s">
        <v>18</v>
      </c>
      <c r="BI706" s="79" t="s">
        <v>87</v>
      </c>
      <c r="BJ706" s="54" t="s">
        <v>11</v>
      </c>
      <c r="BK706" s="78" t="s">
        <v>11</v>
      </c>
      <c r="BL706" s="69" t="s">
        <v>11</v>
      </c>
      <c r="BM706" s="78" t="s">
        <v>11</v>
      </c>
      <c r="BN706" s="112" t="s">
        <v>11</v>
      </c>
      <c r="BO706" s="78" t="s">
        <v>11</v>
      </c>
      <c r="BP706" s="76" t="s">
        <v>11</v>
      </c>
      <c r="BQ706" s="36">
        <f>YEAR([1]!BANCO10[[#This Row],[DATA INÍCIO]])</f>
        <v>2023</v>
      </c>
      <c r="BR706" s="36">
        <f>MONTH([1]!BANCO10[[#This Row],[DATA INÍCIO]])</f>
        <v>2</v>
      </c>
      <c r="BS706" s="21" t="e">
        <f>CONCATENATE(#REF!,#REF!)</f>
        <v>#REF!</v>
      </c>
      <c r="BT706" s="21"/>
      <c r="BU706" s="21" t="s">
        <v>185</v>
      </c>
      <c r="BV706" s="21" t="str">
        <f>IF([1]!BANCO10[[#This Row],[SOLUÇÃO]]=BV$1,[1]!BANCO10[[#This Row],[STATUS DA ETAPA]],"")</f>
        <v>CONCLUÍDO</v>
      </c>
      <c r="BW706" s="21" t="str">
        <f>IF([1]!BANCO10[[#This Row],[SOLUÇÃO]]=BW$1,[1]!BANCO10[[#This Row],[STATUS DA ETAPA]],"")</f>
        <v/>
      </c>
      <c r="BX706" s="111" t="str">
        <f>IF([1]!BANCO10[[#This Row],[SOLUÇÃO]]=BX$1,[1]!BANCO10[[#This Row],[STATUS DA ETAPA]],"")</f>
        <v/>
      </c>
      <c r="BY706" s="111" t="str">
        <f>IF([1]!BANCO10[[#This Row],[SOLUÇÃO]]=BY$1,[1]!BANCO10[[#This Row],[STATUS DA ETAPA]],"")</f>
        <v/>
      </c>
      <c r="BZ706" s="36" t="str">
        <f>IF([1]!BANCO10[[#This Row],[SOLUÇÃO]]=BZ$1,[1]!BANCO10[[#This Row],[STATUS DA ETAPA]],"")</f>
        <v/>
      </c>
      <c r="CA706" s="111" t="str">
        <f>IF([1]!BANCO10[[#This Row],[SOLUÇÃO]]=CA$1,[1]!BANCO10[[#This Row],[STATUS DA ETAPA]],"")</f>
        <v/>
      </c>
      <c r="CB706" s="21" t="str">
        <f>IF([1]!BANCO10[[#This Row],[SOLUÇÃO]]=CB$1,[1]!BANCO10[[#This Row],[STATUS DA ETAPA]],"")</f>
        <v/>
      </c>
      <c r="CC706" s="21" t="str">
        <f>IF([1]!BANCO10[[#This Row],[SOLUÇÃO]]=CC$1,[1]!BANCO10[[#This Row],[STATUS DA ETAPA]],"")</f>
        <v/>
      </c>
      <c r="CD706" s="36" t="str">
        <f>IF([1]!BANCO10[[#This Row],[SOLUÇÃO]]=CD$1,[1]!BANCO10[[#This Row],[STATUS DA ETAPA]],"")</f>
        <v/>
      </c>
      <c r="CE706" s="21" t="str">
        <f>IF([1]!BANCO10[[#This Row],[SOLUÇÃO]]=CE$1,[1]!BANCO10[[#This Row],[STATUS DA ETAPA]],"")</f>
        <v/>
      </c>
      <c r="CF706" s="36" t="str">
        <f>IF([1]!BANCO10[[#This Row],[SOLUÇÃO]]=CF$1,[1]!BANCO10[[#This Row],[STATUS DA ETAPA]],"")</f>
        <v/>
      </c>
      <c r="CG706" s="21" t="str">
        <f>IF([1]!BANCO10[[#This Row],[SOLUÇÃO]]=CG$1,[1]!BANCO10[[#This Row],[STATUS DA ETAPA]],"")</f>
        <v/>
      </c>
      <c r="CH706" s="36" t="str">
        <f>IF([1]!BANCO10[[#This Row],[SOLUÇÃO]]=CH$1,[1]!BANCO10[[#This Row],[STATUS DA ETAPA]],"")</f>
        <v/>
      </c>
      <c r="CI706" s="21" t="str">
        <f>IF([1]!BANCO10[[#This Row],[SOLUÇÃO]]=CI$1,[1]!BANCO10[[#This Row],[STATUS DA ETAPA]],"")</f>
        <v/>
      </c>
      <c r="CJ706" s="36" t="str">
        <f>IF([1]!BANCO10[[#This Row],[SOLUÇÃO]]=CJ$1,[1]!BANCO10[[#This Row],[STATUS DA ETAPA]],"")</f>
        <v/>
      </c>
      <c r="CK706" s="110" t="str">
        <f>IF([1]!BANCO10[[#This Row],[SOLUÇÃO]]=CK$1,[1]!BANCO10[[#This Row],[STATUS DA ETAPA]],"")</f>
        <v/>
      </c>
      <c r="CL706" s="74" t="str">
        <f>IF([1]!BANCO10[[#This Row],[SOLUÇÃO]]=CL$1,[1]!BANCO10[[#This Row],[STATUS DA ETAPA]],"")</f>
        <v/>
      </c>
      <c r="CM706" s="64" t="str">
        <f>IF([1]!BANCO10[[#This Row],[SOLUÇÃO]]=CM$1,[1]!BANCO10[[#This Row],[STATUS DA ETAPA]],"")</f>
        <v/>
      </c>
      <c r="CN706" s="64" t="str">
        <f>IF([1]!BANCO10[[#This Row],[SOLUÇÃO]]=CN$1,[1]!BANCO10[[#This Row],[STATUS DA ETAPA]],"")</f>
        <v/>
      </c>
      <c r="CO706" s="64" t="str">
        <f>IF([1]!BANCO10[[#This Row],[SOLUÇÃO]]=CO$1,[1]!BANCO10[[#This Row],[STATUS DA ETAPA]],"")</f>
        <v/>
      </c>
      <c r="CP706" s="64" t="str">
        <f>IF([1]!BANCO10[[#This Row],[SOLUÇÃO]]=CP$1,[1]!BANCO10[[#This Row],[STATUS DA ETAPA]],"")</f>
        <v/>
      </c>
      <c r="CQ706" s="64" t="str">
        <f>IF([1]!BANCO10[[#This Row],[SOLUÇÃO]]=CQ$1,[1]!BANCO10[[#This Row],[STATUS DA ETAPA]],"")</f>
        <v/>
      </c>
      <c r="CR706" s="64" t="str">
        <f>IF([1]!BANCO10[[#This Row],[SOLUÇÃO]]=CR$1,[1]!BANCO10[[#This Row],[STATUS DA ETAPA]],"")</f>
        <v/>
      </c>
      <c r="CS706" s="64" t="str">
        <f>IF([1]!BANCO10[[#This Row],[SOLUÇÃO]]=CS$1,[1]!BANCO10[[#This Row],[STATUS DA ETAPA]],"")</f>
        <v/>
      </c>
      <c r="CT706" s="64" t="str">
        <f>IF([1]!BANCO10[[#This Row],[SOLUÇÃO]]=CT$1,[1]!BANCO10[[#This Row],[STATUS DA ETAPA]],"")</f>
        <v/>
      </c>
      <c r="CU706" s="64" t="str">
        <f>IF([1]!BANCO10[[#This Row],[SOLUÇÃO]]=CU$1,[1]!BANCO10[[#This Row],[STATUS DA ETAPA]],"")</f>
        <v/>
      </c>
      <c r="CV706" s="64" t="str">
        <f>IF([1]!BANCO10[[#This Row],[SOLUÇÃO]]=CV$1,[1]!BANCO10[[#This Row],[STATUS DA ETAPA]],"")</f>
        <v/>
      </c>
    </row>
    <row r="707" spans="1:100">
      <c r="A707" s="44" t="s">
        <v>1</v>
      </c>
      <c r="B707" s="44"/>
      <c r="C707" s="44" t="s">
        <v>1</v>
      </c>
      <c r="D707" s="44"/>
      <c r="E707" s="44" t="s">
        <v>1</v>
      </c>
      <c r="F707" s="44"/>
      <c r="G707" s="44" t="s">
        <v>1</v>
      </c>
      <c r="H707" s="44"/>
      <c r="I707" s="45" t="s">
        <v>1</v>
      </c>
      <c r="J707" s="46"/>
      <c r="K707" s="45" t="s">
        <v>1</v>
      </c>
      <c r="L707" s="33"/>
      <c r="M707" s="45" t="s">
        <v>1</v>
      </c>
      <c r="N707" s="33"/>
      <c r="O707" s="44" t="s">
        <v>2</v>
      </c>
      <c r="P707" s="44">
        <v>44971</v>
      </c>
      <c r="Q707" s="44" t="s">
        <v>2</v>
      </c>
      <c r="R707" s="44">
        <v>44980</v>
      </c>
      <c r="S707" s="44" t="s">
        <v>1</v>
      </c>
      <c r="T707" s="44"/>
      <c r="U707" s="44" t="s">
        <v>2</v>
      </c>
      <c r="V707" s="44">
        <v>44980</v>
      </c>
      <c r="W707" s="44" t="s">
        <v>2</v>
      </c>
      <c r="X707" s="44"/>
      <c r="Y707" s="44" t="s">
        <v>2</v>
      </c>
      <c r="Z707" s="44">
        <v>45000</v>
      </c>
      <c r="AA707" s="44" t="s">
        <v>2</v>
      </c>
      <c r="AB707" s="44"/>
      <c r="AC707" s="51">
        <v>45015</v>
      </c>
      <c r="AD707" s="50">
        <v>45070</v>
      </c>
      <c r="AE707" s="24" t="s">
        <v>2</v>
      </c>
      <c r="AF707" s="40" t="s">
        <v>2</v>
      </c>
      <c r="AG707" s="40" t="s">
        <v>5</v>
      </c>
      <c r="AH707" s="36" t="s">
        <v>0</v>
      </c>
      <c r="AI707" s="49">
        <v>0</v>
      </c>
      <c r="AJ707" s="36" t="s">
        <v>6</v>
      </c>
      <c r="AK707" s="10"/>
      <c r="AL707" s="36" t="s">
        <v>61</v>
      </c>
      <c r="AM707" s="36"/>
      <c r="AN707" s="35" t="s">
        <v>1</v>
      </c>
      <c r="AO707" s="35" t="s">
        <v>1</v>
      </c>
      <c r="AP707" s="35" t="s">
        <v>2</v>
      </c>
      <c r="AQ707" s="35" t="s">
        <v>1</v>
      </c>
      <c r="AR707" s="33" t="s">
        <v>1</v>
      </c>
      <c r="AS707" s="33"/>
      <c r="AT707" s="30"/>
      <c r="AU707" s="55"/>
      <c r="AV707" s="30"/>
      <c r="AW707" s="55"/>
      <c r="AX707" s="30" t="s">
        <v>2</v>
      </c>
      <c r="AY707" s="55">
        <v>45070</v>
      </c>
      <c r="AZ707" s="30" t="s">
        <v>2</v>
      </c>
      <c r="BA707" s="85"/>
      <c r="BB707" s="39"/>
      <c r="BC707" s="25"/>
      <c r="BD707" s="24" t="s">
        <v>11</v>
      </c>
      <c r="BE707" s="24" t="s">
        <v>11</v>
      </c>
      <c r="BF707" s="79" t="s">
        <v>88</v>
      </c>
      <c r="BG707" s="79" t="s">
        <v>11</v>
      </c>
      <c r="BH707" s="80" t="s">
        <v>18</v>
      </c>
      <c r="BI707" s="79" t="s">
        <v>87</v>
      </c>
      <c r="BJ707" s="54" t="s">
        <v>11</v>
      </c>
      <c r="BK707" s="78" t="s">
        <v>11</v>
      </c>
      <c r="BL707" s="69" t="s">
        <v>11</v>
      </c>
      <c r="BM707" s="78" t="s">
        <v>11</v>
      </c>
      <c r="BN707" s="78" t="s">
        <v>11</v>
      </c>
      <c r="BO707" s="78" t="s">
        <v>11</v>
      </c>
      <c r="BP707" s="78" t="s">
        <v>11</v>
      </c>
      <c r="BQ707" s="21">
        <f>YEAR([1]!BANCO10[[#This Row],[DATA INÍCIO]])</f>
        <v>2023</v>
      </c>
      <c r="BR707" s="21">
        <f>MONTH([1]!BANCO10[[#This Row],[DATA INÍCIO]])</f>
        <v>3</v>
      </c>
      <c r="BS707" s="21" t="e">
        <f>CONCATENATE(#REF!,#REF!)</f>
        <v>#REF!</v>
      </c>
      <c r="BT707" s="21"/>
      <c r="BU707" s="21" t="s">
        <v>184</v>
      </c>
      <c r="BV707" s="21" t="str">
        <f>IF([1]!BANCO10[[#This Row],[SOLUÇÃO]]=BV$1,[1]!BANCO10[[#This Row],[STATUS DA ETAPA]],"")</f>
        <v/>
      </c>
      <c r="BW707" s="21" t="str">
        <f>IF([1]!BANCO10[[#This Row],[SOLUÇÃO]]=BW$1,[1]!BANCO10[[#This Row],[STATUS DA ETAPA]],"")</f>
        <v/>
      </c>
      <c r="BX707" s="21" t="str">
        <f>IF([1]!BANCO10[[#This Row],[SOLUÇÃO]]=BX$1,[1]!BANCO10[[#This Row],[STATUS DA ETAPA]],"")</f>
        <v/>
      </c>
      <c r="BY707" s="21" t="str">
        <f>IF([1]!BANCO10[[#This Row],[SOLUÇÃO]]=BY$1,[1]!BANCO10[[#This Row],[STATUS DA ETAPA]],"")</f>
        <v/>
      </c>
      <c r="BZ707" s="21" t="str">
        <f>IF([1]!BANCO10[[#This Row],[SOLUÇÃO]]=BZ$1,[1]!BANCO10[[#This Row],[STATUS DA ETAPA]],"")</f>
        <v/>
      </c>
      <c r="CA707" s="21" t="str">
        <f>IF([1]!BANCO10[[#This Row],[SOLUÇÃO]]=CA$1,[1]!BANCO10[[#This Row],[STATUS DA ETAPA]],"")</f>
        <v>CONCLUÍDO</v>
      </c>
      <c r="CB707" s="21" t="str">
        <f>IF([1]!BANCO10[[#This Row],[SOLUÇÃO]]=CB$1,[1]!BANCO10[[#This Row],[STATUS DA ETAPA]],"")</f>
        <v/>
      </c>
      <c r="CC707" s="21" t="str">
        <f>IF([1]!BANCO10[[#This Row],[SOLUÇÃO]]=CC$1,[1]!BANCO10[[#This Row],[STATUS DA ETAPA]],"")</f>
        <v/>
      </c>
      <c r="CD707" s="21" t="str">
        <f>IF([1]!BANCO10[[#This Row],[SOLUÇÃO]]=CD$1,[1]!BANCO10[[#This Row],[STATUS DA ETAPA]],"")</f>
        <v/>
      </c>
      <c r="CE707" s="21" t="str">
        <f>IF([1]!BANCO10[[#This Row],[SOLUÇÃO]]=CE$1,[1]!BANCO10[[#This Row],[STATUS DA ETAPA]],"")</f>
        <v/>
      </c>
      <c r="CF707" s="21" t="str">
        <f>IF([1]!BANCO10[[#This Row],[SOLUÇÃO]]=CF$1,[1]!BANCO10[[#This Row],[STATUS DA ETAPA]],"")</f>
        <v/>
      </c>
      <c r="CG707" s="21" t="str">
        <f>IF([1]!BANCO10[[#This Row],[SOLUÇÃO]]=CG$1,[1]!BANCO10[[#This Row],[STATUS DA ETAPA]],"")</f>
        <v/>
      </c>
      <c r="CH707" s="21" t="str">
        <f>IF([1]!BANCO10[[#This Row],[SOLUÇÃO]]=CH$1,[1]!BANCO10[[#This Row],[STATUS DA ETAPA]],"")</f>
        <v/>
      </c>
      <c r="CI707" s="21" t="str">
        <f>IF([1]!BANCO10[[#This Row],[SOLUÇÃO]]=CI$1,[1]!BANCO10[[#This Row],[STATUS DA ETAPA]],"")</f>
        <v/>
      </c>
      <c r="CJ707" s="21" t="str">
        <f>IF([1]!BANCO10[[#This Row],[SOLUÇÃO]]=CJ$1,[1]!BANCO10[[#This Row],[STATUS DA ETAPA]],"")</f>
        <v/>
      </c>
      <c r="CK707" s="21" t="str">
        <f>IF([1]!BANCO10[[#This Row],[SOLUÇÃO]]=CK$1,[1]!BANCO10[[#This Row],[STATUS DA ETAPA]],"")</f>
        <v/>
      </c>
      <c r="CL707" s="22" t="str">
        <f>IF([1]!BANCO10[[#This Row],[SOLUÇÃO]]=CL$1,[1]!BANCO10[[#This Row],[STATUS DA ETAPA]],"")</f>
        <v/>
      </c>
      <c r="CM707" s="64" t="str">
        <f>IF([1]!BANCO10[[#This Row],[SOLUÇÃO]]=CM$1,[1]!BANCO10[[#This Row],[STATUS DA ETAPA]],"")</f>
        <v/>
      </c>
      <c r="CN707" s="64" t="str">
        <f>IF([1]!BANCO10[[#This Row],[SOLUÇÃO]]=CN$1,[1]!BANCO10[[#This Row],[STATUS DA ETAPA]],"")</f>
        <v/>
      </c>
      <c r="CO707" s="64" t="str">
        <f>IF([1]!BANCO10[[#This Row],[SOLUÇÃO]]=CO$1,[1]!BANCO10[[#This Row],[STATUS DA ETAPA]],"")</f>
        <v/>
      </c>
      <c r="CP707" s="64" t="str">
        <f>IF([1]!BANCO10[[#This Row],[SOLUÇÃO]]=CP$1,[1]!BANCO10[[#This Row],[STATUS DA ETAPA]],"")</f>
        <v/>
      </c>
      <c r="CQ707" s="64" t="str">
        <f>IF([1]!BANCO10[[#This Row],[SOLUÇÃO]]=CQ$1,[1]!BANCO10[[#This Row],[STATUS DA ETAPA]],"")</f>
        <v/>
      </c>
      <c r="CR707" s="64" t="str">
        <f>IF([1]!BANCO10[[#This Row],[SOLUÇÃO]]=CR$1,[1]!BANCO10[[#This Row],[STATUS DA ETAPA]],"")</f>
        <v/>
      </c>
      <c r="CS707" s="64" t="str">
        <f>IF([1]!BANCO10[[#This Row],[SOLUÇÃO]]=CS$1,[1]!BANCO10[[#This Row],[STATUS DA ETAPA]],"")</f>
        <v/>
      </c>
      <c r="CT707" s="64" t="str">
        <f>IF([1]!BANCO10[[#This Row],[SOLUÇÃO]]=CT$1,[1]!BANCO10[[#This Row],[STATUS DA ETAPA]],"")</f>
        <v/>
      </c>
      <c r="CU707" s="64" t="str">
        <f>IF([1]!BANCO10[[#This Row],[SOLUÇÃO]]=CU$1,[1]!BANCO10[[#This Row],[STATUS DA ETAPA]],"")</f>
        <v/>
      </c>
      <c r="CV707" s="64" t="str">
        <f>IF([1]!BANCO10[[#This Row],[SOLUÇÃO]]=CV$1,[1]!BANCO10[[#This Row],[STATUS DA ETAPA]],"")</f>
        <v/>
      </c>
    </row>
    <row r="708" spans="1:100">
      <c r="A708" s="44" t="s">
        <v>1</v>
      </c>
      <c r="B708" s="44"/>
      <c r="C708" s="44" t="s">
        <v>1</v>
      </c>
      <c r="D708" s="44"/>
      <c r="E708" s="44" t="s">
        <v>1</v>
      </c>
      <c r="F708" s="44"/>
      <c r="G708" s="44" t="s">
        <v>1</v>
      </c>
      <c r="H708" s="44"/>
      <c r="I708" s="45" t="s">
        <v>1</v>
      </c>
      <c r="J708" s="46"/>
      <c r="K708" s="45" t="s">
        <v>1</v>
      </c>
      <c r="L708" s="33"/>
      <c r="M708" s="45" t="s">
        <v>1</v>
      </c>
      <c r="N708" s="33"/>
      <c r="O708" s="44" t="s">
        <v>2</v>
      </c>
      <c r="P708" s="44">
        <v>44971</v>
      </c>
      <c r="Q708" s="44" t="s">
        <v>2</v>
      </c>
      <c r="R708" s="44">
        <v>44980</v>
      </c>
      <c r="S708" s="44" t="s">
        <v>1</v>
      </c>
      <c r="T708" s="44"/>
      <c r="U708" s="44" t="s">
        <v>2</v>
      </c>
      <c r="V708" s="44">
        <v>44980</v>
      </c>
      <c r="W708" s="44" t="s">
        <v>2</v>
      </c>
      <c r="X708" s="44"/>
      <c r="Y708" s="44" t="s">
        <v>2</v>
      </c>
      <c r="Z708" s="44">
        <v>45000</v>
      </c>
      <c r="AA708" s="44" t="s">
        <v>2</v>
      </c>
      <c r="AB708" s="44"/>
      <c r="AC708" s="51">
        <v>45158</v>
      </c>
      <c r="AD708" s="50">
        <v>45209</v>
      </c>
      <c r="AE708" s="24" t="s">
        <v>2</v>
      </c>
      <c r="AF708" s="40" t="s">
        <v>2</v>
      </c>
      <c r="AG708" s="40" t="s">
        <v>5</v>
      </c>
      <c r="AH708" s="36" t="s">
        <v>0</v>
      </c>
      <c r="AI708" s="49">
        <v>0</v>
      </c>
      <c r="AJ708" s="36"/>
      <c r="AK708" s="10">
        <v>0</v>
      </c>
      <c r="AL708" s="36">
        <v>0</v>
      </c>
      <c r="AM708" s="36" t="s">
        <v>1</v>
      </c>
      <c r="AN708" s="35" t="s">
        <v>1</v>
      </c>
      <c r="AO708" s="35" t="s">
        <v>1</v>
      </c>
      <c r="AP708" s="35" t="s">
        <v>2</v>
      </c>
      <c r="AQ708" s="35" t="s">
        <v>1</v>
      </c>
      <c r="AR708" s="33" t="s">
        <v>1</v>
      </c>
      <c r="AS708" s="33"/>
      <c r="AT708" s="30"/>
      <c r="AU708" s="55"/>
      <c r="AV708" s="30"/>
      <c r="AW708" s="55"/>
      <c r="AX708" s="30" t="s">
        <v>2</v>
      </c>
      <c r="AY708" s="55"/>
      <c r="AZ708" s="30" t="s">
        <v>2</v>
      </c>
      <c r="BA708" s="85">
        <v>45575</v>
      </c>
      <c r="BB708" s="39"/>
      <c r="BC708" s="25"/>
      <c r="BD708" s="24" t="s">
        <v>11</v>
      </c>
      <c r="BE708" s="24" t="s">
        <v>11</v>
      </c>
      <c r="BF708" s="79" t="s">
        <v>88</v>
      </c>
      <c r="BG708" s="79" t="s">
        <v>11</v>
      </c>
      <c r="BH708" s="80" t="s">
        <v>18</v>
      </c>
      <c r="BI708" s="79" t="s">
        <v>87</v>
      </c>
      <c r="BJ708" s="54" t="s">
        <v>11</v>
      </c>
      <c r="BK708" s="78" t="s">
        <v>11</v>
      </c>
      <c r="BL708" s="69" t="s">
        <v>11</v>
      </c>
      <c r="BM708" s="78" t="s">
        <v>11</v>
      </c>
      <c r="BN708" s="78" t="s">
        <v>11</v>
      </c>
      <c r="BO708" s="78" t="s">
        <v>11</v>
      </c>
      <c r="BP708" s="78" t="s">
        <v>11</v>
      </c>
      <c r="BQ708" s="21">
        <f>YEAR([1]!BANCO10[[#This Row],[DATA INÍCIO]])</f>
        <v>2023</v>
      </c>
      <c r="BR708" s="21">
        <f>MONTH([1]!BANCO10[[#This Row],[DATA INÍCIO]])</f>
        <v>8</v>
      </c>
      <c r="BS708" s="21" t="e">
        <f>CONCATENATE(#REF!,#REF!)</f>
        <v>#REF!</v>
      </c>
      <c r="BT708" s="21"/>
      <c r="BU708" s="21" t="s">
        <v>183</v>
      </c>
      <c r="BV708" s="21" t="str">
        <f>IF([1]!BANCO10[[#This Row],[SOLUÇÃO]]=BV$1,[1]!BANCO10[[#This Row],[STATUS DA ETAPA]],"")</f>
        <v/>
      </c>
      <c r="BW708" s="21" t="str">
        <f>IF([1]!BANCO10[[#This Row],[SOLUÇÃO]]=BW$1,[1]!BANCO10[[#This Row],[STATUS DA ETAPA]],"")</f>
        <v/>
      </c>
      <c r="BX708" s="21" t="str">
        <f>IF([1]!BANCO10[[#This Row],[SOLUÇÃO]]=BX$1,[1]!BANCO10[[#This Row],[STATUS DA ETAPA]],"")</f>
        <v/>
      </c>
      <c r="BY708" s="21" t="str">
        <f>IF([1]!BANCO10[[#This Row],[SOLUÇÃO]]=BY$1,[1]!BANCO10[[#This Row],[STATUS DA ETAPA]],"")</f>
        <v/>
      </c>
      <c r="BZ708" s="21" t="str">
        <f>IF([1]!BANCO10[[#This Row],[SOLUÇÃO]]=BZ$1,[1]!BANCO10[[#This Row],[STATUS DA ETAPA]],"")</f>
        <v/>
      </c>
      <c r="CA708" s="21" t="str">
        <f>IF([1]!BANCO10[[#This Row],[SOLUÇÃO]]=CA$1,[1]!BANCO10[[#This Row],[STATUS DA ETAPA]],"")</f>
        <v/>
      </c>
      <c r="CB708" s="21" t="str">
        <f>IF([1]!BANCO10[[#This Row],[SOLUÇÃO]]=CB$1,[1]!BANCO10[[#This Row],[STATUS DA ETAPA]],"")</f>
        <v/>
      </c>
      <c r="CC708" s="21" t="str">
        <f>IF([1]!BANCO10[[#This Row],[SOLUÇÃO]]=CC$1,[1]!BANCO10[[#This Row],[STATUS DA ETAPA]],"")</f>
        <v>CONCLUÍDO</v>
      </c>
      <c r="CD708" s="21" t="str">
        <f>IF([1]!BANCO10[[#This Row],[SOLUÇÃO]]=CD$1,[1]!BANCO10[[#This Row],[STATUS DA ETAPA]],"")</f>
        <v/>
      </c>
      <c r="CE708" s="21" t="str">
        <f>IF([1]!BANCO10[[#This Row],[SOLUÇÃO]]=CE$1,[1]!BANCO10[[#This Row],[STATUS DA ETAPA]],"")</f>
        <v/>
      </c>
      <c r="CF708" s="21" t="str">
        <f>IF([1]!BANCO10[[#This Row],[SOLUÇÃO]]=CF$1,[1]!BANCO10[[#This Row],[STATUS DA ETAPA]],"")</f>
        <v/>
      </c>
      <c r="CG708" s="21" t="str">
        <f>IF([1]!BANCO10[[#This Row],[SOLUÇÃO]]=CG$1,[1]!BANCO10[[#This Row],[STATUS DA ETAPA]],"")</f>
        <v/>
      </c>
      <c r="CH708" s="21" t="str">
        <f>IF([1]!BANCO10[[#This Row],[SOLUÇÃO]]=CH$1,[1]!BANCO10[[#This Row],[STATUS DA ETAPA]],"")</f>
        <v/>
      </c>
      <c r="CI708" s="21" t="str">
        <f>IF([1]!BANCO10[[#This Row],[SOLUÇÃO]]=CI$1,[1]!BANCO10[[#This Row],[STATUS DA ETAPA]],"")</f>
        <v/>
      </c>
      <c r="CJ708" s="21" t="str">
        <f>IF([1]!BANCO10[[#This Row],[SOLUÇÃO]]=CJ$1,[1]!BANCO10[[#This Row],[STATUS DA ETAPA]],"")</f>
        <v/>
      </c>
      <c r="CK708" s="21" t="str">
        <f>IF([1]!BANCO10[[#This Row],[SOLUÇÃO]]=CK$1,[1]!BANCO10[[#This Row],[STATUS DA ETAPA]],"")</f>
        <v/>
      </c>
      <c r="CL708" s="22" t="str">
        <f>IF([1]!BANCO10[[#This Row],[SOLUÇÃO]]=CL$1,[1]!BANCO10[[#This Row],[STATUS DA ETAPA]],"")</f>
        <v/>
      </c>
      <c r="CM708" s="64" t="str">
        <f>IF([1]!BANCO10[[#This Row],[SOLUÇÃO]]=CM$1,[1]!BANCO10[[#This Row],[STATUS DA ETAPA]],"")</f>
        <v/>
      </c>
      <c r="CN708" s="64" t="str">
        <f>IF([1]!BANCO10[[#This Row],[SOLUÇÃO]]=CN$1,[1]!BANCO10[[#This Row],[STATUS DA ETAPA]],"")</f>
        <v/>
      </c>
      <c r="CO708" s="64" t="str">
        <f>IF([1]!BANCO10[[#This Row],[SOLUÇÃO]]=CO$1,[1]!BANCO10[[#This Row],[STATUS DA ETAPA]],"")</f>
        <v/>
      </c>
      <c r="CP708" s="64" t="str">
        <f>IF([1]!BANCO10[[#This Row],[SOLUÇÃO]]=CP$1,[1]!BANCO10[[#This Row],[STATUS DA ETAPA]],"")</f>
        <v/>
      </c>
      <c r="CQ708" s="64" t="str">
        <f>IF([1]!BANCO10[[#This Row],[SOLUÇÃO]]=CQ$1,[1]!BANCO10[[#This Row],[STATUS DA ETAPA]],"")</f>
        <v/>
      </c>
      <c r="CR708" s="64" t="str">
        <f>IF([1]!BANCO10[[#This Row],[SOLUÇÃO]]=CR$1,[1]!BANCO10[[#This Row],[STATUS DA ETAPA]],"")</f>
        <v/>
      </c>
      <c r="CS708" s="64" t="str">
        <f>IF([1]!BANCO10[[#This Row],[SOLUÇÃO]]=CS$1,[1]!BANCO10[[#This Row],[STATUS DA ETAPA]],"")</f>
        <v/>
      </c>
      <c r="CT708" s="64" t="str">
        <f>IF([1]!BANCO10[[#This Row],[SOLUÇÃO]]=CT$1,[1]!BANCO10[[#This Row],[STATUS DA ETAPA]],"")</f>
        <v/>
      </c>
      <c r="CU708" s="64" t="str">
        <f>IF([1]!BANCO10[[#This Row],[SOLUÇÃO]]=CU$1,[1]!BANCO10[[#This Row],[STATUS DA ETAPA]],"")</f>
        <v/>
      </c>
      <c r="CV708" s="64" t="str">
        <f>IF([1]!BANCO10[[#This Row],[SOLUÇÃO]]=CV$1,[1]!BANCO10[[#This Row],[STATUS DA ETAPA]],"")</f>
        <v/>
      </c>
    </row>
    <row r="709" spans="1:100">
      <c r="A709" s="44" t="s">
        <v>1</v>
      </c>
      <c r="B709" s="44"/>
      <c r="C709" s="44" t="s">
        <v>1</v>
      </c>
      <c r="D709" s="44"/>
      <c r="E709" s="44" t="s">
        <v>1</v>
      </c>
      <c r="F709" s="44"/>
      <c r="G709" s="44" t="s">
        <v>1</v>
      </c>
      <c r="H709" s="44"/>
      <c r="I709" s="45" t="s">
        <v>1</v>
      </c>
      <c r="J709" s="46"/>
      <c r="K709" s="45" t="s">
        <v>1</v>
      </c>
      <c r="L709" s="33"/>
      <c r="M709" s="45" t="s">
        <v>1</v>
      </c>
      <c r="N709" s="33"/>
      <c r="O709" s="44" t="s">
        <v>2</v>
      </c>
      <c r="P709" s="44">
        <v>44971</v>
      </c>
      <c r="Q709" s="44" t="s">
        <v>2</v>
      </c>
      <c r="R709" s="44">
        <v>44980</v>
      </c>
      <c r="S709" s="44" t="s">
        <v>1</v>
      </c>
      <c r="T709" s="44"/>
      <c r="U709" s="44" t="s">
        <v>2</v>
      </c>
      <c r="V709" s="44">
        <v>44980</v>
      </c>
      <c r="W709" s="44" t="s">
        <v>1</v>
      </c>
      <c r="X709" s="44"/>
      <c r="Y709" s="44" t="s">
        <v>2</v>
      </c>
      <c r="Z709" s="44">
        <v>45000</v>
      </c>
      <c r="AA709" s="44" t="s">
        <v>2</v>
      </c>
      <c r="AB709" s="44"/>
      <c r="AC709" s="51">
        <v>45436</v>
      </c>
      <c r="AD709" s="50">
        <v>45642</v>
      </c>
      <c r="AE709" s="24" t="s">
        <v>2</v>
      </c>
      <c r="AF709" s="41" t="s">
        <v>2</v>
      </c>
      <c r="AG709" s="40" t="s">
        <v>4</v>
      </c>
      <c r="AH709" s="36" t="s">
        <v>0</v>
      </c>
      <c r="AI709" s="49">
        <v>0</v>
      </c>
      <c r="AJ709" s="36" t="s">
        <v>6</v>
      </c>
      <c r="AK709" s="10">
        <v>2533</v>
      </c>
      <c r="AL709" s="36" t="s">
        <v>182</v>
      </c>
      <c r="AM709" s="36" t="s">
        <v>30</v>
      </c>
      <c r="AN709" s="35" t="s">
        <v>1</v>
      </c>
      <c r="AO709" s="35" t="s">
        <v>1</v>
      </c>
      <c r="AP709" s="35" t="s">
        <v>2</v>
      </c>
      <c r="AQ709" s="35" t="s">
        <v>1</v>
      </c>
      <c r="AR709" s="33" t="s">
        <v>1</v>
      </c>
      <c r="AS709" s="33"/>
      <c r="AT709" s="28"/>
      <c r="AU709" s="55"/>
      <c r="AV709" s="28"/>
      <c r="AW709" s="55"/>
      <c r="AX709" s="28" t="s">
        <v>2</v>
      </c>
      <c r="AY709" s="55">
        <v>45642</v>
      </c>
      <c r="AZ709" s="30" t="s">
        <v>0</v>
      </c>
      <c r="BA709" s="91"/>
      <c r="BB709" s="74" t="s">
        <v>181</v>
      </c>
      <c r="BC709" s="25" t="s">
        <v>31</v>
      </c>
      <c r="BD709" s="24" t="s">
        <v>11</v>
      </c>
      <c r="BE709" s="24" t="s">
        <v>11</v>
      </c>
      <c r="BF709" s="79" t="s">
        <v>88</v>
      </c>
      <c r="BG709" s="79" t="s">
        <v>11</v>
      </c>
      <c r="BH709" s="80" t="s">
        <v>18</v>
      </c>
      <c r="BI709" s="79" t="s">
        <v>87</v>
      </c>
      <c r="BJ709" s="54" t="s">
        <v>11</v>
      </c>
      <c r="BK709" s="78" t="s">
        <v>11</v>
      </c>
      <c r="BL709" s="69">
        <v>45391</v>
      </c>
      <c r="BM709" s="78" t="s">
        <v>18</v>
      </c>
      <c r="BN709" s="78" t="s">
        <v>11</v>
      </c>
      <c r="BO709" s="78"/>
      <c r="BP709" s="78" t="s">
        <v>180</v>
      </c>
      <c r="BQ709" s="21">
        <f>YEAR([1]!BANCO10[[#This Row],[DATA INÍCIO]])</f>
        <v>2024</v>
      </c>
      <c r="BR709" s="21">
        <f>MONTH([1]!BANCO10[[#This Row],[DATA INÍCIO]])</f>
        <v>5</v>
      </c>
      <c r="BS709" s="21" t="e">
        <f>CONCATENATE(#REF!,#REF!)</f>
        <v>#REF!</v>
      </c>
      <c r="BT709" s="21"/>
      <c r="BU709" s="21" t="s">
        <v>179</v>
      </c>
      <c r="BV709" s="21" t="str">
        <f>IF([1]!BANCO10[[#This Row],[SOLUÇÃO]]=BV$1,[1]!BANCO10[[#This Row],[STATUS DA ETAPA]],"")</f>
        <v/>
      </c>
      <c r="BW709" s="21" t="str">
        <f>IF([1]!BANCO10[[#This Row],[SOLUÇÃO]]=BW$1,[1]!BANCO10[[#This Row],[STATUS DA ETAPA]],"")</f>
        <v/>
      </c>
      <c r="BX709" s="21" t="str">
        <f>IF([1]!BANCO10[[#This Row],[SOLUÇÃO]]=BX$1,[1]!BANCO10[[#This Row],[STATUS DA ETAPA]],"")</f>
        <v>CONCLUÍDO</v>
      </c>
      <c r="BY709" s="21" t="str">
        <f>IF([1]!BANCO10[[#This Row],[SOLUÇÃO]]=BY$1,[1]!BANCO10[[#This Row],[STATUS DA ETAPA]],"")</f>
        <v/>
      </c>
      <c r="BZ709" s="21" t="str">
        <f>IF([1]!BANCO10[[#This Row],[SOLUÇÃO]]=BZ$1,[1]!BANCO10[[#This Row],[STATUS DA ETAPA]],"")</f>
        <v/>
      </c>
      <c r="CA709" s="21" t="str">
        <f>IF([1]!BANCO10[[#This Row],[SOLUÇÃO]]=CA$1,[1]!BANCO10[[#This Row],[STATUS DA ETAPA]],"")</f>
        <v/>
      </c>
      <c r="CB709" s="21" t="str">
        <f>IF([1]!BANCO10[[#This Row],[SOLUÇÃO]]=CB$1,[1]!BANCO10[[#This Row],[STATUS DA ETAPA]],"")</f>
        <v/>
      </c>
      <c r="CC709" s="21" t="str">
        <f>IF([1]!BANCO10[[#This Row],[SOLUÇÃO]]=CC$1,[1]!BANCO10[[#This Row],[STATUS DA ETAPA]],"")</f>
        <v/>
      </c>
      <c r="CD709" s="21" t="str">
        <f>IF([1]!BANCO10[[#This Row],[SOLUÇÃO]]=CD$1,[1]!BANCO10[[#This Row],[STATUS DA ETAPA]],"")</f>
        <v/>
      </c>
      <c r="CE709" s="21" t="str">
        <f>IF([1]!BANCO10[[#This Row],[SOLUÇÃO]]=CE$1,[1]!BANCO10[[#This Row],[STATUS DA ETAPA]],"")</f>
        <v/>
      </c>
      <c r="CF709" s="21" t="str">
        <f>IF([1]!BANCO10[[#This Row],[SOLUÇÃO]]=CF$1,[1]!BANCO10[[#This Row],[STATUS DA ETAPA]],"")</f>
        <v/>
      </c>
      <c r="CG709" s="21" t="str">
        <f>IF([1]!BANCO10[[#This Row],[SOLUÇÃO]]=CG$1,[1]!BANCO10[[#This Row],[STATUS DA ETAPA]],"")</f>
        <v/>
      </c>
      <c r="CH709" s="21" t="str">
        <f>IF([1]!BANCO10[[#This Row],[SOLUÇÃO]]=CH$1,[1]!BANCO10[[#This Row],[STATUS DA ETAPA]],"")</f>
        <v/>
      </c>
      <c r="CI709" s="21" t="str">
        <f>IF([1]!BANCO10[[#This Row],[SOLUÇÃO]]=CI$1,[1]!BANCO10[[#This Row],[STATUS DA ETAPA]],"")</f>
        <v/>
      </c>
      <c r="CJ709" s="21" t="str">
        <f>IF([1]!BANCO10[[#This Row],[SOLUÇÃO]]=CJ$1,[1]!BANCO10[[#This Row],[STATUS DA ETAPA]],"")</f>
        <v/>
      </c>
      <c r="CK709" s="21" t="str">
        <f>IF([1]!BANCO10[[#This Row],[SOLUÇÃO]]=CK$1,[1]!BANCO10[[#This Row],[STATUS DA ETAPA]],"")</f>
        <v/>
      </c>
      <c r="CL709" s="22" t="str">
        <f>IF([1]!BANCO10[[#This Row],[SOLUÇÃO]]=CL$1,[1]!BANCO10[[#This Row],[STATUS DA ETAPA]],"")</f>
        <v/>
      </c>
      <c r="CM709" s="64" t="str">
        <f>IF([1]!BANCO10[[#This Row],[SOLUÇÃO]]=CM$1,[1]!BANCO10[[#This Row],[STATUS DA ETAPA]],"")</f>
        <v/>
      </c>
      <c r="CN709" s="64" t="str">
        <f>IF([1]!BANCO10[[#This Row],[SOLUÇÃO]]=CN$1,[1]!BANCO10[[#This Row],[STATUS DA ETAPA]],"")</f>
        <v/>
      </c>
      <c r="CO709" s="64" t="str">
        <f>IF([1]!BANCO10[[#This Row],[SOLUÇÃO]]=CO$1,[1]!BANCO10[[#This Row],[STATUS DA ETAPA]],"")</f>
        <v/>
      </c>
      <c r="CP709" s="64" t="str">
        <f>IF([1]!BANCO10[[#This Row],[SOLUÇÃO]]=CP$1,[1]!BANCO10[[#This Row],[STATUS DA ETAPA]],"")</f>
        <v/>
      </c>
      <c r="CQ709" s="64" t="str">
        <f>IF([1]!BANCO10[[#This Row],[SOLUÇÃO]]=CQ$1,[1]!BANCO10[[#This Row],[STATUS DA ETAPA]],"")</f>
        <v/>
      </c>
      <c r="CR709" s="64" t="str">
        <f>IF([1]!BANCO10[[#This Row],[SOLUÇÃO]]=CR$1,[1]!BANCO10[[#This Row],[STATUS DA ETAPA]],"")</f>
        <v/>
      </c>
      <c r="CS709" s="64" t="str">
        <f>IF([1]!BANCO10[[#This Row],[SOLUÇÃO]]=CS$1,[1]!BANCO10[[#This Row],[STATUS DA ETAPA]],"")</f>
        <v/>
      </c>
      <c r="CT709" s="64" t="str">
        <f>IF([1]!BANCO10[[#This Row],[SOLUÇÃO]]=CT$1,[1]!BANCO10[[#This Row],[STATUS DA ETAPA]],"")</f>
        <v/>
      </c>
      <c r="CU709" s="64" t="str">
        <f>IF([1]!BANCO10[[#This Row],[SOLUÇÃO]]=CU$1,[1]!BANCO10[[#This Row],[STATUS DA ETAPA]],"")</f>
        <v/>
      </c>
      <c r="CV709" s="64" t="str">
        <f>IF([1]!BANCO10[[#This Row],[SOLUÇÃO]]=CV$1,[1]!BANCO10[[#This Row],[STATUS DA ETAPA]],"")</f>
        <v/>
      </c>
    </row>
    <row r="710" spans="1:100">
      <c r="A710" s="44" t="s">
        <v>1</v>
      </c>
      <c r="B710" s="44"/>
      <c r="C710" s="44" t="s">
        <v>1</v>
      </c>
      <c r="D710" s="44"/>
      <c r="E710" s="44" t="s">
        <v>1</v>
      </c>
      <c r="F710" s="44"/>
      <c r="G710" s="44" t="s">
        <v>1</v>
      </c>
      <c r="H710" s="44"/>
      <c r="I710" s="45" t="s">
        <v>1</v>
      </c>
      <c r="J710" s="46"/>
      <c r="K710" s="45" t="s">
        <v>1</v>
      </c>
      <c r="L710" s="33"/>
      <c r="M710" s="45" t="s">
        <v>1</v>
      </c>
      <c r="N710" s="33"/>
      <c r="O710" s="44" t="s">
        <v>1</v>
      </c>
      <c r="P710" s="44"/>
      <c r="Q710" s="44" t="s">
        <v>1</v>
      </c>
      <c r="R710" s="44"/>
      <c r="S710" s="44" t="s">
        <v>1</v>
      </c>
      <c r="T710" s="44"/>
      <c r="U710" s="44" t="s">
        <v>1</v>
      </c>
      <c r="V710" s="44"/>
      <c r="W710" s="44" t="s">
        <v>1</v>
      </c>
      <c r="X710" s="44"/>
      <c r="Y710" s="44" t="s">
        <v>1</v>
      </c>
      <c r="Z710" s="44"/>
      <c r="AA710" s="44" t="s">
        <v>1</v>
      </c>
      <c r="AB710" s="44"/>
      <c r="AC710" s="51">
        <v>45963</v>
      </c>
      <c r="AD710" s="50">
        <v>45963</v>
      </c>
      <c r="AE710" s="24" t="s">
        <v>1</v>
      </c>
      <c r="AF710" s="40" t="s">
        <v>1</v>
      </c>
      <c r="AG710" s="40" t="s">
        <v>1</v>
      </c>
      <c r="AH710" s="36" t="s">
        <v>1</v>
      </c>
      <c r="AI710" s="49">
        <v>0</v>
      </c>
      <c r="AJ710" s="36" t="s">
        <v>1</v>
      </c>
      <c r="AK710" s="10" t="s">
        <v>1</v>
      </c>
      <c r="AL710" s="36" t="s">
        <v>1</v>
      </c>
      <c r="AM710" s="36" t="s">
        <v>1</v>
      </c>
      <c r="AN710" s="35" t="s">
        <v>1</v>
      </c>
      <c r="AO710" s="35" t="s">
        <v>1</v>
      </c>
      <c r="AP710" s="35" t="s">
        <v>1</v>
      </c>
      <c r="AQ710" s="35" t="s">
        <v>1</v>
      </c>
      <c r="AR710" s="33" t="s">
        <v>1</v>
      </c>
      <c r="AS710" s="63"/>
      <c r="AT710" s="32" t="s">
        <v>1</v>
      </c>
      <c r="AU710" s="31"/>
      <c r="AV710" s="32" t="s">
        <v>1</v>
      </c>
      <c r="AW710" s="31"/>
      <c r="AX710" s="32" t="s">
        <v>1</v>
      </c>
      <c r="AY710" s="31"/>
      <c r="AZ710" s="32" t="s">
        <v>1</v>
      </c>
      <c r="BA710" s="47"/>
      <c r="BB710" s="39" t="s">
        <v>177</v>
      </c>
      <c r="BC710" s="25"/>
      <c r="BD710" s="24" t="s">
        <v>19</v>
      </c>
      <c r="BE710" s="24" t="s">
        <v>19</v>
      </c>
      <c r="BF710" s="79" t="s">
        <v>51</v>
      </c>
      <c r="BG710" s="79" t="s">
        <v>11</v>
      </c>
      <c r="BH710" s="80" t="s">
        <v>19</v>
      </c>
      <c r="BI710" s="79"/>
      <c r="BJ710" s="54" t="s">
        <v>11</v>
      </c>
      <c r="BK710" s="78" t="s">
        <v>11</v>
      </c>
      <c r="BL710" s="69">
        <v>45402</v>
      </c>
      <c r="BM710" s="78" t="s">
        <v>18</v>
      </c>
      <c r="BN710" s="78" t="s">
        <v>11</v>
      </c>
      <c r="BO710" s="78"/>
      <c r="BP710" s="78" t="s">
        <v>178</v>
      </c>
      <c r="BQ710" s="21">
        <f>YEAR([1]!BANCO10[[#This Row],[DATA INÍCIO]])</f>
        <v>2025</v>
      </c>
      <c r="BR710" s="21">
        <f>MONTH([1]!BANCO10[[#This Row],[DATA INÍCIO]])</f>
        <v>11</v>
      </c>
      <c r="BS710" s="21" t="e">
        <f>CONCATENATE(#REF!,#REF!)</f>
        <v>#REF!</v>
      </c>
      <c r="BT710" s="21"/>
      <c r="BU710" s="21" t="s">
        <v>1</v>
      </c>
      <c r="BV710" s="21" t="str">
        <f>IF([1]!BANCO10[[#This Row],[SOLUÇÃO]]=BV$1,[1]!BANCO10[[#This Row],[STATUS DA ETAPA]],"")</f>
        <v/>
      </c>
      <c r="BW710" s="21" t="str">
        <f>IF([1]!BANCO10[[#This Row],[SOLUÇÃO]]=BW$1,[1]!BANCO10[[#This Row],[STATUS DA ETAPA]],"")</f>
        <v/>
      </c>
      <c r="BX710" s="21" t="str">
        <f>IF([1]!BANCO10[[#This Row],[SOLUÇÃO]]=BX$1,[1]!BANCO10[[#This Row],[STATUS DA ETAPA]],"")</f>
        <v/>
      </c>
      <c r="BY710" s="21" t="str">
        <f>IF([1]!BANCO10[[#This Row],[SOLUÇÃO]]=BY$1,[1]!BANCO10[[#This Row],[STATUS DA ETAPA]],"")</f>
        <v/>
      </c>
      <c r="BZ710" s="21" t="str">
        <f>IF([1]!BANCO10[[#This Row],[SOLUÇÃO]]=BZ$1,[1]!BANCO10[[#This Row],[STATUS DA ETAPA]],"")</f>
        <v/>
      </c>
      <c r="CA710" s="21" t="str">
        <f>IF([1]!BANCO10[[#This Row],[SOLUÇÃO]]=CA$1,[1]!BANCO10[[#This Row],[STATUS DA ETAPA]],"")</f>
        <v>CANCELADO</v>
      </c>
      <c r="CB710" s="21" t="str">
        <f>IF([1]!BANCO10[[#This Row],[SOLUÇÃO]]=CB$1,[1]!BANCO10[[#This Row],[STATUS DA ETAPA]],"")</f>
        <v/>
      </c>
      <c r="CC710" s="21" t="str">
        <f>IF([1]!BANCO10[[#This Row],[SOLUÇÃO]]=CC$1,[1]!BANCO10[[#This Row],[STATUS DA ETAPA]],"")</f>
        <v/>
      </c>
      <c r="CD710" s="21" t="str">
        <f>IF([1]!BANCO10[[#This Row],[SOLUÇÃO]]=CD$1,[1]!BANCO10[[#This Row],[STATUS DA ETAPA]],"")</f>
        <v/>
      </c>
      <c r="CE710" s="21" t="str">
        <f>IF([1]!BANCO10[[#This Row],[SOLUÇÃO]]=CE$1,[1]!BANCO10[[#This Row],[STATUS DA ETAPA]],"")</f>
        <v/>
      </c>
      <c r="CF710" s="21" t="str">
        <f>IF([1]!BANCO10[[#This Row],[SOLUÇÃO]]=CF$1,[1]!BANCO10[[#This Row],[STATUS DA ETAPA]],"")</f>
        <v/>
      </c>
      <c r="CG710" s="21" t="str">
        <f>IF([1]!BANCO10[[#This Row],[SOLUÇÃO]]=CG$1,[1]!BANCO10[[#This Row],[STATUS DA ETAPA]],"")</f>
        <v/>
      </c>
      <c r="CH710" s="21" t="str">
        <f>IF([1]!BANCO10[[#This Row],[SOLUÇÃO]]=CH$1,[1]!BANCO10[[#This Row],[STATUS DA ETAPA]],"")</f>
        <v/>
      </c>
      <c r="CI710" s="21" t="str">
        <f>IF([1]!BANCO10[[#This Row],[SOLUÇÃO]]=CI$1,[1]!BANCO10[[#This Row],[STATUS DA ETAPA]],"")</f>
        <v/>
      </c>
      <c r="CJ710" s="21" t="str">
        <f>IF([1]!BANCO10[[#This Row],[SOLUÇÃO]]=CJ$1,[1]!BANCO10[[#This Row],[STATUS DA ETAPA]],"")</f>
        <v/>
      </c>
      <c r="CK710" s="21" t="str">
        <f>IF([1]!BANCO10[[#This Row],[SOLUÇÃO]]=CK$1,[1]!BANCO10[[#This Row],[STATUS DA ETAPA]],"")</f>
        <v/>
      </c>
      <c r="CL710" s="22" t="str">
        <f>IF([1]!BANCO10[[#This Row],[SOLUÇÃO]]=CL$1,[1]!BANCO10[[#This Row],[STATUS DA ETAPA]],"")</f>
        <v/>
      </c>
      <c r="CM710" s="64" t="str">
        <f>IF([1]!BANCO10[[#This Row],[SOLUÇÃO]]=CM$1,[1]!BANCO10[[#This Row],[STATUS DA ETAPA]],"")</f>
        <v/>
      </c>
      <c r="CN710" s="64" t="str">
        <f>IF([1]!BANCO10[[#This Row],[SOLUÇÃO]]=CN$1,[1]!BANCO10[[#This Row],[STATUS DA ETAPA]],"")</f>
        <v/>
      </c>
      <c r="CO710" s="64" t="str">
        <f>IF([1]!BANCO10[[#This Row],[SOLUÇÃO]]=CO$1,[1]!BANCO10[[#This Row],[STATUS DA ETAPA]],"")</f>
        <v/>
      </c>
      <c r="CP710" s="64" t="str">
        <f>IF([1]!BANCO10[[#This Row],[SOLUÇÃO]]=CP$1,[1]!BANCO10[[#This Row],[STATUS DA ETAPA]],"")</f>
        <v/>
      </c>
      <c r="CQ710" s="64" t="str">
        <f>IF([1]!BANCO10[[#This Row],[SOLUÇÃO]]=CQ$1,[1]!BANCO10[[#This Row],[STATUS DA ETAPA]],"")</f>
        <v/>
      </c>
      <c r="CR710" s="64" t="str">
        <f>IF([1]!BANCO10[[#This Row],[SOLUÇÃO]]=CR$1,[1]!BANCO10[[#This Row],[STATUS DA ETAPA]],"")</f>
        <v/>
      </c>
      <c r="CS710" s="64" t="str">
        <f>IF([1]!BANCO10[[#This Row],[SOLUÇÃO]]=CS$1,[1]!BANCO10[[#This Row],[STATUS DA ETAPA]],"")</f>
        <v/>
      </c>
      <c r="CT710" s="64" t="str">
        <f>IF([1]!BANCO10[[#This Row],[SOLUÇÃO]]=CT$1,[1]!BANCO10[[#This Row],[STATUS DA ETAPA]],"")</f>
        <v/>
      </c>
      <c r="CU710" s="64" t="str">
        <f>IF([1]!BANCO10[[#This Row],[SOLUÇÃO]]=CU$1,[1]!BANCO10[[#This Row],[STATUS DA ETAPA]],"")</f>
        <v/>
      </c>
      <c r="CV710" s="64" t="str">
        <f>IF([1]!BANCO10[[#This Row],[SOLUÇÃO]]=CV$1,[1]!BANCO10[[#This Row],[STATUS DA ETAPA]],"")</f>
        <v/>
      </c>
    </row>
    <row r="711" spans="1:100">
      <c r="A711" s="44" t="s">
        <v>1</v>
      </c>
      <c r="B711" s="44"/>
      <c r="C711" s="44" t="s">
        <v>1</v>
      </c>
      <c r="D711" s="44"/>
      <c r="E711" s="44" t="s">
        <v>1</v>
      </c>
      <c r="F711" s="44"/>
      <c r="G711" s="44" t="s">
        <v>1</v>
      </c>
      <c r="H711" s="44"/>
      <c r="I711" s="45" t="s">
        <v>1</v>
      </c>
      <c r="J711" s="46"/>
      <c r="K711" s="45" t="s">
        <v>1</v>
      </c>
      <c r="L711" s="33"/>
      <c r="M711" s="45" t="s">
        <v>1</v>
      </c>
      <c r="N711" s="33"/>
      <c r="O711" s="44" t="s">
        <v>2</v>
      </c>
      <c r="P711" s="44">
        <v>44985</v>
      </c>
      <c r="Q711" s="44" t="s">
        <v>0</v>
      </c>
      <c r="R711" s="44"/>
      <c r="S711" s="44" t="s">
        <v>1</v>
      </c>
      <c r="T711" s="44"/>
      <c r="U711" s="44" t="s">
        <v>1</v>
      </c>
      <c r="V711" s="44"/>
      <c r="W711" s="44" t="s">
        <v>1</v>
      </c>
      <c r="X711" s="44"/>
      <c r="Y711" s="44" t="s">
        <v>1</v>
      </c>
      <c r="Z711" s="44"/>
      <c r="AA711" s="44" t="s">
        <v>1</v>
      </c>
      <c r="AB711" s="44"/>
      <c r="AC711" s="51">
        <v>44984</v>
      </c>
      <c r="AD711" s="50">
        <v>44984</v>
      </c>
      <c r="AE711" s="24" t="s">
        <v>1</v>
      </c>
      <c r="AF711" s="40" t="s">
        <v>1</v>
      </c>
      <c r="AG711" s="40" t="s">
        <v>5</v>
      </c>
      <c r="AH711" s="36" t="s">
        <v>1</v>
      </c>
      <c r="AI711" s="49">
        <v>0</v>
      </c>
      <c r="AJ711" s="36" t="s">
        <v>1</v>
      </c>
      <c r="AK711" s="10" t="s">
        <v>1</v>
      </c>
      <c r="AL711" s="36" t="s">
        <v>1</v>
      </c>
      <c r="AM711" s="36" t="s">
        <v>1</v>
      </c>
      <c r="AN711" s="35" t="s">
        <v>1</v>
      </c>
      <c r="AO711" s="35" t="s">
        <v>1</v>
      </c>
      <c r="AP711" s="35" t="s">
        <v>1</v>
      </c>
      <c r="AQ711" s="35" t="s">
        <v>1</v>
      </c>
      <c r="AR711" s="48" t="s">
        <v>1</v>
      </c>
      <c r="AS711" s="33"/>
      <c r="AT711" s="30"/>
      <c r="AU711" s="55"/>
      <c r="AV711" s="30"/>
      <c r="AW711" s="55"/>
      <c r="AX711" s="30" t="s">
        <v>1</v>
      </c>
      <c r="AY711" s="55"/>
      <c r="AZ711" s="30" t="s">
        <v>1</v>
      </c>
      <c r="BA711" s="85"/>
      <c r="BB711" s="39" t="s">
        <v>177</v>
      </c>
      <c r="BC711" s="25"/>
      <c r="BD711" s="24" t="s">
        <v>19</v>
      </c>
      <c r="BE711" s="24" t="s">
        <v>19</v>
      </c>
      <c r="BF711" s="79" t="s">
        <v>51</v>
      </c>
      <c r="BG711" s="79" t="s">
        <v>11</v>
      </c>
      <c r="BH711" s="80" t="s">
        <v>19</v>
      </c>
      <c r="BI711" s="79"/>
      <c r="BJ711" s="54" t="s">
        <v>11</v>
      </c>
      <c r="BK711" s="78" t="s">
        <v>11</v>
      </c>
      <c r="BL711" s="69" t="s">
        <v>11</v>
      </c>
      <c r="BM711" s="78" t="s">
        <v>11</v>
      </c>
      <c r="BN711" s="78" t="s">
        <v>11</v>
      </c>
      <c r="BO711" s="78" t="s">
        <v>11</v>
      </c>
      <c r="BP711" s="78" t="s">
        <v>11</v>
      </c>
      <c r="BQ711" s="21">
        <f>YEAR([1]!BANCO10[[#This Row],[DATA INÍCIO]])</f>
        <v>2023</v>
      </c>
      <c r="BR711" s="21">
        <f>MONTH([1]!BANCO10[[#This Row],[DATA INÍCIO]])</f>
        <v>2</v>
      </c>
      <c r="BS711" s="21" t="e">
        <f>CONCATENATE(#REF!,#REF!)</f>
        <v>#REF!</v>
      </c>
      <c r="BT711" s="21"/>
      <c r="BU711" s="21" t="s">
        <v>176</v>
      </c>
      <c r="BV711" s="21" t="str">
        <f>IF([1]!BANCO10[[#This Row],[SOLUÇÃO]]=BV$1,[1]!BANCO10[[#This Row],[STATUS DA ETAPA]],"")</f>
        <v>CONCLUÍDO</v>
      </c>
      <c r="BW711" s="21" t="str">
        <f>IF([1]!BANCO10[[#This Row],[SOLUÇÃO]]=BW$1,[1]!BANCO10[[#This Row],[STATUS DA ETAPA]],"")</f>
        <v/>
      </c>
      <c r="BX711" s="21" t="str">
        <f>IF([1]!BANCO10[[#This Row],[SOLUÇÃO]]=BX$1,[1]!BANCO10[[#This Row],[STATUS DA ETAPA]],"")</f>
        <v/>
      </c>
      <c r="BY711" s="21" t="str">
        <f>IF([1]!BANCO10[[#This Row],[SOLUÇÃO]]=BY$1,[1]!BANCO10[[#This Row],[STATUS DA ETAPA]],"")</f>
        <v/>
      </c>
      <c r="BZ711" s="21" t="str">
        <f>IF([1]!BANCO10[[#This Row],[SOLUÇÃO]]=BZ$1,[1]!BANCO10[[#This Row],[STATUS DA ETAPA]],"")</f>
        <v/>
      </c>
      <c r="CA711" s="21" t="str">
        <f>IF([1]!BANCO10[[#This Row],[SOLUÇÃO]]=CA$1,[1]!BANCO10[[#This Row],[STATUS DA ETAPA]],"")</f>
        <v/>
      </c>
      <c r="CB711" s="21" t="str">
        <f>IF([1]!BANCO10[[#This Row],[SOLUÇÃO]]=CB$1,[1]!BANCO10[[#This Row],[STATUS DA ETAPA]],"")</f>
        <v/>
      </c>
      <c r="CC711" s="21" t="str">
        <f>IF([1]!BANCO10[[#This Row],[SOLUÇÃO]]=CC$1,[1]!BANCO10[[#This Row],[STATUS DA ETAPA]],"")</f>
        <v/>
      </c>
      <c r="CD711" s="21" t="str">
        <f>IF([1]!BANCO10[[#This Row],[SOLUÇÃO]]=CD$1,[1]!BANCO10[[#This Row],[STATUS DA ETAPA]],"")</f>
        <v/>
      </c>
      <c r="CE711" s="21" t="str">
        <f>IF([1]!BANCO10[[#This Row],[SOLUÇÃO]]=CE$1,[1]!BANCO10[[#This Row],[STATUS DA ETAPA]],"")</f>
        <v/>
      </c>
      <c r="CF711" s="21" t="str">
        <f>IF([1]!BANCO10[[#This Row],[SOLUÇÃO]]=CF$1,[1]!BANCO10[[#This Row],[STATUS DA ETAPA]],"")</f>
        <v/>
      </c>
      <c r="CG711" s="21" t="str">
        <f>IF([1]!BANCO10[[#This Row],[SOLUÇÃO]]=CG$1,[1]!BANCO10[[#This Row],[STATUS DA ETAPA]],"")</f>
        <v/>
      </c>
      <c r="CH711" s="21" t="str">
        <f>IF([1]!BANCO10[[#This Row],[SOLUÇÃO]]=CH$1,[1]!BANCO10[[#This Row],[STATUS DA ETAPA]],"")</f>
        <v/>
      </c>
      <c r="CI711" s="21" t="str">
        <f>IF([1]!BANCO10[[#This Row],[SOLUÇÃO]]=CI$1,[1]!BANCO10[[#This Row],[STATUS DA ETAPA]],"")</f>
        <v/>
      </c>
      <c r="CJ711" s="21" t="str">
        <f>IF([1]!BANCO10[[#This Row],[SOLUÇÃO]]=CJ$1,[1]!BANCO10[[#This Row],[STATUS DA ETAPA]],"")</f>
        <v/>
      </c>
      <c r="CK711" s="21" t="str">
        <f>IF([1]!BANCO10[[#This Row],[SOLUÇÃO]]=CK$1,[1]!BANCO10[[#This Row],[STATUS DA ETAPA]],"")</f>
        <v/>
      </c>
      <c r="CL711" s="22" t="str">
        <f>IF([1]!BANCO10[[#This Row],[SOLUÇÃO]]=CL$1,[1]!BANCO10[[#This Row],[STATUS DA ETAPA]],"")</f>
        <v/>
      </c>
      <c r="CM711" s="64" t="str">
        <f>IF([1]!BANCO10[[#This Row],[SOLUÇÃO]]=CM$1,[1]!BANCO10[[#This Row],[STATUS DA ETAPA]],"")</f>
        <v/>
      </c>
      <c r="CN711" s="64" t="str">
        <f>IF([1]!BANCO10[[#This Row],[SOLUÇÃO]]=CN$1,[1]!BANCO10[[#This Row],[STATUS DA ETAPA]],"")</f>
        <v/>
      </c>
      <c r="CO711" s="64" t="str">
        <f>IF([1]!BANCO10[[#This Row],[SOLUÇÃO]]=CO$1,[1]!BANCO10[[#This Row],[STATUS DA ETAPA]],"")</f>
        <v/>
      </c>
      <c r="CP711" s="64" t="str">
        <f>IF([1]!BANCO10[[#This Row],[SOLUÇÃO]]=CP$1,[1]!BANCO10[[#This Row],[STATUS DA ETAPA]],"")</f>
        <v/>
      </c>
      <c r="CQ711" s="64" t="str">
        <f>IF([1]!BANCO10[[#This Row],[SOLUÇÃO]]=CQ$1,[1]!BANCO10[[#This Row],[STATUS DA ETAPA]],"")</f>
        <v/>
      </c>
      <c r="CR711" s="64" t="str">
        <f>IF([1]!BANCO10[[#This Row],[SOLUÇÃO]]=CR$1,[1]!BANCO10[[#This Row],[STATUS DA ETAPA]],"")</f>
        <v/>
      </c>
      <c r="CS711" s="64" t="str">
        <f>IF([1]!BANCO10[[#This Row],[SOLUÇÃO]]=CS$1,[1]!BANCO10[[#This Row],[STATUS DA ETAPA]],"")</f>
        <v/>
      </c>
      <c r="CT711" s="64" t="str">
        <f>IF([1]!BANCO10[[#This Row],[SOLUÇÃO]]=CT$1,[1]!BANCO10[[#This Row],[STATUS DA ETAPA]],"")</f>
        <v/>
      </c>
      <c r="CU711" s="64" t="str">
        <f>IF([1]!BANCO10[[#This Row],[SOLUÇÃO]]=CU$1,[1]!BANCO10[[#This Row],[STATUS DA ETAPA]],"")</f>
        <v/>
      </c>
      <c r="CV711" s="64" t="str">
        <f>IF([1]!BANCO10[[#This Row],[SOLUÇÃO]]=CV$1,[1]!BANCO10[[#This Row],[STATUS DA ETAPA]],"")</f>
        <v/>
      </c>
    </row>
    <row r="712" spans="1:100">
      <c r="A712" s="44" t="s">
        <v>1</v>
      </c>
      <c r="B712" s="44"/>
      <c r="C712" s="44" t="s">
        <v>1</v>
      </c>
      <c r="D712" s="44"/>
      <c r="E712" s="44" t="s">
        <v>1</v>
      </c>
      <c r="F712" s="44"/>
      <c r="G712" s="44" t="s">
        <v>1</v>
      </c>
      <c r="H712" s="44"/>
      <c r="I712" s="45" t="s">
        <v>1</v>
      </c>
      <c r="J712" s="46"/>
      <c r="K712" s="45" t="s">
        <v>1</v>
      </c>
      <c r="L712" s="33"/>
      <c r="M712" s="45" t="s">
        <v>1</v>
      </c>
      <c r="N712" s="33"/>
      <c r="O712" s="44" t="s">
        <v>2</v>
      </c>
      <c r="P712" s="44">
        <v>45310</v>
      </c>
      <c r="Q712" s="44"/>
      <c r="R712" s="44"/>
      <c r="S712" s="44"/>
      <c r="T712" s="44"/>
      <c r="U712" s="44" t="s">
        <v>1</v>
      </c>
      <c r="V712" s="44"/>
      <c r="W712" s="44" t="s">
        <v>1</v>
      </c>
      <c r="X712" s="44"/>
      <c r="Y712" s="44" t="s">
        <v>1</v>
      </c>
      <c r="Z712" s="44"/>
      <c r="AA712" s="44" t="s">
        <v>1</v>
      </c>
      <c r="AB712" s="44"/>
      <c r="AC712" s="51">
        <v>45320</v>
      </c>
      <c r="AD712" s="50">
        <v>45457</v>
      </c>
      <c r="AE712" s="24" t="s">
        <v>2</v>
      </c>
      <c r="AF712" s="40" t="s">
        <v>2</v>
      </c>
      <c r="AG712" s="40" t="s">
        <v>5</v>
      </c>
      <c r="AH712" s="36" t="s">
        <v>2</v>
      </c>
      <c r="AI712" s="49">
        <v>0</v>
      </c>
      <c r="AJ712" s="36" t="s">
        <v>1</v>
      </c>
      <c r="AK712" s="10" t="s">
        <v>1</v>
      </c>
      <c r="AL712" s="36" t="s">
        <v>1</v>
      </c>
      <c r="AM712" s="36" t="s">
        <v>1</v>
      </c>
      <c r="AN712" s="35" t="s">
        <v>1</v>
      </c>
      <c r="AO712" s="35" t="s">
        <v>1</v>
      </c>
      <c r="AP712" s="35" t="s">
        <v>2</v>
      </c>
      <c r="AQ712" s="35" t="s">
        <v>1</v>
      </c>
      <c r="AR712" s="33" t="s">
        <v>1</v>
      </c>
      <c r="AS712" s="33"/>
      <c r="AT712" s="30"/>
      <c r="AU712" s="55"/>
      <c r="AV712" s="30"/>
      <c r="AW712" s="55"/>
      <c r="AX712" s="30" t="s">
        <v>2</v>
      </c>
      <c r="AY712" s="55">
        <v>45457</v>
      </c>
      <c r="AZ712" s="30" t="s">
        <v>2</v>
      </c>
      <c r="BA712" s="91">
        <v>45419</v>
      </c>
      <c r="BB712" s="39" t="s">
        <v>34</v>
      </c>
      <c r="BC712" s="25"/>
      <c r="BD712" s="24"/>
      <c r="BE712" s="24"/>
      <c r="BF712" s="79"/>
      <c r="BG712" s="79"/>
      <c r="BH712" s="80"/>
      <c r="BI712" s="79"/>
      <c r="BJ712" s="54"/>
      <c r="BK712" s="78"/>
      <c r="BL712" s="69">
        <v>45412</v>
      </c>
      <c r="BM712" s="78"/>
      <c r="BN712" s="78"/>
      <c r="BO712" s="78"/>
      <c r="BP712" s="78" t="s">
        <v>175</v>
      </c>
      <c r="BQ712" s="21">
        <f>YEAR([1]!BANCO10[[#This Row],[DATA INÍCIO]])</f>
        <v>2024</v>
      </c>
      <c r="BR712" s="21">
        <f>MONTH([1]!BANCO10[[#This Row],[DATA INÍCIO]])</f>
        <v>1</v>
      </c>
      <c r="BS712" s="21" t="e">
        <f>CONCATENATE(#REF!,#REF!)</f>
        <v>#REF!</v>
      </c>
      <c r="BT712" s="21"/>
      <c r="BU712" s="21" t="s">
        <v>174</v>
      </c>
      <c r="BV712" s="21" t="str">
        <f>IF([1]!BANCO10[[#This Row],[SOLUÇÃO]]=BV$1,[1]!BANCO10[[#This Row],[STATUS DA ETAPA]],"")</f>
        <v/>
      </c>
      <c r="BW712" s="21" t="str">
        <f>IF([1]!BANCO10[[#This Row],[SOLUÇÃO]]=BW$1,[1]!BANCO10[[#This Row],[STATUS DA ETAPA]],"")</f>
        <v/>
      </c>
      <c r="BX712" s="21" t="str">
        <f>IF([1]!BANCO10[[#This Row],[SOLUÇÃO]]=BX$1,[1]!BANCO10[[#This Row],[STATUS DA ETAPA]],"")</f>
        <v/>
      </c>
      <c r="BY712" s="21" t="str">
        <f>IF([1]!BANCO10[[#This Row],[SOLUÇÃO]]=BY$1,[1]!BANCO10[[#This Row],[STATUS DA ETAPA]],"")</f>
        <v/>
      </c>
      <c r="BZ712" s="21" t="str">
        <f>IF([1]!BANCO10[[#This Row],[SOLUÇÃO]]=BZ$1,[1]!BANCO10[[#This Row],[STATUS DA ETAPA]],"")</f>
        <v/>
      </c>
      <c r="CA712" s="21" t="str">
        <f>IF([1]!BANCO10[[#This Row],[SOLUÇÃO]]=CA$1,[1]!BANCO10[[#This Row],[STATUS DA ETAPA]],"")</f>
        <v>CONCLUÍDO</v>
      </c>
      <c r="CB712" s="21" t="str">
        <f>IF([1]!BANCO10[[#This Row],[SOLUÇÃO]]=CB$1,[1]!BANCO10[[#This Row],[STATUS DA ETAPA]],"")</f>
        <v/>
      </c>
      <c r="CC712" s="21" t="str">
        <f>IF([1]!BANCO10[[#This Row],[SOLUÇÃO]]=CC$1,[1]!BANCO10[[#This Row],[STATUS DA ETAPA]],"")</f>
        <v/>
      </c>
      <c r="CD712" s="21" t="str">
        <f>IF([1]!BANCO10[[#This Row],[SOLUÇÃO]]=CD$1,[1]!BANCO10[[#This Row],[STATUS DA ETAPA]],"")</f>
        <v/>
      </c>
      <c r="CE712" s="21" t="str">
        <f>IF([1]!BANCO10[[#This Row],[SOLUÇÃO]]=CE$1,[1]!BANCO10[[#This Row],[STATUS DA ETAPA]],"")</f>
        <v/>
      </c>
      <c r="CF712" s="21" t="str">
        <f>IF([1]!BANCO10[[#This Row],[SOLUÇÃO]]=CF$1,[1]!BANCO10[[#This Row],[STATUS DA ETAPA]],"")</f>
        <v/>
      </c>
      <c r="CG712" s="21" t="str">
        <f>IF([1]!BANCO10[[#This Row],[SOLUÇÃO]]=CG$1,[1]!BANCO10[[#This Row],[STATUS DA ETAPA]],"")</f>
        <v/>
      </c>
      <c r="CH712" s="21" t="str">
        <f>IF([1]!BANCO10[[#This Row],[SOLUÇÃO]]=CH$1,[1]!BANCO10[[#This Row],[STATUS DA ETAPA]],"")</f>
        <v/>
      </c>
      <c r="CI712" s="21" t="str">
        <f>IF([1]!BANCO10[[#This Row],[SOLUÇÃO]]=CI$1,[1]!BANCO10[[#This Row],[STATUS DA ETAPA]],"")</f>
        <v/>
      </c>
      <c r="CJ712" s="21" t="str">
        <f>IF([1]!BANCO10[[#This Row],[SOLUÇÃO]]=CJ$1,[1]!BANCO10[[#This Row],[STATUS DA ETAPA]],"")</f>
        <v/>
      </c>
      <c r="CK712" s="21" t="str">
        <f>IF([1]!BANCO10[[#This Row],[SOLUÇÃO]]=CK$1,[1]!BANCO10[[#This Row],[STATUS DA ETAPA]],"")</f>
        <v/>
      </c>
      <c r="CL712" s="22" t="str">
        <f>IF([1]!BANCO10[[#This Row],[SOLUÇÃO]]=CL$1,[1]!BANCO10[[#This Row],[STATUS DA ETAPA]],"")</f>
        <v/>
      </c>
      <c r="CM712" s="64" t="str">
        <f>IF([1]!BANCO10[[#This Row],[SOLUÇÃO]]=CM$1,[1]!BANCO10[[#This Row],[STATUS DA ETAPA]],"")</f>
        <v/>
      </c>
      <c r="CN712" s="64" t="str">
        <f>IF([1]!BANCO10[[#This Row],[SOLUÇÃO]]=CN$1,[1]!BANCO10[[#This Row],[STATUS DA ETAPA]],"")</f>
        <v/>
      </c>
      <c r="CO712" s="64" t="str">
        <f>IF([1]!BANCO10[[#This Row],[SOLUÇÃO]]=CO$1,[1]!BANCO10[[#This Row],[STATUS DA ETAPA]],"")</f>
        <v/>
      </c>
      <c r="CP712" s="64" t="str">
        <f>IF([1]!BANCO10[[#This Row],[SOLUÇÃO]]=CP$1,[1]!BANCO10[[#This Row],[STATUS DA ETAPA]],"")</f>
        <v/>
      </c>
      <c r="CQ712" s="64" t="str">
        <f>IF([1]!BANCO10[[#This Row],[SOLUÇÃO]]=CQ$1,[1]!BANCO10[[#This Row],[STATUS DA ETAPA]],"")</f>
        <v/>
      </c>
      <c r="CR712" s="64" t="str">
        <f>IF([1]!BANCO10[[#This Row],[SOLUÇÃO]]=CR$1,[1]!BANCO10[[#This Row],[STATUS DA ETAPA]],"")</f>
        <v/>
      </c>
      <c r="CS712" s="64" t="str">
        <f>IF([1]!BANCO10[[#This Row],[SOLUÇÃO]]=CS$1,[1]!BANCO10[[#This Row],[STATUS DA ETAPA]],"")</f>
        <v/>
      </c>
      <c r="CT712" s="64" t="str">
        <f>IF([1]!BANCO10[[#This Row],[SOLUÇÃO]]=CT$1,[1]!BANCO10[[#This Row],[STATUS DA ETAPA]],"")</f>
        <v/>
      </c>
      <c r="CU712" s="64" t="str">
        <f>IF([1]!BANCO10[[#This Row],[SOLUÇÃO]]=CU$1,[1]!BANCO10[[#This Row],[STATUS DA ETAPA]],"")</f>
        <v/>
      </c>
      <c r="CV712" s="64" t="str">
        <f>IF([1]!BANCO10[[#This Row],[SOLUÇÃO]]=CV$1,[1]!BANCO10[[#This Row],[STATUS DA ETAPA]],"")</f>
        <v/>
      </c>
    </row>
    <row r="713" spans="1:100">
      <c r="A713" s="44" t="s">
        <v>1</v>
      </c>
      <c r="B713" s="44"/>
      <c r="C713" s="44" t="s">
        <v>1</v>
      </c>
      <c r="D713" s="44"/>
      <c r="E713" s="44" t="s">
        <v>1</v>
      </c>
      <c r="F713" s="44"/>
      <c r="G713" s="44" t="s">
        <v>1</v>
      </c>
      <c r="H713" s="44"/>
      <c r="I713" s="45" t="s">
        <v>1</v>
      </c>
      <c r="J713" s="46"/>
      <c r="K713" s="45" t="s">
        <v>1</v>
      </c>
      <c r="L713" s="33"/>
      <c r="M713" s="45" t="s">
        <v>1</v>
      </c>
      <c r="N713" s="33"/>
      <c r="O713" s="44" t="s">
        <v>1</v>
      </c>
      <c r="P713" s="44"/>
      <c r="Q713" s="44" t="s">
        <v>1</v>
      </c>
      <c r="R713" s="44"/>
      <c r="S713" s="44" t="s">
        <v>1</v>
      </c>
      <c r="T713" s="44"/>
      <c r="U713" s="44" t="s">
        <v>1</v>
      </c>
      <c r="V713" s="44"/>
      <c r="W713" s="44" t="s">
        <v>1</v>
      </c>
      <c r="X713" s="44"/>
      <c r="Y713" s="44" t="s">
        <v>1</v>
      </c>
      <c r="Z713" s="44"/>
      <c r="AA713" s="44" t="s">
        <v>1</v>
      </c>
      <c r="AB713" s="44"/>
      <c r="AC713" s="51">
        <v>45218</v>
      </c>
      <c r="AD713" s="50">
        <v>45218</v>
      </c>
      <c r="AE713" s="24" t="s">
        <v>1</v>
      </c>
      <c r="AF713" s="40" t="s">
        <v>1</v>
      </c>
      <c r="AG713" s="76" t="s">
        <v>5</v>
      </c>
      <c r="AH713" s="36" t="s">
        <v>1</v>
      </c>
      <c r="AI713" s="49">
        <v>0</v>
      </c>
      <c r="AJ713" s="36" t="s">
        <v>1</v>
      </c>
      <c r="AK713" s="10" t="s">
        <v>1</v>
      </c>
      <c r="AL713" s="36" t="s">
        <v>1</v>
      </c>
      <c r="AM713" s="36" t="s">
        <v>1</v>
      </c>
      <c r="AN713" s="35" t="s">
        <v>1</v>
      </c>
      <c r="AO713" s="35" t="s">
        <v>1</v>
      </c>
      <c r="AP713" s="35" t="s">
        <v>1</v>
      </c>
      <c r="AQ713" s="35" t="s">
        <v>1</v>
      </c>
      <c r="AR713" s="48" t="s">
        <v>1</v>
      </c>
      <c r="AS713" s="33"/>
      <c r="AT713" s="30"/>
      <c r="AU713" s="55"/>
      <c r="AV713" s="30"/>
      <c r="AW713" s="55"/>
      <c r="AX713" s="30" t="s">
        <v>1</v>
      </c>
      <c r="AY713" s="55"/>
      <c r="AZ713" s="30" t="s">
        <v>1</v>
      </c>
      <c r="BA713" s="91"/>
      <c r="BB713" s="39" t="s">
        <v>172</v>
      </c>
      <c r="BC713" s="25"/>
      <c r="BD713" s="24" t="s">
        <v>11</v>
      </c>
      <c r="BE713" s="24" t="s">
        <v>11</v>
      </c>
      <c r="BF713" s="79" t="s">
        <v>19</v>
      </c>
      <c r="BG713" s="79" t="s">
        <v>19</v>
      </c>
      <c r="BH713" s="80" t="s">
        <v>19</v>
      </c>
      <c r="BI713" s="79"/>
      <c r="BJ713" s="54" t="s">
        <v>11</v>
      </c>
      <c r="BK713" s="78" t="s">
        <v>11</v>
      </c>
      <c r="BL713" s="69" t="s">
        <v>11</v>
      </c>
      <c r="BM713" s="78" t="s">
        <v>11</v>
      </c>
      <c r="BN713" s="78" t="s">
        <v>11</v>
      </c>
      <c r="BO713" s="78" t="s">
        <v>11</v>
      </c>
      <c r="BP713" s="78" t="s">
        <v>11</v>
      </c>
      <c r="BQ713" s="21">
        <f>YEAR([1]!BANCO10[[#This Row],[DATA INÍCIO]])</f>
        <v>2023</v>
      </c>
      <c r="BR713" s="21">
        <f>MONTH([1]!BANCO10[[#This Row],[DATA INÍCIO]])</f>
        <v>10</v>
      </c>
      <c r="BS713" s="21" t="e">
        <f>CONCATENATE(#REF!,#REF!)</f>
        <v>#REF!</v>
      </c>
      <c r="BT713" s="21"/>
      <c r="BU713" s="21" t="s">
        <v>173</v>
      </c>
      <c r="BV713" s="21" t="str">
        <f>IF([1]!BANCO10[[#This Row],[SOLUÇÃO]]=BV$1,[1]!BANCO10[[#This Row],[STATUS DA ETAPA]],"")</f>
        <v>CONCLUÍDO</v>
      </c>
      <c r="BW713" s="21" t="str">
        <f>IF([1]!BANCO10[[#This Row],[SOLUÇÃO]]=BW$1,[1]!BANCO10[[#This Row],[STATUS DA ETAPA]],"")</f>
        <v/>
      </c>
      <c r="BX713" s="21" t="str">
        <f>IF([1]!BANCO10[[#This Row],[SOLUÇÃO]]=BX$1,[1]!BANCO10[[#This Row],[STATUS DA ETAPA]],"")</f>
        <v/>
      </c>
      <c r="BY713" s="21" t="str">
        <f>IF([1]!BANCO10[[#This Row],[SOLUÇÃO]]=BY$1,[1]!BANCO10[[#This Row],[STATUS DA ETAPA]],"")</f>
        <v/>
      </c>
      <c r="BZ713" s="21" t="str">
        <f>IF([1]!BANCO10[[#This Row],[SOLUÇÃO]]=BZ$1,[1]!BANCO10[[#This Row],[STATUS DA ETAPA]],"")</f>
        <v/>
      </c>
      <c r="CA713" s="21" t="str">
        <f>IF([1]!BANCO10[[#This Row],[SOLUÇÃO]]=CA$1,[1]!BANCO10[[#This Row],[STATUS DA ETAPA]],"")</f>
        <v/>
      </c>
      <c r="CB713" s="21" t="str">
        <f>IF([1]!BANCO10[[#This Row],[SOLUÇÃO]]=CB$1,[1]!BANCO10[[#This Row],[STATUS DA ETAPA]],"")</f>
        <v/>
      </c>
      <c r="CC713" s="21" t="str">
        <f>IF([1]!BANCO10[[#This Row],[SOLUÇÃO]]=CC$1,[1]!BANCO10[[#This Row],[STATUS DA ETAPA]],"")</f>
        <v/>
      </c>
      <c r="CD713" s="21" t="str">
        <f>IF([1]!BANCO10[[#This Row],[SOLUÇÃO]]=CD$1,[1]!BANCO10[[#This Row],[STATUS DA ETAPA]],"")</f>
        <v/>
      </c>
      <c r="CE713" s="21" t="str">
        <f>IF([1]!BANCO10[[#This Row],[SOLUÇÃO]]=CE$1,[1]!BANCO10[[#This Row],[STATUS DA ETAPA]],"")</f>
        <v/>
      </c>
      <c r="CF713" s="21" t="str">
        <f>IF([1]!BANCO10[[#This Row],[SOLUÇÃO]]=CF$1,[1]!BANCO10[[#This Row],[STATUS DA ETAPA]],"")</f>
        <v/>
      </c>
      <c r="CG713" s="21" t="str">
        <f>IF([1]!BANCO10[[#This Row],[SOLUÇÃO]]=CG$1,[1]!BANCO10[[#This Row],[STATUS DA ETAPA]],"")</f>
        <v/>
      </c>
      <c r="CH713" s="21" t="str">
        <f>IF([1]!BANCO10[[#This Row],[SOLUÇÃO]]=CH$1,[1]!BANCO10[[#This Row],[STATUS DA ETAPA]],"")</f>
        <v/>
      </c>
      <c r="CI713" s="21" t="str">
        <f>IF([1]!BANCO10[[#This Row],[SOLUÇÃO]]=CI$1,[1]!BANCO10[[#This Row],[STATUS DA ETAPA]],"")</f>
        <v/>
      </c>
      <c r="CJ713" s="21" t="str">
        <f>IF([1]!BANCO10[[#This Row],[SOLUÇÃO]]=CJ$1,[1]!BANCO10[[#This Row],[STATUS DA ETAPA]],"")</f>
        <v/>
      </c>
      <c r="CK713" s="21" t="str">
        <f>IF([1]!BANCO10[[#This Row],[SOLUÇÃO]]=CK$1,[1]!BANCO10[[#This Row],[STATUS DA ETAPA]],"")</f>
        <v/>
      </c>
      <c r="CL713" s="22" t="str">
        <f>IF([1]!BANCO10[[#This Row],[SOLUÇÃO]]=CL$1,[1]!BANCO10[[#This Row],[STATUS DA ETAPA]],"")</f>
        <v/>
      </c>
      <c r="CM713" s="64" t="str">
        <f>IF([1]!BANCO10[[#This Row],[SOLUÇÃO]]=CM$1,[1]!BANCO10[[#This Row],[STATUS DA ETAPA]],"")</f>
        <v/>
      </c>
      <c r="CN713" s="64" t="str">
        <f>IF([1]!BANCO10[[#This Row],[SOLUÇÃO]]=CN$1,[1]!BANCO10[[#This Row],[STATUS DA ETAPA]],"")</f>
        <v/>
      </c>
      <c r="CO713" s="64" t="str">
        <f>IF([1]!BANCO10[[#This Row],[SOLUÇÃO]]=CO$1,[1]!BANCO10[[#This Row],[STATUS DA ETAPA]],"")</f>
        <v/>
      </c>
      <c r="CP713" s="64" t="str">
        <f>IF([1]!BANCO10[[#This Row],[SOLUÇÃO]]=CP$1,[1]!BANCO10[[#This Row],[STATUS DA ETAPA]],"")</f>
        <v/>
      </c>
      <c r="CQ713" s="64" t="str">
        <f>IF([1]!BANCO10[[#This Row],[SOLUÇÃO]]=CQ$1,[1]!BANCO10[[#This Row],[STATUS DA ETAPA]],"")</f>
        <v/>
      </c>
      <c r="CR713" s="64" t="str">
        <f>IF([1]!BANCO10[[#This Row],[SOLUÇÃO]]=CR$1,[1]!BANCO10[[#This Row],[STATUS DA ETAPA]],"")</f>
        <v/>
      </c>
      <c r="CS713" s="64" t="str">
        <f>IF([1]!BANCO10[[#This Row],[SOLUÇÃO]]=CS$1,[1]!BANCO10[[#This Row],[STATUS DA ETAPA]],"")</f>
        <v/>
      </c>
      <c r="CT713" s="64" t="str">
        <f>IF([1]!BANCO10[[#This Row],[SOLUÇÃO]]=CT$1,[1]!BANCO10[[#This Row],[STATUS DA ETAPA]],"")</f>
        <v/>
      </c>
      <c r="CU713" s="64" t="str">
        <f>IF([1]!BANCO10[[#This Row],[SOLUÇÃO]]=CU$1,[1]!BANCO10[[#This Row],[STATUS DA ETAPA]],"")</f>
        <v/>
      </c>
      <c r="CV713" s="64" t="str">
        <f>IF([1]!BANCO10[[#This Row],[SOLUÇÃO]]=CV$1,[1]!BANCO10[[#This Row],[STATUS DA ETAPA]],"")</f>
        <v/>
      </c>
    </row>
    <row r="714" spans="1:100">
      <c r="A714" s="44" t="s">
        <v>1</v>
      </c>
      <c r="B714" s="44"/>
      <c r="C714" s="44" t="s">
        <v>1</v>
      </c>
      <c r="D714" s="44"/>
      <c r="E714" s="44" t="s">
        <v>1</v>
      </c>
      <c r="F714" s="44"/>
      <c r="G714" s="44" t="s">
        <v>1</v>
      </c>
      <c r="H714" s="44"/>
      <c r="I714" s="45" t="s">
        <v>1</v>
      </c>
      <c r="J714" s="46"/>
      <c r="K714" s="45" t="s">
        <v>1</v>
      </c>
      <c r="L714" s="33"/>
      <c r="M714" s="45" t="s">
        <v>1</v>
      </c>
      <c r="N714" s="33"/>
      <c r="O714" s="44" t="s">
        <v>2</v>
      </c>
      <c r="P714" s="44">
        <v>45229</v>
      </c>
      <c r="Q714" s="44" t="s">
        <v>2</v>
      </c>
      <c r="R714" s="44">
        <v>45231</v>
      </c>
      <c r="S714" s="44" t="s">
        <v>2</v>
      </c>
      <c r="T714" s="44">
        <v>45231</v>
      </c>
      <c r="U714" s="44" t="s">
        <v>1</v>
      </c>
      <c r="V714" s="44"/>
      <c r="W714" s="44" t="s">
        <v>1</v>
      </c>
      <c r="X714" s="44"/>
      <c r="Y714" s="44" t="s">
        <v>1</v>
      </c>
      <c r="Z714" s="44"/>
      <c r="AA714" s="44" t="s">
        <v>1</v>
      </c>
      <c r="AB714" s="44"/>
      <c r="AC714" s="51">
        <v>45250</v>
      </c>
      <c r="AD714" s="50">
        <v>45433</v>
      </c>
      <c r="AE714" s="24" t="s">
        <v>2</v>
      </c>
      <c r="AF714" s="40" t="s">
        <v>2</v>
      </c>
      <c r="AG714" s="40" t="s">
        <v>5</v>
      </c>
      <c r="AH714" s="36" t="s">
        <v>0</v>
      </c>
      <c r="AI714" s="49">
        <v>0</v>
      </c>
      <c r="AJ714" s="36" t="s">
        <v>6</v>
      </c>
      <c r="AK714" s="10">
        <v>0</v>
      </c>
      <c r="AL714" s="36" t="s">
        <v>1</v>
      </c>
      <c r="AM714" s="36">
        <v>0</v>
      </c>
      <c r="AN714" s="35" t="s">
        <v>0</v>
      </c>
      <c r="AO714" s="35" t="s">
        <v>0</v>
      </c>
      <c r="AP714" s="35" t="s">
        <v>2</v>
      </c>
      <c r="AQ714" s="35" t="s">
        <v>1</v>
      </c>
      <c r="AR714" s="33" t="s">
        <v>1</v>
      </c>
      <c r="AS714" s="33"/>
      <c r="AT714" s="30"/>
      <c r="AU714" s="55"/>
      <c r="AV714" s="30"/>
      <c r="AW714" s="55"/>
      <c r="AX714" s="30" t="s">
        <v>2</v>
      </c>
      <c r="AY714" s="55">
        <v>45433</v>
      </c>
      <c r="AZ714" s="30" t="s">
        <v>0</v>
      </c>
      <c r="BA714" s="91"/>
      <c r="BB714" s="39" t="s">
        <v>172</v>
      </c>
      <c r="BC714" s="25"/>
      <c r="BD714" s="24" t="s">
        <v>11</v>
      </c>
      <c r="BE714" s="24" t="s">
        <v>11</v>
      </c>
      <c r="BF714" s="79" t="s">
        <v>19</v>
      </c>
      <c r="BG714" s="79" t="s">
        <v>19</v>
      </c>
      <c r="BH714" s="80" t="s">
        <v>19</v>
      </c>
      <c r="BI714" s="79"/>
      <c r="BJ714" s="54" t="s">
        <v>11</v>
      </c>
      <c r="BK714" s="78" t="s">
        <v>11</v>
      </c>
      <c r="BL714" s="69" t="s">
        <v>11</v>
      </c>
      <c r="BM714" s="78" t="s">
        <v>11</v>
      </c>
      <c r="BN714" s="78" t="s">
        <v>11</v>
      </c>
      <c r="BO714" s="78" t="s">
        <v>11</v>
      </c>
      <c r="BP714" s="78" t="s">
        <v>11</v>
      </c>
      <c r="BQ714" s="21">
        <f>YEAR([1]!BANCO10[[#This Row],[DATA INÍCIO]])</f>
        <v>2023</v>
      </c>
      <c r="BR714" s="21">
        <f>MONTH([1]!BANCO10[[#This Row],[DATA INÍCIO]])</f>
        <v>11</v>
      </c>
      <c r="BS714" s="21" t="e">
        <f>CONCATENATE(#REF!,#REF!)</f>
        <v>#REF!</v>
      </c>
      <c r="BT714" s="21"/>
      <c r="BU714" s="21" t="s">
        <v>171</v>
      </c>
      <c r="BV714" s="21" t="str">
        <f>IF([1]!BANCO10[[#This Row],[SOLUÇÃO]]=BV$1,[1]!BANCO10[[#This Row],[STATUS DA ETAPA]],"")</f>
        <v/>
      </c>
      <c r="BW714" s="21" t="str">
        <f>IF([1]!BANCO10[[#This Row],[SOLUÇÃO]]=BW$1,[1]!BANCO10[[#This Row],[STATUS DA ETAPA]],"")</f>
        <v/>
      </c>
      <c r="BX714" s="21" t="str">
        <f>IF([1]!BANCO10[[#This Row],[SOLUÇÃO]]=BX$1,[1]!BANCO10[[#This Row],[STATUS DA ETAPA]],"")</f>
        <v/>
      </c>
      <c r="BY714" s="21" t="str">
        <f>IF([1]!BANCO10[[#This Row],[SOLUÇÃO]]=BY$1,[1]!BANCO10[[#This Row],[STATUS DA ETAPA]],"")</f>
        <v/>
      </c>
      <c r="BZ714" s="21" t="str">
        <f>IF([1]!BANCO10[[#This Row],[SOLUÇÃO]]=BZ$1,[1]!BANCO10[[#This Row],[STATUS DA ETAPA]],"")</f>
        <v/>
      </c>
      <c r="CA714" s="21" t="str">
        <f>IF([1]!BANCO10[[#This Row],[SOLUÇÃO]]=CA$1,[1]!BANCO10[[#This Row],[STATUS DA ETAPA]],"")</f>
        <v/>
      </c>
      <c r="CB714" s="21" t="str">
        <f>IF([1]!BANCO10[[#This Row],[SOLUÇÃO]]=CB$1,[1]!BANCO10[[#This Row],[STATUS DA ETAPA]],"")</f>
        <v/>
      </c>
      <c r="CC714" s="21" t="str">
        <f>IF([1]!BANCO10[[#This Row],[SOLUÇÃO]]=CC$1,[1]!BANCO10[[#This Row],[STATUS DA ETAPA]],"")</f>
        <v/>
      </c>
      <c r="CD714" s="21" t="str">
        <f>IF([1]!BANCO10[[#This Row],[SOLUÇÃO]]=CD$1,[1]!BANCO10[[#This Row],[STATUS DA ETAPA]],"")</f>
        <v/>
      </c>
      <c r="CE714" s="21" t="str">
        <f>IF([1]!BANCO10[[#This Row],[SOLUÇÃO]]=CE$1,[1]!BANCO10[[#This Row],[STATUS DA ETAPA]],"")</f>
        <v/>
      </c>
      <c r="CF714" s="21" t="str">
        <f>IF([1]!BANCO10[[#This Row],[SOLUÇÃO]]=CF$1,[1]!BANCO10[[#This Row],[STATUS DA ETAPA]],"")</f>
        <v/>
      </c>
      <c r="CG714" s="21" t="str">
        <f>IF([1]!BANCO10[[#This Row],[SOLUÇÃO]]=CG$1,[1]!BANCO10[[#This Row],[STATUS DA ETAPA]],"")</f>
        <v/>
      </c>
      <c r="CH714" s="21" t="str">
        <f>IF([1]!BANCO10[[#This Row],[SOLUÇÃO]]=CH$1,[1]!BANCO10[[#This Row],[STATUS DA ETAPA]],"")</f>
        <v>CONCLUÍDO</v>
      </c>
      <c r="CI714" s="21" t="str">
        <f>IF([1]!BANCO10[[#This Row],[SOLUÇÃO]]=CI$1,[1]!BANCO10[[#This Row],[STATUS DA ETAPA]],"")</f>
        <v/>
      </c>
      <c r="CJ714" s="21" t="str">
        <f>IF([1]!BANCO10[[#This Row],[SOLUÇÃO]]=CJ$1,[1]!BANCO10[[#This Row],[STATUS DA ETAPA]],"")</f>
        <v/>
      </c>
      <c r="CK714" s="21" t="str">
        <f>IF([1]!BANCO10[[#This Row],[SOLUÇÃO]]=CK$1,[1]!BANCO10[[#This Row],[STATUS DA ETAPA]],"")</f>
        <v/>
      </c>
      <c r="CL714" s="22" t="str">
        <f>IF([1]!BANCO10[[#This Row],[SOLUÇÃO]]=CL$1,[1]!BANCO10[[#This Row],[STATUS DA ETAPA]],"")</f>
        <v/>
      </c>
      <c r="CM714" s="64" t="str">
        <f>IF([1]!BANCO10[[#This Row],[SOLUÇÃO]]=CM$1,[1]!BANCO10[[#This Row],[STATUS DA ETAPA]],"")</f>
        <v/>
      </c>
      <c r="CN714" s="64" t="str">
        <f>IF([1]!BANCO10[[#This Row],[SOLUÇÃO]]=CN$1,[1]!BANCO10[[#This Row],[STATUS DA ETAPA]],"")</f>
        <v/>
      </c>
      <c r="CO714" s="64" t="str">
        <f>IF([1]!BANCO10[[#This Row],[SOLUÇÃO]]=CO$1,[1]!BANCO10[[#This Row],[STATUS DA ETAPA]],"")</f>
        <v/>
      </c>
      <c r="CP714" s="64" t="str">
        <f>IF([1]!BANCO10[[#This Row],[SOLUÇÃO]]=CP$1,[1]!BANCO10[[#This Row],[STATUS DA ETAPA]],"")</f>
        <v/>
      </c>
      <c r="CQ714" s="64" t="str">
        <f>IF([1]!BANCO10[[#This Row],[SOLUÇÃO]]=CQ$1,[1]!BANCO10[[#This Row],[STATUS DA ETAPA]],"")</f>
        <v/>
      </c>
      <c r="CR714" s="64" t="str">
        <f>IF([1]!BANCO10[[#This Row],[SOLUÇÃO]]=CR$1,[1]!BANCO10[[#This Row],[STATUS DA ETAPA]],"")</f>
        <v/>
      </c>
      <c r="CS714" s="64" t="str">
        <f>IF([1]!BANCO10[[#This Row],[SOLUÇÃO]]=CS$1,[1]!BANCO10[[#This Row],[STATUS DA ETAPA]],"")</f>
        <v/>
      </c>
      <c r="CT714" s="64" t="str">
        <f>IF([1]!BANCO10[[#This Row],[SOLUÇÃO]]=CT$1,[1]!BANCO10[[#This Row],[STATUS DA ETAPA]],"")</f>
        <v/>
      </c>
      <c r="CU714" s="64" t="str">
        <f>IF([1]!BANCO10[[#This Row],[SOLUÇÃO]]=CU$1,[1]!BANCO10[[#This Row],[STATUS DA ETAPA]],"")</f>
        <v/>
      </c>
      <c r="CV714" s="64" t="str">
        <f>IF([1]!BANCO10[[#This Row],[SOLUÇÃO]]=CV$1,[1]!BANCO10[[#This Row],[STATUS DA ETAPA]],"")</f>
        <v/>
      </c>
    </row>
    <row r="715" spans="1:100">
      <c r="A715" s="44" t="s">
        <v>1</v>
      </c>
      <c r="B715" s="44"/>
      <c r="C715" s="44" t="s">
        <v>1</v>
      </c>
      <c r="D715" s="44"/>
      <c r="E715" s="44" t="s">
        <v>1</v>
      </c>
      <c r="F715" s="44"/>
      <c r="G715" s="44" t="s">
        <v>1</v>
      </c>
      <c r="H715" s="44"/>
      <c r="I715" s="45" t="s">
        <v>1</v>
      </c>
      <c r="J715" s="46"/>
      <c r="K715" s="45" t="s">
        <v>1</v>
      </c>
      <c r="L715" s="33"/>
      <c r="M715" s="45" t="s">
        <v>1</v>
      </c>
      <c r="N715" s="33"/>
      <c r="O715" s="44"/>
      <c r="P715" s="44"/>
      <c r="Q715" s="44"/>
      <c r="R715" s="44"/>
      <c r="S715" s="44"/>
      <c r="T715" s="44"/>
      <c r="U715" s="44" t="s">
        <v>1</v>
      </c>
      <c r="V715" s="44"/>
      <c r="W715" s="44" t="s">
        <v>1</v>
      </c>
      <c r="X715" s="44"/>
      <c r="Y715" s="44" t="s">
        <v>1</v>
      </c>
      <c r="Z715" s="44"/>
      <c r="AA715" s="44" t="s">
        <v>1</v>
      </c>
      <c r="AB715" s="44"/>
      <c r="AC715" s="51">
        <v>45963</v>
      </c>
      <c r="AD715" s="50">
        <v>45963</v>
      </c>
      <c r="AE715" s="54"/>
      <c r="AF715" s="41"/>
      <c r="AG715" s="40" t="s">
        <v>5</v>
      </c>
      <c r="AH715" s="36" t="s">
        <v>0</v>
      </c>
      <c r="AI715" s="49">
        <v>0</v>
      </c>
      <c r="AJ715" s="36"/>
      <c r="AK715" s="10" t="s">
        <v>30</v>
      </c>
      <c r="AL715" s="36" t="s">
        <v>30</v>
      </c>
      <c r="AM715" s="36" t="s">
        <v>30</v>
      </c>
      <c r="AN715" s="35" t="s">
        <v>1</v>
      </c>
      <c r="AO715" s="35" t="s">
        <v>1</v>
      </c>
      <c r="AP715" s="35"/>
      <c r="AQ715" s="35" t="s">
        <v>1</v>
      </c>
      <c r="AR715" s="33" t="s">
        <v>1</v>
      </c>
      <c r="AS715" s="33"/>
      <c r="AT715" s="32"/>
      <c r="AU715" s="31"/>
      <c r="AV715" s="32"/>
      <c r="AW715" s="31"/>
      <c r="AX715" s="30" t="s">
        <v>0</v>
      </c>
      <c r="AY715" s="29"/>
      <c r="AZ715" s="28" t="s">
        <v>0</v>
      </c>
      <c r="BA715" s="81"/>
      <c r="BB715" s="39"/>
      <c r="BC715" s="25"/>
      <c r="BD715" s="24"/>
      <c r="BE715" s="24"/>
      <c r="BF715" s="79"/>
      <c r="BG715" s="79"/>
      <c r="BH715" s="80"/>
      <c r="BI715" s="79"/>
      <c r="BJ715" s="54"/>
      <c r="BK715" s="78"/>
      <c r="BL715" s="69">
        <v>45412</v>
      </c>
      <c r="BM715" s="78"/>
      <c r="BN715" s="78" t="s">
        <v>11</v>
      </c>
      <c r="BO715" s="78"/>
      <c r="BP715" s="78" t="s">
        <v>170</v>
      </c>
      <c r="BQ715" s="21">
        <f>YEAR([1]!BANCO10[[#This Row],[DATA INÍCIO]])</f>
        <v>2025</v>
      </c>
      <c r="BR715" s="21">
        <f>MONTH([1]!BANCO10[[#This Row],[DATA INÍCIO]])</f>
        <v>11</v>
      </c>
      <c r="BS715" s="21" t="e">
        <f>CONCATENATE(#REF!,#REF!)</f>
        <v>#REF!</v>
      </c>
      <c r="BT715" s="21"/>
      <c r="BU715" s="21" t="s">
        <v>30</v>
      </c>
      <c r="BV715" s="21" t="str">
        <f>IF([1]!BANCO10[[#This Row],[SOLUÇÃO]]=BV$1,[1]!BANCO10[[#This Row],[STATUS DA ETAPA]],"")</f>
        <v/>
      </c>
      <c r="BW715" s="21" t="str">
        <f>IF([1]!BANCO10[[#This Row],[SOLUÇÃO]]=BW$1,[1]!BANCO10[[#This Row],[STATUS DA ETAPA]],"")</f>
        <v/>
      </c>
      <c r="BX715" s="21" t="str">
        <f>IF([1]!BANCO10[[#This Row],[SOLUÇÃO]]=BX$1,[1]!BANCO10[[#This Row],[STATUS DA ETAPA]],"")</f>
        <v/>
      </c>
      <c r="BY715" s="21" t="str">
        <f>IF([1]!BANCO10[[#This Row],[SOLUÇÃO]]=BY$1,[1]!BANCO10[[#This Row],[STATUS DA ETAPA]],"")</f>
        <v/>
      </c>
      <c r="BZ715" s="21" t="str">
        <f>IF([1]!BANCO10[[#This Row],[SOLUÇÃO]]=BZ$1,[1]!BANCO10[[#This Row],[STATUS DA ETAPA]],"")</f>
        <v/>
      </c>
      <c r="CA715" s="21" t="str">
        <f>IF([1]!BANCO10[[#This Row],[SOLUÇÃO]]=CA$1,[1]!BANCO10[[#This Row],[STATUS DA ETAPA]],"")</f>
        <v/>
      </c>
      <c r="CB715" s="21" t="str">
        <f>IF([1]!BANCO10[[#This Row],[SOLUÇÃO]]=CB$1,[1]!BANCO10[[#This Row],[STATUS DA ETAPA]],"")</f>
        <v/>
      </c>
      <c r="CC715" s="21" t="str">
        <f>IF([1]!BANCO10[[#This Row],[SOLUÇÃO]]=CC$1,[1]!BANCO10[[#This Row],[STATUS DA ETAPA]],"")</f>
        <v/>
      </c>
      <c r="CD715" s="21" t="str">
        <f>IF([1]!BANCO10[[#This Row],[SOLUÇÃO]]=CD$1,[1]!BANCO10[[#This Row],[STATUS DA ETAPA]],"")</f>
        <v/>
      </c>
      <c r="CE715" s="21" t="str">
        <f>IF([1]!BANCO10[[#This Row],[SOLUÇÃO]]=CE$1,[1]!BANCO10[[#This Row],[STATUS DA ETAPA]],"")</f>
        <v/>
      </c>
      <c r="CF715" s="21" t="str">
        <f>IF([1]!BANCO10[[#This Row],[SOLUÇÃO]]=CF$1,[1]!BANCO10[[#This Row],[STATUS DA ETAPA]],"")</f>
        <v/>
      </c>
      <c r="CG715" s="21" t="str">
        <f>IF([1]!BANCO10[[#This Row],[SOLUÇÃO]]=CG$1,[1]!BANCO10[[#This Row],[STATUS DA ETAPA]],"")</f>
        <v/>
      </c>
      <c r="CH715" s="21" t="str">
        <f>IF([1]!BANCO10[[#This Row],[SOLUÇÃO]]=CH$1,[1]!BANCO10[[#This Row],[STATUS DA ETAPA]],"")</f>
        <v/>
      </c>
      <c r="CI715" s="21" t="str">
        <f>IF([1]!BANCO10[[#This Row],[SOLUÇÃO]]=CI$1,[1]!BANCO10[[#This Row],[STATUS DA ETAPA]],"")</f>
        <v/>
      </c>
      <c r="CJ715" s="21" t="str">
        <f>IF([1]!BANCO10[[#This Row],[SOLUÇÃO]]=CJ$1,[1]!BANCO10[[#This Row],[STATUS DA ETAPA]],"")</f>
        <v/>
      </c>
      <c r="CK715" s="21" t="str">
        <f>IF([1]!BANCO10[[#This Row],[SOLUÇÃO]]=CK$1,[1]!BANCO10[[#This Row],[STATUS DA ETAPA]],"")</f>
        <v/>
      </c>
      <c r="CL715" s="22" t="str">
        <f>IF([1]!BANCO10[[#This Row],[SOLUÇÃO]]=CL$1,[1]!BANCO10[[#This Row],[STATUS DA ETAPA]],"")</f>
        <v/>
      </c>
      <c r="CM715" s="64" t="str">
        <f>IF([1]!BANCO10[[#This Row],[SOLUÇÃO]]=CM$1,[1]!BANCO10[[#This Row],[STATUS DA ETAPA]],"")</f>
        <v/>
      </c>
      <c r="CN715" s="64" t="str">
        <f>IF([1]!BANCO10[[#This Row],[SOLUÇÃO]]=CN$1,[1]!BANCO10[[#This Row],[STATUS DA ETAPA]],"")</f>
        <v/>
      </c>
      <c r="CO715" s="64" t="str">
        <f>IF([1]!BANCO10[[#This Row],[SOLUÇÃO]]=CO$1,[1]!BANCO10[[#This Row],[STATUS DA ETAPA]],"")</f>
        <v/>
      </c>
      <c r="CP715" s="64" t="str">
        <f>IF([1]!BANCO10[[#This Row],[SOLUÇÃO]]=CP$1,[1]!BANCO10[[#This Row],[STATUS DA ETAPA]],"")</f>
        <v/>
      </c>
      <c r="CQ715" s="64" t="str">
        <f>IF([1]!BANCO10[[#This Row],[SOLUÇÃO]]=CQ$1,[1]!BANCO10[[#This Row],[STATUS DA ETAPA]],"")</f>
        <v>PROSPECÇÃO</v>
      </c>
      <c r="CR715" s="64" t="str">
        <f>IF([1]!BANCO10[[#This Row],[SOLUÇÃO]]=CR$1,[1]!BANCO10[[#This Row],[STATUS DA ETAPA]],"")</f>
        <v/>
      </c>
      <c r="CS715" s="64" t="str">
        <f>IF([1]!BANCO10[[#This Row],[SOLUÇÃO]]=CS$1,[1]!BANCO10[[#This Row],[STATUS DA ETAPA]],"")</f>
        <v/>
      </c>
      <c r="CT715" s="64" t="str">
        <f>IF([1]!BANCO10[[#This Row],[SOLUÇÃO]]=CT$1,[1]!BANCO10[[#This Row],[STATUS DA ETAPA]],"")</f>
        <v/>
      </c>
      <c r="CU715" s="64" t="str">
        <f>IF([1]!BANCO10[[#This Row],[SOLUÇÃO]]=CU$1,[1]!BANCO10[[#This Row],[STATUS DA ETAPA]],"")</f>
        <v/>
      </c>
      <c r="CV715" s="64" t="str">
        <f>IF([1]!BANCO10[[#This Row],[SOLUÇÃO]]=CV$1,[1]!BANCO10[[#This Row],[STATUS DA ETAPA]],"")</f>
        <v/>
      </c>
    </row>
    <row r="716" spans="1:100">
      <c r="A716" s="44" t="s">
        <v>1</v>
      </c>
      <c r="B716" s="44"/>
      <c r="C716" s="44" t="s">
        <v>1</v>
      </c>
      <c r="D716" s="44"/>
      <c r="E716" s="44" t="s">
        <v>1</v>
      </c>
      <c r="F716" s="44"/>
      <c r="G716" s="44" t="s">
        <v>1</v>
      </c>
      <c r="H716" s="44"/>
      <c r="I716" s="45" t="s">
        <v>1</v>
      </c>
      <c r="J716" s="46"/>
      <c r="K716" s="45" t="s">
        <v>1</v>
      </c>
      <c r="L716" s="33"/>
      <c r="M716" s="45" t="s">
        <v>1</v>
      </c>
      <c r="N716" s="33"/>
      <c r="O716" s="44"/>
      <c r="P716" s="44"/>
      <c r="Q716" s="44"/>
      <c r="R716" s="44"/>
      <c r="S716" s="44"/>
      <c r="T716" s="44"/>
      <c r="U716" s="44" t="s">
        <v>1</v>
      </c>
      <c r="V716" s="44"/>
      <c r="W716" s="44" t="s">
        <v>1</v>
      </c>
      <c r="X716" s="44"/>
      <c r="Y716" s="44" t="s">
        <v>1</v>
      </c>
      <c r="Z716" s="44"/>
      <c r="AA716" s="44" t="s">
        <v>1</v>
      </c>
      <c r="AB716" s="44"/>
      <c r="AC716" s="51">
        <v>45963</v>
      </c>
      <c r="AD716" s="50">
        <v>45963</v>
      </c>
      <c r="AE716" s="54"/>
      <c r="AF716" s="41"/>
      <c r="AG716" s="40" t="s">
        <v>5</v>
      </c>
      <c r="AH716" s="36" t="s">
        <v>0</v>
      </c>
      <c r="AI716" s="49">
        <v>0</v>
      </c>
      <c r="AJ716" s="36"/>
      <c r="AK716" s="10" t="s">
        <v>30</v>
      </c>
      <c r="AL716" s="36" t="s">
        <v>30</v>
      </c>
      <c r="AM716" s="36" t="s">
        <v>30</v>
      </c>
      <c r="AN716" s="35" t="s">
        <v>1</v>
      </c>
      <c r="AO716" s="35" t="s">
        <v>1</v>
      </c>
      <c r="AP716" s="35"/>
      <c r="AQ716" s="35" t="s">
        <v>1</v>
      </c>
      <c r="AR716" s="33" t="s">
        <v>1</v>
      </c>
      <c r="AS716" s="33"/>
      <c r="AT716" s="32"/>
      <c r="AU716" s="31"/>
      <c r="AV716" s="32"/>
      <c r="AW716" s="31"/>
      <c r="AX716" s="30" t="s">
        <v>0</v>
      </c>
      <c r="AY716" s="29"/>
      <c r="AZ716" s="28" t="s">
        <v>0</v>
      </c>
      <c r="BA716" s="81"/>
      <c r="BB716" s="39"/>
      <c r="BC716" s="25"/>
      <c r="BD716" s="24"/>
      <c r="BE716" s="24"/>
      <c r="BF716" s="79"/>
      <c r="BG716" s="79"/>
      <c r="BH716" s="80"/>
      <c r="BI716" s="79"/>
      <c r="BJ716" s="54"/>
      <c r="BK716" s="78"/>
      <c r="BL716" s="69">
        <v>45412</v>
      </c>
      <c r="BM716" s="78"/>
      <c r="BN716" s="78" t="s">
        <v>11</v>
      </c>
      <c r="BO716" s="78"/>
      <c r="BP716" s="78" t="s">
        <v>170</v>
      </c>
      <c r="BQ716" s="21">
        <f>YEAR([1]!BANCO10[[#This Row],[DATA INÍCIO]])</f>
        <v>2025</v>
      </c>
      <c r="BR716" s="21">
        <f>MONTH([1]!BANCO10[[#This Row],[DATA INÍCIO]])</f>
        <v>11</v>
      </c>
      <c r="BS716" s="21" t="e">
        <f>CONCATENATE(#REF!,#REF!)</f>
        <v>#REF!</v>
      </c>
      <c r="BT716" s="21"/>
      <c r="BU716" s="21" t="s">
        <v>30</v>
      </c>
      <c r="BV716" s="21" t="str">
        <f>IF([1]!BANCO10[[#This Row],[SOLUÇÃO]]=BV$1,[1]!BANCO10[[#This Row],[STATUS DA ETAPA]],"")</f>
        <v/>
      </c>
      <c r="BW716" s="21" t="str">
        <f>IF([1]!BANCO10[[#This Row],[SOLUÇÃO]]=BW$1,[1]!BANCO10[[#This Row],[STATUS DA ETAPA]],"")</f>
        <v/>
      </c>
      <c r="BX716" s="21" t="str">
        <f>IF([1]!BANCO10[[#This Row],[SOLUÇÃO]]=BX$1,[1]!BANCO10[[#This Row],[STATUS DA ETAPA]],"")</f>
        <v/>
      </c>
      <c r="BY716" s="21" t="str">
        <f>IF([1]!BANCO10[[#This Row],[SOLUÇÃO]]=BY$1,[1]!BANCO10[[#This Row],[STATUS DA ETAPA]],"")</f>
        <v/>
      </c>
      <c r="BZ716" s="21" t="str">
        <f>IF([1]!BANCO10[[#This Row],[SOLUÇÃO]]=BZ$1,[1]!BANCO10[[#This Row],[STATUS DA ETAPA]],"")</f>
        <v/>
      </c>
      <c r="CA716" s="21" t="str">
        <f>IF([1]!BANCO10[[#This Row],[SOLUÇÃO]]=CA$1,[1]!BANCO10[[#This Row],[STATUS DA ETAPA]],"")</f>
        <v/>
      </c>
      <c r="CB716" s="21" t="str">
        <f>IF([1]!BANCO10[[#This Row],[SOLUÇÃO]]=CB$1,[1]!BANCO10[[#This Row],[STATUS DA ETAPA]],"")</f>
        <v/>
      </c>
      <c r="CC716" s="21" t="str">
        <f>IF([1]!BANCO10[[#This Row],[SOLUÇÃO]]=CC$1,[1]!BANCO10[[#This Row],[STATUS DA ETAPA]],"")</f>
        <v/>
      </c>
      <c r="CD716" s="21" t="str">
        <f>IF([1]!BANCO10[[#This Row],[SOLUÇÃO]]=CD$1,[1]!BANCO10[[#This Row],[STATUS DA ETAPA]],"")</f>
        <v/>
      </c>
      <c r="CE716" s="21" t="str">
        <f>IF([1]!BANCO10[[#This Row],[SOLUÇÃO]]=CE$1,[1]!BANCO10[[#This Row],[STATUS DA ETAPA]],"")</f>
        <v/>
      </c>
      <c r="CF716" s="21" t="str">
        <f>IF([1]!BANCO10[[#This Row],[SOLUÇÃO]]=CF$1,[1]!BANCO10[[#This Row],[STATUS DA ETAPA]],"")</f>
        <v/>
      </c>
      <c r="CG716" s="21" t="str">
        <f>IF([1]!BANCO10[[#This Row],[SOLUÇÃO]]=CG$1,[1]!BANCO10[[#This Row],[STATUS DA ETAPA]],"")</f>
        <v/>
      </c>
      <c r="CH716" s="21" t="str">
        <f>IF([1]!BANCO10[[#This Row],[SOLUÇÃO]]=CH$1,[1]!BANCO10[[#This Row],[STATUS DA ETAPA]],"")</f>
        <v/>
      </c>
      <c r="CI716" s="21" t="str">
        <f>IF([1]!BANCO10[[#This Row],[SOLUÇÃO]]=CI$1,[1]!BANCO10[[#This Row],[STATUS DA ETAPA]],"")</f>
        <v/>
      </c>
      <c r="CJ716" s="21" t="str">
        <f>IF([1]!BANCO10[[#This Row],[SOLUÇÃO]]=CJ$1,[1]!BANCO10[[#This Row],[STATUS DA ETAPA]],"")</f>
        <v/>
      </c>
      <c r="CK716" s="21" t="str">
        <f>IF([1]!BANCO10[[#This Row],[SOLUÇÃO]]=CK$1,[1]!BANCO10[[#This Row],[STATUS DA ETAPA]],"")</f>
        <v/>
      </c>
      <c r="CL716" s="22" t="str">
        <f>IF([1]!BANCO10[[#This Row],[SOLUÇÃO]]=CL$1,[1]!BANCO10[[#This Row],[STATUS DA ETAPA]],"")</f>
        <v/>
      </c>
      <c r="CM716" s="64" t="str">
        <f>IF([1]!BANCO10[[#This Row],[SOLUÇÃO]]=CM$1,[1]!BANCO10[[#This Row],[STATUS DA ETAPA]],"")</f>
        <v/>
      </c>
      <c r="CN716" s="64" t="str">
        <f>IF([1]!BANCO10[[#This Row],[SOLUÇÃO]]=CN$1,[1]!BANCO10[[#This Row],[STATUS DA ETAPA]],"")</f>
        <v/>
      </c>
      <c r="CO716" s="64" t="str">
        <f>IF([1]!BANCO10[[#This Row],[SOLUÇÃO]]=CO$1,[1]!BANCO10[[#This Row],[STATUS DA ETAPA]],"")</f>
        <v/>
      </c>
      <c r="CP716" s="64" t="str">
        <f>IF([1]!BANCO10[[#This Row],[SOLUÇÃO]]=CP$1,[1]!BANCO10[[#This Row],[STATUS DA ETAPA]],"")</f>
        <v/>
      </c>
      <c r="CQ716" s="64" t="str">
        <f>IF([1]!BANCO10[[#This Row],[SOLUÇÃO]]=CQ$1,[1]!BANCO10[[#This Row],[STATUS DA ETAPA]],"")</f>
        <v/>
      </c>
      <c r="CR716" s="64" t="str">
        <f>IF([1]!BANCO10[[#This Row],[SOLUÇÃO]]=CR$1,[1]!BANCO10[[#This Row],[STATUS DA ETAPA]],"")</f>
        <v>PROSPECÇÃO</v>
      </c>
      <c r="CS716" s="64" t="str">
        <f>IF([1]!BANCO10[[#This Row],[SOLUÇÃO]]=CS$1,[1]!BANCO10[[#This Row],[STATUS DA ETAPA]],"")</f>
        <v/>
      </c>
      <c r="CT716" s="64" t="str">
        <f>IF([1]!BANCO10[[#This Row],[SOLUÇÃO]]=CT$1,[1]!BANCO10[[#This Row],[STATUS DA ETAPA]],"")</f>
        <v/>
      </c>
      <c r="CU716" s="64" t="str">
        <f>IF([1]!BANCO10[[#This Row],[SOLUÇÃO]]=CU$1,[1]!BANCO10[[#This Row],[STATUS DA ETAPA]],"")</f>
        <v/>
      </c>
      <c r="CV716" s="64" t="str">
        <f>IF([1]!BANCO10[[#This Row],[SOLUÇÃO]]=CV$1,[1]!BANCO10[[#This Row],[STATUS DA ETAPA]],"")</f>
        <v/>
      </c>
    </row>
    <row r="717" spans="1:100">
      <c r="A717" s="44" t="s">
        <v>1</v>
      </c>
      <c r="B717" s="44"/>
      <c r="C717" s="44" t="s">
        <v>1</v>
      </c>
      <c r="D717" s="44"/>
      <c r="E717" s="44" t="s">
        <v>1</v>
      </c>
      <c r="F717" s="44"/>
      <c r="G717" s="44" t="s">
        <v>1</v>
      </c>
      <c r="H717" s="44"/>
      <c r="I717" s="45" t="s">
        <v>1</v>
      </c>
      <c r="J717" s="46"/>
      <c r="K717" s="45" t="s">
        <v>1</v>
      </c>
      <c r="L717" s="33"/>
      <c r="M717" s="45" t="s">
        <v>1</v>
      </c>
      <c r="N717" s="33"/>
      <c r="O717" s="44" t="s">
        <v>1</v>
      </c>
      <c r="P717" s="44"/>
      <c r="Q717" s="44" t="s">
        <v>1</v>
      </c>
      <c r="R717" s="44"/>
      <c r="S717" s="44" t="s">
        <v>1</v>
      </c>
      <c r="T717" s="44"/>
      <c r="U717" s="44" t="s">
        <v>1</v>
      </c>
      <c r="V717" s="44"/>
      <c r="W717" s="44" t="s">
        <v>1</v>
      </c>
      <c r="X717" s="44"/>
      <c r="Y717" s="44" t="s">
        <v>1</v>
      </c>
      <c r="Z717" s="44"/>
      <c r="AA717" s="44" t="s">
        <v>1</v>
      </c>
      <c r="AB717" s="44"/>
      <c r="AC717" s="51">
        <v>45453</v>
      </c>
      <c r="AD717" s="50">
        <v>45453</v>
      </c>
      <c r="AE717" s="54" t="s">
        <v>1</v>
      </c>
      <c r="AF717" s="41" t="s">
        <v>1</v>
      </c>
      <c r="AG717" s="40" t="s">
        <v>5</v>
      </c>
      <c r="AH717" s="36" t="s">
        <v>1</v>
      </c>
      <c r="AI717" s="49">
        <v>0</v>
      </c>
      <c r="AJ717" s="36" t="s">
        <v>1</v>
      </c>
      <c r="AK717" s="10" t="s">
        <v>1</v>
      </c>
      <c r="AL717" s="36" t="s">
        <v>1</v>
      </c>
      <c r="AM717" s="36" t="s">
        <v>1</v>
      </c>
      <c r="AN717" s="35" t="s">
        <v>1</v>
      </c>
      <c r="AO717" s="35" t="s">
        <v>1</v>
      </c>
      <c r="AP717" s="35" t="s">
        <v>1</v>
      </c>
      <c r="AQ717" s="35" t="s">
        <v>1</v>
      </c>
      <c r="AR717" s="48" t="s">
        <v>1</v>
      </c>
      <c r="AS717" s="33"/>
      <c r="AT717" s="30"/>
      <c r="AU717" s="55"/>
      <c r="AV717" s="30"/>
      <c r="AW717" s="55"/>
      <c r="AX717" s="30" t="s">
        <v>1</v>
      </c>
      <c r="AY717" s="55"/>
      <c r="AZ717" s="30" t="s">
        <v>1</v>
      </c>
      <c r="BA717" s="91"/>
      <c r="BB717" s="39"/>
      <c r="BC717" s="25"/>
      <c r="BD717" s="24"/>
      <c r="BE717" s="24"/>
      <c r="BF717" s="79"/>
      <c r="BG717" s="79"/>
      <c r="BH717" s="80"/>
      <c r="BI717" s="79"/>
      <c r="BJ717" s="54"/>
      <c r="BK717" s="78"/>
      <c r="BL717" s="69"/>
      <c r="BM717" s="78"/>
      <c r="BN717" s="78"/>
      <c r="BO717" s="78"/>
      <c r="BP717" s="78"/>
      <c r="BQ717" s="21">
        <f>YEAR([1]!BANCO10[[#This Row],[DATA INÍCIO]])</f>
        <v>2024</v>
      </c>
      <c r="BR717" s="21">
        <f>MONTH([1]!BANCO10[[#This Row],[DATA INÍCIO]])</f>
        <v>6</v>
      </c>
      <c r="BS717" s="21" t="e">
        <f>CONCATENATE(#REF!,#REF!)</f>
        <v>#REF!</v>
      </c>
      <c r="BT717" s="21"/>
      <c r="BU717" s="21" t="s">
        <v>169</v>
      </c>
      <c r="BV717" s="21" t="str">
        <f>IF([1]!BANCO10[[#This Row],[SOLUÇÃO]]=BV$1,[1]!BANCO10[[#This Row],[STATUS DA ETAPA]],"")</f>
        <v>CONCLUÍDO</v>
      </c>
      <c r="BW717" s="21" t="str">
        <f>IF([1]!BANCO10[[#This Row],[SOLUÇÃO]]=BW$1,[1]!BANCO10[[#This Row],[STATUS DA ETAPA]],"")</f>
        <v/>
      </c>
      <c r="BX717" s="21" t="str">
        <f>IF([1]!BANCO10[[#This Row],[SOLUÇÃO]]=BX$1,[1]!BANCO10[[#This Row],[STATUS DA ETAPA]],"")</f>
        <v/>
      </c>
      <c r="BY717" s="21" t="str">
        <f>IF([1]!BANCO10[[#This Row],[SOLUÇÃO]]=BY$1,[1]!BANCO10[[#This Row],[STATUS DA ETAPA]],"")</f>
        <v/>
      </c>
      <c r="BZ717" s="21" t="str">
        <f>IF([1]!BANCO10[[#This Row],[SOLUÇÃO]]=BZ$1,[1]!BANCO10[[#This Row],[STATUS DA ETAPA]],"")</f>
        <v/>
      </c>
      <c r="CA717" s="21" t="str">
        <f>IF([1]!BANCO10[[#This Row],[SOLUÇÃO]]=CA$1,[1]!BANCO10[[#This Row],[STATUS DA ETAPA]],"")</f>
        <v/>
      </c>
      <c r="CB717" s="21" t="str">
        <f>IF([1]!BANCO10[[#This Row],[SOLUÇÃO]]=CB$1,[1]!BANCO10[[#This Row],[STATUS DA ETAPA]],"")</f>
        <v/>
      </c>
      <c r="CC717" s="21" t="str">
        <f>IF([1]!BANCO10[[#This Row],[SOLUÇÃO]]=CC$1,[1]!BANCO10[[#This Row],[STATUS DA ETAPA]],"")</f>
        <v/>
      </c>
      <c r="CD717" s="21" t="str">
        <f>IF([1]!BANCO10[[#This Row],[SOLUÇÃO]]=CD$1,[1]!BANCO10[[#This Row],[STATUS DA ETAPA]],"")</f>
        <v/>
      </c>
      <c r="CE717" s="21" t="str">
        <f>IF([1]!BANCO10[[#This Row],[SOLUÇÃO]]=CE$1,[1]!BANCO10[[#This Row],[STATUS DA ETAPA]],"")</f>
        <v/>
      </c>
      <c r="CF717" s="21" t="str">
        <f>IF([1]!BANCO10[[#This Row],[SOLUÇÃO]]=CF$1,[1]!BANCO10[[#This Row],[STATUS DA ETAPA]],"")</f>
        <v/>
      </c>
      <c r="CG717" s="21" t="str">
        <f>IF([1]!BANCO10[[#This Row],[SOLUÇÃO]]=CG$1,[1]!BANCO10[[#This Row],[STATUS DA ETAPA]],"")</f>
        <v/>
      </c>
      <c r="CH717" s="21" t="str">
        <f>IF([1]!BANCO10[[#This Row],[SOLUÇÃO]]=CH$1,[1]!BANCO10[[#This Row],[STATUS DA ETAPA]],"")</f>
        <v/>
      </c>
      <c r="CI717" s="21" t="str">
        <f>IF([1]!BANCO10[[#This Row],[SOLUÇÃO]]=CI$1,[1]!BANCO10[[#This Row],[STATUS DA ETAPA]],"")</f>
        <v/>
      </c>
      <c r="CJ717" s="21" t="str">
        <f>IF([1]!BANCO10[[#This Row],[SOLUÇÃO]]=CJ$1,[1]!BANCO10[[#This Row],[STATUS DA ETAPA]],"")</f>
        <v/>
      </c>
      <c r="CK717" s="21" t="str">
        <f>IF([1]!BANCO10[[#This Row],[SOLUÇÃO]]=CK$1,[1]!BANCO10[[#This Row],[STATUS DA ETAPA]],"")</f>
        <v/>
      </c>
      <c r="CL717" s="22" t="str">
        <f>IF([1]!BANCO10[[#This Row],[SOLUÇÃO]]=CL$1,[1]!BANCO10[[#This Row],[STATUS DA ETAPA]],"")</f>
        <v/>
      </c>
      <c r="CM717" s="64" t="str">
        <f>IF([1]!BANCO10[[#This Row],[SOLUÇÃO]]=CM$1,[1]!BANCO10[[#This Row],[STATUS DA ETAPA]],"")</f>
        <v/>
      </c>
      <c r="CN717" s="64" t="str">
        <f>IF([1]!BANCO10[[#This Row],[SOLUÇÃO]]=CN$1,[1]!BANCO10[[#This Row],[STATUS DA ETAPA]],"")</f>
        <v/>
      </c>
      <c r="CO717" s="64" t="str">
        <f>IF([1]!BANCO10[[#This Row],[SOLUÇÃO]]=CO$1,[1]!BANCO10[[#This Row],[STATUS DA ETAPA]],"")</f>
        <v/>
      </c>
      <c r="CP717" s="64" t="str">
        <f>IF([1]!BANCO10[[#This Row],[SOLUÇÃO]]=CP$1,[1]!BANCO10[[#This Row],[STATUS DA ETAPA]],"")</f>
        <v/>
      </c>
      <c r="CQ717" s="64" t="str">
        <f>IF([1]!BANCO10[[#This Row],[SOLUÇÃO]]=CQ$1,[1]!BANCO10[[#This Row],[STATUS DA ETAPA]],"")</f>
        <v/>
      </c>
      <c r="CR717" s="64" t="str">
        <f>IF([1]!BANCO10[[#This Row],[SOLUÇÃO]]=CR$1,[1]!BANCO10[[#This Row],[STATUS DA ETAPA]],"")</f>
        <v/>
      </c>
      <c r="CS717" s="64" t="str">
        <f>IF([1]!BANCO10[[#This Row],[SOLUÇÃO]]=CS$1,[1]!BANCO10[[#This Row],[STATUS DA ETAPA]],"")</f>
        <v/>
      </c>
      <c r="CT717" s="64" t="str">
        <f>IF([1]!BANCO10[[#This Row],[SOLUÇÃO]]=CT$1,[1]!BANCO10[[#This Row],[STATUS DA ETAPA]],"")</f>
        <v/>
      </c>
      <c r="CU717" s="64" t="str">
        <f>IF([1]!BANCO10[[#This Row],[SOLUÇÃO]]=CU$1,[1]!BANCO10[[#This Row],[STATUS DA ETAPA]],"")</f>
        <v/>
      </c>
      <c r="CV717" s="64" t="str">
        <f>IF([1]!BANCO10[[#This Row],[SOLUÇÃO]]=CV$1,[1]!BANCO10[[#This Row],[STATUS DA ETAPA]],"")</f>
        <v/>
      </c>
    </row>
    <row r="718" spans="1:100">
      <c r="A718" s="44" t="s">
        <v>1</v>
      </c>
      <c r="B718" s="44"/>
      <c r="C718" s="44" t="s">
        <v>1</v>
      </c>
      <c r="D718" s="44"/>
      <c r="E718" s="44" t="s">
        <v>1</v>
      </c>
      <c r="F718" s="44"/>
      <c r="G718" s="44" t="s">
        <v>1</v>
      </c>
      <c r="H718" s="44"/>
      <c r="I718" s="45" t="s">
        <v>1</v>
      </c>
      <c r="J718" s="46"/>
      <c r="K718" s="45" t="s">
        <v>1</v>
      </c>
      <c r="L718" s="33"/>
      <c r="M718" s="45" t="s">
        <v>1</v>
      </c>
      <c r="N718" s="33"/>
      <c r="O718" s="44"/>
      <c r="P718" s="44"/>
      <c r="Q718" s="44" t="s">
        <v>1</v>
      </c>
      <c r="R718" s="44"/>
      <c r="S718" s="44"/>
      <c r="T718" s="44"/>
      <c r="U718" s="44"/>
      <c r="V718" s="44"/>
      <c r="W718" s="44"/>
      <c r="X718" s="44"/>
      <c r="Y718" s="44"/>
      <c r="Z718" s="44"/>
      <c r="AA718" s="44"/>
      <c r="AB718" s="44"/>
      <c r="AC718" s="51">
        <v>45636</v>
      </c>
      <c r="AD718" s="50">
        <v>45636</v>
      </c>
      <c r="AE718" s="54" t="s">
        <v>1</v>
      </c>
      <c r="AF718" s="41" t="s">
        <v>1</v>
      </c>
      <c r="AG718" s="40" t="s">
        <v>4</v>
      </c>
      <c r="AH718" s="36" t="s">
        <v>0</v>
      </c>
      <c r="AI718" s="49">
        <v>0</v>
      </c>
      <c r="AJ718" s="36" t="s">
        <v>1</v>
      </c>
      <c r="AK718" s="10" t="s">
        <v>1</v>
      </c>
      <c r="AL718" s="36" t="s">
        <v>1</v>
      </c>
      <c r="AM718" s="36" t="s">
        <v>1</v>
      </c>
      <c r="AN718" s="35" t="s">
        <v>1</v>
      </c>
      <c r="AO718" s="35" t="s">
        <v>1</v>
      </c>
      <c r="AP718" s="35" t="s">
        <v>1</v>
      </c>
      <c r="AQ718" s="35" t="s">
        <v>2</v>
      </c>
      <c r="AR718" s="33" t="s">
        <v>0</v>
      </c>
      <c r="AS718" s="33"/>
      <c r="AT718" s="30" t="s">
        <v>0</v>
      </c>
      <c r="AU718" s="31"/>
      <c r="AV718" s="30" t="s">
        <v>0</v>
      </c>
      <c r="AW718" s="31"/>
      <c r="AX718" s="30" t="s">
        <v>0</v>
      </c>
      <c r="AY718" s="29"/>
      <c r="AZ718" s="28" t="s">
        <v>0</v>
      </c>
      <c r="BA718" s="81"/>
      <c r="BB718" s="26"/>
      <c r="BC718" s="25"/>
      <c r="BD718" s="24"/>
      <c r="BE718" s="24"/>
      <c r="BF718" s="24"/>
      <c r="BG718" s="24"/>
      <c r="BH718" s="24"/>
      <c r="BI718" s="24"/>
      <c r="BJ718" s="24"/>
      <c r="BK718" s="24"/>
      <c r="BL718" s="24"/>
      <c r="BM718" s="24"/>
      <c r="BN718" s="24"/>
      <c r="BO718" s="24"/>
      <c r="BP718" s="24"/>
      <c r="BQ718" s="22">
        <f>YEAR([1]!BANCO10[[#This Row],[DATA INÍCIO]])</f>
        <v>2024</v>
      </c>
      <c r="BR718" s="22">
        <f>MONTH([1]!BANCO10[[#This Row],[DATA INÍCIO]])</f>
        <v>12</v>
      </c>
      <c r="BS718" s="23" t="e">
        <f>CONCATENATE(#REF!,#REF!)</f>
        <v>#REF!</v>
      </c>
      <c r="BT718" s="22"/>
      <c r="BU718" s="22"/>
      <c r="BV718" s="21" t="str">
        <f>IF([1]!BANCO10[[#This Row],[SOLUÇÃO]]=BV$1,[1]!BANCO10[[#This Row],[STATUS DA ETAPA]],"")</f>
        <v/>
      </c>
      <c r="BW718" s="21" t="str">
        <f>IF([1]!BANCO10[[#This Row],[SOLUÇÃO]]=BW$1,[1]!BANCO10[[#This Row],[STATUS DA ETAPA]],"")</f>
        <v/>
      </c>
      <c r="BX718" s="21" t="str">
        <f>IF([1]!BANCO10[[#This Row],[SOLUÇÃO]]=BX$1,[1]!BANCO10[[#This Row],[STATUS DA ETAPA]],"")</f>
        <v/>
      </c>
      <c r="BY718" s="21" t="str">
        <f>IF([1]!BANCO10[[#This Row],[SOLUÇÃO]]=BY$1,[1]!BANCO10[[#This Row],[STATUS DA ETAPA]],"")</f>
        <v/>
      </c>
      <c r="BZ718" s="21" t="str">
        <f>IF([1]!BANCO10[[#This Row],[SOLUÇÃO]]=BZ$1,[1]!BANCO10[[#This Row],[STATUS DA ETAPA]],"")</f>
        <v/>
      </c>
      <c r="CA718" s="21" t="str">
        <f>IF([1]!BANCO10[[#This Row],[SOLUÇÃO]]=CA$1,[1]!BANCO10[[#This Row],[STATUS DA ETAPA]],"")</f>
        <v/>
      </c>
      <c r="CB718" s="21" t="str">
        <f>IF([1]!BANCO10[[#This Row],[SOLUÇÃO]]=CB$1,[1]!BANCO10[[#This Row],[STATUS DA ETAPA]],"")</f>
        <v/>
      </c>
      <c r="CC718" s="21" t="str">
        <f>IF([1]!BANCO10[[#This Row],[SOLUÇÃO]]=CC$1,[1]!BANCO10[[#This Row],[STATUS DA ETAPA]],"")</f>
        <v/>
      </c>
      <c r="CD718" s="21" t="str">
        <f>IF([1]!BANCO10[[#This Row],[SOLUÇÃO]]=CD$1,[1]!BANCO10[[#This Row],[STATUS DA ETAPA]],"")</f>
        <v/>
      </c>
      <c r="CE718" s="21" t="str">
        <f>IF([1]!BANCO10[[#This Row],[SOLUÇÃO]]=CE$1,[1]!BANCO10[[#This Row],[STATUS DA ETAPA]],"")</f>
        <v/>
      </c>
      <c r="CF718" s="21" t="str">
        <f>IF([1]!BANCO10[[#This Row],[SOLUÇÃO]]=CF$1,[1]!BANCO10[[#This Row],[STATUS DA ETAPA]],"")</f>
        <v/>
      </c>
      <c r="CG718" s="21" t="str">
        <f>IF([1]!BANCO10[[#This Row],[SOLUÇÃO]]=CG$1,[1]!BANCO10[[#This Row],[STATUS DA ETAPA]],"")</f>
        <v/>
      </c>
      <c r="CH718" s="21" t="str">
        <f>IF([1]!BANCO10[[#This Row],[SOLUÇÃO]]=CH$1,[1]!BANCO10[[#This Row],[STATUS DA ETAPA]],"")</f>
        <v/>
      </c>
      <c r="CI718" s="21" t="str">
        <f>IF([1]!BANCO10[[#This Row],[SOLUÇÃO]]=CI$1,[1]!BANCO10[[#This Row],[STATUS DA ETAPA]],"")</f>
        <v/>
      </c>
      <c r="CJ718" s="21" t="str">
        <f>IF([1]!BANCO10[[#This Row],[SOLUÇÃO]]=CJ$1,[1]!BANCO10[[#This Row],[STATUS DA ETAPA]],"")</f>
        <v/>
      </c>
      <c r="CK718" s="21" t="str">
        <f>IF([1]!BANCO10[[#This Row],[SOLUÇÃO]]=CK$1,[1]!BANCO10[[#This Row],[STATUS DA ETAPA]],"")</f>
        <v/>
      </c>
      <c r="CL718" s="21" t="str">
        <f>IF([1]!BANCO10[[#This Row],[SOLUÇÃO]]=CL$1,[1]!BANCO10[[#This Row],[STATUS DA ETAPA]],"")</f>
        <v/>
      </c>
      <c r="CM718" s="21" t="str">
        <f>IF([1]!BANCO10[[#This Row],[SOLUÇÃO]]=CM$1,[1]!BANCO10[[#This Row],[STATUS DA ETAPA]],"")</f>
        <v/>
      </c>
      <c r="CN718" s="21" t="str">
        <f>IF([1]!BANCO10[[#This Row],[SOLUÇÃO]]=CN$1,[1]!BANCO10[[#This Row],[STATUS DA ETAPA]],"")</f>
        <v/>
      </c>
      <c r="CO718" s="21" t="str">
        <f>IF([1]!BANCO10[[#This Row],[SOLUÇÃO]]=CO$1,[1]!BANCO10[[#This Row],[STATUS DA ETAPA]],"")</f>
        <v/>
      </c>
      <c r="CP718" s="21" t="str">
        <f>IF([1]!BANCO10[[#This Row],[SOLUÇÃO]]=CP$1,[1]!BANCO10[[#This Row],[STATUS DA ETAPA]],"")</f>
        <v/>
      </c>
      <c r="CQ718" s="21" t="str">
        <f>IF([1]!BANCO10[[#This Row],[SOLUÇÃO]]=CQ$1,[1]!BANCO10[[#This Row],[STATUS DA ETAPA]],"")</f>
        <v/>
      </c>
      <c r="CR718" s="21" t="str">
        <f>IF([1]!BANCO10[[#This Row],[SOLUÇÃO]]=CR$1,[1]!BANCO10[[#This Row],[STATUS DA ETAPA]],"")</f>
        <v/>
      </c>
      <c r="CS718" s="21" t="str">
        <f>IF([1]!BANCO10[[#This Row],[SOLUÇÃO]]=CS$1,[1]!BANCO10[[#This Row],[STATUS DA ETAPA]],"")</f>
        <v/>
      </c>
      <c r="CT718" s="21" t="str">
        <f>IF([1]!BANCO10[[#This Row],[SOLUÇÃO]]=CT$1,[1]!BANCO10[[#This Row],[STATUS DA ETAPA]],"")</f>
        <v/>
      </c>
      <c r="CU718" s="21" t="str">
        <f>IF([1]!BANCO10[[#This Row],[SOLUÇÃO]]=CU$1,[1]!BANCO10[[#This Row],[STATUS DA ETAPA]],"")</f>
        <v/>
      </c>
      <c r="CV718" s="21" t="str">
        <f>IF([1]!BANCO10[[#This Row],[SOLUÇÃO]]=CV$1,[1]!BANCO10[[#This Row],[STATUS DA ETAPA]],"")</f>
        <v/>
      </c>
    </row>
    <row r="719" spans="1:100">
      <c r="A719" s="44" t="s">
        <v>1</v>
      </c>
      <c r="B719" s="44"/>
      <c r="C719" s="44" t="s">
        <v>1</v>
      </c>
      <c r="D719" s="44"/>
      <c r="E719" s="44" t="s">
        <v>1</v>
      </c>
      <c r="F719" s="44"/>
      <c r="G719" s="44" t="s">
        <v>1</v>
      </c>
      <c r="H719" s="44"/>
      <c r="I719" s="45" t="s">
        <v>1</v>
      </c>
      <c r="J719" s="46"/>
      <c r="K719" s="45" t="s">
        <v>1</v>
      </c>
      <c r="L719" s="33"/>
      <c r="M719" s="45" t="s">
        <v>1</v>
      </c>
      <c r="N719" s="33"/>
      <c r="O719" s="44" t="s">
        <v>2</v>
      </c>
      <c r="P719" s="44">
        <v>45531</v>
      </c>
      <c r="Q719" s="44" t="s">
        <v>2</v>
      </c>
      <c r="R719" s="44">
        <v>45534</v>
      </c>
      <c r="S719" s="44" t="s">
        <v>2</v>
      </c>
      <c r="T719" s="44">
        <v>45463</v>
      </c>
      <c r="U719" s="44" t="s">
        <v>1</v>
      </c>
      <c r="V719" s="44"/>
      <c r="W719" s="44" t="s">
        <v>1</v>
      </c>
      <c r="X719" s="44"/>
      <c r="Y719" s="44" t="s">
        <v>1</v>
      </c>
      <c r="Z719" s="44"/>
      <c r="AA719" s="44" t="s">
        <v>1</v>
      </c>
      <c r="AB719" s="44"/>
      <c r="AC719" s="51">
        <v>45306</v>
      </c>
      <c r="AD719" s="50">
        <v>45771</v>
      </c>
      <c r="AE719" s="54" t="s">
        <v>2</v>
      </c>
      <c r="AF719" s="41" t="s">
        <v>2</v>
      </c>
      <c r="AG719" s="40" t="s">
        <v>5</v>
      </c>
      <c r="AH719" s="36" t="s">
        <v>0</v>
      </c>
      <c r="AI719" s="49">
        <v>0</v>
      </c>
      <c r="AJ719" s="36" t="s">
        <v>6</v>
      </c>
      <c r="AK719" s="10">
        <v>573557</v>
      </c>
      <c r="AL719" s="36" t="s">
        <v>1</v>
      </c>
      <c r="AM719" s="36" t="s">
        <v>1</v>
      </c>
      <c r="AN719" s="35" t="s">
        <v>2</v>
      </c>
      <c r="AO719" s="35" t="s">
        <v>2</v>
      </c>
      <c r="AP719" s="35" t="s">
        <v>2</v>
      </c>
      <c r="AQ719" s="35" t="s">
        <v>2</v>
      </c>
      <c r="AR719" s="33" t="s">
        <v>2</v>
      </c>
      <c r="AS719" s="33">
        <v>45855</v>
      </c>
      <c r="AT719" s="32" t="s">
        <v>1</v>
      </c>
      <c r="AU719" s="31"/>
      <c r="AV719" s="32" t="s">
        <v>1</v>
      </c>
      <c r="AW719" s="31"/>
      <c r="AX719" s="30" t="s">
        <v>2</v>
      </c>
      <c r="AY719" s="29">
        <v>45855</v>
      </c>
      <c r="AZ719" s="28" t="s">
        <v>0</v>
      </c>
      <c r="BA719" s="81"/>
      <c r="BB719" s="95" t="s">
        <v>143</v>
      </c>
      <c r="BC719" s="25" t="s">
        <v>41</v>
      </c>
      <c r="BD719" s="24"/>
      <c r="BE719" s="24"/>
      <c r="BF719" s="79"/>
      <c r="BG719" s="79"/>
      <c r="BH719" s="80"/>
      <c r="BI719" s="79"/>
      <c r="BJ719" s="54"/>
      <c r="BK719" s="78"/>
      <c r="BL719" s="69"/>
      <c r="BM719" s="78"/>
      <c r="BN719" s="78"/>
      <c r="BO719" s="78"/>
      <c r="BP719" s="78"/>
      <c r="BQ719" s="21">
        <f>YEAR([1]!BANCO10[[#This Row],[DATA INÍCIO]])</f>
        <v>2024</v>
      </c>
      <c r="BR719" s="21">
        <f>MONTH([1]!BANCO10[[#This Row],[DATA INÍCIO]])</f>
        <v>1</v>
      </c>
      <c r="BS719" s="21" t="e">
        <f>CONCATENATE(#REF!,#REF!)</f>
        <v>#REF!</v>
      </c>
      <c r="BT719" s="21"/>
      <c r="BU719" s="21"/>
      <c r="BV719" s="21" t="str">
        <f>IF([1]!BANCO10[[#This Row],[SOLUÇÃO]]=BV$1,[1]!BANCO10[[#This Row],[STATUS DA ETAPA]],"")</f>
        <v/>
      </c>
      <c r="BW719" s="21" t="str">
        <f>IF([1]!BANCO10[[#This Row],[SOLUÇÃO]]=BW$1,[1]!BANCO10[[#This Row],[STATUS DA ETAPA]],"")</f>
        <v/>
      </c>
      <c r="BX719" s="21" t="str">
        <f>IF([1]!BANCO10[[#This Row],[SOLUÇÃO]]=BX$1,[1]!BANCO10[[#This Row],[STATUS DA ETAPA]],"")</f>
        <v/>
      </c>
      <c r="BY719" s="21" t="str">
        <f>IF([1]!BANCO10[[#This Row],[SOLUÇÃO]]=BY$1,[1]!BANCO10[[#This Row],[STATUS DA ETAPA]],"")</f>
        <v/>
      </c>
      <c r="BZ719" s="21" t="str">
        <f>IF([1]!BANCO10[[#This Row],[SOLUÇÃO]]=BZ$1,[1]!BANCO10[[#This Row],[STATUS DA ETAPA]],"")</f>
        <v/>
      </c>
      <c r="CA719" s="21" t="str">
        <f>IF([1]!BANCO10[[#This Row],[SOLUÇÃO]]=CA$1,[1]!BANCO10[[#This Row],[STATUS DA ETAPA]],"")</f>
        <v/>
      </c>
      <c r="CB719" s="21" t="str">
        <f>IF([1]!BANCO10[[#This Row],[SOLUÇÃO]]=CB$1,[1]!BANCO10[[#This Row],[STATUS DA ETAPA]],"")</f>
        <v>CONCLUÍDO</v>
      </c>
      <c r="CC719" s="21" t="str">
        <f>IF([1]!BANCO10[[#This Row],[SOLUÇÃO]]=CC$1,[1]!BANCO10[[#This Row],[STATUS DA ETAPA]],"")</f>
        <v/>
      </c>
      <c r="CD719" s="21" t="str">
        <f>IF([1]!BANCO10[[#This Row],[SOLUÇÃO]]=CD$1,[1]!BANCO10[[#This Row],[STATUS DA ETAPA]],"")</f>
        <v/>
      </c>
      <c r="CE719" s="21" t="str">
        <f>IF([1]!BANCO10[[#This Row],[SOLUÇÃO]]=CE$1,[1]!BANCO10[[#This Row],[STATUS DA ETAPA]],"")</f>
        <v/>
      </c>
      <c r="CF719" s="21" t="str">
        <f>IF([1]!BANCO10[[#This Row],[SOLUÇÃO]]=CF$1,[1]!BANCO10[[#This Row],[STATUS DA ETAPA]],"")</f>
        <v/>
      </c>
      <c r="CG719" s="21" t="str">
        <f>IF([1]!BANCO10[[#This Row],[SOLUÇÃO]]=CG$1,[1]!BANCO10[[#This Row],[STATUS DA ETAPA]],"")</f>
        <v/>
      </c>
      <c r="CH719" s="21" t="str">
        <f>IF([1]!BANCO10[[#This Row],[SOLUÇÃO]]=CH$1,[1]!BANCO10[[#This Row],[STATUS DA ETAPA]],"")</f>
        <v/>
      </c>
      <c r="CI719" s="21" t="str">
        <f>IF([1]!BANCO10[[#This Row],[SOLUÇÃO]]=CI$1,[1]!BANCO10[[#This Row],[STATUS DA ETAPA]],"")</f>
        <v/>
      </c>
      <c r="CJ719" s="21" t="str">
        <f>IF([1]!BANCO10[[#This Row],[SOLUÇÃO]]=CJ$1,[1]!BANCO10[[#This Row],[STATUS DA ETAPA]],"")</f>
        <v/>
      </c>
      <c r="CK719" s="21" t="str">
        <f>IF([1]!BANCO10[[#This Row],[SOLUÇÃO]]=CK$1,[1]!BANCO10[[#This Row],[STATUS DA ETAPA]],"")</f>
        <v/>
      </c>
      <c r="CL719" s="22" t="str">
        <f>IF([1]!BANCO10[[#This Row],[SOLUÇÃO]]=CL$1,[1]!BANCO10[[#This Row],[STATUS DA ETAPA]],"")</f>
        <v/>
      </c>
      <c r="CM719" s="64" t="str">
        <f>IF([1]!BANCO10[[#This Row],[SOLUÇÃO]]=CM$1,[1]!BANCO10[[#This Row],[STATUS DA ETAPA]],"")</f>
        <v/>
      </c>
      <c r="CN719" s="64" t="str">
        <f>IF([1]!BANCO10[[#This Row],[SOLUÇÃO]]=CN$1,[1]!BANCO10[[#This Row],[STATUS DA ETAPA]],"")</f>
        <v/>
      </c>
      <c r="CO719" s="64" t="str">
        <f>IF([1]!BANCO10[[#This Row],[SOLUÇÃO]]=CO$1,[1]!BANCO10[[#This Row],[STATUS DA ETAPA]],"")</f>
        <v/>
      </c>
      <c r="CP719" s="64" t="str">
        <f>IF([1]!BANCO10[[#This Row],[SOLUÇÃO]]=CP$1,[1]!BANCO10[[#This Row],[STATUS DA ETAPA]],"")</f>
        <v/>
      </c>
      <c r="CQ719" s="64" t="str">
        <f>IF([1]!BANCO10[[#This Row],[SOLUÇÃO]]=CQ$1,[1]!BANCO10[[#This Row],[STATUS DA ETAPA]],"")</f>
        <v/>
      </c>
      <c r="CR719" s="64" t="str">
        <f>IF([1]!BANCO10[[#This Row],[SOLUÇÃO]]=CR$1,[1]!BANCO10[[#This Row],[STATUS DA ETAPA]],"")</f>
        <v/>
      </c>
      <c r="CS719" s="64" t="str">
        <f>IF([1]!BANCO10[[#This Row],[SOLUÇÃO]]=CS$1,[1]!BANCO10[[#This Row],[STATUS DA ETAPA]],"")</f>
        <v/>
      </c>
      <c r="CT719" s="64" t="str">
        <f>IF([1]!BANCO10[[#This Row],[SOLUÇÃO]]=CT$1,[1]!BANCO10[[#This Row],[STATUS DA ETAPA]],"")</f>
        <v/>
      </c>
      <c r="CU719" s="64" t="str">
        <f>IF([1]!BANCO10[[#This Row],[SOLUÇÃO]]=CU$1,[1]!BANCO10[[#This Row],[STATUS DA ETAPA]],"")</f>
        <v/>
      </c>
      <c r="CV719" s="64" t="str">
        <f>IF([1]!BANCO10[[#This Row],[SOLUÇÃO]]=CV$1,[1]!BANCO10[[#This Row],[STATUS DA ETAPA]],"")</f>
        <v/>
      </c>
    </row>
    <row r="720" spans="1:100">
      <c r="A720" s="44" t="s">
        <v>1</v>
      </c>
      <c r="B720" s="44"/>
      <c r="C720" s="44" t="s">
        <v>1</v>
      </c>
      <c r="D720" s="44"/>
      <c r="E720" s="44" t="s">
        <v>1</v>
      </c>
      <c r="F720" s="44"/>
      <c r="G720" s="44" t="s">
        <v>1</v>
      </c>
      <c r="H720" s="44"/>
      <c r="I720" s="45" t="s">
        <v>1</v>
      </c>
      <c r="J720" s="46"/>
      <c r="K720" s="45" t="s">
        <v>1</v>
      </c>
      <c r="L720" s="33"/>
      <c r="M720" s="45" t="s">
        <v>1</v>
      </c>
      <c r="N720" s="33"/>
      <c r="O720" s="44" t="s">
        <v>1</v>
      </c>
      <c r="P720" s="44"/>
      <c r="Q720" s="44" t="s">
        <v>1</v>
      </c>
      <c r="R720" s="44"/>
      <c r="S720" s="44" t="s">
        <v>1</v>
      </c>
      <c r="T720" s="44"/>
      <c r="U720" s="44" t="s">
        <v>1</v>
      </c>
      <c r="V720" s="44"/>
      <c r="W720" s="44" t="s">
        <v>1</v>
      </c>
      <c r="X720" s="44"/>
      <c r="Y720" s="44" t="s">
        <v>1</v>
      </c>
      <c r="Z720" s="44"/>
      <c r="AA720" s="44" t="s">
        <v>1</v>
      </c>
      <c r="AB720" s="44"/>
      <c r="AC720" s="51">
        <v>45807</v>
      </c>
      <c r="AD720" s="50">
        <v>45807</v>
      </c>
      <c r="AE720" s="54" t="s">
        <v>1</v>
      </c>
      <c r="AF720" s="41" t="s">
        <v>1</v>
      </c>
      <c r="AG720" s="40" t="s">
        <v>4</v>
      </c>
      <c r="AH720" s="36" t="s">
        <v>0</v>
      </c>
      <c r="AI720" s="49">
        <v>0</v>
      </c>
      <c r="AJ720" s="36" t="s">
        <v>1</v>
      </c>
      <c r="AK720" s="10" t="s">
        <v>1</v>
      </c>
      <c r="AL720" s="36" t="s">
        <v>1</v>
      </c>
      <c r="AM720" s="36" t="s">
        <v>1</v>
      </c>
      <c r="AN720" s="35" t="s">
        <v>1</v>
      </c>
      <c r="AO720" s="35" t="s">
        <v>1</v>
      </c>
      <c r="AP720" s="35" t="s">
        <v>1</v>
      </c>
      <c r="AQ720" s="35" t="s">
        <v>2</v>
      </c>
      <c r="AR720" s="33" t="s">
        <v>0</v>
      </c>
      <c r="AS720" s="33"/>
      <c r="AT720" s="30" t="s">
        <v>0</v>
      </c>
      <c r="AU720" s="31"/>
      <c r="AV720" s="30" t="s">
        <v>0</v>
      </c>
      <c r="AW720" s="31"/>
      <c r="AX720" s="30" t="s">
        <v>0</v>
      </c>
      <c r="AY720" s="29"/>
      <c r="AZ720" s="28" t="s">
        <v>0</v>
      </c>
      <c r="BA720" s="81"/>
      <c r="BB720" s="26"/>
      <c r="BC720" s="25"/>
      <c r="BD720" s="24"/>
      <c r="BE720" s="24"/>
      <c r="BF720" s="24"/>
      <c r="BG720" s="24"/>
      <c r="BH720" s="24"/>
      <c r="BI720" s="24"/>
      <c r="BJ720" s="24"/>
      <c r="BK720" s="24"/>
      <c r="BL720" s="24"/>
      <c r="BM720" s="24"/>
      <c r="BN720" s="24"/>
      <c r="BO720" s="24"/>
      <c r="BP720" s="24"/>
      <c r="BQ720" s="22">
        <f>YEAR([1]!BANCO10[[#This Row],[DATA INÍCIO]])</f>
        <v>2025</v>
      </c>
      <c r="BR720" s="22">
        <f>MONTH([1]!BANCO10[[#This Row],[DATA INÍCIO]])</f>
        <v>5</v>
      </c>
      <c r="BS720" s="23" t="e">
        <f>CONCATENATE(#REF!,#REF!)</f>
        <v>#REF!</v>
      </c>
      <c r="BT720" s="22"/>
      <c r="BU720" s="22"/>
      <c r="BV720" s="21" t="str">
        <f>IF([1]!BANCO10[[#This Row],[SOLUÇÃO]]=BV$1,[1]!BANCO10[[#This Row],[STATUS DA ETAPA]],"")</f>
        <v/>
      </c>
      <c r="BW720" s="21" t="str">
        <f>IF([1]!BANCO10[[#This Row],[SOLUÇÃO]]=BW$1,[1]!BANCO10[[#This Row],[STATUS DA ETAPA]],"")</f>
        <v/>
      </c>
      <c r="BX720" s="21" t="str">
        <f>IF([1]!BANCO10[[#This Row],[SOLUÇÃO]]=BX$1,[1]!BANCO10[[#This Row],[STATUS DA ETAPA]],"")</f>
        <v/>
      </c>
      <c r="BY720" s="21" t="str">
        <f>IF([1]!BANCO10[[#This Row],[SOLUÇÃO]]=BY$1,[1]!BANCO10[[#This Row],[STATUS DA ETAPA]],"")</f>
        <v/>
      </c>
      <c r="BZ720" s="21" t="str">
        <f>IF([1]!BANCO10[[#This Row],[SOLUÇÃO]]=BZ$1,[1]!BANCO10[[#This Row],[STATUS DA ETAPA]],"")</f>
        <v/>
      </c>
      <c r="CA720" s="21" t="str">
        <f>IF([1]!BANCO10[[#This Row],[SOLUÇÃO]]=CA$1,[1]!BANCO10[[#This Row],[STATUS DA ETAPA]],"")</f>
        <v/>
      </c>
      <c r="CB720" s="21" t="str">
        <f>IF([1]!BANCO10[[#This Row],[SOLUÇÃO]]=CB$1,[1]!BANCO10[[#This Row],[STATUS DA ETAPA]],"")</f>
        <v/>
      </c>
      <c r="CC720" s="21" t="str">
        <f>IF([1]!BANCO10[[#This Row],[SOLUÇÃO]]=CC$1,[1]!BANCO10[[#This Row],[STATUS DA ETAPA]],"")</f>
        <v/>
      </c>
      <c r="CD720" s="21" t="str">
        <f>IF([1]!BANCO10[[#This Row],[SOLUÇÃO]]=CD$1,[1]!BANCO10[[#This Row],[STATUS DA ETAPA]],"")</f>
        <v/>
      </c>
      <c r="CE720" s="21" t="str">
        <f>IF([1]!BANCO10[[#This Row],[SOLUÇÃO]]=CE$1,[1]!BANCO10[[#This Row],[STATUS DA ETAPA]],"")</f>
        <v/>
      </c>
      <c r="CF720" s="21" t="str">
        <f>IF([1]!BANCO10[[#This Row],[SOLUÇÃO]]=CF$1,[1]!BANCO10[[#This Row],[STATUS DA ETAPA]],"")</f>
        <v/>
      </c>
      <c r="CG720" s="21" t="str">
        <f>IF([1]!BANCO10[[#This Row],[SOLUÇÃO]]=CG$1,[1]!BANCO10[[#This Row],[STATUS DA ETAPA]],"")</f>
        <v/>
      </c>
      <c r="CH720" s="21" t="str">
        <f>IF([1]!BANCO10[[#This Row],[SOLUÇÃO]]=CH$1,[1]!BANCO10[[#This Row],[STATUS DA ETAPA]],"")</f>
        <v/>
      </c>
      <c r="CI720" s="21" t="str">
        <f>IF([1]!BANCO10[[#This Row],[SOLUÇÃO]]=CI$1,[1]!BANCO10[[#This Row],[STATUS DA ETAPA]],"")</f>
        <v/>
      </c>
      <c r="CJ720" s="21" t="str">
        <f>IF([1]!BANCO10[[#This Row],[SOLUÇÃO]]=CJ$1,[1]!BANCO10[[#This Row],[STATUS DA ETAPA]],"")</f>
        <v/>
      </c>
      <c r="CK720" s="21" t="str">
        <f>IF([1]!BANCO10[[#This Row],[SOLUÇÃO]]=CK$1,[1]!BANCO10[[#This Row],[STATUS DA ETAPA]],"")</f>
        <v/>
      </c>
      <c r="CL720" s="21" t="str">
        <f>IF([1]!BANCO10[[#This Row],[SOLUÇÃO]]=CL$1,[1]!BANCO10[[#This Row],[STATUS DA ETAPA]],"")</f>
        <v/>
      </c>
      <c r="CM720" s="21" t="str">
        <f>IF([1]!BANCO10[[#This Row],[SOLUÇÃO]]=CM$1,[1]!BANCO10[[#This Row],[STATUS DA ETAPA]],"")</f>
        <v/>
      </c>
      <c r="CN720" s="21" t="str">
        <f>IF([1]!BANCO10[[#This Row],[SOLUÇÃO]]=CN$1,[1]!BANCO10[[#This Row],[STATUS DA ETAPA]],"")</f>
        <v/>
      </c>
      <c r="CO720" s="21" t="str">
        <f>IF([1]!BANCO10[[#This Row],[SOLUÇÃO]]=CO$1,[1]!BANCO10[[#This Row],[STATUS DA ETAPA]],"")</f>
        <v/>
      </c>
      <c r="CP720" s="21" t="str">
        <f>IF([1]!BANCO10[[#This Row],[SOLUÇÃO]]=CP$1,[1]!BANCO10[[#This Row],[STATUS DA ETAPA]],"")</f>
        <v/>
      </c>
      <c r="CQ720" s="21" t="str">
        <f>IF([1]!BANCO10[[#This Row],[SOLUÇÃO]]=CQ$1,[1]!BANCO10[[#This Row],[STATUS DA ETAPA]],"")</f>
        <v/>
      </c>
      <c r="CR720" s="21" t="str">
        <f>IF([1]!BANCO10[[#This Row],[SOLUÇÃO]]=CR$1,[1]!BANCO10[[#This Row],[STATUS DA ETAPA]],"")</f>
        <v/>
      </c>
      <c r="CS720" s="21" t="str">
        <f>IF([1]!BANCO10[[#This Row],[SOLUÇÃO]]=CS$1,[1]!BANCO10[[#This Row],[STATUS DA ETAPA]],"")</f>
        <v/>
      </c>
      <c r="CT720" s="21" t="str">
        <f>IF([1]!BANCO10[[#This Row],[SOLUÇÃO]]=CT$1,[1]!BANCO10[[#This Row],[STATUS DA ETAPA]],"")</f>
        <v/>
      </c>
      <c r="CU720" s="21" t="str">
        <f>IF([1]!BANCO10[[#This Row],[SOLUÇÃO]]=CU$1,[1]!BANCO10[[#This Row],[STATUS DA ETAPA]],"")</f>
        <v/>
      </c>
      <c r="CV720" s="21" t="str">
        <f>IF([1]!BANCO10[[#This Row],[SOLUÇÃO]]=CV$1,[1]!BANCO10[[#This Row],[STATUS DA ETAPA]],"")</f>
        <v/>
      </c>
    </row>
    <row r="721" spans="1:100">
      <c r="A721" s="44" t="s">
        <v>1</v>
      </c>
      <c r="B721" s="44"/>
      <c r="C721" s="44" t="s">
        <v>1</v>
      </c>
      <c r="D721" s="44"/>
      <c r="E721" s="44" t="s">
        <v>1</v>
      </c>
      <c r="F721" s="44"/>
      <c r="G721" s="44" t="s">
        <v>1</v>
      </c>
      <c r="H721" s="44"/>
      <c r="I721" s="45" t="s">
        <v>1</v>
      </c>
      <c r="J721" s="46"/>
      <c r="K721" s="45" t="s">
        <v>1</v>
      </c>
      <c r="L721" s="33"/>
      <c r="M721" s="45" t="s">
        <v>1</v>
      </c>
      <c r="N721" s="33"/>
      <c r="O721" s="44" t="s">
        <v>2</v>
      </c>
      <c r="P721" s="44">
        <v>44792</v>
      </c>
      <c r="Q721" s="44" t="s">
        <v>2</v>
      </c>
      <c r="R721" s="44">
        <v>44792</v>
      </c>
      <c r="S721" s="44" t="s">
        <v>2</v>
      </c>
      <c r="T721" s="44">
        <v>44792</v>
      </c>
      <c r="U721" s="44" t="s">
        <v>2</v>
      </c>
      <c r="V721" s="44">
        <v>44792</v>
      </c>
      <c r="W721" s="44" t="s">
        <v>1</v>
      </c>
      <c r="X721" s="44"/>
      <c r="Y721" s="44" t="s">
        <v>1</v>
      </c>
      <c r="Z721" s="44"/>
      <c r="AA721" s="44" t="s">
        <v>1</v>
      </c>
      <c r="AB721" s="44"/>
      <c r="AC721" s="51">
        <v>44831</v>
      </c>
      <c r="AD721" s="50">
        <v>44922</v>
      </c>
      <c r="AE721" s="24" t="s">
        <v>2</v>
      </c>
      <c r="AF721" s="40" t="s">
        <v>2</v>
      </c>
      <c r="AG721" s="40" t="s">
        <v>5</v>
      </c>
      <c r="AH721" s="36" t="s">
        <v>2</v>
      </c>
      <c r="AI721" s="49">
        <v>0</v>
      </c>
      <c r="AJ721" s="36" t="s">
        <v>1</v>
      </c>
      <c r="AK721" s="10" t="s">
        <v>1</v>
      </c>
      <c r="AL721" s="36" t="s">
        <v>1</v>
      </c>
      <c r="AM721" s="36" t="s">
        <v>1</v>
      </c>
      <c r="AN721" s="35" t="s">
        <v>1</v>
      </c>
      <c r="AO721" s="35" t="s">
        <v>1</v>
      </c>
      <c r="AP721" s="35" t="s">
        <v>2</v>
      </c>
      <c r="AQ721" s="35" t="s">
        <v>1</v>
      </c>
      <c r="AR721" s="33" t="s">
        <v>1</v>
      </c>
      <c r="AS721" s="33"/>
      <c r="AT721" s="30"/>
      <c r="AU721" s="55"/>
      <c r="AV721" s="30"/>
      <c r="AW721" s="55"/>
      <c r="AX721" s="30" t="s">
        <v>2</v>
      </c>
      <c r="AY721" s="55">
        <v>44922</v>
      </c>
      <c r="AZ721" s="30" t="s">
        <v>2</v>
      </c>
      <c r="BA721" s="85"/>
      <c r="BB721" s="74" t="s">
        <v>26</v>
      </c>
      <c r="BC721" s="25"/>
      <c r="BD721" s="24" t="s">
        <v>11</v>
      </c>
      <c r="BE721" s="24" t="s">
        <v>11</v>
      </c>
      <c r="BF721" s="79" t="s">
        <v>88</v>
      </c>
      <c r="BG721" s="79" t="s">
        <v>11</v>
      </c>
      <c r="BH721" s="80" t="s">
        <v>19</v>
      </c>
      <c r="BI721" s="79"/>
      <c r="BJ721" s="54" t="s">
        <v>11</v>
      </c>
      <c r="BK721" s="78" t="s">
        <v>11</v>
      </c>
      <c r="BL721" s="69" t="s">
        <v>11</v>
      </c>
      <c r="BM721" s="78" t="s">
        <v>11</v>
      </c>
      <c r="BN721" s="78" t="s">
        <v>11</v>
      </c>
      <c r="BO721" s="78" t="s">
        <v>11</v>
      </c>
      <c r="BP721" s="78" t="s">
        <v>11</v>
      </c>
      <c r="BQ721" s="21">
        <f>YEAR([1]!BANCO10[[#This Row],[DATA INÍCIO]])</f>
        <v>2022</v>
      </c>
      <c r="BR721" s="21">
        <f>MONTH([1]!BANCO10[[#This Row],[DATA INÍCIO]])</f>
        <v>9</v>
      </c>
      <c r="BS721" s="21" t="e">
        <f>CONCATENATE(#REF!,#REF!)</f>
        <v>#REF!</v>
      </c>
      <c r="BT721" s="21"/>
      <c r="BU721" s="21" t="s">
        <v>168</v>
      </c>
      <c r="BV721" s="21" t="str">
        <f>IF([1]!BANCO10[[#This Row],[SOLUÇÃO]]=BV$1,[1]!BANCO10[[#This Row],[STATUS DA ETAPA]],"")</f>
        <v/>
      </c>
      <c r="BW721" s="21" t="str">
        <f>IF([1]!BANCO10[[#This Row],[SOLUÇÃO]]=BW$1,[1]!BANCO10[[#This Row],[STATUS DA ETAPA]],"")</f>
        <v/>
      </c>
      <c r="BX721" s="21" t="str">
        <f>IF([1]!BANCO10[[#This Row],[SOLUÇÃO]]=BX$1,[1]!BANCO10[[#This Row],[STATUS DA ETAPA]],"")</f>
        <v/>
      </c>
      <c r="BY721" s="21" t="str">
        <f>IF([1]!BANCO10[[#This Row],[SOLUÇÃO]]=BY$1,[1]!BANCO10[[#This Row],[STATUS DA ETAPA]],"")</f>
        <v/>
      </c>
      <c r="BZ721" s="21" t="str">
        <f>IF([1]!BANCO10[[#This Row],[SOLUÇÃO]]=BZ$1,[1]!BANCO10[[#This Row],[STATUS DA ETAPA]],"")</f>
        <v/>
      </c>
      <c r="CA721" s="21" t="str">
        <f>IF([1]!BANCO10[[#This Row],[SOLUÇÃO]]=CA$1,[1]!BANCO10[[#This Row],[STATUS DA ETAPA]],"")</f>
        <v>CONCLUÍDO</v>
      </c>
      <c r="CB721" s="21" t="str">
        <f>IF([1]!BANCO10[[#This Row],[SOLUÇÃO]]=CB$1,[1]!BANCO10[[#This Row],[STATUS DA ETAPA]],"")</f>
        <v/>
      </c>
      <c r="CC721" s="21" t="str">
        <f>IF([1]!BANCO10[[#This Row],[SOLUÇÃO]]=CC$1,[1]!BANCO10[[#This Row],[STATUS DA ETAPA]],"")</f>
        <v/>
      </c>
      <c r="CD721" s="21" t="str">
        <f>IF([1]!BANCO10[[#This Row],[SOLUÇÃO]]=CD$1,[1]!BANCO10[[#This Row],[STATUS DA ETAPA]],"")</f>
        <v/>
      </c>
      <c r="CE721" s="21" t="str">
        <f>IF([1]!BANCO10[[#This Row],[SOLUÇÃO]]=CE$1,[1]!BANCO10[[#This Row],[STATUS DA ETAPA]],"")</f>
        <v/>
      </c>
      <c r="CF721" s="21" t="str">
        <f>IF([1]!BANCO10[[#This Row],[SOLUÇÃO]]=CF$1,[1]!BANCO10[[#This Row],[STATUS DA ETAPA]],"")</f>
        <v/>
      </c>
      <c r="CG721" s="21" t="str">
        <f>IF([1]!BANCO10[[#This Row],[SOLUÇÃO]]=CG$1,[1]!BANCO10[[#This Row],[STATUS DA ETAPA]],"")</f>
        <v/>
      </c>
      <c r="CH721" s="21" t="str">
        <f>IF([1]!BANCO10[[#This Row],[SOLUÇÃO]]=CH$1,[1]!BANCO10[[#This Row],[STATUS DA ETAPA]],"")</f>
        <v/>
      </c>
      <c r="CI721" s="21" t="str">
        <f>IF([1]!BANCO10[[#This Row],[SOLUÇÃO]]=CI$1,[1]!BANCO10[[#This Row],[STATUS DA ETAPA]],"")</f>
        <v/>
      </c>
      <c r="CJ721" s="21" t="str">
        <f>IF([1]!BANCO10[[#This Row],[SOLUÇÃO]]=CJ$1,[1]!BANCO10[[#This Row],[STATUS DA ETAPA]],"")</f>
        <v/>
      </c>
      <c r="CK721" s="21" t="str">
        <f>IF([1]!BANCO10[[#This Row],[SOLUÇÃO]]=CK$1,[1]!BANCO10[[#This Row],[STATUS DA ETAPA]],"")</f>
        <v/>
      </c>
      <c r="CL721" s="22" t="str">
        <f>IF([1]!BANCO10[[#This Row],[SOLUÇÃO]]=CL$1,[1]!BANCO10[[#This Row],[STATUS DA ETAPA]],"")</f>
        <v/>
      </c>
      <c r="CM721" s="64" t="str">
        <f>IF([1]!BANCO10[[#This Row],[SOLUÇÃO]]=CM$1,[1]!BANCO10[[#This Row],[STATUS DA ETAPA]],"")</f>
        <v/>
      </c>
      <c r="CN721" s="64" t="str">
        <f>IF([1]!BANCO10[[#This Row],[SOLUÇÃO]]=CN$1,[1]!BANCO10[[#This Row],[STATUS DA ETAPA]],"")</f>
        <v/>
      </c>
      <c r="CO721" s="64" t="str">
        <f>IF([1]!BANCO10[[#This Row],[SOLUÇÃO]]=CO$1,[1]!BANCO10[[#This Row],[STATUS DA ETAPA]],"")</f>
        <v/>
      </c>
      <c r="CP721" s="64" t="str">
        <f>IF([1]!BANCO10[[#This Row],[SOLUÇÃO]]=CP$1,[1]!BANCO10[[#This Row],[STATUS DA ETAPA]],"")</f>
        <v/>
      </c>
      <c r="CQ721" s="64" t="str">
        <f>IF([1]!BANCO10[[#This Row],[SOLUÇÃO]]=CQ$1,[1]!BANCO10[[#This Row],[STATUS DA ETAPA]],"")</f>
        <v/>
      </c>
      <c r="CR721" s="64" t="str">
        <f>IF([1]!BANCO10[[#This Row],[SOLUÇÃO]]=CR$1,[1]!BANCO10[[#This Row],[STATUS DA ETAPA]],"")</f>
        <v/>
      </c>
      <c r="CS721" s="64" t="str">
        <f>IF([1]!BANCO10[[#This Row],[SOLUÇÃO]]=CS$1,[1]!BANCO10[[#This Row],[STATUS DA ETAPA]],"")</f>
        <v/>
      </c>
      <c r="CT721" s="64" t="str">
        <f>IF([1]!BANCO10[[#This Row],[SOLUÇÃO]]=CT$1,[1]!BANCO10[[#This Row],[STATUS DA ETAPA]],"")</f>
        <v/>
      </c>
      <c r="CU721" s="64" t="str">
        <f>IF([1]!BANCO10[[#This Row],[SOLUÇÃO]]=CU$1,[1]!BANCO10[[#This Row],[STATUS DA ETAPA]],"")</f>
        <v/>
      </c>
      <c r="CV721" s="64" t="str">
        <f>IF([1]!BANCO10[[#This Row],[SOLUÇÃO]]=CV$1,[1]!BANCO10[[#This Row],[STATUS DA ETAPA]],"")</f>
        <v/>
      </c>
    </row>
    <row r="722" spans="1:100">
      <c r="A722" s="44" t="s">
        <v>1</v>
      </c>
      <c r="B722" s="44"/>
      <c r="C722" s="44" t="s">
        <v>1</v>
      </c>
      <c r="D722" s="44"/>
      <c r="E722" s="44" t="s">
        <v>1</v>
      </c>
      <c r="F722" s="44"/>
      <c r="G722" s="44" t="s">
        <v>1</v>
      </c>
      <c r="H722" s="44"/>
      <c r="I722" s="45" t="s">
        <v>1</v>
      </c>
      <c r="J722" s="46"/>
      <c r="K722" s="45" t="s">
        <v>1</v>
      </c>
      <c r="L722" s="33"/>
      <c r="M722" s="45" t="s">
        <v>1</v>
      </c>
      <c r="N722" s="33"/>
      <c r="O722" s="44" t="s">
        <v>2</v>
      </c>
      <c r="P722" s="44">
        <v>44792</v>
      </c>
      <c r="Q722" s="44" t="s">
        <v>0</v>
      </c>
      <c r="R722" s="44"/>
      <c r="S722" s="44" t="s">
        <v>1</v>
      </c>
      <c r="T722" s="44"/>
      <c r="U722" s="44" t="s">
        <v>1</v>
      </c>
      <c r="V722" s="44"/>
      <c r="W722" s="44" t="s">
        <v>1</v>
      </c>
      <c r="X722" s="44"/>
      <c r="Y722" s="44" t="s">
        <v>1</v>
      </c>
      <c r="Z722" s="44"/>
      <c r="AA722" s="44" t="s">
        <v>1</v>
      </c>
      <c r="AB722" s="44"/>
      <c r="AC722" s="51">
        <v>44926</v>
      </c>
      <c r="AD722" s="50">
        <v>44926</v>
      </c>
      <c r="AE722" s="24" t="s">
        <v>1</v>
      </c>
      <c r="AF722" s="40" t="s">
        <v>1</v>
      </c>
      <c r="AG722" s="40" t="s">
        <v>5</v>
      </c>
      <c r="AH722" s="36" t="s">
        <v>1</v>
      </c>
      <c r="AI722" s="49">
        <v>0</v>
      </c>
      <c r="AJ722" s="36" t="s">
        <v>1</v>
      </c>
      <c r="AK722" s="10" t="s">
        <v>1</v>
      </c>
      <c r="AL722" s="36" t="s">
        <v>1</v>
      </c>
      <c r="AM722" s="36" t="s">
        <v>1</v>
      </c>
      <c r="AN722" s="35" t="s">
        <v>1</v>
      </c>
      <c r="AO722" s="35" t="s">
        <v>1</v>
      </c>
      <c r="AP722" s="35" t="s">
        <v>1</v>
      </c>
      <c r="AQ722" s="35" t="s">
        <v>1</v>
      </c>
      <c r="AR722" s="48" t="s">
        <v>1</v>
      </c>
      <c r="AS722" s="33"/>
      <c r="AT722" s="30"/>
      <c r="AU722" s="55"/>
      <c r="AV722" s="30"/>
      <c r="AW722" s="55"/>
      <c r="AX722" s="30" t="s">
        <v>1</v>
      </c>
      <c r="AY722" s="55"/>
      <c r="AZ722" s="30" t="s">
        <v>1</v>
      </c>
      <c r="BA722" s="85"/>
      <c r="BB722" s="39"/>
      <c r="BC722" s="25"/>
      <c r="BD722" s="24" t="s">
        <v>11</v>
      </c>
      <c r="BE722" s="24" t="s">
        <v>11</v>
      </c>
      <c r="BF722" s="79" t="s">
        <v>88</v>
      </c>
      <c r="BG722" s="79" t="s">
        <v>11</v>
      </c>
      <c r="BH722" s="80" t="s">
        <v>19</v>
      </c>
      <c r="BI722" s="79"/>
      <c r="BJ722" s="54" t="s">
        <v>11</v>
      </c>
      <c r="BK722" s="78" t="s">
        <v>11</v>
      </c>
      <c r="BL722" s="69" t="s">
        <v>11</v>
      </c>
      <c r="BM722" s="78" t="s">
        <v>11</v>
      </c>
      <c r="BN722" s="78" t="s">
        <v>11</v>
      </c>
      <c r="BO722" s="78" t="s">
        <v>11</v>
      </c>
      <c r="BP722" s="78" t="s">
        <v>11</v>
      </c>
      <c r="BQ722" s="21">
        <f>YEAR([1]!BANCO10[[#This Row],[DATA INÍCIO]])</f>
        <v>2022</v>
      </c>
      <c r="BR722" s="21">
        <f>MONTH([1]!BANCO10[[#This Row],[DATA INÍCIO]])</f>
        <v>12</v>
      </c>
      <c r="BS722" s="21" t="e">
        <f>CONCATENATE(#REF!,#REF!)</f>
        <v>#REF!</v>
      </c>
      <c r="BT722" s="21"/>
      <c r="BU722" s="21" t="s">
        <v>167</v>
      </c>
      <c r="BV722" s="21" t="str">
        <f>IF([1]!BANCO10[[#This Row],[SOLUÇÃO]]=BV$1,[1]!BANCO10[[#This Row],[STATUS DA ETAPA]],"")</f>
        <v>CONCLUÍDO</v>
      </c>
      <c r="BW722" s="21" t="str">
        <f>IF([1]!BANCO10[[#This Row],[SOLUÇÃO]]=BW$1,[1]!BANCO10[[#This Row],[STATUS DA ETAPA]],"")</f>
        <v/>
      </c>
      <c r="BX722" s="21" t="str">
        <f>IF([1]!BANCO10[[#This Row],[SOLUÇÃO]]=BX$1,[1]!BANCO10[[#This Row],[STATUS DA ETAPA]],"")</f>
        <v/>
      </c>
      <c r="BY722" s="21" t="str">
        <f>IF([1]!BANCO10[[#This Row],[SOLUÇÃO]]=BY$1,[1]!BANCO10[[#This Row],[STATUS DA ETAPA]],"")</f>
        <v/>
      </c>
      <c r="BZ722" s="21" t="str">
        <f>IF([1]!BANCO10[[#This Row],[SOLUÇÃO]]=BZ$1,[1]!BANCO10[[#This Row],[STATUS DA ETAPA]],"")</f>
        <v/>
      </c>
      <c r="CA722" s="21" t="str">
        <f>IF([1]!BANCO10[[#This Row],[SOLUÇÃO]]=CA$1,[1]!BANCO10[[#This Row],[STATUS DA ETAPA]],"")</f>
        <v/>
      </c>
      <c r="CB722" s="21" t="str">
        <f>IF([1]!BANCO10[[#This Row],[SOLUÇÃO]]=CB$1,[1]!BANCO10[[#This Row],[STATUS DA ETAPA]],"")</f>
        <v/>
      </c>
      <c r="CC722" s="21" t="str">
        <f>IF([1]!BANCO10[[#This Row],[SOLUÇÃO]]=CC$1,[1]!BANCO10[[#This Row],[STATUS DA ETAPA]],"")</f>
        <v/>
      </c>
      <c r="CD722" s="21" t="str">
        <f>IF([1]!BANCO10[[#This Row],[SOLUÇÃO]]=CD$1,[1]!BANCO10[[#This Row],[STATUS DA ETAPA]],"")</f>
        <v/>
      </c>
      <c r="CE722" s="21" t="str">
        <f>IF([1]!BANCO10[[#This Row],[SOLUÇÃO]]=CE$1,[1]!BANCO10[[#This Row],[STATUS DA ETAPA]],"")</f>
        <v/>
      </c>
      <c r="CF722" s="21" t="str">
        <f>IF([1]!BANCO10[[#This Row],[SOLUÇÃO]]=CF$1,[1]!BANCO10[[#This Row],[STATUS DA ETAPA]],"")</f>
        <v/>
      </c>
      <c r="CG722" s="21" t="str">
        <f>IF([1]!BANCO10[[#This Row],[SOLUÇÃO]]=CG$1,[1]!BANCO10[[#This Row],[STATUS DA ETAPA]],"")</f>
        <v/>
      </c>
      <c r="CH722" s="21" t="str">
        <f>IF([1]!BANCO10[[#This Row],[SOLUÇÃO]]=CH$1,[1]!BANCO10[[#This Row],[STATUS DA ETAPA]],"")</f>
        <v/>
      </c>
      <c r="CI722" s="21" t="str">
        <f>IF([1]!BANCO10[[#This Row],[SOLUÇÃO]]=CI$1,[1]!BANCO10[[#This Row],[STATUS DA ETAPA]],"")</f>
        <v/>
      </c>
      <c r="CJ722" s="21" t="str">
        <f>IF([1]!BANCO10[[#This Row],[SOLUÇÃO]]=CJ$1,[1]!BANCO10[[#This Row],[STATUS DA ETAPA]],"")</f>
        <v/>
      </c>
      <c r="CK722" s="21" t="str">
        <f>IF([1]!BANCO10[[#This Row],[SOLUÇÃO]]=CK$1,[1]!BANCO10[[#This Row],[STATUS DA ETAPA]],"")</f>
        <v/>
      </c>
      <c r="CL722" s="22" t="str">
        <f>IF([1]!BANCO10[[#This Row],[SOLUÇÃO]]=CL$1,[1]!BANCO10[[#This Row],[STATUS DA ETAPA]],"")</f>
        <v/>
      </c>
      <c r="CM722" s="64" t="str">
        <f>IF([1]!BANCO10[[#This Row],[SOLUÇÃO]]=CM$1,[1]!BANCO10[[#This Row],[STATUS DA ETAPA]],"")</f>
        <v/>
      </c>
      <c r="CN722" s="64" t="str">
        <f>IF([1]!BANCO10[[#This Row],[SOLUÇÃO]]=CN$1,[1]!BANCO10[[#This Row],[STATUS DA ETAPA]],"")</f>
        <v/>
      </c>
      <c r="CO722" s="64" t="str">
        <f>IF([1]!BANCO10[[#This Row],[SOLUÇÃO]]=CO$1,[1]!BANCO10[[#This Row],[STATUS DA ETAPA]],"")</f>
        <v/>
      </c>
      <c r="CP722" s="64" t="str">
        <f>IF([1]!BANCO10[[#This Row],[SOLUÇÃO]]=CP$1,[1]!BANCO10[[#This Row],[STATUS DA ETAPA]],"")</f>
        <v/>
      </c>
      <c r="CQ722" s="64" t="str">
        <f>IF([1]!BANCO10[[#This Row],[SOLUÇÃO]]=CQ$1,[1]!BANCO10[[#This Row],[STATUS DA ETAPA]],"")</f>
        <v/>
      </c>
      <c r="CR722" s="64" t="str">
        <f>IF([1]!BANCO10[[#This Row],[SOLUÇÃO]]=CR$1,[1]!BANCO10[[#This Row],[STATUS DA ETAPA]],"")</f>
        <v/>
      </c>
      <c r="CS722" s="64" t="str">
        <f>IF([1]!BANCO10[[#This Row],[SOLUÇÃO]]=CS$1,[1]!BANCO10[[#This Row],[STATUS DA ETAPA]],"")</f>
        <v/>
      </c>
      <c r="CT722" s="64" t="str">
        <f>IF([1]!BANCO10[[#This Row],[SOLUÇÃO]]=CT$1,[1]!BANCO10[[#This Row],[STATUS DA ETAPA]],"")</f>
        <v/>
      </c>
      <c r="CU722" s="64" t="str">
        <f>IF([1]!BANCO10[[#This Row],[SOLUÇÃO]]=CU$1,[1]!BANCO10[[#This Row],[STATUS DA ETAPA]],"")</f>
        <v/>
      </c>
      <c r="CV722" s="64" t="str">
        <f>IF([1]!BANCO10[[#This Row],[SOLUÇÃO]]=CV$1,[1]!BANCO10[[#This Row],[STATUS DA ETAPA]],"")</f>
        <v/>
      </c>
    </row>
    <row r="723" spans="1:100">
      <c r="A723" s="44" t="s">
        <v>1</v>
      </c>
      <c r="B723" s="44"/>
      <c r="C723" s="44" t="s">
        <v>1</v>
      </c>
      <c r="D723" s="44"/>
      <c r="E723" s="44" t="s">
        <v>1</v>
      </c>
      <c r="F723" s="44"/>
      <c r="G723" s="44" t="s">
        <v>1</v>
      </c>
      <c r="H723" s="44"/>
      <c r="I723" s="45" t="s">
        <v>1</v>
      </c>
      <c r="J723" s="46"/>
      <c r="K723" s="45" t="s">
        <v>1</v>
      </c>
      <c r="L723" s="33"/>
      <c r="M723" s="45" t="s">
        <v>1</v>
      </c>
      <c r="N723" s="33"/>
      <c r="O723" s="44" t="s">
        <v>2</v>
      </c>
      <c r="P723" s="44">
        <v>44792</v>
      </c>
      <c r="Q723" s="44" t="s">
        <v>2</v>
      </c>
      <c r="R723" s="44">
        <v>44792</v>
      </c>
      <c r="S723" s="44" t="s">
        <v>2</v>
      </c>
      <c r="T723" s="44">
        <v>45108</v>
      </c>
      <c r="U723" s="44" t="s">
        <v>2</v>
      </c>
      <c r="V723" s="44">
        <v>45108</v>
      </c>
      <c r="W723" s="44" t="s">
        <v>2</v>
      </c>
      <c r="X723" s="44"/>
      <c r="Y723" s="44" t="s">
        <v>2</v>
      </c>
      <c r="Z723" s="44">
        <v>45107</v>
      </c>
      <c r="AA723" s="44" t="s">
        <v>2</v>
      </c>
      <c r="AB723" s="44"/>
      <c r="AC723" s="51">
        <v>45111</v>
      </c>
      <c r="AD723" s="50">
        <v>45224</v>
      </c>
      <c r="AE723" s="24" t="s">
        <v>2</v>
      </c>
      <c r="AF723" s="40" t="s">
        <v>2</v>
      </c>
      <c r="AG723" s="40" t="s">
        <v>5</v>
      </c>
      <c r="AH723" s="36" t="s">
        <v>0</v>
      </c>
      <c r="AI723" s="49">
        <v>0</v>
      </c>
      <c r="AJ723" s="36"/>
      <c r="AK723" s="10"/>
      <c r="AL723" s="36">
        <v>4746</v>
      </c>
      <c r="AM723" s="36" t="s">
        <v>1</v>
      </c>
      <c r="AN723" s="35" t="s">
        <v>1</v>
      </c>
      <c r="AO723" s="35" t="s">
        <v>1</v>
      </c>
      <c r="AP723" s="35" t="s">
        <v>2</v>
      </c>
      <c r="AQ723" s="35" t="s">
        <v>1</v>
      </c>
      <c r="AR723" s="33" t="s">
        <v>1</v>
      </c>
      <c r="AS723" s="33"/>
      <c r="AT723" s="30"/>
      <c r="AU723" s="55"/>
      <c r="AV723" s="30"/>
      <c r="AW723" s="55"/>
      <c r="AX723" s="30" t="s">
        <v>2</v>
      </c>
      <c r="AY723" s="55">
        <v>45226</v>
      </c>
      <c r="AZ723" s="30" t="s">
        <v>2</v>
      </c>
      <c r="BA723" s="85"/>
      <c r="BB723" s="39"/>
      <c r="BC723" s="25"/>
      <c r="BD723" s="24" t="s">
        <v>11</v>
      </c>
      <c r="BE723" s="24" t="s">
        <v>11</v>
      </c>
      <c r="BF723" s="79" t="s">
        <v>88</v>
      </c>
      <c r="BG723" s="79" t="s">
        <v>11</v>
      </c>
      <c r="BH723" s="80" t="s">
        <v>19</v>
      </c>
      <c r="BI723" s="79"/>
      <c r="BJ723" s="54" t="s">
        <v>11</v>
      </c>
      <c r="BK723" s="78" t="s">
        <v>11</v>
      </c>
      <c r="BL723" s="69" t="s">
        <v>11</v>
      </c>
      <c r="BM723" s="78" t="s">
        <v>11</v>
      </c>
      <c r="BN723" s="78" t="s">
        <v>11</v>
      </c>
      <c r="BO723" s="78" t="s">
        <v>11</v>
      </c>
      <c r="BP723" s="78" t="s">
        <v>11</v>
      </c>
      <c r="BQ723" s="21">
        <f>YEAR([1]!BANCO10[[#This Row],[DATA INÍCIO]])</f>
        <v>2023</v>
      </c>
      <c r="BR723" s="21">
        <f>MONTH([1]!BANCO10[[#This Row],[DATA INÍCIO]])</f>
        <v>7</v>
      </c>
      <c r="BS723" s="21" t="e">
        <f>CONCATENATE(#REF!,#REF!)</f>
        <v>#REF!</v>
      </c>
      <c r="BT723" s="21"/>
      <c r="BU723" s="21" t="s">
        <v>166</v>
      </c>
      <c r="BV723" s="21" t="str">
        <f>IF([1]!BANCO10[[#This Row],[SOLUÇÃO]]=BV$1,[1]!BANCO10[[#This Row],[STATUS DA ETAPA]],"")</f>
        <v/>
      </c>
      <c r="BW723" s="21" t="str">
        <f>IF([1]!BANCO10[[#This Row],[SOLUÇÃO]]=BW$1,[1]!BANCO10[[#This Row],[STATUS DA ETAPA]],"")</f>
        <v/>
      </c>
      <c r="BX723" s="21" t="str">
        <f>IF([1]!BANCO10[[#This Row],[SOLUÇÃO]]=BX$1,[1]!BANCO10[[#This Row],[STATUS DA ETAPA]],"")</f>
        <v/>
      </c>
      <c r="BY723" s="21" t="str">
        <f>IF([1]!BANCO10[[#This Row],[SOLUÇÃO]]=BY$1,[1]!BANCO10[[#This Row],[STATUS DA ETAPA]],"")</f>
        <v/>
      </c>
      <c r="BZ723" s="21" t="str">
        <f>IF([1]!BANCO10[[#This Row],[SOLUÇÃO]]=BZ$1,[1]!BANCO10[[#This Row],[STATUS DA ETAPA]],"")</f>
        <v/>
      </c>
      <c r="CA723" s="21" t="str">
        <f>IF([1]!BANCO10[[#This Row],[SOLUÇÃO]]=CA$1,[1]!BANCO10[[#This Row],[STATUS DA ETAPA]],"")</f>
        <v/>
      </c>
      <c r="CB723" s="21" t="str">
        <f>IF([1]!BANCO10[[#This Row],[SOLUÇÃO]]=CB$1,[1]!BANCO10[[#This Row],[STATUS DA ETAPA]],"")</f>
        <v/>
      </c>
      <c r="CC723" s="21" t="str">
        <f>IF([1]!BANCO10[[#This Row],[SOLUÇÃO]]=CC$1,[1]!BANCO10[[#This Row],[STATUS DA ETAPA]],"")</f>
        <v>CONCLUÍDO</v>
      </c>
      <c r="CD723" s="21" t="str">
        <f>IF([1]!BANCO10[[#This Row],[SOLUÇÃO]]=CD$1,[1]!BANCO10[[#This Row],[STATUS DA ETAPA]],"")</f>
        <v/>
      </c>
      <c r="CE723" s="21" t="str">
        <f>IF([1]!BANCO10[[#This Row],[SOLUÇÃO]]=CE$1,[1]!BANCO10[[#This Row],[STATUS DA ETAPA]],"")</f>
        <v/>
      </c>
      <c r="CF723" s="21" t="str">
        <f>IF([1]!BANCO10[[#This Row],[SOLUÇÃO]]=CF$1,[1]!BANCO10[[#This Row],[STATUS DA ETAPA]],"")</f>
        <v/>
      </c>
      <c r="CG723" s="21" t="str">
        <f>IF([1]!BANCO10[[#This Row],[SOLUÇÃO]]=CG$1,[1]!BANCO10[[#This Row],[STATUS DA ETAPA]],"")</f>
        <v/>
      </c>
      <c r="CH723" s="21" t="str">
        <f>IF([1]!BANCO10[[#This Row],[SOLUÇÃO]]=CH$1,[1]!BANCO10[[#This Row],[STATUS DA ETAPA]],"")</f>
        <v/>
      </c>
      <c r="CI723" s="21" t="str">
        <f>IF([1]!BANCO10[[#This Row],[SOLUÇÃO]]=CI$1,[1]!BANCO10[[#This Row],[STATUS DA ETAPA]],"")</f>
        <v/>
      </c>
      <c r="CJ723" s="21" t="str">
        <f>IF([1]!BANCO10[[#This Row],[SOLUÇÃO]]=CJ$1,[1]!BANCO10[[#This Row],[STATUS DA ETAPA]],"")</f>
        <v/>
      </c>
      <c r="CK723" s="21" t="str">
        <f>IF([1]!BANCO10[[#This Row],[SOLUÇÃO]]=CK$1,[1]!BANCO10[[#This Row],[STATUS DA ETAPA]],"")</f>
        <v/>
      </c>
      <c r="CL723" s="22" t="str">
        <f>IF([1]!BANCO10[[#This Row],[SOLUÇÃO]]=CL$1,[1]!BANCO10[[#This Row],[STATUS DA ETAPA]],"")</f>
        <v/>
      </c>
      <c r="CM723" s="64" t="str">
        <f>IF([1]!BANCO10[[#This Row],[SOLUÇÃO]]=CM$1,[1]!BANCO10[[#This Row],[STATUS DA ETAPA]],"")</f>
        <v/>
      </c>
      <c r="CN723" s="64" t="str">
        <f>IF([1]!BANCO10[[#This Row],[SOLUÇÃO]]=CN$1,[1]!BANCO10[[#This Row],[STATUS DA ETAPA]],"")</f>
        <v/>
      </c>
      <c r="CO723" s="64" t="str">
        <f>IF([1]!BANCO10[[#This Row],[SOLUÇÃO]]=CO$1,[1]!BANCO10[[#This Row],[STATUS DA ETAPA]],"")</f>
        <v/>
      </c>
      <c r="CP723" s="64" t="str">
        <f>IF([1]!BANCO10[[#This Row],[SOLUÇÃO]]=CP$1,[1]!BANCO10[[#This Row],[STATUS DA ETAPA]],"")</f>
        <v/>
      </c>
      <c r="CQ723" s="64" t="str">
        <f>IF([1]!BANCO10[[#This Row],[SOLUÇÃO]]=CQ$1,[1]!BANCO10[[#This Row],[STATUS DA ETAPA]],"")</f>
        <v/>
      </c>
      <c r="CR723" s="64" t="str">
        <f>IF([1]!BANCO10[[#This Row],[SOLUÇÃO]]=CR$1,[1]!BANCO10[[#This Row],[STATUS DA ETAPA]],"")</f>
        <v/>
      </c>
      <c r="CS723" s="64" t="str">
        <f>IF([1]!BANCO10[[#This Row],[SOLUÇÃO]]=CS$1,[1]!BANCO10[[#This Row],[STATUS DA ETAPA]],"")</f>
        <v/>
      </c>
      <c r="CT723" s="64" t="str">
        <f>IF([1]!BANCO10[[#This Row],[SOLUÇÃO]]=CT$1,[1]!BANCO10[[#This Row],[STATUS DA ETAPA]],"")</f>
        <v/>
      </c>
      <c r="CU723" s="64" t="str">
        <f>IF([1]!BANCO10[[#This Row],[SOLUÇÃO]]=CU$1,[1]!BANCO10[[#This Row],[STATUS DA ETAPA]],"")</f>
        <v/>
      </c>
      <c r="CV723" s="64" t="str">
        <f>IF([1]!BANCO10[[#This Row],[SOLUÇÃO]]=CV$1,[1]!BANCO10[[#This Row],[STATUS DA ETAPA]],"")</f>
        <v/>
      </c>
    </row>
    <row r="724" spans="1:100">
      <c r="A724" s="44" t="s">
        <v>1</v>
      </c>
      <c r="B724" s="44"/>
      <c r="C724" s="44" t="s">
        <v>1</v>
      </c>
      <c r="D724" s="44"/>
      <c r="E724" s="44" t="s">
        <v>1</v>
      </c>
      <c r="F724" s="44"/>
      <c r="G724" s="44" t="s">
        <v>1</v>
      </c>
      <c r="H724" s="44"/>
      <c r="I724" s="45" t="s">
        <v>1</v>
      </c>
      <c r="J724" s="46"/>
      <c r="K724" s="45" t="s">
        <v>1</v>
      </c>
      <c r="L724" s="33"/>
      <c r="M724" s="45" t="s">
        <v>1</v>
      </c>
      <c r="N724" s="33"/>
      <c r="O724" s="44" t="s">
        <v>2</v>
      </c>
      <c r="P724" s="44">
        <v>44792</v>
      </c>
      <c r="Q724" s="44" t="s">
        <v>2</v>
      </c>
      <c r="R724" s="44">
        <v>45365</v>
      </c>
      <c r="S724" s="44" t="s">
        <v>2</v>
      </c>
      <c r="T724" s="44">
        <v>45365</v>
      </c>
      <c r="U724" s="44" t="s">
        <v>2</v>
      </c>
      <c r="V724" s="44">
        <v>45379</v>
      </c>
      <c r="W724" s="44" t="s">
        <v>2</v>
      </c>
      <c r="X724" s="44"/>
      <c r="Y724" s="44" t="s">
        <v>2</v>
      </c>
      <c r="Z724" s="44">
        <v>45379</v>
      </c>
      <c r="AA724" s="44" t="s">
        <v>2</v>
      </c>
      <c r="AB724" s="44"/>
      <c r="AC724" s="51">
        <v>45405</v>
      </c>
      <c r="AD724" s="50">
        <v>45495</v>
      </c>
      <c r="AE724" s="24" t="s">
        <v>2</v>
      </c>
      <c r="AF724" s="40" t="s">
        <v>2</v>
      </c>
      <c r="AG724" s="40" t="s">
        <v>5</v>
      </c>
      <c r="AH724" s="36" t="s">
        <v>0</v>
      </c>
      <c r="AI724" s="49">
        <v>0</v>
      </c>
      <c r="AJ724" s="36" t="s">
        <v>6</v>
      </c>
      <c r="AK724" s="10">
        <v>0</v>
      </c>
      <c r="AL724" s="36">
        <v>4742</v>
      </c>
      <c r="AM724" s="36">
        <v>0</v>
      </c>
      <c r="AN724" s="35" t="s">
        <v>1</v>
      </c>
      <c r="AO724" s="35" t="s">
        <v>1</v>
      </c>
      <c r="AP724" s="35" t="s">
        <v>2</v>
      </c>
      <c r="AQ724" s="35" t="s">
        <v>1</v>
      </c>
      <c r="AR724" s="33" t="s">
        <v>1</v>
      </c>
      <c r="AS724" s="33"/>
      <c r="AT724" s="30"/>
      <c r="AU724" s="55"/>
      <c r="AV724" s="30"/>
      <c r="AW724" s="55"/>
      <c r="AX724" s="30" t="s">
        <v>2</v>
      </c>
      <c r="AY724" s="55">
        <v>45495</v>
      </c>
      <c r="AZ724" s="30" t="s">
        <v>2</v>
      </c>
      <c r="BA724" s="91">
        <v>45495</v>
      </c>
      <c r="BB724" s="39"/>
      <c r="BC724" s="25"/>
      <c r="BD724" s="24"/>
      <c r="BE724" s="24"/>
      <c r="BF724" s="79"/>
      <c r="BG724" s="79"/>
      <c r="BH724" s="80"/>
      <c r="BI724" s="79"/>
      <c r="BJ724" s="54"/>
      <c r="BK724" s="78"/>
      <c r="BL724" s="69">
        <v>45389</v>
      </c>
      <c r="BM724" s="78" t="s">
        <v>18</v>
      </c>
      <c r="BN724" s="78" t="s">
        <v>11</v>
      </c>
      <c r="BO724" s="78"/>
      <c r="BP724" s="78" t="s">
        <v>151</v>
      </c>
      <c r="BQ724" s="21">
        <f>YEAR([1]!BANCO10[[#This Row],[DATA INÍCIO]])</f>
        <v>2024</v>
      </c>
      <c r="BR724" s="21">
        <f>MONTH([1]!BANCO10[[#This Row],[DATA INÍCIO]])</f>
        <v>4</v>
      </c>
      <c r="BS724" s="21" t="e">
        <f>CONCATENATE(#REF!,#REF!)</f>
        <v>#REF!</v>
      </c>
      <c r="BT724" s="21"/>
      <c r="BU724" s="21" t="s">
        <v>165</v>
      </c>
      <c r="BV724" s="21" t="str">
        <f>IF([1]!BANCO10[[#This Row],[SOLUÇÃO]]=BV$1,[1]!BANCO10[[#This Row],[STATUS DA ETAPA]],"")</f>
        <v/>
      </c>
      <c r="BW724" s="21" t="str">
        <f>IF([1]!BANCO10[[#This Row],[SOLUÇÃO]]=BW$1,[1]!BANCO10[[#This Row],[STATUS DA ETAPA]],"")</f>
        <v/>
      </c>
      <c r="BX724" s="21" t="str">
        <f>IF([1]!BANCO10[[#This Row],[SOLUÇÃO]]=BX$1,[1]!BANCO10[[#This Row],[STATUS DA ETAPA]],"")</f>
        <v/>
      </c>
      <c r="BY724" s="21" t="str">
        <f>IF([1]!BANCO10[[#This Row],[SOLUÇÃO]]=BY$1,[1]!BANCO10[[#This Row],[STATUS DA ETAPA]],"")</f>
        <v/>
      </c>
      <c r="BZ724" s="21" t="str">
        <f>IF([1]!BANCO10[[#This Row],[SOLUÇÃO]]=BZ$1,[1]!BANCO10[[#This Row],[STATUS DA ETAPA]],"")</f>
        <v/>
      </c>
      <c r="CA724" s="21" t="str">
        <f>IF([1]!BANCO10[[#This Row],[SOLUÇÃO]]=CA$1,[1]!BANCO10[[#This Row],[STATUS DA ETAPA]],"")</f>
        <v/>
      </c>
      <c r="CB724" s="21" t="str">
        <f>IF([1]!BANCO10[[#This Row],[SOLUÇÃO]]=CB$1,[1]!BANCO10[[#This Row],[STATUS DA ETAPA]],"")</f>
        <v/>
      </c>
      <c r="CC724" s="21" t="str">
        <f>IF([1]!BANCO10[[#This Row],[SOLUÇÃO]]=CC$1,[1]!BANCO10[[#This Row],[STATUS DA ETAPA]],"")</f>
        <v/>
      </c>
      <c r="CD724" s="21" t="str">
        <f>IF([1]!BANCO10[[#This Row],[SOLUÇÃO]]=CD$1,[1]!BANCO10[[#This Row],[STATUS DA ETAPA]],"")</f>
        <v/>
      </c>
      <c r="CE724" s="21" t="str">
        <f>IF([1]!BANCO10[[#This Row],[SOLUÇÃO]]=CE$1,[1]!BANCO10[[#This Row],[STATUS DA ETAPA]],"")</f>
        <v/>
      </c>
      <c r="CF724" s="21" t="str">
        <f>IF([1]!BANCO10[[#This Row],[SOLUÇÃO]]=CF$1,[1]!BANCO10[[#This Row],[STATUS DA ETAPA]],"")</f>
        <v/>
      </c>
      <c r="CG724" s="21" t="str">
        <f>IF([1]!BANCO10[[#This Row],[SOLUÇÃO]]=CG$1,[1]!BANCO10[[#This Row],[STATUS DA ETAPA]],"")</f>
        <v/>
      </c>
      <c r="CH724" s="21" t="str">
        <f>IF([1]!BANCO10[[#This Row],[SOLUÇÃO]]=CH$1,[1]!BANCO10[[#This Row],[STATUS DA ETAPA]],"")</f>
        <v/>
      </c>
      <c r="CI724" s="21" t="str">
        <f>IF([1]!BANCO10[[#This Row],[SOLUÇÃO]]=CI$1,[1]!BANCO10[[#This Row],[STATUS DA ETAPA]],"")</f>
        <v/>
      </c>
      <c r="CJ724" s="21" t="str">
        <f>IF([1]!BANCO10[[#This Row],[SOLUÇÃO]]=CJ$1,[1]!BANCO10[[#This Row],[STATUS DA ETAPA]],"")</f>
        <v/>
      </c>
      <c r="CK724" s="21" t="str">
        <f>IF([1]!BANCO10[[#This Row],[SOLUÇÃO]]=CK$1,[1]!BANCO10[[#This Row],[STATUS DA ETAPA]],"")</f>
        <v/>
      </c>
      <c r="CL724" s="22" t="str">
        <f>IF([1]!BANCO10[[#This Row],[SOLUÇÃO]]=CL$1,[1]!BANCO10[[#This Row],[STATUS DA ETAPA]],"")</f>
        <v>CONCLUÍDO</v>
      </c>
      <c r="CM724" s="64" t="str">
        <f>IF([1]!BANCO10[[#This Row],[SOLUÇÃO]]=CM$1,[1]!BANCO10[[#This Row],[STATUS DA ETAPA]],"")</f>
        <v/>
      </c>
      <c r="CN724" s="64" t="str">
        <f>IF([1]!BANCO10[[#This Row],[SOLUÇÃO]]=CN$1,[1]!BANCO10[[#This Row],[STATUS DA ETAPA]],"")</f>
        <v/>
      </c>
      <c r="CO724" s="64" t="str">
        <f>IF([1]!BANCO10[[#This Row],[SOLUÇÃO]]=CO$1,[1]!BANCO10[[#This Row],[STATUS DA ETAPA]],"")</f>
        <v/>
      </c>
      <c r="CP724" s="64" t="str">
        <f>IF([1]!BANCO10[[#This Row],[SOLUÇÃO]]=CP$1,[1]!BANCO10[[#This Row],[STATUS DA ETAPA]],"")</f>
        <v/>
      </c>
      <c r="CQ724" s="64" t="str">
        <f>IF([1]!BANCO10[[#This Row],[SOLUÇÃO]]=CQ$1,[1]!BANCO10[[#This Row],[STATUS DA ETAPA]],"")</f>
        <v/>
      </c>
      <c r="CR724" s="64" t="str">
        <f>IF([1]!BANCO10[[#This Row],[SOLUÇÃO]]=CR$1,[1]!BANCO10[[#This Row],[STATUS DA ETAPA]],"")</f>
        <v/>
      </c>
      <c r="CS724" s="64" t="str">
        <f>IF([1]!BANCO10[[#This Row],[SOLUÇÃO]]=CS$1,[1]!BANCO10[[#This Row],[STATUS DA ETAPA]],"")</f>
        <v/>
      </c>
      <c r="CT724" s="64" t="str">
        <f>IF([1]!BANCO10[[#This Row],[SOLUÇÃO]]=CT$1,[1]!BANCO10[[#This Row],[STATUS DA ETAPA]],"")</f>
        <v/>
      </c>
      <c r="CU724" s="64" t="str">
        <f>IF([1]!BANCO10[[#This Row],[SOLUÇÃO]]=CU$1,[1]!BANCO10[[#This Row],[STATUS DA ETAPA]],"")</f>
        <v/>
      </c>
      <c r="CV724" s="64" t="str">
        <f>IF([1]!BANCO10[[#This Row],[SOLUÇÃO]]=CV$1,[1]!BANCO10[[#This Row],[STATUS DA ETAPA]],"")</f>
        <v/>
      </c>
    </row>
    <row r="725" spans="1:100">
      <c r="A725" s="44" t="s">
        <v>1</v>
      </c>
      <c r="B725" s="44"/>
      <c r="C725" s="44" t="s">
        <v>1</v>
      </c>
      <c r="D725" s="44"/>
      <c r="E725" s="44" t="s">
        <v>1</v>
      </c>
      <c r="F725" s="44"/>
      <c r="G725" s="44" t="s">
        <v>1</v>
      </c>
      <c r="H725" s="44"/>
      <c r="I725" s="45" t="s">
        <v>1</v>
      </c>
      <c r="J725" s="46"/>
      <c r="K725" s="45" t="s">
        <v>1</v>
      </c>
      <c r="L725" s="33"/>
      <c r="M725" s="45" t="s">
        <v>1</v>
      </c>
      <c r="N725" s="33"/>
      <c r="O725" s="44" t="s">
        <v>2</v>
      </c>
      <c r="P725" s="44">
        <v>45580</v>
      </c>
      <c r="Q725" s="44" t="s">
        <v>2</v>
      </c>
      <c r="R725" s="44">
        <v>45581</v>
      </c>
      <c r="S725" s="44" t="s">
        <v>2</v>
      </c>
      <c r="T725" s="44"/>
      <c r="U725" s="44" t="s">
        <v>2</v>
      </c>
      <c r="V725" s="44">
        <v>45582</v>
      </c>
      <c r="W725" s="44" t="s">
        <v>2</v>
      </c>
      <c r="X725" s="44"/>
      <c r="Y725" s="44" t="s">
        <v>2</v>
      </c>
      <c r="Z725" s="44"/>
      <c r="AA725" s="44" t="s">
        <v>2</v>
      </c>
      <c r="AB725" s="44">
        <v>45589</v>
      </c>
      <c r="AC725" s="51">
        <v>45635</v>
      </c>
      <c r="AD725" s="50">
        <v>45763</v>
      </c>
      <c r="AE725" s="54" t="s">
        <v>2</v>
      </c>
      <c r="AF725" s="41" t="s">
        <v>2</v>
      </c>
      <c r="AG725" s="76" t="s">
        <v>4</v>
      </c>
      <c r="AH725" s="36" t="s">
        <v>0</v>
      </c>
      <c r="AI725" s="49">
        <v>0</v>
      </c>
      <c r="AJ725" s="36" t="s">
        <v>6</v>
      </c>
      <c r="AK725" s="10" t="s">
        <v>164</v>
      </c>
      <c r="AL725" s="36" t="s">
        <v>89</v>
      </c>
      <c r="AM725" s="36" t="s">
        <v>163</v>
      </c>
      <c r="AN725" s="35" t="s">
        <v>1</v>
      </c>
      <c r="AO725" s="35" t="s">
        <v>1</v>
      </c>
      <c r="AP725" s="35" t="s">
        <v>2</v>
      </c>
      <c r="AQ725" s="35" t="s">
        <v>1</v>
      </c>
      <c r="AR725" s="33" t="s">
        <v>1</v>
      </c>
      <c r="AS725" s="33"/>
      <c r="AT725" s="32" t="s">
        <v>2</v>
      </c>
      <c r="AU725" s="31">
        <v>45771</v>
      </c>
      <c r="AV725" s="32" t="s">
        <v>2</v>
      </c>
      <c r="AW725" s="31">
        <v>45771</v>
      </c>
      <c r="AX725" s="30" t="s">
        <v>2</v>
      </c>
      <c r="AY725" s="29">
        <v>45771</v>
      </c>
      <c r="AZ725" s="28" t="s">
        <v>0</v>
      </c>
      <c r="BA725" s="81"/>
      <c r="BB725" s="26"/>
      <c r="BC725" s="25" t="s">
        <v>162</v>
      </c>
      <c r="BD725" s="24"/>
      <c r="BE725" s="24"/>
      <c r="BF725" s="79"/>
      <c r="BG725" s="79"/>
      <c r="BH725" s="80"/>
      <c r="BI725" s="79"/>
      <c r="BJ725" s="54"/>
      <c r="BK725" s="78"/>
      <c r="BL725" s="69"/>
      <c r="BM725" s="78"/>
      <c r="BN725" s="78"/>
      <c r="BO725" s="78"/>
      <c r="BP725" s="78"/>
      <c r="BQ725" s="21">
        <f>YEAR([1]!BANCO10[[#This Row],[DATA INÍCIO]])</f>
        <v>2024</v>
      </c>
      <c r="BR725" s="21">
        <f>MONTH([1]!BANCO10[[#This Row],[DATA INÍCIO]])</f>
        <v>12</v>
      </c>
      <c r="BS725" s="21" t="e">
        <f>CONCATENATE(#REF!,#REF!)</f>
        <v>#REF!</v>
      </c>
      <c r="BT725" s="21"/>
      <c r="BU725" s="21"/>
      <c r="BV725" s="21" t="str">
        <f>IF([1]!BANCO10[[#This Row],[SOLUÇÃO]]=BV$1,[1]!BANCO10[[#This Row],[STATUS DA ETAPA]],"")</f>
        <v/>
      </c>
      <c r="BW725" s="21" t="str">
        <f>IF([1]!BANCO10[[#This Row],[SOLUÇÃO]]=BW$1,[1]!BANCO10[[#This Row],[STATUS DA ETAPA]],"")</f>
        <v/>
      </c>
      <c r="BX725" s="21" t="str">
        <f>IF([1]!BANCO10[[#This Row],[SOLUÇÃO]]=BX$1,[1]!BANCO10[[#This Row],[STATUS DA ETAPA]],"")</f>
        <v>CONCLUÍDO</v>
      </c>
      <c r="BY725" s="21" t="str">
        <f>IF([1]!BANCO10[[#This Row],[SOLUÇÃO]]=BY$1,[1]!BANCO10[[#This Row],[STATUS DA ETAPA]],"")</f>
        <v/>
      </c>
      <c r="BZ725" s="21" t="str">
        <f>IF([1]!BANCO10[[#This Row],[SOLUÇÃO]]=BZ$1,[1]!BANCO10[[#This Row],[STATUS DA ETAPA]],"")</f>
        <v/>
      </c>
      <c r="CA725" s="21" t="str">
        <f>IF([1]!BANCO10[[#This Row],[SOLUÇÃO]]=CA$1,[1]!BANCO10[[#This Row],[STATUS DA ETAPA]],"")</f>
        <v/>
      </c>
      <c r="CB725" s="21" t="str">
        <f>IF([1]!BANCO10[[#This Row],[SOLUÇÃO]]=CB$1,[1]!BANCO10[[#This Row],[STATUS DA ETAPA]],"")</f>
        <v/>
      </c>
      <c r="CC725" s="21" t="str">
        <f>IF([1]!BANCO10[[#This Row],[SOLUÇÃO]]=CC$1,[1]!BANCO10[[#This Row],[STATUS DA ETAPA]],"")</f>
        <v/>
      </c>
      <c r="CD725" s="21" t="str">
        <f>IF([1]!BANCO10[[#This Row],[SOLUÇÃO]]=CD$1,[1]!BANCO10[[#This Row],[STATUS DA ETAPA]],"")</f>
        <v/>
      </c>
      <c r="CE725" s="21" t="str">
        <f>IF([1]!BANCO10[[#This Row],[SOLUÇÃO]]=CE$1,[1]!BANCO10[[#This Row],[STATUS DA ETAPA]],"")</f>
        <v/>
      </c>
      <c r="CF725" s="21" t="str">
        <f>IF([1]!BANCO10[[#This Row],[SOLUÇÃO]]=CF$1,[1]!BANCO10[[#This Row],[STATUS DA ETAPA]],"")</f>
        <v/>
      </c>
      <c r="CG725" s="21" t="str">
        <f>IF([1]!BANCO10[[#This Row],[SOLUÇÃO]]=CG$1,[1]!BANCO10[[#This Row],[STATUS DA ETAPA]],"")</f>
        <v/>
      </c>
      <c r="CH725" s="21" t="str">
        <f>IF([1]!BANCO10[[#This Row],[SOLUÇÃO]]=CH$1,[1]!BANCO10[[#This Row],[STATUS DA ETAPA]],"")</f>
        <v/>
      </c>
      <c r="CI725" s="21" t="str">
        <f>IF([1]!BANCO10[[#This Row],[SOLUÇÃO]]=CI$1,[1]!BANCO10[[#This Row],[STATUS DA ETAPA]],"")</f>
        <v/>
      </c>
      <c r="CJ725" s="21" t="str">
        <f>IF([1]!BANCO10[[#This Row],[SOLUÇÃO]]=CJ$1,[1]!BANCO10[[#This Row],[STATUS DA ETAPA]],"")</f>
        <v/>
      </c>
      <c r="CK725" s="21" t="str">
        <f>IF([1]!BANCO10[[#This Row],[SOLUÇÃO]]=CK$1,[1]!BANCO10[[#This Row],[STATUS DA ETAPA]],"")</f>
        <v/>
      </c>
      <c r="CL725" s="22" t="str">
        <f>IF([1]!BANCO10[[#This Row],[SOLUÇÃO]]=CL$1,[1]!BANCO10[[#This Row],[STATUS DA ETAPA]],"")</f>
        <v/>
      </c>
      <c r="CM725" s="64" t="str">
        <f>IF([1]!BANCO10[[#This Row],[SOLUÇÃO]]=CM$1,[1]!BANCO10[[#This Row],[STATUS DA ETAPA]],"")</f>
        <v/>
      </c>
      <c r="CN725" s="64" t="str">
        <f>IF([1]!BANCO10[[#This Row],[SOLUÇÃO]]=CN$1,[1]!BANCO10[[#This Row],[STATUS DA ETAPA]],"")</f>
        <v/>
      </c>
      <c r="CO725" s="64" t="str">
        <f>IF([1]!BANCO10[[#This Row],[SOLUÇÃO]]=CO$1,[1]!BANCO10[[#This Row],[STATUS DA ETAPA]],"")</f>
        <v/>
      </c>
      <c r="CP725" s="64" t="str">
        <f>IF([1]!BANCO10[[#This Row],[SOLUÇÃO]]=CP$1,[1]!BANCO10[[#This Row],[STATUS DA ETAPA]],"")</f>
        <v/>
      </c>
      <c r="CQ725" s="64" t="str">
        <f>IF([1]!BANCO10[[#This Row],[SOLUÇÃO]]=CQ$1,[1]!BANCO10[[#This Row],[STATUS DA ETAPA]],"")</f>
        <v/>
      </c>
      <c r="CR725" s="64" t="str">
        <f>IF([1]!BANCO10[[#This Row],[SOLUÇÃO]]=CR$1,[1]!BANCO10[[#This Row],[STATUS DA ETAPA]],"")</f>
        <v/>
      </c>
      <c r="CS725" s="64" t="str">
        <f>IF([1]!BANCO10[[#This Row],[SOLUÇÃO]]=CS$1,[1]!BANCO10[[#This Row],[STATUS DA ETAPA]],"")</f>
        <v/>
      </c>
      <c r="CT725" s="64" t="str">
        <f>IF([1]!BANCO10[[#This Row],[SOLUÇÃO]]=CT$1,[1]!BANCO10[[#This Row],[STATUS DA ETAPA]],"")</f>
        <v/>
      </c>
      <c r="CU725" s="64" t="str">
        <f>IF([1]!BANCO10[[#This Row],[SOLUÇÃO]]=CU$1,[1]!BANCO10[[#This Row],[STATUS DA ETAPA]],"")</f>
        <v/>
      </c>
      <c r="CV725" s="64" t="str">
        <f>IF([1]!BANCO10[[#This Row],[SOLUÇÃO]]=CV$1,[1]!BANCO10[[#This Row],[STATUS DA ETAPA]],"")</f>
        <v/>
      </c>
    </row>
    <row r="726" spans="1:100">
      <c r="A726" s="44" t="s">
        <v>1</v>
      </c>
      <c r="B726" s="44"/>
      <c r="C726" s="44" t="s">
        <v>1</v>
      </c>
      <c r="D726" s="44"/>
      <c r="E726" s="44" t="s">
        <v>1</v>
      </c>
      <c r="F726" s="44"/>
      <c r="G726" s="44" t="s">
        <v>1</v>
      </c>
      <c r="H726" s="44"/>
      <c r="I726" s="45" t="s">
        <v>1</v>
      </c>
      <c r="J726" s="46"/>
      <c r="K726" s="45" t="s">
        <v>1</v>
      </c>
      <c r="L726" s="33"/>
      <c r="M726" s="45" t="s">
        <v>1</v>
      </c>
      <c r="N726" s="33"/>
      <c r="O726" s="44" t="s">
        <v>2</v>
      </c>
      <c r="P726" s="44">
        <v>44824</v>
      </c>
      <c r="Q726" s="44" t="s">
        <v>0</v>
      </c>
      <c r="R726" s="44"/>
      <c r="S726" s="44" t="s">
        <v>1</v>
      </c>
      <c r="T726" s="44"/>
      <c r="U726" s="44" t="s">
        <v>1</v>
      </c>
      <c r="V726" s="44"/>
      <c r="W726" s="44" t="s">
        <v>1</v>
      </c>
      <c r="X726" s="44"/>
      <c r="Y726" s="44" t="s">
        <v>1</v>
      </c>
      <c r="Z726" s="44"/>
      <c r="AA726" s="44" t="s">
        <v>1</v>
      </c>
      <c r="AB726" s="44"/>
      <c r="AC726" s="51">
        <v>44823</v>
      </c>
      <c r="AD726" s="50">
        <v>44823</v>
      </c>
      <c r="AE726" s="24" t="s">
        <v>1</v>
      </c>
      <c r="AF726" s="40" t="s">
        <v>1</v>
      </c>
      <c r="AG726" s="40" t="s">
        <v>5</v>
      </c>
      <c r="AH726" s="36" t="s">
        <v>1</v>
      </c>
      <c r="AI726" s="49">
        <v>0</v>
      </c>
      <c r="AJ726" s="36" t="s">
        <v>1</v>
      </c>
      <c r="AK726" s="10" t="s">
        <v>1</v>
      </c>
      <c r="AL726" s="36" t="s">
        <v>1</v>
      </c>
      <c r="AM726" s="36" t="s">
        <v>1</v>
      </c>
      <c r="AN726" s="35" t="s">
        <v>1</v>
      </c>
      <c r="AO726" s="35" t="s">
        <v>1</v>
      </c>
      <c r="AP726" s="35" t="s">
        <v>1</v>
      </c>
      <c r="AQ726" s="35" t="s">
        <v>1</v>
      </c>
      <c r="AR726" s="48" t="s">
        <v>1</v>
      </c>
      <c r="AS726" s="33"/>
      <c r="AT726" s="30"/>
      <c r="AU726" s="55"/>
      <c r="AV726" s="30"/>
      <c r="AW726" s="55"/>
      <c r="AX726" s="30" t="s">
        <v>1</v>
      </c>
      <c r="AY726" s="55"/>
      <c r="AZ726" s="30" t="s">
        <v>1</v>
      </c>
      <c r="BA726" s="85"/>
      <c r="BB726" s="39" t="s">
        <v>161</v>
      </c>
      <c r="BC726" s="25"/>
      <c r="BD726" s="24" t="s">
        <v>19</v>
      </c>
      <c r="BE726" s="24" t="s">
        <v>19</v>
      </c>
      <c r="BF726" s="79" t="s">
        <v>51</v>
      </c>
      <c r="BG726" s="79" t="s">
        <v>11</v>
      </c>
      <c r="BH726" s="80" t="s">
        <v>19</v>
      </c>
      <c r="BI726" s="79"/>
      <c r="BJ726" s="54" t="s">
        <v>11</v>
      </c>
      <c r="BK726" s="78" t="s">
        <v>11</v>
      </c>
      <c r="BL726" s="69" t="s">
        <v>11</v>
      </c>
      <c r="BM726" s="78" t="s">
        <v>11</v>
      </c>
      <c r="BN726" s="78" t="s">
        <v>11</v>
      </c>
      <c r="BO726" s="78" t="s">
        <v>11</v>
      </c>
      <c r="BP726" s="78" t="s">
        <v>11</v>
      </c>
      <c r="BQ726" s="21">
        <f>YEAR([1]!BANCO10[[#This Row],[DATA INÍCIO]])</f>
        <v>2022</v>
      </c>
      <c r="BR726" s="21">
        <f>MONTH([1]!BANCO10[[#This Row],[DATA INÍCIO]])</f>
        <v>9</v>
      </c>
      <c r="BS726" s="21" t="e">
        <f>CONCATENATE(#REF!,#REF!)</f>
        <v>#REF!</v>
      </c>
      <c r="BT726" s="21"/>
      <c r="BU726" s="21" t="s">
        <v>160</v>
      </c>
      <c r="BV726" s="21" t="str">
        <f>IF([1]!BANCO10[[#This Row],[SOLUÇÃO]]=BV$1,[1]!BANCO10[[#This Row],[STATUS DA ETAPA]],"")</f>
        <v>CONCLUÍDO</v>
      </c>
      <c r="BW726" s="21" t="str">
        <f>IF([1]!BANCO10[[#This Row],[SOLUÇÃO]]=BW$1,[1]!BANCO10[[#This Row],[STATUS DA ETAPA]],"")</f>
        <v/>
      </c>
      <c r="BX726" s="21" t="str">
        <f>IF([1]!BANCO10[[#This Row],[SOLUÇÃO]]=BX$1,[1]!BANCO10[[#This Row],[STATUS DA ETAPA]],"")</f>
        <v/>
      </c>
      <c r="BY726" s="21" t="str">
        <f>IF([1]!BANCO10[[#This Row],[SOLUÇÃO]]=BY$1,[1]!BANCO10[[#This Row],[STATUS DA ETAPA]],"")</f>
        <v/>
      </c>
      <c r="BZ726" s="21" t="str">
        <f>IF([1]!BANCO10[[#This Row],[SOLUÇÃO]]=BZ$1,[1]!BANCO10[[#This Row],[STATUS DA ETAPA]],"")</f>
        <v/>
      </c>
      <c r="CA726" s="21" t="str">
        <f>IF([1]!BANCO10[[#This Row],[SOLUÇÃO]]=CA$1,[1]!BANCO10[[#This Row],[STATUS DA ETAPA]],"")</f>
        <v/>
      </c>
      <c r="CB726" s="21" t="str">
        <f>IF([1]!BANCO10[[#This Row],[SOLUÇÃO]]=CB$1,[1]!BANCO10[[#This Row],[STATUS DA ETAPA]],"")</f>
        <v/>
      </c>
      <c r="CC726" s="21" t="str">
        <f>IF([1]!BANCO10[[#This Row],[SOLUÇÃO]]=CC$1,[1]!BANCO10[[#This Row],[STATUS DA ETAPA]],"")</f>
        <v/>
      </c>
      <c r="CD726" s="21" t="str">
        <f>IF([1]!BANCO10[[#This Row],[SOLUÇÃO]]=CD$1,[1]!BANCO10[[#This Row],[STATUS DA ETAPA]],"")</f>
        <v/>
      </c>
      <c r="CE726" s="21" t="str">
        <f>IF([1]!BANCO10[[#This Row],[SOLUÇÃO]]=CE$1,[1]!BANCO10[[#This Row],[STATUS DA ETAPA]],"")</f>
        <v/>
      </c>
      <c r="CF726" s="21" t="str">
        <f>IF([1]!BANCO10[[#This Row],[SOLUÇÃO]]=CF$1,[1]!BANCO10[[#This Row],[STATUS DA ETAPA]],"")</f>
        <v/>
      </c>
      <c r="CG726" s="21" t="str">
        <f>IF([1]!BANCO10[[#This Row],[SOLUÇÃO]]=CG$1,[1]!BANCO10[[#This Row],[STATUS DA ETAPA]],"")</f>
        <v/>
      </c>
      <c r="CH726" s="21" t="str">
        <f>IF([1]!BANCO10[[#This Row],[SOLUÇÃO]]=CH$1,[1]!BANCO10[[#This Row],[STATUS DA ETAPA]],"")</f>
        <v/>
      </c>
      <c r="CI726" s="21" t="str">
        <f>IF([1]!BANCO10[[#This Row],[SOLUÇÃO]]=CI$1,[1]!BANCO10[[#This Row],[STATUS DA ETAPA]],"")</f>
        <v/>
      </c>
      <c r="CJ726" s="21" t="str">
        <f>IF([1]!BANCO10[[#This Row],[SOLUÇÃO]]=CJ$1,[1]!BANCO10[[#This Row],[STATUS DA ETAPA]],"")</f>
        <v/>
      </c>
      <c r="CK726" s="21" t="str">
        <f>IF([1]!BANCO10[[#This Row],[SOLUÇÃO]]=CK$1,[1]!BANCO10[[#This Row],[STATUS DA ETAPA]],"")</f>
        <v/>
      </c>
      <c r="CL726" s="22" t="str">
        <f>IF([1]!BANCO10[[#This Row],[SOLUÇÃO]]=CL$1,[1]!BANCO10[[#This Row],[STATUS DA ETAPA]],"")</f>
        <v/>
      </c>
      <c r="CM726" s="64" t="str">
        <f>IF([1]!BANCO10[[#This Row],[SOLUÇÃO]]=CM$1,[1]!BANCO10[[#This Row],[STATUS DA ETAPA]],"")</f>
        <v/>
      </c>
      <c r="CN726" s="64" t="str">
        <f>IF([1]!BANCO10[[#This Row],[SOLUÇÃO]]=CN$1,[1]!BANCO10[[#This Row],[STATUS DA ETAPA]],"")</f>
        <v/>
      </c>
      <c r="CO726" s="64" t="str">
        <f>IF([1]!BANCO10[[#This Row],[SOLUÇÃO]]=CO$1,[1]!BANCO10[[#This Row],[STATUS DA ETAPA]],"")</f>
        <v/>
      </c>
      <c r="CP726" s="64" t="str">
        <f>IF([1]!BANCO10[[#This Row],[SOLUÇÃO]]=CP$1,[1]!BANCO10[[#This Row],[STATUS DA ETAPA]],"")</f>
        <v/>
      </c>
      <c r="CQ726" s="64" t="str">
        <f>IF([1]!BANCO10[[#This Row],[SOLUÇÃO]]=CQ$1,[1]!BANCO10[[#This Row],[STATUS DA ETAPA]],"")</f>
        <v/>
      </c>
      <c r="CR726" s="64" t="str">
        <f>IF([1]!BANCO10[[#This Row],[SOLUÇÃO]]=CR$1,[1]!BANCO10[[#This Row],[STATUS DA ETAPA]],"")</f>
        <v/>
      </c>
      <c r="CS726" s="64" t="str">
        <f>IF([1]!BANCO10[[#This Row],[SOLUÇÃO]]=CS$1,[1]!BANCO10[[#This Row],[STATUS DA ETAPA]],"")</f>
        <v/>
      </c>
      <c r="CT726" s="64" t="str">
        <f>IF([1]!BANCO10[[#This Row],[SOLUÇÃO]]=CT$1,[1]!BANCO10[[#This Row],[STATUS DA ETAPA]],"")</f>
        <v/>
      </c>
      <c r="CU726" s="64" t="str">
        <f>IF([1]!BANCO10[[#This Row],[SOLUÇÃO]]=CU$1,[1]!BANCO10[[#This Row],[STATUS DA ETAPA]],"")</f>
        <v/>
      </c>
      <c r="CV726" s="64" t="str">
        <f>IF([1]!BANCO10[[#This Row],[SOLUÇÃO]]=CV$1,[1]!BANCO10[[#This Row],[STATUS DA ETAPA]],"")</f>
        <v/>
      </c>
    </row>
    <row r="727" spans="1:100">
      <c r="A727" s="44" t="s">
        <v>1</v>
      </c>
      <c r="B727" s="44"/>
      <c r="C727" s="44" t="s">
        <v>1</v>
      </c>
      <c r="D727" s="44"/>
      <c r="E727" s="44" t="s">
        <v>1</v>
      </c>
      <c r="F727" s="44"/>
      <c r="G727" s="44" t="s">
        <v>1</v>
      </c>
      <c r="H727" s="44"/>
      <c r="I727" s="45" t="s">
        <v>1</v>
      </c>
      <c r="J727" s="46"/>
      <c r="K727" s="45" t="s">
        <v>1</v>
      </c>
      <c r="L727" s="33"/>
      <c r="M727" s="45" t="s">
        <v>1</v>
      </c>
      <c r="N727" s="33"/>
      <c r="O727" s="44" t="s">
        <v>2</v>
      </c>
      <c r="P727" s="44">
        <v>44824</v>
      </c>
      <c r="Q727" s="44" t="s">
        <v>2</v>
      </c>
      <c r="R727" s="44">
        <v>45365</v>
      </c>
      <c r="S727" s="44" t="s">
        <v>2</v>
      </c>
      <c r="T727" s="44">
        <v>45365</v>
      </c>
      <c r="U727" s="44" t="s">
        <v>2</v>
      </c>
      <c r="V727" s="44">
        <v>45365</v>
      </c>
      <c r="W727" s="44" t="s">
        <v>2</v>
      </c>
      <c r="X727" s="44"/>
      <c r="Y727" s="44" t="s">
        <v>2</v>
      </c>
      <c r="Z727" s="44">
        <v>45365</v>
      </c>
      <c r="AA727" s="44" t="s">
        <v>2</v>
      </c>
      <c r="AB727" s="44"/>
      <c r="AC727" s="51">
        <v>45400</v>
      </c>
      <c r="AD727" s="50">
        <v>45474</v>
      </c>
      <c r="AE727" s="24" t="s">
        <v>2</v>
      </c>
      <c r="AF727" s="40" t="s">
        <v>2</v>
      </c>
      <c r="AG727" s="40" t="s">
        <v>5</v>
      </c>
      <c r="AH727" s="36" t="s">
        <v>0</v>
      </c>
      <c r="AI727" s="49">
        <v>0</v>
      </c>
      <c r="AJ727" s="36" t="s">
        <v>6</v>
      </c>
      <c r="AK727" s="10">
        <v>0</v>
      </c>
      <c r="AL727" s="36">
        <v>4742</v>
      </c>
      <c r="AM727" s="36">
        <v>0</v>
      </c>
      <c r="AN727" s="35" t="s">
        <v>1</v>
      </c>
      <c r="AO727" s="35" t="s">
        <v>1</v>
      </c>
      <c r="AP727" s="35" t="s">
        <v>2</v>
      </c>
      <c r="AQ727" s="35" t="s">
        <v>1</v>
      </c>
      <c r="AR727" s="33" t="s">
        <v>1</v>
      </c>
      <c r="AS727" s="33"/>
      <c r="AT727" s="30"/>
      <c r="AU727" s="55"/>
      <c r="AV727" s="30"/>
      <c r="AW727" s="55"/>
      <c r="AX727" s="30" t="s">
        <v>2</v>
      </c>
      <c r="AY727" s="55">
        <v>45474</v>
      </c>
      <c r="AZ727" s="30" t="s">
        <v>2</v>
      </c>
      <c r="BA727" s="91">
        <v>45474</v>
      </c>
      <c r="BB727" s="39"/>
      <c r="BC727" s="25"/>
      <c r="BD727" s="24"/>
      <c r="BE727" s="24"/>
      <c r="BF727" s="79"/>
      <c r="BG727" s="79"/>
      <c r="BH727" s="80"/>
      <c r="BI727" s="79"/>
      <c r="BJ727" s="54"/>
      <c r="BK727" s="78"/>
      <c r="BL727" s="69">
        <v>45389</v>
      </c>
      <c r="BM727" s="78" t="s">
        <v>18</v>
      </c>
      <c r="BN727" s="78" t="s">
        <v>11</v>
      </c>
      <c r="BO727" s="78"/>
      <c r="BP727" s="78" t="s">
        <v>151</v>
      </c>
      <c r="BQ727" s="21">
        <f>YEAR([1]!BANCO10[[#This Row],[DATA INÍCIO]])</f>
        <v>2024</v>
      </c>
      <c r="BR727" s="21">
        <f>MONTH([1]!BANCO10[[#This Row],[DATA INÍCIO]])</f>
        <v>4</v>
      </c>
      <c r="BS727" s="21" t="e">
        <f>CONCATENATE(#REF!,#REF!)</f>
        <v>#REF!</v>
      </c>
      <c r="BT727" s="21"/>
      <c r="BU727" s="21" t="s">
        <v>159</v>
      </c>
      <c r="BV727" s="21" t="str">
        <f>IF([1]!BANCO10[[#This Row],[SOLUÇÃO]]=BV$1,[1]!BANCO10[[#This Row],[STATUS DA ETAPA]],"")</f>
        <v/>
      </c>
      <c r="BW727" s="21" t="str">
        <f>IF([1]!BANCO10[[#This Row],[SOLUÇÃO]]=BW$1,[1]!BANCO10[[#This Row],[STATUS DA ETAPA]],"")</f>
        <v/>
      </c>
      <c r="BX727" s="21" t="str">
        <f>IF([1]!BANCO10[[#This Row],[SOLUÇÃO]]=BX$1,[1]!BANCO10[[#This Row],[STATUS DA ETAPA]],"")</f>
        <v/>
      </c>
      <c r="BY727" s="21" t="str">
        <f>IF([1]!BANCO10[[#This Row],[SOLUÇÃO]]=BY$1,[1]!BANCO10[[#This Row],[STATUS DA ETAPA]],"")</f>
        <v/>
      </c>
      <c r="BZ727" s="21" t="str">
        <f>IF([1]!BANCO10[[#This Row],[SOLUÇÃO]]=BZ$1,[1]!BANCO10[[#This Row],[STATUS DA ETAPA]],"")</f>
        <v/>
      </c>
      <c r="CA727" s="21" t="str">
        <f>IF([1]!BANCO10[[#This Row],[SOLUÇÃO]]=CA$1,[1]!BANCO10[[#This Row],[STATUS DA ETAPA]],"")</f>
        <v/>
      </c>
      <c r="CB727" s="21" t="str">
        <f>IF([1]!BANCO10[[#This Row],[SOLUÇÃO]]=CB$1,[1]!BANCO10[[#This Row],[STATUS DA ETAPA]],"")</f>
        <v/>
      </c>
      <c r="CC727" s="21" t="str">
        <f>IF([1]!BANCO10[[#This Row],[SOLUÇÃO]]=CC$1,[1]!BANCO10[[#This Row],[STATUS DA ETAPA]],"")</f>
        <v/>
      </c>
      <c r="CD727" s="21" t="str">
        <f>IF([1]!BANCO10[[#This Row],[SOLUÇÃO]]=CD$1,[1]!BANCO10[[#This Row],[STATUS DA ETAPA]],"")</f>
        <v/>
      </c>
      <c r="CE727" s="21" t="str">
        <f>IF([1]!BANCO10[[#This Row],[SOLUÇÃO]]=CE$1,[1]!BANCO10[[#This Row],[STATUS DA ETAPA]],"")</f>
        <v/>
      </c>
      <c r="CF727" s="21" t="str">
        <f>IF([1]!BANCO10[[#This Row],[SOLUÇÃO]]=CF$1,[1]!BANCO10[[#This Row],[STATUS DA ETAPA]],"")</f>
        <v/>
      </c>
      <c r="CG727" s="21" t="str">
        <f>IF([1]!BANCO10[[#This Row],[SOLUÇÃO]]=CG$1,[1]!BANCO10[[#This Row],[STATUS DA ETAPA]],"")</f>
        <v/>
      </c>
      <c r="CH727" s="21" t="str">
        <f>IF([1]!BANCO10[[#This Row],[SOLUÇÃO]]=CH$1,[1]!BANCO10[[#This Row],[STATUS DA ETAPA]],"")</f>
        <v/>
      </c>
      <c r="CI727" s="21" t="str">
        <f>IF([1]!BANCO10[[#This Row],[SOLUÇÃO]]=CI$1,[1]!BANCO10[[#This Row],[STATUS DA ETAPA]],"")</f>
        <v/>
      </c>
      <c r="CJ727" s="21" t="str">
        <f>IF([1]!BANCO10[[#This Row],[SOLUÇÃO]]=CJ$1,[1]!BANCO10[[#This Row],[STATUS DA ETAPA]],"")</f>
        <v/>
      </c>
      <c r="CK727" s="21" t="str">
        <f>IF([1]!BANCO10[[#This Row],[SOLUÇÃO]]=CK$1,[1]!BANCO10[[#This Row],[STATUS DA ETAPA]],"")</f>
        <v/>
      </c>
      <c r="CL727" s="22" t="str">
        <f>IF([1]!BANCO10[[#This Row],[SOLUÇÃO]]=CL$1,[1]!BANCO10[[#This Row],[STATUS DA ETAPA]],"")</f>
        <v>CONCLUÍDO</v>
      </c>
      <c r="CM727" s="64" t="str">
        <f>IF([1]!BANCO10[[#This Row],[SOLUÇÃO]]=CM$1,[1]!BANCO10[[#This Row],[STATUS DA ETAPA]],"")</f>
        <v/>
      </c>
      <c r="CN727" s="64" t="str">
        <f>IF([1]!BANCO10[[#This Row],[SOLUÇÃO]]=CN$1,[1]!BANCO10[[#This Row],[STATUS DA ETAPA]],"")</f>
        <v/>
      </c>
      <c r="CO727" s="64" t="str">
        <f>IF([1]!BANCO10[[#This Row],[SOLUÇÃO]]=CO$1,[1]!BANCO10[[#This Row],[STATUS DA ETAPA]],"")</f>
        <v/>
      </c>
      <c r="CP727" s="64" t="str">
        <f>IF([1]!BANCO10[[#This Row],[SOLUÇÃO]]=CP$1,[1]!BANCO10[[#This Row],[STATUS DA ETAPA]],"")</f>
        <v/>
      </c>
      <c r="CQ727" s="64" t="str">
        <f>IF([1]!BANCO10[[#This Row],[SOLUÇÃO]]=CQ$1,[1]!BANCO10[[#This Row],[STATUS DA ETAPA]],"")</f>
        <v/>
      </c>
      <c r="CR727" s="64" t="str">
        <f>IF([1]!BANCO10[[#This Row],[SOLUÇÃO]]=CR$1,[1]!BANCO10[[#This Row],[STATUS DA ETAPA]],"")</f>
        <v/>
      </c>
      <c r="CS727" s="64" t="str">
        <f>IF([1]!BANCO10[[#This Row],[SOLUÇÃO]]=CS$1,[1]!BANCO10[[#This Row],[STATUS DA ETAPA]],"")</f>
        <v/>
      </c>
      <c r="CT727" s="64" t="str">
        <f>IF([1]!BANCO10[[#This Row],[SOLUÇÃO]]=CT$1,[1]!BANCO10[[#This Row],[STATUS DA ETAPA]],"")</f>
        <v/>
      </c>
      <c r="CU727" s="64" t="str">
        <f>IF([1]!BANCO10[[#This Row],[SOLUÇÃO]]=CU$1,[1]!BANCO10[[#This Row],[STATUS DA ETAPA]],"")</f>
        <v/>
      </c>
      <c r="CV727" s="64" t="str">
        <f>IF([1]!BANCO10[[#This Row],[SOLUÇÃO]]=CV$1,[1]!BANCO10[[#This Row],[STATUS DA ETAPA]],"")</f>
        <v/>
      </c>
    </row>
    <row r="728" spans="1:100">
      <c r="A728" s="44" t="s">
        <v>1</v>
      </c>
      <c r="B728" s="44"/>
      <c r="C728" s="44" t="s">
        <v>1</v>
      </c>
      <c r="D728" s="44"/>
      <c r="E728" s="44" t="s">
        <v>1</v>
      </c>
      <c r="F728" s="44"/>
      <c r="G728" s="44" t="s">
        <v>1</v>
      </c>
      <c r="H728" s="44"/>
      <c r="I728" s="45" t="s">
        <v>1</v>
      </c>
      <c r="J728" s="46"/>
      <c r="K728" s="45" t="s">
        <v>1</v>
      </c>
      <c r="L728" s="33"/>
      <c r="M728" s="45" t="s">
        <v>1</v>
      </c>
      <c r="N728" s="33"/>
      <c r="O728" s="44" t="s">
        <v>1</v>
      </c>
      <c r="P728" s="44"/>
      <c r="Q728" s="44" t="s">
        <v>1</v>
      </c>
      <c r="R728" s="44"/>
      <c r="S728" s="44" t="s">
        <v>1</v>
      </c>
      <c r="T728" s="44"/>
      <c r="U728" s="44" t="s">
        <v>1</v>
      </c>
      <c r="V728" s="44"/>
      <c r="W728" s="44" t="s">
        <v>1</v>
      </c>
      <c r="X728" s="44"/>
      <c r="Y728" s="44" t="s">
        <v>1</v>
      </c>
      <c r="Z728" s="44"/>
      <c r="AA728" s="44" t="s">
        <v>1</v>
      </c>
      <c r="AB728" s="44"/>
      <c r="AC728" s="51">
        <v>45551</v>
      </c>
      <c r="AD728" s="50">
        <v>45551</v>
      </c>
      <c r="AE728" s="54" t="s">
        <v>1</v>
      </c>
      <c r="AF728" s="41" t="s">
        <v>1</v>
      </c>
      <c r="AG728" s="40" t="s">
        <v>5</v>
      </c>
      <c r="AH728" s="36" t="s">
        <v>1</v>
      </c>
      <c r="AI728" s="49">
        <v>0</v>
      </c>
      <c r="AJ728" s="36" t="s">
        <v>1</v>
      </c>
      <c r="AK728" s="10" t="s">
        <v>1</v>
      </c>
      <c r="AL728" s="36" t="s">
        <v>1</v>
      </c>
      <c r="AM728" s="36" t="s">
        <v>1</v>
      </c>
      <c r="AN728" s="35" t="s">
        <v>1</v>
      </c>
      <c r="AO728" s="35" t="s">
        <v>1</v>
      </c>
      <c r="AP728" s="35" t="s">
        <v>1</v>
      </c>
      <c r="AQ728" s="35" t="s">
        <v>1</v>
      </c>
      <c r="AR728" s="93" t="s">
        <v>1</v>
      </c>
      <c r="AS728" s="89"/>
      <c r="AT728" s="88"/>
      <c r="AU728" s="25"/>
      <c r="AV728" s="88"/>
      <c r="AW728" s="25"/>
      <c r="AX728" s="88" t="s">
        <v>1</v>
      </c>
      <c r="AY728" s="25"/>
      <c r="AZ728" s="88" t="s">
        <v>1</v>
      </c>
      <c r="BA728" s="87"/>
      <c r="BB728" s="39" t="s">
        <v>158</v>
      </c>
      <c r="BC728" s="25"/>
      <c r="BD728" s="24"/>
      <c r="BE728" s="24"/>
      <c r="BF728" s="79"/>
      <c r="BG728" s="79"/>
      <c r="BH728" s="80"/>
      <c r="BI728" s="79"/>
      <c r="BJ728" s="54"/>
      <c r="BK728" s="78"/>
      <c r="BL728" s="69"/>
      <c r="BM728" s="78"/>
      <c r="BN728" s="78"/>
      <c r="BO728" s="78"/>
      <c r="BP728" s="78"/>
      <c r="BQ728" s="21">
        <f>YEAR([1]!BANCO10[[#This Row],[DATA INÍCIO]])</f>
        <v>2024</v>
      </c>
      <c r="BR728" s="21">
        <f>MONTH([1]!BANCO10[[#This Row],[DATA INÍCIO]])</f>
        <v>9</v>
      </c>
      <c r="BS728" s="21" t="e">
        <f>CONCATENATE(#REF!,#REF!)</f>
        <v>#REF!</v>
      </c>
      <c r="BT728" s="21"/>
      <c r="BU728" s="21"/>
      <c r="BV728" s="21" t="str">
        <f>IF([1]!BANCO10[[#This Row],[SOLUÇÃO]]=BV$1,[1]!BANCO10[[#This Row],[STATUS DA ETAPA]],"")</f>
        <v>CONCLUÍDO</v>
      </c>
      <c r="BW728" s="21" t="str">
        <f>IF([1]!BANCO10[[#This Row],[SOLUÇÃO]]=BW$1,[1]!BANCO10[[#This Row],[STATUS DA ETAPA]],"")</f>
        <v/>
      </c>
      <c r="BX728" s="21" t="str">
        <f>IF([1]!BANCO10[[#This Row],[SOLUÇÃO]]=BX$1,[1]!BANCO10[[#This Row],[STATUS DA ETAPA]],"")</f>
        <v/>
      </c>
      <c r="BY728" s="21" t="str">
        <f>IF([1]!BANCO10[[#This Row],[SOLUÇÃO]]=BY$1,[1]!BANCO10[[#This Row],[STATUS DA ETAPA]],"")</f>
        <v/>
      </c>
      <c r="BZ728" s="21" t="str">
        <f>IF([1]!BANCO10[[#This Row],[SOLUÇÃO]]=BZ$1,[1]!BANCO10[[#This Row],[STATUS DA ETAPA]],"")</f>
        <v/>
      </c>
      <c r="CA728" s="21" t="str">
        <f>IF([1]!BANCO10[[#This Row],[SOLUÇÃO]]=CA$1,[1]!BANCO10[[#This Row],[STATUS DA ETAPA]],"")</f>
        <v/>
      </c>
      <c r="CB728" s="21" t="str">
        <f>IF([1]!BANCO10[[#This Row],[SOLUÇÃO]]=CB$1,[1]!BANCO10[[#This Row],[STATUS DA ETAPA]],"")</f>
        <v/>
      </c>
      <c r="CC728" s="21" t="str">
        <f>IF([1]!BANCO10[[#This Row],[SOLUÇÃO]]=CC$1,[1]!BANCO10[[#This Row],[STATUS DA ETAPA]],"")</f>
        <v/>
      </c>
      <c r="CD728" s="21" t="str">
        <f>IF([1]!BANCO10[[#This Row],[SOLUÇÃO]]=CD$1,[1]!BANCO10[[#This Row],[STATUS DA ETAPA]],"")</f>
        <v/>
      </c>
      <c r="CE728" s="21" t="str">
        <f>IF([1]!BANCO10[[#This Row],[SOLUÇÃO]]=CE$1,[1]!BANCO10[[#This Row],[STATUS DA ETAPA]],"")</f>
        <v/>
      </c>
      <c r="CF728" s="21" t="str">
        <f>IF([1]!BANCO10[[#This Row],[SOLUÇÃO]]=CF$1,[1]!BANCO10[[#This Row],[STATUS DA ETAPA]],"")</f>
        <v/>
      </c>
      <c r="CG728" s="21" t="str">
        <f>IF([1]!BANCO10[[#This Row],[SOLUÇÃO]]=CG$1,[1]!BANCO10[[#This Row],[STATUS DA ETAPA]],"")</f>
        <v/>
      </c>
      <c r="CH728" s="21" t="str">
        <f>IF([1]!BANCO10[[#This Row],[SOLUÇÃO]]=CH$1,[1]!BANCO10[[#This Row],[STATUS DA ETAPA]],"")</f>
        <v/>
      </c>
      <c r="CI728" s="21" t="str">
        <f>IF([1]!BANCO10[[#This Row],[SOLUÇÃO]]=CI$1,[1]!BANCO10[[#This Row],[STATUS DA ETAPA]],"")</f>
        <v/>
      </c>
      <c r="CJ728" s="21" t="str">
        <f>IF([1]!BANCO10[[#This Row],[SOLUÇÃO]]=CJ$1,[1]!BANCO10[[#This Row],[STATUS DA ETAPA]],"")</f>
        <v/>
      </c>
      <c r="CK728" s="21" t="str">
        <f>IF([1]!BANCO10[[#This Row],[SOLUÇÃO]]=CK$1,[1]!BANCO10[[#This Row],[STATUS DA ETAPA]],"")</f>
        <v/>
      </c>
      <c r="CL728" s="22" t="str">
        <f>IF([1]!BANCO10[[#This Row],[SOLUÇÃO]]=CL$1,[1]!BANCO10[[#This Row],[STATUS DA ETAPA]],"")</f>
        <v/>
      </c>
      <c r="CM728" s="64" t="str">
        <f>IF([1]!BANCO10[[#This Row],[SOLUÇÃO]]=CM$1,[1]!BANCO10[[#This Row],[STATUS DA ETAPA]],"")</f>
        <v/>
      </c>
      <c r="CN728" s="64" t="str">
        <f>IF([1]!BANCO10[[#This Row],[SOLUÇÃO]]=CN$1,[1]!BANCO10[[#This Row],[STATUS DA ETAPA]],"")</f>
        <v/>
      </c>
      <c r="CO728" s="64" t="str">
        <f>IF([1]!BANCO10[[#This Row],[SOLUÇÃO]]=CO$1,[1]!BANCO10[[#This Row],[STATUS DA ETAPA]],"")</f>
        <v/>
      </c>
      <c r="CP728" s="64" t="str">
        <f>IF([1]!BANCO10[[#This Row],[SOLUÇÃO]]=CP$1,[1]!BANCO10[[#This Row],[STATUS DA ETAPA]],"")</f>
        <v/>
      </c>
      <c r="CQ728" s="64" t="str">
        <f>IF([1]!BANCO10[[#This Row],[SOLUÇÃO]]=CQ$1,[1]!BANCO10[[#This Row],[STATUS DA ETAPA]],"")</f>
        <v/>
      </c>
      <c r="CR728" s="64" t="str">
        <f>IF([1]!BANCO10[[#This Row],[SOLUÇÃO]]=CR$1,[1]!BANCO10[[#This Row],[STATUS DA ETAPA]],"")</f>
        <v/>
      </c>
      <c r="CS728" s="64" t="str">
        <f>IF([1]!BANCO10[[#This Row],[SOLUÇÃO]]=CS$1,[1]!BANCO10[[#This Row],[STATUS DA ETAPA]],"")</f>
        <v/>
      </c>
      <c r="CT728" s="64" t="str">
        <f>IF([1]!BANCO10[[#This Row],[SOLUÇÃO]]=CT$1,[1]!BANCO10[[#This Row],[STATUS DA ETAPA]],"")</f>
        <v/>
      </c>
      <c r="CU728" s="64" t="str">
        <f>IF([1]!BANCO10[[#This Row],[SOLUÇÃO]]=CU$1,[1]!BANCO10[[#This Row],[STATUS DA ETAPA]],"")</f>
        <v/>
      </c>
      <c r="CV728" s="64" t="str">
        <f>IF([1]!BANCO10[[#This Row],[SOLUÇÃO]]=CV$1,[1]!BANCO10[[#This Row],[STATUS DA ETAPA]],"")</f>
        <v/>
      </c>
    </row>
    <row r="729" spans="1:100">
      <c r="A729" s="44" t="s">
        <v>1</v>
      </c>
      <c r="B729" s="44"/>
      <c r="C729" s="44" t="s">
        <v>1</v>
      </c>
      <c r="D729" s="44"/>
      <c r="E729" s="44" t="s">
        <v>1</v>
      </c>
      <c r="F729" s="44"/>
      <c r="G729" s="44" t="s">
        <v>1</v>
      </c>
      <c r="H729" s="44"/>
      <c r="I729" s="45" t="s">
        <v>1</v>
      </c>
      <c r="J729" s="46"/>
      <c r="K729" s="45" t="s">
        <v>1</v>
      </c>
      <c r="L729" s="33"/>
      <c r="M729" s="45" t="s">
        <v>1</v>
      </c>
      <c r="N729" s="33"/>
      <c r="O729" s="44" t="s">
        <v>2</v>
      </c>
      <c r="P729" s="44">
        <v>45531</v>
      </c>
      <c r="Q729" s="44" t="s">
        <v>2</v>
      </c>
      <c r="R729" s="44">
        <v>45536</v>
      </c>
      <c r="S729" s="44" t="s">
        <v>2</v>
      </c>
      <c r="T729" s="44">
        <v>45608</v>
      </c>
      <c r="U729" s="44" t="s">
        <v>1</v>
      </c>
      <c r="V729" s="44"/>
      <c r="W729" s="44" t="s">
        <v>1</v>
      </c>
      <c r="X729" s="44"/>
      <c r="Y729" s="44" t="s">
        <v>1</v>
      </c>
      <c r="Z729" s="44"/>
      <c r="AA729" s="44" t="s">
        <v>1</v>
      </c>
      <c r="AB729" s="44"/>
      <c r="AC729" s="51">
        <v>45695</v>
      </c>
      <c r="AD729" s="50">
        <v>45791</v>
      </c>
      <c r="AE729" s="54" t="s">
        <v>2</v>
      </c>
      <c r="AF729" s="41" t="s">
        <v>2</v>
      </c>
      <c r="AG729" s="40" t="s">
        <v>5</v>
      </c>
      <c r="AH729" s="36" t="s">
        <v>0</v>
      </c>
      <c r="AI729" s="49">
        <v>0</v>
      </c>
      <c r="AJ729" s="36" t="s">
        <v>6</v>
      </c>
      <c r="AK729" s="10">
        <v>575046</v>
      </c>
      <c r="AL729" s="36" t="s">
        <v>1</v>
      </c>
      <c r="AM729" s="36" t="s">
        <v>1</v>
      </c>
      <c r="AN729" s="35" t="s">
        <v>2</v>
      </c>
      <c r="AO729" s="35" t="s">
        <v>2</v>
      </c>
      <c r="AP729" s="35" t="s">
        <v>2</v>
      </c>
      <c r="AQ729" s="35" t="s">
        <v>2</v>
      </c>
      <c r="AR729" s="33" t="s">
        <v>2</v>
      </c>
      <c r="AS729" s="33">
        <v>45803</v>
      </c>
      <c r="AT729" s="32" t="s">
        <v>1</v>
      </c>
      <c r="AU729" s="31"/>
      <c r="AV729" s="32" t="s">
        <v>1</v>
      </c>
      <c r="AW729" s="31"/>
      <c r="AX729" s="30" t="s">
        <v>2</v>
      </c>
      <c r="AY729" s="29">
        <v>45803</v>
      </c>
      <c r="AZ729" s="28" t="s">
        <v>0</v>
      </c>
      <c r="BA729" s="81"/>
      <c r="BB729" s="39"/>
      <c r="BC729" s="25" t="s">
        <v>41</v>
      </c>
      <c r="BD729" s="24"/>
      <c r="BE729" s="24"/>
      <c r="BF729" s="79"/>
      <c r="BG729" s="79"/>
      <c r="BH729" s="80"/>
      <c r="BI729" s="79"/>
      <c r="BJ729" s="54"/>
      <c r="BK729" s="78"/>
      <c r="BL729" s="69"/>
      <c r="BM729" s="78"/>
      <c r="BN729" s="78"/>
      <c r="BO729" s="78"/>
      <c r="BP729" s="78"/>
      <c r="BQ729" s="21">
        <f>YEAR([1]!BANCO10[[#This Row],[DATA INÍCIO]])</f>
        <v>2025</v>
      </c>
      <c r="BR729" s="21">
        <f>MONTH([1]!BANCO10[[#This Row],[DATA INÍCIO]])</f>
        <v>2</v>
      </c>
      <c r="BS729" s="21" t="e">
        <f>CONCATENATE(#REF!,#REF!)</f>
        <v>#REF!</v>
      </c>
      <c r="BT729" s="21"/>
      <c r="BU729" s="21"/>
      <c r="BV729" s="21" t="str">
        <f>IF([1]!BANCO10[[#This Row],[SOLUÇÃO]]=BV$1,[1]!BANCO10[[#This Row],[STATUS DA ETAPA]],"")</f>
        <v/>
      </c>
      <c r="BW729" s="21" t="str">
        <f>IF([1]!BANCO10[[#This Row],[SOLUÇÃO]]=BW$1,[1]!BANCO10[[#This Row],[STATUS DA ETAPA]],"")</f>
        <v/>
      </c>
      <c r="BX729" s="21" t="str">
        <f>IF([1]!BANCO10[[#This Row],[SOLUÇÃO]]=BX$1,[1]!BANCO10[[#This Row],[STATUS DA ETAPA]],"")</f>
        <v/>
      </c>
      <c r="BY729" s="21" t="str">
        <f>IF([1]!BANCO10[[#This Row],[SOLUÇÃO]]=BY$1,[1]!BANCO10[[#This Row],[STATUS DA ETAPA]],"")</f>
        <v/>
      </c>
      <c r="BZ729" s="21" t="str">
        <f>IF([1]!BANCO10[[#This Row],[SOLUÇÃO]]=BZ$1,[1]!BANCO10[[#This Row],[STATUS DA ETAPA]],"")</f>
        <v/>
      </c>
      <c r="CA729" s="21" t="str">
        <f>IF([1]!BANCO10[[#This Row],[SOLUÇÃO]]=CA$1,[1]!BANCO10[[#This Row],[STATUS DA ETAPA]],"")</f>
        <v/>
      </c>
      <c r="CB729" s="21" t="str">
        <f>IF([1]!BANCO10[[#This Row],[SOLUÇÃO]]=CB$1,[1]!BANCO10[[#This Row],[STATUS DA ETAPA]],"")</f>
        <v>CONCLUÍDO</v>
      </c>
      <c r="CC729" s="21" t="str">
        <f>IF([1]!BANCO10[[#This Row],[SOLUÇÃO]]=CC$1,[1]!BANCO10[[#This Row],[STATUS DA ETAPA]],"")</f>
        <v/>
      </c>
      <c r="CD729" s="21" t="str">
        <f>IF([1]!BANCO10[[#This Row],[SOLUÇÃO]]=CD$1,[1]!BANCO10[[#This Row],[STATUS DA ETAPA]],"")</f>
        <v/>
      </c>
      <c r="CE729" s="21" t="str">
        <f>IF([1]!BANCO10[[#This Row],[SOLUÇÃO]]=CE$1,[1]!BANCO10[[#This Row],[STATUS DA ETAPA]],"")</f>
        <v/>
      </c>
      <c r="CF729" s="21" t="str">
        <f>IF([1]!BANCO10[[#This Row],[SOLUÇÃO]]=CF$1,[1]!BANCO10[[#This Row],[STATUS DA ETAPA]],"")</f>
        <v/>
      </c>
      <c r="CG729" s="21" t="str">
        <f>IF([1]!BANCO10[[#This Row],[SOLUÇÃO]]=CG$1,[1]!BANCO10[[#This Row],[STATUS DA ETAPA]],"")</f>
        <v/>
      </c>
      <c r="CH729" s="21" t="str">
        <f>IF([1]!BANCO10[[#This Row],[SOLUÇÃO]]=CH$1,[1]!BANCO10[[#This Row],[STATUS DA ETAPA]],"")</f>
        <v/>
      </c>
      <c r="CI729" s="21" t="str">
        <f>IF([1]!BANCO10[[#This Row],[SOLUÇÃO]]=CI$1,[1]!BANCO10[[#This Row],[STATUS DA ETAPA]],"")</f>
        <v/>
      </c>
      <c r="CJ729" s="21" t="str">
        <f>IF([1]!BANCO10[[#This Row],[SOLUÇÃO]]=CJ$1,[1]!BANCO10[[#This Row],[STATUS DA ETAPA]],"")</f>
        <v/>
      </c>
      <c r="CK729" s="21" t="str">
        <f>IF([1]!BANCO10[[#This Row],[SOLUÇÃO]]=CK$1,[1]!BANCO10[[#This Row],[STATUS DA ETAPA]],"")</f>
        <v/>
      </c>
      <c r="CL729" s="22" t="str">
        <f>IF([1]!BANCO10[[#This Row],[SOLUÇÃO]]=CL$1,[1]!BANCO10[[#This Row],[STATUS DA ETAPA]],"")</f>
        <v/>
      </c>
      <c r="CM729" s="64" t="str">
        <f>IF([1]!BANCO10[[#This Row],[SOLUÇÃO]]=CM$1,[1]!BANCO10[[#This Row],[STATUS DA ETAPA]],"")</f>
        <v/>
      </c>
      <c r="CN729" s="64" t="str">
        <f>IF([1]!BANCO10[[#This Row],[SOLUÇÃO]]=CN$1,[1]!BANCO10[[#This Row],[STATUS DA ETAPA]],"")</f>
        <v/>
      </c>
      <c r="CO729" s="64" t="str">
        <f>IF([1]!BANCO10[[#This Row],[SOLUÇÃO]]=CO$1,[1]!BANCO10[[#This Row],[STATUS DA ETAPA]],"")</f>
        <v/>
      </c>
      <c r="CP729" s="64" t="str">
        <f>IF([1]!BANCO10[[#This Row],[SOLUÇÃO]]=CP$1,[1]!BANCO10[[#This Row],[STATUS DA ETAPA]],"")</f>
        <v/>
      </c>
      <c r="CQ729" s="64" t="str">
        <f>IF([1]!BANCO10[[#This Row],[SOLUÇÃO]]=CQ$1,[1]!BANCO10[[#This Row],[STATUS DA ETAPA]],"")</f>
        <v/>
      </c>
      <c r="CR729" s="64" t="str">
        <f>IF([1]!BANCO10[[#This Row],[SOLUÇÃO]]=CR$1,[1]!BANCO10[[#This Row],[STATUS DA ETAPA]],"")</f>
        <v/>
      </c>
      <c r="CS729" s="64" t="str">
        <f>IF([1]!BANCO10[[#This Row],[SOLUÇÃO]]=CS$1,[1]!BANCO10[[#This Row],[STATUS DA ETAPA]],"")</f>
        <v/>
      </c>
      <c r="CT729" s="64" t="str">
        <f>IF([1]!BANCO10[[#This Row],[SOLUÇÃO]]=CT$1,[1]!BANCO10[[#This Row],[STATUS DA ETAPA]],"")</f>
        <v/>
      </c>
      <c r="CU729" s="64" t="str">
        <f>IF([1]!BANCO10[[#This Row],[SOLUÇÃO]]=CU$1,[1]!BANCO10[[#This Row],[STATUS DA ETAPA]],"")</f>
        <v/>
      </c>
      <c r="CV729" s="64" t="str">
        <f>IF([1]!BANCO10[[#This Row],[SOLUÇÃO]]=CV$1,[1]!BANCO10[[#This Row],[STATUS DA ETAPA]],"")</f>
        <v/>
      </c>
    </row>
    <row r="730" spans="1:100">
      <c r="A730" s="44" t="s">
        <v>1</v>
      </c>
      <c r="B730" s="44"/>
      <c r="C730" s="44" t="s">
        <v>1</v>
      </c>
      <c r="D730" s="44"/>
      <c r="E730" s="44" t="s">
        <v>1</v>
      </c>
      <c r="F730" s="44"/>
      <c r="G730" s="44" t="s">
        <v>1</v>
      </c>
      <c r="H730" s="44"/>
      <c r="I730" s="45" t="s">
        <v>1</v>
      </c>
      <c r="J730" s="46"/>
      <c r="K730" s="45" t="s">
        <v>1</v>
      </c>
      <c r="L730" s="33"/>
      <c r="M730" s="45" t="s">
        <v>1</v>
      </c>
      <c r="N730" s="33"/>
      <c r="O730" s="44" t="s">
        <v>1</v>
      </c>
      <c r="P730" s="44"/>
      <c r="Q730" s="44" t="s">
        <v>1</v>
      </c>
      <c r="R730" s="44"/>
      <c r="S730" s="44" t="s">
        <v>1</v>
      </c>
      <c r="T730" s="44"/>
      <c r="U730" s="44" t="s">
        <v>1</v>
      </c>
      <c r="V730" s="44"/>
      <c r="W730" s="44" t="s">
        <v>1</v>
      </c>
      <c r="X730" s="44"/>
      <c r="Y730" s="44" t="s">
        <v>1</v>
      </c>
      <c r="Z730" s="44"/>
      <c r="AA730" s="44" t="s">
        <v>1</v>
      </c>
      <c r="AB730" s="44"/>
      <c r="AC730" s="51">
        <v>45807</v>
      </c>
      <c r="AD730" s="50">
        <v>45807</v>
      </c>
      <c r="AE730" s="54" t="s">
        <v>0</v>
      </c>
      <c r="AF730" s="41" t="s">
        <v>0</v>
      </c>
      <c r="AG730" s="40" t="s">
        <v>0</v>
      </c>
      <c r="AH730" s="36" t="s">
        <v>1</v>
      </c>
      <c r="AI730" s="49">
        <v>0</v>
      </c>
      <c r="AJ730" s="36" t="s">
        <v>1</v>
      </c>
      <c r="AK730" s="10" t="s">
        <v>1</v>
      </c>
      <c r="AL730" s="36" t="s">
        <v>1</v>
      </c>
      <c r="AM730" s="36" t="s">
        <v>1</v>
      </c>
      <c r="AN730" s="35" t="s">
        <v>0</v>
      </c>
      <c r="AO730" s="35" t="s">
        <v>0</v>
      </c>
      <c r="AP730" s="35" t="s">
        <v>0</v>
      </c>
      <c r="AQ730" s="35" t="s">
        <v>0</v>
      </c>
      <c r="AR730" s="33" t="s">
        <v>0</v>
      </c>
      <c r="AS730" s="33"/>
      <c r="AT730" s="32" t="s">
        <v>1</v>
      </c>
      <c r="AU730" s="31"/>
      <c r="AV730" s="32" t="s">
        <v>1</v>
      </c>
      <c r="AW730" s="31"/>
      <c r="AX730" s="30" t="s">
        <v>0</v>
      </c>
      <c r="AY730" s="29"/>
      <c r="AZ730" s="28" t="s">
        <v>0</v>
      </c>
      <c r="BA730" s="81"/>
      <c r="BB730" s="26"/>
      <c r="BC730" s="25"/>
      <c r="BD730" s="24"/>
      <c r="BE730" s="24"/>
      <c r="BF730" s="24"/>
      <c r="BG730" s="24"/>
      <c r="BH730" s="24"/>
      <c r="BI730" s="24"/>
      <c r="BJ730" s="24"/>
      <c r="BK730" s="24"/>
      <c r="BL730" s="24"/>
      <c r="BM730" s="24"/>
      <c r="BN730" s="24"/>
      <c r="BO730" s="24"/>
      <c r="BP730" s="24"/>
      <c r="BQ730" s="22">
        <f>YEAR([1]!BANCO10[[#This Row],[DATA INÍCIO]])</f>
        <v>2025</v>
      </c>
      <c r="BR730" s="22">
        <f>MONTH([1]!BANCO10[[#This Row],[DATA INÍCIO]])</f>
        <v>5</v>
      </c>
      <c r="BS730" s="23" t="e">
        <f>CONCATENATE(#REF!,#REF!)</f>
        <v>#REF!</v>
      </c>
      <c r="BT730" s="22"/>
      <c r="BU730" s="22"/>
      <c r="BV730" s="21" t="str">
        <f>IF([1]!BANCO10[[#This Row],[SOLUÇÃO]]=BV$1,[1]!BANCO10[[#This Row],[STATUS DA ETAPA]],"")</f>
        <v/>
      </c>
      <c r="BW730" s="21" t="str">
        <f>IF([1]!BANCO10[[#This Row],[SOLUÇÃO]]=BW$1,[1]!BANCO10[[#This Row],[STATUS DA ETAPA]],"")</f>
        <v/>
      </c>
      <c r="BX730" s="21" t="str">
        <f>IF([1]!BANCO10[[#This Row],[SOLUÇÃO]]=BX$1,[1]!BANCO10[[#This Row],[STATUS DA ETAPA]],"")</f>
        <v/>
      </c>
      <c r="BY730" s="21" t="str">
        <f>IF([1]!BANCO10[[#This Row],[SOLUÇÃO]]=BY$1,[1]!BANCO10[[#This Row],[STATUS DA ETAPA]],"")</f>
        <v/>
      </c>
      <c r="BZ730" s="21" t="str">
        <f>IF([1]!BANCO10[[#This Row],[SOLUÇÃO]]=BZ$1,[1]!BANCO10[[#This Row],[STATUS DA ETAPA]],"")</f>
        <v/>
      </c>
      <c r="CA730" s="21" t="str">
        <f>IF([1]!BANCO10[[#This Row],[SOLUÇÃO]]=CA$1,[1]!BANCO10[[#This Row],[STATUS DA ETAPA]],"")</f>
        <v/>
      </c>
      <c r="CB730" s="21" t="str">
        <f>IF([1]!BANCO10[[#This Row],[SOLUÇÃO]]=CB$1,[1]!BANCO10[[#This Row],[STATUS DA ETAPA]],"")</f>
        <v/>
      </c>
      <c r="CC730" s="21" t="str">
        <f>IF([1]!BANCO10[[#This Row],[SOLUÇÃO]]=CC$1,[1]!BANCO10[[#This Row],[STATUS DA ETAPA]],"")</f>
        <v/>
      </c>
      <c r="CD730" s="21" t="str">
        <f>IF([1]!BANCO10[[#This Row],[SOLUÇÃO]]=CD$1,[1]!BANCO10[[#This Row],[STATUS DA ETAPA]],"")</f>
        <v/>
      </c>
      <c r="CE730" s="21" t="str">
        <f>IF([1]!BANCO10[[#This Row],[SOLUÇÃO]]=CE$1,[1]!BANCO10[[#This Row],[STATUS DA ETAPA]],"")</f>
        <v/>
      </c>
      <c r="CF730" s="21" t="str">
        <f>IF([1]!BANCO10[[#This Row],[SOLUÇÃO]]=CF$1,[1]!BANCO10[[#This Row],[STATUS DA ETAPA]],"")</f>
        <v/>
      </c>
      <c r="CG730" s="21" t="str">
        <f>IF([1]!BANCO10[[#This Row],[SOLUÇÃO]]=CG$1,[1]!BANCO10[[#This Row],[STATUS DA ETAPA]],"")</f>
        <v/>
      </c>
      <c r="CH730" s="21" t="str">
        <f>IF([1]!BANCO10[[#This Row],[SOLUÇÃO]]=CH$1,[1]!BANCO10[[#This Row],[STATUS DA ETAPA]],"")</f>
        <v/>
      </c>
      <c r="CI730" s="21" t="str">
        <f>IF([1]!BANCO10[[#This Row],[SOLUÇÃO]]=CI$1,[1]!BANCO10[[#This Row],[STATUS DA ETAPA]],"")</f>
        <v/>
      </c>
      <c r="CJ730" s="21" t="str">
        <f>IF([1]!BANCO10[[#This Row],[SOLUÇÃO]]=CJ$1,[1]!BANCO10[[#This Row],[STATUS DA ETAPA]],"")</f>
        <v/>
      </c>
      <c r="CK730" s="21" t="str">
        <f>IF([1]!BANCO10[[#This Row],[SOLUÇÃO]]=CK$1,[1]!BANCO10[[#This Row],[STATUS DA ETAPA]],"")</f>
        <v/>
      </c>
      <c r="CL730" s="21" t="str">
        <f>IF([1]!BANCO10[[#This Row],[SOLUÇÃO]]=CL$1,[1]!BANCO10[[#This Row],[STATUS DA ETAPA]],"")</f>
        <v/>
      </c>
      <c r="CM730" s="21" t="str">
        <f>IF([1]!BANCO10[[#This Row],[SOLUÇÃO]]=CM$1,[1]!BANCO10[[#This Row],[STATUS DA ETAPA]],"")</f>
        <v/>
      </c>
      <c r="CN730" s="21" t="str">
        <f>IF([1]!BANCO10[[#This Row],[SOLUÇÃO]]=CN$1,[1]!BANCO10[[#This Row],[STATUS DA ETAPA]],"")</f>
        <v/>
      </c>
      <c r="CO730" s="21" t="str">
        <f>IF([1]!BANCO10[[#This Row],[SOLUÇÃO]]=CO$1,[1]!BANCO10[[#This Row],[STATUS DA ETAPA]],"")</f>
        <v/>
      </c>
      <c r="CP730" s="21" t="str">
        <f>IF([1]!BANCO10[[#This Row],[SOLUÇÃO]]=CP$1,[1]!BANCO10[[#This Row],[STATUS DA ETAPA]],"")</f>
        <v/>
      </c>
      <c r="CQ730" s="21" t="str">
        <f>IF([1]!BANCO10[[#This Row],[SOLUÇÃO]]=CQ$1,[1]!BANCO10[[#This Row],[STATUS DA ETAPA]],"")</f>
        <v/>
      </c>
      <c r="CR730" s="21" t="str">
        <f>IF([1]!BANCO10[[#This Row],[SOLUÇÃO]]=CR$1,[1]!BANCO10[[#This Row],[STATUS DA ETAPA]],"")</f>
        <v/>
      </c>
      <c r="CS730" s="21" t="str">
        <f>IF([1]!BANCO10[[#This Row],[SOLUÇÃO]]=CS$1,[1]!BANCO10[[#This Row],[STATUS DA ETAPA]],"")</f>
        <v/>
      </c>
      <c r="CT730" s="21" t="str">
        <f>IF([1]!BANCO10[[#This Row],[SOLUÇÃO]]=CT$1,[1]!BANCO10[[#This Row],[STATUS DA ETAPA]],"")</f>
        <v/>
      </c>
      <c r="CU730" s="21" t="str">
        <f>IF([1]!BANCO10[[#This Row],[SOLUÇÃO]]=CU$1,[1]!BANCO10[[#This Row],[STATUS DA ETAPA]],"")</f>
        <v/>
      </c>
      <c r="CV730" s="21" t="str">
        <f>IF([1]!BANCO10[[#This Row],[SOLUÇÃO]]=CV$1,[1]!BANCO10[[#This Row],[STATUS DA ETAPA]],"")</f>
        <v/>
      </c>
    </row>
    <row r="731" spans="1:100">
      <c r="A731" s="44" t="s">
        <v>1</v>
      </c>
      <c r="B731" s="44"/>
      <c r="C731" s="44" t="s">
        <v>1</v>
      </c>
      <c r="D731" s="44"/>
      <c r="E731" s="44" t="s">
        <v>1</v>
      </c>
      <c r="F731" s="44"/>
      <c r="G731" s="44" t="s">
        <v>1</v>
      </c>
      <c r="H731" s="44"/>
      <c r="I731" s="45" t="s">
        <v>1</v>
      </c>
      <c r="J731" s="46"/>
      <c r="K731" s="45" t="s">
        <v>1</v>
      </c>
      <c r="L731" s="33"/>
      <c r="M731" s="45" t="s">
        <v>1</v>
      </c>
      <c r="N731" s="33"/>
      <c r="O731" s="44" t="s">
        <v>1</v>
      </c>
      <c r="P731" s="44"/>
      <c r="Q731" s="44" t="s">
        <v>0</v>
      </c>
      <c r="R731" s="44"/>
      <c r="S731" s="44" t="s">
        <v>1</v>
      </c>
      <c r="T731" s="44"/>
      <c r="U731" s="44" t="s">
        <v>1</v>
      </c>
      <c r="V731" s="44"/>
      <c r="W731" s="44" t="s">
        <v>1</v>
      </c>
      <c r="X731" s="44"/>
      <c r="Y731" s="44" t="s">
        <v>1</v>
      </c>
      <c r="Z731" s="44"/>
      <c r="AA731" s="44" t="s">
        <v>1</v>
      </c>
      <c r="AB731" s="44"/>
      <c r="AC731" s="51">
        <v>45963</v>
      </c>
      <c r="AD731" s="50">
        <v>45963</v>
      </c>
      <c r="AE731" s="24" t="s">
        <v>1</v>
      </c>
      <c r="AF731" s="40" t="s">
        <v>1</v>
      </c>
      <c r="AG731" s="40" t="s">
        <v>1</v>
      </c>
      <c r="AH731" s="36" t="s">
        <v>1</v>
      </c>
      <c r="AI731" s="49">
        <v>0</v>
      </c>
      <c r="AJ731" s="36" t="s">
        <v>1</v>
      </c>
      <c r="AK731" s="10" t="s">
        <v>1</v>
      </c>
      <c r="AL731" s="36" t="s">
        <v>1</v>
      </c>
      <c r="AM731" s="36" t="s">
        <v>1</v>
      </c>
      <c r="AN731" s="35" t="s">
        <v>1</v>
      </c>
      <c r="AO731" s="35" t="s">
        <v>1</v>
      </c>
      <c r="AP731" s="35" t="s">
        <v>1</v>
      </c>
      <c r="AQ731" s="35" t="s">
        <v>1</v>
      </c>
      <c r="AR731" s="48" t="s">
        <v>1</v>
      </c>
      <c r="AS731" s="63"/>
      <c r="AT731" s="32" t="s">
        <v>1</v>
      </c>
      <c r="AU731" s="31"/>
      <c r="AV731" s="32" t="s">
        <v>1</v>
      </c>
      <c r="AW731" s="31"/>
      <c r="AX731" s="32" t="s">
        <v>1</v>
      </c>
      <c r="AY731" s="31"/>
      <c r="AZ731" s="32" t="s">
        <v>1</v>
      </c>
      <c r="BA731" s="47"/>
      <c r="BB731" s="39" t="s">
        <v>157</v>
      </c>
      <c r="BC731" s="25"/>
      <c r="BD731" s="24"/>
      <c r="BE731" s="24"/>
      <c r="BF731" s="79"/>
      <c r="BG731" s="79"/>
      <c r="BH731" s="80"/>
      <c r="BI731" s="79"/>
      <c r="BJ731" s="54"/>
      <c r="BK731" s="78"/>
      <c r="BL731" s="69"/>
      <c r="BM731" s="78"/>
      <c r="BN731" s="78"/>
      <c r="BO731" s="78"/>
      <c r="BP731" s="78"/>
      <c r="BQ731" s="21">
        <f>YEAR([1]!BANCO10[[#This Row],[DATA INÍCIO]])</f>
        <v>2025</v>
      </c>
      <c r="BR731" s="21">
        <f>MONTH([1]!BANCO10[[#This Row],[DATA INÍCIO]])</f>
        <v>11</v>
      </c>
      <c r="BS731" s="21" t="e">
        <f>CONCATENATE(#REF!,#REF!)</f>
        <v>#REF!</v>
      </c>
      <c r="BT731" s="21"/>
      <c r="BU731" s="21" t="s">
        <v>30</v>
      </c>
      <c r="BV731" s="21" t="str">
        <f>IF([1]!BANCO10[[#This Row],[SOLUÇÃO]]=BV$1,[1]!BANCO10[[#This Row],[STATUS DA ETAPA]],"")</f>
        <v/>
      </c>
      <c r="BW731" s="21" t="str">
        <f>IF([1]!BANCO10[[#This Row],[SOLUÇÃO]]=BW$1,[1]!BANCO10[[#This Row],[STATUS DA ETAPA]],"")</f>
        <v/>
      </c>
      <c r="BX731" s="21" t="str">
        <f>IF([1]!BANCO10[[#This Row],[SOLUÇÃO]]=BX$1,[1]!BANCO10[[#This Row],[STATUS DA ETAPA]],"")</f>
        <v/>
      </c>
      <c r="BY731" s="21" t="str">
        <f>IF([1]!BANCO10[[#This Row],[SOLUÇÃO]]=BY$1,[1]!BANCO10[[#This Row],[STATUS DA ETAPA]],"")</f>
        <v/>
      </c>
      <c r="BZ731" s="21" t="str">
        <f>IF([1]!BANCO10[[#This Row],[SOLUÇÃO]]=BZ$1,[1]!BANCO10[[#This Row],[STATUS DA ETAPA]],"")</f>
        <v/>
      </c>
      <c r="CA731" s="21" t="str">
        <f>IF([1]!BANCO10[[#This Row],[SOLUÇÃO]]=CA$1,[1]!BANCO10[[#This Row],[STATUS DA ETAPA]],"")</f>
        <v/>
      </c>
      <c r="CB731" s="21" t="str">
        <f>IF([1]!BANCO10[[#This Row],[SOLUÇÃO]]=CB$1,[1]!BANCO10[[#This Row],[STATUS DA ETAPA]],"")</f>
        <v/>
      </c>
      <c r="CC731" s="21" t="str">
        <f>IF([1]!BANCO10[[#This Row],[SOLUÇÃO]]=CC$1,[1]!BANCO10[[#This Row],[STATUS DA ETAPA]],"")</f>
        <v/>
      </c>
      <c r="CD731" s="21" t="str">
        <f>IF([1]!BANCO10[[#This Row],[SOLUÇÃO]]=CD$1,[1]!BANCO10[[#This Row],[STATUS DA ETAPA]],"")</f>
        <v/>
      </c>
      <c r="CE731" s="21" t="str">
        <f>IF([1]!BANCO10[[#This Row],[SOLUÇÃO]]=CE$1,[1]!BANCO10[[#This Row],[STATUS DA ETAPA]],"")</f>
        <v/>
      </c>
      <c r="CF731" s="21" t="str">
        <f>IF([1]!BANCO10[[#This Row],[SOLUÇÃO]]=CF$1,[1]!BANCO10[[#This Row],[STATUS DA ETAPA]],"")</f>
        <v/>
      </c>
      <c r="CG731" s="21" t="str">
        <f>IF([1]!BANCO10[[#This Row],[SOLUÇÃO]]=CG$1,[1]!BANCO10[[#This Row],[STATUS DA ETAPA]],"")</f>
        <v/>
      </c>
      <c r="CH731" s="21" t="str">
        <f>IF([1]!BANCO10[[#This Row],[SOLUÇÃO]]=CH$1,[1]!BANCO10[[#This Row],[STATUS DA ETAPA]],"")</f>
        <v/>
      </c>
      <c r="CI731" s="21" t="str">
        <f>IF([1]!BANCO10[[#This Row],[SOLUÇÃO]]=CI$1,[1]!BANCO10[[#This Row],[STATUS DA ETAPA]],"")</f>
        <v/>
      </c>
      <c r="CJ731" s="21" t="str">
        <f>IF([1]!BANCO10[[#This Row],[SOLUÇÃO]]=CJ$1,[1]!BANCO10[[#This Row],[STATUS DA ETAPA]],"")</f>
        <v/>
      </c>
      <c r="CK731" s="21" t="str">
        <f>IF([1]!BANCO10[[#This Row],[SOLUÇÃO]]=CK$1,[1]!BANCO10[[#This Row],[STATUS DA ETAPA]],"")</f>
        <v/>
      </c>
      <c r="CL731" s="22" t="str">
        <f>IF([1]!BANCO10[[#This Row],[SOLUÇÃO]]=CL$1,[1]!BANCO10[[#This Row],[STATUS DA ETAPA]],"")</f>
        <v/>
      </c>
      <c r="CM731" s="64" t="str">
        <f>IF([1]!BANCO10[[#This Row],[SOLUÇÃO]]=CM$1,[1]!BANCO10[[#This Row],[STATUS DA ETAPA]],"")</f>
        <v/>
      </c>
      <c r="CN731" s="64" t="str">
        <f>IF([1]!BANCO10[[#This Row],[SOLUÇÃO]]=CN$1,[1]!BANCO10[[#This Row],[STATUS DA ETAPA]],"")</f>
        <v/>
      </c>
      <c r="CO731" s="64" t="str">
        <f>IF([1]!BANCO10[[#This Row],[SOLUÇÃO]]=CO$1,[1]!BANCO10[[#This Row],[STATUS DA ETAPA]],"")</f>
        <v/>
      </c>
      <c r="CP731" s="64" t="str">
        <f>IF([1]!BANCO10[[#This Row],[SOLUÇÃO]]=CP$1,[1]!BANCO10[[#This Row],[STATUS DA ETAPA]],"")</f>
        <v/>
      </c>
      <c r="CQ731" s="64" t="str">
        <f>IF([1]!BANCO10[[#This Row],[SOLUÇÃO]]=CQ$1,[1]!BANCO10[[#This Row],[STATUS DA ETAPA]],"")</f>
        <v/>
      </c>
      <c r="CR731" s="64" t="str">
        <f>IF([1]!BANCO10[[#This Row],[SOLUÇÃO]]=CR$1,[1]!BANCO10[[#This Row],[STATUS DA ETAPA]],"")</f>
        <v/>
      </c>
      <c r="CS731" s="64" t="str">
        <f>IF([1]!BANCO10[[#This Row],[SOLUÇÃO]]=CS$1,[1]!BANCO10[[#This Row],[STATUS DA ETAPA]],"")</f>
        <v>CANCELADO</v>
      </c>
      <c r="CT731" s="64" t="str">
        <f>IF([1]!BANCO10[[#This Row],[SOLUÇÃO]]=CT$1,[1]!BANCO10[[#This Row],[STATUS DA ETAPA]],"")</f>
        <v/>
      </c>
      <c r="CU731" s="64" t="str">
        <f>IF([1]!BANCO10[[#This Row],[SOLUÇÃO]]=CU$1,[1]!BANCO10[[#This Row],[STATUS DA ETAPA]],"")</f>
        <v/>
      </c>
      <c r="CV731" s="64" t="str">
        <f>IF([1]!BANCO10[[#This Row],[SOLUÇÃO]]=CV$1,[1]!BANCO10[[#This Row],[STATUS DA ETAPA]],"")</f>
        <v/>
      </c>
    </row>
    <row r="732" spans="1:100">
      <c r="A732" s="44" t="s">
        <v>1</v>
      </c>
      <c r="B732" s="44"/>
      <c r="C732" s="44" t="s">
        <v>1</v>
      </c>
      <c r="D732" s="44"/>
      <c r="E732" s="44" t="s">
        <v>1</v>
      </c>
      <c r="F732" s="44"/>
      <c r="G732" s="44" t="s">
        <v>1</v>
      </c>
      <c r="H732" s="44"/>
      <c r="I732" s="45" t="s">
        <v>1</v>
      </c>
      <c r="J732" s="46"/>
      <c r="K732" s="45" t="s">
        <v>1</v>
      </c>
      <c r="L732" s="33"/>
      <c r="M732" s="45" t="s">
        <v>1</v>
      </c>
      <c r="N732" s="33"/>
      <c r="O732" s="44" t="s">
        <v>1</v>
      </c>
      <c r="P732" s="44"/>
      <c r="Q732" s="44" t="s">
        <v>0</v>
      </c>
      <c r="R732" s="44"/>
      <c r="S732" s="44" t="s">
        <v>1</v>
      </c>
      <c r="T732" s="44"/>
      <c r="U732" s="44" t="s">
        <v>1</v>
      </c>
      <c r="V732" s="44"/>
      <c r="W732" s="44" t="s">
        <v>1</v>
      </c>
      <c r="X732" s="44"/>
      <c r="Y732" s="44" t="s">
        <v>1</v>
      </c>
      <c r="Z732" s="44"/>
      <c r="AA732" s="44" t="s">
        <v>1</v>
      </c>
      <c r="AB732" s="44"/>
      <c r="AC732" s="51">
        <v>45963</v>
      </c>
      <c r="AD732" s="50">
        <v>45963</v>
      </c>
      <c r="AE732" s="24" t="s">
        <v>1</v>
      </c>
      <c r="AF732" s="40" t="s">
        <v>1</v>
      </c>
      <c r="AG732" s="40" t="s">
        <v>1</v>
      </c>
      <c r="AH732" s="36" t="s">
        <v>1</v>
      </c>
      <c r="AI732" s="49">
        <v>0</v>
      </c>
      <c r="AJ732" s="36" t="s">
        <v>1</v>
      </c>
      <c r="AK732" s="10" t="s">
        <v>1</v>
      </c>
      <c r="AL732" s="36" t="s">
        <v>1</v>
      </c>
      <c r="AM732" s="36" t="s">
        <v>1</v>
      </c>
      <c r="AN732" s="35" t="s">
        <v>1</v>
      </c>
      <c r="AO732" s="35" t="s">
        <v>1</v>
      </c>
      <c r="AP732" s="35" t="s">
        <v>1</v>
      </c>
      <c r="AQ732" s="35" t="s">
        <v>1</v>
      </c>
      <c r="AR732" s="48" t="s">
        <v>1</v>
      </c>
      <c r="AS732" s="63"/>
      <c r="AT732" s="32" t="s">
        <v>1</v>
      </c>
      <c r="AU732" s="31"/>
      <c r="AV732" s="32" t="s">
        <v>1</v>
      </c>
      <c r="AW732" s="31"/>
      <c r="AX732" s="32" t="s">
        <v>1</v>
      </c>
      <c r="AY732" s="31"/>
      <c r="AZ732" s="32" t="s">
        <v>1</v>
      </c>
      <c r="BA732" s="47"/>
      <c r="BB732" s="39" t="s">
        <v>155</v>
      </c>
      <c r="BC732" s="25"/>
      <c r="BD732" s="24" t="s">
        <v>11</v>
      </c>
      <c r="BE732" s="24" t="s">
        <v>11</v>
      </c>
      <c r="BF732" s="79" t="s">
        <v>11</v>
      </c>
      <c r="BG732" s="79" t="s">
        <v>11</v>
      </c>
      <c r="BH732" s="80" t="s">
        <v>11</v>
      </c>
      <c r="BI732" s="79"/>
      <c r="BJ732" s="54" t="s">
        <v>11</v>
      </c>
      <c r="BK732" s="78" t="s">
        <v>11</v>
      </c>
      <c r="BL732" s="69" t="s">
        <v>11</v>
      </c>
      <c r="BM732" s="78" t="s">
        <v>11</v>
      </c>
      <c r="BN732" s="78" t="s">
        <v>11</v>
      </c>
      <c r="BO732" s="78" t="s">
        <v>11</v>
      </c>
      <c r="BP732" s="78" t="s">
        <v>11</v>
      </c>
      <c r="BQ732" s="21">
        <f>YEAR([1]!BANCO10[[#This Row],[DATA INÍCIO]])</f>
        <v>2025</v>
      </c>
      <c r="BR732" s="21">
        <f>MONTH([1]!BANCO10[[#This Row],[DATA INÍCIO]])</f>
        <v>11</v>
      </c>
      <c r="BS732" s="21" t="e">
        <f>CONCATENATE(#REF!,#REF!)</f>
        <v>#REF!</v>
      </c>
      <c r="BT732" s="21"/>
      <c r="BU732" s="21" t="s">
        <v>1</v>
      </c>
      <c r="BV732" s="21" t="str">
        <f>IF([1]!BANCO10[[#This Row],[SOLUÇÃO]]=BV$1,[1]!BANCO10[[#This Row],[STATUS DA ETAPA]],"")</f>
        <v>CANCELADO</v>
      </c>
      <c r="BW732" s="21" t="str">
        <f>IF([1]!BANCO10[[#This Row],[SOLUÇÃO]]=BW$1,[1]!BANCO10[[#This Row],[STATUS DA ETAPA]],"")</f>
        <v/>
      </c>
      <c r="BX732" s="21" t="str">
        <f>IF([1]!BANCO10[[#This Row],[SOLUÇÃO]]=BX$1,[1]!BANCO10[[#This Row],[STATUS DA ETAPA]],"")</f>
        <v/>
      </c>
      <c r="BY732" s="21" t="str">
        <f>IF([1]!BANCO10[[#This Row],[SOLUÇÃO]]=BY$1,[1]!BANCO10[[#This Row],[STATUS DA ETAPA]],"")</f>
        <v/>
      </c>
      <c r="BZ732" s="21" t="str">
        <f>IF([1]!BANCO10[[#This Row],[SOLUÇÃO]]=BZ$1,[1]!BANCO10[[#This Row],[STATUS DA ETAPA]],"")</f>
        <v/>
      </c>
      <c r="CA732" s="21" t="str">
        <f>IF([1]!BANCO10[[#This Row],[SOLUÇÃO]]=CA$1,[1]!BANCO10[[#This Row],[STATUS DA ETAPA]],"")</f>
        <v/>
      </c>
      <c r="CB732" s="21" t="str">
        <f>IF([1]!BANCO10[[#This Row],[SOLUÇÃO]]=CB$1,[1]!BANCO10[[#This Row],[STATUS DA ETAPA]],"")</f>
        <v/>
      </c>
      <c r="CC732" s="21" t="str">
        <f>IF([1]!BANCO10[[#This Row],[SOLUÇÃO]]=CC$1,[1]!BANCO10[[#This Row],[STATUS DA ETAPA]],"")</f>
        <v/>
      </c>
      <c r="CD732" s="21" t="str">
        <f>IF([1]!BANCO10[[#This Row],[SOLUÇÃO]]=CD$1,[1]!BANCO10[[#This Row],[STATUS DA ETAPA]],"")</f>
        <v/>
      </c>
      <c r="CE732" s="21" t="str">
        <f>IF([1]!BANCO10[[#This Row],[SOLUÇÃO]]=CE$1,[1]!BANCO10[[#This Row],[STATUS DA ETAPA]],"")</f>
        <v/>
      </c>
      <c r="CF732" s="21" t="str">
        <f>IF([1]!BANCO10[[#This Row],[SOLUÇÃO]]=CF$1,[1]!BANCO10[[#This Row],[STATUS DA ETAPA]],"")</f>
        <v/>
      </c>
      <c r="CG732" s="21" t="str">
        <f>IF([1]!BANCO10[[#This Row],[SOLUÇÃO]]=CG$1,[1]!BANCO10[[#This Row],[STATUS DA ETAPA]],"")</f>
        <v/>
      </c>
      <c r="CH732" s="21" t="str">
        <f>IF([1]!BANCO10[[#This Row],[SOLUÇÃO]]=CH$1,[1]!BANCO10[[#This Row],[STATUS DA ETAPA]],"")</f>
        <v/>
      </c>
      <c r="CI732" s="21" t="str">
        <f>IF([1]!BANCO10[[#This Row],[SOLUÇÃO]]=CI$1,[1]!BANCO10[[#This Row],[STATUS DA ETAPA]],"")</f>
        <v/>
      </c>
      <c r="CJ732" s="21" t="str">
        <f>IF([1]!BANCO10[[#This Row],[SOLUÇÃO]]=CJ$1,[1]!BANCO10[[#This Row],[STATUS DA ETAPA]],"")</f>
        <v/>
      </c>
      <c r="CK732" s="21" t="str">
        <f>IF([1]!BANCO10[[#This Row],[SOLUÇÃO]]=CK$1,[1]!BANCO10[[#This Row],[STATUS DA ETAPA]],"")</f>
        <v/>
      </c>
      <c r="CL732" s="22" t="str">
        <f>IF([1]!BANCO10[[#This Row],[SOLUÇÃO]]=CL$1,[1]!BANCO10[[#This Row],[STATUS DA ETAPA]],"")</f>
        <v/>
      </c>
      <c r="CM732" s="64" t="str">
        <f>IF([1]!BANCO10[[#This Row],[SOLUÇÃO]]=CM$1,[1]!BANCO10[[#This Row],[STATUS DA ETAPA]],"")</f>
        <v/>
      </c>
      <c r="CN732" s="64" t="str">
        <f>IF([1]!BANCO10[[#This Row],[SOLUÇÃO]]=CN$1,[1]!BANCO10[[#This Row],[STATUS DA ETAPA]],"")</f>
        <v/>
      </c>
      <c r="CO732" s="64" t="str">
        <f>IF([1]!BANCO10[[#This Row],[SOLUÇÃO]]=CO$1,[1]!BANCO10[[#This Row],[STATUS DA ETAPA]],"")</f>
        <v/>
      </c>
      <c r="CP732" s="64" t="str">
        <f>IF([1]!BANCO10[[#This Row],[SOLUÇÃO]]=CP$1,[1]!BANCO10[[#This Row],[STATUS DA ETAPA]],"")</f>
        <v/>
      </c>
      <c r="CQ732" s="64" t="str">
        <f>IF([1]!BANCO10[[#This Row],[SOLUÇÃO]]=CQ$1,[1]!BANCO10[[#This Row],[STATUS DA ETAPA]],"")</f>
        <v/>
      </c>
      <c r="CR732" s="64" t="str">
        <f>IF([1]!BANCO10[[#This Row],[SOLUÇÃO]]=CR$1,[1]!BANCO10[[#This Row],[STATUS DA ETAPA]],"")</f>
        <v/>
      </c>
      <c r="CS732" s="64" t="str">
        <f>IF([1]!BANCO10[[#This Row],[SOLUÇÃO]]=CS$1,[1]!BANCO10[[#This Row],[STATUS DA ETAPA]],"")</f>
        <v/>
      </c>
      <c r="CT732" s="64" t="str">
        <f>IF([1]!BANCO10[[#This Row],[SOLUÇÃO]]=CT$1,[1]!BANCO10[[#This Row],[STATUS DA ETAPA]],"")</f>
        <v/>
      </c>
      <c r="CU732" s="64" t="str">
        <f>IF([1]!BANCO10[[#This Row],[SOLUÇÃO]]=CU$1,[1]!BANCO10[[#This Row],[STATUS DA ETAPA]],"")</f>
        <v/>
      </c>
      <c r="CV732" s="64" t="str">
        <f>IF([1]!BANCO10[[#This Row],[SOLUÇÃO]]=CV$1,[1]!BANCO10[[#This Row],[STATUS DA ETAPA]],"")</f>
        <v/>
      </c>
    </row>
    <row r="733" spans="1:100">
      <c r="A733" s="44" t="s">
        <v>1</v>
      </c>
      <c r="B733" s="44"/>
      <c r="C733" s="44" t="s">
        <v>1</v>
      </c>
      <c r="D733" s="44"/>
      <c r="E733" s="44" t="s">
        <v>1</v>
      </c>
      <c r="F733" s="44"/>
      <c r="G733" s="44" t="s">
        <v>1</v>
      </c>
      <c r="H733" s="44"/>
      <c r="I733" s="45" t="s">
        <v>1</v>
      </c>
      <c r="J733" s="46"/>
      <c r="K733" s="45" t="s">
        <v>1</v>
      </c>
      <c r="L733" s="33"/>
      <c r="M733" s="45" t="s">
        <v>1</v>
      </c>
      <c r="N733" s="33"/>
      <c r="O733" s="44" t="s">
        <v>1</v>
      </c>
      <c r="P733" s="44"/>
      <c r="Q733" s="44" t="s">
        <v>1</v>
      </c>
      <c r="R733" s="44"/>
      <c r="S733" s="44" t="s">
        <v>1</v>
      </c>
      <c r="T733" s="44"/>
      <c r="U733" s="44" t="s">
        <v>2</v>
      </c>
      <c r="V733" s="44">
        <v>45818</v>
      </c>
      <c r="W733" s="44" t="s">
        <v>2</v>
      </c>
      <c r="X733" s="44">
        <v>45818</v>
      </c>
      <c r="Y733" s="44" t="s">
        <v>2</v>
      </c>
      <c r="Z733" s="44">
        <v>45818</v>
      </c>
      <c r="AA733" s="44" t="s">
        <v>2</v>
      </c>
      <c r="AB733" s="44"/>
      <c r="AC733" s="51">
        <v>45833</v>
      </c>
      <c r="AD733" s="50">
        <v>45884</v>
      </c>
      <c r="AE733" s="24" t="s">
        <v>2</v>
      </c>
      <c r="AF733" s="40" t="s">
        <v>2</v>
      </c>
      <c r="AG733" s="40" t="s">
        <v>4</v>
      </c>
      <c r="AH733" s="36" t="s">
        <v>0</v>
      </c>
      <c r="AI733" s="49">
        <v>0</v>
      </c>
      <c r="AJ733" s="36" t="s">
        <v>6</v>
      </c>
      <c r="AK733" s="10" t="s">
        <v>156</v>
      </c>
      <c r="AL733" s="36" t="s">
        <v>1</v>
      </c>
      <c r="AM733" s="36" t="s">
        <v>1</v>
      </c>
      <c r="AN733" s="35" t="s">
        <v>1</v>
      </c>
      <c r="AO733" s="35" t="s">
        <v>1</v>
      </c>
      <c r="AP733" s="35" t="s">
        <v>2</v>
      </c>
      <c r="AQ733" s="35" t="s">
        <v>1</v>
      </c>
      <c r="AR733" s="33" t="s">
        <v>1</v>
      </c>
      <c r="AS733" s="33"/>
      <c r="AT733" s="32" t="s">
        <v>2</v>
      </c>
      <c r="AU733" s="31">
        <v>45904</v>
      </c>
      <c r="AV733" s="32" t="s">
        <v>2</v>
      </c>
      <c r="AW733" s="31">
        <v>45905</v>
      </c>
      <c r="AX733" s="30" t="s">
        <v>2</v>
      </c>
      <c r="AY733" s="29">
        <v>45908</v>
      </c>
      <c r="AZ733" s="28" t="s">
        <v>0</v>
      </c>
      <c r="BA733" s="81"/>
      <c r="BB733" s="39" t="s">
        <v>155</v>
      </c>
      <c r="BC733" s="25"/>
      <c r="BD733" s="24"/>
      <c r="BE733" s="24"/>
      <c r="BF733" s="79"/>
      <c r="BG733" s="79"/>
      <c r="BH733" s="80"/>
      <c r="BI733" s="79"/>
      <c r="BJ733" s="54"/>
      <c r="BK733" s="78"/>
      <c r="BL733" s="69"/>
      <c r="BM733" s="78"/>
      <c r="BN733" s="78"/>
      <c r="BO733" s="78"/>
      <c r="BP733" s="78"/>
      <c r="BQ733" s="21">
        <f>YEAR([1]!BANCO10[[#This Row],[DATA INÍCIO]])</f>
        <v>2025</v>
      </c>
      <c r="BR733" s="21">
        <f>MONTH([1]!BANCO10[[#This Row],[DATA INÍCIO]])</f>
        <v>6</v>
      </c>
      <c r="BS733" s="21" t="e">
        <f>CONCATENATE(#REF!,#REF!)</f>
        <v>#REF!</v>
      </c>
      <c r="BT733" s="21"/>
      <c r="BU733" s="21"/>
      <c r="BV733" s="21" t="str">
        <f>IF([1]!BANCO10[[#This Row],[SOLUÇÃO]]=BV$1,[1]!BANCO10[[#This Row],[STATUS DA ETAPA]],"")</f>
        <v/>
      </c>
      <c r="BW733" s="21" t="str">
        <f>IF([1]!BANCO10[[#This Row],[SOLUÇÃO]]=BW$1,[1]!BANCO10[[#This Row],[STATUS DA ETAPA]],"")</f>
        <v/>
      </c>
      <c r="BX733" s="21" t="str">
        <f>IF([1]!BANCO10[[#This Row],[SOLUÇÃO]]=BX$1,[1]!BANCO10[[#This Row],[STATUS DA ETAPA]],"")</f>
        <v/>
      </c>
      <c r="BY733" s="21" t="str">
        <f>IF([1]!BANCO10[[#This Row],[SOLUÇÃO]]=BY$1,[1]!BANCO10[[#This Row],[STATUS DA ETAPA]],"")</f>
        <v/>
      </c>
      <c r="BZ733" s="21" t="str">
        <f>IF([1]!BANCO10[[#This Row],[SOLUÇÃO]]=BZ$1,[1]!BANCO10[[#This Row],[STATUS DA ETAPA]],"")</f>
        <v/>
      </c>
      <c r="CA733" s="21" t="str">
        <f>IF([1]!BANCO10[[#This Row],[SOLUÇÃO]]=CA$1,[1]!BANCO10[[#This Row],[STATUS DA ETAPA]],"")</f>
        <v/>
      </c>
      <c r="CB733" s="21" t="str">
        <f>IF([1]!BANCO10[[#This Row],[SOLUÇÃO]]=CB$1,[1]!BANCO10[[#This Row],[STATUS DA ETAPA]],"")</f>
        <v/>
      </c>
      <c r="CC733" s="21" t="str">
        <f>IF([1]!BANCO10[[#This Row],[SOLUÇÃO]]=CC$1,[1]!BANCO10[[#This Row],[STATUS DA ETAPA]],"")</f>
        <v/>
      </c>
      <c r="CD733" s="21" t="str">
        <f>IF([1]!BANCO10[[#This Row],[SOLUÇÃO]]=CD$1,[1]!BANCO10[[#This Row],[STATUS DA ETAPA]],"")</f>
        <v/>
      </c>
      <c r="CE733" s="21" t="str">
        <f>IF([1]!BANCO10[[#This Row],[SOLUÇÃO]]=CE$1,[1]!BANCO10[[#This Row],[STATUS DA ETAPA]],"")</f>
        <v/>
      </c>
      <c r="CF733" s="21" t="str">
        <f>IF([1]!BANCO10[[#This Row],[SOLUÇÃO]]=CF$1,[1]!BANCO10[[#This Row],[STATUS DA ETAPA]],"")</f>
        <v/>
      </c>
      <c r="CG733" s="21" t="str">
        <f>IF([1]!BANCO10[[#This Row],[SOLUÇÃO]]=CG$1,[1]!BANCO10[[#This Row],[STATUS DA ETAPA]],"")</f>
        <v/>
      </c>
      <c r="CH733" s="21" t="str">
        <f>IF([1]!BANCO10[[#This Row],[SOLUÇÃO]]=CH$1,[1]!BANCO10[[#This Row],[STATUS DA ETAPA]],"")</f>
        <v/>
      </c>
      <c r="CI733" s="21" t="str">
        <f>IF([1]!BANCO10[[#This Row],[SOLUÇÃO]]=CI$1,[1]!BANCO10[[#This Row],[STATUS DA ETAPA]],"")</f>
        <v/>
      </c>
      <c r="CJ733" s="21" t="str">
        <f>IF([1]!BANCO10[[#This Row],[SOLUÇÃO]]=CJ$1,[1]!BANCO10[[#This Row],[STATUS DA ETAPA]],"")</f>
        <v/>
      </c>
      <c r="CK733" s="21" t="str">
        <f>IF([1]!BANCO10[[#This Row],[SOLUÇÃO]]=CK$1,[1]!BANCO10[[#This Row],[STATUS DA ETAPA]],"")</f>
        <v/>
      </c>
      <c r="CL733" s="22" t="str">
        <f>IF([1]!BANCO10[[#This Row],[SOLUÇÃO]]=CL$1,[1]!BANCO10[[#This Row],[STATUS DA ETAPA]],"")</f>
        <v/>
      </c>
      <c r="CM733" s="64" t="str">
        <f>IF([1]!BANCO10[[#This Row],[SOLUÇÃO]]=CM$1,[1]!BANCO10[[#This Row],[STATUS DA ETAPA]],"")</f>
        <v/>
      </c>
      <c r="CN733" s="64" t="str">
        <f>IF([1]!BANCO10[[#This Row],[SOLUÇÃO]]=CN$1,[1]!BANCO10[[#This Row],[STATUS DA ETAPA]],"")</f>
        <v/>
      </c>
      <c r="CO733" s="64" t="str">
        <f>IF([1]!BANCO10[[#This Row],[SOLUÇÃO]]=CO$1,[1]!BANCO10[[#This Row],[STATUS DA ETAPA]],"")</f>
        <v/>
      </c>
      <c r="CP733" s="64" t="str">
        <f>IF([1]!BANCO10[[#This Row],[SOLUÇÃO]]=CP$1,[1]!BANCO10[[#This Row],[STATUS DA ETAPA]],"")</f>
        <v/>
      </c>
      <c r="CQ733" s="64" t="str">
        <f>IF([1]!BANCO10[[#This Row],[SOLUÇÃO]]=CQ$1,[1]!BANCO10[[#This Row],[STATUS DA ETAPA]],"")</f>
        <v/>
      </c>
      <c r="CR733" s="64" t="str">
        <f>IF([1]!BANCO10[[#This Row],[SOLUÇÃO]]=CR$1,[1]!BANCO10[[#This Row],[STATUS DA ETAPA]],"")</f>
        <v/>
      </c>
      <c r="CS733" s="64" t="str">
        <f>IF([1]!BANCO10[[#This Row],[SOLUÇÃO]]=CS$1,[1]!BANCO10[[#This Row],[STATUS DA ETAPA]],"")</f>
        <v/>
      </c>
      <c r="CT733" s="64" t="str">
        <f>IF([1]!BANCO10[[#This Row],[SOLUÇÃO]]=CT$1,[1]!BANCO10[[#This Row],[STATUS DA ETAPA]],"")</f>
        <v/>
      </c>
      <c r="CU733" s="64" t="str">
        <f>IF([1]!BANCO10[[#This Row],[SOLUÇÃO]]=CU$1,[1]!BANCO10[[#This Row],[STATUS DA ETAPA]],"")</f>
        <v/>
      </c>
      <c r="CV733" s="64" t="str">
        <f>IF([1]!BANCO10[[#This Row],[SOLUÇÃO]]=CV$1,[1]!BANCO10[[#This Row],[STATUS DA ETAPA]],"")</f>
        <v/>
      </c>
    </row>
    <row r="734" spans="1:100">
      <c r="A734" s="44" t="s">
        <v>1</v>
      </c>
      <c r="B734" s="44"/>
      <c r="C734" s="44" t="s">
        <v>1</v>
      </c>
      <c r="D734" s="44"/>
      <c r="E734" s="44" t="s">
        <v>1</v>
      </c>
      <c r="F734" s="44"/>
      <c r="G734" s="44" t="s">
        <v>1</v>
      </c>
      <c r="H734" s="44"/>
      <c r="I734" s="45" t="s">
        <v>1</v>
      </c>
      <c r="J734" s="46"/>
      <c r="K734" s="45" t="s">
        <v>1</v>
      </c>
      <c r="L734" s="33"/>
      <c r="M734" s="45" t="s">
        <v>1</v>
      </c>
      <c r="N734" s="33"/>
      <c r="O734" s="44" t="s">
        <v>2</v>
      </c>
      <c r="P734" s="44">
        <v>44576</v>
      </c>
      <c r="Q734" s="44" t="s">
        <v>2</v>
      </c>
      <c r="R734" s="44">
        <v>44576</v>
      </c>
      <c r="S734" s="44" t="s">
        <v>1</v>
      </c>
      <c r="T734" s="44"/>
      <c r="U734" s="44"/>
      <c r="V734" s="44"/>
      <c r="W734" s="44" t="s">
        <v>1</v>
      </c>
      <c r="X734" s="44"/>
      <c r="Y734" s="44" t="s">
        <v>1</v>
      </c>
      <c r="Z734" s="44"/>
      <c r="AA734" s="44" t="s">
        <v>1</v>
      </c>
      <c r="AB734" s="44"/>
      <c r="AC734" s="51">
        <v>44637</v>
      </c>
      <c r="AD734" s="50">
        <v>44749</v>
      </c>
      <c r="AE734" s="24" t="s">
        <v>2</v>
      </c>
      <c r="AF734" s="40" t="s">
        <v>2</v>
      </c>
      <c r="AG734" s="40" t="s">
        <v>5</v>
      </c>
      <c r="AH734" s="36" t="s">
        <v>0</v>
      </c>
      <c r="AI734" s="49">
        <v>0</v>
      </c>
      <c r="AJ734" s="36"/>
      <c r="AK734" s="10"/>
      <c r="AL734" s="36" t="s">
        <v>1</v>
      </c>
      <c r="AM734" s="36" t="s">
        <v>1</v>
      </c>
      <c r="AN734" s="35" t="s">
        <v>1</v>
      </c>
      <c r="AO734" s="35" t="s">
        <v>1</v>
      </c>
      <c r="AP734" s="35" t="s">
        <v>2</v>
      </c>
      <c r="AQ734" s="35" t="s">
        <v>1</v>
      </c>
      <c r="AR734" s="33" t="s">
        <v>1</v>
      </c>
      <c r="AS734" s="33"/>
      <c r="AT734" s="30"/>
      <c r="AU734" s="55"/>
      <c r="AV734" s="30"/>
      <c r="AW734" s="55"/>
      <c r="AX734" s="30" t="s">
        <v>1</v>
      </c>
      <c r="AY734" s="55"/>
      <c r="AZ734" s="30" t="s">
        <v>1</v>
      </c>
      <c r="BA734" s="85"/>
      <c r="BB734" s="39" t="s">
        <v>149</v>
      </c>
      <c r="BC734" s="25"/>
      <c r="BD734" s="24" t="s">
        <v>146</v>
      </c>
      <c r="BE734" s="24" t="s">
        <v>146</v>
      </c>
      <c r="BF734" s="79" t="s">
        <v>146</v>
      </c>
      <c r="BG734" s="79" t="s">
        <v>146</v>
      </c>
      <c r="BH734" s="80" t="s">
        <v>146</v>
      </c>
      <c r="BI734" s="79"/>
      <c r="BJ734" s="54" t="s">
        <v>11</v>
      </c>
      <c r="BK734" s="78" t="s">
        <v>11</v>
      </c>
      <c r="BL734" s="69" t="s">
        <v>11</v>
      </c>
      <c r="BM734" s="78" t="s">
        <v>11</v>
      </c>
      <c r="BN734" s="78" t="s">
        <v>11</v>
      </c>
      <c r="BO734" s="78" t="s">
        <v>11</v>
      </c>
      <c r="BP734" s="78" t="s">
        <v>11</v>
      </c>
      <c r="BQ734" s="21">
        <f>YEAR([1]!BANCO10[[#This Row],[DATA INÍCIO]])</f>
        <v>2022</v>
      </c>
      <c r="BR734" s="21">
        <f>MONTH([1]!BANCO10[[#This Row],[DATA INÍCIO]])</f>
        <v>3</v>
      </c>
      <c r="BS734" s="21" t="e">
        <f>CONCATENATE(#REF!,#REF!)</f>
        <v>#REF!</v>
      </c>
      <c r="BT734" s="21"/>
      <c r="BU734" s="21" t="s">
        <v>154</v>
      </c>
      <c r="BV734" s="21" t="str">
        <f>IF([1]!BANCO10[[#This Row],[SOLUÇÃO]]=BV$1,[1]!BANCO10[[#This Row],[STATUS DA ETAPA]],"")</f>
        <v/>
      </c>
      <c r="BW734" s="21" t="str">
        <f>IF([1]!BANCO10[[#This Row],[SOLUÇÃO]]=BW$1,[1]!BANCO10[[#This Row],[STATUS DA ETAPA]],"")</f>
        <v/>
      </c>
      <c r="BX734" s="21" t="str">
        <f>IF([1]!BANCO10[[#This Row],[SOLUÇÃO]]=BX$1,[1]!BANCO10[[#This Row],[STATUS DA ETAPA]],"")</f>
        <v/>
      </c>
      <c r="BY734" s="21" t="str">
        <f>IF([1]!BANCO10[[#This Row],[SOLUÇÃO]]=BY$1,[1]!BANCO10[[#This Row],[STATUS DA ETAPA]],"")</f>
        <v/>
      </c>
      <c r="BZ734" s="21" t="str">
        <f>IF([1]!BANCO10[[#This Row],[SOLUÇÃO]]=BZ$1,[1]!BANCO10[[#This Row],[STATUS DA ETAPA]],"")</f>
        <v/>
      </c>
      <c r="CA734" s="21" t="str">
        <f>IF([1]!BANCO10[[#This Row],[SOLUÇÃO]]=CA$1,[1]!BANCO10[[#This Row],[STATUS DA ETAPA]],"")</f>
        <v>CONCLUÍDO</v>
      </c>
      <c r="CB734" s="21" t="str">
        <f>IF([1]!BANCO10[[#This Row],[SOLUÇÃO]]=CB$1,[1]!BANCO10[[#This Row],[STATUS DA ETAPA]],"")</f>
        <v/>
      </c>
      <c r="CC734" s="21" t="str">
        <f>IF([1]!BANCO10[[#This Row],[SOLUÇÃO]]=CC$1,[1]!BANCO10[[#This Row],[STATUS DA ETAPA]],"")</f>
        <v/>
      </c>
      <c r="CD734" s="21" t="str">
        <f>IF([1]!BANCO10[[#This Row],[SOLUÇÃO]]=CD$1,[1]!BANCO10[[#This Row],[STATUS DA ETAPA]],"")</f>
        <v/>
      </c>
      <c r="CE734" s="21" t="str">
        <f>IF([1]!BANCO10[[#This Row],[SOLUÇÃO]]=CE$1,[1]!BANCO10[[#This Row],[STATUS DA ETAPA]],"")</f>
        <v/>
      </c>
      <c r="CF734" s="21" t="str">
        <f>IF([1]!BANCO10[[#This Row],[SOLUÇÃO]]=CF$1,[1]!BANCO10[[#This Row],[STATUS DA ETAPA]],"")</f>
        <v/>
      </c>
      <c r="CG734" s="21" t="str">
        <f>IF([1]!BANCO10[[#This Row],[SOLUÇÃO]]=CG$1,[1]!BANCO10[[#This Row],[STATUS DA ETAPA]],"")</f>
        <v/>
      </c>
      <c r="CH734" s="21" t="str">
        <f>IF([1]!BANCO10[[#This Row],[SOLUÇÃO]]=CH$1,[1]!BANCO10[[#This Row],[STATUS DA ETAPA]],"")</f>
        <v/>
      </c>
      <c r="CI734" s="21" t="str">
        <f>IF([1]!BANCO10[[#This Row],[SOLUÇÃO]]=CI$1,[1]!BANCO10[[#This Row],[STATUS DA ETAPA]],"")</f>
        <v/>
      </c>
      <c r="CJ734" s="21" t="str">
        <f>IF([1]!BANCO10[[#This Row],[SOLUÇÃO]]=CJ$1,[1]!BANCO10[[#This Row],[STATUS DA ETAPA]],"")</f>
        <v/>
      </c>
      <c r="CK734" s="21" t="str">
        <f>IF([1]!BANCO10[[#This Row],[SOLUÇÃO]]=CK$1,[1]!BANCO10[[#This Row],[STATUS DA ETAPA]],"")</f>
        <v/>
      </c>
      <c r="CL734" s="22" t="str">
        <f>IF([1]!BANCO10[[#This Row],[SOLUÇÃO]]=CL$1,[1]!BANCO10[[#This Row],[STATUS DA ETAPA]],"")</f>
        <v/>
      </c>
      <c r="CM734" s="64" t="str">
        <f>IF([1]!BANCO10[[#This Row],[SOLUÇÃO]]=CM$1,[1]!BANCO10[[#This Row],[STATUS DA ETAPA]],"")</f>
        <v/>
      </c>
      <c r="CN734" s="64" t="str">
        <f>IF([1]!BANCO10[[#This Row],[SOLUÇÃO]]=CN$1,[1]!BANCO10[[#This Row],[STATUS DA ETAPA]],"")</f>
        <v/>
      </c>
      <c r="CO734" s="64" t="str">
        <f>IF([1]!BANCO10[[#This Row],[SOLUÇÃO]]=CO$1,[1]!BANCO10[[#This Row],[STATUS DA ETAPA]],"")</f>
        <v/>
      </c>
      <c r="CP734" s="64" t="str">
        <f>IF([1]!BANCO10[[#This Row],[SOLUÇÃO]]=CP$1,[1]!BANCO10[[#This Row],[STATUS DA ETAPA]],"")</f>
        <v/>
      </c>
      <c r="CQ734" s="64" t="str">
        <f>IF([1]!BANCO10[[#This Row],[SOLUÇÃO]]=CQ$1,[1]!BANCO10[[#This Row],[STATUS DA ETAPA]],"")</f>
        <v/>
      </c>
      <c r="CR734" s="64" t="str">
        <f>IF([1]!BANCO10[[#This Row],[SOLUÇÃO]]=CR$1,[1]!BANCO10[[#This Row],[STATUS DA ETAPA]],"")</f>
        <v/>
      </c>
      <c r="CS734" s="64" t="str">
        <f>IF([1]!BANCO10[[#This Row],[SOLUÇÃO]]=CS$1,[1]!BANCO10[[#This Row],[STATUS DA ETAPA]],"")</f>
        <v/>
      </c>
      <c r="CT734" s="64" t="str">
        <f>IF([1]!BANCO10[[#This Row],[SOLUÇÃO]]=CT$1,[1]!BANCO10[[#This Row],[STATUS DA ETAPA]],"")</f>
        <v/>
      </c>
      <c r="CU734" s="64" t="str">
        <f>IF([1]!BANCO10[[#This Row],[SOLUÇÃO]]=CU$1,[1]!BANCO10[[#This Row],[STATUS DA ETAPA]],"")</f>
        <v/>
      </c>
      <c r="CV734" s="64" t="str">
        <f>IF([1]!BANCO10[[#This Row],[SOLUÇÃO]]=CV$1,[1]!BANCO10[[#This Row],[STATUS DA ETAPA]],"")</f>
        <v/>
      </c>
    </row>
    <row r="735" spans="1:100">
      <c r="A735" s="44" t="s">
        <v>1</v>
      </c>
      <c r="B735" s="44"/>
      <c r="C735" s="44" t="s">
        <v>1</v>
      </c>
      <c r="D735" s="44"/>
      <c r="E735" s="44" t="s">
        <v>1</v>
      </c>
      <c r="F735" s="44"/>
      <c r="G735" s="44" t="s">
        <v>1</v>
      </c>
      <c r="H735" s="44"/>
      <c r="I735" s="45" t="s">
        <v>1</v>
      </c>
      <c r="J735" s="46"/>
      <c r="K735" s="45" t="s">
        <v>1</v>
      </c>
      <c r="L735" s="33"/>
      <c r="M735" s="45" t="s">
        <v>1</v>
      </c>
      <c r="N735" s="33"/>
      <c r="O735" s="44" t="s">
        <v>2</v>
      </c>
      <c r="P735" s="44">
        <v>44576</v>
      </c>
      <c r="Q735" s="44" t="s">
        <v>2</v>
      </c>
      <c r="R735" s="44">
        <v>44576</v>
      </c>
      <c r="S735" s="44" t="s">
        <v>1</v>
      </c>
      <c r="T735" s="44"/>
      <c r="U735" s="44"/>
      <c r="V735" s="44"/>
      <c r="W735" s="44" t="s">
        <v>1</v>
      </c>
      <c r="X735" s="44"/>
      <c r="Y735" s="44" t="s">
        <v>1</v>
      </c>
      <c r="Z735" s="44"/>
      <c r="AA735" s="44" t="s">
        <v>1</v>
      </c>
      <c r="AB735" s="44"/>
      <c r="AC735" s="51">
        <v>44994</v>
      </c>
      <c r="AD735" s="50">
        <v>45078</v>
      </c>
      <c r="AE735" s="24" t="s">
        <v>2</v>
      </c>
      <c r="AF735" s="40" t="s">
        <v>2</v>
      </c>
      <c r="AG735" s="40" t="s">
        <v>5</v>
      </c>
      <c r="AH735" s="36" t="s">
        <v>0</v>
      </c>
      <c r="AI735" s="49">
        <v>0</v>
      </c>
      <c r="AJ735" s="36"/>
      <c r="AK735" s="10">
        <v>0</v>
      </c>
      <c r="AL735" s="36">
        <v>0</v>
      </c>
      <c r="AM735" s="36" t="s">
        <v>1</v>
      </c>
      <c r="AN735" s="35" t="s">
        <v>1</v>
      </c>
      <c r="AO735" s="35" t="s">
        <v>1</v>
      </c>
      <c r="AP735" s="35" t="s">
        <v>2</v>
      </c>
      <c r="AQ735" s="35" t="s">
        <v>1</v>
      </c>
      <c r="AR735" s="33" t="s">
        <v>1</v>
      </c>
      <c r="AS735" s="33"/>
      <c r="AT735" s="30"/>
      <c r="AU735" s="55"/>
      <c r="AV735" s="30"/>
      <c r="AW735" s="55"/>
      <c r="AX735" s="30" t="s">
        <v>1</v>
      </c>
      <c r="AY735" s="55"/>
      <c r="AZ735" s="30" t="s">
        <v>1</v>
      </c>
      <c r="BA735" s="85"/>
      <c r="BB735" s="39" t="s">
        <v>149</v>
      </c>
      <c r="BC735" s="25"/>
      <c r="BD735" s="24" t="s">
        <v>146</v>
      </c>
      <c r="BE735" s="24" t="s">
        <v>146</v>
      </c>
      <c r="BF735" s="79" t="s">
        <v>146</v>
      </c>
      <c r="BG735" s="79" t="s">
        <v>146</v>
      </c>
      <c r="BH735" s="80" t="s">
        <v>146</v>
      </c>
      <c r="BI735" s="79"/>
      <c r="BJ735" s="54" t="s">
        <v>11</v>
      </c>
      <c r="BK735" s="78" t="s">
        <v>11</v>
      </c>
      <c r="BL735" s="69" t="s">
        <v>11</v>
      </c>
      <c r="BM735" s="78" t="s">
        <v>11</v>
      </c>
      <c r="BN735" s="78" t="s">
        <v>11</v>
      </c>
      <c r="BO735" s="78" t="s">
        <v>11</v>
      </c>
      <c r="BP735" s="78" t="s">
        <v>11</v>
      </c>
      <c r="BQ735" s="21">
        <f>YEAR([1]!BANCO10[[#This Row],[DATA INÍCIO]])</f>
        <v>2023</v>
      </c>
      <c r="BR735" s="21">
        <f>MONTH([1]!BANCO10[[#This Row],[DATA INÍCIO]])</f>
        <v>3</v>
      </c>
      <c r="BS735" s="21" t="e">
        <f>CONCATENATE(#REF!,#REF!)</f>
        <v>#REF!</v>
      </c>
      <c r="BT735" s="21"/>
      <c r="BU735" s="21" t="s">
        <v>153</v>
      </c>
      <c r="BV735" s="21" t="str">
        <f>IF([1]!BANCO10[[#This Row],[SOLUÇÃO]]=BV$1,[1]!BANCO10[[#This Row],[STATUS DA ETAPA]],"")</f>
        <v/>
      </c>
      <c r="BW735" s="21" t="str">
        <f>IF([1]!BANCO10[[#This Row],[SOLUÇÃO]]=BW$1,[1]!BANCO10[[#This Row],[STATUS DA ETAPA]],"")</f>
        <v/>
      </c>
      <c r="BX735" s="21" t="str">
        <f>IF([1]!BANCO10[[#This Row],[SOLUÇÃO]]=BX$1,[1]!BANCO10[[#This Row],[STATUS DA ETAPA]],"")</f>
        <v/>
      </c>
      <c r="BY735" s="21" t="str">
        <f>IF([1]!BANCO10[[#This Row],[SOLUÇÃO]]=BY$1,[1]!BANCO10[[#This Row],[STATUS DA ETAPA]],"")</f>
        <v/>
      </c>
      <c r="BZ735" s="21" t="str">
        <f>IF([1]!BANCO10[[#This Row],[SOLUÇÃO]]=BZ$1,[1]!BANCO10[[#This Row],[STATUS DA ETAPA]],"")</f>
        <v/>
      </c>
      <c r="CA735" s="21" t="str">
        <f>IF([1]!BANCO10[[#This Row],[SOLUÇÃO]]=CA$1,[1]!BANCO10[[#This Row],[STATUS DA ETAPA]],"")</f>
        <v/>
      </c>
      <c r="CB735" s="21" t="str">
        <f>IF([1]!BANCO10[[#This Row],[SOLUÇÃO]]=CB$1,[1]!BANCO10[[#This Row],[STATUS DA ETAPA]],"")</f>
        <v/>
      </c>
      <c r="CC735" s="21" t="str">
        <f>IF([1]!BANCO10[[#This Row],[SOLUÇÃO]]=CC$1,[1]!BANCO10[[#This Row],[STATUS DA ETAPA]],"")</f>
        <v>CONCLUÍDO</v>
      </c>
      <c r="CD735" s="21" t="str">
        <f>IF([1]!BANCO10[[#This Row],[SOLUÇÃO]]=CD$1,[1]!BANCO10[[#This Row],[STATUS DA ETAPA]],"")</f>
        <v/>
      </c>
      <c r="CE735" s="21" t="str">
        <f>IF([1]!BANCO10[[#This Row],[SOLUÇÃO]]=CE$1,[1]!BANCO10[[#This Row],[STATUS DA ETAPA]],"")</f>
        <v/>
      </c>
      <c r="CF735" s="21" t="str">
        <f>IF([1]!BANCO10[[#This Row],[SOLUÇÃO]]=CF$1,[1]!BANCO10[[#This Row],[STATUS DA ETAPA]],"")</f>
        <v/>
      </c>
      <c r="CG735" s="21" t="str">
        <f>IF([1]!BANCO10[[#This Row],[SOLUÇÃO]]=CG$1,[1]!BANCO10[[#This Row],[STATUS DA ETAPA]],"")</f>
        <v/>
      </c>
      <c r="CH735" s="21" t="str">
        <f>IF([1]!BANCO10[[#This Row],[SOLUÇÃO]]=CH$1,[1]!BANCO10[[#This Row],[STATUS DA ETAPA]],"")</f>
        <v/>
      </c>
      <c r="CI735" s="21" t="str">
        <f>IF([1]!BANCO10[[#This Row],[SOLUÇÃO]]=CI$1,[1]!BANCO10[[#This Row],[STATUS DA ETAPA]],"")</f>
        <v/>
      </c>
      <c r="CJ735" s="21" t="str">
        <f>IF([1]!BANCO10[[#This Row],[SOLUÇÃO]]=CJ$1,[1]!BANCO10[[#This Row],[STATUS DA ETAPA]],"")</f>
        <v/>
      </c>
      <c r="CK735" s="21" t="str">
        <f>IF([1]!BANCO10[[#This Row],[SOLUÇÃO]]=CK$1,[1]!BANCO10[[#This Row],[STATUS DA ETAPA]],"")</f>
        <v/>
      </c>
      <c r="CL735" s="22" t="str">
        <f>IF([1]!BANCO10[[#This Row],[SOLUÇÃO]]=CL$1,[1]!BANCO10[[#This Row],[STATUS DA ETAPA]],"")</f>
        <v/>
      </c>
      <c r="CM735" s="64" t="str">
        <f>IF([1]!BANCO10[[#This Row],[SOLUÇÃO]]=CM$1,[1]!BANCO10[[#This Row],[STATUS DA ETAPA]],"")</f>
        <v/>
      </c>
      <c r="CN735" s="64" t="str">
        <f>IF([1]!BANCO10[[#This Row],[SOLUÇÃO]]=CN$1,[1]!BANCO10[[#This Row],[STATUS DA ETAPA]],"")</f>
        <v/>
      </c>
      <c r="CO735" s="64" t="str">
        <f>IF([1]!BANCO10[[#This Row],[SOLUÇÃO]]=CO$1,[1]!BANCO10[[#This Row],[STATUS DA ETAPA]],"")</f>
        <v/>
      </c>
      <c r="CP735" s="64" t="str">
        <f>IF([1]!BANCO10[[#This Row],[SOLUÇÃO]]=CP$1,[1]!BANCO10[[#This Row],[STATUS DA ETAPA]],"")</f>
        <v/>
      </c>
      <c r="CQ735" s="64" t="str">
        <f>IF([1]!BANCO10[[#This Row],[SOLUÇÃO]]=CQ$1,[1]!BANCO10[[#This Row],[STATUS DA ETAPA]],"")</f>
        <v/>
      </c>
      <c r="CR735" s="64" t="str">
        <f>IF([1]!BANCO10[[#This Row],[SOLUÇÃO]]=CR$1,[1]!BANCO10[[#This Row],[STATUS DA ETAPA]],"")</f>
        <v/>
      </c>
      <c r="CS735" s="64" t="str">
        <f>IF([1]!BANCO10[[#This Row],[SOLUÇÃO]]=CS$1,[1]!BANCO10[[#This Row],[STATUS DA ETAPA]],"")</f>
        <v/>
      </c>
      <c r="CT735" s="64" t="str">
        <f>IF([1]!BANCO10[[#This Row],[SOLUÇÃO]]=CT$1,[1]!BANCO10[[#This Row],[STATUS DA ETAPA]],"")</f>
        <v/>
      </c>
      <c r="CU735" s="64" t="str">
        <f>IF([1]!BANCO10[[#This Row],[SOLUÇÃO]]=CU$1,[1]!BANCO10[[#This Row],[STATUS DA ETAPA]],"")</f>
        <v/>
      </c>
      <c r="CV735" s="64" t="str">
        <f>IF([1]!BANCO10[[#This Row],[SOLUÇÃO]]=CV$1,[1]!BANCO10[[#This Row],[STATUS DA ETAPA]],"")</f>
        <v/>
      </c>
    </row>
    <row r="736" spans="1:100">
      <c r="A736" s="44" t="s">
        <v>1</v>
      </c>
      <c r="B736" s="44"/>
      <c r="C736" s="44" t="s">
        <v>1</v>
      </c>
      <c r="D736" s="44"/>
      <c r="E736" s="44" t="s">
        <v>1</v>
      </c>
      <c r="F736" s="44"/>
      <c r="G736" s="44" t="s">
        <v>1</v>
      </c>
      <c r="H736" s="44"/>
      <c r="I736" s="45" t="s">
        <v>1</v>
      </c>
      <c r="J736" s="46"/>
      <c r="K736" s="45" t="s">
        <v>1</v>
      </c>
      <c r="L736" s="33"/>
      <c r="M736" s="45" t="s">
        <v>1</v>
      </c>
      <c r="N736" s="33"/>
      <c r="O736" s="44" t="s">
        <v>2</v>
      </c>
      <c r="P736" s="44">
        <v>44576</v>
      </c>
      <c r="Q736" s="44" t="s">
        <v>0</v>
      </c>
      <c r="R736" s="44"/>
      <c r="S736" s="44" t="s">
        <v>1</v>
      </c>
      <c r="T736" s="44"/>
      <c r="U736" s="44" t="s">
        <v>1</v>
      </c>
      <c r="V736" s="44"/>
      <c r="W736" s="44" t="s">
        <v>1</v>
      </c>
      <c r="X736" s="44"/>
      <c r="Y736" s="44" t="s">
        <v>1</v>
      </c>
      <c r="Z736" s="44"/>
      <c r="AA736" s="44" t="s">
        <v>1</v>
      </c>
      <c r="AB736" s="44"/>
      <c r="AC736" s="51">
        <v>45376</v>
      </c>
      <c r="AD736" s="50">
        <v>45376</v>
      </c>
      <c r="AE736" s="24" t="s">
        <v>1</v>
      </c>
      <c r="AF736" s="40" t="s">
        <v>1</v>
      </c>
      <c r="AG736" s="40" t="s">
        <v>5</v>
      </c>
      <c r="AH736" s="36" t="s">
        <v>1</v>
      </c>
      <c r="AI736" s="49">
        <v>0</v>
      </c>
      <c r="AJ736" s="36" t="s">
        <v>1</v>
      </c>
      <c r="AK736" s="10" t="s">
        <v>1</v>
      </c>
      <c r="AL736" s="36" t="s">
        <v>1</v>
      </c>
      <c r="AM736" s="36" t="s">
        <v>1</v>
      </c>
      <c r="AN736" s="35" t="s">
        <v>1</v>
      </c>
      <c r="AO736" s="35" t="s">
        <v>1</v>
      </c>
      <c r="AP736" s="35" t="s">
        <v>1</v>
      </c>
      <c r="AQ736" s="35" t="s">
        <v>1</v>
      </c>
      <c r="AR736" s="48" t="s">
        <v>1</v>
      </c>
      <c r="AS736" s="33"/>
      <c r="AT736" s="30"/>
      <c r="AU736" s="55"/>
      <c r="AV736" s="30"/>
      <c r="AW736" s="55"/>
      <c r="AX736" s="30" t="s">
        <v>1</v>
      </c>
      <c r="AY736" s="55"/>
      <c r="AZ736" s="30" t="s">
        <v>1</v>
      </c>
      <c r="BA736" s="85"/>
      <c r="BB736" s="39"/>
      <c r="BC736" s="25"/>
      <c r="BD736" s="24"/>
      <c r="BE736" s="24"/>
      <c r="BF736" s="79"/>
      <c r="BG736" s="79"/>
      <c r="BH736" s="80"/>
      <c r="BI736" s="79"/>
      <c r="BJ736" s="54" t="s">
        <v>11</v>
      </c>
      <c r="BK736" s="78" t="s">
        <v>11</v>
      </c>
      <c r="BL736" s="69" t="s">
        <v>11</v>
      </c>
      <c r="BM736" s="78" t="s">
        <v>11</v>
      </c>
      <c r="BN736" s="78" t="s">
        <v>11</v>
      </c>
      <c r="BO736" s="78" t="s">
        <v>11</v>
      </c>
      <c r="BP736" s="78" t="s">
        <v>11</v>
      </c>
      <c r="BQ736" s="21">
        <f>YEAR([1]!BANCO10[[#This Row],[DATA INÍCIO]])</f>
        <v>2024</v>
      </c>
      <c r="BR736" s="21">
        <f>MONTH([1]!BANCO10[[#This Row],[DATA INÍCIO]])</f>
        <v>3</v>
      </c>
      <c r="BS736" s="21" t="e">
        <f>CONCATENATE(#REF!,#REF!)</f>
        <v>#REF!</v>
      </c>
      <c r="BT736" s="21"/>
      <c r="BU736" s="21" t="s">
        <v>30</v>
      </c>
      <c r="BV736" s="21" t="str">
        <f>IF([1]!BANCO10[[#This Row],[SOLUÇÃO]]=BV$1,[1]!BANCO10[[#This Row],[STATUS DA ETAPA]],"")</f>
        <v/>
      </c>
      <c r="BW736" s="21" t="str">
        <f>IF([1]!BANCO10[[#This Row],[SOLUÇÃO]]=BW$1,[1]!BANCO10[[#This Row],[STATUS DA ETAPA]],"")</f>
        <v/>
      </c>
      <c r="BX736" s="21" t="str">
        <f>IF([1]!BANCO10[[#This Row],[SOLUÇÃO]]=BX$1,[1]!BANCO10[[#This Row],[STATUS DA ETAPA]],"")</f>
        <v/>
      </c>
      <c r="BY736" s="21" t="str">
        <f>IF([1]!BANCO10[[#This Row],[SOLUÇÃO]]=BY$1,[1]!BANCO10[[#This Row],[STATUS DA ETAPA]],"")</f>
        <v/>
      </c>
      <c r="BZ736" s="21" t="str">
        <f>IF([1]!BANCO10[[#This Row],[SOLUÇÃO]]=BZ$1,[1]!BANCO10[[#This Row],[STATUS DA ETAPA]],"")</f>
        <v/>
      </c>
      <c r="CA736" s="21" t="str">
        <f>IF([1]!BANCO10[[#This Row],[SOLUÇÃO]]=CA$1,[1]!BANCO10[[#This Row],[STATUS DA ETAPA]],"")</f>
        <v/>
      </c>
      <c r="CB736" s="21" t="str">
        <f>IF([1]!BANCO10[[#This Row],[SOLUÇÃO]]=CB$1,[1]!BANCO10[[#This Row],[STATUS DA ETAPA]],"")</f>
        <v/>
      </c>
      <c r="CC736" s="21" t="str">
        <f>IF([1]!BANCO10[[#This Row],[SOLUÇÃO]]=CC$1,[1]!BANCO10[[#This Row],[STATUS DA ETAPA]],"")</f>
        <v/>
      </c>
      <c r="CD736" s="21" t="str">
        <f>IF([1]!BANCO10[[#This Row],[SOLUÇÃO]]=CD$1,[1]!BANCO10[[#This Row],[STATUS DA ETAPA]],"")</f>
        <v/>
      </c>
      <c r="CE736" s="21" t="str">
        <f>IF([1]!BANCO10[[#This Row],[SOLUÇÃO]]=CE$1,[1]!BANCO10[[#This Row],[STATUS DA ETAPA]],"")</f>
        <v/>
      </c>
      <c r="CF736" s="21" t="str">
        <f>IF([1]!BANCO10[[#This Row],[SOLUÇÃO]]=CF$1,[1]!BANCO10[[#This Row],[STATUS DA ETAPA]],"")</f>
        <v/>
      </c>
      <c r="CG736" s="21" t="str">
        <f>IF([1]!BANCO10[[#This Row],[SOLUÇÃO]]=CG$1,[1]!BANCO10[[#This Row],[STATUS DA ETAPA]],"")</f>
        <v/>
      </c>
      <c r="CH736" s="21" t="str">
        <f>IF([1]!BANCO10[[#This Row],[SOLUÇÃO]]=CH$1,[1]!BANCO10[[#This Row],[STATUS DA ETAPA]],"")</f>
        <v/>
      </c>
      <c r="CI736" s="21" t="str">
        <f>IF([1]!BANCO10[[#This Row],[SOLUÇÃO]]=CI$1,[1]!BANCO10[[#This Row],[STATUS DA ETAPA]],"")</f>
        <v/>
      </c>
      <c r="CJ736" s="21" t="str">
        <f>IF([1]!BANCO10[[#This Row],[SOLUÇÃO]]=CJ$1,[1]!BANCO10[[#This Row],[STATUS DA ETAPA]],"")</f>
        <v/>
      </c>
      <c r="CK736" s="21" t="str">
        <f>IF([1]!BANCO10[[#This Row],[SOLUÇÃO]]=CK$1,[1]!BANCO10[[#This Row],[STATUS DA ETAPA]],"")</f>
        <v/>
      </c>
      <c r="CL736" s="22" t="str">
        <f>IF([1]!BANCO10[[#This Row],[SOLUÇÃO]]=CL$1,[1]!BANCO10[[#This Row],[STATUS DA ETAPA]],"")</f>
        <v/>
      </c>
      <c r="CM736" s="64" t="str">
        <f>IF([1]!BANCO10[[#This Row],[SOLUÇÃO]]=CM$1,[1]!BANCO10[[#This Row],[STATUS DA ETAPA]],"")</f>
        <v/>
      </c>
      <c r="CN736" s="64" t="str">
        <f>IF([1]!BANCO10[[#This Row],[SOLUÇÃO]]=CN$1,[1]!BANCO10[[#This Row],[STATUS DA ETAPA]],"")</f>
        <v/>
      </c>
      <c r="CO736" s="64" t="str">
        <f>IF([1]!BANCO10[[#This Row],[SOLUÇÃO]]=CO$1,[1]!BANCO10[[#This Row],[STATUS DA ETAPA]],"")</f>
        <v/>
      </c>
      <c r="CP736" s="64" t="str">
        <f>IF([1]!BANCO10[[#This Row],[SOLUÇÃO]]=CP$1,[1]!BANCO10[[#This Row],[STATUS DA ETAPA]],"")</f>
        <v/>
      </c>
      <c r="CQ736" s="64" t="str">
        <f>IF([1]!BANCO10[[#This Row],[SOLUÇÃO]]=CQ$1,[1]!BANCO10[[#This Row],[STATUS DA ETAPA]],"")</f>
        <v/>
      </c>
      <c r="CR736" s="64" t="str">
        <f>IF([1]!BANCO10[[#This Row],[SOLUÇÃO]]=CR$1,[1]!BANCO10[[#This Row],[STATUS DA ETAPA]],"")</f>
        <v/>
      </c>
      <c r="CS736" s="64" t="str">
        <f>IF([1]!BANCO10[[#This Row],[SOLUÇÃO]]=CS$1,[1]!BANCO10[[#This Row],[STATUS DA ETAPA]],"")</f>
        <v/>
      </c>
      <c r="CT736" s="64" t="str">
        <f>IF([1]!BANCO10[[#This Row],[SOLUÇÃO]]=CT$1,[1]!BANCO10[[#This Row],[STATUS DA ETAPA]],"")</f>
        <v>CONCLUÍDO</v>
      </c>
      <c r="CU736" s="64" t="str">
        <f>IF([1]!BANCO10[[#This Row],[SOLUÇÃO]]=CU$1,[1]!BANCO10[[#This Row],[STATUS DA ETAPA]],"")</f>
        <v/>
      </c>
      <c r="CV736" s="64" t="str">
        <f>IF([1]!BANCO10[[#This Row],[SOLUÇÃO]]=CV$1,[1]!BANCO10[[#This Row],[STATUS DA ETAPA]],"")</f>
        <v/>
      </c>
    </row>
    <row r="737" spans="1:100">
      <c r="A737" s="44" t="s">
        <v>1</v>
      </c>
      <c r="B737" s="44"/>
      <c r="C737" s="44" t="s">
        <v>1</v>
      </c>
      <c r="D737" s="44"/>
      <c r="E737" s="44" t="s">
        <v>1</v>
      </c>
      <c r="F737" s="44"/>
      <c r="G737" s="44" t="s">
        <v>1</v>
      </c>
      <c r="H737" s="44"/>
      <c r="I737" s="45" t="s">
        <v>1</v>
      </c>
      <c r="J737" s="46"/>
      <c r="K737" s="45" t="s">
        <v>1</v>
      </c>
      <c r="L737" s="33"/>
      <c r="M737" s="45" t="s">
        <v>1</v>
      </c>
      <c r="N737" s="33"/>
      <c r="O737" s="44" t="s">
        <v>2</v>
      </c>
      <c r="P737" s="44">
        <v>44576</v>
      </c>
      <c r="Q737" s="44" t="s">
        <v>2</v>
      </c>
      <c r="R737" s="44">
        <v>45378</v>
      </c>
      <c r="S737" s="44" t="s">
        <v>2</v>
      </c>
      <c r="T737" s="44">
        <v>45378</v>
      </c>
      <c r="U737" s="44" t="s">
        <v>2</v>
      </c>
      <c r="V737" s="44">
        <v>45379</v>
      </c>
      <c r="W737" s="44" t="s">
        <v>2</v>
      </c>
      <c r="X737" s="44"/>
      <c r="Y737" s="44" t="s">
        <v>2</v>
      </c>
      <c r="Z737" s="44">
        <v>45378</v>
      </c>
      <c r="AA737" s="44" t="s">
        <v>2</v>
      </c>
      <c r="AB737" s="44"/>
      <c r="AC737" s="51">
        <v>45393</v>
      </c>
      <c r="AD737" s="50">
        <v>45483</v>
      </c>
      <c r="AE737" s="24" t="s">
        <v>2</v>
      </c>
      <c r="AF737" s="41" t="s">
        <v>2</v>
      </c>
      <c r="AG737" s="40" t="s">
        <v>5</v>
      </c>
      <c r="AH737" s="36" t="s">
        <v>0</v>
      </c>
      <c r="AI737" s="49">
        <v>0</v>
      </c>
      <c r="AJ737" s="36" t="s">
        <v>6</v>
      </c>
      <c r="AK737" s="10"/>
      <c r="AL737" s="36" t="s">
        <v>152</v>
      </c>
      <c r="AM737" s="36"/>
      <c r="AN737" s="35" t="s">
        <v>1</v>
      </c>
      <c r="AO737" s="35" t="s">
        <v>1</v>
      </c>
      <c r="AP737" s="35" t="s">
        <v>2</v>
      </c>
      <c r="AQ737" s="35" t="s">
        <v>1</v>
      </c>
      <c r="AR737" s="33" t="s">
        <v>1</v>
      </c>
      <c r="AS737" s="33"/>
      <c r="AT737" s="30"/>
      <c r="AU737" s="55"/>
      <c r="AV737" s="30"/>
      <c r="AW737" s="55"/>
      <c r="AX737" s="30" t="s">
        <v>2</v>
      </c>
      <c r="AY737" s="55">
        <v>45483</v>
      </c>
      <c r="AZ737" s="30" t="s">
        <v>2</v>
      </c>
      <c r="BA737" s="91">
        <v>45483</v>
      </c>
      <c r="BB737" s="39"/>
      <c r="BC737" s="25"/>
      <c r="BD737" s="24"/>
      <c r="BE737" s="24"/>
      <c r="BF737" s="79"/>
      <c r="BG737" s="79"/>
      <c r="BH737" s="80"/>
      <c r="BI737" s="79"/>
      <c r="BJ737" s="54"/>
      <c r="BK737" s="78"/>
      <c r="BL737" s="69">
        <v>45392</v>
      </c>
      <c r="BM737" s="78" t="s">
        <v>18</v>
      </c>
      <c r="BN737" s="78" t="s">
        <v>11</v>
      </c>
      <c r="BO737" s="78"/>
      <c r="BP737" s="78" t="s">
        <v>151</v>
      </c>
      <c r="BQ737" s="21">
        <f>YEAR([1]!BANCO10[[#This Row],[DATA INÍCIO]])</f>
        <v>2024</v>
      </c>
      <c r="BR737" s="21">
        <f>MONTH([1]!BANCO10[[#This Row],[DATA INÍCIO]])</f>
        <v>4</v>
      </c>
      <c r="BS737" s="21" t="e">
        <f>CONCATENATE(#REF!,#REF!)</f>
        <v>#REF!</v>
      </c>
      <c r="BT737" s="21"/>
      <c r="BU737" s="21" t="s">
        <v>150</v>
      </c>
      <c r="BV737" s="21" t="str">
        <f>IF([1]!BANCO10[[#This Row],[SOLUÇÃO]]=BV$1,[1]!BANCO10[[#This Row],[STATUS DA ETAPA]],"")</f>
        <v/>
      </c>
      <c r="BW737" s="21" t="str">
        <f>IF([1]!BANCO10[[#This Row],[SOLUÇÃO]]=BW$1,[1]!BANCO10[[#This Row],[STATUS DA ETAPA]],"")</f>
        <v/>
      </c>
      <c r="BX737" s="21" t="str">
        <f>IF([1]!BANCO10[[#This Row],[SOLUÇÃO]]=BX$1,[1]!BANCO10[[#This Row],[STATUS DA ETAPA]],"")</f>
        <v/>
      </c>
      <c r="BY737" s="21" t="str">
        <f>IF([1]!BANCO10[[#This Row],[SOLUÇÃO]]=BY$1,[1]!BANCO10[[#This Row],[STATUS DA ETAPA]],"")</f>
        <v/>
      </c>
      <c r="BZ737" s="21" t="str">
        <f>IF([1]!BANCO10[[#This Row],[SOLUÇÃO]]=BZ$1,[1]!BANCO10[[#This Row],[STATUS DA ETAPA]],"")</f>
        <v/>
      </c>
      <c r="CA737" s="21" t="str">
        <f>IF([1]!BANCO10[[#This Row],[SOLUÇÃO]]=CA$1,[1]!BANCO10[[#This Row],[STATUS DA ETAPA]],"")</f>
        <v/>
      </c>
      <c r="CB737" s="21" t="str">
        <f>IF([1]!BANCO10[[#This Row],[SOLUÇÃO]]=CB$1,[1]!BANCO10[[#This Row],[STATUS DA ETAPA]],"")</f>
        <v/>
      </c>
      <c r="CC737" s="21" t="str">
        <f>IF([1]!BANCO10[[#This Row],[SOLUÇÃO]]=CC$1,[1]!BANCO10[[#This Row],[STATUS DA ETAPA]],"")</f>
        <v/>
      </c>
      <c r="CD737" s="21" t="str">
        <f>IF([1]!BANCO10[[#This Row],[SOLUÇÃO]]=CD$1,[1]!BANCO10[[#This Row],[STATUS DA ETAPA]],"")</f>
        <v/>
      </c>
      <c r="CE737" s="21" t="str">
        <f>IF([1]!BANCO10[[#This Row],[SOLUÇÃO]]=CE$1,[1]!BANCO10[[#This Row],[STATUS DA ETAPA]],"")</f>
        <v/>
      </c>
      <c r="CF737" s="21" t="str">
        <f>IF([1]!BANCO10[[#This Row],[SOLUÇÃO]]=CF$1,[1]!BANCO10[[#This Row],[STATUS DA ETAPA]],"")</f>
        <v/>
      </c>
      <c r="CG737" s="21" t="str">
        <f>IF([1]!BANCO10[[#This Row],[SOLUÇÃO]]=CG$1,[1]!BANCO10[[#This Row],[STATUS DA ETAPA]],"")</f>
        <v/>
      </c>
      <c r="CH737" s="21" t="str">
        <f>IF([1]!BANCO10[[#This Row],[SOLUÇÃO]]=CH$1,[1]!BANCO10[[#This Row],[STATUS DA ETAPA]],"")</f>
        <v/>
      </c>
      <c r="CI737" s="21" t="str">
        <f>IF([1]!BANCO10[[#This Row],[SOLUÇÃO]]=CI$1,[1]!BANCO10[[#This Row],[STATUS DA ETAPA]],"")</f>
        <v/>
      </c>
      <c r="CJ737" s="21" t="str">
        <f>IF([1]!BANCO10[[#This Row],[SOLUÇÃO]]=CJ$1,[1]!BANCO10[[#This Row],[STATUS DA ETAPA]],"")</f>
        <v/>
      </c>
      <c r="CK737" s="21" t="str">
        <f>IF([1]!BANCO10[[#This Row],[SOLUÇÃO]]=CK$1,[1]!BANCO10[[#This Row],[STATUS DA ETAPA]],"")</f>
        <v/>
      </c>
      <c r="CL737" s="22" t="str">
        <f>IF([1]!BANCO10[[#This Row],[SOLUÇÃO]]=CL$1,[1]!BANCO10[[#This Row],[STATUS DA ETAPA]],"")</f>
        <v>CONCLUÍDO</v>
      </c>
      <c r="CM737" s="64" t="str">
        <f>IF([1]!BANCO10[[#This Row],[SOLUÇÃO]]=CM$1,[1]!BANCO10[[#This Row],[STATUS DA ETAPA]],"")</f>
        <v/>
      </c>
      <c r="CN737" s="64" t="str">
        <f>IF([1]!BANCO10[[#This Row],[SOLUÇÃO]]=CN$1,[1]!BANCO10[[#This Row],[STATUS DA ETAPA]],"")</f>
        <v/>
      </c>
      <c r="CO737" s="64" t="str">
        <f>IF([1]!BANCO10[[#This Row],[SOLUÇÃO]]=CO$1,[1]!BANCO10[[#This Row],[STATUS DA ETAPA]],"")</f>
        <v/>
      </c>
      <c r="CP737" s="64" t="str">
        <f>IF([1]!BANCO10[[#This Row],[SOLUÇÃO]]=CP$1,[1]!BANCO10[[#This Row],[STATUS DA ETAPA]],"")</f>
        <v/>
      </c>
      <c r="CQ737" s="64" t="str">
        <f>IF([1]!BANCO10[[#This Row],[SOLUÇÃO]]=CQ$1,[1]!BANCO10[[#This Row],[STATUS DA ETAPA]],"")</f>
        <v/>
      </c>
      <c r="CR737" s="64" t="str">
        <f>IF([1]!BANCO10[[#This Row],[SOLUÇÃO]]=CR$1,[1]!BANCO10[[#This Row],[STATUS DA ETAPA]],"")</f>
        <v/>
      </c>
      <c r="CS737" s="64" t="str">
        <f>IF([1]!BANCO10[[#This Row],[SOLUÇÃO]]=CS$1,[1]!BANCO10[[#This Row],[STATUS DA ETAPA]],"")</f>
        <v/>
      </c>
      <c r="CT737" s="64" t="str">
        <f>IF([1]!BANCO10[[#This Row],[SOLUÇÃO]]=CT$1,[1]!BANCO10[[#This Row],[STATUS DA ETAPA]],"")</f>
        <v/>
      </c>
      <c r="CU737" s="64" t="str">
        <f>IF([1]!BANCO10[[#This Row],[SOLUÇÃO]]=CU$1,[1]!BANCO10[[#This Row],[STATUS DA ETAPA]],"")</f>
        <v/>
      </c>
      <c r="CV737" s="64" t="str">
        <f>IF([1]!BANCO10[[#This Row],[SOLUÇÃO]]=CV$1,[1]!BANCO10[[#This Row],[STATUS DA ETAPA]],"")</f>
        <v/>
      </c>
    </row>
    <row r="738" spans="1:100">
      <c r="A738" s="44" t="s">
        <v>1</v>
      </c>
      <c r="B738" s="44"/>
      <c r="C738" s="44" t="s">
        <v>1</v>
      </c>
      <c r="D738" s="44"/>
      <c r="E738" s="44" t="s">
        <v>1</v>
      </c>
      <c r="F738" s="44"/>
      <c r="G738" s="44" t="s">
        <v>1</v>
      </c>
      <c r="H738" s="44"/>
      <c r="I738" s="45" t="s">
        <v>1</v>
      </c>
      <c r="J738" s="46"/>
      <c r="K738" s="45" t="s">
        <v>1</v>
      </c>
      <c r="L738" s="33"/>
      <c r="M738" s="45" t="s">
        <v>1</v>
      </c>
      <c r="N738" s="33"/>
      <c r="O738" s="44" t="s">
        <v>2</v>
      </c>
      <c r="P738" s="44">
        <v>44576</v>
      </c>
      <c r="Q738" s="44" t="s">
        <v>0</v>
      </c>
      <c r="R738" s="44"/>
      <c r="S738" s="44" t="s">
        <v>1</v>
      </c>
      <c r="T738" s="44"/>
      <c r="U738" s="44" t="s">
        <v>1</v>
      </c>
      <c r="V738" s="44"/>
      <c r="W738" s="44" t="s">
        <v>1</v>
      </c>
      <c r="X738" s="44"/>
      <c r="Y738" s="44" t="s">
        <v>1</v>
      </c>
      <c r="Z738" s="44"/>
      <c r="AA738" s="44" t="s">
        <v>1</v>
      </c>
      <c r="AB738" s="44"/>
      <c r="AC738" s="51"/>
      <c r="AD738" s="50"/>
      <c r="AE738" s="24" t="s">
        <v>1</v>
      </c>
      <c r="AF738" s="40" t="s">
        <v>1</v>
      </c>
      <c r="AG738" s="40" t="s">
        <v>5</v>
      </c>
      <c r="AH738" s="36" t="s">
        <v>1</v>
      </c>
      <c r="AI738" s="49">
        <v>0</v>
      </c>
      <c r="AJ738" s="36" t="s">
        <v>1</v>
      </c>
      <c r="AK738" s="10" t="s">
        <v>1</v>
      </c>
      <c r="AL738" s="36" t="s">
        <v>1</v>
      </c>
      <c r="AM738" s="36" t="s">
        <v>1</v>
      </c>
      <c r="AN738" s="35" t="s">
        <v>1</v>
      </c>
      <c r="AO738" s="35" t="s">
        <v>1</v>
      </c>
      <c r="AP738" s="35" t="s">
        <v>1</v>
      </c>
      <c r="AQ738" s="35" t="s">
        <v>1</v>
      </c>
      <c r="AR738" s="48" t="s">
        <v>1</v>
      </c>
      <c r="AS738" s="33"/>
      <c r="AT738" s="30"/>
      <c r="AU738" s="55"/>
      <c r="AV738" s="30"/>
      <c r="AW738" s="55"/>
      <c r="AX738" s="30" t="s">
        <v>1</v>
      </c>
      <c r="AY738" s="55"/>
      <c r="AZ738" s="30" t="s">
        <v>1</v>
      </c>
      <c r="BA738" s="85"/>
      <c r="BB738" s="39" t="s">
        <v>149</v>
      </c>
      <c r="BC738" s="25"/>
      <c r="BD738" s="24" t="s">
        <v>146</v>
      </c>
      <c r="BE738" s="24" t="s">
        <v>146</v>
      </c>
      <c r="BF738" s="79" t="s">
        <v>146</v>
      </c>
      <c r="BG738" s="79" t="s">
        <v>146</v>
      </c>
      <c r="BH738" s="80" t="s">
        <v>146</v>
      </c>
      <c r="BI738" s="79"/>
      <c r="BJ738" s="54" t="s">
        <v>11</v>
      </c>
      <c r="BK738" s="78" t="s">
        <v>11</v>
      </c>
      <c r="BL738" s="69" t="s">
        <v>11</v>
      </c>
      <c r="BM738" s="78" t="s">
        <v>11</v>
      </c>
      <c r="BN738" s="78" t="s">
        <v>11</v>
      </c>
      <c r="BO738" s="78" t="s">
        <v>11</v>
      </c>
      <c r="BP738" s="78" t="s">
        <v>11</v>
      </c>
      <c r="BQ738" s="21">
        <f>YEAR([1]!BANCO10[[#This Row],[DATA INÍCIO]])</f>
        <v>1900</v>
      </c>
      <c r="BR738" s="21">
        <f>MONTH([1]!BANCO10[[#This Row],[DATA INÍCIO]])</f>
        <v>1</v>
      </c>
      <c r="BS738" s="21" t="e">
        <f>CONCATENATE(#REF!,#REF!)</f>
        <v>#REF!</v>
      </c>
      <c r="BT738" s="21"/>
      <c r="BU738" s="21" t="s">
        <v>30</v>
      </c>
      <c r="BV738" s="21" t="str">
        <f>IF([1]!BANCO10[[#This Row],[SOLUÇÃO]]=BV$1,[1]!BANCO10[[#This Row],[STATUS DA ETAPA]],"")</f>
        <v>CONCLUÍDO</v>
      </c>
      <c r="BW738" s="21" t="str">
        <f>IF([1]!BANCO10[[#This Row],[SOLUÇÃO]]=BW$1,[1]!BANCO10[[#This Row],[STATUS DA ETAPA]],"")</f>
        <v/>
      </c>
      <c r="BX738" s="21" t="str">
        <f>IF([1]!BANCO10[[#This Row],[SOLUÇÃO]]=BX$1,[1]!BANCO10[[#This Row],[STATUS DA ETAPA]],"")</f>
        <v/>
      </c>
      <c r="BY738" s="21" t="str">
        <f>IF([1]!BANCO10[[#This Row],[SOLUÇÃO]]=BY$1,[1]!BANCO10[[#This Row],[STATUS DA ETAPA]],"")</f>
        <v/>
      </c>
      <c r="BZ738" s="21" t="str">
        <f>IF([1]!BANCO10[[#This Row],[SOLUÇÃO]]=BZ$1,[1]!BANCO10[[#This Row],[STATUS DA ETAPA]],"")</f>
        <v/>
      </c>
      <c r="CA738" s="21" t="str">
        <f>IF([1]!BANCO10[[#This Row],[SOLUÇÃO]]=CA$1,[1]!BANCO10[[#This Row],[STATUS DA ETAPA]],"")</f>
        <v/>
      </c>
      <c r="CB738" s="21" t="str">
        <f>IF([1]!BANCO10[[#This Row],[SOLUÇÃO]]=CB$1,[1]!BANCO10[[#This Row],[STATUS DA ETAPA]],"")</f>
        <v/>
      </c>
      <c r="CC738" s="21" t="str">
        <f>IF([1]!BANCO10[[#This Row],[SOLUÇÃO]]=CC$1,[1]!BANCO10[[#This Row],[STATUS DA ETAPA]],"")</f>
        <v/>
      </c>
      <c r="CD738" s="21" t="str">
        <f>IF([1]!BANCO10[[#This Row],[SOLUÇÃO]]=CD$1,[1]!BANCO10[[#This Row],[STATUS DA ETAPA]],"")</f>
        <v/>
      </c>
      <c r="CE738" s="21" t="str">
        <f>IF([1]!BANCO10[[#This Row],[SOLUÇÃO]]=CE$1,[1]!BANCO10[[#This Row],[STATUS DA ETAPA]],"")</f>
        <v/>
      </c>
      <c r="CF738" s="21" t="str">
        <f>IF([1]!BANCO10[[#This Row],[SOLUÇÃO]]=CF$1,[1]!BANCO10[[#This Row],[STATUS DA ETAPA]],"")</f>
        <v/>
      </c>
      <c r="CG738" s="21" t="str">
        <f>IF([1]!BANCO10[[#This Row],[SOLUÇÃO]]=CG$1,[1]!BANCO10[[#This Row],[STATUS DA ETAPA]],"")</f>
        <v/>
      </c>
      <c r="CH738" s="21" t="str">
        <f>IF([1]!BANCO10[[#This Row],[SOLUÇÃO]]=CH$1,[1]!BANCO10[[#This Row],[STATUS DA ETAPA]],"")</f>
        <v/>
      </c>
      <c r="CI738" s="21" t="str">
        <f>IF([1]!BANCO10[[#This Row],[SOLUÇÃO]]=CI$1,[1]!BANCO10[[#This Row],[STATUS DA ETAPA]],"")</f>
        <v/>
      </c>
      <c r="CJ738" s="21" t="str">
        <f>IF([1]!BANCO10[[#This Row],[SOLUÇÃO]]=CJ$1,[1]!BANCO10[[#This Row],[STATUS DA ETAPA]],"")</f>
        <v/>
      </c>
      <c r="CK738" s="21" t="str">
        <f>IF([1]!BANCO10[[#This Row],[SOLUÇÃO]]=CK$1,[1]!BANCO10[[#This Row],[STATUS DA ETAPA]],"")</f>
        <v/>
      </c>
      <c r="CL738" s="22" t="str">
        <f>IF([1]!BANCO10[[#This Row],[SOLUÇÃO]]=CL$1,[1]!BANCO10[[#This Row],[STATUS DA ETAPA]],"")</f>
        <v/>
      </c>
      <c r="CM738" s="64" t="str">
        <f>IF([1]!BANCO10[[#This Row],[SOLUÇÃO]]=CM$1,[1]!BANCO10[[#This Row],[STATUS DA ETAPA]],"")</f>
        <v/>
      </c>
      <c r="CN738" s="64" t="str">
        <f>IF([1]!BANCO10[[#This Row],[SOLUÇÃO]]=CN$1,[1]!BANCO10[[#This Row],[STATUS DA ETAPA]],"")</f>
        <v/>
      </c>
      <c r="CO738" s="64" t="str">
        <f>IF([1]!BANCO10[[#This Row],[SOLUÇÃO]]=CO$1,[1]!BANCO10[[#This Row],[STATUS DA ETAPA]],"")</f>
        <v/>
      </c>
      <c r="CP738" s="64" t="str">
        <f>IF([1]!BANCO10[[#This Row],[SOLUÇÃO]]=CP$1,[1]!BANCO10[[#This Row],[STATUS DA ETAPA]],"")</f>
        <v/>
      </c>
      <c r="CQ738" s="64" t="str">
        <f>IF([1]!BANCO10[[#This Row],[SOLUÇÃO]]=CQ$1,[1]!BANCO10[[#This Row],[STATUS DA ETAPA]],"")</f>
        <v/>
      </c>
      <c r="CR738" s="64" t="str">
        <f>IF([1]!BANCO10[[#This Row],[SOLUÇÃO]]=CR$1,[1]!BANCO10[[#This Row],[STATUS DA ETAPA]],"")</f>
        <v/>
      </c>
      <c r="CS738" s="64" t="str">
        <f>IF([1]!BANCO10[[#This Row],[SOLUÇÃO]]=CS$1,[1]!BANCO10[[#This Row],[STATUS DA ETAPA]],"")</f>
        <v/>
      </c>
      <c r="CT738" s="64" t="str">
        <f>IF([1]!BANCO10[[#This Row],[SOLUÇÃO]]=CT$1,[1]!BANCO10[[#This Row],[STATUS DA ETAPA]],"")</f>
        <v/>
      </c>
      <c r="CU738" s="64" t="str">
        <f>IF([1]!BANCO10[[#This Row],[SOLUÇÃO]]=CU$1,[1]!BANCO10[[#This Row],[STATUS DA ETAPA]],"")</f>
        <v/>
      </c>
      <c r="CV738" s="64" t="str">
        <f>IF([1]!BANCO10[[#This Row],[SOLUÇÃO]]=CV$1,[1]!BANCO10[[#This Row],[STATUS DA ETAPA]],"")</f>
        <v/>
      </c>
    </row>
    <row r="739" spans="1:100">
      <c r="A739" s="44" t="s">
        <v>1</v>
      </c>
      <c r="B739" s="44"/>
      <c r="C739" s="44" t="s">
        <v>1</v>
      </c>
      <c r="D739" s="44"/>
      <c r="E739" s="44" t="s">
        <v>1</v>
      </c>
      <c r="F739" s="44"/>
      <c r="G739" s="44" t="s">
        <v>1</v>
      </c>
      <c r="H739" s="44"/>
      <c r="I739" s="45" t="s">
        <v>1</v>
      </c>
      <c r="J739" s="46"/>
      <c r="K739" s="45" t="s">
        <v>1</v>
      </c>
      <c r="L739" s="33"/>
      <c r="M739" s="45" t="s">
        <v>1</v>
      </c>
      <c r="N739" s="33"/>
      <c r="O739" s="44" t="s">
        <v>2</v>
      </c>
      <c r="P739" s="44">
        <v>44810</v>
      </c>
      <c r="Q739" s="44" t="s">
        <v>0</v>
      </c>
      <c r="R739" s="44"/>
      <c r="S739" s="44" t="s">
        <v>1</v>
      </c>
      <c r="T739" s="44"/>
      <c r="U739" s="44" t="s">
        <v>1</v>
      </c>
      <c r="V739" s="44"/>
      <c r="W739" s="44" t="s">
        <v>1</v>
      </c>
      <c r="X739" s="44"/>
      <c r="Y739" s="44" t="s">
        <v>1</v>
      </c>
      <c r="Z739" s="44"/>
      <c r="AA739" s="44" t="s">
        <v>1</v>
      </c>
      <c r="AB739" s="44"/>
      <c r="AC739" s="51">
        <v>44802</v>
      </c>
      <c r="AD739" s="50">
        <v>44802</v>
      </c>
      <c r="AE739" s="40" t="s">
        <v>1</v>
      </c>
      <c r="AF739" s="40" t="s">
        <v>1</v>
      </c>
      <c r="AG739" s="40" t="s">
        <v>5</v>
      </c>
      <c r="AH739" s="36" t="s">
        <v>1</v>
      </c>
      <c r="AI739" s="49">
        <v>0</v>
      </c>
      <c r="AJ739" s="36" t="s">
        <v>1</v>
      </c>
      <c r="AK739" s="10" t="s">
        <v>1</v>
      </c>
      <c r="AL739" s="36" t="s">
        <v>1</v>
      </c>
      <c r="AM739" s="36" t="s">
        <v>1</v>
      </c>
      <c r="AN739" s="35" t="s">
        <v>1</v>
      </c>
      <c r="AO739" s="35" t="s">
        <v>1</v>
      </c>
      <c r="AP739" s="35" t="s">
        <v>1</v>
      </c>
      <c r="AQ739" s="35" t="s">
        <v>1</v>
      </c>
      <c r="AR739" s="48" t="s">
        <v>1</v>
      </c>
      <c r="AS739" s="33"/>
      <c r="AT739" s="30"/>
      <c r="AU739" s="55"/>
      <c r="AV739" s="30"/>
      <c r="AW739" s="55"/>
      <c r="AX739" s="30" t="s">
        <v>1</v>
      </c>
      <c r="AY739" s="55"/>
      <c r="AZ739" s="30" t="s">
        <v>1</v>
      </c>
      <c r="BA739" s="85"/>
      <c r="BB739" s="39" t="s">
        <v>147</v>
      </c>
      <c r="BC739" s="25"/>
      <c r="BD739" s="24" t="s">
        <v>146</v>
      </c>
      <c r="BE739" s="24" t="s">
        <v>146</v>
      </c>
      <c r="BF739" s="79" t="s">
        <v>146</v>
      </c>
      <c r="BG739" s="79" t="s">
        <v>146</v>
      </c>
      <c r="BH739" s="80" t="s">
        <v>146</v>
      </c>
      <c r="BI739" s="79"/>
      <c r="BJ739" s="54" t="s">
        <v>11</v>
      </c>
      <c r="BK739" s="78" t="s">
        <v>11</v>
      </c>
      <c r="BL739" s="69" t="s">
        <v>11</v>
      </c>
      <c r="BM739" s="78" t="s">
        <v>11</v>
      </c>
      <c r="BN739" s="78" t="s">
        <v>11</v>
      </c>
      <c r="BO739" s="78" t="s">
        <v>11</v>
      </c>
      <c r="BP739" s="78" t="s">
        <v>11</v>
      </c>
      <c r="BQ739" s="21">
        <f>YEAR([1]!BANCO10[[#This Row],[DATA INÍCIO]])</f>
        <v>2022</v>
      </c>
      <c r="BR739" s="21">
        <f>MONTH([1]!BANCO10[[#This Row],[DATA INÍCIO]])</f>
        <v>8</v>
      </c>
      <c r="BS739" s="21" t="e">
        <f>CONCATENATE(#REF!,#REF!)</f>
        <v>#REF!</v>
      </c>
      <c r="BT739" s="21"/>
      <c r="BU739" s="21" t="s">
        <v>148</v>
      </c>
      <c r="BV739" s="21" t="str">
        <f>IF([1]!BANCO10[[#This Row],[SOLUÇÃO]]=BV$1,[1]!BANCO10[[#This Row],[STATUS DA ETAPA]],"")</f>
        <v>CONCLUÍDO</v>
      </c>
      <c r="BW739" s="21" t="str">
        <f>IF([1]!BANCO10[[#This Row],[SOLUÇÃO]]=BW$1,[1]!BANCO10[[#This Row],[STATUS DA ETAPA]],"")</f>
        <v/>
      </c>
      <c r="BX739" s="21" t="str">
        <f>IF([1]!BANCO10[[#This Row],[SOLUÇÃO]]=BX$1,[1]!BANCO10[[#This Row],[STATUS DA ETAPA]],"")</f>
        <v/>
      </c>
      <c r="BY739" s="21" t="str">
        <f>IF([1]!BANCO10[[#This Row],[SOLUÇÃO]]=BY$1,[1]!BANCO10[[#This Row],[STATUS DA ETAPA]],"")</f>
        <v/>
      </c>
      <c r="BZ739" s="21" t="str">
        <f>IF([1]!BANCO10[[#This Row],[SOLUÇÃO]]=BZ$1,[1]!BANCO10[[#This Row],[STATUS DA ETAPA]],"")</f>
        <v/>
      </c>
      <c r="CA739" s="21" t="str">
        <f>IF([1]!BANCO10[[#This Row],[SOLUÇÃO]]=CA$1,[1]!BANCO10[[#This Row],[STATUS DA ETAPA]],"")</f>
        <v/>
      </c>
      <c r="CB739" s="21" t="str">
        <f>IF([1]!BANCO10[[#This Row],[SOLUÇÃO]]=CB$1,[1]!BANCO10[[#This Row],[STATUS DA ETAPA]],"")</f>
        <v/>
      </c>
      <c r="CC739" s="21" t="str">
        <f>IF([1]!BANCO10[[#This Row],[SOLUÇÃO]]=CC$1,[1]!BANCO10[[#This Row],[STATUS DA ETAPA]],"")</f>
        <v/>
      </c>
      <c r="CD739" s="21" t="str">
        <f>IF([1]!BANCO10[[#This Row],[SOLUÇÃO]]=CD$1,[1]!BANCO10[[#This Row],[STATUS DA ETAPA]],"")</f>
        <v/>
      </c>
      <c r="CE739" s="21" t="str">
        <f>IF([1]!BANCO10[[#This Row],[SOLUÇÃO]]=CE$1,[1]!BANCO10[[#This Row],[STATUS DA ETAPA]],"")</f>
        <v/>
      </c>
      <c r="CF739" s="21" t="str">
        <f>IF([1]!BANCO10[[#This Row],[SOLUÇÃO]]=CF$1,[1]!BANCO10[[#This Row],[STATUS DA ETAPA]],"")</f>
        <v/>
      </c>
      <c r="CG739" s="21" t="str">
        <f>IF([1]!BANCO10[[#This Row],[SOLUÇÃO]]=CG$1,[1]!BANCO10[[#This Row],[STATUS DA ETAPA]],"")</f>
        <v/>
      </c>
      <c r="CH739" s="21" t="str">
        <f>IF([1]!BANCO10[[#This Row],[SOLUÇÃO]]=CH$1,[1]!BANCO10[[#This Row],[STATUS DA ETAPA]],"")</f>
        <v/>
      </c>
      <c r="CI739" s="21" t="str">
        <f>IF([1]!BANCO10[[#This Row],[SOLUÇÃO]]=CI$1,[1]!BANCO10[[#This Row],[STATUS DA ETAPA]],"")</f>
        <v/>
      </c>
      <c r="CJ739" s="21" t="str">
        <f>IF([1]!BANCO10[[#This Row],[SOLUÇÃO]]=CJ$1,[1]!BANCO10[[#This Row],[STATUS DA ETAPA]],"")</f>
        <v/>
      </c>
      <c r="CK739" s="21" t="str">
        <f>IF([1]!BANCO10[[#This Row],[SOLUÇÃO]]=CK$1,[1]!BANCO10[[#This Row],[STATUS DA ETAPA]],"")</f>
        <v/>
      </c>
      <c r="CL739" s="22" t="str">
        <f>IF([1]!BANCO10[[#This Row],[SOLUÇÃO]]=CL$1,[1]!BANCO10[[#This Row],[STATUS DA ETAPA]],"")</f>
        <v/>
      </c>
      <c r="CM739" s="64" t="str">
        <f>IF([1]!BANCO10[[#This Row],[SOLUÇÃO]]=CM$1,[1]!BANCO10[[#This Row],[STATUS DA ETAPA]],"")</f>
        <v/>
      </c>
      <c r="CN739" s="64" t="str">
        <f>IF([1]!BANCO10[[#This Row],[SOLUÇÃO]]=CN$1,[1]!BANCO10[[#This Row],[STATUS DA ETAPA]],"")</f>
        <v/>
      </c>
      <c r="CO739" s="64" t="str">
        <f>IF([1]!BANCO10[[#This Row],[SOLUÇÃO]]=CO$1,[1]!BANCO10[[#This Row],[STATUS DA ETAPA]],"")</f>
        <v/>
      </c>
      <c r="CP739" s="64" t="str">
        <f>IF([1]!BANCO10[[#This Row],[SOLUÇÃO]]=CP$1,[1]!BANCO10[[#This Row],[STATUS DA ETAPA]],"")</f>
        <v/>
      </c>
      <c r="CQ739" s="64" t="str">
        <f>IF([1]!BANCO10[[#This Row],[SOLUÇÃO]]=CQ$1,[1]!BANCO10[[#This Row],[STATUS DA ETAPA]],"")</f>
        <v/>
      </c>
      <c r="CR739" s="64" t="str">
        <f>IF([1]!BANCO10[[#This Row],[SOLUÇÃO]]=CR$1,[1]!BANCO10[[#This Row],[STATUS DA ETAPA]],"")</f>
        <v/>
      </c>
      <c r="CS739" s="64" t="str">
        <f>IF([1]!BANCO10[[#This Row],[SOLUÇÃO]]=CS$1,[1]!BANCO10[[#This Row],[STATUS DA ETAPA]],"")</f>
        <v/>
      </c>
      <c r="CT739" s="64" t="str">
        <f>IF([1]!BANCO10[[#This Row],[SOLUÇÃO]]=CT$1,[1]!BANCO10[[#This Row],[STATUS DA ETAPA]],"")</f>
        <v/>
      </c>
      <c r="CU739" s="64" t="str">
        <f>IF([1]!BANCO10[[#This Row],[SOLUÇÃO]]=CU$1,[1]!BANCO10[[#This Row],[STATUS DA ETAPA]],"")</f>
        <v/>
      </c>
      <c r="CV739" s="64" t="str">
        <f>IF([1]!BANCO10[[#This Row],[SOLUÇÃO]]=CV$1,[1]!BANCO10[[#This Row],[STATUS DA ETAPA]],"")</f>
        <v/>
      </c>
    </row>
    <row r="740" spans="1:100">
      <c r="A740" s="44" t="s">
        <v>1</v>
      </c>
      <c r="B740" s="44"/>
      <c r="C740" s="44" t="s">
        <v>1</v>
      </c>
      <c r="D740" s="44"/>
      <c r="E740" s="44" t="s">
        <v>1</v>
      </c>
      <c r="F740" s="44"/>
      <c r="G740" s="44" t="s">
        <v>1</v>
      </c>
      <c r="H740" s="44"/>
      <c r="I740" s="45" t="s">
        <v>1</v>
      </c>
      <c r="J740" s="46"/>
      <c r="K740" s="45" t="s">
        <v>1</v>
      </c>
      <c r="L740" s="33"/>
      <c r="M740" s="45" t="s">
        <v>1</v>
      </c>
      <c r="N740" s="33"/>
      <c r="O740" s="44" t="s">
        <v>2</v>
      </c>
      <c r="P740" s="44">
        <v>44810</v>
      </c>
      <c r="Q740" s="44" t="s">
        <v>2</v>
      </c>
      <c r="R740" s="44">
        <v>44785</v>
      </c>
      <c r="S740" s="44" t="s">
        <v>2</v>
      </c>
      <c r="T740" s="44"/>
      <c r="U740" s="44" t="s">
        <v>2</v>
      </c>
      <c r="V740" s="44"/>
      <c r="W740" s="44"/>
      <c r="X740" s="44"/>
      <c r="Y740" s="44"/>
      <c r="Z740" s="44"/>
      <c r="AA740" s="44" t="s">
        <v>1</v>
      </c>
      <c r="AB740" s="44"/>
      <c r="AC740" s="51">
        <v>45963</v>
      </c>
      <c r="AD740" s="50">
        <v>45963</v>
      </c>
      <c r="AE740" s="54" t="s">
        <v>1</v>
      </c>
      <c r="AF740" s="41" t="s">
        <v>1</v>
      </c>
      <c r="AG740" s="40" t="s">
        <v>5</v>
      </c>
      <c r="AH740" s="36" t="s">
        <v>0</v>
      </c>
      <c r="AI740" s="49">
        <v>0</v>
      </c>
      <c r="AJ740" s="36"/>
      <c r="AK740" s="10" t="s">
        <v>30</v>
      </c>
      <c r="AL740" s="36" t="s">
        <v>30</v>
      </c>
      <c r="AM740" s="36" t="s">
        <v>30</v>
      </c>
      <c r="AN740" s="35" t="s">
        <v>1</v>
      </c>
      <c r="AO740" s="35" t="s">
        <v>1</v>
      </c>
      <c r="AP740" s="35"/>
      <c r="AQ740" s="35" t="s">
        <v>1</v>
      </c>
      <c r="AR740" s="33" t="s">
        <v>1</v>
      </c>
      <c r="AS740" s="33"/>
      <c r="AT740" s="32"/>
      <c r="AU740" s="31"/>
      <c r="AV740" s="32"/>
      <c r="AW740" s="31"/>
      <c r="AX740" s="30" t="s">
        <v>0</v>
      </c>
      <c r="AY740" s="29"/>
      <c r="AZ740" s="28" t="s">
        <v>0</v>
      </c>
      <c r="BA740" s="81"/>
      <c r="BB740" s="39" t="s">
        <v>147</v>
      </c>
      <c r="BC740" s="25"/>
      <c r="BD740" s="24" t="s">
        <v>146</v>
      </c>
      <c r="BE740" s="24" t="s">
        <v>146</v>
      </c>
      <c r="BF740" s="79" t="s">
        <v>146</v>
      </c>
      <c r="BG740" s="79" t="s">
        <v>146</v>
      </c>
      <c r="BH740" s="80" t="s">
        <v>146</v>
      </c>
      <c r="BI740" s="79"/>
      <c r="BJ740" s="54" t="s">
        <v>146</v>
      </c>
      <c r="BK740" s="78" t="s">
        <v>146</v>
      </c>
      <c r="BL740" s="69">
        <v>45397</v>
      </c>
      <c r="BM740" s="78" t="s">
        <v>18</v>
      </c>
      <c r="BN740" s="78" t="s">
        <v>11</v>
      </c>
      <c r="BO740" s="78"/>
      <c r="BP740" s="78" t="s">
        <v>145</v>
      </c>
      <c r="BQ740" s="21">
        <f>YEAR([1]!BANCO10[[#This Row],[DATA INÍCIO]])</f>
        <v>2025</v>
      </c>
      <c r="BR740" s="21">
        <f>MONTH([1]!BANCO10[[#This Row],[DATA INÍCIO]])</f>
        <v>11</v>
      </c>
      <c r="BS740" s="21" t="e">
        <f>CONCATENATE(#REF!,#REF!)</f>
        <v>#REF!</v>
      </c>
      <c r="BT740" s="21"/>
      <c r="BU740" s="21" t="s">
        <v>30</v>
      </c>
      <c r="BV740" s="21" t="str">
        <f>IF([1]!BANCO10[[#This Row],[SOLUÇÃO]]=BV$1,[1]!BANCO10[[#This Row],[STATUS DA ETAPA]],"")</f>
        <v/>
      </c>
      <c r="BW740" s="21" t="str">
        <f>IF([1]!BANCO10[[#This Row],[SOLUÇÃO]]=BW$1,[1]!BANCO10[[#This Row],[STATUS DA ETAPA]],"")</f>
        <v/>
      </c>
      <c r="BX740" s="21" t="str">
        <f>IF([1]!BANCO10[[#This Row],[SOLUÇÃO]]=BX$1,[1]!BANCO10[[#This Row],[STATUS DA ETAPA]],"")</f>
        <v/>
      </c>
      <c r="BY740" s="21" t="str">
        <f>IF([1]!BANCO10[[#This Row],[SOLUÇÃO]]=BY$1,[1]!BANCO10[[#This Row],[STATUS DA ETAPA]],"")</f>
        <v/>
      </c>
      <c r="BZ740" s="21" t="str">
        <f>IF([1]!BANCO10[[#This Row],[SOLUÇÃO]]=BZ$1,[1]!BANCO10[[#This Row],[STATUS DA ETAPA]],"")</f>
        <v/>
      </c>
      <c r="CA740" s="21" t="str">
        <f>IF([1]!BANCO10[[#This Row],[SOLUÇÃO]]=CA$1,[1]!BANCO10[[#This Row],[STATUS DA ETAPA]],"")</f>
        <v>PROSPECÇÃO</v>
      </c>
      <c r="CB740" s="21" t="str">
        <f>IF([1]!BANCO10[[#This Row],[SOLUÇÃO]]=CB$1,[1]!BANCO10[[#This Row],[STATUS DA ETAPA]],"")</f>
        <v/>
      </c>
      <c r="CC740" s="21" t="str">
        <f>IF([1]!BANCO10[[#This Row],[SOLUÇÃO]]=CC$1,[1]!BANCO10[[#This Row],[STATUS DA ETAPA]],"")</f>
        <v/>
      </c>
      <c r="CD740" s="21" t="str">
        <f>IF([1]!BANCO10[[#This Row],[SOLUÇÃO]]=CD$1,[1]!BANCO10[[#This Row],[STATUS DA ETAPA]],"")</f>
        <v/>
      </c>
      <c r="CE740" s="21" t="str">
        <f>IF([1]!BANCO10[[#This Row],[SOLUÇÃO]]=CE$1,[1]!BANCO10[[#This Row],[STATUS DA ETAPA]],"")</f>
        <v/>
      </c>
      <c r="CF740" s="21" t="str">
        <f>IF([1]!BANCO10[[#This Row],[SOLUÇÃO]]=CF$1,[1]!BANCO10[[#This Row],[STATUS DA ETAPA]],"")</f>
        <v/>
      </c>
      <c r="CG740" s="21" t="str">
        <f>IF([1]!BANCO10[[#This Row],[SOLUÇÃO]]=CG$1,[1]!BANCO10[[#This Row],[STATUS DA ETAPA]],"")</f>
        <v/>
      </c>
      <c r="CH740" s="21" t="str">
        <f>IF([1]!BANCO10[[#This Row],[SOLUÇÃO]]=CH$1,[1]!BANCO10[[#This Row],[STATUS DA ETAPA]],"")</f>
        <v/>
      </c>
      <c r="CI740" s="21" t="str">
        <f>IF([1]!BANCO10[[#This Row],[SOLUÇÃO]]=CI$1,[1]!BANCO10[[#This Row],[STATUS DA ETAPA]],"")</f>
        <v/>
      </c>
      <c r="CJ740" s="21" t="str">
        <f>IF([1]!BANCO10[[#This Row],[SOLUÇÃO]]=CJ$1,[1]!BANCO10[[#This Row],[STATUS DA ETAPA]],"")</f>
        <v/>
      </c>
      <c r="CK740" s="21" t="str">
        <f>IF([1]!BANCO10[[#This Row],[SOLUÇÃO]]=CK$1,[1]!BANCO10[[#This Row],[STATUS DA ETAPA]],"")</f>
        <v/>
      </c>
      <c r="CL740" s="22" t="str">
        <f>IF([1]!BANCO10[[#This Row],[SOLUÇÃO]]=CL$1,[1]!BANCO10[[#This Row],[STATUS DA ETAPA]],"")</f>
        <v/>
      </c>
      <c r="CM740" s="64" t="str">
        <f>IF([1]!BANCO10[[#This Row],[SOLUÇÃO]]=CM$1,[1]!BANCO10[[#This Row],[STATUS DA ETAPA]],"")</f>
        <v/>
      </c>
      <c r="CN740" s="64" t="str">
        <f>IF([1]!BANCO10[[#This Row],[SOLUÇÃO]]=CN$1,[1]!BANCO10[[#This Row],[STATUS DA ETAPA]],"")</f>
        <v/>
      </c>
      <c r="CO740" s="64" t="str">
        <f>IF([1]!BANCO10[[#This Row],[SOLUÇÃO]]=CO$1,[1]!BANCO10[[#This Row],[STATUS DA ETAPA]],"")</f>
        <v/>
      </c>
      <c r="CP740" s="64" t="str">
        <f>IF([1]!BANCO10[[#This Row],[SOLUÇÃO]]=CP$1,[1]!BANCO10[[#This Row],[STATUS DA ETAPA]],"")</f>
        <v/>
      </c>
      <c r="CQ740" s="64" t="str">
        <f>IF([1]!BANCO10[[#This Row],[SOLUÇÃO]]=CQ$1,[1]!BANCO10[[#This Row],[STATUS DA ETAPA]],"")</f>
        <v/>
      </c>
      <c r="CR740" s="64" t="str">
        <f>IF([1]!BANCO10[[#This Row],[SOLUÇÃO]]=CR$1,[1]!BANCO10[[#This Row],[STATUS DA ETAPA]],"")</f>
        <v/>
      </c>
      <c r="CS740" s="64" t="str">
        <f>IF([1]!BANCO10[[#This Row],[SOLUÇÃO]]=CS$1,[1]!BANCO10[[#This Row],[STATUS DA ETAPA]],"")</f>
        <v/>
      </c>
      <c r="CT740" s="64" t="str">
        <f>IF([1]!BANCO10[[#This Row],[SOLUÇÃO]]=CT$1,[1]!BANCO10[[#This Row],[STATUS DA ETAPA]],"")</f>
        <v/>
      </c>
      <c r="CU740" s="64" t="str">
        <f>IF([1]!BANCO10[[#This Row],[SOLUÇÃO]]=CU$1,[1]!BANCO10[[#This Row],[STATUS DA ETAPA]],"")</f>
        <v/>
      </c>
      <c r="CV740" s="64" t="str">
        <f>IF([1]!BANCO10[[#This Row],[SOLUÇÃO]]=CV$1,[1]!BANCO10[[#This Row],[STATUS DA ETAPA]],"")</f>
        <v/>
      </c>
    </row>
    <row r="741" spans="1:100">
      <c r="A741" s="44" t="s">
        <v>1</v>
      </c>
      <c r="B741" s="44"/>
      <c r="C741" s="44" t="s">
        <v>1</v>
      </c>
      <c r="D741" s="44"/>
      <c r="E741" s="44" t="s">
        <v>1</v>
      </c>
      <c r="F741" s="44"/>
      <c r="G741" s="44" t="s">
        <v>1</v>
      </c>
      <c r="H741" s="44"/>
      <c r="I741" s="45" t="s">
        <v>1</v>
      </c>
      <c r="J741" s="46"/>
      <c r="K741" s="45" t="s">
        <v>1</v>
      </c>
      <c r="L741" s="33"/>
      <c r="M741" s="45" t="s">
        <v>1</v>
      </c>
      <c r="N741" s="33"/>
      <c r="O741" s="44" t="s">
        <v>1</v>
      </c>
      <c r="P741" s="44"/>
      <c r="Q741" s="44" t="s">
        <v>1</v>
      </c>
      <c r="R741" s="44"/>
      <c r="S741" s="44" t="s">
        <v>1</v>
      </c>
      <c r="T741" s="44"/>
      <c r="U741" s="44" t="s">
        <v>1</v>
      </c>
      <c r="V741" s="44"/>
      <c r="W741" s="44" t="s">
        <v>1</v>
      </c>
      <c r="X741" s="44"/>
      <c r="Y741" s="44" t="s">
        <v>1</v>
      </c>
      <c r="Z741" s="44"/>
      <c r="AA741" s="44" t="s">
        <v>1</v>
      </c>
      <c r="AB741" s="44"/>
      <c r="AC741" s="84">
        <v>45546</v>
      </c>
      <c r="AD741" s="83">
        <v>45546</v>
      </c>
      <c r="AE741" s="41" t="s">
        <v>1</v>
      </c>
      <c r="AF741" s="41" t="s">
        <v>1</v>
      </c>
      <c r="AG741" s="40" t="s">
        <v>5</v>
      </c>
      <c r="AH741" s="36" t="s">
        <v>1</v>
      </c>
      <c r="AI741" s="49">
        <v>0</v>
      </c>
      <c r="AJ741" s="36" t="s">
        <v>1</v>
      </c>
      <c r="AK741" s="10" t="s">
        <v>1</v>
      </c>
      <c r="AL741" s="36" t="s">
        <v>1</v>
      </c>
      <c r="AM741" s="36" t="s">
        <v>1</v>
      </c>
      <c r="AN741" s="35" t="s">
        <v>1</v>
      </c>
      <c r="AO741" s="35" t="s">
        <v>1</v>
      </c>
      <c r="AP741" s="35" t="s">
        <v>1</v>
      </c>
      <c r="AQ741" s="35" t="s">
        <v>1</v>
      </c>
      <c r="AR741" s="93" t="s">
        <v>1</v>
      </c>
      <c r="AS741" s="89"/>
      <c r="AT741" s="88"/>
      <c r="AU741" s="25"/>
      <c r="AV741" s="88"/>
      <c r="AW741" s="25"/>
      <c r="AX741" s="88" t="s">
        <v>1</v>
      </c>
      <c r="AY741" s="25"/>
      <c r="AZ741" s="88" t="s">
        <v>1</v>
      </c>
      <c r="BA741" s="87"/>
      <c r="BB741" s="39" t="s">
        <v>144</v>
      </c>
      <c r="BC741" s="25"/>
      <c r="BD741" s="24"/>
      <c r="BE741" s="24"/>
      <c r="BF741" s="79"/>
      <c r="BG741" s="79"/>
      <c r="BH741" s="80"/>
      <c r="BI741" s="79"/>
      <c r="BJ741" s="54"/>
      <c r="BK741" s="78"/>
      <c r="BL741" s="69"/>
      <c r="BM741" s="78"/>
      <c r="BN741" s="78"/>
      <c r="BO741" s="78"/>
      <c r="BP741" s="78"/>
      <c r="BQ741" s="21">
        <f>YEAR([1]!BANCO10[[#This Row],[DATA INÍCIO]])</f>
        <v>2024</v>
      </c>
      <c r="BR741" s="21">
        <f>MONTH([1]!BANCO10[[#This Row],[DATA INÍCIO]])</f>
        <v>9</v>
      </c>
      <c r="BS741" s="21" t="e">
        <f>CONCATENATE(#REF!,#REF!)</f>
        <v>#REF!</v>
      </c>
      <c r="BT741" s="21"/>
      <c r="BU741" s="21"/>
      <c r="BV741" s="21" t="str">
        <f>IF([1]!BANCO10[[#This Row],[SOLUÇÃO]]=BV$1,[1]!BANCO10[[#This Row],[STATUS DA ETAPA]],"")</f>
        <v>CONCLUÍDO</v>
      </c>
      <c r="BW741" s="21" t="str">
        <f>IF([1]!BANCO10[[#This Row],[SOLUÇÃO]]=BW$1,[1]!BANCO10[[#This Row],[STATUS DA ETAPA]],"")</f>
        <v/>
      </c>
      <c r="BX741" s="21" t="str">
        <f>IF([1]!BANCO10[[#This Row],[SOLUÇÃO]]=BX$1,[1]!BANCO10[[#This Row],[STATUS DA ETAPA]],"")</f>
        <v/>
      </c>
      <c r="BY741" s="21" t="str">
        <f>IF([1]!BANCO10[[#This Row],[SOLUÇÃO]]=BY$1,[1]!BANCO10[[#This Row],[STATUS DA ETAPA]],"")</f>
        <v/>
      </c>
      <c r="BZ741" s="21" t="str">
        <f>IF([1]!BANCO10[[#This Row],[SOLUÇÃO]]=BZ$1,[1]!BANCO10[[#This Row],[STATUS DA ETAPA]],"")</f>
        <v/>
      </c>
      <c r="CA741" s="21" t="str">
        <f>IF([1]!BANCO10[[#This Row],[SOLUÇÃO]]=CA$1,[1]!BANCO10[[#This Row],[STATUS DA ETAPA]],"")</f>
        <v/>
      </c>
      <c r="CB741" s="21" t="str">
        <f>IF([1]!BANCO10[[#This Row],[SOLUÇÃO]]=CB$1,[1]!BANCO10[[#This Row],[STATUS DA ETAPA]],"")</f>
        <v/>
      </c>
      <c r="CC741" s="21" t="str">
        <f>IF([1]!BANCO10[[#This Row],[SOLUÇÃO]]=CC$1,[1]!BANCO10[[#This Row],[STATUS DA ETAPA]],"")</f>
        <v/>
      </c>
      <c r="CD741" s="21" t="str">
        <f>IF([1]!BANCO10[[#This Row],[SOLUÇÃO]]=CD$1,[1]!BANCO10[[#This Row],[STATUS DA ETAPA]],"")</f>
        <v/>
      </c>
      <c r="CE741" s="21" t="str">
        <f>IF([1]!BANCO10[[#This Row],[SOLUÇÃO]]=CE$1,[1]!BANCO10[[#This Row],[STATUS DA ETAPA]],"")</f>
        <v/>
      </c>
      <c r="CF741" s="21" t="str">
        <f>IF([1]!BANCO10[[#This Row],[SOLUÇÃO]]=CF$1,[1]!BANCO10[[#This Row],[STATUS DA ETAPA]],"")</f>
        <v/>
      </c>
      <c r="CG741" s="21" t="str">
        <f>IF([1]!BANCO10[[#This Row],[SOLUÇÃO]]=CG$1,[1]!BANCO10[[#This Row],[STATUS DA ETAPA]],"")</f>
        <v/>
      </c>
      <c r="CH741" s="21" t="str">
        <f>IF([1]!BANCO10[[#This Row],[SOLUÇÃO]]=CH$1,[1]!BANCO10[[#This Row],[STATUS DA ETAPA]],"")</f>
        <v/>
      </c>
      <c r="CI741" s="21" t="str">
        <f>IF([1]!BANCO10[[#This Row],[SOLUÇÃO]]=CI$1,[1]!BANCO10[[#This Row],[STATUS DA ETAPA]],"")</f>
        <v/>
      </c>
      <c r="CJ741" s="21" t="str">
        <f>IF([1]!BANCO10[[#This Row],[SOLUÇÃO]]=CJ$1,[1]!BANCO10[[#This Row],[STATUS DA ETAPA]],"")</f>
        <v/>
      </c>
      <c r="CK741" s="21" t="str">
        <f>IF([1]!BANCO10[[#This Row],[SOLUÇÃO]]=CK$1,[1]!BANCO10[[#This Row],[STATUS DA ETAPA]],"")</f>
        <v/>
      </c>
      <c r="CL741" s="22" t="str">
        <f>IF([1]!BANCO10[[#This Row],[SOLUÇÃO]]=CL$1,[1]!BANCO10[[#This Row],[STATUS DA ETAPA]],"")</f>
        <v/>
      </c>
      <c r="CM741" s="64" t="str">
        <f>IF([1]!BANCO10[[#This Row],[SOLUÇÃO]]=CM$1,[1]!BANCO10[[#This Row],[STATUS DA ETAPA]],"")</f>
        <v/>
      </c>
      <c r="CN741" s="64" t="str">
        <f>IF([1]!BANCO10[[#This Row],[SOLUÇÃO]]=CN$1,[1]!BANCO10[[#This Row],[STATUS DA ETAPA]],"")</f>
        <v/>
      </c>
      <c r="CO741" s="64" t="str">
        <f>IF([1]!BANCO10[[#This Row],[SOLUÇÃO]]=CO$1,[1]!BANCO10[[#This Row],[STATUS DA ETAPA]],"")</f>
        <v/>
      </c>
      <c r="CP741" s="64" t="str">
        <f>IF([1]!BANCO10[[#This Row],[SOLUÇÃO]]=CP$1,[1]!BANCO10[[#This Row],[STATUS DA ETAPA]],"")</f>
        <v/>
      </c>
      <c r="CQ741" s="64" t="str">
        <f>IF([1]!BANCO10[[#This Row],[SOLUÇÃO]]=CQ$1,[1]!BANCO10[[#This Row],[STATUS DA ETAPA]],"")</f>
        <v/>
      </c>
      <c r="CR741" s="64" t="str">
        <f>IF([1]!BANCO10[[#This Row],[SOLUÇÃO]]=CR$1,[1]!BANCO10[[#This Row],[STATUS DA ETAPA]],"")</f>
        <v/>
      </c>
      <c r="CS741" s="64" t="str">
        <f>IF([1]!BANCO10[[#This Row],[SOLUÇÃO]]=CS$1,[1]!BANCO10[[#This Row],[STATUS DA ETAPA]],"")</f>
        <v/>
      </c>
      <c r="CT741" s="64" t="str">
        <f>IF([1]!BANCO10[[#This Row],[SOLUÇÃO]]=CT$1,[1]!BANCO10[[#This Row],[STATUS DA ETAPA]],"")</f>
        <v/>
      </c>
      <c r="CU741" s="64" t="str">
        <f>IF([1]!BANCO10[[#This Row],[SOLUÇÃO]]=CU$1,[1]!BANCO10[[#This Row],[STATUS DA ETAPA]],"")</f>
        <v/>
      </c>
      <c r="CV741" s="64" t="str">
        <f>IF([1]!BANCO10[[#This Row],[SOLUÇÃO]]=CV$1,[1]!BANCO10[[#This Row],[STATUS DA ETAPA]],"")</f>
        <v/>
      </c>
    </row>
    <row r="742" spans="1:100">
      <c r="A742" s="44" t="s">
        <v>1</v>
      </c>
      <c r="B742" s="44"/>
      <c r="C742" s="44" t="s">
        <v>1</v>
      </c>
      <c r="D742" s="44"/>
      <c r="E742" s="44" t="s">
        <v>1</v>
      </c>
      <c r="F742" s="44"/>
      <c r="G742" s="44" t="s">
        <v>1</v>
      </c>
      <c r="H742" s="44"/>
      <c r="I742" s="45" t="s">
        <v>1</v>
      </c>
      <c r="J742" s="46"/>
      <c r="K742" s="45" t="s">
        <v>1</v>
      </c>
      <c r="L742" s="33"/>
      <c r="M742" s="45" t="s">
        <v>1</v>
      </c>
      <c r="N742" s="33"/>
      <c r="O742" s="44" t="s">
        <v>2</v>
      </c>
      <c r="P742" s="44">
        <v>45531</v>
      </c>
      <c r="Q742" s="44" t="s">
        <v>2</v>
      </c>
      <c r="R742" s="44">
        <v>45536</v>
      </c>
      <c r="S742" s="44" t="s">
        <v>2</v>
      </c>
      <c r="T742" s="44">
        <v>45548</v>
      </c>
      <c r="U742" s="44" t="s">
        <v>1</v>
      </c>
      <c r="V742" s="44"/>
      <c r="W742" s="44" t="s">
        <v>1</v>
      </c>
      <c r="X742" s="44"/>
      <c r="Y742" s="44" t="s">
        <v>1</v>
      </c>
      <c r="Z742" s="44"/>
      <c r="AA742" s="44" t="s">
        <v>1</v>
      </c>
      <c r="AB742" s="44"/>
      <c r="AC742" s="51">
        <v>45687</v>
      </c>
      <c r="AD742" s="50">
        <v>45803</v>
      </c>
      <c r="AE742" s="41" t="s">
        <v>2</v>
      </c>
      <c r="AF742" s="41" t="s">
        <v>2</v>
      </c>
      <c r="AG742" s="40" t="s">
        <v>5</v>
      </c>
      <c r="AH742" s="36" t="s">
        <v>0</v>
      </c>
      <c r="AI742" s="49">
        <v>0</v>
      </c>
      <c r="AJ742" s="36" t="s">
        <v>6</v>
      </c>
      <c r="AK742" s="10">
        <v>574383</v>
      </c>
      <c r="AL742" s="36" t="s">
        <v>1</v>
      </c>
      <c r="AM742" s="36" t="s">
        <v>1</v>
      </c>
      <c r="AN742" s="35" t="s">
        <v>2</v>
      </c>
      <c r="AO742" s="35" t="s">
        <v>2</v>
      </c>
      <c r="AP742" s="35" t="s">
        <v>2</v>
      </c>
      <c r="AQ742" s="35" t="s">
        <v>2</v>
      </c>
      <c r="AR742" s="33" t="s">
        <v>2</v>
      </c>
      <c r="AS742" s="33">
        <v>45803</v>
      </c>
      <c r="AT742" s="32" t="s">
        <v>1</v>
      </c>
      <c r="AU742" s="31"/>
      <c r="AV742" s="32" t="s">
        <v>1</v>
      </c>
      <c r="AW742" s="31"/>
      <c r="AX742" s="30" t="s">
        <v>2</v>
      </c>
      <c r="AY742" s="29">
        <v>45803</v>
      </c>
      <c r="AZ742" s="28" t="s">
        <v>0</v>
      </c>
      <c r="BA742" s="81"/>
      <c r="BB742" s="95" t="s">
        <v>143</v>
      </c>
      <c r="BC742" s="25" t="s">
        <v>41</v>
      </c>
      <c r="BD742" s="24"/>
      <c r="BE742" s="24"/>
      <c r="BF742" s="79"/>
      <c r="BG742" s="79"/>
      <c r="BH742" s="80"/>
      <c r="BI742" s="79"/>
      <c r="BJ742" s="54"/>
      <c r="BK742" s="78"/>
      <c r="BL742" s="69"/>
      <c r="BM742" s="78"/>
      <c r="BN742" s="78"/>
      <c r="BO742" s="78"/>
      <c r="BP742" s="78"/>
      <c r="BQ742" s="21">
        <f>YEAR([1]!BANCO10[[#This Row],[DATA INÍCIO]])</f>
        <v>2025</v>
      </c>
      <c r="BR742" s="21">
        <f>MONTH([1]!BANCO10[[#This Row],[DATA INÍCIO]])</f>
        <v>1</v>
      </c>
      <c r="BS742" s="21" t="e">
        <f>CONCATENATE(#REF!,#REF!)</f>
        <v>#REF!</v>
      </c>
      <c r="BT742" s="21"/>
      <c r="BU742" s="21"/>
      <c r="BV742" s="21" t="str">
        <f>IF([1]!BANCO10[[#This Row],[SOLUÇÃO]]=BV$1,[1]!BANCO10[[#This Row],[STATUS DA ETAPA]],"")</f>
        <v/>
      </c>
      <c r="BW742" s="21" t="str">
        <f>IF([1]!BANCO10[[#This Row],[SOLUÇÃO]]=BW$1,[1]!BANCO10[[#This Row],[STATUS DA ETAPA]],"")</f>
        <v/>
      </c>
      <c r="BX742" s="21" t="str">
        <f>IF([1]!BANCO10[[#This Row],[SOLUÇÃO]]=BX$1,[1]!BANCO10[[#This Row],[STATUS DA ETAPA]],"")</f>
        <v/>
      </c>
      <c r="BY742" s="21" t="str">
        <f>IF([1]!BANCO10[[#This Row],[SOLUÇÃO]]=BY$1,[1]!BANCO10[[#This Row],[STATUS DA ETAPA]],"")</f>
        <v/>
      </c>
      <c r="BZ742" s="21" t="str">
        <f>IF([1]!BANCO10[[#This Row],[SOLUÇÃO]]=BZ$1,[1]!BANCO10[[#This Row],[STATUS DA ETAPA]],"")</f>
        <v/>
      </c>
      <c r="CA742" s="21" t="str">
        <f>IF([1]!BANCO10[[#This Row],[SOLUÇÃO]]=CA$1,[1]!BANCO10[[#This Row],[STATUS DA ETAPA]],"")</f>
        <v/>
      </c>
      <c r="CB742" s="21" t="str">
        <f>IF([1]!BANCO10[[#This Row],[SOLUÇÃO]]=CB$1,[1]!BANCO10[[#This Row],[STATUS DA ETAPA]],"")</f>
        <v>CONCLUÍDO</v>
      </c>
      <c r="CC742" s="21" t="str">
        <f>IF([1]!BANCO10[[#This Row],[SOLUÇÃO]]=CC$1,[1]!BANCO10[[#This Row],[STATUS DA ETAPA]],"")</f>
        <v/>
      </c>
      <c r="CD742" s="21" t="str">
        <f>IF([1]!BANCO10[[#This Row],[SOLUÇÃO]]=CD$1,[1]!BANCO10[[#This Row],[STATUS DA ETAPA]],"")</f>
        <v/>
      </c>
      <c r="CE742" s="21" t="str">
        <f>IF([1]!BANCO10[[#This Row],[SOLUÇÃO]]=CE$1,[1]!BANCO10[[#This Row],[STATUS DA ETAPA]],"")</f>
        <v/>
      </c>
      <c r="CF742" s="21" t="str">
        <f>IF([1]!BANCO10[[#This Row],[SOLUÇÃO]]=CF$1,[1]!BANCO10[[#This Row],[STATUS DA ETAPA]],"")</f>
        <v/>
      </c>
      <c r="CG742" s="21" t="str">
        <f>IF([1]!BANCO10[[#This Row],[SOLUÇÃO]]=CG$1,[1]!BANCO10[[#This Row],[STATUS DA ETAPA]],"")</f>
        <v/>
      </c>
      <c r="CH742" s="21" t="str">
        <f>IF([1]!BANCO10[[#This Row],[SOLUÇÃO]]=CH$1,[1]!BANCO10[[#This Row],[STATUS DA ETAPA]],"")</f>
        <v/>
      </c>
      <c r="CI742" s="21" t="str">
        <f>IF([1]!BANCO10[[#This Row],[SOLUÇÃO]]=CI$1,[1]!BANCO10[[#This Row],[STATUS DA ETAPA]],"")</f>
        <v/>
      </c>
      <c r="CJ742" s="21" t="str">
        <f>IF([1]!BANCO10[[#This Row],[SOLUÇÃO]]=CJ$1,[1]!BANCO10[[#This Row],[STATUS DA ETAPA]],"")</f>
        <v/>
      </c>
      <c r="CK742" s="21" t="str">
        <f>IF([1]!BANCO10[[#This Row],[SOLUÇÃO]]=CK$1,[1]!BANCO10[[#This Row],[STATUS DA ETAPA]],"")</f>
        <v/>
      </c>
      <c r="CL742" s="22" t="str">
        <f>IF([1]!BANCO10[[#This Row],[SOLUÇÃO]]=CL$1,[1]!BANCO10[[#This Row],[STATUS DA ETAPA]],"")</f>
        <v/>
      </c>
      <c r="CM742" s="64" t="str">
        <f>IF([1]!BANCO10[[#This Row],[SOLUÇÃO]]=CM$1,[1]!BANCO10[[#This Row],[STATUS DA ETAPA]],"")</f>
        <v/>
      </c>
      <c r="CN742" s="64" t="str">
        <f>IF([1]!BANCO10[[#This Row],[SOLUÇÃO]]=CN$1,[1]!BANCO10[[#This Row],[STATUS DA ETAPA]],"")</f>
        <v/>
      </c>
      <c r="CO742" s="64" t="str">
        <f>IF([1]!BANCO10[[#This Row],[SOLUÇÃO]]=CO$1,[1]!BANCO10[[#This Row],[STATUS DA ETAPA]],"")</f>
        <v/>
      </c>
      <c r="CP742" s="64" t="str">
        <f>IF([1]!BANCO10[[#This Row],[SOLUÇÃO]]=CP$1,[1]!BANCO10[[#This Row],[STATUS DA ETAPA]],"")</f>
        <v/>
      </c>
      <c r="CQ742" s="64" t="str">
        <f>IF([1]!BANCO10[[#This Row],[SOLUÇÃO]]=CQ$1,[1]!BANCO10[[#This Row],[STATUS DA ETAPA]],"")</f>
        <v/>
      </c>
      <c r="CR742" s="64" t="str">
        <f>IF([1]!BANCO10[[#This Row],[SOLUÇÃO]]=CR$1,[1]!BANCO10[[#This Row],[STATUS DA ETAPA]],"")</f>
        <v/>
      </c>
      <c r="CS742" s="64" t="str">
        <f>IF([1]!BANCO10[[#This Row],[SOLUÇÃO]]=CS$1,[1]!BANCO10[[#This Row],[STATUS DA ETAPA]],"")</f>
        <v/>
      </c>
      <c r="CT742" s="64" t="str">
        <f>IF([1]!BANCO10[[#This Row],[SOLUÇÃO]]=CT$1,[1]!BANCO10[[#This Row],[STATUS DA ETAPA]],"")</f>
        <v/>
      </c>
      <c r="CU742" s="64" t="str">
        <f>IF([1]!BANCO10[[#This Row],[SOLUÇÃO]]=CU$1,[1]!BANCO10[[#This Row],[STATUS DA ETAPA]],"")</f>
        <v/>
      </c>
      <c r="CV742" s="64" t="str">
        <f>IF([1]!BANCO10[[#This Row],[SOLUÇÃO]]=CV$1,[1]!BANCO10[[#This Row],[STATUS DA ETAPA]],"")</f>
        <v/>
      </c>
    </row>
    <row r="743" spans="1:100">
      <c r="A743" s="44" t="s">
        <v>1</v>
      </c>
      <c r="B743" s="44"/>
      <c r="C743" s="44" t="s">
        <v>1</v>
      </c>
      <c r="D743" s="44"/>
      <c r="E743" s="44" t="s">
        <v>1</v>
      </c>
      <c r="F743" s="44"/>
      <c r="G743" s="44" t="s">
        <v>1</v>
      </c>
      <c r="H743" s="44"/>
      <c r="I743" s="45" t="s">
        <v>1</v>
      </c>
      <c r="J743" s="46"/>
      <c r="K743" s="45" t="s">
        <v>1</v>
      </c>
      <c r="L743" s="33"/>
      <c r="M743" s="45" t="s">
        <v>1</v>
      </c>
      <c r="N743" s="33"/>
      <c r="O743" s="44" t="s">
        <v>1</v>
      </c>
      <c r="P743" s="44"/>
      <c r="Q743" s="44" t="s">
        <v>1</v>
      </c>
      <c r="R743" s="44"/>
      <c r="S743" s="44" t="s">
        <v>1</v>
      </c>
      <c r="T743" s="44"/>
      <c r="U743" s="44" t="s">
        <v>1</v>
      </c>
      <c r="V743" s="44"/>
      <c r="W743" s="44" t="s">
        <v>1</v>
      </c>
      <c r="X743" s="44"/>
      <c r="Y743" s="44" t="s">
        <v>1</v>
      </c>
      <c r="Z743" s="44"/>
      <c r="AA743" s="44" t="s">
        <v>1</v>
      </c>
      <c r="AB743" s="44"/>
      <c r="AC743" s="51">
        <v>45807</v>
      </c>
      <c r="AD743" s="50">
        <v>45807</v>
      </c>
      <c r="AE743" s="41" t="s">
        <v>1</v>
      </c>
      <c r="AF743" s="41" t="s">
        <v>1</v>
      </c>
      <c r="AG743" s="40" t="s">
        <v>4</v>
      </c>
      <c r="AH743" s="36" t="s">
        <v>0</v>
      </c>
      <c r="AI743" s="49">
        <v>0</v>
      </c>
      <c r="AJ743" s="36" t="s">
        <v>1</v>
      </c>
      <c r="AK743" s="10" t="s">
        <v>1</v>
      </c>
      <c r="AL743" s="36" t="s">
        <v>1</v>
      </c>
      <c r="AM743" s="36" t="s">
        <v>1</v>
      </c>
      <c r="AN743" s="35" t="s">
        <v>1</v>
      </c>
      <c r="AO743" s="35" t="s">
        <v>1</v>
      </c>
      <c r="AP743" s="35" t="s">
        <v>1</v>
      </c>
      <c r="AQ743" s="35" t="s">
        <v>2</v>
      </c>
      <c r="AR743" s="33" t="s">
        <v>0</v>
      </c>
      <c r="AS743" s="33"/>
      <c r="AT743" s="30" t="s">
        <v>0</v>
      </c>
      <c r="AU743" s="31"/>
      <c r="AV743" s="30" t="s">
        <v>0</v>
      </c>
      <c r="AW743" s="31"/>
      <c r="AX743" s="30" t="s">
        <v>0</v>
      </c>
      <c r="AY743" s="29"/>
      <c r="AZ743" s="28" t="s">
        <v>0</v>
      </c>
      <c r="BA743" s="81"/>
      <c r="BB743" s="26"/>
      <c r="BC743" s="25"/>
      <c r="BD743" s="24"/>
      <c r="BE743" s="24"/>
      <c r="BF743" s="24"/>
      <c r="BG743" s="24"/>
      <c r="BH743" s="24"/>
      <c r="BI743" s="24"/>
      <c r="BJ743" s="24"/>
      <c r="BK743" s="24"/>
      <c r="BL743" s="24"/>
      <c r="BM743" s="24"/>
      <c r="BN743" s="24"/>
      <c r="BO743" s="24"/>
      <c r="BP743" s="24"/>
      <c r="BQ743" s="22">
        <f>YEAR([1]!BANCO10[[#This Row],[DATA INÍCIO]])</f>
        <v>2025</v>
      </c>
      <c r="BR743" s="22">
        <f>MONTH([1]!BANCO10[[#This Row],[DATA INÍCIO]])</f>
        <v>5</v>
      </c>
      <c r="BS743" s="23" t="e">
        <f>CONCATENATE(#REF!,#REF!)</f>
        <v>#REF!</v>
      </c>
      <c r="BT743" s="22"/>
      <c r="BU743" s="22"/>
      <c r="BV743" s="21" t="str">
        <f>IF([1]!BANCO10[[#This Row],[SOLUÇÃO]]=BV$1,[1]!BANCO10[[#This Row],[STATUS DA ETAPA]],"")</f>
        <v/>
      </c>
      <c r="BW743" s="21" t="str">
        <f>IF([1]!BANCO10[[#This Row],[SOLUÇÃO]]=BW$1,[1]!BANCO10[[#This Row],[STATUS DA ETAPA]],"")</f>
        <v/>
      </c>
      <c r="BX743" s="21" t="str">
        <f>IF([1]!BANCO10[[#This Row],[SOLUÇÃO]]=BX$1,[1]!BANCO10[[#This Row],[STATUS DA ETAPA]],"")</f>
        <v/>
      </c>
      <c r="BY743" s="21" t="str">
        <f>IF([1]!BANCO10[[#This Row],[SOLUÇÃO]]=BY$1,[1]!BANCO10[[#This Row],[STATUS DA ETAPA]],"")</f>
        <v/>
      </c>
      <c r="BZ743" s="21" t="str">
        <f>IF([1]!BANCO10[[#This Row],[SOLUÇÃO]]=BZ$1,[1]!BANCO10[[#This Row],[STATUS DA ETAPA]],"")</f>
        <v/>
      </c>
      <c r="CA743" s="21" t="str">
        <f>IF([1]!BANCO10[[#This Row],[SOLUÇÃO]]=CA$1,[1]!BANCO10[[#This Row],[STATUS DA ETAPA]],"")</f>
        <v/>
      </c>
      <c r="CB743" s="21" t="str">
        <f>IF([1]!BANCO10[[#This Row],[SOLUÇÃO]]=CB$1,[1]!BANCO10[[#This Row],[STATUS DA ETAPA]],"")</f>
        <v/>
      </c>
      <c r="CC743" s="21" t="str">
        <f>IF([1]!BANCO10[[#This Row],[SOLUÇÃO]]=CC$1,[1]!BANCO10[[#This Row],[STATUS DA ETAPA]],"")</f>
        <v/>
      </c>
      <c r="CD743" s="21" t="str">
        <f>IF([1]!BANCO10[[#This Row],[SOLUÇÃO]]=CD$1,[1]!BANCO10[[#This Row],[STATUS DA ETAPA]],"")</f>
        <v/>
      </c>
      <c r="CE743" s="21" t="str">
        <f>IF([1]!BANCO10[[#This Row],[SOLUÇÃO]]=CE$1,[1]!BANCO10[[#This Row],[STATUS DA ETAPA]],"")</f>
        <v/>
      </c>
      <c r="CF743" s="21" t="str">
        <f>IF([1]!BANCO10[[#This Row],[SOLUÇÃO]]=CF$1,[1]!BANCO10[[#This Row],[STATUS DA ETAPA]],"")</f>
        <v/>
      </c>
      <c r="CG743" s="21" t="str">
        <f>IF([1]!BANCO10[[#This Row],[SOLUÇÃO]]=CG$1,[1]!BANCO10[[#This Row],[STATUS DA ETAPA]],"")</f>
        <v/>
      </c>
      <c r="CH743" s="21" t="str">
        <f>IF([1]!BANCO10[[#This Row],[SOLUÇÃO]]=CH$1,[1]!BANCO10[[#This Row],[STATUS DA ETAPA]],"")</f>
        <v/>
      </c>
      <c r="CI743" s="21" t="str">
        <f>IF([1]!BANCO10[[#This Row],[SOLUÇÃO]]=CI$1,[1]!BANCO10[[#This Row],[STATUS DA ETAPA]],"")</f>
        <v/>
      </c>
      <c r="CJ743" s="21" t="str">
        <f>IF([1]!BANCO10[[#This Row],[SOLUÇÃO]]=CJ$1,[1]!BANCO10[[#This Row],[STATUS DA ETAPA]],"")</f>
        <v/>
      </c>
      <c r="CK743" s="21" t="str">
        <f>IF([1]!BANCO10[[#This Row],[SOLUÇÃO]]=CK$1,[1]!BANCO10[[#This Row],[STATUS DA ETAPA]],"")</f>
        <v/>
      </c>
      <c r="CL743" s="21" t="str">
        <f>IF([1]!BANCO10[[#This Row],[SOLUÇÃO]]=CL$1,[1]!BANCO10[[#This Row],[STATUS DA ETAPA]],"")</f>
        <v/>
      </c>
      <c r="CM743" s="21" t="str">
        <f>IF([1]!BANCO10[[#This Row],[SOLUÇÃO]]=CM$1,[1]!BANCO10[[#This Row],[STATUS DA ETAPA]],"")</f>
        <v/>
      </c>
      <c r="CN743" s="21" t="str">
        <f>IF([1]!BANCO10[[#This Row],[SOLUÇÃO]]=CN$1,[1]!BANCO10[[#This Row],[STATUS DA ETAPA]],"")</f>
        <v/>
      </c>
      <c r="CO743" s="21" t="str">
        <f>IF([1]!BANCO10[[#This Row],[SOLUÇÃO]]=CO$1,[1]!BANCO10[[#This Row],[STATUS DA ETAPA]],"")</f>
        <v/>
      </c>
      <c r="CP743" s="21" t="str">
        <f>IF([1]!BANCO10[[#This Row],[SOLUÇÃO]]=CP$1,[1]!BANCO10[[#This Row],[STATUS DA ETAPA]],"")</f>
        <v/>
      </c>
      <c r="CQ743" s="21" t="str">
        <f>IF([1]!BANCO10[[#This Row],[SOLUÇÃO]]=CQ$1,[1]!BANCO10[[#This Row],[STATUS DA ETAPA]],"")</f>
        <v/>
      </c>
      <c r="CR743" s="21" t="str">
        <f>IF([1]!BANCO10[[#This Row],[SOLUÇÃO]]=CR$1,[1]!BANCO10[[#This Row],[STATUS DA ETAPA]],"")</f>
        <v/>
      </c>
      <c r="CS743" s="21" t="str">
        <f>IF([1]!BANCO10[[#This Row],[SOLUÇÃO]]=CS$1,[1]!BANCO10[[#This Row],[STATUS DA ETAPA]],"")</f>
        <v/>
      </c>
      <c r="CT743" s="21" t="str">
        <f>IF([1]!BANCO10[[#This Row],[SOLUÇÃO]]=CT$1,[1]!BANCO10[[#This Row],[STATUS DA ETAPA]],"")</f>
        <v/>
      </c>
      <c r="CU743" s="21" t="str">
        <f>IF([1]!BANCO10[[#This Row],[SOLUÇÃO]]=CU$1,[1]!BANCO10[[#This Row],[STATUS DA ETAPA]],"")</f>
        <v/>
      </c>
      <c r="CV743" s="21" t="str">
        <f>IF([1]!BANCO10[[#This Row],[SOLUÇÃO]]=CV$1,[1]!BANCO10[[#This Row],[STATUS DA ETAPA]],"")</f>
        <v/>
      </c>
    </row>
    <row r="744" spans="1:100">
      <c r="A744" s="44" t="s">
        <v>2</v>
      </c>
      <c r="B744" s="44">
        <v>45695</v>
      </c>
      <c r="C744" s="44" t="s">
        <v>2</v>
      </c>
      <c r="D744" s="44">
        <v>45695</v>
      </c>
      <c r="E744" s="44" t="s">
        <v>2</v>
      </c>
      <c r="F744" s="44">
        <v>45695</v>
      </c>
      <c r="G744" s="44" t="s">
        <v>2</v>
      </c>
      <c r="H744" s="44">
        <v>45695</v>
      </c>
      <c r="I744" s="45" t="s">
        <v>2</v>
      </c>
      <c r="J744" s="46">
        <v>45695</v>
      </c>
      <c r="K744" s="45" t="s">
        <v>2</v>
      </c>
      <c r="L744" s="33">
        <v>45695</v>
      </c>
      <c r="M744" s="45" t="s">
        <v>2</v>
      </c>
      <c r="N744" s="33">
        <v>45695</v>
      </c>
      <c r="O744" s="44" t="s">
        <v>1</v>
      </c>
      <c r="P744" s="44"/>
      <c r="Q744" s="44" t="s">
        <v>2</v>
      </c>
      <c r="R744" s="44"/>
      <c r="S744" s="44" t="s">
        <v>2</v>
      </c>
      <c r="T744" s="44">
        <v>45708</v>
      </c>
      <c r="U744" s="44" t="s">
        <v>1</v>
      </c>
      <c r="V744" s="44"/>
      <c r="W744" s="44" t="s">
        <v>1</v>
      </c>
      <c r="X744" s="44"/>
      <c r="Y744" s="44" t="s">
        <v>1</v>
      </c>
      <c r="Z744" s="44"/>
      <c r="AA744" s="44" t="s">
        <v>1</v>
      </c>
      <c r="AB744" s="44"/>
      <c r="AC744" s="51">
        <v>45790</v>
      </c>
      <c r="AD744" s="50">
        <v>45869</v>
      </c>
      <c r="AE744" s="41" t="s">
        <v>2</v>
      </c>
      <c r="AF744" s="41" t="s">
        <v>2</v>
      </c>
      <c r="AG744" s="40" t="s">
        <v>5</v>
      </c>
      <c r="AH744" s="36" t="s">
        <v>0</v>
      </c>
      <c r="AI744" s="49">
        <v>20140</v>
      </c>
      <c r="AJ744" s="36" t="s">
        <v>6</v>
      </c>
      <c r="AK744" s="10">
        <v>664163</v>
      </c>
      <c r="AL744" s="36" t="s">
        <v>1</v>
      </c>
      <c r="AM744" s="36" t="s">
        <v>1</v>
      </c>
      <c r="AN744" s="35" t="s">
        <v>0</v>
      </c>
      <c r="AO744" s="35" t="s">
        <v>0</v>
      </c>
      <c r="AP744" s="35" t="s">
        <v>0</v>
      </c>
      <c r="AQ744" s="35" t="s">
        <v>2</v>
      </c>
      <c r="AR744" s="33" t="s">
        <v>0</v>
      </c>
      <c r="AS744" s="33"/>
      <c r="AT744" s="32" t="s">
        <v>1</v>
      </c>
      <c r="AU744" s="31"/>
      <c r="AV744" s="32" t="s">
        <v>1</v>
      </c>
      <c r="AW744" s="31"/>
      <c r="AX744" s="32" t="s">
        <v>0</v>
      </c>
      <c r="AY744" s="31"/>
      <c r="AZ744" s="32" t="s">
        <v>0</v>
      </c>
      <c r="BA744" s="47"/>
      <c r="BB744" s="109" t="s">
        <v>68</v>
      </c>
      <c r="BC744" s="25" t="s">
        <v>142</v>
      </c>
      <c r="BD744" s="24"/>
      <c r="BE744" s="24"/>
      <c r="BF744" s="24"/>
      <c r="BG744" s="24"/>
      <c r="BH744" s="24"/>
      <c r="BI744" s="24"/>
      <c r="BJ744" s="24"/>
      <c r="BK744" s="24"/>
      <c r="BL744" s="24"/>
      <c r="BM744" s="24"/>
      <c r="BN744" s="24"/>
      <c r="BO744" s="24"/>
      <c r="BP744" s="24"/>
      <c r="BQ744" s="22">
        <f>YEAR([1]!BANCO10[[#This Row],[DATA INÍCIO]])</f>
        <v>2025</v>
      </c>
      <c r="BR744" s="22">
        <f>MONTH([1]!BANCO10[[#This Row],[DATA INÍCIO]])</f>
        <v>5</v>
      </c>
      <c r="BS744" s="23" t="e">
        <f>CONCATENATE(#REF!,#REF!)</f>
        <v>#REF!</v>
      </c>
      <c r="BT744" s="22"/>
      <c r="BU744" s="22"/>
      <c r="BV744" s="21" t="str">
        <f>IF([1]!BANCO10[[#This Row],[SOLUÇÃO]]=BV$1,[1]!BANCO10[[#This Row],[STATUS DA ETAPA]],"")</f>
        <v/>
      </c>
      <c r="BW744" s="21" t="str">
        <f>IF([1]!BANCO10[[#This Row],[SOLUÇÃO]]=BW$1,[1]!BANCO10[[#This Row],[STATUS DA ETAPA]],"")</f>
        <v/>
      </c>
      <c r="BX744" s="21" t="str">
        <f>IF([1]!BANCO10[[#This Row],[SOLUÇÃO]]=BX$1,[1]!BANCO10[[#This Row],[STATUS DA ETAPA]],"")</f>
        <v/>
      </c>
      <c r="BY744" s="21" t="str">
        <f>IF([1]!BANCO10[[#This Row],[SOLUÇÃO]]=BY$1,[1]!BANCO10[[#This Row],[STATUS DA ETAPA]],"")</f>
        <v/>
      </c>
      <c r="BZ744" s="21" t="str">
        <f>IF([1]!BANCO10[[#This Row],[SOLUÇÃO]]=BZ$1,[1]!BANCO10[[#This Row],[STATUS DA ETAPA]],"")</f>
        <v/>
      </c>
      <c r="CA744" s="21" t="str">
        <f>IF([1]!BANCO10[[#This Row],[SOLUÇÃO]]=CA$1,[1]!BANCO10[[#This Row],[STATUS DA ETAPA]],"")</f>
        <v/>
      </c>
      <c r="CB744" s="21" t="str">
        <f>IF([1]!BANCO10[[#This Row],[SOLUÇÃO]]=CB$1,[1]!BANCO10[[#This Row],[STATUS DA ETAPA]],"")</f>
        <v>CONCLUÍDO</v>
      </c>
      <c r="CC744" s="21" t="str">
        <f>IF([1]!BANCO10[[#This Row],[SOLUÇÃO]]=CC$1,[1]!BANCO10[[#This Row],[STATUS DA ETAPA]],"")</f>
        <v/>
      </c>
      <c r="CD744" s="21" t="str">
        <f>IF([1]!BANCO10[[#This Row],[SOLUÇÃO]]=CD$1,[1]!BANCO10[[#This Row],[STATUS DA ETAPA]],"")</f>
        <v/>
      </c>
      <c r="CE744" s="21" t="str">
        <f>IF([1]!BANCO10[[#This Row],[SOLUÇÃO]]=CE$1,[1]!BANCO10[[#This Row],[STATUS DA ETAPA]],"")</f>
        <v/>
      </c>
      <c r="CF744" s="21" t="str">
        <f>IF([1]!BANCO10[[#This Row],[SOLUÇÃO]]=CF$1,[1]!BANCO10[[#This Row],[STATUS DA ETAPA]],"")</f>
        <v/>
      </c>
      <c r="CG744" s="21" t="str">
        <f>IF([1]!BANCO10[[#This Row],[SOLUÇÃO]]=CG$1,[1]!BANCO10[[#This Row],[STATUS DA ETAPA]],"")</f>
        <v/>
      </c>
      <c r="CH744" s="21" t="str">
        <f>IF([1]!BANCO10[[#This Row],[SOLUÇÃO]]=CH$1,[1]!BANCO10[[#This Row],[STATUS DA ETAPA]],"")</f>
        <v/>
      </c>
      <c r="CI744" s="21" t="str">
        <f>IF([1]!BANCO10[[#This Row],[SOLUÇÃO]]=CI$1,[1]!BANCO10[[#This Row],[STATUS DA ETAPA]],"")</f>
        <v/>
      </c>
      <c r="CJ744" s="21" t="str">
        <f>IF([1]!BANCO10[[#This Row],[SOLUÇÃO]]=CJ$1,[1]!BANCO10[[#This Row],[STATUS DA ETAPA]],"")</f>
        <v/>
      </c>
      <c r="CK744" s="21" t="str">
        <f>IF([1]!BANCO10[[#This Row],[SOLUÇÃO]]=CK$1,[1]!BANCO10[[#This Row],[STATUS DA ETAPA]],"")</f>
        <v/>
      </c>
      <c r="CL744" s="21" t="str">
        <f>IF([1]!BANCO10[[#This Row],[SOLUÇÃO]]=CL$1,[1]!BANCO10[[#This Row],[STATUS DA ETAPA]],"")</f>
        <v/>
      </c>
      <c r="CM744" s="21" t="str">
        <f>IF([1]!BANCO10[[#This Row],[SOLUÇÃO]]=CM$1,[1]!BANCO10[[#This Row],[STATUS DA ETAPA]],"")</f>
        <v/>
      </c>
      <c r="CN744" s="21" t="str">
        <f>IF([1]!BANCO10[[#This Row],[SOLUÇÃO]]=CN$1,[1]!BANCO10[[#This Row],[STATUS DA ETAPA]],"")</f>
        <v/>
      </c>
      <c r="CO744" s="21" t="str">
        <f>IF([1]!BANCO10[[#This Row],[SOLUÇÃO]]=CO$1,[1]!BANCO10[[#This Row],[STATUS DA ETAPA]],"")</f>
        <v/>
      </c>
      <c r="CP744" s="21" t="str">
        <f>IF([1]!BANCO10[[#This Row],[SOLUÇÃO]]=CP$1,[1]!BANCO10[[#This Row],[STATUS DA ETAPA]],"")</f>
        <v/>
      </c>
      <c r="CQ744" s="21" t="str">
        <f>IF([1]!BANCO10[[#This Row],[SOLUÇÃO]]=CQ$1,[1]!BANCO10[[#This Row],[STATUS DA ETAPA]],"")</f>
        <v/>
      </c>
      <c r="CR744" s="21" t="str">
        <f>IF([1]!BANCO10[[#This Row],[SOLUÇÃO]]=CR$1,[1]!BANCO10[[#This Row],[STATUS DA ETAPA]],"")</f>
        <v/>
      </c>
      <c r="CS744" s="21" t="str">
        <f>IF([1]!BANCO10[[#This Row],[SOLUÇÃO]]=CS$1,[1]!BANCO10[[#This Row],[STATUS DA ETAPA]],"")</f>
        <v/>
      </c>
      <c r="CT744" s="21" t="str">
        <f>IF([1]!BANCO10[[#This Row],[SOLUÇÃO]]=CT$1,[1]!BANCO10[[#This Row],[STATUS DA ETAPA]],"")</f>
        <v/>
      </c>
      <c r="CU744" s="21" t="str">
        <f>IF([1]!BANCO10[[#This Row],[SOLUÇÃO]]=CU$1,[1]!BANCO10[[#This Row],[STATUS DA ETAPA]],"")</f>
        <v/>
      </c>
      <c r="CV744" s="21" t="str">
        <f>IF([1]!BANCO10[[#This Row],[SOLUÇÃO]]=CV$1,[1]!BANCO10[[#This Row],[STATUS DA ETAPA]],"")</f>
        <v/>
      </c>
    </row>
    <row r="745" spans="1:100">
      <c r="A745" s="44" t="s">
        <v>1</v>
      </c>
      <c r="B745" s="44"/>
      <c r="C745" s="44" t="s">
        <v>1</v>
      </c>
      <c r="D745" s="44"/>
      <c r="E745" s="44" t="s">
        <v>1</v>
      </c>
      <c r="F745" s="44"/>
      <c r="G745" s="44" t="s">
        <v>1</v>
      </c>
      <c r="H745" s="44"/>
      <c r="I745" s="45" t="s">
        <v>1</v>
      </c>
      <c r="J745" s="46"/>
      <c r="K745" s="45" t="s">
        <v>1</v>
      </c>
      <c r="L745" s="33"/>
      <c r="M745" s="45" t="s">
        <v>1</v>
      </c>
      <c r="N745" s="33"/>
      <c r="O745" s="44" t="s">
        <v>2</v>
      </c>
      <c r="P745" s="44">
        <v>44743</v>
      </c>
      <c r="Q745" s="44" t="s">
        <v>0</v>
      </c>
      <c r="R745" s="44"/>
      <c r="S745" s="44" t="s">
        <v>1</v>
      </c>
      <c r="T745" s="44"/>
      <c r="U745" s="44" t="s">
        <v>1</v>
      </c>
      <c r="V745" s="44"/>
      <c r="W745" s="44" t="s">
        <v>1</v>
      </c>
      <c r="X745" s="44"/>
      <c r="Y745" s="44" t="s">
        <v>1</v>
      </c>
      <c r="Z745" s="44"/>
      <c r="AA745" s="44" t="s">
        <v>1</v>
      </c>
      <c r="AB745" s="44"/>
      <c r="AC745" s="84">
        <v>44743</v>
      </c>
      <c r="AD745" s="83">
        <v>44743</v>
      </c>
      <c r="AE745" s="40" t="s">
        <v>1</v>
      </c>
      <c r="AF745" s="40" t="s">
        <v>1</v>
      </c>
      <c r="AG745" s="40" t="s">
        <v>5</v>
      </c>
      <c r="AH745" s="36" t="s">
        <v>1</v>
      </c>
      <c r="AI745" s="49">
        <v>0</v>
      </c>
      <c r="AJ745" s="36" t="s">
        <v>1</v>
      </c>
      <c r="AK745" s="10" t="s">
        <v>1</v>
      </c>
      <c r="AL745" s="36" t="s">
        <v>1</v>
      </c>
      <c r="AM745" s="36" t="s">
        <v>1</v>
      </c>
      <c r="AN745" s="35" t="s">
        <v>1</v>
      </c>
      <c r="AO745" s="35" t="s">
        <v>1</v>
      </c>
      <c r="AP745" s="35" t="s">
        <v>1</v>
      </c>
      <c r="AQ745" s="35" t="s">
        <v>1</v>
      </c>
      <c r="AR745" s="48" t="s">
        <v>1</v>
      </c>
      <c r="AS745" s="33"/>
      <c r="AT745" s="30"/>
      <c r="AU745" s="55"/>
      <c r="AV745" s="30"/>
      <c r="AW745" s="55"/>
      <c r="AX745" s="30" t="s">
        <v>1</v>
      </c>
      <c r="AY745" s="55"/>
      <c r="AZ745" s="30" t="s">
        <v>1</v>
      </c>
      <c r="BA745" s="85"/>
      <c r="BB745" s="39"/>
      <c r="BC745" s="25"/>
      <c r="BD745" s="24" t="s">
        <v>11</v>
      </c>
      <c r="BE745" s="24" t="s">
        <v>11</v>
      </c>
      <c r="BF745" s="79" t="s">
        <v>136</v>
      </c>
      <c r="BG745" s="79" t="s">
        <v>11</v>
      </c>
      <c r="BH745" s="80" t="s">
        <v>19</v>
      </c>
      <c r="BI745" s="79"/>
      <c r="BJ745" s="54" t="s">
        <v>11</v>
      </c>
      <c r="BK745" s="78" t="s">
        <v>11</v>
      </c>
      <c r="BL745" s="69" t="s">
        <v>11</v>
      </c>
      <c r="BM745" s="78" t="s">
        <v>11</v>
      </c>
      <c r="BN745" s="78" t="s">
        <v>11</v>
      </c>
      <c r="BO745" s="78" t="s">
        <v>11</v>
      </c>
      <c r="BP745" s="78" t="s">
        <v>11</v>
      </c>
      <c r="BQ745" s="21">
        <f>YEAR([1]!BANCO10[[#This Row],[DATA INÍCIO]])</f>
        <v>2022</v>
      </c>
      <c r="BR745" s="21">
        <f>MONTH([1]!BANCO10[[#This Row],[DATA INÍCIO]])</f>
        <v>7</v>
      </c>
      <c r="BS745" s="21" t="e">
        <f>CONCATENATE(#REF!,#REF!)</f>
        <v>#REF!</v>
      </c>
      <c r="BT745" s="21"/>
      <c r="BU745" s="21" t="s">
        <v>141</v>
      </c>
      <c r="BV745" s="21" t="str">
        <f>IF([1]!BANCO10[[#This Row],[SOLUÇÃO]]=BV$1,[1]!BANCO10[[#This Row],[STATUS DA ETAPA]],"")</f>
        <v>CONCLUÍDO</v>
      </c>
      <c r="BW745" s="21" t="str">
        <f>IF([1]!BANCO10[[#This Row],[SOLUÇÃO]]=BW$1,[1]!BANCO10[[#This Row],[STATUS DA ETAPA]],"")</f>
        <v/>
      </c>
      <c r="BX745" s="21" t="str">
        <f>IF([1]!BANCO10[[#This Row],[SOLUÇÃO]]=BX$1,[1]!BANCO10[[#This Row],[STATUS DA ETAPA]],"")</f>
        <v/>
      </c>
      <c r="BY745" s="21" t="str">
        <f>IF([1]!BANCO10[[#This Row],[SOLUÇÃO]]=BY$1,[1]!BANCO10[[#This Row],[STATUS DA ETAPA]],"")</f>
        <v/>
      </c>
      <c r="BZ745" s="21" t="str">
        <f>IF([1]!BANCO10[[#This Row],[SOLUÇÃO]]=BZ$1,[1]!BANCO10[[#This Row],[STATUS DA ETAPA]],"")</f>
        <v/>
      </c>
      <c r="CA745" s="21" t="str">
        <f>IF([1]!BANCO10[[#This Row],[SOLUÇÃO]]=CA$1,[1]!BANCO10[[#This Row],[STATUS DA ETAPA]],"")</f>
        <v/>
      </c>
      <c r="CB745" s="21" t="str">
        <f>IF([1]!BANCO10[[#This Row],[SOLUÇÃO]]=CB$1,[1]!BANCO10[[#This Row],[STATUS DA ETAPA]],"")</f>
        <v/>
      </c>
      <c r="CC745" s="21" t="str">
        <f>IF([1]!BANCO10[[#This Row],[SOLUÇÃO]]=CC$1,[1]!BANCO10[[#This Row],[STATUS DA ETAPA]],"")</f>
        <v/>
      </c>
      <c r="CD745" s="21" t="str">
        <f>IF([1]!BANCO10[[#This Row],[SOLUÇÃO]]=CD$1,[1]!BANCO10[[#This Row],[STATUS DA ETAPA]],"")</f>
        <v/>
      </c>
      <c r="CE745" s="21" t="str">
        <f>IF([1]!BANCO10[[#This Row],[SOLUÇÃO]]=CE$1,[1]!BANCO10[[#This Row],[STATUS DA ETAPA]],"")</f>
        <v/>
      </c>
      <c r="CF745" s="21" t="str">
        <f>IF([1]!BANCO10[[#This Row],[SOLUÇÃO]]=CF$1,[1]!BANCO10[[#This Row],[STATUS DA ETAPA]],"")</f>
        <v/>
      </c>
      <c r="CG745" s="21" t="str">
        <f>IF([1]!BANCO10[[#This Row],[SOLUÇÃO]]=CG$1,[1]!BANCO10[[#This Row],[STATUS DA ETAPA]],"")</f>
        <v/>
      </c>
      <c r="CH745" s="21" t="str">
        <f>IF([1]!BANCO10[[#This Row],[SOLUÇÃO]]=CH$1,[1]!BANCO10[[#This Row],[STATUS DA ETAPA]],"")</f>
        <v/>
      </c>
      <c r="CI745" s="21" t="str">
        <f>IF([1]!BANCO10[[#This Row],[SOLUÇÃO]]=CI$1,[1]!BANCO10[[#This Row],[STATUS DA ETAPA]],"")</f>
        <v/>
      </c>
      <c r="CJ745" s="21" t="str">
        <f>IF([1]!BANCO10[[#This Row],[SOLUÇÃO]]=CJ$1,[1]!BANCO10[[#This Row],[STATUS DA ETAPA]],"")</f>
        <v/>
      </c>
      <c r="CK745" s="21" t="str">
        <f>IF([1]!BANCO10[[#This Row],[SOLUÇÃO]]=CK$1,[1]!BANCO10[[#This Row],[STATUS DA ETAPA]],"")</f>
        <v/>
      </c>
      <c r="CL745" s="22" t="str">
        <f>IF([1]!BANCO10[[#This Row],[SOLUÇÃO]]=CL$1,[1]!BANCO10[[#This Row],[STATUS DA ETAPA]],"")</f>
        <v/>
      </c>
      <c r="CM745" s="64" t="str">
        <f>IF([1]!BANCO10[[#This Row],[SOLUÇÃO]]=CM$1,[1]!BANCO10[[#This Row],[STATUS DA ETAPA]],"")</f>
        <v/>
      </c>
      <c r="CN745" s="64" t="str">
        <f>IF([1]!BANCO10[[#This Row],[SOLUÇÃO]]=CN$1,[1]!BANCO10[[#This Row],[STATUS DA ETAPA]],"")</f>
        <v/>
      </c>
      <c r="CO745" s="64" t="str">
        <f>IF([1]!BANCO10[[#This Row],[SOLUÇÃO]]=CO$1,[1]!BANCO10[[#This Row],[STATUS DA ETAPA]],"")</f>
        <v/>
      </c>
      <c r="CP745" s="64" t="str">
        <f>IF([1]!BANCO10[[#This Row],[SOLUÇÃO]]=CP$1,[1]!BANCO10[[#This Row],[STATUS DA ETAPA]],"")</f>
        <v/>
      </c>
      <c r="CQ745" s="64" t="str">
        <f>IF([1]!BANCO10[[#This Row],[SOLUÇÃO]]=CQ$1,[1]!BANCO10[[#This Row],[STATUS DA ETAPA]],"")</f>
        <v/>
      </c>
      <c r="CR745" s="64" t="str">
        <f>IF([1]!BANCO10[[#This Row],[SOLUÇÃO]]=CR$1,[1]!BANCO10[[#This Row],[STATUS DA ETAPA]],"")</f>
        <v/>
      </c>
      <c r="CS745" s="64" t="str">
        <f>IF([1]!BANCO10[[#This Row],[SOLUÇÃO]]=CS$1,[1]!BANCO10[[#This Row],[STATUS DA ETAPA]],"")</f>
        <v/>
      </c>
      <c r="CT745" s="64" t="str">
        <f>IF([1]!BANCO10[[#This Row],[SOLUÇÃO]]=CT$1,[1]!BANCO10[[#This Row],[STATUS DA ETAPA]],"")</f>
        <v/>
      </c>
      <c r="CU745" s="64" t="str">
        <f>IF([1]!BANCO10[[#This Row],[SOLUÇÃO]]=CU$1,[1]!BANCO10[[#This Row],[STATUS DA ETAPA]],"")</f>
        <v/>
      </c>
      <c r="CV745" s="64" t="str">
        <f>IF([1]!BANCO10[[#This Row],[SOLUÇÃO]]=CV$1,[1]!BANCO10[[#This Row],[STATUS DA ETAPA]],"")</f>
        <v/>
      </c>
    </row>
    <row r="746" spans="1:100">
      <c r="A746" s="44" t="s">
        <v>1</v>
      </c>
      <c r="B746" s="44"/>
      <c r="C746" s="44" t="s">
        <v>1</v>
      </c>
      <c r="D746" s="44"/>
      <c r="E746" s="44" t="s">
        <v>1</v>
      </c>
      <c r="F746" s="44"/>
      <c r="G746" s="44" t="s">
        <v>1</v>
      </c>
      <c r="H746" s="44"/>
      <c r="I746" s="45" t="s">
        <v>1</v>
      </c>
      <c r="J746" s="46"/>
      <c r="K746" s="45" t="s">
        <v>1</v>
      </c>
      <c r="L746" s="33"/>
      <c r="M746" s="45" t="s">
        <v>1</v>
      </c>
      <c r="N746" s="33"/>
      <c r="O746" s="44" t="s">
        <v>2</v>
      </c>
      <c r="P746" s="44">
        <v>44743</v>
      </c>
      <c r="Q746" s="44" t="s">
        <v>2</v>
      </c>
      <c r="R746" s="44">
        <v>44761</v>
      </c>
      <c r="S746" s="44" t="s">
        <v>2</v>
      </c>
      <c r="T746" s="44">
        <v>44782</v>
      </c>
      <c r="U746" s="44"/>
      <c r="V746" s="44"/>
      <c r="W746" s="44" t="s">
        <v>1</v>
      </c>
      <c r="X746" s="44"/>
      <c r="Y746" s="44" t="s">
        <v>1</v>
      </c>
      <c r="Z746" s="44"/>
      <c r="AA746" s="44" t="s">
        <v>1</v>
      </c>
      <c r="AB746" s="44"/>
      <c r="AC746" s="84">
        <v>44831</v>
      </c>
      <c r="AD746" s="83">
        <v>44922</v>
      </c>
      <c r="AE746" s="40" t="s">
        <v>2</v>
      </c>
      <c r="AF746" s="40" t="s">
        <v>2</v>
      </c>
      <c r="AG746" s="40" t="s">
        <v>5</v>
      </c>
      <c r="AH746" s="36" t="s">
        <v>2</v>
      </c>
      <c r="AI746" s="49">
        <v>0</v>
      </c>
      <c r="AJ746" s="36" t="s">
        <v>1</v>
      </c>
      <c r="AK746" s="10" t="s">
        <v>1</v>
      </c>
      <c r="AL746" s="36" t="s">
        <v>1</v>
      </c>
      <c r="AM746" s="36" t="s">
        <v>1</v>
      </c>
      <c r="AN746" s="35" t="s">
        <v>1</v>
      </c>
      <c r="AO746" s="35" t="s">
        <v>1</v>
      </c>
      <c r="AP746" s="35" t="s">
        <v>2</v>
      </c>
      <c r="AQ746" s="35" t="s">
        <v>1</v>
      </c>
      <c r="AR746" s="33" t="s">
        <v>1</v>
      </c>
      <c r="AS746" s="33"/>
      <c r="AT746" s="30"/>
      <c r="AU746" s="55"/>
      <c r="AV746" s="30"/>
      <c r="AW746" s="55"/>
      <c r="AX746" s="30" t="s">
        <v>2</v>
      </c>
      <c r="AY746" s="55">
        <v>44922</v>
      </c>
      <c r="AZ746" s="30" t="s">
        <v>2</v>
      </c>
      <c r="BA746" s="85"/>
      <c r="BB746" s="39" t="s">
        <v>140</v>
      </c>
      <c r="BC746" s="25"/>
      <c r="BD746" s="24" t="s">
        <v>11</v>
      </c>
      <c r="BE746" s="24" t="s">
        <v>11</v>
      </c>
      <c r="BF746" s="79" t="s">
        <v>136</v>
      </c>
      <c r="BG746" s="79" t="s">
        <v>11</v>
      </c>
      <c r="BH746" s="80" t="s">
        <v>19</v>
      </c>
      <c r="BI746" s="79"/>
      <c r="BJ746" s="54" t="s">
        <v>11</v>
      </c>
      <c r="BK746" s="78" t="s">
        <v>11</v>
      </c>
      <c r="BL746" s="69" t="s">
        <v>11</v>
      </c>
      <c r="BM746" s="78" t="s">
        <v>11</v>
      </c>
      <c r="BN746" s="78" t="s">
        <v>11</v>
      </c>
      <c r="BO746" s="78" t="s">
        <v>11</v>
      </c>
      <c r="BP746" s="78" t="s">
        <v>11</v>
      </c>
      <c r="BQ746" s="21">
        <f>YEAR([1]!BANCO10[[#This Row],[DATA INÍCIO]])</f>
        <v>2022</v>
      </c>
      <c r="BR746" s="21">
        <f>MONTH([1]!BANCO10[[#This Row],[DATA INÍCIO]])</f>
        <v>9</v>
      </c>
      <c r="BS746" s="21" t="e">
        <f>CONCATENATE(#REF!,#REF!)</f>
        <v>#REF!</v>
      </c>
      <c r="BT746" s="21"/>
      <c r="BU746" s="21" t="s">
        <v>139</v>
      </c>
      <c r="BV746" s="21" t="str">
        <f>IF([1]!BANCO10[[#This Row],[SOLUÇÃO]]=BV$1,[1]!BANCO10[[#This Row],[STATUS DA ETAPA]],"")</f>
        <v/>
      </c>
      <c r="BW746" s="21" t="str">
        <f>IF([1]!BANCO10[[#This Row],[SOLUÇÃO]]=BW$1,[1]!BANCO10[[#This Row],[STATUS DA ETAPA]],"")</f>
        <v/>
      </c>
      <c r="BX746" s="21" t="str">
        <f>IF([1]!BANCO10[[#This Row],[SOLUÇÃO]]=BX$1,[1]!BANCO10[[#This Row],[STATUS DA ETAPA]],"")</f>
        <v/>
      </c>
      <c r="BY746" s="21" t="str">
        <f>IF([1]!BANCO10[[#This Row],[SOLUÇÃO]]=BY$1,[1]!BANCO10[[#This Row],[STATUS DA ETAPA]],"")</f>
        <v/>
      </c>
      <c r="BZ746" s="21" t="str">
        <f>IF([1]!BANCO10[[#This Row],[SOLUÇÃO]]=BZ$1,[1]!BANCO10[[#This Row],[STATUS DA ETAPA]],"")</f>
        <v/>
      </c>
      <c r="CA746" s="21" t="str">
        <f>IF([1]!BANCO10[[#This Row],[SOLUÇÃO]]=CA$1,[1]!BANCO10[[#This Row],[STATUS DA ETAPA]],"")</f>
        <v>CONCLUÍDO</v>
      </c>
      <c r="CB746" s="21" t="str">
        <f>IF([1]!BANCO10[[#This Row],[SOLUÇÃO]]=CB$1,[1]!BANCO10[[#This Row],[STATUS DA ETAPA]],"")</f>
        <v/>
      </c>
      <c r="CC746" s="21" t="str">
        <f>IF([1]!BANCO10[[#This Row],[SOLUÇÃO]]=CC$1,[1]!BANCO10[[#This Row],[STATUS DA ETAPA]],"")</f>
        <v/>
      </c>
      <c r="CD746" s="21" t="str">
        <f>IF([1]!BANCO10[[#This Row],[SOLUÇÃO]]=CD$1,[1]!BANCO10[[#This Row],[STATUS DA ETAPA]],"")</f>
        <v/>
      </c>
      <c r="CE746" s="21" t="str">
        <f>IF([1]!BANCO10[[#This Row],[SOLUÇÃO]]=CE$1,[1]!BANCO10[[#This Row],[STATUS DA ETAPA]],"")</f>
        <v/>
      </c>
      <c r="CF746" s="21" t="str">
        <f>IF([1]!BANCO10[[#This Row],[SOLUÇÃO]]=CF$1,[1]!BANCO10[[#This Row],[STATUS DA ETAPA]],"")</f>
        <v/>
      </c>
      <c r="CG746" s="21" t="str">
        <f>IF([1]!BANCO10[[#This Row],[SOLUÇÃO]]=CG$1,[1]!BANCO10[[#This Row],[STATUS DA ETAPA]],"")</f>
        <v/>
      </c>
      <c r="CH746" s="21" t="str">
        <f>IF([1]!BANCO10[[#This Row],[SOLUÇÃO]]=CH$1,[1]!BANCO10[[#This Row],[STATUS DA ETAPA]],"")</f>
        <v/>
      </c>
      <c r="CI746" s="21" t="str">
        <f>IF([1]!BANCO10[[#This Row],[SOLUÇÃO]]=CI$1,[1]!BANCO10[[#This Row],[STATUS DA ETAPA]],"")</f>
        <v/>
      </c>
      <c r="CJ746" s="21" t="str">
        <f>IF([1]!BANCO10[[#This Row],[SOLUÇÃO]]=CJ$1,[1]!BANCO10[[#This Row],[STATUS DA ETAPA]],"")</f>
        <v/>
      </c>
      <c r="CK746" s="21" t="str">
        <f>IF([1]!BANCO10[[#This Row],[SOLUÇÃO]]=CK$1,[1]!BANCO10[[#This Row],[STATUS DA ETAPA]],"")</f>
        <v/>
      </c>
      <c r="CL746" s="22" t="str">
        <f>IF([1]!BANCO10[[#This Row],[SOLUÇÃO]]=CL$1,[1]!BANCO10[[#This Row],[STATUS DA ETAPA]],"")</f>
        <v/>
      </c>
      <c r="CM746" s="64" t="str">
        <f>IF([1]!BANCO10[[#This Row],[SOLUÇÃO]]=CM$1,[1]!BANCO10[[#This Row],[STATUS DA ETAPA]],"")</f>
        <v/>
      </c>
      <c r="CN746" s="64" t="str">
        <f>IF([1]!BANCO10[[#This Row],[SOLUÇÃO]]=CN$1,[1]!BANCO10[[#This Row],[STATUS DA ETAPA]],"")</f>
        <v/>
      </c>
      <c r="CO746" s="64" t="str">
        <f>IF([1]!BANCO10[[#This Row],[SOLUÇÃO]]=CO$1,[1]!BANCO10[[#This Row],[STATUS DA ETAPA]],"")</f>
        <v/>
      </c>
      <c r="CP746" s="64" t="str">
        <f>IF([1]!BANCO10[[#This Row],[SOLUÇÃO]]=CP$1,[1]!BANCO10[[#This Row],[STATUS DA ETAPA]],"")</f>
        <v/>
      </c>
      <c r="CQ746" s="64" t="str">
        <f>IF([1]!BANCO10[[#This Row],[SOLUÇÃO]]=CQ$1,[1]!BANCO10[[#This Row],[STATUS DA ETAPA]],"")</f>
        <v/>
      </c>
      <c r="CR746" s="64" t="str">
        <f>IF([1]!BANCO10[[#This Row],[SOLUÇÃO]]=CR$1,[1]!BANCO10[[#This Row],[STATUS DA ETAPA]],"")</f>
        <v/>
      </c>
      <c r="CS746" s="64" t="str">
        <f>IF([1]!BANCO10[[#This Row],[SOLUÇÃO]]=CS$1,[1]!BANCO10[[#This Row],[STATUS DA ETAPA]],"")</f>
        <v/>
      </c>
      <c r="CT746" s="64" t="str">
        <f>IF([1]!BANCO10[[#This Row],[SOLUÇÃO]]=CT$1,[1]!BANCO10[[#This Row],[STATUS DA ETAPA]],"")</f>
        <v/>
      </c>
      <c r="CU746" s="64" t="str">
        <f>IF([1]!BANCO10[[#This Row],[SOLUÇÃO]]=CU$1,[1]!BANCO10[[#This Row],[STATUS DA ETAPA]],"")</f>
        <v/>
      </c>
      <c r="CV746" s="64" t="str">
        <f>IF([1]!BANCO10[[#This Row],[SOLUÇÃO]]=CV$1,[1]!BANCO10[[#This Row],[STATUS DA ETAPA]],"")</f>
        <v/>
      </c>
    </row>
    <row r="747" spans="1:100">
      <c r="A747" s="44" t="s">
        <v>1</v>
      </c>
      <c r="B747" s="44"/>
      <c r="C747" s="44" t="s">
        <v>1</v>
      </c>
      <c r="D747" s="44"/>
      <c r="E747" s="44" t="s">
        <v>1</v>
      </c>
      <c r="F747" s="44"/>
      <c r="G747" s="44" t="s">
        <v>1</v>
      </c>
      <c r="H747" s="44"/>
      <c r="I747" s="45" t="s">
        <v>1</v>
      </c>
      <c r="J747" s="46"/>
      <c r="K747" s="45" t="s">
        <v>1</v>
      </c>
      <c r="L747" s="33"/>
      <c r="M747" s="45" t="s">
        <v>1</v>
      </c>
      <c r="N747" s="33"/>
      <c r="O747" s="44" t="s">
        <v>2</v>
      </c>
      <c r="P747" s="44">
        <v>44743</v>
      </c>
      <c r="Q747" s="44" t="s">
        <v>2</v>
      </c>
      <c r="R747" s="44">
        <v>44761</v>
      </c>
      <c r="S747" s="44" t="s">
        <v>2</v>
      </c>
      <c r="T747" s="44">
        <v>44782</v>
      </c>
      <c r="U747" s="44"/>
      <c r="V747" s="44"/>
      <c r="W747" s="44" t="s">
        <v>2</v>
      </c>
      <c r="X747" s="44"/>
      <c r="Y747" s="44" t="s">
        <v>2</v>
      </c>
      <c r="Z747" s="44">
        <v>44926</v>
      </c>
      <c r="AA747" s="44" t="s">
        <v>2</v>
      </c>
      <c r="AB747" s="44"/>
      <c r="AC747" s="84">
        <v>44945</v>
      </c>
      <c r="AD747" s="83">
        <v>45049</v>
      </c>
      <c r="AE747" s="40" t="s">
        <v>2</v>
      </c>
      <c r="AF747" s="40" t="s">
        <v>2</v>
      </c>
      <c r="AG747" s="40" t="s">
        <v>5</v>
      </c>
      <c r="AH747" s="36" t="s">
        <v>0</v>
      </c>
      <c r="AI747" s="49">
        <v>0</v>
      </c>
      <c r="AJ747" s="36"/>
      <c r="AK747" s="10"/>
      <c r="AL747" s="36">
        <v>4731</v>
      </c>
      <c r="AM747" s="36" t="s">
        <v>1</v>
      </c>
      <c r="AN747" s="35" t="s">
        <v>1</v>
      </c>
      <c r="AO747" s="35" t="s">
        <v>1</v>
      </c>
      <c r="AP747" s="35" t="s">
        <v>2</v>
      </c>
      <c r="AQ747" s="35" t="s">
        <v>1</v>
      </c>
      <c r="AR747" s="33" t="s">
        <v>1</v>
      </c>
      <c r="AS747" s="33"/>
      <c r="AT747" s="30"/>
      <c r="AU747" s="55"/>
      <c r="AV747" s="30"/>
      <c r="AW747" s="55"/>
      <c r="AX747" s="30" t="s">
        <v>2</v>
      </c>
      <c r="AY747" s="55">
        <v>45049</v>
      </c>
      <c r="AZ747" s="30" t="s">
        <v>2</v>
      </c>
      <c r="BA747" s="85"/>
      <c r="BB747" s="39"/>
      <c r="BC747" s="25"/>
      <c r="BD747" s="24" t="s">
        <v>11</v>
      </c>
      <c r="BE747" s="24" t="s">
        <v>11</v>
      </c>
      <c r="BF747" s="79" t="s">
        <v>136</v>
      </c>
      <c r="BG747" s="79" t="s">
        <v>11</v>
      </c>
      <c r="BH747" s="80" t="s">
        <v>19</v>
      </c>
      <c r="BI747" s="79"/>
      <c r="BJ747" s="54" t="s">
        <v>11</v>
      </c>
      <c r="BK747" s="78" t="s">
        <v>11</v>
      </c>
      <c r="BL747" s="69" t="s">
        <v>11</v>
      </c>
      <c r="BM747" s="78" t="s">
        <v>11</v>
      </c>
      <c r="BN747" s="78" t="s">
        <v>11</v>
      </c>
      <c r="BO747" s="78" t="s">
        <v>11</v>
      </c>
      <c r="BP747" s="78" t="s">
        <v>11</v>
      </c>
      <c r="BQ747" s="21">
        <f>YEAR([1]!BANCO10[[#This Row],[DATA INÍCIO]])</f>
        <v>2023</v>
      </c>
      <c r="BR747" s="21">
        <f>MONTH([1]!BANCO10[[#This Row],[DATA INÍCIO]])</f>
        <v>1</v>
      </c>
      <c r="BS747" s="21" t="e">
        <f>CONCATENATE(#REF!,#REF!)</f>
        <v>#REF!</v>
      </c>
      <c r="BT747" s="21"/>
      <c r="BU747" s="21" t="s">
        <v>138</v>
      </c>
      <c r="BV747" s="21" t="str">
        <f>IF([1]!BANCO10[[#This Row],[SOLUÇÃO]]=BV$1,[1]!BANCO10[[#This Row],[STATUS DA ETAPA]],"")</f>
        <v/>
      </c>
      <c r="BW747" s="21" t="str">
        <f>IF([1]!BANCO10[[#This Row],[SOLUÇÃO]]=BW$1,[1]!BANCO10[[#This Row],[STATUS DA ETAPA]],"")</f>
        <v/>
      </c>
      <c r="BX747" s="21" t="str">
        <f>IF([1]!BANCO10[[#This Row],[SOLUÇÃO]]=BX$1,[1]!BANCO10[[#This Row],[STATUS DA ETAPA]],"")</f>
        <v/>
      </c>
      <c r="BY747" s="21" t="str">
        <f>IF([1]!BANCO10[[#This Row],[SOLUÇÃO]]=BY$1,[1]!BANCO10[[#This Row],[STATUS DA ETAPA]],"")</f>
        <v/>
      </c>
      <c r="BZ747" s="21" t="str">
        <f>IF([1]!BANCO10[[#This Row],[SOLUÇÃO]]=BZ$1,[1]!BANCO10[[#This Row],[STATUS DA ETAPA]],"")</f>
        <v/>
      </c>
      <c r="CA747" s="21" t="str">
        <f>IF([1]!BANCO10[[#This Row],[SOLUÇÃO]]=CA$1,[1]!BANCO10[[#This Row],[STATUS DA ETAPA]],"")</f>
        <v/>
      </c>
      <c r="CB747" s="21" t="str">
        <f>IF([1]!BANCO10[[#This Row],[SOLUÇÃO]]=CB$1,[1]!BANCO10[[#This Row],[STATUS DA ETAPA]],"")</f>
        <v/>
      </c>
      <c r="CC747" s="21" t="str">
        <f>IF([1]!BANCO10[[#This Row],[SOLUÇÃO]]=CC$1,[1]!BANCO10[[#This Row],[STATUS DA ETAPA]],"")</f>
        <v>CONCLUÍDO</v>
      </c>
      <c r="CD747" s="21" t="str">
        <f>IF([1]!BANCO10[[#This Row],[SOLUÇÃO]]=CD$1,[1]!BANCO10[[#This Row],[STATUS DA ETAPA]],"")</f>
        <v/>
      </c>
      <c r="CE747" s="21" t="str">
        <f>IF([1]!BANCO10[[#This Row],[SOLUÇÃO]]=CE$1,[1]!BANCO10[[#This Row],[STATUS DA ETAPA]],"")</f>
        <v/>
      </c>
      <c r="CF747" s="21" t="str">
        <f>IF([1]!BANCO10[[#This Row],[SOLUÇÃO]]=CF$1,[1]!BANCO10[[#This Row],[STATUS DA ETAPA]],"")</f>
        <v/>
      </c>
      <c r="CG747" s="21" t="str">
        <f>IF([1]!BANCO10[[#This Row],[SOLUÇÃO]]=CG$1,[1]!BANCO10[[#This Row],[STATUS DA ETAPA]],"")</f>
        <v/>
      </c>
      <c r="CH747" s="21" t="str">
        <f>IF([1]!BANCO10[[#This Row],[SOLUÇÃO]]=CH$1,[1]!BANCO10[[#This Row],[STATUS DA ETAPA]],"")</f>
        <v/>
      </c>
      <c r="CI747" s="21" t="str">
        <f>IF([1]!BANCO10[[#This Row],[SOLUÇÃO]]=CI$1,[1]!BANCO10[[#This Row],[STATUS DA ETAPA]],"")</f>
        <v/>
      </c>
      <c r="CJ747" s="21" t="str">
        <f>IF([1]!BANCO10[[#This Row],[SOLUÇÃO]]=CJ$1,[1]!BANCO10[[#This Row],[STATUS DA ETAPA]],"")</f>
        <v/>
      </c>
      <c r="CK747" s="21" t="str">
        <f>IF([1]!BANCO10[[#This Row],[SOLUÇÃO]]=CK$1,[1]!BANCO10[[#This Row],[STATUS DA ETAPA]],"")</f>
        <v/>
      </c>
      <c r="CL747" s="22" t="str">
        <f>IF([1]!BANCO10[[#This Row],[SOLUÇÃO]]=CL$1,[1]!BANCO10[[#This Row],[STATUS DA ETAPA]],"")</f>
        <v/>
      </c>
      <c r="CM747" s="64" t="str">
        <f>IF([1]!BANCO10[[#This Row],[SOLUÇÃO]]=CM$1,[1]!BANCO10[[#This Row],[STATUS DA ETAPA]],"")</f>
        <v/>
      </c>
      <c r="CN747" s="64" t="str">
        <f>IF([1]!BANCO10[[#This Row],[SOLUÇÃO]]=CN$1,[1]!BANCO10[[#This Row],[STATUS DA ETAPA]],"")</f>
        <v/>
      </c>
      <c r="CO747" s="64" t="str">
        <f>IF([1]!BANCO10[[#This Row],[SOLUÇÃO]]=CO$1,[1]!BANCO10[[#This Row],[STATUS DA ETAPA]],"")</f>
        <v/>
      </c>
      <c r="CP747" s="64" t="str">
        <f>IF([1]!BANCO10[[#This Row],[SOLUÇÃO]]=CP$1,[1]!BANCO10[[#This Row],[STATUS DA ETAPA]],"")</f>
        <v/>
      </c>
      <c r="CQ747" s="64" t="str">
        <f>IF([1]!BANCO10[[#This Row],[SOLUÇÃO]]=CQ$1,[1]!BANCO10[[#This Row],[STATUS DA ETAPA]],"")</f>
        <v/>
      </c>
      <c r="CR747" s="64" t="str">
        <f>IF([1]!BANCO10[[#This Row],[SOLUÇÃO]]=CR$1,[1]!BANCO10[[#This Row],[STATUS DA ETAPA]],"")</f>
        <v/>
      </c>
      <c r="CS747" s="64" t="str">
        <f>IF([1]!BANCO10[[#This Row],[SOLUÇÃO]]=CS$1,[1]!BANCO10[[#This Row],[STATUS DA ETAPA]],"")</f>
        <v/>
      </c>
      <c r="CT747" s="64" t="str">
        <f>IF([1]!BANCO10[[#This Row],[SOLUÇÃO]]=CT$1,[1]!BANCO10[[#This Row],[STATUS DA ETAPA]],"")</f>
        <v/>
      </c>
      <c r="CU747" s="64" t="str">
        <f>IF([1]!BANCO10[[#This Row],[SOLUÇÃO]]=CU$1,[1]!BANCO10[[#This Row],[STATUS DA ETAPA]],"")</f>
        <v/>
      </c>
      <c r="CV747" s="64" t="str">
        <f>IF([1]!BANCO10[[#This Row],[SOLUÇÃO]]=CV$1,[1]!BANCO10[[#This Row],[STATUS DA ETAPA]],"")</f>
        <v/>
      </c>
    </row>
    <row r="748" spans="1:100">
      <c r="A748" s="44" t="s">
        <v>1</v>
      </c>
      <c r="B748" s="44"/>
      <c r="C748" s="44" t="s">
        <v>1</v>
      </c>
      <c r="D748" s="44"/>
      <c r="E748" s="44" t="s">
        <v>1</v>
      </c>
      <c r="F748" s="44"/>
      <c r="G748" s="44" t="s">
        <v>1</v>
      </c>
      <c r="H748" s="44"/>
      <c r="I748" s="45" t="s">
        <v>1</v>
      </c>
      <c r="J748" s="46"/>
      <c r="K748" s="45" t="s">
        <v>1</v>
      </c>
      <c r="L748" s="33"/>
      <c r="M748" s="45" t="s">
        <v>1</v>
      </c>
      <c r="N748" s="33"/>
      <c r="O748" s="44" t="s">
        <v>2</v>
      </c>
      <c r="P748" s="44">
        <v>44743</v>
      </c>
      <c r="Q748" s="44" t="s">
        <v>2</v>
      </c>
      <c r="R748" s="44">
        <v>44761</v>
      </c>
      <c r="S748" s="44" t="s">
        <v>2</v>
      </c>
      <c r="T748" s="44">
        <v>44782</v>
      </c>
      <c r="U748" s="44"/>
      <c r="V748" s="44"/>
      <c r="W748" s="44" t="s">
        <v>2</v>
      </c>
      <c r="X748" s="44"/>
      <c r="Y748" s="44" t="s">
        <v>2</v>
      </c>
      <c r="Z748" s="44">
        <v>45132</v>
      </c>
      <c r="AA748" s="44" t="s">
        <v>2</v>
      </c>
      <c r="AB748" s="44"/>
      <c r="AC748" s="84">
        <v>45156</v>
      </c>
      <c r="AD748" s="83">
        <v>45272</v>
      </c>
      <c r="AE748" s="40" t="s">
        <v>2</v>
      </c>
      <c r="AF748" s="40" t="s">
        <v>2</v>
      </c>
      <c r="AG748" s="40" t="s">
        <v>5</v>
      </c>
      <c r="AH748" s="36" t="s">
        <v>0</v>
      </c>
      <c r="AI748" s="49">
        <v>0</v>
      </c>
      <c r="AJ748" s="36" t="s">
        <v>6</v>
      </c>
      <c r="AK748" s="10">
        <v>0</v>
      </c>
      <c r="AL748" s="36">
        <v>0</v>
      </c>
      <c r="AM748" s="36">
        <v>0</v>
      </c>
      <c r="AN748" s="35" t="s">
        <v>1</v>
      </c>
      <c r="AO748" s="35" t="s">
        <v>1</v>
      </c>
      <c r="AP748" s="35" t="s">
        <v>2</v>
      </c>
      <c r="AQ748" s="35" t="s">
        <v>1</v>
      </c>
      <c r="AR748" s="33" t="s">
        <v>1</v>
      </c>
      <c r="AS748" s="33"/>
      <c r="AT748" s="30"/>
      <c r="AU748" s="55"/>
      <c r="AV748" s="30"/>
      <c r="AW748" s="55"/>
      <c r="AX748" s="30" t="s">
        <v>2</v>
      </c>
      <c r="AY748" s="55">
        <v>45278</v>
      </c>
      <c r="AZ748" s="30" t="s">
        <v>1</v>
      </c>
      <c r="BA748" s="91"/>
      <c r="BB748" s="39"/>
      <c r="BC748" s="25"/>
      <c r="BD748" s="24" t="s">
        <v>11</v>
      </c>
      <c r="BE748" s="24" t="s">
        <v>11</v>
      </c>
      <c r="BF748" s="79" t="s">
        <v>136</v>
      </c>
      <c r="BG748" s="79" t="s">
        <v>11</v>
      </c>
      <c r="BH748" s="80" t="s">
        <v>19</v>
      </c>
      <c r="BI748" s="79"/>
      <c r="BJ748" s="54" t="s">
        <v>11</v>
      </c>
      <c r="BK748" s="78" t="s">
        <v>11</v>
      </c>
      <c r="BL748" s="69" t="s">
        <v>11</v>
      </c>
      <c r="BM748" s="78" t="s">
        <v>11</v>
      </c>
      <c r="BN748" s="78" t="s">
        <v>11</v>
      </c>
      <c r="BO748" s="78" t="s">
        <v>11</v>
      </c>
      <c r="BP748" s="78" t="s">
        <v>11</v>
      </c>
      <c r="BQ748" s="21">
        <f>YEAR([1]!BANCO10[[#This Row],[DATA INÍCIO]])</f>
        <v>2023</v>
      </c>
      <c r="BR748" s="21">
        <f>MONTH([1]!BANCO10[[#This Row],[DATA INÍCIO]])</f>
        <v>8</v>
      </c>
      <c r="BS748" s="21" t="e">
        <f>CONCATENATE(#REF!,#REF!)</f>
        <v>#REF!</v>
      </c>
      <c r="BT748" s="21"/>
      <c r="BU748" s="21" t="s">
        <v>137</v>
      </c>
      <c r="BV748" s="21" t="str">
        <f>IF([1]!BANCO10[[#This Row],[SOLUÇÃO]]=BV$1,[1]!BANCO10[[#This Row],[STATUS DA ETAPA]],"")</f>
        <v/>
      </c>
      <c r="BW748" s="21" t="str">
        <f>IF([1]!BANCO10[[#This Row],[SOLUÇÃO]]=BW$1,[1]!BANCO10[[#This Row],[STATUS DA ETAPA]],"")</f>
        <v/>
      </c>
      <c r="BX748" s="21" t="str">
        <f>IF([1]!BANCO10[[#This Row],[SOLUÇÃO]]=BX$1,[1]!BANCO10[[#This Row],[STATUS DA ETAPA]],"")</f>
        <v/>
      </c>
      <c r="BY748" s="21" t="str">
        <f>IF([1]!BANCO10[[#This Row],[SOLUÇÃO]]=BY$1,[1]!BANCO10[[#This Row],[STATUS DA ETAPA]],"")</f>
        <v/>
      </c>
      <c r="BZ748" s="21" t="str">
        <f>IF([1]!BANCO10[[#This Row],[SOLUÇÃO]]=BZ$1,[1]!BANCO10[[#This Row],[STATUS DA ETAPA]],"")</f>
        <v/>
      </c>
      <c r="CA748" s="21" t="str">
        <f>IF([1]!BANCO10[[#This Row],[SOLUÇÃO]]=CA$1,[1]!BANCO10[[#This Row],[STATUS DA ETAPA]],"")</f>
        <v/>
      </c>
      <c r="CB748" s="21" t="str">
        <f>IF([1]!BANCO10[[#This Row],[SOLUÇÃO]]=CB$1,[1]!BANCO10[[#This Row],[STATUS DA ETAPA]],"")</f>
        <v/>
      </c>
      <c r="CC748" s="21" t="str">
        <f>IF([1]!BANCO10[[#This Row],[SOLUÇÃO]]=CC$1,[1]!BANCO10[[#This Row],[STATUS DA ETAPA]],"")</f>
        <v/>
      </c>
      <c r="CD748" s="21" t="str">
        <f>IF([1]!BANCO10[[#This Row],[SOLUÇÃO]]=CD$1,[1]!BANCO10[[#This Row],[STATUS DA ETAPA]],"")</f>
        <v/>
      </c>
      <c r="CE748" s="21" t="str">
        <f>IF([1]!BANCO10[[#This Row],[SOLUÇÃO]]=CE$1,[1]!BANCO10[[#This Row],[STATUS DA ETAPA]],"")</f>
        <v/>
      </c>
      <c r="CF748" s="21" t="str">
        <f>IF([1]!BANCO10[[#This Row],[SOLUÇÃO]]=CF$1,[1]!BANCO10[[#This Row],[STATUS DA ETAPA]],"")</f>
        <v/>
      </c>
      <c r="CG748" s="21" t="str">
        <f>IF([1]!BANCO10[[#This Row],[SOLUÇÃO]]=CG$1,[1]!BANCO10[[#This Row],[STATUS DA ETAPA]],"")</f>
        <v/>
      </c>
      <c r="CH748" s="21" t="str">
        <f>IF([1]!BANCO10[[#This Row],[SOLUÇÃO]]=CH$1,[1]!BANCO10[[#This Row],[STATUS DA ETAPA]],"")</f>
        <v/>
      </c>
      <c r="CI748" s="21" t="str">
        <f>IF([1]!BANCO10[[#This Row],[SOLUÇÃO]]=CI$1,[1]!BANCO10[[#This Row],[STATUS DA ETAPA]],"")</f>
        <v/>
      </c>
      <c r="CJ748" s="21" t="str">
        <f>IF([1]!BANCO10[[#This Row],[SOLUÇÃO]]=CJ$1,[1]!BANCO10[[#This Row],[STATUS DA ETAPA]],"")</f>
        <v/>
      </c>
      <c r="CK748" s="21" t="str">
        <f>IF([1]!BANCO10[[#This Row],[SOLUÇÃO]]=CK$1,[1]!BANCO10[[#This Row],[STATUS DA ETAPA]],"")</f>
        <v/>
      </c>
      <c r="CL748" s="22" t="str">
        <f>IF([1]!BANCO10[[#This Row],[SOLUÇÃO]]=CL$1,[1]!BANCO10[[#This Row],[STATUS DA ETAPA]],"")</f>
        <v/>
      </c>
      <c r="CM748" s="64" t="str">
        <f>IF([1]!BANCO10[[#This Row],[SOLUÇÃO]]=CM$1,[1]!BANCO10[[#This Row],[STATUS DA ETAPA]],"")</f>
        <v/>
      </c>
      <c r="CN748" s="64" t="str">
        <f>IF([1]!BANCO10[[#This Row],[SOLUÇÃO]]=CN$1,[1]!BANCO10[[#This Row],[STATUS DA ETAPA]],"")</f>
        <v/>
      </c>
      <c r="CO748" s="64" t="str">
        <f>IF([1]!BANCO10[[#This Row],[SOLUÇÃO]]=CO$1,[1]!BANCO10[[#This Row],[STATUS DA ETAPA]],"")</f>
        <v>CONCLUÍDO</v>
      </c>
      <c r="CP748" s="64" t="str">
        <f>IF([1]!BANCO10[[#This Row],[SOLUÇÃO]]=CP$1,[1]!BANCO10[[#This Row],[STATUS DA ETAPA]],"")</f>
        <v/>
      </c>
      <c r="CQ748" s="64" t="str">
        <f>IF([1]!BANCO10[[#This Row],[SOLUÇÃO]]=CQ$1,[1]!BANCO10[[#This Row],[STATUS DA ETAPA]],"")</f>
        <v/>
      </c>
      <c r="CR748" s="64" t="str">
        <f>IF([1]!BANCO10[[#This Row],[SOLUÇÃO]]=CR$1,[1]!BANCO10[[#This Row],[STATUS DA ETAPA]],"")</f>
        <v/>
      </c>
      <c r="CS748" s="64" t="str">
        <f>IF([1]!BANCO10[[#This Row],[SOLUÇÃO]]=CS$1,[1]!BANCO10[[#This Row],[STATUS DA ETAPA]],"")</f>
        <v/>
      </c>
      <c r="CT748" s="64" t="str">
        <f>IF([1]!BANCO10[[#This Row],[SOLUÇÃO]]=CT$1,[1]!BANCO10[[#This Row],[STATUS DA ETAPA]],"")</f>
        <v/>
      </c>
      <c r="CU748" s="64" t="str">
        <f>IF([1]!BANCO10[[#This Row],[SOLUÇÃO]]=CU$1,[1]!BANCO10[[#This Row],[STATUS DA ETAPA]],"")</f>
        <v/>
      </c>
      <c r="CV748" s="64" t="str">
        <f>IF([1]!BANCO10[[#This Row],[SOLUÇÃO]]=CV$1,[1]!BANCO10[[#This Row],[STATUS DA ETAPA]],"")</f>
        <v/>
      </c>
    </row>
    <row r="749" spans="1:100">
      <c r="A749" s="44" t="s">
        <v>1</v>
      </c>
      <c r="B749" s="44"/>
      <c r="C749" s="44" t="s">
        <v>1</v>
      </c>
      <c r="D749" s="44"/>
      <c r="E749" s="44" t="s">
        <v>1</v>
      </c>
      <c r="F749" s="44"/>
      <c r="G749" s="44" t="s">
        <v>1</v>
      </c>
      <c r="H749" s="44"/>
      <c r="I749" s="45" t="s">
        <v>1</v>
      </c>
      <c r="J749" s="46"/>
      <c r="K749" s="45" t="s">
        <v>1</v>
      </c>
      <c r="L749" s="33"/>
      <c r="M749" s="45" t="s">
        <v>1</v>
      </c>
      <c r="N749" s="33"/>
      <c r="O749" s="44" t="s">
        <v>2</v>
      </c>
      <c r="P749" s="44">
        <v>44743</v>
      </c>
      <c r="Q749" s="44" t="s">
        <v>2</v>
      </c>
      <c r="R749" s="44">
        <v>45366</v>
      </c>
      <c r="S749" s="44"/>
      <c r="T749" s="44"/>
      <c r="U749" s="44" t="s">
        <v>2</v>
      </c>
      <c r="V749" s="44">
        <v>45366</v>
      </c>
      <c r="W749" s="44"/>
      <c r="X749" s="44"/>
      <c r="Y749" s="44"/>
      <c r="Z749" s="44"/>
      <c r="AA749" s="44" t="s">
        <v>2</v>
      </c>
      <c r="AB749" s="44"/>
      <c r="AC749" s="84">
        <v>45425</v>
      </c>
      <c r="AD749" s="83">
        <v>45540</v>
      </c>
      <c r="AE749" s="40" t="s">
        <v>2</v>
      </c>
      <c r="AF749" s="40" t="s">
        <v>2</v>
      </c>
      <c r="AG749" s="40" t="s">
        <v>5</v>
      </c>
      <c r="AH749" s="36" t="s">
        <v>0</v>
      </c>
      <c r="AI749" s="49">
        <v>0</v>
      </c>
      <c r="AJ749" s="36" t="s">
        <v>6</v>
      </c>
      <c r="AK749" s="10">
        <v>0</v>
      </c>
      <c r="AL749" s="36">
        <v>4742</v>
      </c>
      <c r="AM749" s="36">
        <v>0</v>
      </c>
      <c r="AN749" s="35" t="s">
        <v>1</v>
      </c>
      <c r="AO749" s="35" t="s">
        <v>1</v>
      </c>
      <c r="AP749" s="35" t="s">
        <v>2</v>
      </c>
      <c r="AQ749" s="35" t="s">
        <v>1</v>
      </c>
      <c r="AR749" s="33" t="s">
        <v>1</v>
      </c>
      <c r="AS749" s="33"/>
      <c r="AT749" s="30"/>
      <c r="AU749" s="55"/>
      <c r="AV749" s="30"/>
      <c r="AW749" s="55"/>
      <c r="AX749" s="30" t="s">
        <v>2</v>
      </c>
      <c r="AY749" s="55">
        <v>45540</v>
      </c>
      <c r="AZ749" s="30" t="s">
        <v>0</v>
      </c>
      <c r="BA749" s="91"/>
      <c r="BB749" s="39"/>
      <c r="BC749" s="25"/>
      <c r="BD749" s="24" t="s">
        <v>11</v>
      </c>
      <c r="BE749" s="24" t="s">
        <v>11</v>
      </c>
      <c r="BF749" s="79" t="s">
        <v>136</v>
      </c>
      <c r="BG749" s="79" t="s">
        <v>11</v>
      </c>
      <c r="BH749" s="80" t="s">
        <v>19</v>
      </c>
      <c r="BI749" s="79"/>
      <c r="BJ749" s="54"/>
      <c r="BK749" s="78"/>
      <c r="BL749" s="69">
        <v>45391</v>
      </c>
      <c r="BM749" s="78"/>
      <c r="BN749" s="78" t="s">
        <v>11</v>
      </c>
      <c r="BO749" s="78"/>
      <c r="BP749" s="78" t="s">
        <v>126</v>
      </c>
      <c r="BQ749" s="21">
        <f>YEAR([1]!BANCO10[[#This Row],[DATA INÍCIO]])</f>
        <v>2024</v>
      </c>
      <c r="BR749" s="21">
        <f>MONTH([1]!BANCO10[[#This Row],[DATA INÍCIO]])</f>
        <v>5</v>
      </c>
      <c r="BS749" s="21" t="e">
        <f>CONCATENATE(#REF!,#REF!)</f>
        <v>#REF!</v>
      </c>
      <c r="BT749" s="21"/>
      <c r="BU749" s="21" t="s">
        <v>135</v>
      </c>
      <c r="BV749" s="21" t="str">
        <f>IF([1]!BANCO10[[#This Row],[SOLUÇÃO]]=BV$1,[1]!BANCO10[[#This Row],[STATUS DA ETAPA]],"")</f>
        <v/>
      </c>
      <c r="BW749" s="21" t="str">
        <f>IF([1]!BANCO10[[#This Row],[SOLUÇÃO]]=BW$1,[1]!BANCO10[[#This Row],[STATUS DA ETAPA]],"")</f>
        <v/>
      </c>
      <c r="BX749" s="21" t="str">
        <f>IF([1]!BANCO10[[#This Row],[SOLUÇÃO]]=BX$1,[1]!BANCO10[[#This Row],[STATUS DA ETAPA]],"")</f>
        <v/>
      </c>
      <c r="BY749" s="21" t="str">
        <f>IF([1]!BANCO10[[#This Row],[SOLUÇÃO]]=BY$1,[1]!BANCO10[[#This Row],[STATUS DA ETAPA]],"")</f>
        <v/>
      </c>
      <c r="BZ749" s="21" t="str">
        <f>IF([1]!BANCO10[[#This Row],[SOLUÇÃO]]=BZ$1,[1]!BANCO10[[#This Row],[STATUS DA ETAPA]],"")</f>
        <v/>
      </c>
      <c r="CA749" s="21" t="str">
        <f>IF([1]!BANCO10[[#This Row],[SOLUÇÃO]]=CA$1,[1]!BANCO10[[#This Row],[STATUS DA ETAPA]],"")</f>
        <v/>
      </c>
      <c r="CB749" s="21" t="str">
        <f>IF([1]!BANCO10[[#This Row],[SOLUÇÃO]]=CB$1,[1]!BANCO10[[#This Row],[STATUS DA ETAPA]],"")</f>
        <v/>
      </c>
      <c r="CC749" s="21" t="str">
        <f>IF([1]!BANCO10[[#This Row],[SOLUÇÃO]]=CC$1,[1]!BANCO10[[#This Row],[STATUS DA ETAPA]],"")</f>
        <v/>
      </c>
      <c r="CD749" s="21" t="str">
        <f>IF([1]!BANCO10[[#This Row],[SOLUÇÃO]]=CD$1,[1]!BANCO10[[#This Row],[STATUS DA ETAPA]],"")</f>
        <v/>
      </c>
      <c r="CE749" s="21" t="str">
        <f>IF([1]!BANCO10[[#This Row],[SOLUÇÃO]]=CE$1,[1]!BANCO10[[#This Row],[STATUS DA ETAPA]],"")</f>
        <v/>
      </c>
      <c r="CF749" s="21" t="str">
        <f>IF([1]!BANCO10[[#This Row],[SOLUÇÃO]]=CF$1,[1]!BANCO10[[#This Row],[STATUS DA ETAPA]],"")</f>
        <v/>
      </c>
      <c r="CG749" s="21" t="str">
        <f>IF([1]!BANCO10[[#This Row],[SOLUÇÃO]]=CG$1,[1]!BANCO10[[#This Row],[STATUS DA ETAPA]],"")</f>
        <v/>
      </c>
      <c r="CH749" s="21" t="str">
        <f>IF([1]!BANCO10[[#This Row],[SOLUÇÃO]]=CH$1,[1]!BANCO10[[#This Row],[STATUS DA ETAPA]],"")</f>
        <v/>
      </c>
      <c r="CI749" s="21" t="str">
        <f>IF([1]!BANCO10[[#This Row],[SOLUÇÃO]]=CI$1,[1]!BANCO10[[#This Row],[STATUS DA ETAPA]],"")</f>
        <v/>
      </c>
      <c r="CJ749" s="21" t="str">
        <f>IF([1]!BANCO10[[#This Row],[SOLUÇÃO]]=CJ$1,[1]!BANCO10[[#This Row],[STATUS DA ETAPA]],"")</f>
        <v/>
      </c>
      <c r="CK749" s="21" t="str">
        <f>IF([1]!BANCO10[[#This Row],[SOLUÇÃO]]=CK$1,[1]!BANCO10[[#This Row],[STATUS DA ETAPA]],"")</f>
        <v/>
      </c>
      <c r="CL749" s="22" t="str">
        <f>IF([1]!BANCO10[[#This Row],[SOLUÇÃO]]=CL$1,[1]!BANCO10[[#This Row],[STATUS DA ETAPA]],"")</f>
        <v>CONCLUÍDO</v>
      </c>
      <c r="CM749" s="64" t="str">
        <f>IF([1]!BANCO10[[#This Row],[SOLUÇÃO]]=CM$1,[1]!BANCO10[[#This Row],[STATUS DA ETAPA]],"")</f>
        <v/>
      </c>
      <c r="CN749" s="64" t="str">
        <f>IF([1]!BANCO10[[#This Row],[SOLUÇÃO]]=CN$1,[1]!BANCO10[[#This Row],[STATUS DA ETAPA]],"")</f>
        <v/>
      </c>
      <c r="CO749" s="64" t="str">
        <f>IF([1]!BANCO10[[#This Row],[SOLUÇÃO]]=CO$1,[1]!BANCO10[[#This Row],[STATUS DA ETAPA]],"")</f>
        <v/>
      </c>
      <c r="CP749" s="64" t="str">
        <f>IF([1]!BANCO10[[#This Row],[SOLUÇÃO]]=CP$1,[1]!BANCO10[[#This Row],[STATUS DA ETAPA]],"")</f>
        <v/>
      </c>
      <c r="CQ749" s="64" t="str">
        <f>IF([1]!BANCO10[[#This Row],[SOLUÇÃO]]=CQ$1,[1]!BANCO10[[#This Row],[STATUS DA ETAPA]],"")</f>
        <v/>
      </c>
      <c r="CR749" s="64" t="str">
        <f>IF([1]!BANCO10[[#This Row],[SOLUÇÃO]]=CR$1,[1]!BANCO10[[#This Row],[STATUS DA ETAPA]],"")</f>
        <v/>
      </c>
      <c r="CS749" s="64" t="str">
        <f>IF([1]!BANCO10[[#This Row],[SOLUÇÃO]]=CS$1,[1]!BANCO10[[#This Row],[STATUS DA ETAPA]],"")</f>
        <v/>
      </c>
      <c r="CT749" s="64" t="str">
        <f>IF([1]!BANCO10[[#This Row],[SOLUÇÃO]]=CT$1,[1]!BANCO10[[#This Row],[STATUS DA ETAPA]],"")</f>
        <v/>
      </c>
      <c r="CU749" s="64" t="str">
        <f>IF([1]!BANCO10[[#This Row],[SOLUÇÃO]]=CU$1,[1]!BANCO10[[#This Row],[STATUS DA ETAPA]],"")</f>
        <v/>
      </c>
      <c r="CV749" s="64" t="str">
        <f>IF([1]!BANCO10[[#This Row],[SOLUÇÃO]]=CV$1,[1]!BANCO10[[#This Row],[STATUS DA ETAPA]],"")</f>
        <v/>
      </c>
    </row>
    <row r="750" spans="1:100">
      <c r="A750" s="44" t="s">
        <v>2</v>
      </c>
      <c r="B750" s="44">
        <v>45890</v>
      </c>
      <c r="C750" s="44" t="s">
        <v>2</v>
      </c>
      <c r="D750" s="44">
        <v>45890</v>
      </c>
      <c r="E750" s="44" t="s">
        <v>2</v>
      </c>
      <c r="F750" s="44">
        <v>45897</v>
      </c>
      <c r="G750" s="44" t="s">
        <v>2</v>
      </c>
      <c r="H750" s="44">
        <v>45897</v>
      </c>
      <c r="I750" s="45" t="s">
        <v>2</v>
      </c>
      <c r="J750" s="46">
        <v>45898</v>
      </c>
      <c r="K750" s="45" t="s">
        <v>2</v>
      </c>
      <c r="L750" s="33">
        <v>45898</v>
      </c>
      <c r="M750" s="45" t="s">
        <v>2</v>
      </c>
      <c r="N750" s="33">
        <v>45898</v>
      </c>
      <c r="O750" s="44" t="s">
        <v>2</v>
      </c>
      <c r="P750" s="44"/>
      <c r="Q750" s="44" t="s">
        <v>2</v>
      </c>
      <c r="R750" s="44">
        <v>45891</v>
      </c>
      <c r="S750" s="44" t="s">
        <v>0</v>
      </c>
      <c r="T750" s="44"/>
      <c r="U750" s="44" t="s">
        <v>1</v>
      </c>
      <c r="V750" s="44"/>
      <c r="W750" s="44" t="s">
        <v>1</v>
      </c>
      <c r="X750" s="44"/>
      <c r="Y750" s="44" t="s">
        <v>1</v>
      </c>
      <c r="Z750" s="44"/>
      <c r="AA750" s="44" t="s">
        <v>1</v>
      </c>
      <c r="AB750" s="44"/>
      <c r="AC750" s="51">
        <v>45931</v>
      </c>
      <c r="AD750" s="50">
        <v>46022</v>
      </c>
      <c r="AE750" s="41" t="s">
        <v>2</v>
      </c>
      <c r="AF750" s="41" t="s">
        <v>0</v>
      </c>
      <c r="AG750" s="40" t="s">
        <v>5</v>
      </c>
      <c r="AH750" s="36" t="s">
        <v>0</v>
      </c>
      <c r="AI750" s="49">
        <v>17000</v>
      </c>
      <c r="AJ750" s="36" t="s">
        <v>6</v>
      </c>
      <c r="AK750" s="10">
        <v>562846</v>
      </c>
      <c r="AL750" s="36" t="s">
        <v>1</v>
      </c>
      <c r="AM750" s="36" t="s">
        <v>1</v>
      </c>
      <c r="AN750" s="35" t="s">
        <v>0</v>
      </c>
      <c r="AO750" s="35" t="s">
        <v>0</v>
      </c>
      <c r="AP750" s="35" t="s">
        <v>0</v>
      </c>
      <c r="AQ750" s="35" t="s">
        <v>0</v>
      </c>
      <c r="AR750" s="33" t="s">
        <v>0</v>
      </c>
      <c r="AS750" s="33"/>
      <c r="AT750" s="32" t="s">
        <v>1</v>
      </c>
      <c r="AU750" s="31"/>
      <c r="AV750" s="32" t="s">
        <v>1</v>
      </c>
      <c r="AW750" s="31"/>
      <c r="AX750" s="30" t="s">
        <v>0</v>
      </c>
      <c r="AY750" s="29"/>
      <c r="AZ750" s="28" t="s">
        <v>0</v>
      </c>
      <c r="BA750" s="81"/>
      <c r="BB750" s="26"/>
      <c r="BC750" s="25"/>
      <c r="BD750" s="24"/>
      <c r="BE750" s="24"/>
      <c r="BF750" s="24"/>
      <c r="BG750" s="24"/>
      <c r="BH750" s="24"/>
      <c r="BI750" s="24"/>
      <c r="BJ750" s="24"/>
      <c r="BK750" s="24"/>
      <c r="BL750" s="24"/>
      <c r="BM750" s="24"/>
      <c r="BN750" s="24"/>
      <c r="BO750" s="24"/>
      <c r="BP750" s="24"/>
      <c r="BQ750" s="22">
        <f>YEAR([1]!BANCO10[[#This Row],[DATA INÍCIO]])</f>
        <v>2025</v>
      </c>
      <c r="BR750" s="22">
        <f>MONTH([1]!BANCO10[[#This Row],[DATA INÍCIO]])</f>
        <v>10</v>
      </c>
      <c r="BS750" s="23" t="e">
        <f>CONCATENATE(#REF!,#REF!)</f>
        <v>#REF!</v>
      </c>
      <c r="BT750" s="22"/>
      <c r="BU750" s="22"/>
      <c r="BV750" s="21" t="str">
        <f>IF([1]!BANCO10[[#This Row],[SOLUÇÃO]]=BV$1,[1]!BANCO10[[#This Row],[STATUS DA ETAPA]],"")</f>
        <v/>
      </c>
      <c r="BW750" s="21" t="str">
        <f>IF([1]!BANCO10[[#This Row],[SOLUÇÃO]]=BW$1,[1]!BANCO10[[#This Row],[STATUS DA ETAPA]],"")</f>
        <v/>
      </c>
      <c r="BX750" s="21" t="str">
        <f>IF([1]!BANCO10[[#This Row],[SOLUÇÃO]]=BX$1,[1]!BANCO10[[#This Row],[STATUS DA ETAPA]],"")</f>
        <v/>
      </c>
      <c r="BY750" s="21" t="str">
        <f>IF([1]!BANCO10[[#This Row],[SOLUÇÃO]]=BY$1,[1]!BANCO10[[#This Row],[STATUS DA ETAPA]],"")</f>
        <v/>
      </c>
      <c r="BZ750" s="21" t="str">
        <f>IF([1]!BANCO10[[#This Row],[SOLUÇÃO]]=BZ$1,[1]!BANCO10[[#This Row],[STATUS DA ETAPA]],"")</f>
        <v/>
      </c>
      <c r="CA750" s="21" t="str">
        <f>IF([1]!BANCO10[[#This Row],[SOLUÇÃO]]=CA$1,[1]!BANCO10[[#This Row],[STATUS DA ETAPA]],"")</f>
        <v/>
      </c>
      <c r="CB750" s="21" t="str">
        <f>IF([1]!BANCO10[[#This Row],[SOLUÇÃO]]=CB$1,[1]!BANCO10[[#This Row],[STATUS DA ETAPA]],"")</f>
        <v/>
      </c>
      <c r="CC750" s="21" t="str">
        <f>IF([1]!BANCO10[[#This Row],[SOLUÇÃO]]=CC$1,[1]!BANCO10[[#This Row],[STATUS DA ETAPA]],"")</f>
        <v/>
      </c>
      <c r="CD750" s="21" t="str">
        <f>IF([1]!BANCO10[[#This Row],[SOLUÇÃO]]=CD$1,[1]!BANCO10[[#This Row],[STATUS DA ETAPA]],"")</f>
        <v/>
      </c>
      <c r="CE750" s="21" t="str">
        <f>IF([1]!BANCO10[[#This Row],[SOLUÇÃO]]=CE$1,[1]!BANCO10[[#This Row],[STATUS DA ETAPA]],"")</f>
        <v/>
      </c>
      <c r="CF750" s="21" t="str">
        <f>IF([1]!BANCO10[[#This Row],[SOLUÇÃO]]=CF$1,[1]!BANCO10[[#This Row],[STATUS DA ETAPA]],"")</f>
        <v/>
      </c>
      <c r="CG750" s="21" t="str">
        <f>IF([1]!BANCO10[[#This Row],[SOLUÇÃO]]=CG$1,[1]!BANCO10[[#This Row],[STATUS DA ETAPA]],"")</f>
        <v/>
      </c>
      <c r="CH750" s="21" t="str">
        <f>IF([1]!BANCO10[[#This Row],[SOLUÇÃO]]=CH$1,[1]!BANCO10[[#This Row],[STATUS DA ETAPA]],"")</f>
        <v/>
      </c>
      <c r="CI750" s="21" t="str">
        <f>IF([1]!BANCO10[[#This Row],[SOLUÇÃO]]=CI$1,[1]!BANCO10[[#This Row],[STATUS DA ETAPA]],"")</f>
        <v/>
      </c>
      <c r="CJ750" s="21" t="str">
        <f>IF([1]!BANCO10[[#This Row],[SOLUÇÃO]]=CJ$1,[1]!BANCO10[[#This Row],[STATUS DA ETAPA]],"")</f>
        <v/>
      </c>
      <c r="CK750" s="21" t="str">
        <f>IF([1]!BANCO10[[#This Row],[SOLUÇÃO]]=CK$1,[1]!BANCO10[[#This Row],[STATUS DA ETAPA]],"")</f>
        <v/>
      </c>
      <c r="CL750" s="21" t="str">
        <f>IF([1]!BANCO10[[#This Row],[SOLUÇÃO]]=CL$1,[1]!BANCO10[[#This Row],[STATUS DA ETAPA]],"")</f>
        <v/>
      </c>
      <c r="CM750" s="21" t="str">
        <f>IF([1]!BANCO10[[#This Row],[SOLUÇÃO]]=CM$1,[1]!BANCO10[[#This Row],[STATUS DA ETAPA]],"")</f>
        <v/>
      </c>
      <c r="CN750" s="21" t="str">
        <f>IF([1]!BANCO10[[#This Row],[SOLUÇÃO]]=CN$1,[1]!BANCO10[[#This Row],[STATUS DA ETAPA]],"")</f>
        <v/>
      </c>
      <c r="CO750" s="21" t="str">
        <f>IF([1]!BANCO10[[#This Row],[SOLUÇÃO]]=CO$1,[1]!BANCO10[[#This Row],[STATUS DA ETAPA]],"")</f>
        <v/>
      </c>
      <c r="CP750" s="21" t="str">
        <f>IF([1]!BANCO10[[#This Row],[SOLUÇÃO]]=CP$1,[1]!BANCO10[[#This Row],[STATUS DA ETAPA]],"")</f>
        <v/>
      </c>
      <c r="CQ750" s="21" t="str">
        <f>IF([1]!BANCO10[[#This Row],[SOLUÇÃO]]=CQ$1,[1]!BANCO10[[#This Row],[STATUS DA ETAPA]],"")</f>
        <v/>
      </c>
      <c r="CR750" s="21" t="str">
        <f>IF([1]!BANCO10[[#This Row],[SOLUÇÃO]]=CR$1,[1]!BANCO10[[#This Row],[STATUS DA ETAPA]],"")</f>
        <v/>
      </c>
      <c r="CS750" s="21" t="str">
        <f>IF([1]!BANCO10[[#This Row],[SOLUÇÃO]]=CS$1,[1]!BANCO10[[#This Row],[STATUS DA ETAPA]],"")</f>
        <v/>
      </c>
      <c r="CT750" s="21" t="str">
        <f>IF([1]!BANCO10[[#This Row],[SOLUÇÃO]]=CT$1,[1]!BANCO10[[#This Row],[STATUS DA ETAPA]],"")</f>
        <v/>
      </c>
      <c r="CU750" s="21" t="str">
        <f>IF([1]!BANCO10[[#This Row],[SOLUÇÃO]]=CU$1,[1]!BANCO10[[#This Row],[STATUS DA ETAPA]],"")</f>
        <v/>
      </c>
      <c r="CV750" s="21" t="str">
        <f>IF([1]!BANCO10[[#This Row],[SOLUÇÃO]]=CV$1,[1]!BANCO10[[#This Row],[STATUS DA ETAPA]],"")</f>
        <v/>
      </c>
    </row>
    <row r="751" spans="1:100">
      <c r="A751" s="44" t="s">
        <v>1</v>
      </c>
      <c r="B751" s="44"/>
      <c r="C751" s="44" t="s">
        <v>1</v>
      </c>
      <c r="D751" s="44"/>
      <c r="E751" s="44" t="s">
        <v>1</v>
      </c>
      <c r="F751" s="44"/>
      <c r="G751" s="44" t="s">
        <v>1</v>
      </c>
      <c r="H751" s="44"/>
      <c r="I751" s="45" t="s">
        <v>1</v>
      </c>
      <c r="J751" s="46"/>
      <c r="K751" s="45" t="s">
        <v>1</v>
      </c>
      <c r="L751" s="33"/>
      <c r="M751" s="45" t="s">
        <v>1</v>
      </c>
      <c r="N751" s="33"/>
      <c r="O751" s="44" t="s">
        <v>1</v>
      </c>
      <c r="P751" s="44"/>
      <c r="Q751" s="44" t="s">
        <v>1</v>
      </c>
      <c r="R751" s="44"/>
      <c r="S751" s="44" t="s">
        <v>1</v>
      </c>
      <c r="T751" s="44"/>
      <c r="U751" s="44" t="s">
        <v>2</v>
      </c>
      <c r="V751" s="44">
        <v>45825</v>
      </c>
      <c r="W751" s="44" t="s">
        <v>2</v>
      </c>
      <c r="X751" s="44"/>
      <c r="Y751" s="44" t="s">
        <v>2</v>
      </c>
      <c r="Z751" s="44"/>
      <c r="AA751" s="44" t="s">
        <v>2</v>
      </c>
      <c r="AB751" s="44"/>
      <c r="AC751" s="51">
        <v>45856</v>
      </c>
      <c r="AD751" s="50">
        <v>45905</v>
      </c>
      <c r="AE751" s="68" t="s">
        <v>2</v>
      </c>
      <c r="AF751" s="68" t="s">
        <v>2</v>
      </c>
      <c r="AG751" s="76" t="s">
        <v>4</v>
      </c>
      <c r="AH751" s="36" t="s">
        <v>0</v>
      </c>
      <c r="AI751" s="49">
        <v>0</v>
      </c>
      <c r="AJ751" s="36" t="s">
        <v>6</v>
      </c>
      <c r="AK751" s="10" t="s">
        <v>134</v>
      </c>
      <c r="AL751" s="36">
        <v>0</v>
      </c>
      <c r="AM751" s="36">
        <v>0</v>
      </c>
      <c r="AN751" s="35" t="s">
        <v>1</v>
      </c>
      <c r="AO751" s="35" t="s">
        <v>1</v>
      </c>
      <c r="AP751" s="35" t="s">
        <v>2</v>
      </c>
      <c r="AQ751" s="35" t="s">
        <v>1</v>
      </c>
      <c r="AR751" s="34" t="s">
        <v>1</v>
      </c>
      <c r="AS751" s="33"/>
      <c r="AT751" s="32" t="s">
        <v>2</v>
      </c>
      <c r="AU751" s="31">
        <v>45916</v>
      </c>
      <c r="AV751" s="28" t="s">
        <v>0</v>
      </c>
      <c r="AW751" s="31"/>
      <c r="AX751" s="30" t="s">
        <v>0</v>
      </c>
      <c r="AY751" s="29"/>
      <c r="AZ751" s="28" t="s">
        <v>0</v>
      </c>
      <c r="BA751" s="27"/>
      <c r="BB751" s="39">
        <v>45835</v>
      </c>
      <c r="BC751" s="25" t="s">
        <v>133</v>
      </c>
      <c r="BD751" s="24"/>
      <c r="BE751" s="24"/>
      <c r="BF751" s="24"/>
      <c r="BG751" s="24"/>
      <c r="BH751" s="24"/>
      <c r="BI751" s="24"/>
      <c r="BJ751" s="24"/>
      <c r="BK751" s="24"/>
      <c r="BL751" s="24"/>
      <c r="BM751" s="24"/>
      <c r="BN751" s="24"/>
      <c r="BO751" s="24"/>
      <c r="BP751" s="24"/>
      <c r="BQ751" s="22">
        <f>YEAR([1]!BANCO10[[#This Row],[DATA INÍCIO]])</f>
        <v>2025</v>
      </c>
      <c r="BR751" s="22">
        <f>MONTH([1]!BANCO10[[#This Row],[DATA INÍCIO]])</f>
        <v>7</v>
      </c>
      <c r="BS751" s="23" t="e">
        <f>CONCATENATE(#REF!,#REF!)</f>
        <v>#REF!</v>
      </c>
      <c r="BT751" s="22"/>
      <c r="BU751" s="22"/>
      <c r="BV751" s="21" t="str">
        <f>IF([1]!BANCO10[[#This Row],[SOLUÇÃO]]=BV$1,[1]!BANCO10[[#This Row],[STATUS DA ETAPA]],"")</f>
        <v/>
      </c>
      <c r="BW751" s="21" t="str">
        <f>IF([1]!BANCO10[[#This Row],[SOLUÇÃO]]=BW$1,[1]!BANCO10[[#This Row],[STATUS DA ETAPA]],"")</f>
        <v/>
      </c>
      <c r="BX751" s="21" t="str">
        <f>IF([1]!BANCO10[[#This Row],[SOLUÇÃO]]=BX$1,[1]!BANCO10[[#This Row],[STATUS DA ETAPA]],"")</f>
        <v>CONCLUÍDO</v>
      </c>
      <c r="BY751" s="21" t="str">
        <f>IF([1]!BANCO10[[#This Row],[SOLUÇÃO]]=BY$1,[1]!BANCO10[[#This Row],[STATUS DA ETAPA]],"")</f>
        <v/>
      </c>
      <c r="BZ751" s="21" t="str">
        <f>IF([1]!BANCO10[[#This Row],[SOLUÇÃO]]=BZ$1,[1]!BANCO10[[#This Row],[STATUS DA ETAPA]],"")</f>
        <v/>
      </c>
      <c r="CA751" s="21" t="str">
        <f>IF([1]!BANCO10[[#This Row],[SOLUÇÃO]]=CA$1,[1]!BANCO10[[#This Row],[STATUS DA ETAPA]],"")</f>
        <v/>
      </c>
      <c r="CB751" s="21" t="str">
        <f>IF([1]!BANCO10[[#This Row],[SOLUÇÃO]]=CB$1,[1]!BANCO10[[#This Row],[STATUS DA ETAPA]],"")</f>
        <v/>
      </c>
      <c r="CC751" s="21" t="str">
        <f>IF([1]!BANCO10[[#This Row],[SOLUÇÃO]]=CC$1,[1]!BANCO10[[#This Row],[STATUS DA ETAPA]],"")</f>
        <v/>
      </c>
      <c r="CD751" s="21" t="str">
        <f>IF([1]!BANCO10[[#This Row],[SOLUÇÃO]]=CD$1,[1]!BANCO10[[#This Row],[STATUS DA ETAPA]],"")</f>
        <v/>
      </c>
      <c r="CE751" s="21" t="str">
        <f>IF([1]!BANCO10[[#This Row],[SOLUÇÃO]]=CE$1,[1]!BANCO10[[#This Row],[STATUS DA ETAPA]],"")</f>
        <v/>
      </c>
      <c r="CF751" s="21" t="str">
        <f>IF([1]!BANCO10[[#This Row],[SOLUÇÃO]]=CF$1,[1]!BANCO10[[#This Row],[STATUS DA ETAPA]],"")</f>
        <v/>
      </c>
      <c r="CG751" s="21" t="str">
        <f>IF([1]!BANCO10[[#This Row],[SOLUÇÃO]]=CG$1,[1]!BANCO10[[#This Row],[STATUS DA ETAPA]],"")</f>
        <v/>
      </c>
      <c r="CH751" s="21" t="str">
        <f>IF([1]!BANCO10[[#This Row],[SOLUÇÃO]]=CH$1,[1]!BANCO10[[#This Row],[STATUS DA ETAPA]],"")</f>
        <v/>
      </c>
      <c r="CI751" s="21" t="str">
        <f>IF([1]!BANCO10[[#This Row],[SOLUÇÃO]]=CI$1,[1]!BANCO10[[#This Row],[STATUS DA ETAPA]],"")</f>
        <v/>
      </c>
      <c r="CJ751" s="21" t="str">
        <f>IF([1]!BANCO10[[#This Row],[SOLUÇÃO]]=CJ$1,[1]!BANCO10[[#This Row],[STATUS DA ETAPA]],"")</f>
        <v/>
      </c>
      <c r="CK751" s="21" t="str">
        <f>IF([1]!BANCO10[[#This Row],[SOLUÇÃO]]=CK$1,[1]!BANCO10[[#This Row],[STATUS DA ETAPA]],"")</f>
        <v/>
      </c>
      <c r="CL751" s="21" t="str">
        <f>IF([1]!BANCO10[[#This Row],[SOLUÇÃO]]=CL$1,[1]!BANCO10[[#This Row],[STATUS DA ETAPA]],"")</f>
        <v/>
      </c>
      <c r="CM751" s="21" t="str">
        <f>IF([1]!BANCO10[[#This Row],[SOLUÇÃO]]=CM$1,[1]!BANCO10[[#This Row],[STATUS DA ETAPA]],"")</f>
        <v/>
      </c>
      <c r="CN751" s="21" t="str">
        <f>IF([1]!BANCO10[[#This Row],[SOLUÇÃO]]=CN$1,[1]!BANCO10[[#This Row],[STATUS DA ETAPA]],"")</f>
        <v/>
      </c>
      <c r="CO751" s="21" t="str">
        <f>IF([1]!BANCO10[[#This Row],[SOLUÇÃO]]=CO$1,[1]!BANCO10[[#This Row],[STATUS DA ETAPA]],"")</f>
        <v/>
      </c>
      <c r="CP751" s="21" t="str">
        <f>IF([1]!BANCO10[[#This Row],[SOLUÇÃO]]=CP$1,[1]!BANCO10[[#This Row],[STATUS DA ETAPA]],"")</f>
        <v/>
      </c>
      <c r="CQ751" s="21" t="str">
        <f>IF([1]!BANCO10[[#This Row],[SOLUÇÃO]]=CQ$1,[1]!BANCO10[[#This Row],[STATUS DA ETAPA]],"")</f>
        <v/>
      </c>
      <c r="CR751" s="21" t="str">
        <f>IF([1]!BANCO10[[#This Row],[SOLUÇÃO]]=CR$1,[1]!BANCO10[[#This Row],[STATUS DA ETAPA]],"")</f>
        <v/>
      </c>
      <c r="CS751" s="21" t="str">
        <f>IF([1]!BANCO10[[#This Row],[SOLUÇÃO]]=CS$1,[1]!BANCO10[[#This Row],[STATUS DA ETAPA]],"")</f>
        <v/>
      </c>
      <c r="CT751" s="21" t="str">
        <f>IF([1]!BANCO10[[#This Row],[SOLUÇÃO]]=CT$1,[1]!BANCO10[[#This Row],[STATUS DA ETAPA]],"")</f>
        <v/>
      </c>
      <c r="CU751" s="21" t="str">
        <f>IF([1]!BANCO10[[#This Row],[SOLUÇÃO]]=CU$1,[1]!BANCO10[[#This Row],[STATUS DA ETAPA]],"")</f>
        <v/>
      </c>
      <c r="CV751" s="21" t="str">
        <f>IF([1]!BANCO10[[#This Row],[SOLUÇÃO]]=CV$1,[1]!BANCO10[[#This Row],[STATUS DA ETAPA]],"")</f>
        <v/>
      </c>
    </row>
    <row r="752" spans="1:100">
      <c r="A752" s="44" t="s">
        <v>1</v>
      </c>
      <c r="B752" s="44"/>
      <c r="C752" s="44" t="s">
        <v>1</v>
      </c>
      <c r="D752" s="44"/>
      <c r="E752" s="44" t="s">
        <v>1</v>
      </c>
      <c r="F752" s="44"/>
      <c r="G752" s="44" t="s">
        <v>1</v>
      </c>
      <c r="H752" s="44"/>
      <c r="I752" s="45" t="s">
        <v>1</v>
      </c>
      <c r="J752" s="46"/>
      <c r="K752" s="45" t="s">
        <v>1</v>
      </c>
      <c r="L752" s="33"/>
      <c r="M752" s="45" t="s">
        <v>1</v>
      </c>
      <c r="N752" s="33"/>
      <c r="O752" s="44" t="s">
        <v>2</v>
      </c>
      <c r="P752" s="44">
        <v>45126</v>
      </c>
      <c r="Q752" s="44" t="s">
        <v>1</v>
      </c>
      <c r="R752" s="44"/>
      <c r="S752" s="44" t="s">
        <v>1</v>
      </c>
      <c r="T752" s="44"/>
      <c r="U752" s="44" t="s">
        <v>1</v>
      </c>
      <c r="V752" s="44"/>
      <c r="W752" s="44" t="s">
        <v>1</v>
      </c>
      <c r="X752" s="44"/>
      <c r="Y752" s="44" t="s">
        <v>1</v>
      </c>
      <c r="Z752" s="44"/>
      <c r="AA752" s="44" t="s">
        <v>1</v>
      </c>
      <c r="AB752" s="44"/>
      <c r="AC752" s="84">
        <v>45112</v>
      </c>
      <c r="AD752" s="83">
        <v>45112</v>
      </c>
      <c r="AE752" s="40" t="s">
        <v>1</v>
      </c>
      <c r="AF752" s="40" t="s">
        <v>1</v>
      </c>
      <c r="AG752" s="40" t="s">
        <v>5</v>
      </c>
      <c r="AH752" s="36" t="s">
        <v>1</v>
      </c>
      <c r="AI752" s="49">
        <v>0</v>
      </c>
      <c r="AJ752" s="36" t="s">
        <v>1</v>
      </c>
      <c r="AK752" s="10" t="s">
        <v>1</v>
      </c>
      <c r="AL752" s="36" t="s">
        <v>1</v>
      </c>
      <c r="AM752" s="36" t="s">
        <v>1</v>
      </c>
      <c r="AN752" s="35" t="s">
        <v>1</v>
      </c>
      <c r="AO752" s="35" t="s">
        <v>1</v>
      </c>
      <c r="AP752" s="35" t="s">
        <v>1</v>
      </c>
      <c r="AQ752" s="35" t="s">
        <v>1</v>
      </c>
      <c r="AR752" s="82" t="s">
        <v>1</v>
      </c>
      <c r="AS752" s="46"/>
      <c r="AT752" s="30"/>
      <c r="AU752" s="55"/>
      <c r="AV752" s="30"/>
      <c r="AW752" s="55"/>
      <c r="AX752" s="30" t="s">
        <v>1</v>
      </c>
      <c r="AY752" s="55"/>
      <c r="AZ752" s="30" t="s">
        <v>1</v>
      </c>
      <c r="BA752" s="66"/>
      <c r="BB752" s="39" t="s">
        <v>132</v>
      </c>
      <c r="BC752" s="25"/>
      <c r="BD752" s="24" t="s">
        <v>11</v>
      </c>
      <c r="BE752" s="24" t="s">
        <v>11</v>
      </c>
      <c r="BF752" s="79" t="s">
        <v>19</v>
      </c>
      <c r="BG752" s="79" t="s">
        <v>11</v>
      </c>
      <c r="BH752" s="80" t="s">
        <v>19</v>
      </c>
      <c r="BI752" s="79"/>
      <c r="BJ752" s="54" t="s">
        <v>11</v>
      </c>
      <c r="BK752" s="78" t="s">
        <v>11</v>
      </c>
      <c r="BL752" s="69" t="s">
        <v>11</v>
      </c>
      <c r="BM752" s="78" t="s">
        <v>11</v>
      </c>
      <c r="BN752" s="78" t="s">
        <v>11</v>
      </c>
      <c r="BO752" s="78" t="s">
        <v>11</v>
      </c>
      <c r="BP752" s="78" t="s">
        <v>11</v>
      </c>
      <c r="BQ752" s="21">
        <f>YEAR([1]!BANCO10[[#This Row],[DATA INÍCIO]])</f>
        <v>2023</v>
      </c>
      <c r="BR752" s="21">
        <f>MONTH([1]!BANCO10[[#This Row],[DATA INÍCIO]])</f>
        <v>7</v>
      </c>
      <c r="BS752" s="21" t="e">
        <f>CONCATENATE(#REF!,#REF!)</f>
        <v>#REF!</v>
      </c>
      <c r="BT752" s="21"/>
      <c r="BU752" s="21" t="s">
        <v>131</v>
      </c>
      <c r="BV752" s="21" t="str">
        <f>IF([1]!BANCO10[[#This Row],[SOLUÇÃO]]=BV$1,[1]!BANCO10[[#This Row],[STATUS DA ETAPA]],"")</f>
        <v>CONCLUÍDO</v>
      </c>
      <c r="BW752" s="21" t="str">
        <f>IF([1]!BANCO10[[#This Row],[SOLUÇÃO]]=BW$1,[1]!BANCO10[[#This Row],[STATUS DA ETAPA]],"")</f>
        <v/>
      </c>
      <c r="BX752" s="21" t="str">
        <f>IF([1]!BANCO10[[#This Row],[SOLUÇÃO]]=BX$1,[1]!BANCO10[[#This Row],[STATUS DA ETAPA]],"")</f>
        <v/>
      </c>
      <c r="BY752" s="21" t="str">
        <f>IF([1]!BANCO10[[#This Row],[SOLUÇÃO]]=BY$1,[1]!BANCO10[[#This Row],[STATUS DA ETAPA]],"")</f>
        <v/>
      </c>
      <c r="BZ752" s="21" t="str">
        <f>IF([1]!BANCO10[[#This Row],[SOLUÇÃO]]=BZ$1,[1]!BANCO10[[#This Row],[STATUS DA ETAPA]],"")</f>
        <v/>
      </c>
      <c r="CA752" s="21" t="str">
        <f>IF([1]!BANCO10[[#This Row],[SOLUÇÃO]]=CA$1,[1]!BANCO10[[#This Row],[STATUS DA ETAPA]],"")</f>
        <v/>
      </c>
      <c r="CB752" s="21" t="str">
        <f>IF([1]!BANCO10[[#This Row],[SOLUÇÃO]]=CB$1,[1]!BANCO10[[#This Row],[STATUS DA ETAPA]],"")</f>
        <v/>
      </c>
      <c r="CC752" s="21" t="str">
        <f>IF([1]!BANCO10[[#This Row],[SOLUÇÃO]]=CC$1,[1]!BANCO10[[#This Row],[STATUS DA ETAPA]],"")</f>
        <v/>
      </c>
      <c r="CD752" s="21" t="str">
        <f>IF([1]!BANCO10[[#This Row],[SOLUÇÃO]]=CD$1,[1]!BANCO10[[#This Row],[STATUS DA ETAPA]],"")</f>
        <v/>
      </c>
      <c r="CE752" s="21" t="str">
        <f>IF([1]!BANCO10[[#This Row],[SOLUÇÃO]]=CE$1,[1]!BANCO10[[#This Row],[STATUS DA ETAPA]],"")</f>
        <v/>
      </c>
      <c r="CF752" s="21" t="str">
        <f>IF([1]!BANCO10[[#This Row],[SOLUÇÃO]]=CF$1,[1]!BANCO10[[#This Row],[STATUS DA ETAPA]],"")</f>
        <v/>
      </c>
      <c r="CG752" s="21" t="str">
        <f>IF([1]!BANCO10[[#This Row],[SOLUÇÃO]]=CG$1,[1]!BANCO10[[#This Row],[STATUS DA ETAPA]],"")</f>
        <v/>
      </c>
      <c r="CH752" s="21" t="str">
        <f>IF([1]!BANCO10[[#This Row],[SOLUÇÃO]]=CH$1,[1]!BANCO10[[#This Row],[STATUS DA ETAPA]],"")</f>
        <v/>
      </c>
      <c r="CI752" s="21" t="str">
        <f>IF([1]!BANCO10[[#This Row],[SOLUÇÃO]]=CI$1,[1]!BANCO10[[#This Row],[STATUS DA ETAPA]],"")</f>
        <v/>
      </c>
      <c r="CJ752" s="21" t="str">
        <f>IF([1]!BANCO10[[#This Row],[SOLUÇÃO]]=CJ$1,[1]!BANCO10[[#This Row],[STATUS DA ETAPA]],"")</f>
        <v/>
      </c>
      <c r="CK752" s="21" t="str">
        <f>IF([1]!BANCO10[[#This Row],[SOLUÇÃO]]=CK$1,[1]!BANCO10[[#This Row],[STATUS DA ETAPA]],"")</f>
        <v/>
      </c>
      <c r="CL752" s="22" t="str">
        <f>IF([1]!BANCO10[[#This Row],[SOLUÇÃO]]=CL$1,[1]!BANCO10[[#This Row],[STATUS DA ETAPA]],"")</f>
        <v/>
      </c>
      <c r="CM752" s="64" t="str">
        <f>IF([1]!BANCO10[[#This Row],[SOLUÇÃO]]=CM$1,[1]!BANCO10[[#This Row],[STATUS DA ETAPA]],"")</f>
        <v/>
      </c>
      <c r="CN752" s="64" t="str">
        <f>IF([1]!BANCO10[[#This Row],[SOLUÇÃO]]=CN$1,[1]!BANCO10[[#This Row],[STATUS DA ETAPA]],"")</f>
        <v/>
      </c>
      <c r="CO752" s="64" t="str">
        <f>IF([1]!BANCO10[[#This Row],[SOLUÇÃO]]=CO$1,[1]!BANCO10[[#This Row],[STATUS DA ETAPA]],"")</f>
        <v/>
      </c>
      <c r="CP752" s="64" t="str">
        <f>IF([1]!BANCO10[[#This Row],[SOLUÇÃO]]=CP$1,[1]!BANCO10[[#This Row],[STATUS DA ETAPA]],"")</f>
        <v/>
      </c>
      <c r="CQ752" s="64" t="str">
        <f>IF([1]!BANCO10[[#This Row],[SOLUÇÃO]]=CQ$1,[1]!BANCO10[[#This Row],[STATUS DA ETAPA]],"")</f>
        <v/>
      </c>
      <c r="CR752" s="64" t="str">
        <f>IF([1]!BANCO10[[#This Row],[SOLUÇÃO]]=CR$1,[1]!BANCO10[[#This Row],[STATUS DA ETAPA]],"")</f>
        <v/>
      </c>
      <c r="CS752" s="64" t="str">
        <f>IF([1]!BANCO10[[#This Row],[SOLUÇÃO]]=CS$1,[1]!BANCO10[[#This Row],[STATUS DA ETAPA]],"")</f>
        <v/>
      </c>
      <c r="CT752" s="64" t="str">
        <f>IF([1]!BANCO10[[#This Row],[SOLUÇÃO]]=CT$1,[1]!BANCO10[[#This Row],[STATUS DA ETAPA]],"")</f>
        <v/>
      </c>
      <c r="CU752" s="64" t="str">
        <f>IF([1]!BANCO10[[#This Row],[SOLUÇÃO]]=CU$1,[1]!BANCO10[[#This Row],[STATUS DA ETAPA]],"")</f>
        <v/>
      </c>
      <c r="CV752" s="64" t="str">
        <f>IF([1]!BANCO10[[#This Row],[SOLUÇÃO]]=CV$1,[1]!BANCO10[[#This Row],[STATUS DA ETAPA]],"")</f>
        <v/>
      </c>
    </row>
    <row r="753" spans="1:100">
      <c r="A753" s="44" t="s">
        <v>1</v>
      </c>
      <c r="B753" s="44"/>
      <c r="C753" s="44" t="s">
        <v>1</v>
      </c>
      <c r="D753" s="44"/>
      <c r="E753" s="44" t="s">
        <v>1</v>
      </c>
      <c r="F753" s="44"/>
      <c r="G753" s="44" t="s">
        <v>1</v>
      </c>
      <c r="H753" s="44"/>
      <c r="I753" s="45" t="s">
        <v>1</v>
      </c>
      <c r="J753" s="46"/>
      <c r="K753" s="45" t="s">
        <v>1</v>
      </c>
      <c r="L753" s="33"/>
      <c r="M753" s="45" t="s">
        <v>1</v>
      </c>
      <c r="N753" s="33"/>
      <c r="O753" s="44" t="s">
        <v>2</v>
      </c>
      <c r="P753" s="44">
        <v>45126</v>
      </c>
      <c r="Q753" s="44" t="s">
        <v>2</v>
      </c>
      <c r="R753" s="44">
        <v>45378</v>
      </c>
      <c r="S753" s="44" t="s">
        <v>2</v>
      </c>
      <c r="T753" s="44">
        <v>45378</v>
      </c>
      <c r="U753" s="44" t="s">
        <v>2</v>
      </c>
      <c r="V753" s="44">
        <v>45379</v>
      </c>
      <c r="W753" s="44" t="s">
        <v>1</v>
      </c>
      <c r="X753" s="44"/>
      <c r="Y753" s="44" t="s">
        <v>1</v>
      </c>
      <c r="Z753" s="44"/>
      <c r="AA753" s="44" t="s">
        <v>1</v>
      </c>
      <c r="AB753" s="44"/>
      <c r="AC753" s="84">
        <v>45440</v>
      </c>
      <c r="AD753" s="83">
        <v>45572</v>
      </c>
      <c r="AE753" s="40" t="s">
        <v>2</v>
      </c>
      <c r="AF753" s="41" t="s">
        <v>2</v>
      </c>
      <c r="AG753" s="40" t="s">
        <v>5</v>
      </c>
      <c r="AH753" s="36" t="s">
        <v>0</v>
      </c>
      <c r="AI753" s="49">
        <v>0</v>
      </c>
      <c r="AJ753" s="36" t="s">
        <v>6</v>
      </c>
      <c r="AK753" s="10"/>
      <c r="AL753" s="36">
        <v>4731</v>
      </c>
      <c r="AM753" s="36"/>
      <c r="AN753" s="35" t="s">
        <v>1</v>
      </c>
      <c r="AO753" s="35" t="s">
        <v>1</v>
      </c>
      <c r="AP753" s="35" t="s">
        <v>2</v>
      </c>
      <c r="AQ753" s="35" t="s">
        <v>1</v>
      </c>
      <c r="AR753" s="34" t="s">
        <v>1</v>
      </c>
      <c r="AS753" s="46"/>
      <c r="AT753" s="30"/>
      <c r="AU753" s="55"/>
      <c r="AV753" s="30"/>
      <c r="AW753" s="55"/>
      <c r="AX753" s="30" t="s">
        <v>2</v>
      </c>
      <c r="AY753" s="55">
        <v>45572</v>
      </c>
      <c r="AZ753" s="28" t="s">
        <v>2</v>
      </c>
      <c r="BA753" s="55">
        <v>45566</v>
      </c>
      <c r="BB753" s="39"/>
      <c r="BC753" s="25"/>
      <c r="BD753" s="24" t="s">
        <v>11</v>
      </c>
      <c r="BE753" s="24" t="s">
        <v>11</v>
      </c>
      <c r="BF753" s="79" t="s">
        <v>19</v>
      </c>
      <c r="BG753" s="79" t="s">
        <v>11</v>
      </c>
      <c r="BH753" s="80" t="s">
        <v>19</v>
      </c>
      <c r="BI753" s="79"/>
      <c r="BJ753" s="54" t="s">
        <v>11</v>
      </c>
      <c r="BK753" s="78" t="s">
        <v>11</v>
      </c>
      <c r="BL753" s="69">
        <v>45390</v>
      </c>
      <c r="BM753" s="78" t="s">
        <v>18</v>
      </c>
      <c r="BN753" s="78" t="s">
        <v>11</v>
      </c>
      <c r="BO753" s="78" t="s">
        <v>11</v>
      </c>
      <c r="BP753" s="78" t="s">
        <v>126</v>
      </c>
      <c r="BQ753" s="21">
        <f>YEAR([1]!BANCO10[[#This Row],[DATA INÍCIO]])</f>
        <v>2024</v>
      </c>
      <c r="BR753" s="21">
        <f>MONTH([1]!BANCO10[[#This Row],[DATA INÍCIO]])</f>
        <v>5</v>
      </c>
      <c r="BS753" s="21" t="e">
        <f>CONCATENATE(#REF!,#REF!)</f>
        <v>#REF!</v>
      </c>
      <c r="BT753" s="21"/>
      <c r="BU753" s="21" t="s">
        <v>130</v>
      </c>
      <c r="BV753" s="21" t="str">
        <f>IF([1]!BANCO10[[#This Row],[SOLUÇÃO]]=BV$1,[1]!BANCO10[[#This Row],[STATUS DA ETAPA]],"")</f>
        <v/>
      </c>
      <c r="BW753" s="21" t="str">
        <f>IF([1]!BANCO10[[#This Row],[SOLUÇÃO]]=BW$1,[1]!BANCO10[[#This Row],[STATUS DA ETAPA]],"")</f>
        <v/>
      </c>
      <c r="BX753" s="21" t="str">
        <f>IF([1]!BANCO10[[#This Row],[SOLUÇÃO]]=BX$1,[1]!BANCO10[[#This Row],[STATUS DA ETAPA]],"")</f>
        <v/>
      </c>
      <c r="BY753" s="21" t="str">
        <f>IF([1]!BANCO10[[#This Row],[SOLUÇÃO]]=BY$1,[1]!BANCO10[[#This Row],[STATUS DA ETAPA]],"")</f>
        <v/>
      </c>
      <c r="BZ753" s="21" t="str">
        <f>IF([1]!BANCO10[[#This Row],[SOLUÇÃO]]=BZ$1,[1]!BANCO10[[#This Row],[STATUS DA ETAPA]],"")</f>
        <v/>
      </c>
      <c r="CA753" s="21" t="str">
        <f>IF([1]!BANCO10[[#This Row],[SOLUÇÃO]]=CA$1,[1]!BANCO10[[#This Row],[STATUS DA ETAPA]],"")</f>
        <v>CONCLUÍDO</v>
      </c>
      <c r="CB753" s="21" t="str">
        <f>IF([1]!BANCO10[[#This Row],[SOLUÇÃO]]=CB$1,[1]!BANCO10[[#This Row],[STATUS DA ETAPA]],"")</f>
        <v/>
      </c>
      <c r="CC753" s="21" t="str">
        <f>IF([1]!BANCO10[[#This Row],[SOLUÇÃO]]=CC$1,[1]!BANCO10[[#This Row],[STATUS DA ETAPA]],"")</f>
        <v/>
      </c>
      <c r="CD753" s="21" t="str">
        <f>IF([1]!BANCO10[[#This Row],[SOLUÇÃO]]=CD$1,[1]!BANCO10[[#This Row],[STATUS DA ETAPA]],"")</f>
        <v/>
      </c>
      <c r="CE753" s="21" t="str">
        <f>IF([1]!BANCO10[[#This Row],[SOLUÇÃO]]=CE$1,[1]!BANCO10[[#This Row],[STATUS DA ETAPA]],"")</f>
        <v/>
      </c>
      <c r="CF753" s="21" t="str">
        <f>IF([1]!BANCO10[[#This Row],[SOLUÇÃO]]=CF$1,[1]!BANCO10[[#This Row],[STATUS DA ETAPA]],"")</f>
        <v/>
      </c>
      <c r="CG753" s="21" t="str">
        <f>IF([1]!BANCO10[[#This Row],[SOLUÇÃO]]=CG$1,[1]!BANCO10[[#This Row],[STATUS DA ETAPA]],"")</f>
        <v/>
      </c>
      <c r="CH753" s="21" t="str">
        <f>IF([1]!BANCO10[[#This Row],[SOLUÇÃO]]=CH$1,[1]!BANCO10[[#This Row],[STATUS DA ETAPA]],"")</f>
        <v/>
      </c>
      <c r="CI753" s="21" t="str">
        <f>IF([1]!BANCO10[[#This Row],[SOLUÇÃO]]=CI$1,[1]!BANCO10[[#This Row],[STATUS DA ETAPA]],"")</f>
        <v/>
      </c>
      <c r="CJ753" s="21" t="str">
        <f>IF([1]!BANCO10[[#This Row],[SOLUÇÃO]]=CJ$1,[1]!BANCO10[[#This Row],[STATUS DA ETAPA]],"")</f>
        <v/>
      </c>
      <c r="CK753" s="21" t="str">
        <f>IF([1]!BANCO10[[#This Row],[SOLUÇÃO]]=CK$1,[1]!BANCO10[[#This Row],[STATUS DA ETAPA]],"")</f>
        <v/>
      </c>
      <c r="CL753" s="22" t="str">
        <f>IF([1]!BANCO10[[#This Row],[SOLUÇÃO]]=CL$1,[1]!BANCO10[[#This Row],[STATUS DA ETAPA]],"")</f>
        <v/>
      </c>
      <c r="CM753" s="64" t="str">
        <f>IF([1]!BANCO10[[#This Row],[SOLUÇÃO]]=CM$1,[1]!BANCO10[[#This Row],[STATUS DA ETAPA]],"")</f>
        <v/>
      </c>
      <c r="CN753" s="64" t="str">
        <f>IF([1]!BANCO10[[#This Row],[SOLUÇÃO]]=CN$1,[1]!BANCO10[[#This Row],[STATUS DA ETAPA]],"")</f>
        <v/>
      </c>
      <c r="CO753" s="64" t="str">
        <f>IF([1]!BANCO10[[#This Row],[SOLUÇÃO]]=CO$1,[1]!BANCO10[[#This Row],[STATUS DA ETAPA]],"")</f>
        <v/>
      </c>
      <c r="CP753" s="64" t="str">
        <f>IF([1]!BANCO10[[#This Row],[SOLUÇÃO]]=CP$1,[1]!BANCO10[[#This Row],[STATUS DA ETAPA]],"")</f>
        <v/>
      </c>
      <c r="CQ753" s="64" t="str">
        <f>IF([1]!BANCO10[[#This Row],[SOLUÇÃO]]=CQ$1,[1]!BANCO10[[#This Row],[STATUS DA ETAPA]],"")</f>
        <v/>
      </c>
      <c r="CR753" s="64" t="str">
        <f>IF([1]!BANCO10[[#This Row],[SOLUÇÃO]]=CR$1,[1]!BANCO10[[#This Row],[STATUS DA ETAPA]],"")</f>
        <v/>
      </c>
      <c r="CS753" s="64" t="str">
        <f>IF([1]!BANCO10[[#This Row],[SOLUÇÃO]]=CS$1,[1]!BANCO10[[#This Row],[STATUS DA ETAPA]],"")</f>
        <v/>
      </c>
      <c r="CT753" s="64" t="str">
        <f>IF([1]!BANCO10[[#This Row],[SOLUÇÃO]]=CT$1,[1]!BANCO10[[#This Row],[STATUS DA ETAPA]],"")</f>
        <v/>
      </c>
      <c r="CU753" s="64" t="str">
        <f>IF([1]!BANCO10[[#This Row],[SOLUÇÃO]]=CU$1,[1]!BANCO10[[#This Row],[STATUS DA ETAPA]],"")</f>
        <v/>
      </c>
      <c r="CV753" s="64" t="str">
        <f>IF([1]!BANCO10[[#This Row],[SOLUÇÃO]]=CV$1,[1]!BANCO10[[#This Row],[STATUS DA ETAPA]],"")</f>
        <v/>
      </c>
    </row>
    <row r="754" spans="1:100">
      <c r="A754" s="44" t="s">
        <v>1</v>
      </c>
      <c r="B754" s="44"/>
      <c r="C754" s="44" t="s">
        <v>1</v>
      </c>
      <c r="D754" s="44"/>
      <c r="E754" s="44" t="s">
        <v>1</v>
      </c>
      <c r="F754" s="44"/>
      <c r="G754" s="44" t="s">
        <v>1</v>
      </c>
      <c r="H754" s="44"/>
      <c r="I754" s="45" t="s">
        <v>1</v>
      </c>
      <c r="J754" s="46"/>
      <c r="K754" s="45" t="s">
        <v>1</v>
      </c>
      <c r="L754" s="33"/>
      <c r="M754" s="45" t="s">
        <v>1</v>
      </c>
      <c r="N754" s="33"/>
      <c r="O754" s="44" t="s">
        <v>1</v>
      </c>
      <c r="P754" s="44"/>
      <c r="Q754" s="44" t="s">
        <v>1</v>
      </c>
      <c r="R754" s="44"/>
      <c r="S754" s="44" t="s">
        <v>1</v>
      </c>
      <c r="T754" s="44"/>
      <c r="U754" s="44" t="s">
        <v>1</v>
      </c>
      <c r="V754" s="44"/>
      <c r="W754" s="44" t="s">
        <v>1</v>
      </c>
      <c r="X754" s="44"/>
      <c r="Y754" s="44" t="s">
        <v>1</v>
      </c>
      <c r="Z754" s="44"/>
      <c r="AA754" s="44" t="s">
        <v>1</v>
      </c>
      <c r="AB754" s="44"/>
      <c r="AC754" s="51">
        <v>45963</v>
      </c>
      <c r="AD754" s="50">
        <v>45963</v>
      </c>
      <c r="AE754" s="40" t="s">
        <v>1</v>
      </c>
      <c r="AF754" s="40" t="s">
        <v>1</v>
      </c>
      <c r="AG754" s="40" t="s">
        <v>1</v>
      </c>
      <c r="AH754" s="36" t="s">
        <v>1</v>
      </c>
      <c r="AI754" s="49">
        <v>0</v>
      </c>
      <c r="AJ754" s="36" t="s">
        <v>1</v>
      </c>
      <c r="AK754" s="10" t="s">
        <v>1</v>
      </c>
      <c r="AL754" s="36" t="s">
        <v>1</v>
      </c>
      <c r="AM754" s="36" t="s">
        <v>1</v>
      </c>
      <c r="AN754" s="35" t="s">
        <v>1</v>
      </c>
      <c r="AO754" s="35" t="s">
        <v>1</v>
      </c>
      <c r="AP754" s="35" t="s">
        <v>1</v>
      </c>
      <c r="AQ754" s="35" t="s">
        <v>1</v>
      </c>
      <c r="AR754" s="34" t="s">
        <v>1</v>
      </c>
      <c r="AS754" s="61"/>
      <c r="AT754" s="32" t="s">
        <v>1</v>
      </c>
      <c r="AU754" s="31"/>
      <c r="AV754" s="32" t="s">
        <v>1</v>
      </c>
      <c r="AW754" s="31"/>
      <c r="AX754" s="32" t="s">
        <v>1</v>
      </c>
      <c r="AY754" s="31"/>
      <c r="AZ754" s="32" t="s">
        <v>1</v>
      </c>
      <c r="BA754" s="31"/>
      <c r="BB754" s="39" t="s">
        <v>129</v>
      </c>
      <c r="BC754" s="25"/>
      <c r="BD754" s="24"/>
      <c r="BE754" s="24"/>
      <c r="BF754" s="79"/>
      <c r="BG754" s="79"/>
      <c r="BH754" s="80"/>
      <c r="BI754" s="79"/>
      <c r="BJ754" s="54"/>
      <c r="BK754" s="78"/>
      <c r="BL754" s="69"/>
      <c r="BM754" s="78"/>
      <c r="BN754" s="78"/>
      <c r="BO754" s="78"/>
      <c r="BP754" s="78"/>
      <c r="BQ754" s="21">
        <f>YEAR([1]!BANCO10[[#This Row],[DATA INÍCIO]])</f>
        <v>2025</v>
      </c>
      <c r="BR754" s="21">
        <f>MONTH([1]!BANCO10[[#This Row],[DATA INÍCIO]])</f>
        <v>11</v>
      </c>
      <c r="BS754" s="21" t="e">
        <f>CONCATENATE(#REF!,#REF!)</f>
        <v>#REF!</v>
      </c>
      <c r="BT754" s="21"/>
      <c r="BU754" s="21"/>
      <c r="BV754" s="21" t="str">
        <f>IF([1]!BANCO10[[#This Row],[SOLUÇÃO]]=BV$1,[1]!BANCO10[[#This Row],[STATUS DA ETAPA]],"")</f>
        <v/>
      </c>
      <c r="BW754" s="21" t="str">
        <f>IF([1]!BANCO10[[#This Row],[SOLUÇÃO]]=BW$1,[1]!BANCO10[[#This Row],[STATUS DA ETAPA]],"")</f>
        <v/>
      </c>
      <c r="BX754" s="21" t="str">
        <f>IF([1]!BANCO10[[#This Row],[SOLUÇÃO]]=BX$1,[1]!BANCO10[[#This Row],[STATUS DA ETAPA]],"")</f>
        <v/>
      </c>
      <c r="BY754" s="21" t="str">
        <f>IF([1]!BANCO10[[#This Row],[SOLUÇÃO]]=BY$1,[1]!BANCO10[[#This Row],[STATUS DA ETAPA]],"")</f>
        <v/>
      </c>
      <c r="BZ754" s="21" t="str">
        <f>IF([1]!BANCO10[[#This Row],[SOLUÇÃO]]=BZ$1,[1]!BANCO10[[#This Row],[STATUS DA ETAPA]],"")</f>
        <v/>
      </c>
      <c r="CA754" s="21" t="str">
        <f>IF([1]!BANCO10[[#This Row],[SOLUÇÃO]]=CA$1,[1]!BANCO10[[#This Row],[STATUS DA ETAPA]],"")</f>
        <v/>
      </c>
      <c r="CB754" s="21" t="str">
        <f>IF([1]!BANCO10[[#This Row],[SOLUÇÃO]]=CB$1,[1]!BANCO10[[#This Row],[STATUS DA ETAPA]],"")</f>
        <v/>
      </c>
      <c r="CC754" s="21" t="str">
        <f>IF([1]!BANCO10[[#This Row],[SOLUÇÃO]]=CC$1,[1]!BANCO10[[#This Row],[STATUS DA ETAPA]],"")</f>
        <v/>
      </c>
      <c r="CD754" s="21" t="str">
        <f>IF([1]!BANCO10[[#This Row],[SOLUÇÃO]]=CD$1,[1]!BANCO10[[#This Row],[STATUS DA ETAPA]],"")</f>
        <v/>
      </c>
      <c r="CE754" s="21" t="str">
        <f>IF([1]!BANCO10[[#This Row],[SOLUÇÃO]]=CE$1,[1]!BANCO10[[#This Row],[STATUS DA ETAPA]],"")</f>
        <v/>
      </c>
      <c r="CF754" s="21" t="str">
        <f>IF([1]!BANCO10[[#This Row],[SOLUÇÃO]]=CF$1,[1]!BANCO10[[#This Row],[STATUS DA ETAPA]],"")</f>
        <v/>
      </c>
      <c r="CG754" s="21" t="str">
        <f>IF([1]!BANCO10[[#This Row],[SOLUÇÃO]]=CG$1,[1]!BANCO10[[#This Row],[STATUS DA ETAPA]],"")</f>
        <v/>
      </c>
      <c r="CH754" s="21" t="str">
        <f>IF([1]!BANCO10[[#This Row],[SOLUÇÃO]]=CH$1,[1]!BANCO10[[#This Row],[STATUS DA ETAPA]],"")</f>
        <v/>
      </c>
      <c r="CI754" s="21" t="str">
        <f>IF([1]!BANCO10[[#This Row],[SOLUÇÃO]]=CI$1,[1]!BANCO10[[#This Row],[STATUS DA ETAPA]],"")</f>
        <v/>
      </c>
      <c r="CJ754" s="21" t="str">
        <f>IF([1]!BANCO10[[#This Row],[SOLUÇÃO]]=CJ$1,[1]!BANCO10[[#This Row],[STATUS DA ETAPA]],"")</f>
        <v/>
      </c>
      <c r="CK754" s="21" t="str">
        <f>IF([1]!BANCO10[[#This Row],[SOLUÇÃO]]=CK$1,[1]!BANCO10[[#This Row],[STATUS DA ETAPA]],"")</f>
        <v/>
      </c>
      <c r="CL754" s="22" t="str">
        <f>IF([1]!BANCO10[[#This Row],[SOLUÇÃO]]=CL$1,[1]!BANCO10[[#This Row],[STATUS DA ETAPA]],"")</f>
        <v/>
      </c>
      <c r="CM754" s="64" t="str">
        <f>IF([1]!BANCO10[[#This Row],[SOLUÇÃO]]=CM$1,[1]!BANCO10[[#This Row],[STATUS DA ETAPA]],"")</f>
        <v/>
      </c>
      <c r="CN754" s="64" t="str">
        <f>IF([1]!BANCO10[[#This Row],[SOLUÇÃO]]=CN$1,[1]!BANCO10[[#This Row],[STATUS DA ETAPA]],"")</f>
        <v/>
      </c>
      <c r="CO754" s="64" t="str">
        <f>IF([1]!BANCO10[[#This Row],[SOLUÇÃO]]=CO$1,[1]!BANCO10[[#This Row],[STATUS DA ETAPA]],"")</f>
        <v/>
      </c>
      <c r="CP754" s="64" t="str">
        <f>IF([1]!BANCO10[[#This Row],[SOLUÇÃO]]=CP$1,[1]!BANCO10[[#This Row],[STATUS DA ETAPA]],"")</f>
        <v/>
      </c>
      <c r="CQ754" s="64" t="str">
        <f>IF([1]!BANCO10[[#This Row],[SOLUÇÃO]]=CQ$1,[1]!BANCO10[[#This Row],[STATUS DA ETAPA]],"")</f>
        <v/>
      </c>
      <c r="CR754" s="64" t="str">
        <f>IF([1]!BANCO10[[#This Row],[SOLUÇÃO]]=CR$1,[1]!BANCO10[[#This Row],[STATUS DA ETAPA]],"")</f>
        <v/>
      </c>
      <c r="CS754" s="64" t="str">
        <f>IF([1]!BANCO10[[#This Row],[SOLUÇÃO]]=CS$1,[1]!BANCO10[[#This Row],[STATUS DA ETAPA]],"")</f>
        <v/>
      </c>
      <c r="CT754" s="64" t="str">
        <f>IF([1]!BANCO10[[#This Row],[SOLUÇÃO]]=CT$1,[1]!BANCO10[[#This Row],[STATUS DA ETAPA]],"")</f>
        <v/>
      </c>
      <c r="CU754" s="64" t="str">
        <f>IF([1]!BANCO10[[#This Row],[SOLUÇÃO]]=CU$1,[1]!BANCO10[[#This Row],[STATUS DA ETAPA]],"")</f>
        <v/>
      </c>
      <c r="CV754" s="64" t="str">
        <f>IF([1]!BANCO10[[#This Row],[SOLUÇÃO]]=CV$1,[1]!BANCO10[[#This Row],[STATUS DA ETAPA]],"")</f>
        <v/>
      </c>
    </row>
    <row r="755" spans="1:100">
      <c r="A755" s="44" t="s">
        <v>2</v>
      </c>
      <c r="B755" s="44">
        <v>45700</v>
      </c>
      <c r="C755" s="44" t="s">
        <v>2</v>
      </c>
      <c r="D755" s="44">
        <v>45700</v>
      </c>
      <c r="E755" s="44" t="s">
        <v>2</v>
      </c>
      <c r="F755" s="44">
        <v>45702</v>
      </c>
      <c r="G755" s="44" t="s">
        <v>2</v>
      </c>
      <c r="H755" s="44">
        <v>45702</v>
      </c>
      <c r="I755" s="45" t="s">
        <v>2</v>
      </c>
      <c r="J755" s="46">
        <v>45700</v>
      </c>
      <c r="K755" s="45" t="s">
        <v>2</v>
      </c>
      <c r="L755" s="33">
        <v>45695</v>
      </c>
      <c r="M755" s="45" t="s">
        <v>2</v>
      </c>
      <c r="N755" s="33">
        <v>45695</v>
      </c>
      <c r="O755" s="44" t="s">
        <v>1</v>
      </c>
      <c r="P755" s="44"/>
      <c r="Q755" s="44" t="s">
        <v>2</v>
      </c>
      <c r="R755" s="44"/>
      <c r="S755" s="44" t="s">
        <v>2</v>
      </c>
      <c r="T755" s="44">
        <v>45700</v>
      </c>
      <c r="U755" s="44" t="s">
        <v>1</v>
      </c>
      <c r="V755" s="44"/>
      <c r="W755" s="44" t="s">
        <v>1</v>
      </c>
      <c r="X755" s="44"/>
      <c r="Y755" s="44" t="s">
        <v>1</v>
      </c>
      <c r="Z755" s="44"/>
      <c r="AA755" s="44" t="s">
        <v>1</v>
      </c>
      <c r="AB755" s="44"/>
      <c r="AC755" s="51">
        <v>45786</v>
      </c>
      <c r="AD755" s="50">
        <v>45898</v>
      </c>
      <c r="AE755" s="41" t="s">
        <v>2</v>
      </c>
      <c r="AF755" s="41" t="s">
        <v>2</v>
      </c>
      <c r="AG755" s="40" t="s">
        <v>5</v>
      </c>
      <c r="AH755" s="36" t="s">
        <v>0</v>
      </c>
      <c r="AI755" s="49">
        <v>20140</v>
      </c>
      <c r="AJ755" s="36" t="s">
        <v>6</v>
      </c>
      <c r="AK755" s="10">
        <v>664941</v>
      </c>
      <c r="AL755" s="36" t="s">
        <v>1</v>
      </c>
      <c r="AM755" s="36" t="s">
        <v>1</v>
      </c>
      <c r="AN755" s="35" t="s">
        <v>0</v>
      </c>
      <c r="AO755" s="35" t="s">
        <v>0</v>
      </c>
      <c r="AP755" s="35" t="s">
        <v>0</v>
      </c>
      <c r="AQ755" s="35" t="s">
        <v>2</v>
      </c>
      <c r="AR755" s="34" t="s">
        <v>0</v>
      </c>
      <c r="AS755" s="46"/>
      <c r="AT755" s="32" t="s">
        <v>1</v>
      </c>
      <c r="AU755" s="31"/>
      <c r="AV755" s="32" t="s">
        <v>1</v>
      </c>
      <c r="AW755" s="31"/>
      <c r="AX755" s="32" t="s">
        <v>0</v>
      </c>
      <c r="AY755" s="31"/>
      <c r="AZ755" s="32" t="s">
        <v>0</v>
      </c>
      <c r="BA755" s="31"/>
      <c r="BB755" s="108">
        <v>1</v>
      </c>
      <c r="BC755" s="25"/>
      <c r="BD755" s="24"/>
      <c r="BE755" s="24"/>
      <c r="BF755" s="24"/>
      <c r="BG755" s="24"/>
      <c r="BH755" s="24"/>
      <c r="BI755" s="24"/>
      <c r="BJ755" s="24"/>
      <c r="BK755" s="24"/>
      <c r="BL755" s="24"/>
      <c r="BM755" s="24"/>
      <c r="BN755" s="24"/>
      <c r="BO755" s="24"/>
      <c r="BP755" s="24"/>
      <c r="BQ755" s="22">
        <f>YEAR([1]!BANCO10[[#This Row],[DATA INÍCIO]])</f>
        <v>2025</v>
      </c>
      <c r="BR755" s="22">
        <f>MONTH([1]!BANCO10[[#This Row],[DATA INÍCIO]])</f>
        <v>5</v>
      </c>
      <c r="BS755" s="23" t="e">
        <f>CONCATENATE(#REF!,#REF!)</f>
        <v>#REF!</v>
      </c>
      <c r="BT755" s="22"/>
      <c r="BU755" s="22"/>
      <c r="BV755" s="21" t="str">
        <f>IF([1]!BANCO10[[#This Row],[SOLUÇÃO]]=BV$1,[1]!BANCO10[[#This Row],[STATUS DA ETAPA]],"")</f>
        <v/>
      </c>
      <c r="BW755" s="21" t="str">
        <f>IF([1]!BANCO10[[#This Row],[SOLUÇÃO]]=BW$1,[1]!BANCO10[[#This Row],[STATUS DA ETAPA]],"")</f>
        <v/>
      </c>
      <c r="BX755" s="21" t="str">
        <f>IF([1]!BANCO10[[#This Row],[SOLUÇÃO]]=BX$1,[1]!BANCO10[[#This Row],[STATUS DA ETAPA]],"")</f>
        <v/>
      </c>
      <c r="BY755" s="21" t="str">
        <f>IF([1]!BANCO10[[#This Row],[SOLUÇÃO]]=BY$1,[1]!BANCO10[[#This Row],[STATUS DA ETAPA]],"")</f>
        <v/>
      </c>
      <c r="BZ755" s="21" t="str">
        <f>IF([1]!BANCO10[[#This Row],[SOLUÇÃO]]=BZ$1,[1]!BANCO10[[#This Row],[STATUS DA ETAPA]],"")</f>
        <v/>
      </c>
      <c r="CA755" s="21" t="str">
        <f>IF([1]!BANCO10[[#This Row],[SOLUÇÃO]]=CA$1,[1]!BANCO10[[#This Row],[STATUS DA ETAPA]],"")</f>
        <v/>
      </c>
      <c r="CB755" s="21" t="str">
        <f>IF([1]!BANCO10[[#This Row],[SOLUÇÃO]]=CB$1,[1]!BANCO10[[#This Row],[STATUS DA ETAPA]],"")</f>
        <v>CONCLUÍDO</v>
      </c>
      <c r="CC755" s="21" t="str">
        <f>IF([1]!BANCO10[[#This Row],[SOLUÇÃO]]=CC$1,[1]!BANCO10[[#This Row],[STATUS DA ETAPA]],"")</f>
        <v/>
      </c>
      <c r="CD755" s="21" t="str">
        <f>IF([1]!BANCO10[[#This Row],[SOLUÇÃO]]=CD$1,[1]!BANCO10[[#This Row],[STATUS DA ETAPA]],"")</f>
        <v/>
      </c>
      <c r="CE755" s="21" t="str">
        <f>IF([1]!BANCO10[[#This Row],[SOLUÇÃO]]=CE$1,[1]!BANCO10[[#This Row],[STATUS DA ETAPA]],"")</f>
        <v/>
      </c>
      <c r="CF755" s="21" t="str">
        <f>IF([1]!BANCO10[[#This Row],[SOLUÇÃO]]=CF$1,[1]!BANCO10[[#This Row],[STATUS DA ETAPA]],"")</f>
        <v/>
      </c>
      <c r="CG755" s="21" t="str">
        <f>IF([1]!BANCO10[[#This Row],[SOLUÇÃO]]=CG$1,[1]!BANCO10[[#This Row],[STATUS DA ETAPA]],"")</f>
        <v/>
      </c>
      <c r="CH755" s="21" t="str">
        <f>IF([1]!BANCO10[[#This Row],[SOLUÇÃO]]=CH$1,[1]!BANCO10[[#This Row],[STATUS DA ETAPA]],"")</f>
        <v/>
      </c>
      <c r="CI755" s="21" t="str">
        <f>IF([1]!BANCO10[[#This Row],[SOLUÇÃO]]=CI$1,[1]!BANCO10[[#This Row],[STATUS DA ETAPA]],"")</f>
        <v/>
      </c>
      <c r="CJ755" s="21" t="str">
        <f>IF([1]!BANCO10[[#This Row],[SOLUÇÃO]]=CJ$1,[1]!BANCO10[[#This Row],[STATUS DA ETAPA]],"")</f>
        <v/>
      </c>
      <c r="CK755" s="21" t="str">
        <f>IF([1]!BANCO10[[#This Row],[SOLUÇÃO]]=CK$1,[1]!BANCO10[[#This Row],[STATUS DA ETAPA]],"")</f>
        <v/>
      </c>
      <c r="CL755" s="21" t="str">
        <f>IF([1]!BANCO10[[#This Row],[SOLUÇÃO]]=CL$1,[1]!BANCO10[[#This Row],[STATUS DA ETAPA]],"")</f>
        <v/>
      </c>
      <c r="CM755" s="21" t="str">
        <f>IF([1]!BANCO10[[#This Row],[SOLUÇÃO]]=CM$1,[1]!BANCO10[[#This Row],[STATUS DA ETAPA]],"")</f>
        <v/>
      </c>
      <c r="CN755" s="21" t="str">
        <f>IF([1]!BANCO10[[#This Row],[SOLUÇÃO]]=CN$1,[1]!BANCO10[[#This Row],[STATUS DA ETAPA]],"")</f>
        <v/>
      </c>
      <c r="CO755" s="21" t="str">
        <f>IF([1]!BANCO10[[#This Row],[SOLUÇÃO]]=CO$1,[1]!BANCO10[[#This Row],[STATUS DA ETAPA]],"")</f>
        <v/>
      </c>
      <c r="CP755" s="21" t="str">
        <f>IF([1]!BANCO10[[#This Row],[SOLUÇÃO]]=CP$1,[1]!BANCO10[[#This Row],[STATUS DA ETAPA]],"")</f>
        <v/>
      </c>
      <c r="CQ755" s="21" t="str">
        <f>IF([1]!BANCO10[[#This Row],[SOLUÇÃO]]=CQ$1,[1]!BANCO10[[#This Row],[STATUS DA ETAPA]],"")</f>
        <v/>
      </c>
      <c r="CR755" s="21" t="str">
        <f>IF([1]!BANCO10[[#This Row],[SOLUÇÃO]]=CR$1,[1]!BANCO10[[#This Row],[STATUS DA ETAPA]],"")</f>
        <v/>
      </c>
      <c r="CS755" s="21" t="str">
        <f>IF([1]!BANCO10[[#This Row],[SOLUÇÃO]]=CS$1,[1]!BANCO10[[#This Row],[STATUS DA ETAPA]],"")</f>
        <v/>
      </c>
      <c r="CT755" s="21" t="str">
        <f>IF([1]!BANCO10[[#This Row],[SOLUÇÃO]]=CT$1,[1]!BANCO10[[#This Row],[STATUS DA ETAPA]],"")</f>
        <v/>
      </c>
      <c r="CU755" s="21" t="str">
        <f>IF([1]!BANCO10[[#This Row],[SOLUÇÃO]]=CU$1,[1]!BANCO10[[#This Row],[STATUS DA ETAPA]],"")</f>
        <v/>
      </c>
      <c r="CV755" s="21" t="str">
        <f>IF([1]!BANCO10[[#This Row],[SOLUÇÃO]]=CV$1,[1]!BANCO10[[#This Row],[STATUS DA ETAPA]],"")</f>
        <v/>
      </c>
    </row>
    <row r="756" spans="1:100">
      <c r="A756" s="44" t="s">
        <v>1</v>
      </c>
      <c r="B756" s="44"/>
      <c r="C756" s="44" t="s">
        <v>1</v>
      </c>
      <c r="D756" s="44"/>
      <c r="E756" s="44" t="s">
        <v>1</v>
      </c>
      <c r="F756" s="44"/>
      <c r="G756" s="44" t="s">
        <v>1</v>
      </c>
      <c r="H756" s="44"/>
      <c r="I756" s="45" t="s">
        <v>1</v>
      </c>
      <c r="J756" s="46"/>
      <c r="K756" s="45" t="s">
        <v>1</v>
      </c>
      <c r="L756" s="33"/>
      <c r="M756" s="45" t="s">
        <v>1</v>
      </c>
      <c r="N756" s="33"/>
      <c r="O756" s="44" t="s">
        <v>1</v>
      </c>
      <c r="P756" s="44"/>
      <c r="Q756" s="44" t="s">
        <v>1</v>
      </c>
      <c r="R756" s="44"/>
      <c r="S756" s="44" t="s">
        <v>1</v>
      </c>
      <c r="T756" s="44"/>
      <c r="U756" s="44" t="s">
        <v>2</v>
      </c>
      <c r="V756" s="44">
        <v>45821</v>
      </c>
      <c r="W756" s="44" t="s">
        <v>2</v>
      </c>
      <c r="X756" s="44">
        <v>45824</v>
      </c>
      <c r="Y756" s="44" t="s">
        <v>2</v>
      </c>
      <c r="Z756" s="44">
        <v>45831</v>
      </c>
      <c r="AA756" s="44" t="s">
        <v>2</v>
      </c>
      <c r="AB756" s="44"/>
      <c r="AC756" s="51">
        <v>45841</v>
      </c>
      <c r="AD756" s="50">
        <v>45926</v>
      </c>
      <c r="AE756" s="68" t="s">
        <v>2</v>
      </c>
      <c r="AF756" s="68" t="s">
        <v>2</v>
      </c>
      <c r="AG756" s="76" t="s">
        <v>4</v>
      </c>
      <c r="AH756" s="36" t="s">
        <v>0</v>
      </c>
      <c r="AI756" s="49">
        <v>0</v>
      </c>
      <c r="AJ756" s="36" t="s">
        <v>6</v>
      </c>
      <c r="AK756" s="10" t="s">
        <v>128</v>
      </c>
      <c r="AL756" s="36">
        <v>0</v>
      </c>
      <c r="AM756" s="36">
        <v>0</v>
      </c>
      <c r="AN756" s="35" t="s">
        <v>1</v>
      </c>
      <c r="AO756" s="35" t="s">
        <v>1</v>
      </c>
      <c r="AP756" s="35" t="s">
        <v>2</v>
      </c>
      <c r="AQ756" s="35" t="s">
        <v>1</v>
      </c>
      <c r="AR756" s="34" t="s">
        <v>1</v>
      </c>
      <c r="AS756" s="33"/>
      <c r="AT756" s="32" t="s">
        <v>2</v>
      </c>
      <c r="AU756" s="31">
        <v>45895</v>
      </c>
      <c r="AV756" s="28" t="s">
        <v>0</v>
      </c>
      <c r="AW756" s="31"/>
      <c r="AX756" s="30" t="s">
        <v>0</v>
      </c>
      <c r="AY756" s="29"/>
      <c r="AZ756" s="28" t="s">
        <v>0</v>
      </c>
      <c r="BA756" s="81"/>
      <c r="BB756" s="25">
        <v>45835</v>
      </c>
      <c r="BC756" s="25" t="s">
        <v>127</v>
      </c>
      <c r="BD756" s="24"/>
      <c r="BE756" s="24"/>
      <c r="BF756" s="24"/>
      <c r="BG756" s="24"/>
      <c r="BH756" s="24"/>
      <c r="BI756" s="24"/>
      <c r="BJ756" s="24"/>
      <c r="BK756" s="24"/>
      <c r="BL756" s="24"/>
      <c r="BM756" s="24"/>
      <c r="BN756" s="24"/>
      <c r="BO756" s="24"/>
      <c r="BP756" s="24"/>
      <c r="BQ756" s="22">
        <f>YEAR([1]!BANCO10[[#This Row],[DATA INÍCIO]])</f>
        <v>2025</v>
      </c>
      <c r="BR756" s="22">
        <f>MONTH([1]!BANCO10[[#This Row],[DATA INÍCIO]])</f>
        <v>7</v>
      </c>
      <c r="BS756" s="23" t="e">
        <f>CONCATENATE(#REF!,#REF!)</f>
        <v>#REF!</v>
      </c>
      <c r="BT756" s="22"/>
      <c r="BU756" s="22"/>
      <c r="BV756" s="21" t="str">
        <f>IF([1]!BANCO10[[#This Row],[SOLUÇÃO]]=BV$1,[1]!BANCO10[[#This Row],[STATUS DA ETAPA]],"")</f>
        <v/>
      </c>
      <c r="BW756" s="21" t="str">
        <f>IF([1]!BANCO10[[#This Row],[SOLUÇÃO]]=BW$1,[1]!BANCO10[[#This Row],[STATUS DA ETAPA]],"")</f>
        <v>CONCLUÍDO</v>
      </c>
      <c r="BX756" s="21" t="str">
        <f>IF([1]!BANCO10[[#This Row],[SOLUÇÃO]]=BX$1,[1]!BANCO10[[#This Row],[STATUS DA ETAPA]],"")</f>
        <v/>
      </c>
      <c r="BY756" s="21" t="str">
        <f>IF([1]!BANCO10[[#This Row],[SOLUÇÃO]]=BY$1,[1]!BANCO10[[#This Row],[STATUS DA ETAPA]],"")</f>
        <v/>
      </c>
      <c r="BZ756" s="21" t="str">
        <f>IF([1]!BANCO10[[#This Row],[SOLUÇÃO]]=BZ$1,[1]!BANCO10[[#This Row],[STATUS DA ETAPA]],"")</f>
        <v/>
      </c>
      <c r="CA756" s="21" t="str">
        <f>IF([1]!BANCO10[[#This Row],[SOLUÇÃO]]=CA$1,[1]!BANCO10[[#This Row],[STATUS DA ETAPA]],"")</f>
        <v/>
      </c>
      <c r="CB756" s="21" t="str">
        <f>IF([1]!BANCO10[[#This Row],[SOLUÇÃO]]=CB$1,[1]!BANCO10[[#This Row],[STATUS DA ETAPA]],"")</f>
        <v/>
      </c>
      <c r="CC756" s="21" t="str">
        <f>IF([1]!BANCO10[[#This Row],[SOLUÇÃO]]=CC$1,[1]!BANCO10[[#This Row],[STATUS DA ETAPA]],"")</f>
        <v/>
      </c>
      <c r="CD756" s="21" t="str">
        <f>IF([1]!BANCO10[[#This Row],[SOLUÇÃO]]=CD$1,[1]!BANCO10[[#This Row],[STATUS DA ETAPA]],"")</f>
        <v/>
      </c>
      <c r="CE756" s="21" t="str">
        <f>IF([1]!BANCO10[[#This Row],[SOLUÇÃO]]=CE$1,[1]!BANCO10[[#This Row],[STATUS DA ETAPA]],"")</f>
        <v/>
      </c>
      <c r="CF756" s="21" t="str">
        <f>IF([1]!BANCO10[[#This Row],[SOLUÇÃO]]=CF$1,[1]!BANCO10[[#This Row],[STATUS DA ETAPA]],"")</f>
        <v/>
      </c>
      <c r="CG756" s="21" t="str">
        <f>IF([1]!BANCO10[[#This Row],[SOLUÇÃO]]=CG$1,[1]!BANCO10[[#This Row],[STATUS DA ETAPA]],"")</f>
        <v/>
      </c>
      <c r="CH756" s="21" t="str">
        <f>IF([1]!BANCO10[[#This Row],[SOLUÇÃO]]=CH$1,[1]!BANCO10[[#This Row],[STATUS DA ETAPA]],"")</f>
        <v/>
      </c>
      <c r="CI756" s="21" t="str">
        <f>IF([1]!BANCO10[[#This Row],[SOLUÇÃO]]=CI$1,[1]!BANCO10[[#This Row],[STATUS DA ETAPA]],"")</f>
        <v/>
      </c>
      <c r="CJ756" s="21" t="str">
        <f>IF([1]!BANCO10[[#This Row],[SOLUÇÃO]]=CJ$1,[1]!BANCO10[[#This Row],[STATUS DA ETAPA]],"")</f>
        <v/>
      </c>
      <c r="CK756" s="21" t="str">
        <f>IF([1]!BANCO10[[#This Row],[SOLUÇÃO]]=CK$1,[1]!BANCO10[[#This Row],[STATUS DA ETAPA]],"")</f>
        <v/>
      </c>
      <c r="CL756" s="21" t="str">
        <f>IF([1]!BANCO10[[#This Row],[SOLUÇÃO]]=CL$1,[1]!BANCO10[[#This Row],[STATUS DA ETAPA]],"")</f>
        <v/>
      </c>
      <c r="CM756" s="21" t="str">
        <f>IF([1]!BANCO10[[#This Row],[SOLUÇÃO]]=CM$1,[1]!BANCO10[[#This Row],[STATUS DA ETAPA]],"")</f>
        <v/>
      </c>
      <c r="CN756" s="21" t="str">
        <f>IF([1]!BANCO10[[#This Row],[SOLUÇÃO]]=CN$1,[1]!BANCO10[[#This Row],[STATUS DA ETAPA]],"")</f>
        <v/>
      </c>
      <c r="CO756" s="21" t="str">
        <f>IF([1]!BANCO10[[#This Row],[SOLUÇÃO]]=CO$1,[1]!BANCO10[[#This Row],[STATUS DA ETAPA]],"")</f>
        <v/>
      </c>
      <c r="CP756" s="21" t="str">
        <f>IF([1]!BANCO10[[#This Row],[SOLUÇÃO]]=CP$1,[1]!BANCO10[[#This Row],[STATUS DA ETAPA]],"")</f>
        <v/>
      </c>
      <c r="CQ756" s="21" t="str">
        <f>IF([1]!BANCO10[[#This Row],[SOLUÇÃO]]=CQ$1,[1]!BANCO10[[#This Row],[STATUS DA ETAPA]],"")</f>
        <v/>
      </c>
      <c r="CR756" s="21" t="str">
        <f>IF([1]!BANCO10[[#This Row],[SOLUÇÃO]]=CR$1,[1]!BANCO10[[#This Row],[STATUS DA ETAPA]],"")</f>
        <v/>
      </c>
      <c r="CS756" s="21" t="str">
        <f>IF([1]!BANCO10[[#This Row],[SOLUÇÃO]]=CS$1,[1]!BANCO10[[#This Row],[STATUS DA ETAPA]],"")</f>
        <v/>
      </c>
      <c r="CT756" s="21" t="str">
        <f>IF([1]!BANCO10[[#This Row],[SOLUÇÃO]]=CT$1,[1]!BANCO10[[#This Row],[STATUS DA ETAPA]],"")</f>
        <v/>
      </c>
      <c r="CU756" s="21" t="str">
        <f>IF([1]!BANCO10[[#This Row],[SOLUÇÃO]]=CU$1,[1]!BANCO10[[#This Row],[STATUS DA ETAPA]],"")</f>
        <v/>
      </c>
      <c r="CV756" s="21" t="str">
        <f>IF([1]!BANCO10[[#This Row],[SOLUÇÃO]]=CV$1,[1]!BANCO10[[#This Row],[STATUS DA ETAPA]],"")</f>
        <v/>
      </c>
    </row>
    <row r="757" spans="1:100">
      <c r="A757" s="44" t="s">
        <v>1</v>
      </c>
      <c r="B757" s="44"/>
      <c r="C757" s="44" t="s">
        <v>1</v>
      </c>
      <c r="D757" s="44"/>
      <c r="E757" s="44" t="s">
        <v>1</v>
      </c>
      <c r="F757" s="44"/>
      <c r="G757" s="44" t="s">
        <v>1</v>
      </c>
      <c r="H757" s="44"/>
      <c r="I757" s="45" t="s">
        <v>1</v>
      </c>
      <c r="J757" s="46"/>
      <c r="K757" s="45" t="s">
        <v>1</v>
      </c>
      <c r="L757" s="33"/>
      <c r="M757" s="45" t="s">
        <v>1</v>
      </c>
      <c r="N757" s="33"/>
      <c r="O757" s="44" t="s">
        <v>1</v>
      </c>
      <c r="P757" s="44"/>
      <c r="Q757" s="44" t="s">
        <v>1</v>
      </c>
      <c r="R757" s="44"/>
      <c r="S757" s="44" t="s">
        <v>1</v>
      </c>
      <c r="T757" s="44"/>
      <c r="U757" s="44" t="s">
        <v>1</v>
      </c>
      <c r="V757" s="44"/>
      <c r="W757" s="44" t="s">
        <v>1</v>
      </c>
      <c r="X757" s="44"/>
      <c r="Y757" s="44" t="s">
        <v>1</v>
      </c>
      <c r="Z757" s="44"/>
      <c r="AA757" s="44" t="s">
        <v>1</v>
      </c>
      <c r="AB757" s="44"/>
      <c r="AC757" s="51">
        <v>45963</v>
      </c>
      <c r="AD757" s="50">
        <v>45963</v>
      </c>
      <c r="AE757" s="40" t="s">
        <v>1</v>
      </c>
      <c r="AF757" s="40" t="s">
        <v>1</v>
      </c>
      <c r="AG757" s="40" t="s">
        <v>1</v>
      </c>
      <c r="AH757" s="36" t="s">
        <v>1</v>
      </c>
      <c r="AI757" s="49">
        <v>0</v>
      </c>
      <c r="AJ757" s="36" t="s">
        <v>1</v>
      </c>
      <c r="AK757" s="10" t="s">
        <v>1</v>
      </c>
      <c r="AL757" s="36" t="s">
        <v>1</v>
      </c>
      <c r="AM757" s="36" t="s">
        <v>1</v>
      </c>
      <c r="AN757" s="35" t="s">
        <v>1</v>
      </c>
      <c r="AO757" s="35" t="s">
        <v>1</v>
      </c>
      <c r="AP757" s="35" t="s">
        <v>1</v>
      </c>
      <c r="AQ757" s="35" t="s">
        <v>1</v>
      </c>
      <c r="AR757" s="33" t="s">
        <v>1</v>
      </c>
      <c r="AS757" s="63"/>
      <c r="AT757" s="32" t="s">
        <v>1</v>
      </c>
      <c r="AU757" s="31"/>
      <c r="AV757" s="32" t="s">
        <v>1</v>
      </c>
      <c r="AW757" s="31"/>
      <c r="AX757" s="32" t="s">
        <v>1</v>
      </c>
      <c r="AY757" s="31"/>
      <c r="AZ757" s="32" t="s">
        <v>1</v>
      </c>
      <c r="BA757" s="47"/>
      <c r="BB757" s="39"/>
      <c r="BC757" s="25"/>
      <c r="BD757" s="24"/>
      <c r="BE757" s="24"/>
      <c r="BF757" s="79"/>
      <c r="BG757" s="79"/>
      <c r="BH757" s="80"/>
      <c r="BI757" s="79"/>
      <c r="BJ757" s="54"/>
      <c r="BK757" s="78"/>
      <c r="BL757" s="69">
        <v>45390</v>
      </c>
      <c r="BM757" s="78"/>
      <c r="BN757" s="78" t="s">
        <v>11</v>
      </c>
      <c r="BO757" s="78"/>
      <c r="BP757" s="78" t="s">
        <v>126</v>
      </c>
      <c r="BQ757" s="21">
        <f>YEAR([1]!BANCO10[[#This Row],[DATA INÍCIO]])</f>
        <v>2025</v>
      </c>
      <c r="BR757" s="21">
        <f>MONTH([1]!BANCO10[[#This Row],[DATA INÍCIO]])</f>
        <v>11</v>
      </c>
      <c r="BS757" s="21" t="e">
        <f>CONCATENATE(#REF!,#REF!)</f>
        <v>#REF!</v>
      </c>
      <c r="BT757" s="21"/>
      <c r="BU757" s="21" t="s">
        <v>30</v>
      </c>
      <c r="BV757" s="21" t="str">
        <f>IF([1]!BANCO10[[#This Row],[SOLUÇÃO]]=BV$1,[1]!BANCO10[[#This Row],[STATUS DA ETAPA]],"")</f>
        <v/>
      </c>
      <c r="BW757" s="21" t="str">
        <f>IF([1]!BANCO10[[#This Row],[SOLUÇÃO]]=BW$1,[1]!BANCO10[[#This Row],[STATUS DA ETAPA]],"")</f>
        <v/>
      </c>
      <c r="BX757" s="21" t="str">
        <f>IF([1]!BANCO10[[#This Row],[SOLUÇÃO]]=BX$1,[1]!BANCO10[[#This Row],[STATUS DA ETAPA]],"")</f>
        <v/>
      </c>
      <c r="BY757" s="21" t="str">
        <f>IF([1]!BANCO10[[#This Row],[SOLUÇÃO]]=BY$1,[1]!BANCO10[[#This Row],[STATUS DA ETAPA]],"")</f>
        <v/>
      </c>
      <c r="BZ757" s="21" t="str">
        <f>IF([1]!BANCO10[[#This Row],[SOLUÇÃO]]=BZ$1,[1]!BANCO10[[#This Row],[STATUS DA ETAPA]],"")</f>
        <v/>
      </c>
      <c r="CA757" s="21" t="str">
        <f>IF([1]!BANCO10[[#This Row],[SOLUÇÃO]]=CA$1,[1]!BANCO10[[#This Row],[STATUS DA ETAPA]],"")</f>
        <v/>
      </c>
      <c r="CB757" s="21" t="str">
        <f>IF([1]!BANCO10[[#This Row],[SOLUÇÃO]]=CB$1,[1]!BANCO10[[#This Row],[STATUS DA ETAPA]],"")</f>
        <v/>
      </c>
      <c r="CC757" s="21" t="str">
        <f>IF([1]!BANCO10[[#This Row],[SOLUÇÃO]]=CC$1,[1]!BANCO10[[#This Row],[STATUS DA ETAPA]],"")</f>
        <v/>
      </c>
      <c r="CD757" s="21" t="str">
        <f>IF([1]!BANCO10[[#This Row],[SOLUÇÃO]]=CD$1,[1]!BANCO10[[#This Row],[STATUS DA ETAPA]],"")</f>
        <v/>
      </c>
      <c r="CE757" s="21" t="str">
        <f>IF([1]!BANCO10[[#This Row],[SOLUÇÃO]]=CE$1,[1]!BANCO10[[#This Row],[STATUS DA ETAPA]],"")</f>
        <v/>
      </c>
      <c r="CF757" s="21" t="str">
        <f>IF([1]!BANCO10[[#This Row],[SOLUÇÃO]]=CF$1,[1]!BANCO10[[#This Row],[STATUS DA ETAPA]],"")</f>
        <v/>
      </c>
      <c r="CG757" s="21" t="str">
        <f>IF([1]!BANCO10[[#This Row],[SOLUÇÃO]]=CG$1,[1]!BANCO10[[#This Row],[STATUS DA ETAPA]],"")</f>
        <v/>
      </c>
      <c r="CH757" s="21" t="str">
        <f>IF([1]!BANCO10[[#This Row],[SOLUÇÃO]]=CH$1,[1]!BANCO10[[#This Row],[STATUS DA ETAPA]],"")</f>
        <v/>
      </c>
      <c r="CI757" s="21" t="str">
        <f>IF([1]!BANCO10[[#This Row],[SOLUÇÃO]]=CI$1,[1]!BANCO10[[#This Row],[STATUS DA ETAPA]],"")</f>
        <v/>
      </c>
      <c r="CJ757" s="21" t="str">
        <f>IF([1]!BANCO10[[#This Row],[SOLUÇÃO]]=CJ$1,[1]!BANCO10[[#This Row],[STATUS DA ETAPA]],"")</f>
        <v/>
      </c>
      <c r="CK757" s="21" t="str">
        <f>IF([1]!BANCO10[[#This Row],[SOLUÇÃO]]=CK$1,[1]!BANCO10[[#This Row],[STATUS DA ETAPA]],"")</f>
        <v/>
      </c>
      <c r="CL757" s="22" t="str">
        <f>IF([1]!BANCO10[[#This Row],[SOLUÇÃO]]=CL$1,[1]!BANCO10[[#This Row],[STATUS DA ETAPA]],"")</f>
        <v>CANCELADO</v>
      </c>
      <c r="CM757" s="64" t="str">
        <f>IF([1]!BANCO10[[#This Row],[SOLUÇÃO]]=CM$1,[1]!BANCO10[[#This Row],[STATUS DA ETAPA]],"")</f>
        <v/>
      </c>
      <c r="CN757" s="64" t="str">
        <f>IF([1]!BANCO10[[#This Row],[SOLUÇÃO]]=CN$1,[1]!BANCO10[[#This Row],[STATUS DA ETAPA]],"")</f>
        <v/>
      </c>
      <c r="CO757" s="64" t="str">
        <f>IF([1]!BANCO10[[#This Row],[SOLUÇÃO]]=CO$1,[1]!BANCO10[[#This Row],[STATUS DA ETAPA]],"")</f>
        <v/>
      </c>
      <c r="CP757" s="64" t="str">
        <f>IF([1]!BANCO10[[#This Row],[SOLUÇÃO]]=CP$1,[1]!BANCO10[[#This Row],[STATUS DA ETAPA]],"")</f>
        <v/>
      </c>
      <c r="CQ757" s="64" t="str">
        <f>IF([1]!BANCO10[[#This Row],[SOLUÇÃO]]=CQ$1,[1]!BANCO10[[#This Row],[STATUS DA ETAPA]],"")</f>
        <v/>
      </c>
      <c r="CR757" s="64" t="str">
        <f>IF([1]!BANCO10[[#This Row],[SOLUÇÃO]]=CR$1,[1]!BANCO10[[#This Row],[STATUS DA ETAPA]],"")</f>
        <v/>
      </c>
      <c r="CS757" s="64" t="str">
        <f>IF([1]!BANCO10[[#This Row],[SOLUÇÃO]]=CS$1,[1]!BANCO10[[#This Row],[STATUS DA ETAPA]],"")</f>
        <v/>
      </c>
      <c r="CT757" s="64" t="str">
        <f>IF([1]!BANCO10[[#This Row],[SOLUÇÃO]]=CT$1,[1]!BANCO10[[#This Row],[STATUS DA ETAPA]],"")</f>
        <v/>
      </c>
      <c r="CU757" s="64" t="str">
        <f>IF([1]!BANCO10[[#This Row],[SOLUÇÃO]]=CU$1,[1]!BANCO10[[#This Row],[STATUS DA ETAPA]],"")</f>
        <v/>
      </c>
      <c r="CV757" s="64" t="str">
        <f>IF([1]!BANCO10[[#This Row],[SOLUÇÃO]]=CV$1,[1]!BANCO10[[#This Row],[STATUS DA ETAPA]],"")</f>
        <v/>
      </c>
    </row>
    <row r="758" spans="1:100">
      <c r="A758" s="44" t="s">
        <v>1</v>
      </c>
      <c r="B758" s="44"/>
      <c r="C758" s="44" t="s">
        <v>1</v>
      </c>
      <c r="D758" s="44"/>
      <c r="E758" s="44" t="s">
        <v>1</v>
      </c>
      <c r="F758" s="44"/>
      <c r="G758" s="44" t="s">
        <v>1</v>
      </c>
      <c r="H758" s="44"/>
      <c r="I758" s="45" t="s">
        <v>1</v>
      </c>
      <c r="J758" s="46"/>
      <c r="K758" s="45" t="s">
        <v>1</v>
      </c>
      <c r="L758" s="33"/>
      <c r="M758" s="45" t="s">
        <v>1</v>
      </c>
      <c r="N758" s="33"/>
      <c r="O758" s="44" t="s">
        <v>2</v>
      </c>
      <c r="P758" s="44">
        <v>44929</v>
      </c>
      <c r="Q758" s="44" t="s">
        <v>1</v>
      </c>
      <c r="R758" s="44"/>
      <c r="S758" s="44" t="s">
        <v>1</v>
      </c>
      <c r="T758" s="44"/>
      <c r="U758" s="44" t="s">
        <v>1</v>
      </c>
      <c r="V758" s="44"/>
      <c r="W758" s="44" t="s">
        <v>1</v>
      </c>
      <c r="X758" s="44"/>
      <c r="Y758" s="44" t="s">
        <v>1</v>
      </c>
      <c r="Z758" s="44"/>
      <c r="AA758" s="44" t="s">
        <v>1</v>
      </c>
      <c r="AB758" s="44"/>
      <c r="AC758" s="51">
        <v>44903</v>
      </c>
      <c r="AD758" s="51">
        <v>44903</v>
      </c>
      <c r="AE758" s="40" t="s">
        <v>1</v>
      </c>
      <c r="AF758" s="40" t="s">
        <v>1</v>
      </c>
      <c r="AG758" s="40" t="s">
        <v>5</v>
      </c>
      <c r="AH758" s="36" t="s">
        <v>1</v>
      </c>
      <c r="AI758" s="49">
        <v>0</v>
      </c>
      <c r="AJ758" s="36" t="s">
        <v>1</v>
      </c>
      <c r="AK758" s="10" t="s">
        <v>1</v>
      </c>
      <c r="AL758" s="36" t="s">
        <v>1</v>
      </c>
      <c r="AM758" s="36" t="s">
        <v>1</v>
      </c>
      <c r="AN758" s="35" t="s">
        <v>1</v>
      </c>
      <c r="AO758" s="35" t="s">
        <v>1</v>
      </c>
      <c r="AP758" s="35" t="s">
        <v>1</v>
      </c>
      <c r="AQ758" s="35" t="s">
        <v>1</v>
      </c>
      <c r="AR758" s="48" t="s">
        <v>1</v>
      </c>
      <c r="AS758" s="33"/>
      <c r="AT758" s="30"/>
      <c r="AU758" s="55"/>
      <c r="AV758" s="30"/>
      <c r="AW758" s="55"/>
      <c r="AX758" s="30" t="s">
        <v>1</v>
      </c>
      <c r="AY758" s="55"/>
      <c r="AZ758" s="30" t="s">
        <v>1</v>
      </c>
      <c r="BA758" s="85"/>
      <c r="BB758" s="39"/>
      <c r="BC758" s="25"/>
      <c r="BD758" s="24" t="s">
        <v>11</v>
      </c>
      <c r="BE758" s="24" t="s">
        <v>11</v>
      </c>
      <c r="BF758" s="79" t="s">
        <v>19</v>
      </c>
      <c r="BG758" s="79" t="s">
        <v>11</v>
      </c>
      <c r="BH758" s="80" t="s">
        <v>19</v>
      </c>
      <c r="BI758" s="79"/>
      <c r="BJ758" s="54" t="s">
        <v>11</v>
      </c>
      <c r="BK758" s="78" t="s">
        <v>11</v>
      </c>
      <c r="BL758" s="69" t="s">
        <v>11</v>
      </c>
      <c r="BM758" s="78" t="s">
        <v>11</v>
      </c>
      <c r="BN758" s="78" t="s">
        <v>11</v>
      </c>
      <c r="BO758" s="78" t="s">
        <v>11</v>
      </c>
      <c r="BP758" s="78" t="s">
        <v>11</v>
      </c>
      <c r="BQ758" s="21">
        <f>YEAR([1]!BANCO10[[#This Row],[DATA INÍCIO]])</f>
        <v>2022</v>
      </c>
      <c r="BR758" s="21">
        <f>MONTH([1]!BANCO10[[#This Row],[DATA INÍCIO]])</f>
        <v>12</v>
      </c>
      <c r="BS758" s="21" t="e">
        <f>CONCATENATE(#REF!,#REF!)</f>
        <v>#REF!</v>
      </c>
      <c r="BT758" s="21"/>
      <c r="BU758" s="21" t="s">
        <v>125</v>
      </c>
      <c r="BV758" s="21" t="str">
        <f>IF([1]!BANCO10[[#This Row],[SOLUÇÃO]]=BV$1,[1]!BANCO10[[#This Row],[STATUS DA ETAPA]],"")</f>
        <v>CONCLUÍDO</v>
      </c>
      <c r="BW758" s="21" t="str">
        <f>IF([1]!BANCO10[[#This Row],[SOLUÇÃO]]=BW$1,[1]!BANCO10[[#This Row],[STATUS DA ETAPA]],"")</f>
        <v/>
      </c>
      <c r="BX758" s="21" t="str">
        <f>IF([1]!BANCO10[[#This Row],[SOLUÇÃO]]=BX$1,[1]!BANCO10[[#This Row],[STATUS DA ETAPA]],"")</f>
        <v/>
      </c>
      <c r="BY758" s="21" t="str">
        <f>IF([1]!BANCO10[[#This Row],[SOLUÇÃO]]=BY$1,[1]!BANCO10[[#This Row],[STATUS DA ETAPA]],"")</f>
        <v/>
      </c>
      <c r="BZ758" s="21" t="str">
        <f>IF([1]!BANCO10[[#This Row],[SOLUÇÃO]]=BZ$1,[1]!BANCO10[[#This Row],[STATUS DA ETAPA]],"")</f>
        <v/>
      </c>
      <c r="CA758" s="21" t="str">
        <f>IF([1]!BANCO10[[#This Row],[SOLUÇÃO]]=CA$1,[1]!BANCO10[[#This Row],[STATUS DA ETAPA]],"")</f>
        <v/>
      </c>
      <c r="CB758" s="21" t="str">
        <f>IF([1]!BANCO10[[#This Row],[SOLUÇÃO]]=CB$1,[1]!BANCO10[[#This Row],[STATUS DA ETAPA]],"")</f>
        <v/>
      </c>
      <c r="CC758" s="21" t="str">
        <f>IF([1]!BANCO10[[#This Row],[SOLUÇÃO]]=CC$1,[1]!BANCO10[[#This Row],[STATUS DA ETAPA]],"")</f>
        <v/>
      </c>
      <c r="CD758" s="21" t="str">
        <f>IF([1]!BANCO10[[#This Row],[SOLUÇÃO]]=CD$1,[1]!BANCO10[[#This Row],[STATUS DA ETAPA]],"")</f>
        <v/>
      </c>
      <c r="CE758" s="21" t="str">
        <f>IF([1]!BANCO10[[#This Row],[SOLUÇÃO]]=CE$1,[1]!BANCO10[[#This Row],[STATUS DA ETAPA]],"")</f>
        <v/>
      </c>
      <c r="CF758" s="21" t="str">
        <f>IF([1]!BANCO10[[#This Row],[SOLUÇÃO]]=CF$1,[1]!BANCO10[[#This Row],[STATUS DA ETAPA]],"")</f>
        <v/>
      </c>
      <c r="CG758" s="21" t="str">
        <f>IF([1]!BANCO10[[#This Row],[SOLUÇÃO]]=CG$1,[1]!BANCO10[[#This Row],[STATUS DA ETAPA]],"")</f>
        <v/>
      </c>
      <c r="CH758" s="21" t="str">
        <f>IF([1]!BANCO10[[#This Row],[SOLUÇÃO]]=CH$1,[1]!BANCO10[[#This Row],[STATUS DA ETAPA]],"")</f>
        <v/>
      </c>
      <c r="CI758" s="21" t="str">
        <f>IF([1]!BANCO10[[#This Row],[SOLUÇÃO]]=CI$1,[1]!BANCO10[[#This Row],[STATUS DA ETAPA]],"")</f>
        <v/>
      </c>
      <c r="CJ758" s="21" t="str">
        <f>IF([1]!BANCO10[[#This Row],[SOLUÇÃO]]=CJ$1,[1]!BANCO10[[#This Row],[STATUS DA ETAPA]],"")</f>
        <v/>
      </c>
      <c r="CK758" s="21" t="str">
        <f>IF([1]!BANCO10[[#This Row],[SOLUÇÃO]]=CK$1,[1]!BANCO10[[#This Row],[STATUS DA ETAPA]],"")</f>
        <v/>
      </c>
      <c r="CL758" s="22" t="str">
        <f>IF([1]!BANCO10[[#This Row],[SOLUÇÃO]]=CL$1,[1]!BANCO10[[#This Row],[STATUS DA ETAPA]],"")</f>
        <v/>
      </c>
      <c r="CM758" s="64" t="str">
        <f>IF([1]!BANCO10[[#This Row],[SOLUÇÃO]]=CM$1,[1]!BANCO10[[#This Row],[STATUS DA ETAPA]],"")</f>
        <v/>
      </c>
      <c r="CN758" s="64" t="str">
        <f>IF([1]!BANCO10[[#This Row],[SOLUÇÃO]]=CN$1,[1]!BANCO10[[#This Row],[STATUS DA ETAPA]],"")</f>
        <v/>
      </c>
      <c r="CO758" s="64" t="str">
        <f>IF([1]!BANCO10[[#This Row],[SOLUÇÃO]]=CO$1,[1]!BANCO10[[#This Row],[STATUS DA ETAPA]],"")</f>
        <v/>
      </c>
      <c r="CP758" s="64" t="str">
        <f>IF([1]!BANCO10[[#This Row],[SOLUÇÃO]]=CP$1,[1]!BANCO10[[#This Row],[STATUS DA ETAPA]],"")</f>
        <v/>
      </c>
      <c r="CQ758" s="64" t="str">
        <f>IF([1]!BANCO10[[#This Row],[SOLUÇÃO]]=CQ$1,[1]!BANCO10[[#This Row],[STATUS DA ETAPA]],"")</f>
        <v/>
      </c>
      <c r="CR758" s="64" t="str">
        <f>IF([1]!BANCO10[[#This Row],[SOLUÇÃO]]=CR$1,[1]!BANCO10[[#This Row],[STATUS DA ETAPA]],"")</f>
        <v/>
      </c>
      <c r="CS758" s="64" t="str">
        <f>IF([1]!BANCO10[[#This Row],[SOLUÇÃO]]=CS$1,[1]!BANCO10[[#This Row],[STATUS DA ETAPA]],"")</f>
        <v/>
      </c>
      <c r="CT758" s="64" t="str">
        <f>IF([1]!BANCO10[[#This Row],[SOLUÇÃO]]=CT$1,[1]!BANCO10[[#This Row],[STATUS DA ETAPA]],"")</f>
        <v/>
      </c>
      <c r="CU758" s="64" t="str">
        <f>IF([1]!BANCO10[[#This Row],[SOLUÇÃO]]=CU$1,[1]!BANCO10[[#This Row],[STATUS DA ETAPA]],"")</f>
        <v/>
      </c>
      <c r="CV758" s="64" t="str">
        <f>IF([1]!BANCO10[[#This Row],[SOLUÇÃO]]=CV$1,[1]!BANCO10[[#This Row],[STATUS DA ETAPA]],"")</f>
        <v/>
      </c>
    </row>
    <row r="759" spans="1:100">
      <c r="A759" s="44" t="s">
        <v>1</v>
      </c>
      <c r="B759" s="44"/>
      <c r="C759" s="44" t="s">
        <v>1</v>
      </c>
      <c r="D759" s="44"/>
      <c r="E759" s="44" t="s">
        <v>1</v>
      </c>
      <c r="F759" s="44"/>
      <c r="G759" s="44" t="s">
        <v>1</v>
      </c>
      <c r="H759" s="44"/>
      <c r="I759" s="45" t="s">
        <v>1</v>
      </c>
      <c r="J759" s="46"/>
      <c r="K759" s="45" t="s">
        <v>1</v>
      </c>
      <c r="L759" s="33"/>
      <c r="M759" s="45" t="s">
        <v>1</v>
      </c>
      <c r="N759" s="33"/>
      <c r="O759" s="44" t="s">
        <v>2</v>
      </c>
      <c r="P759" s="44">
        <v>44929</v>
      </c>
      <c r="Q759" s="44" t="s">
        <v>2</v>
      </c>
      <c r="R759" s="44">
        <v>44931</v>
      </c>
      <c r="S759" s="44" t="s">
        <v>2</v>
      </c>
      <c r="T759" s="44">
        <v>44929</v>
      </c>
      <c r="U759" s="44" t="s">
        <v>1</v>
      </c>
      <c r="V759" s="44"/>
      <c r="W759" s="44" t="s">
        <v>1</v>
      </c>
      <c r="X759" s="44"/>
      <c r="Y759" s="44" t="s">
        <v>1</v>
      </c>
      <c r="Z759" s="44"/>
      <c r="AA759" s="44" t="s">
        <v>1</v>
      </c>
      <c r="AB759" s="44"/>
      <c r="AC759" s="107">
        <v>44939</v>
      </c>
      <c r="AD759" s="107">
        <v>45082</v>
      </c>
      <c r="AE759" s="99" t="s">
        <v>2</v>
      </c>
      <c r="AF759" s="99" t="s">
        <v>2</v>
      </c>
      <c r="AG759" s="99" t="s">
        <v>5</v>
      </c>
      <c r="AH759" s="36" t="s">
        <v>0</v>
      </c>
      <c r="AI759" s="49">
        <v>0</v>
      </c>
      <c r="AJ759" s="36"/>
      <c r="AK759" s="10"/>
      <c r="AL759" s="36" t="s">
        <v>1</v>
      </c>
      <c r="AM759" s="36" t="s">
        <v>1</v>
      </c>
      <c r="AN759" s="35" t="s">
        <v>0</v>
      </c>
      <c r="AO759" s="35" t="s">
        <v>0</v>
      </c>
      <c r="AP759" s="35" t="s">
        <v>2</v>
      </c>
      <c r="AQ759" s="35" t="s">
        <v>1</v>
      </c>
      <c r="AR759" s="106" t="s">
        <v>1</v>
      </c>
      <c r="AS759" s="106"/>
      <c r="AT759" s="100"/>
      <c r="AU759" s="98"/>
      <c r="AV759" s="100"/>
      <c r="AW759" s="98"/>
      <c r="AX759" s="100" t="s">
        <v>2</v>
      </c>
      <c r="AY759" s="98">
        <v>45082</v>
      </c>
      <c r="AZ759" s="100" t="s">
        <v>2</v>
      </c>
      <c r="BA759" s="105"/>
      <c r="BB759" s="99"/>
      <c r="BC759" s="98"/>
      <c r="BD759" s="24" t="s">
        <v>11</v>
      </c>
      <c r="BE759" s="24" t="s">
        <v>11</v>
      </c>
      <c r="BF759" s="79" t="s">
        <v>19</v>
      </c>
      <c r="BG759" s="79" t="s">
        <v>11</v>
      </c>
      <c r="BH759" s="80" t="s">
        <v>19</v>
      </c>
      <c r="BI759" s="79"/>
      <c r="BJ759" s="54" t="s">
        <v>11</v>
      </c>
      <c r="BK759" s="78" t="s">
        <v>11</v>
      </c>
      <c r="BL759" s="69">
        <v>45412</v>
      </c>
      <c r="BM759" s="78" t="s">
        <v>18</v>
      </c>
      <c r="BN759" s="78" t="s">
        <v>72</v>
      </c>
      <c r="BO759" s="78"/>
      <c r="BP759" s="78" t="s">
        <v>122</v>
      </c>
      <c r="BQ759" s="21">
        <f>YEAR([1]!BANCO10[[#This Row],[DATA INÍCIO]])</f>
        <v>2023</v>
      </c>
      <c r="BR759" s="21">
        <f>MONTH([1]!BANCO10[[#This Row],[DATA INÍCIO]])</f>
        <v>1</v>
      </c>
      <c r="BS759" s="21" t="e">
        <f>CONCATENATE(#REF!,#REF!)</f>
        <v>#REF!</v>
      </c>
      <c r="BT759" s="21"/>
      <c r="BU759" s="21" t="s">
        <v>124</v>
      </c>
      <c r="BV759" s="21" t="str">
        <f>IF([1]!BANCO10[[#This Row],[SOLUÇÃO]]=BV$1,[1]!BANCO10[[#This Row],[STATUS DA ETAPA]],"")</f>
        <v/>
      </c>
      <c r="BW759" s="21" t="str">
        <f>IF([1]!BANCO10[[#This Row],[SOLUÇÃO]]=BW$1,[1]!BANCO10[[#This Row],[STATUS DA ETAPA]],"")</f>
        <v/>
      </c>
      <c r="BX759" s="21" t="str">
        <f>IF([1]!BANCO10[[#This Row],[SOLUÇÃO]]=BX$1,[1]!BANCO10[[#This Row],[STATUS DA ETAPA]],"")</f>
        <v/>
      </c>
      <c r="BY759" s="21" t="str">
        <f>IF([1]!BANCO10[[#This Row],[SOLUÇÃO]]=BY$1,[1]!BANCO10[[#This Row],[STATUS DA ETAPA]],"")</f>
        <v/>
      </c>
      <c r="BZ759" s="21" t="str">
        <f>IF([1]!BANCO10[[#This Row],[SOLUÇÃO]]=BZ$1,[1]!BANCO10[[#This Row],[STATUS DA ETAPA]],"")</f>
        <v/>
      </c>
      <c r="CA759" s="21" t="str">
        <f>IF([1]!BANCO10[[#This Row],[SOLUÇÃO]]=CA$1,[1]!BANCO10[[#This Row],[STATUS DA ETAPA]],"")</f>
        <v>CONCLUÍDO</v>
      </c>
      <c r="CB759" s="21" t="str">
        <f>IF([1]!BANCO10[[#This Row],[SOLUÇÃO]]=CB$1,[1]!BANCO10[[#This Row],[STATUS DA ETAPA]],"")</f>
        <v/>
      </c>
      <c r="CC759" s="21" t="str">
        <f>IF([1]!BANCO10[[#This Row],[SOLUÇÃO]]=CC$1,[1]!BANCO10[[#This Row],[STATUS DA ETAPA]],"")</f>
        <v/>
      </c>
      <c r="CD759" s="21" t="str">
        <f>IF([1]!BANCO10[[#This Row],[SOLUÇÃO]]=CD$1,[1]!BANCO10[[#This Row],[STATUS DA ETAPA]],"")</f>
        <v/>
      </c>
      <c r="CE759" s="21" t="str">
        <f>IF([1]!BANCO10[[#This Row],[SOLUÇÃO]]=CE$1,[1]!BANCO10[[#This Row],[STATUS DA ETAPA]],"")</f>
        <v/>
      </c>
      <c r="CF759" s="21" t="str">
        <f>IF([1]!BANCO10[[#This Row],[SOLUÇÃO]]=CF$1,[1]!BANCO10[[#This Row],[STATUS DA ETAPA]],"")</f>
        <v/>
      </c>
      <c r="CG759" s="21" t="str">
        <f>IF([1]!BANCO10[[#This Row],[SOLUÇÃO]]=CG$1,[1]!BANCO10[[#This Row],[STATUS DA ETAPA]],"")</f>
        <v/>
      </c>
      <c r="CH759" s="21" t="str">
        <f>IF([1]!BANCO10[[#This Row],[SOLUÇÃO]]=CH$1,[1]!BANCO10[[#This Row],[STATUS DA ETAPA]],"")</f>
        <v/>
      </c>
      <c r="CI759" s="21" t="str">
        <f>IF([1]!BANCO10[[#This Row],[SOLUÇÃO]]=CI$1,[1]!BANCO10[[#This Row],[STATUS DA ETAPA]],"")</f>
        <v/>
      </c>
      <c r="CJ759" s="21" t="str">
        <f>IF([1]!BANCO10[[#This Row],[SOLUÇÃO]]=CJ$1,[1]!BANCO10[[#This Row],[STATUS DA ETAPA]],"")</f>
        <v/>
      </c>
      <c r="CK759" s="21" t="str">
        <f>IF([1]!BANCO10[[#This Row],[SOLUÇÃO]]=CK$1,[1]!BANCO10[[#This Row],[STATUS DA ETAPA]],"")</f>
        <v/>
      </c>
      <c r="CL759" s="22" t="str">
        <f>IF([1]!BANCO10[[#This Row],[SOLUÇÃO]]=CL$1,[1]!BANCO10[[#This Row],[STATUS DA ETAPA]],"")</f>
        <v/>
      </c>
      <c r="CM759" s="64" t="str">
        <f>IF([1]!BANCO10[[#This Row],[SOLUÇÃO]]=CM$1,[1]!BANCO10[[#This Row],[STATUS DA ETAPA]],"")</f>
        <v/>
      </c>
      <c r="CN759" s="64" t="str">
        <f>IF([1]!BANCO10[[#This Row],[SOLUÇÃO]]=CN$1,[1]!BANCO10[[#This Row],[STATUS DA ETAPA]],"")</f>
        <v/>
      </c>
      <c r="CO759" s="64" t="str">
        <f>IF([1]!BANCO10[[#This Row],[SOLUÇÃO]]=CO$1,[1]!BANCO10[[#This Row],[STATUS DA ETAPA]],"")</f>
        <v/>
      </c>
      <c r="CP759" s="64" t="str">
        <f>IF([1]!BANCO10[[#This Row],[SOLUÇÃO]]=CP$1,[1]!BANCO10[[#This Row],[STATUS DA ETAPA]],"")</f>
        <v/>
      </c>
      <c r="CQ759" s="64" t="str">
        <f>IF([1]!BANCO10[[#This Row],[SOLUÇÃO]]=CQ$1,[1]!BANCO10[[#This Row],[STATUS DA ETAPA]],"")</f>
        <v/>
      </c>
      <c r="CR759" s="64" t="str">
        <f>IF([1]!BANCO10[[#This Row],[SOLUÇÃO]]=CR$1,[1]!BANCO10[[#This Row],[STATUS DA ETAPA]],"")</f>
        <v/>
      </c>
      <c r="CS759" s="64" t="str">
        <f>IF([1]!BANCO10[[#This Row],[SOLUÇÃO]]=CS$1,[1]!BANCO10[[#This Row],[STATUS DA ETAPA]],"")</f>
        <v/>
      </c>
      <c r="CT759" s="64" t="str">
        <f>IF([1]!BANCO10[[#This Row],[SOLUÇÃO]]=CT$1,[1]!BANCO10[[#This Row],[STATUS DA ETAPA]],"")</f>
        <v/>
      </c>
      <c r="CU759" s="64" t="str">
        <f>IF([1]!BANCO10[[#This Row],[SOLUÇÃO]]=CU$1,[1]!BANCO10[[#This Row],[STATUS DA ETAPA]],"")</f>
        <v/>
      </c>
      <c r="CV759" s="64" t="str">
        <f>IF([1]!BANCO10[[#This Row],[SOLUÇÃO]]=CV$1,[1]!BANCO10[[#This Row],[STATUS DA ETAPA]],"")</f>
        <v/>
      </c>
    </row>
    <row r="760" spans="1:100">
      <c r="A760" s="44" t="s">
        <v>1</v>
      </c>
      <c r="B760" s="44"/>
      <c r="C760" s="44" t="s">
        <v>1</v>
      </c>
      <c r="D760" s="44"/>
      <c r="E760" s="44" t="s">
        <v>1</v>
      </c>
      <c r="F760" s="44"/>
      <c r="G760" s="44" t="s">
        <v>1</v>
      </c>
      <c r="H760" s="44"/>
      <c r="I760" s="45" t="s">
        <v>1</v>
      </c>
      <c r="J760" s="46"/>
      <c r="K760" s="45" t="s">
        <v>1</v>
      </c>
      <c r="L760" s="33"/>
      <c r="M760" s="45" t="s">
        <v>1</v>
      </c>
      <c r="N760" s="33"/>
      <c r="O760" s="44" t="s">
        <v>2</v>
      </c>
      <c r="P760" s="44">
        <v>44929</v>
      </c>
      <c r="Q760" s="44" t="s">
        <v>2</v>
      </c>
      <c r="R760" s="44">
        <v>44931</v>
      </c>
      <c r="S760" s="44" t="s">
        <v>2</v>
      </c>
      <c r="T760" s="44">
        <v>44931</v>
      </c>
      <c r="U760" s="44" t="s">
        <v>1</v>
      </c>
      <c r="V760" s="44"/>
      <c r="W760" s="44" t="s">
        <v>1</v>
      </c>
      <c r="X760" s="44"/>
      <c r="Y760" s="44" t="s">
        <v>1</v>
      </c>
      <c r="Z760" s="44"/>
      <c r="AA760" s="44" t="s">
        <v>1</v>
      </c>
      <c r="AB760" s="44"/>
      <c r="AC760" s="104">
        <v>45054</v>
      </c>
      <c r="AD760" s="103">
        <v>45306</v>
      </c>
      <c r="AE760" s="99" t="s">
        <v>2</v>
      </c>
      <c r="AF760" s="99" t="s">
        <v>2</v>
      </c>
      <c r="AG760" s="99" t="s">
        <v>5</v>
      </c>
      <c r="AH760" s="36" t="s">
        <v>1</v>
      </c>
      <c r="AI760" s="49">
        <v>0</v>
      </c>
      <c r="AJ760" s="36" t="s">
        <v>1</v>
      </c>
      <c r="AK760" s="10" t="s">
        <v>1</v>
      </c>
      <c r="AL760" s="36" t="s">
        <v>1</v>
      </c>
      <c r="AM760" s="36" t="s">
        <v>1</v>
      </c>
      <c r="AN760" s="35" t="s">
        <v>1</v>
      </c>
      <c r="AO760" s="35" t="s">
        <v>1</v>
      </c>
      <c r="AP760" s="35" t="s">
        <v>1</v>
      </c>
      <c r="AQ760" s="35" t="s">
        <v>1</v>
      </c>
      <c r="AR760" s="102" t="s">
        <v>1</v>
      </c>
      <c r="AS760" s="101"/>
      <c r="AT760" s="100"/>
      <c r="AU760" s="98"/>
      <c r="AV760" s="100"/>
      <c r="AW760" s="98"/>
      <c r="AX760" s="100" t="s">
        <v>2</v>
      </c>
      <c r="AY760" s="98">
        <v>45306</v>
      </c>
      <c r="AZ760" s="100" t="s">
        <v>1</v>
      </c>
      <c r="BA760" s="98"/>
      <c r="BB760" s="99" t="s">
        <v>123</v>
      </c>
      <c r="BC760" s="98"/>
      <c r="BD760" s="24" t="s">
        <v>11</v>
      </c>
      <c r="BE760" s="24" t="s">
        <v>11</v>
      </c>
      <c r="BF760" s="79" t="s">
        <v>19</v>
      </c>
      <c r="BG760" s="79" t="s">
        <v>11</v>
      </c>
      <c r="BH760" s="80" t="s">
        <v>19</v>
      </c>
      <c r="BI760" s="79"/>
      <c r="BJ760" s="54" t="s">
        <v>11</v>
      </c>
      <c r="BK760" s="78" t="s">
        <v>11</v>
      </c>
      <c r="BL760" s="69">
        <v>45412</v>
      </c>
      <c r="BM760" s="78" t="s">
        <v>18</v>
      </c>
      <c r="BN760" s="78" t="s">
        <v>72</v>
      </c>
      <c r="BO760" s="78"/>
      <c r="BP760" s="78" t="s">
        <v>122</v>
      </c>
      <c r="BQ760" s="21">
        <f>YEAR([1]!BANCO10[[#This Row],[DATA INÍCIO]])</f>
        <v>2023</v>
      </c>
      <c r="BR760" s="21">
        <f>MONTH([1]!BANCO10[[#This Row],[DATA INÍCIO]])</f>
        <v>5</v>
      </c>
      <c r="BS760" s="21" t="e">
        <f>CONCATENATE(#REF!,#REF!)</f>
        <v>#REF!</v>
      </c>
      <c r="BT760" s="21"/>
      <c r="BU760" s="21" t="s">
        <v>121</v>
      </c>
      <c r="BV760" s="21" t="str">
        <f>IF([1]!BANCO10[[#This Row],[SOLUÇÃO]]=BV$1,[1]!BANCO10[[#This Row],[STATUS DA ETAPA]],"")</f>
        <v/>
      </c>
      <c r="BW760" s="21" t="str">
        <f>IF([1]!BANCO10[[#This Row],[SOLUÇÃO]]=BW$1,[1]!BANCO10[[#This Row],[STATUS DA ETAPA]],"")</f>
        <v/>
      </c>
      <c r="BX760" s="21" t="str">
        <f>IF([1]!BANCO10[[#This Row],[SOLUÇÃO]]=BX$1,[1]!BANCO10[[#This Row],[STATUS DA ETAPA]],"")</f>
        <v/>
      </c>
      <c r="BY760" s="21" t="str">
        <f>IF([1]!BANCO10[[#This Row],[SOLUÇÃO]]=BY$1,[1]!BANCO10[[#This Row],[STATUS DA ETAPA]],"")</f>
        <v/>
      </c>
      <c r="BZ760" s="21" t="str">
        <f>IF([1]!BANCO10[[#This Row],[SOLUÇÃO]]=BZ$1,[1]!BANCO10[[#This Row],[STATUS DA ETAPA]],"")</f>
        <v/>
      </c>
      <c r="CA760" s="21" t="str">
        <f>IF([1]!BANCO10[[#This Row],[SOLUÇÃO]]=CA$1,[1]!BANCO10[[#This Row],[STATUS DA ETAPA]],"")</f>
        <v/>
      </c>
      <c r="CB760" s="21" t="str">
        <f>IF([1]!BANCO10[[#This Row],[SOLUÇÃO]]=CB$1,[1]!BANCO10[[#This Row],[STATUS DA ETAPA]],"")</f>
        <v/>
      </c>
      <c r="CC760" s="21" t="str">
        <f>IF([1]!BANCO10[[#This Row],[SOLUÇÃO]]=CC$1,[1]!BANCO10[[#This Row],[STATUS DA ETAPA]],"")</f>
        <v/>
      </c>
      <c r="CD760" s="21" t="str">
        <f>IF([1]!BANCO10[[#This Row],[SOLUÇÃO]]=CD$1,[1]!BANCO10[[#This Row],[STATUS DA ETAPA]],"")</f>
        <v/>
      </c>
      <c r="CE760" s="21" t="str">
        <f>IF([1]!BANCO10[[#This Row],[SOLUÇÃO]]=CE$1,[1]!BANCO10[[#This Row],[STATUS DA ETAPA]],"")</f>
        <v/>
      </c>
      <c r="CF760" s="21" t="str">
        <f>IF([1]!BANCO10[[#This Row],[SOLUÇÃO]]=CF$1,[1]!BANCO10[[#This Row],[STATUS DA ETAPA]],"")</f>
        <v/>
      </c>
      <c r="CG760" s="21" t="str">
        <f>IF([1]!BANCO10[[#This Row],[SOLUÇÃO]]=CG$1,[1]!BANCO10[[#This Row],[STATUS DA ETAPA]],"")</f>
        <v/>
      </c>
      <c r="CH760" s="21" t="str">
        <f>IF([1]!BANCO10[[#This Row],[SOLUÇÃO]]=CH$1,[1]!BANCO10[[#This Row],[STATUS DA ETAPA]],"")</f>
        <v/>
      </c>
      <c r="CI760" s="21" t="str">
        <f>IF([1]!BANCO10[[#This Row],[SOLUÇÃO]]=CI$1,[1]!BANCO10[[#This Row],[STATUS DA ETAPA]],"")</f>
        <v/>
      </c>
      <c r="CJ760" s="21" t="str">
        <f>IF([1]!BANCO10[[#This Row],[SOLUÇÃO]]=CJ$1,[1]!BANCO10[[#This Row],[STATUS DA ETAPA]],"")</f>
        <v/>
      </c>
      <c r="CK760" s="21" t="str">
        <f>IF([1]!BANCO10[[#This Row],[SOLUÇÃO]]=CK$1,[1]!BANCO10[[#This Row],[STATUS DA ETAPA]],"")</f>
        <v/>
      </c>
      <c r="CL760" s="22" t="str">
        <f>IF([1]!BANCO10[[#This Row],[SOLUÇÃO]]=CL$1,[1]!BANCO10[[#This Row],[STATUS DA ETAPA]],"")</f>
        <v/>
      </c>
      <c r="CM760" s="64" t="str">
        <f>IF([1]!BANCO10[[#This Row],[SOLUÇÃO]]=CM$1,[1]!BANCO10[[#This Row],[STATUS DA ETAPA]],"")</f>
        <v/>
      </c>
      <c r="CN760" s="64" t="str">
        <f>IF([1]!BANCO10[[#This Row],[SOLUÇÃO]]=CN$1,[1]!BANCO10[[#This Row],[STATUS DA ETAPA]],"")</f>
        <v/>
      </c>
      <c r="CO760" s="64" t="str">
        <f>IF([1]!BANCO10[[#This Row],[SOLUÇÃO]]=CO$1,[1]!BANCO10[[#This Row],[STATUS DA ETAPA]],"")</f>
        <v>CONCLUÍDO</v>
      </c>
      <c r="CP760" s="64" t="str">
        <f>IF([1]!BANCO10[[#This Row],[SOLUÇÃO]]=CP$1,[1]!BANCO10[[#This Row],[STATUS DA ETAPA]],"")</f>
        <v/>
      </c>
      <c r="CQ760" s="64" t="str">
        <f>IF([1]!BANCO10[[#This Row],[SOLUÇÃO]]=CQ$1,[1]!BANCO10[[#This Row],[STATUS DA ETAPA]],"")</f>
        <v/>
      </c>
      <c r="CR760" s="64" t="str">
        <f>IF([1]!BANCO10[[#This Row],[SOLUÇÃO]]=CR$1,[1]!BANCO10[[#This Row],[STATUS DA ETAPA]],"")</f>
        <v/>
      </c>
      <c r="CS760" s="64" t="str">
        <f>IF([1]!BANCO10[[#This Row],[SOLUÇÃO]]=CS$1,[1]!BANCO10[[#This Row],[STATUS DA ETAPA]],"")</f>
        <v/>
      </c>
      <c r="CT760" s="64" t="str">
        <f>IF([1]!BANCO10[[#This Row],[SOLUÇÃO]]=CT$1,[1]!BANCO10[[#This Row],[STATUS DA ETAPA]],"")</f>
        <v/>
      </c>
      <c r="CU760" s="64" t="str">
        <f>IF([1]!BANCO10[[#This Row],[SOLUÇÃO]]=CU$1,[1]!BANCO10[[#This Row],[STATUS DA ETAPA]],"")</f>
        <v/>
      </c>
      <c r="CV760" s="64" t="str">
        <f>IF([1]!BANCO10[[#This Row],[SOLUÇÃO]]=CV$1,[1]!BANCO10[[#This Row],[STATUS DA ETAPA]],"")</f>
        <v/>
      </c>
    </row>
    <row r="761" spans="1:100">
      <c r="A761" s="44" t="s">
        <v>1</v>
      </c>
      <c r="B761" s="44"/>
      <c r="C761" s="44" t="s">
        <v>1</v>
      </c>
      <c r="D761" s="44"/>
      <c r="E761" s="44" t="s">
        <v>1</v>
      </c>
      <c r="F761" s="44"/>
      <c r="G761" s="44" t="s">
        <v>1</v>
      </c>
      <c r="H761" s="44"/>
      <c r="I761" s="45" t="s">
        <v>1</v>
      </c>
      <c r="J761" s="46"/>
      <c r="K761" s="45" t="s">
        <v>1</v>
      </c>
      <c r="L761" s="33"/>
      <c r="M761" s="45" t="s">
        <v>1</v>
      </c>
      <c r="N761" s="33"/>
      <c r="O761" s="44" t="s">
        <v>1</v>
      </c>
      <c r="P761" s="44"/>
      <c r="Q761" s="44" t="s">
        <v>1</v>
      </c>
      <c r="R761" s="44"/>
      <c r="S761" s="44" t="s">
        <v>1</v>
      </c>
      <c r="T761" s="44"/>
      <c r="U761" s="44" t="s">
        <v>1</v>
      </c>
      <c r="V761" s="44"/>
      <c r="W761" s="44" t="s">
        <v>1</v>
      </c>
      <c r="X761" s="44"/>
      <c r="Y761" s="44" t="s">
        <v>1</v>
      </c>
      <c r="Z761" s="44"/>
      <c r="AA761" s="44" t="s">
        <v>1</v>
      </c>
      <c r="AB761" s="44"/>
      <c r="AC761" s="84">
        <v>45440</v>
      </c>
      <c r="AD761" s="83">
        <v>45440</v>
      </c>
      <c r="AE761" s="41" t="s">
        <v>1</v>
      </c>
      <c r="AF761" s="41" t="s">
        <v>1</v>
      </c>
      <c r="AG761" s="40" t="s">
        <v>5</v>
      </c>
      <c r="AH761" s="36" t="s">
        <v>1</v>
      </c>
      <c r="AI761" s="49">
        <v>0</v>
      </c>
      <c r="AJ761" s="36" t="s">
        <v>1</v>
      </c>
      <c r="AK761" s="10" t="s">
        <v>1</v>
      </c>
      <c r="AL761" s="36" t="s">
        <v>1</v>
      </c>
      <c r="AM761" s="36" t="s">
        <v>1</v>
      </c>
      <c r="AN761" s="35" t="s">
        <v>1</v>
      </c>
      <c r="AO761" s="35" t="s">
        <v>1</v>
      </c>
      <c r="AP761" s="35" t="s">
        <v>1</v>
      </c>
      <c r="AQ761" s="35" t="s">
        <v>1</v>
      </c>
      <c r="AR761" s="82" t="s">
        <v>1</v>
      </c>
      <c r="AS761" s="46"/>
      <c r="AT761" s="30"/>
      <c r="AU761" s="55"/>
      <c r="AV761" s="30"/>
      <c r="AW761" s="55"/>
      <c r="AX761" s="30" t="s">
        <v>1</v>
      </c>
      <c r="AY761" s="55"/>
      <c r="AZ761" s="30" t="s">
        <v>1</v>
      </c>
      <c r="BA761" s="55"/>
      <c r="BB761" s="39" t="s">
        <v>120</v>
      </c>
      <c r="BC761" s="25" t="s">
        <v>41</v>
      </c>
      <c r="BD761" s="24"/>
      <c r="BE761" s="24"/>
      <c r="BF761" s="79"/>
      <c r="BG761" s="79"/>
      <c r="BH761" s="80"/>
      <c r="BI761" s="79"/>
      <c r="BJ761" s="54"/>
      <c r="BK761" s="78"/>
      <c r="BL761" s="69"/>
      <c r="BM761" s="78"/>
      <c r="BN761" s="78"/>
      <c r="BO761" s="78"/>
      <c r="BP761" s="78"/>
      <c r="BQ761" s="21">
        <f>YEAR([1]!BANCO10[[#This Row],[DATA INÍCIO]])</f>
        <v>2024</v>
      </c>
      <c r="BR761" s="21">
        <f>MONTH([1]!BANCO10[[#This Row],[DATA INÍCIO]])</f>
        <v>5</v>
      </c>
      <c r="BS761" s="21" t="e">
        <f>CONCATENATE(#REF!,#REF!)</f>
        <v>#REF!</v>
      </c>
      <c r="BT761" s="21"/>
      <c r="BU761" s="21" t="s">
        <v>119</v>
      </c>
      <c r="BV761" s="21" t="str">
        <f>IF([1]!BANCO10[[#This Row],[SOLUÇÃO]]=BV$1,[1]!BANCO10[[#This Row],[STATUS DA ETAPA]],"")</f>
        <v>CONCLUÍDO</v>
      </c>
      <c r="BW761" s="21" t="str">
        <f>IF([1]!BANCO10[[#This Row],[SOLUÇÃO]]=BW$1,[1]!BANCO10[[#This Row],[STATUS DA ETAPA]],"")</f>
        <v/>
      </c>
      <c r="BX761" s="21" t="str">
        <f>IF([1]!BANCO10[[#This Row],[SOLUÇÃO]]=BX$1,[1]!BANCO10[[#This Row],[STATUS DA ETAPA]],"")</f>
        <v/>
      </c>
      <c r="BY761" s="21" t="str">
        <f>IF([1]!BANCO10[[#This Row],[SOLUÇÃO]]=BY$1,[1]!BANCO10[[#This Row],[STATUS DA ETAPA]],"")</f>
        <v/>
      </c>
      <c r="BZ761" s="21" t="str">
        <f>IF([1]!BANCO10[[#This Row],[SOLUÇÃO]]=BZ$1,[1]!BANCO10[[#This Row],[STATUS DA ETAPA]],"")</f>
        <v/>
      </c>
      <c r="CA761" s="21" t="str">
        <f>IF([1]!BANCO10[[#This Row],[SOLUÇÃO]]=CA$1,[1]!BANCO10[[#This Row],[STATUS DA ETAPA]],"")</f>
        <v/>
      </c>
      <c r="CB761" s="21" t="str">
        <f>IF([1]!BANCO10[[#This Row],[SOLUÇÃO]]=CB$1,[1]!BANCO10[[#This Row],[STATUS DA ETAPA]],"")</f>
        <v/>
      </c>
      <c r="CC761" s="21" t="str">
        <f>IF([1]!BANCO10[[#This Row],[SOLUÇÃO]]=CC$1,[1]!BANCO10[[#This Row],[STATUS DA ETAPA]],"")</f>
        <v/>
      </c>
      <c r="CD761" s="21" t="str">
        <f>IF([1]!BANCO10[[#This Row],[SOLUÇÃO]]=CD$1,[1]!BANCO10[[#This Row],[STATUS DA ETAPA]],"")</f>
        <v/>
      </c>
      <c r="CE761" s="21" t="str">
        <f>IF([1]!BANCO10[[#This Row],[SOLUÇÃO]]=CE$1,[1]!BANCO10[[#This Row],[STATUS DA ETAPA]],"")</f>
        <v/>
      </c>
      <c r="CF761" s="21" t="str">
        <f>IF([1]!BANCO10[[#This Row],[SOLUÇÃO]]=CF$1,[1]!BANCO10[[#This Row],[STATUS DA ETAPA]],"")</f>
        <v/>
      </c>
      <c r="CG761" s="21" t="str">
        <f>IF([1]!BANCO10[[#This Row],[SOLUÇÃO]]=CG$1,[1]!BANCO10[[#This Row],[STATUS DA ETAPA]],"")</f>
        <v/>
      </c>
      <c r="CH761" s="21" t="str">
        <f>IF([1]!BANCO10[[#This Row],[SOLUÇÃO]]=CH$1,[1]!BANCO10[[#This Row],[STATUS DA ETAPA]],"")</f>
        <v/>
      </c>
      <c r="CI761" s="21" t="str">
        <f>IF([1]!BANCO10[[#This Row],[SOLUÇÃO]]=CI$1,[1]!BANCO10[[#This Row],[STATUS DA ETAPA]],"")</f>
        <v/>
      </c>
      <c r="CJ761" s="21" t="str">
        <f>IF([1]!BANCO10[[#This Row],[SOLUÇÃO]]=CJ$1,[1]!BANCO10[[#This Row],[STATUS DA ETAPA]],"")</f>
        <v/>
      </c>
      <c r="CK761" s="21" t="str">
        <f>IF([1]!BANCO10[[#This Row],[SOLUÇÃO]]=CK$1,[1]!BANCO10[[#This Row],[STATUS DA ETAPA]],"")</f>
        <v/>
      </c>
      <c r="CL761" s="22" t="str">
        <f>IF([1]!BANCO10[[#This Row],[SOLUÇÃO]]=CL$1,[1]!BANCO10[[#This Row],[STATUS DA ETAPA]],"")</f>
        <v/>
      </c>
      <c r="CM761" s="64" t="str">
        <f>IF([1]!BANCO10[[#This Row],[SOLUÇÃO]]=CM$1,[1]!BANCO10[[#This Row],[STATUS DA ETAPA]],"")</f>
        <v/>
      </c>
      <c r="CN761" s="64" t="str">
        <f>IF([1]!BANCO10[[#This Row],[SOLUÇÃO]]=CN$1,[1]!BANCO10[[#This Row],[STATUS DA ETAPA]],"")</f>
        <v/>
      </c>
      <c r="CO761" s="64" t="str">
        <f>IF([1]!BANCO10[[#This Row],[SOLUÇÃO]]=CO$1,[1]!BANCO10[[#This Row],[STATUS DA ETAPA]],"")</f>
        <v/>
      </c>
      <c r="CP761" s="64" t="str">
        <f>IF([1]!BANCO10[[#This Row],[SOLUÇÃO]]=CP$1,[1]!BANCO10[[#This Row],[STATUS DA ETAPA]],"")</f>
        <v/>
      </c>
      <c r="CQ761" s="64" t="str">
        <f>IF([1]!BANCO10[[#This Row],[SOLUÇÃO]]=CQ$1,[1]!BANCO10[[#This Row],[STATUS DA ETAPA]],"")</f>
        <v/>
      </c>
      <c r="CR761" s="64" t="str">
        <f>IF([1]!BANCO10[[#This Row],[SOLUÇÃO]]=CR$1,[1]!BANCO10[[#This Row],[STATUS DA ETAPA]],"")</f>
        <v/>
      </c>
      <c r="CS761" s="64" t="str">
        <f>IF([1]!BANCO10[[#This Row],[SOLUÇÃO]]=CS$1,[1]!BANCO10[[#This Row],[STATUS DA ETAPA]],"")</f>
        <v/>
      </c>
      <c r="CT761" s="64" t="str">
        <f>IF([1]!BANCO10[[#This Row],[SOLUÇÃO]]=CT$1,[1]!BANCO10[[#This Row],[STATUS DA ETAPA]],"")</f>
        <v/>
      </c>
      <c r="CU761" s="64" t="str">
        <f>IF([1]!BANCO10[[#This Row],[SOLUÇÃO]]=CU$1,[1]!BANCO10[[#This Row],[STATUS DA ETAPA]],"")</f>
        <v/>
      </c>
      <c r="CV761" s="64" t="str">
        <f>IF([1]!BANCO10[[#This Row],[SOLUÇÃO]]=CV$1,[1]!BANCO10[[#This Row],[STATUS DA ETAPA]],"")</f>
        <v/>
      </c>
    </row>
    <row r="762" spans="1:100">
      <c r="A762" s="44" t="s">
        <v>2</v>
      </c>
      <c r="B762" s="44">
        <v>45383</v>
      </c>
      <c r="C762" s="44" t="s">
        <v>2</v>
      </c>
      <c r="D762" s="44">
        <v>45383</v>
      </c>
      <c r="E762" s="44" t="s">
        <v>2</v>
      </c>
      <c r="F762" s="44">
        <v>45383</v>
      </c>
      <c r="G762" s="44" t="s">
        <v>2</v>
      </c>
      <c r="H762" s="44">
        <v>45383</v>
      </c>
      <c r="I762" s="45" t="s">
        <v>2</v>
      </c>
      <c r="J762" s="46">
        <v>45536</v>
      </c>
      <c r="K762" s="45" t="s">
        <v>2</v>
      </c>
      <c r="L762" s="33">
        <v>45536</v>
      </c>
      <c r="M762" s="45" t="s">
        <v>2</v>
      </c>
      <c r="N762" s="33">
        <v>45536</v>
      </c>
      <c r="O762" s="44" t="s">
        <v>2</v>
      </c>
      <c r="P762" s="44">
        <v>45506</v>
      </c>
      <c r="Q762" s="44" t="s">
        <v>2</v>
      </c>
      <c r="R762" s="44">
        <v>45509</v>
      </c>
      <c r="S762" s="44" t="s">
        <v>2</v>
      </c>
      <c r="T762" s="44">
        <v>45536</v>
      </c>
      <c r="U762" s="44" t="s">
        <v>1</v>
      </c>
      <c r="V762" s="44"/>
      <c r="W762" s="44" t="s">
        <v>1</v>
      </c>
      <c r="X762" s="44"/>
      <c r="Y762" s="44" t="s">
        <v>1</v>
      </c>
      <c r="Z762" s="44"/>
      <c r="AA762" s="44" t="s">
        <v>1</v>
      </c>
      <c r="AB762" s="44"/>
      <c r="AC762" s="84">
        <v>45455</v>
      </c>
      <c r="AD762" s="83">
        <v>45656</v>
      </c>
      <c r="AE762" s="41" t="s">
        <v>2</v>
      </c>
      <c r="AF762" s="41" t="s">
        <v>2</v>
      </c>
      <c r="AG762" s="40" t="s">
        <v>5</v>
      </c>
      <c r="AH762" s="36" t="s">
        <v>0</v>
      </c>
      <c r="AI762" s="49">
        <v>0</v>
      </c>
      <c r="AJ762" s="36" t="s">
        <v>6</v>
      </c>
      <c r="AK762" s="10">
        <v>557341</v>
      </c>
      <c r="AL762" s="36" t="s">
        <v>1</v>
      </c>
      <c r="AM762" s="36" t="s">
        <v>1</v>
      </c>
      <c r="AN762" s="35" t="s">
        <v>2</v>
      </c>
      <c r="AO762" s="35" t="s">
        <v>2</v>
      </c>
      <c r="AP762" s="35" t="s">
        <v>2</v>
      </c>
      <c r="AQ762" s="35" t="s">
        <v>2</v>
      </c>
      <c r="AR762" s="33" t="s">
        <v>2</v>
      </c>
      <c r="AS762" s="33">
        <v>45626</v>
      </c>
      <c r="AT762" s="30" t="s">
        <v>1</v>
      </c>
      <c r="AU762" s="31"/>
      <c r="AV762" s="30" t="s">
        <v>1</v>
      </c>
      <c r="AW762" s="31"/>
      <c r="AX762" s="30" t="s">
        <v>2</v>
      </c>
      <c r="AY762" s="31">
        <v>45629</v>
      </c>
      <c r="AZ762" s="30" t="s">
        <v>0</v>
      </c>
      <c r="BA762" s="91"/>
      <c r="BB762" s="39"/>
      <c r="BC762" s="25" t="s">
        <v>45</v>
      </c>
      <c r="BD762" s="24"/>
      <c r="BE762" s="24"/>
      <c r="BF762" s="79"/>
      <c r="BG762" s="79"/>
      <c r="BH762" s="80"/>
      <c r="BI762" s="79"/>
      <c r="BJ762" s="54"/>
      <c r="BK762" s="78"/>
      <c r="BL762" s="69"/>
      <c r="BM762" s="78"/>
      <c r="BN762" s="78"/>
      <c r="BO762" s="78"/>
      <c r="BP762" s="78"/>
      <c r="BQ762" s="21">
        <f>YEAR([1]!BANCO10[[#This Row],[DATA INÍCIO]])</f>
        <v>2024</v>
      </c>
      <c r="BR762" s="21">
        <f>MONTH([1]!BANCO10[[#This Row],[DATA INÍCIO]])</f>
        <v>6</v>
      </c>
      <c r="BS762" s="21" t="e">
        <f>CONCATENATE(#REF!,#REF!)</f>
        <v>#REF!</v>
      </c>
      <c r="BT762" s="21"/>
      <c r="BU762" s="21" t="s">
        <v>118</v>
      </c>
      <c r="BV762" s="21" t="str">
        <f>IF([1]!BANCO10[[#This Row],[SOLUÇÃO]]=BV$1,[1]!BANCO10[[#This Row],[STATUS DA ETAPA]],"")</f>
        <v/>
      </c>
      <c r="BW762" s="21" t="str">
        <f>IF([1]!BANCO10[[#This Row],[SOLUÇÃO]]=BW$1,[1]!BANCO10[[#This Row],[STATUS DA ETAPA]],"")</f>
        <v/>
      </c>
      <c r="BX762" s="21" t="str">
        <f>IF([1]!BANCO10[[#This Row],[SOLUÇÃO]]=BX$1,[1]!BANCO10[[#This Row],[STATUS DA ETAPA]],"")</f>
        <v/>
      </c>
      <c r="BY762" s="21" t="str">
        <f>IF([1]!BANCO10[[#This Row],[SOLUÇÃO]]=BY$1,[1]!BANCO10[[#This Row],[STATUS DA ETAPA]],"")</f>
        <v/>
      </c>
      <c r="BZ762" s="21" t="str">
        <f>IF([1]!BANCO10[[#This Row],[SOLUÇÃO]]=BZ$1,[1]!BANCO10[[#This Row],[STATUS DA ETAPA]],"")</f>
        <v/>
      </c>
      <c r="CA762" s="21" t="str">
        <f>IF([1]!BANCO10[[#This Row],[SOLUÇÃO]]=CA$1,[1]!BANCO10[[#This Row],[STATUS DA ETAPA]],"")</f>
        <v/>
      </c>
      <c r="CB762" s="21" t="str">
        <f>IF([1]!BANCO10[[#This Row],[SOLUÇÃO]]=CB$1,[1]!BANCO10[[#This Row],[STATUS DA ETAPA]],"")</f>
        <v>CONCLUÍDO</v>
      </c>
      <c r="CC762" s="21" t="str">
        <f>IF([1]!BANCO10[[#This Row],[SOLUÇÃO]]=CC$1,[1]!BANCO10[[#This Row],[STATUS DA ETAPA]],"")</f>
        <v/>
      </c>
      <c r="CD762" s="21" t="str">
        <f>IF([1]!BANCO10[[#This Row],[SOLUÇÃO]]=CD$1,[1]!BANCO10[[#This Row],[STATUS DA ETAPA]],"")</f>
        <v/>
      </c>
      <c r="CE762" s="21" t="str">
        <f>IF([1]!BANCO10[[#This Row],[SOLUÇÃO]]=CE$1,[1]!BANCO10[[#This Row],[STATUS DA ETAPA]],"")</f>
        <v/>
      </c>
      <c r="CF762" s="21" t="str">
        <f>IF([1]!BANCO10[[#This Row],[SOLUÇÃO]]=CF$1,[1]!BANCO10[[#This Row],[STATUS DA ETAPA]],"")</f>
        <v/>
      </c>
      <c r="CG762" s="21" t="str">
        <f>IF([1]!BANCO10[[#This Row],[SOLUÇÃO]]=CG$1,[1]!BANCO10[[#This Row],[STATUS DA ETAPA]],"")</f>
        <v/>
      </c>
      <c r="CH762" s="21" t="str">
        <f>IF([1]!BANCO10[[#This Row],[SOLUÇÃO]]=CH$1,[1]!BANCO10[[#This Row],[STATUS DA ETAPA]],"")</f>
        <v/>
      </c>
      <c r="CI762" s="21" t="str">
        <f>IF([1]!BANCO10[[#This Row],[SOLUÇÃO]]=CI$1,[1]!BANCO10[[#This Row],[STATUS DA ETAPA]],"")</f>
        <v/>
      </c>
      <c r="CJ762" s="21" t="str">
        <f>IF([1]!BANCO10[[#This Row],[SOLUÇÃO]]=CJ$1,[1]!BANCO10[[#This Row],[STATUS DA ETAPA]],"")</f>
        <v/>
      </c>
      <c r="CK762" s="21" t="str">
        <f>IF([1]!BANCO10[[#This Row],[SOLUÇÃO]]=CK$1,[1]!BANCO10[[#This Row],[STATUS DA ETAPA]],"")</f>
        <v/>
      </c>
      <c r="CL762" s="22" t="str">
        <f>IF([1]!BANCO10[[#This Row],[SOLUÇÃO]]=CL$1,[1]!BANCO10[[#This Row],[STATUS DA ETAPA]],"")</f>
        <v/>
      </c>
      <c r="CM762" s="64" t="str">
        <f>IF([1]!BANCO10[[#This Row],[SOLUÇÃO]]=CM$1,[1]!BANCO10[[#This Row],[STATUS DA ETAPA]],"")</f>
        <v/>
      </c>
      <c r="CN762" s="64" t="str">
        <f>IF([1]!BANCO10[[#This Row],[SOLUÇÃO]]=CN$1,[1]!BANCO10[[#This Row],[STATUS DA ETAPA]],"")</f>
        <v/>
      </c>
      <c r="CO762" s="64" t="str">
        <f>IF([1]!BANCO10[[#This Row],[SOLUÇÃO]]=CO$1,[1]!BANCO10[[#This Row],[STATUS DA ETAPA]],"")</f>
        <v/>
      </c>
      <c r="CP762" s="64" t="str">
        <f>IF([1]!BANCO10[[#This Row],[SOLUÇÃO]]=CP$1,[1]!BANCO10[[#This Row],[STATUS DA ETAPA]],"")</f>
        <v/>
      </c>
      <c r="CQ762" s="64" t="str">
        <f>IF([1]!BANCO10[[#This Row],[SOLUÇÃO]]=CQ$1,[1]!BANCO10[[#This Row],[STATUS DA ETAPA]],"")</f>
        <v/>
      </c>
      <c r="CR762" s="64" t="str">
        <f>IF([1]!BANCO10[[#This Row],[SOLUÇÃO]]=CR$1,[1]!BANCO10[[#This Row],[STATUS DA ETAPA]],"")</f>
        <v/>
      </c>
      <c r="CS762" s="64" t="str">
        <f>IF([1]!BANCO10[[#This Row],[SOLUÇÃO]]=CS$1,[1]!BANCO10[[#This Row],[STATUS DA ETAPA]],"")</f>
        <v/>
      </c>
      <c r="CT762" s="64" t="str">
        <f>IF([1]!BANCO10[[#This Row],[SOLUÇÃO]]=CT$1,[1]!BANCO10[[#This Row],[STATUS DA ETAPA]],"")</f>
        <v/>
      </c>
      <c r="CU762" s="64" t="str">
        <f>IF([1]!BANCO10[[#This Row],[SOLUÇÃO]]=CU$1,[1]!BANCO10[[#This Row],[STATUS DA ETAPA]],"")</f>
        <v/>
      </c>
      <c r="CV762" s="64" t="str">
        <f>IF([1]!BANCO10[[#This Row],[SOLUÇÃO]]=CV$1,[1]!BANCO10[[#This Row],[STATUS DA ETAPA]],"")</f>
        <v/>
      </c>
    </row>
    <row r="763" spans="1:100">
      <c r="A763" s="44" t="s">
        <v>1</v>
      </c>
      <c r="B763" s="44"/>
      <c r="C763" s="44" t="s">
        <v>1</v>
      </c>
      <c r="D763" s="44"/>
      <c r="E763" s="44" t="s">
        <v>1</v>
      </c>
      <c r="F763" s="44"/>
      <c r="G763" s="44" t="s">
        <v>1</v>
      </c>
      <c r="H763" s="44"/>
      <c r="I763" s="45" t="s">
        <v>1</v>
      </c>
      <c r="J763" s="46"/>
      <c r="K763" s="45" t="s">
        <v>1</v>
      </c>
      <c r="L763" s="33"/>
      <c r="M763" s="45" t="s">
        <v>1</v>
      </c>
      <c r="N763" s="33"/>
      <c r="O763" s="44"/>
      <c r="P763" s="44"/>
      <c r="Q763" s="44" t="s">
        <v>1</v>
      </c>
      <c r="R763" s="44"/>
      <c r="S763" s="44"/>
      <c r="T763" s="44"/>
      <c r="U763" s="44"/>
      <c r="V763" s="44"/>
      <c r="W763" s="44"/>
      <c r="X763" s="44"/>
      <c r="Y763" s="44"/>
      <c r="Z763" s="44"/>
      <c r="AA763" s="44"/>
      <c r="AB763" s="44"/>
      <c r="AC763" s="84">
        <v>45636</v>
      </c>
      <c r="AD763" s="83">
        <v>45636</v>
      </c>
      <c r="AE763" s="41" t="s">
        <v>1</v>
      </c>
      <c r="AF763" s="41" t="s">
        <v>1</v>
      </c>
      <c r="AG763" s="40" t="s">
        <v>4</v>
      </c>
      <c r="AH763" s="36" t="s">
        <v>0</v>
      </c>
      <c r="AI763" s="49">
        <v>0</v>
      </c>
      <c r="AJ763" s="36" t="s">
        <v>1</v>
      </c>
      <c r="AK763" s="10" t="s">
        <v>1</v>
      </c>
      <c r="AL763" s="36" t="s">
        <v>1</v>
      </c>
      <c r="AM763" s="36" t="s">
        <v>1</v>
      </c>
      <c r="AN763" s="35" t="s">
        <v>1</v>
      </c>
      <c r="AO763" s="35" t="s">
        <v>1</v>
      </c>
      <c r="AP763" s="35" t="s">
        <v>1</v>
      </c>
      <c r="AQ763" s="35" t="s">
        <v>2</v>
      </c>
      <c r="AR763" s="34" t="s">
        <v>0</v>
      </c>
      <c r="AS763" s="46"/>
      <c r="AT763" s="30" t="s">
        <v>0</v>
      </c>
      <c r="AU763" s="31"/>
      <c r="AV763" s="30" t="s">
        <v>0</v>
      </c>
      <c r="AW763" s="31"/>
      <c r="AX763" s="30" t="s">
        <v>0</v>
      </c>
      <c r="AY763" s="29"/>
      <c r="AZ763" s="28" t="s">
        <v>0</v>
      </c>
      <c r="BA763" s="27"/>
      <c r="BB763" s="26"/>
      <c r="BC763" s="25"/>
      <c r="BD763" s="24"/>
      <c r="BE763" s="24"/>
      <c r="BF763" s="24"/>
      <c r="BG763" s="24"/>
      <c r="BH763" s="24"/>
      <c r="BI763" s="24"/>
      <c r="BJ763" s="24"/>
      <c r="BK763" s="24"/>
      <c r="BL763" s="24"/>
      <c r="BM763" s="24"/>
      <c r="BN763" s="24"/>
      <c r="BO763" s="24"/>
      <c r="BP763" s="24"/>
      <c r="BQ763" s="22">
        <f>YEAR([1]!BANCO10[[#This Row],[DATA INÍCIO]])</f>
        <v>2024</v>
      </c>
      <c r="BR763" s="22">
        <f>MONTH([1]!BANCO10[[#This Row],[DATA INÍCIO]])</f>
        <v>12</v>
      </c>
      <c r="BS763" s="23" t="e">
        <f>CONCATENATE(#REF!,#REF!)</f>
        <v>#REF!</v>
      </c>
      <c r="BT763" s="22"/>
      <c r="BU763" s="22"/>
      <c r="BV763" s="21" t="str">
        <f>IF([1]!BANCO10[[#This Row],[SOLUÇÃO]]=BV$1,[1]!BANCO10[[#This Row],[STATUS DA ETAPA]],"")</f>
        <v/>
      </c>
      <c r="BW763" s="21" t="str">
        <f>IF([1]!BANCO10[[#This Row],[SOLUÇÃO]]=BW$1,[1]!BANCO10[[#This Row],[STATUS DA ETAPA]],"")</f>
        <v/>
      </c>
      <c r="BX763" s="21" t="str">
        <f>IF([1]!BANCO10[[#This Row],[SOLUÇÃO]]=BX$1,[1]!BANCO10[[#This Row],[STATUS DA ETAPA]],"")</f>
        <v/>
      </c>
      <c r="BY763" s="21" t="str">
        <f>IF([1]!BANCO10[[#This Row],[SOLUÇÃO]]=BY$1,[1]!BANCO10[[#This Row],[STATUS DA ETAPA]],"")</f>
        <v/>
      </c>
      <c r="BZ763" s="21" t="str">
        <f>IF([1]!BANCO10[[#This Row],[SOLUÇÃO]]=BZ$1,[1]!BANCO10[[#This Row],[STATUS DA ETAPA]],"")</f>
        <v/>
      </c>
      <c r="CA763" s="21" t="str">
        <f>IF([1]!BANCO10[[#This Row],[SOLUÇÃO]]=CA$1,[1]!BANCO10[[#This Row],[STATUS DA ETAPA]],"")</f>
        <v/>
      </c>
      <c r="CB763" s="21" t="str">
        <f>IF([1]!BANCO10[[#This Row],[SOLUÇÃO]]=CB$1,[1]!BANCO10[[#This Row],[STATUS DA ETAPA]],"")</f>
        <v/>
      </c>
      <c r="CC763" s="21" t="str">
        <f>IF([1]!BANCO10[[#This Row],[SOLUÇÃO]]=CC$1,[1]!BANCO10[[#This Row],[STATUS DA ETAPA]],"")</f>
        <v/>
      </c>
      <c r="CD763" s="21" t="str">
        <f>IF([1]!BANCO10[[#This Row],[SOLUÇÃO]]=CD$1,[1]!BANCO10[[#This Row],[STATUS DA ETAPA]],"")</f>
        <v/>
      </c>
      <c r="CE763" s="21" t="str">
        <f>IF([1]!BANCO10[[#This Row],[SOLUÇÃO]]=CE$1,[1]!BANCO10[[#This Row],[STATUS DA ETAPA]],"")</f>
        <v/>
      </c>
      <c r="CF763" s="21" t="str">
        <f>IF([1]!BANCO10[[#This Row],[SOLUÇÃO]]=CF$1,[1]!BANCO10[[#This Row],[STATUS DA ETAPA]],"")</f>
        <v/>
      </c>
      <c r="CG763" s="21" t="str">
        <f>IF([1]!BANCO10[[#This Row],[SOLUÇÃO]]=CG$1,[1]!BANCO10[[#This Row],[STATUS DA ETAPA]],"")</f>
        <v/>
      </c>
      <c r="CH763" s="21" t="str">
        <f>IF([1]!BANCO10[[#This Row],[SOLUÇÃO]]=CH$1,[1]!BANCO10[[#This Row],[STATUS DA ETAPA]],"")</f>
        <v/>
      </c>
      <c r="CI763" s="21" t="str">
        <f>IF([1]!BANCO10[[#This Row],[SOLUÇÃO]]=CI$1,[1]!BANCO10[[#This Row],[STATUS DA ETAPA]],"")</f>
        <v/>
      </c>
      <c r="CJ763" s="21" t="str">
        <f>IF([1]!BANCO10[[#This Row],[SOLUÇÃO]]=CJ$1,[1]!BANCO10[[#This Row],[STATUS DA ETAPA]],"")</f>
        <v/>
      </c>
      <c r="CK763" s="21" t="str">
        <f>IF([1]!BANCO10[[#This Row],[SOLUÇÃO]]=CK$1,[1]!BANCO10[[#This Row],[STATUS DA ETAPA]],"")</f>
        <v/>
      </c>
      <c r="CL763" s="21" t="str">
        <f>IF([1]!BANCO10[[#This Row],[SOLUÇÃO]]=CL$1,[1]!BANCO10[[#This Row],[STATUS DA ETAPA]],"")</f>
        <v/>
      </c>
      <c r="CM763" s="21" t="str">
        <f>IF([1]!BANCO10[[#This Row],[SOLUÇÃO]]=CM$1,[1]!BANCO10[[#This Row],[STATUS DA ETAPA]],"")</f>
        <v/>
      </c>
      <c r="CN763" s="21" t="str">
        <f>IF([1]!BANCO10[[#This Row],[SOLUÇÃO]]=CN$1,[1]!BANCO10[[#This Row],[STATUS DA ETAPA]],"")</f>
        <v/>
      </c>
      <c r="CO763" s="21" t="str">
        <f>IF([1]!BANCO10[[#This Row],[SOLUÇÃO]]=CO$1,[1]!BANCO10[[#This Row],[STATUS DA ETAPA]],"")</f>
        <v/>
      </c>
      <c r="CP763" s="21" t="str">
        <f>IF([1]!BANCO10[[#This Row],[SOLUÇÃO]]=CP$1,[1]!BANCO10[[#This Row],[STATUS DA ETAPA]],"")</f>
        <v/>
      </c>
      <c r="CQ763" s="21" t="str">
        <f>IF([1]!BANCO10[[#This Row],[SOLUÇÃO]]=CQ$1,[1]!BANCO10[[#This Row],[STATUS DA ETAPA]],"")</f>
        <v/>
      </c>
      <c r="CR763" s="21" t="str">
        <f>IF([1]!BANCO10[[#This Row],[SOLUÇÃO]]=CR$1,[1]!BANCO10[[#This Row],[STATUS DA ETAPA]],"")</f>
        <v/>
      </c>
      <c r="CS763" s="21" t="str">
        <f>IF([1]!BANCO10[[#This Row],[SOLUÇÃO]]=CS$1,[1]!BANCO10[[#This Row],[STATUS DA ETAPA]],"")</f>
        <v/>
      </c>
      <c r="CT763" s="21" t="str">
        <f>IF([1]!BANCO10[[#This Row],[SOLUÇÃO]]=CT$1,[1]!BANCO10[[#This Row],[STATUS DA ETAPA]],"")</f>
        <v/>
      </c>
      <c r="CU763" s="21" t="str">
        <f>IF([1]!BANCO10[[#This Row],[SOLUÇÃO]]=CU$1,[1]!BANCO10[[#This Row],[STATUS DA ETAPA]],"")</f>
        <v/>
      </c>
      <c r="CV763" s="21" t="str">
        <f>IF([1]!BANCO10[[#This Row],[SOLUÇÃO]]=CV$1,[1]!BANCO10[[#This Row],[STATUS DA ETAPA]],"")</f>
        <v/>
      </c>
    </row>
    <row r="764" spans="1:100">
      <c r="A764" s="44" t="s">
        <v>1</v>
      </c>
      <c r="B764" s="44"/>
      <c r="C764" s="44" t="s">
        <v>1</v>
      </c>
      <c r="D764" s="44"/>
      <c r="E764" s="44" t="s">
        <v>1</v>
      </c>
      <c r="F764" s="44"/>
      <c r="G764" s="44" t="s">
        <v>1</v>
      </c>
      <c r="H764" s="44"/>
      <c r="I764" s="45" t="s">
        <v>1</v>
      </c>
      <c r="J764" s="46"/>
      <c r="K764" s="45" t="s">
        <v>1</v>
      </c>
      <c r="L764" s="33"/>
      <c r="M764" s="45" t="s">
        <v>1</v>
      </c>
      <c r="N764" s="33"/>
      <c r="O764" s="44" t="s">
        <v>1</v>
      </c>
      <c r="P764" s="44"/>
      <c r="Q764" s="44" t="s">
        <v>1</v>
      </c>
      <c r="R764" s="44"/>
      <c r="S764" s="44" t="s">
        <v>1</v>
      </c>
      <c r="T764" s="44"/>
      <c r="U764" s="44" t="s">
        <v>1</v>
      </c>
      <c r="V764" s="44"/>
      <c r="W764" s="44" t="s">
        <v>1</v>
      </c>
      <c r="X764" s="44"/>
      <c r="Y764" s="44" t="s">
        <v>1</v>
      </c>
      <c r="Z764" s="44"/>
      <c r="AA764" s="44" t="s">
        <v>2</v>
      </c>
      <c r="AB764" s="44"/>
      <c r="AC764" s="51">
        <v>45863</v>
      </c>
      <c r="AD764" s="50">
        <v>45919</v>
      </c>
      <c r="AE764" s="68" t="s">
        <v>2</v>
      </c>
      <c r="AF764" s="68" t="s">
        <v>2</v>
      </c>
      <c r="AG764" s="76" t="s">
        <v>4</v>
      </c>
      <c r="AH764" s="36" t="s">
        <v>0</v>
      </c>
      <c r="AI764" s="49">
        <v>0</v>
      </c>
      <c r="AJ764" s="36" t="s">
        <v>6</v>
      </c>
      <c r="AK764" s="97" t="s">
        <v>117</v>
      </c>
      <c r="AL764" s="36">
        <v>4702</v>
      </c>
      <c r="AM764" s="36">
        <v>0</v>
      </c>
      <c r="AN764" s="35" t="s">
        <v>1</v>
      </c>
      <c r="AO764" s="35" t="s">
        <v>1</v>
      </c>
      <c r="AP764" s="35" t="s">
        <v>2</v>
      </c>
      <c r="AQ764" s="35" t="s">
        <v>1</v>
      </c>
      <c r="AR764" s="34" t="s">
        <v>1</v>
      </c>
      <c r="AS764" s="33"/>
      <c r="AT764" s="32" t="s">
        <v>2</v>
      </c>
      <c r="AU764" s="96">
        <v>45923</v>
      </c>
      <c r="AV764" s="28" t="s">
        <v>0</v>
      </c>
      <c r="AW764" s="31"/>
      <c r="AX764" s="30" t="s">
        <v>0</v>
      </c>
      <c r="AY764" s="29"/>
      <c r="AZ764" s="28" t="s">
        <v>0</v>
      </c>
      <c r="BA764" s="81"/>
      <c r="BB764" s="39"/>
      <c r="BC764" s="25"/>
      <c r="BD764" s="24"/>
      <c r="BE764" s="24"/>
      <c r="BF764" s="24"/>
      <c r="BG764" s="24"/>
      <c r="BH764" s="24"/>
      <c r="BI764" s="24"/>
      <c r="BJ764" s="24"/>
      <c r="BK764" s="24"/>
      <c r="BL764" s="24"/>
      <c r="BM764" s="24"/>
      <c r="BN764" s="24"/>
      <c r="BO764" s="24"/>
      <c r="BP764" s="24"/>
      <c r="BQ764" s="22">
        <f>YEAR([1]!BANCO10[[#This Row],[DATA INÍCIO]])</f>
        <v>2025</v>
      </c>
      <c r="BR764" s="22">
        <f>MONTH([1]!BANCO10[[#This Row],[DATA INÍCIO]])</f>
        <v>7</v>
      </c>
      <c r="BS764" s="23" t="e">
        <f>CONCATENATE(#REF!,#REF!)</f>
        <v>#REF!</v>
      </c>
      <c r="BT764" s="22"/>
      <c r="BU764" s="22"/>
      <c r="BV764" s="21" t="str">
        <f>IF([1]!BANCO10[[#This Row],[SOLUÇÃO]]=BV$1,[1]!BANCO10[[#This Row],[STATUS DA ETAPA]],"")</f>
        <v/>
      </c>
      <c r="BW764" s="21" t="str">
        <f>IF([1]!BANCO10[[#This Row],[SOLUÇÃO]]=BW$1,[1]!BANCO10[[#This Row],[STATUS DA ETAPA]],"")</f>
        <v/>
      </c>
      <c r="BX764" s="21" t="str">
        <f>IF([1]!BANCO10[[#This Row],[SOLUÇÃO]]=BX$1,[1]!BANCO10[[#This Row],[STATUS DA ETAPA]],"")</f>
        <v>CONCLUÍDO</v>
      </c>
      <c r="BY764" s="21" t="str">
        <f>IF([1]!BANCO10[[#This Row],[SOLUÇÃO]]=BY$1,[1]!BANCO10[[#This Row],[STATUS DA ETAPA]],"")</f>
        <v/>
      </c>
      <c r="BZ764" s="21" t="str">
        <f>IF([1]!BANCO10[[#This Row],[SOLUÇÃO]]=BZ$1,[1]!BANCO10[[#This Row],[STATUS DA ETAPA]],"")</f>
        <v/>
      </c>
      <c r="CA764" s="21" t="str">
        <f>IF([1]!BANCO10[[#This Row],[SOLUÇÃO]]=CA$1,[1]!BANCO10[[#This Row],[STATUS DA ETAPA]],"")</f>
        <v/>
      </c>
      <c r="CB764" s="21" t="str">
        <f>IF([1]!BANCO10[[#This Row],[SOLUÇÃO]]=CB$1,[1]!BANCO10[[#This Row],[STATUS DA ETAPA]],"")</f>
        <v/>
      </c>
      <c r="CC764" s="21" t="str">
        <f>IF([1]!BANCO10[[#This Row],[SOLUÇÃO]]=CC$1,[1]!BANCO10[[#This Row],[STATUS DA ETAPA]],"")</f>
        <v/>
      </c>
      <c r="CD764" s="21" t="str">
        <f>IF([1]!BANCO10[[#This Row],[SOLUÇÃO]]=CD$1,[1]!BANCO10[[#This Row],[STATUS DA ETAPA]],"")</f>
        <v/>
      </c>
      <c r="CE764" s="21" t="str">
        <f>IF([1]!BANCO10[[#This Row],[SOLUÇÃO]]=CE$1,[1]!BANCO10[[#This Row],[STATUS DA ETAPA]],"")</f>
        <v/>
      </c>
      <c r="CF764" s="21" t="str">
        <f>IF([1]!BANCO10[[#This Row],[SOLUÇÃO]]=CF$1,[1]!BANCO10[[#This Row],[STATUS DA ETAPA]],"")</f>
        <v/>
      </c>
      <c r="CG764" s="21" t="str">
        <f>IF([1]!BANCO10[[#This Row],[SOLUÇÃO]]=CG$1,[1]!BANCO10[[#This Row],[STATUS DA ETAPA]],"")</f>
        <v/>
      </c>
      <c r="CH764" s="21" t="str">
        <f>IF([1]!BANCO10[[#This Row],[SOLUÇÃO]]=CH$1,[1]!BANCO10[[#This Row],[STATUS DA ETAPA]],"")</f>
        <v/>
      </c>
      <c r="CI764" s="21" t="str">
        <f>IF([1]!BANCO10[[#This Row],[SOLUÇÃO]]=CI$1,[1]!BANCO10[[#This Row],[STATUS DA ETAPA]],"")</f>
        <v/>
      </c>
      <c r="CJ764" s="21" t="str">
        <f>IF([1]!BANCO10[[#This Row],[SOLUÇÃO]]=CJ$1,[1]!BANCO10[[#This Row],[STATUS DA ETAPA]],"")</f>
        <v/>
      </c>
      <c r="CK764" s="21" t="str">
        <f>IF([1]!BANCO10[[#This Row],[SOLUÇÃO]]=CK$1,[1]!BANCO10[[#This Row],[STATUS DA ETAPA]],"")</f>
        <v/>
      </c>
      <c r="CL764" s="21" t="str">
        <f>IF([1]!BANCO10[[#This Row],[SOLUÇÃO]]=CL$1,[1]!BANCO10[[#This Row],[STATUS DA ETAPA]],"")</f>
        <v/>
      </c>
      <c r="CM764" s="21" t="str">
        <f>IF([1]!BANCO10[[#This Row],[SOLUÇÃO]]=CM$1,[1]!BANCO10[[#This Row],[STATUS DA ETAPA]],"")</f>
        <v/>
      </c>
      <c r="CN764" s="21" t="str">
        <f>IF([1]!BANCO10[[#This Row],[SOLUÇÃO]]=CN$1,[1]!BANCO10[[#This Row],[STATUS DA ETAPA]],"")</f>
        <v/>
      </c>
      <c r="CO764" s="21" t="str">
        <f>IF([1]!BANCO10[[#This Row],[SOLUÇÃO]]=CO$1,[1]!BANCO10[[#This Row],[STATUS DA ETAPA]],"")</f>
        <v/>
      </c>
      <c r="CP764" s="21" t="str">
        <f>IF([1]!BANCO10[[#This Row],[SOLUÇÃO]]=CP$1,[1]!BANCO10[[#This Row],[STATUS DA ETAPA]],"")</f>
        <v/>
      </c>
      <c r="CQ764" s="21" t="str">
        <f>IF([1]!BANCO10[[#This Row],[SOLUÇÃO]]=CQ$1,[1]!BANCO10[[#This Row],[STATUS DA ETAPA]],"")</f>
        <v/>
      </c>
      <c r="CR764" s="21" t="str">
        <f>IF([1]!BANCO10[[#This Row],[SOLUÇÃO]]=CR$1,[1]!BANCO10[[#This Row],[STATUS DA ETAPA]],"")</f>
        <v/>
      </c>
      <c r="CS764" s="21" t="str">
        <f>IF([1]!BANCO10[[#This Row],[SOLUÇÃO]]=CS$1,[1]!BANCO10[[#This Row],[STATUS DA ETAPA]],"")</f>
        <v/>
      </c>
      <c r="CT764" s="21" t="str">
        <f>IF([1]!BANCO10[[#This Row],[SOLUÇÃO]]=CT$1,[1]!BANCO10[[#This Row],[STATUS DA ETAPA]],"")</f>
        <v/>
      </c>
      <c r="CU764" s="21" t="str">
        <f>IF([1]!BANCO10[[#This Row],[SOLUÇÃO]]=CU$1,[1]!BANCO10[[#This Row],[STATUS DA ETAPA]],"")</f>
        <v/>
      </c>
      <c r="CV764" s="21" t="str">
        <f>IF([1]!BANCO10[[#This Row],[SOLUÇÃO]]=CV$1,[1]!BANCO10[[#This Row],[STATUS DA ETAPA]],"")</f>
        <v/>
      </c>
    </row>
    <row r="765" spans="1:100">
      <c r="A765" s="44" t="s">
        <v>1</v>
      </c>
      <c r="B765" s="44"/>
      <c r="C765" s="44" t="s">
        <v>1</v>
      </c>
      <c r="D765" s="44"/>
      <c r="E765" s="44" t="s">
        <v>1</v>
      </c>
      <c r="F765" s="44"/>
      <c r="G765" s="44" t="s">
        <v>1</v>
      </c>
      <c r="H765" s="44"/>
      <c r="I765" s="45" t="s">
        <v>1</v>
      </c>
      <c r="J765" s="46"/>
      <c r="K765" s="45" t="s">
        <v>1</v>
      </c>
      <c r="L765" s="33"/>
      <c r="M765" s="45" t="s">
        <v>1</v>
      </c>
      <c r="N765" s="33"/>
      <c r="O765" s="44" t="s">
        <v>2</v>
      </c>
      <c r="P765" s="44">
        <v>45036</v>
      </c>
      <c r="Q765" s="44" t="s">
        <v>0</v>
      </c>
      <c r="R765" s="44"/>
      <c r="S765" s="44" t="s">
        <v>1</v>
      </c>
      <c r="T765" s="44"/>
      <c r="U765" s="44" t="s">
        <v>1</v>
      </c>
      <c r="V765" s="44"/>
      <c r="W765" s="44" t="s">
        <v>1</v>
      </c>
      <c r="X765" s="44"/>
      <c r="Y765" s="44" t="s">
        <v>1</v>
      </c>
      <c r="Z765" s="44"/>
      <c r="AA765" s="44" t="s">
        <v>1</v>
      </c>
      <c r="AB765" s="44"/>
      <c r="AC765" s="51">
        <v>45033</v>
      </c>
      <c r="AD765" s="51">
        <v>45033</v>
      </c>
      <c r="AE765" s="40" t="s">
        <v>1</v>
      </c>
      <c r="AF765" s="40" t="s">
        <v>1</v>
      </c>
      <c r="AG765" s="40" t="s">
        <v>5</v>
      </c>
      <c r="AH765" s="36" t="s">
        <v>1</v>
      </c>
      <c r="AI765" s="49">
        <v>0</v>
      </c>
      <c r="AJ765" s="36" t="s">
        <v>1</v>
      </c>
      <c r="AK765" s="10" t="s">
        <v>1</v>
      </c>
      <c r="AL765" s="36" t="s">
        <v>1</v>
      </c>
      <c r="AM765" s="36" t="s">
        <v>1</v>
      </c>
      <c r="AN765" s="35" t="s">
        <v>1</v>
      </c>
      <c r="AO765" s="35" t="s">
        <v>1</v>
      </c>
      <c r="AP765" s="35" t="s">
        <v>1</v>
      </c>
      <c r="AQ765" s="35" t="s">
        <v>1</v>
      </c>
      <c r="AR765" s="48" t="s">
        <v>1</v>
      </c>
      <c r="AS765" s="33"/>
      <c r="AT765" s="30"/>
      <c r="AU765" s="55"/>
      <c r="AV765" s="30"/>
      <c r="AW765" s="55"/>
      <c r="AX765" s="30" t="s">
        <v>1</v>
      </c>
      <c r="AY765" s="55"/>
      <c r="AZ765" s="30" t="s">
        <v>1</v>
      </c>
      <c r="BA765" s="85"/>
      <c r="BB765" s="39"/>
      <c r="BC765" s="25"/>
      <c r="BD765" s="24" t="s">
        <v>11</v>
      </c>
      <c r="BE765" s="24" t="s">
        <v>11</v>
      </c>
      <c r="BF765" s="79" t="s">
        <v>11</v>
      </c>
      <c r="BG765" s="79" t="s">
        <v>11</v>
      </c>
      <c r="BH765" s="80" t="s">
        <v>19</v>
      </c>
      <c r="BI765" s="79"/>
      <c r="BJ765" s="54" t="s">
        <v>11</v>
      </c>
      <c r="BK765" s="78" t="s">
        <v>11</v>
      </c>
      <c r="BL765" s="69" t="s">
        <v>11</v>
      </c>
      <c r="BM765" s="78" t="s">
        <v>11</v>
      </c>
      <c r="BN765" s="78" t="s">
        <v>11</v>
      </c>
      <c r="BO765" s="78" t="s">
        <v>11</v>
      </c>
      <c r="BP765" s="78" t="s">
        <v>11</v>
      </c>
      <c r="BQ765" s="21">
        <f>YEAR([1]!BANCO10[[#This Row],[DATA INÍCIO]])</f>
        <v>2023</v>
      </c>
      <c r="BR765" s="21">
        <f>MONTH([1]!BANCO10[[#This Row],[DATA INÍCIO]])</f>
        <v>4</v>
      </c>
      <c r="BS765" s="21" t="e">
        <f>CONCATENATE(#REF!,#REF!)</f>
        <v>#REF!</v>
      </c>
      <c r="BT765" s="21"/>
      <c r="BU765" s="21" t="s">
        <v>116</v>
      </c>
      <c r="BV765" s="21" t="str">
        <f>IF([1]!BANCO10[[#This Row],[SOLUÇÃO]]=BV$1,[1]!BANCO10[[#This Row],[STATUS DA ETAPA]],"")</f>
        <v>CONCLUÍDO</v>
      </c>
      <c r="BW765" s="21" t="str">
        <f>IF([1]!BANCO10[[#This Row],[SOLUÇÃO]]=BW$1,[1]!BANCO10[[#This Row],[STATUS DA ETAPA]],"")</f>
        <v/>
      </c>
      <c r="BX765" s="21" t="str">
        <f>IF([1]!BANCO10[[#This Row],[SOLUÇÃO]]=BX$1,[1]!BANCO10[[#This Row],[STATUS DA ETAPA]],"")</f>
        <v/>
      </c>
      <c r="BY765" s="21" t="str">
        <f>IF([1]!BANCO10[[#This Row],[SOLUÇÃO]]=BY$1,[1]!BANCO10[[#This Row],[STATUS DA ETAPA]],"")</f>
        <v/>
      </c>
      <c r="BZ765" s="21" t="str">
        <f>IF([1]!BANCO10[[#This Row],[SOLUÇÃO]]=BZ$1,[1]!BANCO10[[#This Row],[STATUS DA ETAPA]],"")</f>
        <v/>
      </c>
      <c r="CA765" s="21" t="str">
        <f>IF([1]!BANCO10[[#This Row],[SOLUÇÃO]]=CA$1,[1]!BANCO10[[#This Row],[STATUS DA ETAPA]],"")</f>
        <v/>
      </c>
      <c r="CB765" s="21" t="str">
        <f>IF([1]!BANCO10[[#This Row],[SOLUÇÃO]]=CB$1,[1]!BANCO10[[#This Row],[STATUS DA ETAPA]],"")</f>
        <v/>
      </c>
      <c r="CC765" s="21" t="str">
        <f>IF([1]!BANCO10[[#This Row],[SOLUÇÃO]]=CC$1,[1]!BANCO10[[#This Row],[STATUS DA ETAPA]],"")</f>
        <v/>
      </c>
      <c r="CD765" s="21" t="str">
        <f>IF([1]!BANCO10[[#This Row],[SOLUÇÃO]]=CD$1,[1]!BANCO10[[#This Row],[STATUS DA ETAPA]],"")</f>
        <v/>
      </c>
      <c r="CE765" s="21" t="str">
        <f>IF([1]!BANCO10[[#This Row],[SOLUÇÃO]]=CE$1,[1]!BANCO10[[#This Row],[STATUS DA ETAPA]],"")</f>
        <v/>
      </c>
      <c r="CF765" s="21" t="str">
        <f>IF([1]!BANCO10[[#This Row],[SOLUÇÃO]]=CF$1,[1]!BANCO10[[#This Row],[STATUS DA ETAPA]],"")</f>
        <v/>
      </c>
      <c r="CG765" s="21" t="str">
        <f>IF([1]!BANCO10[[#This Row],[SOLUÇÃO]]=CG$1,[1]!BANCO10[[#This Row],[STATUS DA ETAPA]],"")</f>
        <v/>
      </c>
      <c r="CH765" s="21" t="str">
        <f>IF([1]!BANCO10[[#This Row],[SOLUÇÃO]]=CH$1,[1]!BANCO10[[#This Row],[STATUS DA ETAPA]],"")</f>
        <v/>
      </c>
      <c r="CI765" s="21" t="str">
        <f>IF([1]!BANCO10[[#This Row],[SOLUÇÃO]]=CI$1,[1]!BANCO10[[#This Row],[STATUS DA ETAPA]],"")</f>
        <v/>
      </c>
      <c r="CJ765" s="21" t="str">
        <f>IF([1]!BANCO10[[#This Row],[SOLUÇÃO]]=CJ$1,[1]!BANCO10[[#This Row],[STATUS DA ETAPA]],"")</f>
        <v/>
      </c>
      <c r="CK765" s="21" t="str">
        <f>IF([1]!BANCO10[[#This Row],[SOLUÇÃO]]=CK$1,[1]!BANCO10[[#This Row],[STATUS DA ETAPA]],"")</f>
        <v/>
      </c>
      <c r="CL765" s="22" t="str">
        <f>IF([1]!BANCO10[[#This Row],[SOLUÇÃO]]=CL$1,[1]!BANCO10[[#This Row],[STATUS DA ETAPA]],"")</f>
        <v/>
      </c>
      <c r="CM765" s="64" t="str">
        <f>IF([1]!BANCO10[[#This Row],[SOLUÇÃO]]=CM$1,[1]!BANCO10[[#This Row],[STATUS DA ETAPA]],"")</f>
        <v/>
      </c>
      <c r="CN765" s="64" t="str">
        <f>IF([1]!BANCO10[[#This Row],[SOLUÇÃO]]=CN$1,[1]!BANCO10[[#This Row],[STATUS DA ETAPA]],"")</f>
        <v/>
      </c>
      <c r="CO765" s="64" t="str">
        <f>IF([1]!BANCO10[[#This Row],[SOLUÇÃO]]=CO$1,[1]!BANCO10[[#This Row],[STATUS DA ETAPA]],"")</f>
        <v/>
      </c>
      <c r="CP765" s="64" t="str">
        <f>IF([1]!BANCO10[[#This Row],[SOLUÇÃO]]=CP$1,[1]!BANCO10[[#This Row],[STATUS DA ETAPA]],"")</f>
        <v/>
      </c>
      <c r="CQ765" s="64" t="str">
        <f>IF([1]!BANCO10[[#This Row],[SOLUÇÃO]]=CQ$1,[1]!BANCO10[[#This Row],[STATUS DA ETAPA]],"")</f>
        <v/>
      </c>
      <c r="CR765" s="64" t="str">
        <f>IF([1]!BANCO10[[#This Row],[SOLUÇÃO]]=CR$1,[1]!BANCO10[[#This Row],[STATUS DA ETAPA]],"")</f>
        <v/>
      </c>
      <c r="CS765" s="64" t="str">
        <f>IF([1]!BANCO10[[#This Row],[SOLUÇÃO]]=CS$1,[1]!BANCO10[[#This Row],[STATUS DA ETAPA]],"")</f>
        <v/>
      </c>
      <c r="CT765" s="64" t="str">
        <f>IF([1]!BANCO10[[#This Row],[SOLUÇÃO]]=CT$1,[1]!BANCO10[[#This Row],[STATUS DA ETAPA]],"")</f>
        <v/>
      </c>
      <c r="CU765" s="64" t="str">
        <f>IF([1]!BANCO10[[#This Row],[SOLUÇÃO]]=CU$1,[1]!BANCO10[[#This Row],[STATUS DA ETAPA]],"")</f>
        <v/>
      </c>
      <c r="CV765" s="64" t="str">
        <f>IF([1]!BANCO10[[#This Row],[SOLUÇÃO]]=CV$1,[1]!BANCO10[[#This Row],[STATUS DA ETAPA]],"")</f>
        <v/>
      </c>
    </row>
    <row r="766" spans="1:100">
      <c r="A766" s="44" t="s">
        <v>1</v>
      </c>
      <c r="B766" s="44"/>
      <c r="C766" s="44" t="s">
        <v>1</v>
      </c>
      <c r="D766" s="44"/>
      <c r="E766" s="44" t="s">
        <v>1</v>
      </c>
      <c r="F766" s="44"/>
      <c r="G766" s="44" t="s">
        <v>1</v>
      </c>
      <c r="H766" s="44"/>
      <c r="I766" s="45" t="s">
        <v>1</v>
      </c>
      <c r="J766" s="46"/>
      <c r="K766" s="45" t="s">
        <v>1</v>
      </c>
      <c r="L766" s="33"/>
      <c r="M766" s="45" t="s">
        <v>1</v>
      </c>
      <c r="N766" s="33"/>
      <c r="O766" s="44" t="s">
        <v>1</v>
      </c>
      <c r="P766" s="44"/>
      <c r="Q766" s="44" t="s">
        <v>1</v>
      </c>
      <c r="R766" s="44"/>
      <c r="S766" s="44" t="s">
        <v>1</v>
      </c>
      <c r="T766" s="44"/>
      <c r="U766" s="44" t="s">
        <v>1</v>
      </c>
      <c r="V766" s="44"/>
      <c r="W766" s="44" t="s">
        <v>1</v>
      </c>
      <c r="X766" s="44"/>
      <c r="Y766" s="44" t="s">
        <v>1</v>
      </c>
      <c r="Z766" s="44"/>
      <c r="AA766" s="44" t="s">
        <v>1</v>
      </c>
      <c r="AB766" s="44"/>
      <c r="AC766" s="84">
        <v>45054</v>
      </c>
      <c r="AD766" s="83">
        <v>45054</v>
      </c>
      <c r="AE766" s="40" t="s">
        <v>1</v>
      </c>
      <c r="AF766" s="40" t="s">
        <v>1</v>
      </c>
      <c r="AG766" s="76" t="s">
        <v>5</v>
      </c>
      <c r="AH766" s="36" t="s">
        <v>0</v>
      </c>
      <c r="AI766" s="49">
        <v>0</v>
      </c>
      <c r="AJ766" s="36" t="s">
        <v>1</v>
      </c>
      <c r="AK766" s="10" t="s">
        <v>1</v>
      </c>
      <c r="AL766" s="36" t="s">
        <v>1</v>
      </c>
      <c r="AM766" s="36" t="s">
        <v>1</v>
      </c>
      <c r="AN766" s="35" t="s">
        <v>1</v>
      </c>
      <c r="AO766" s="35" t="s">
        <v>1</v>
      </c>
      <c r="AP766" s="35" t="s">
        <v>1</v>
      </c>
      <c r="AQ766" s="35" t="s">
        <v>1</v>
      </c>
      <c r="AR766" s="48" t="s">
        <v>1</v>
      </c>
      <c r="AS766" s="33"/>
      <c r="AT766" s="30"/>
      <c r="AU766" s="55"/>
      <c r="AV766" s="30"/>
      <c r="AW766" s="55"/>
      <c r="AX766" s="30" t="s">
        <v>1</v>
      </c>
      <c r="AY766" s="55"/>
      <c r="AZ766" s="30" t="s">
        <v>1</v>
      </c>
      <c r="BA766" s="91"/>
      <c r="BB766" s="39" t="s">
        <v>115</v>
      </c>
      <c r="BC766" s="25"/>
      <c r="BD766" s="24" t="s">
        <v>11</v>
      </c>
      <c r="BE766" s="24" t="s">
        <v>11</v>
      </c>
      <c r="BF766" s="79" t="s">
        <v>112</v>
      </c>
      <c r="BG766" s="79" t="s">
        <v>11</v>
      </c>
      <c r="BH766" s="80" t="s">
        <v>19</v>
      </c>
      <c r="BI766" s="79"/>
      <c r="BJ766" s="54" t="s">
        <v>11</v>
      </c>
      <c r="BK766" s="78" t="s">
        <v>11</v>
      </c>
      <c r="BL766" s="69" t="s">
        <v>11</v>
      </c>
      <c r="BM766" s="78" t="s">
        <v>11</v>
      </c>
      <c r="BN766" s="78" t="s">
        <v>11</v>
      </c>
      <c r="BO766" s="78" t="s">
        <v>11</v>
      </c>
      <c r="BP766" s="78" t="s">
        <v>11</v>
      </c>
      <c r="BQ766" s="21">
        <f>YEAR([1]!BANCO10[[#This Row],[DATA INÍCIO]])</f>
        <v>2023</v>
      </c>
      <c r="BR766" s="21">
        <f>MONTH([1]!BANCO10[[#This Row],[DATA INÍCIO]])</f>
        <v>5</v>
      </c>
      <c r="BS766" s="21" t="e">
        <f>CONCATENATE(#REF!,#REF!)</f>
        <v>#REF!</v>
      </c>
      <c r="BT766" s="21"/>
      <c r="BU766" s="21" t="s">
        <v>114</v>
      </c>
      <c r="BV766" s="21" t="str">
        <f>IF([1]!BANCO10[[#This Row],[SOLUÇÃO]]=BV$1,[1]!BANCO10[[#This Row],[STATUS DA ETAPA]],"")</f>
        <v>CONCLUÍDO</v>
      </c>
      <c r="BW766" s="21" t="str">
        <f>IF([1]!BANCO10[[#This Row],[SOLUÇÃO]]=BW$1,[1]!BANCO10[[#This Row],[STATUS DA ETAPA]],"")</f>
        <v/>
      </c>
      <c r="BX766" s="21" t="str">
        <f>IF([1]!BANCO10[[#This Row],[SOLUÇÃO]]=BX$1,[1]!BANCO10[[#This Row],[STATUS DA ETAPA]],"")</f>
        <v/>
      </c>
      <c r="BY766" s="21" t="str">
        <f>IF([1]!BANCO10[[#This Row],[SOLUÇÃO]]=BY$1,[1]!BANCO10[[#This Row],[STATUS DA ETAPA]],"")</f>
        <v/>
      </c>
      <c r="BZ766" s="21" t="str">
        <f>IF([1]!BANCO10[[#This Row],[SOLUÇÃO]]=BZ$1,[1]!BANCO10[[#This Row],[STATUS DA ETAPA]],"")</f>
        <v/>
      </c>
      <c r="CA766" s="21" t="str">
        <f>IF([1]!BANCO10[[#This Row],[SOLUÇÃO]]=CA$1,[1]!BANCO10[[#This Row],[STATUS DA ETAPA]],"")</f>
        <v/>
      </c>
      <c r="CB766" s="21" t="str">
        <f>IF([1]!BANCO10[[#This Row],[SOLUÇÃO]]=CB$1,[1]!BANCO10[[#This Row],[STATUS DA ETAPA]],"")</f>
        <v/>
      </c>
      <c r="CC766" s="21" t="str">
        <f>IF([1]!BANCO10[[#This Row],[SOLUÇÃO]]=CC$1,[1]!BANCO10[[#This Row],[STATUS DA ETAPA]],"")</f>
        <v/>
      </c>
      <c r="CD766" s="21" t="str">
        <f>IF([1]!BANCO10[[#This Row],[SOLUÇÃO]]=CD$1,[1]!BANCO10[[#This Row],[STATUS DA ETAPA]],"")</f>
        <v/>
      </c>
      <c r="CE766" s="21" t="str">
        <f>IF([1]!BANCO10[[#This Row],[SOLUÇÃO]]=CE$1,[1]!BANCO10[[#This Row],[STATUS DA ETAPA]],"")</f>
        <v/>
      </c>
      <c r="CF766" s="21" t="str">
        <f>IF([1]!BANCO10[[#This Row],[SOLUÇÃO]]=CF$1,[1]!BANCO10[[#This Row],[STATUS DA ETAPA]],"")</f>
        <v/>
      </c>
      <c r="CG766" s="21" t="str">
        <f>IF([1]!BANCO10[[#This Row],[SOLUÇÃO]]=CG$1,[1]!BANCO10[[#This Row],[STATUS DA ETAPA]],"")</f>
        <v/>
      </c>
      <c r="CH766" s="21" t="str">
        <f>IF([1]!BANCO10[[#This Row],[SOLUÇÃO]]=CH$1,[1]!BANCO10[[#This Row],[STATUS DA ETAPA]],"")</f>
        <v/>
      </c>
      <c r="CI766" s="21" t="str">
        <f>IF([1]!BANCO10[[#This Row],[SOLUÇÃO]]=CI$1,[1]!BANCO10[[#This Row],[STATUS DA ETAPA]],"")</f>
        <v/>
      </c>
      <c r="CJ766" s="21" t="str">
        <f>IF([1]!BANCO10[[#This Row],[SOLUÇÃO]]=CJ$1,[1]!BANCO10[[#This Row],[STATUS DA ETAPA]],"")</f>
        <v/>
      </c>
      <c r="CK766" s="21" t="str">
        <f>IF([1]!BANCO10[[#This Row],[SOLUÇÃO]]=CK$1,[1]!BANCO10[[#This Row],[STATUS DA ETAPA]],"")</f>
        <v/>
      </c>
      <c r="CL766" s="22" t="str">
        <f>IF([1]!BANCO10[[#This Row],[SOLUÇÃO]]=CL$1,[1]!BANCO10[[#This Row],[STATUS DA ETAPA]],"")</f>
        <v/>
      </c>
      <c r="CM766" s="64" t="str">
        <f>IF([1]!BANCO10[[#This Row],[SOLUÇÃO]]=CM$1,[1]!BANCO10[[#This Row],[STATUS DA ETAPA]],"")</f>
        <v/>
      </c>
      <c r="CN766" s="64" t="str">
        <f>IF([1]!BANCO10[[#This Row],[SOLUÇÃO]]=CN$1,[1]!BANCO10[[#This Row],[STATUS DA ETAPA]],"")</f>
        <v/>
      </c>
      <c r="CO766" s="64" t="str">
        <f>IF([1]!BANCO10[[#This Row],[SOLUÇÃO]]=CO$1,[1]!BANCO10[[#This Row],[STATUS DA ETAPA]],"")</f>
        <v/>
      </c>
      <c r="CP766" s="64" t="str">
        <f>IF([1]!BANCO10[[#This Row],[SOLUÇÃO]]=CP$1,[1]!BANCO10[[#This Row],[STATUS DA ETAPA]],"")</f>
        <v/>
      </c>
      <c r="CQ766" s="64" t="str">
        <f>IF([1]!BANCO10[[#This Row],[SOLUÇÃO]]=CQ$1,[1]!BANCO10[[#This Row],[STATUS DA ETAPA]],"")</f>
        <v/>
      </c>
      <c r="CR766" s="64" t="str">
        <f>IF([1]!BANCO10[[#This Row],[SOLUÇÃO]]=CR$1,[1]!BANCO10[[#This Row],[STATUS DA ETAPA]],"")</f>
        <v/>
      </c>
      <c r="CS766" s="64" t="str">
        <f>IF([1]!BANCO10[[#This Row],[SOLUÇÃO]]=CS$1,[1]!BANCO10[[#This Row],[STATUS DA ETAPA]],"")</f>
        <v/>
      </c>
      <c r="CT766" s="64" t="str">
        <f>IF([1]!BANCO10[[#This Row],[SOLUÇÃO]]=CT$1,[1]!BANCO10[[#This Row],[STATUS DA ETAPA]],"")</f>
        <v/>
      </c>
      <c r="CU766" s="64" t="str">
        <f>IF([1]!BANCO10[[#This Row],[SOLUÇÃO]]=CU$1,[1]!BANCO10[[#This Row],[STATUS DA ETAPA]],"")</f>
        <v/>
      </c>
      <c r="CV766" s="64" t="str">
        <f>IF([1]!BANCO10[[#This Row],[SOLUÇÃO]]=CV$1,[1]!BANCO10[[#This Row],[STATUS DA ETAPA]],"")</f>
        <v/>
      </c>
    </row>
    <row r="767" spans="1:100">
      <c r="A767" s="44" t="s">
        <v>1</v>
      </c>
      <c r="B767" s="44"/>
      <c r="C767" s="44" t="s">
        <v>1</v>
      </c>
      <c r="D767" s="44"/>
      <c r="E767" s="44" t="s">
        <v>1</v>
      </c>
      <c r="F767" s="44"/>
      <c r="G767" s="44" t="s">
        <v>1</v>
      </c>
      <c r="H767" s="44"/>
      <c r="I767" s="45" t="s">
        <v>1</v>
      </c>
      <c r="J767" s="46"/>
      <c r="K767" s="45" t="s">
        <v>1</v>
      </c>
      <c r="L767" s="33"/>
      <c r="M767" s="45" t="s">
        <v>1</v>
      </c>
      <c r="N767" s="33"/>
      <c r="O767" s="44" t="s">
        <v>2</v>
      </c>
      <c r="P767" s="44">
        <v>45036</v>
      </c>
      <c r="Q767" s="44" t="s">
        <v>2</v>
      </c>
      <c r="R767" s="44">
        <v>45041</v>
      </c>
      <c r="S767" s="44" t="s">
        <v>2</v>
      </c>
      <c r="T767" s="44">
        <v>45036</v>
      </c>
      <c r="U767" s="44" t="s">
        <v>1</v>
      </c>
      <c r="V767" s="44"/>
      <c r="W767" s="44" t="s">
        <v>1</v>
      </c>
      <c r="X767" s="44"/>
      <c r="Y767" s="44" t="s">
        <v>1</v>
      </c>
      <c r="Z767" s="44"/>
      <c r="AA767" s="44" t="s">
        <v>1</v>
      </c>
      <c r="AB767" s="44"/>
      <c r="AC767" s="51">
        <v>45127</v>
      </c>
      <c r="AD767" s="51">
        <v>45254</v>
      </c>
      <c r="AE767" s="40" t="s">
        <v>2</v>
      </c>
      <c r="AF767" s="40" t="s">
        <v>2</v>
      </c>
      <c r="AG767" s="40" t="s">
        <v>5</v>
      </c>
      <c r="AH767" s="36" t="s">
        <v>0</v>
      </c>
      <c r="AI767" s="49">
        <v>0</v>
      </c>
      <c r="AJ767" s="36"/>
      <c r="AK767" s="10"/>
      <c r="AL767" s="36" t="s">
        <v>1</v>
      </c>
      <c r="AM767" s="36" t="s">
        <v>1</v>
      </c>
      <c r="AN767" s="35" t="s">
        <v>0</v>
      </c>
      <c r="AO767" s="35" t="s">
        <v>0</v>
      </c>
      <c r="AP767" s="35" t="s">
        <v>2</v>
      </c>
      <c r="AQ767" s="35" t="s">
        <v>1</v>
      </c>
      <c r="AR767" s="33" t="s">
        <v>1</v>
      </c>
      <c r="AS767" s="33"/>
      <c r="AT767" s="30"/>
      <c r="AU767" s="55"/>
      <c r="AV767" s="30"/>
      <c r="AW767" s="55"/>
      <c r="AX767" s="30" t="s">
        <v>2</v>
      </c>
      <c r="AY767" s="55">
        <v>45254</v>
      </c>
      <c r="AZ767" s="30" t="s">
        <v>2</v>
      </c>
      <c r="BA767" s="85"/>
      <c r="BB767" s="39"/>
      <c r="BC767" s="25"/>
      <c r="BD767" s="24" t="s">
        <v>11</v>
      </c>
      <c r="BE767" s="24" t="s">
        <v>11</v>
      </c>
      <c r="BF767" s="79" t="s">
        <v>11</v>
      </c>
      <c r="BG767" s="79" t="s">
        <v>11</v>
      </c>
      <c r="BH767" s="80" t="s">
        <v>19</v>
      </c>
      <c r="BI767" s="79"/>
      <c r="BJ767" s="54" t="s">
        <v>11</v>
      </c>
      <c r="BK767" s="78" t="s">
        <v>11</v>
      </c>
      <c r="BL767" s="69" t="s">
        <v>11</v>
      </c>
      <c r="BM767" s="78" t="s">
        <v>11</v>
      </c>
      <c r="BN767" s="78" t="s">
        <v>11</v>
      </c>
      <c r="BO767" s="78" t="s">
        <v>11</v>
      </c>
      <c r="BP767" s="78" t="s">
        <v>11</v>
      </c>
      <c r="BQ767" s="21">
        <f>YEAR([1]!BANCO10[[#This Row],[DATA INÍCIO]])</f>
        <v>2023</v>
      </c>
      <c r="BR767" s="21">
        <f>MONTH([1]!BANCO10[[#This Row],[DATA INÍCIO]])</f>
        <v>7</v>
      </c>
      <c r="BS767" s="21" t="e">
        <f>CONCATENATE(#REF!,#REF!)</f>
        <v>#REF!</v>
      </c>
      <c r="BT767" s="21"/>
      <c r="BU767" s="21" t="s">
        <v>113</v>
      </c>
      <c r="BV767" s="21" t="str">
        <f>IF([1]!BANCO10[[#This Row],[SOLUÇÃO]]=BV$1,[1]!BANCO10[[#This Row],[STATUS DA ETAPA]],"")</f>
        <v/>
      </c>
      <c r="BW767" s="21" t="str">
        <f>IF([1]!BANCO10[[#This Row],[SOLUÇÃO]]=BW$1,[1]!BANCO10[[#This Row],[STATUS DA ETAPA]],"")</f>
        <v/>
      </c>
      <c r="BX767" s="21" t="str">
        <f>IF([1]!BANCO10[[#This Row],[SOLUÇÃO]]=BX$1,[1]!BANCO10[[#This Row],[STATUS DA ETAPA]],"")</f>
        <v/>
      </c>
      <c r="BY767" s="21" t="str">
        <f>IF([1]!BANCO10[[#This Row],[SOLUÇÃO]]=BY$1,[1]!BANCO10[[#This Row],[STATUS DA ETAPA]],"")</f>
        <v/>
      </c>
      <c r="BZ767" s="21" t="str">
        <f>IF([1]!BANCO10[[#This Row],[SOLUÇÃO]]=BZ$1,[1]!BANCO10[[#This Row],[STATUS DA ETAPA]],"")</f>
        <v/>
      </c>
      <c r="CA767" s="21" t="str">
        <f>IF([1]!BANCO10[[#This Row],[SOLUÇÃO]]=CA$1,[1]!BANCO10[[#This Row],[STATUS DA ETAPA]],"")</f>
        <v>CONCLUÍDO</v>
      </c>
      <c r="CB767" s="21" t="str">
        <f>IF([1]!BANCO10[[#This Row],[SOLUÇÃO]]=CB$1,[1]!BANCO10[[#This Row],[STATUS DA ETAPA]],"")</f>
        <v/>
      </c>
      <c r="CC767" s="21" t="str">
        <f>IF([1]!BANCO10[[#This Row],[SOLUÇÃO]]=CC$1,[1]!BANCO10[[#This Row],[STATUS DA ETAPA]],"")</f>
        <v/>
      </c>
      <c r="CD767" s="21" t="str">
        <f>IF([1]!BANCO10[[#This Row],[SOLUÇÃO]]=CD$1,[1]!BANCO10[[#This Row],[STATUS DA ETAPA]],"")</f>
        <v/>
      </c>
      <c r="CE767" s="21" t="str">
        <f>IF([1]!BANCO10[[#This Row],[SOLUÇÃO]]=CE$1,[1]!BANCO10[[#This Row],[STATUS DA ETAPA]],"")</f>
        <v/>
      </c>
      <c r="CF767" s="21" t="str">
        <f>IF([1]!BANCO10[[#This Row],[SOLUÇÃO]]=CF$1,[1]!BANCO10[[#This Row],[STATUS DA ETAPA]],"")</f>
        <v/>
      </c>
      <c r="CG767" s="21" t="str">
        <f>IF([1]!BANCO10[[#This Row],[SOLUÇÃO]]=CG$1,[1]!BANCO10[[#This Row],[STATUS DA ETAPA]],"")</f>
        <v/>
      </c>
      <c r="CH767" s="21" t="str">
        <f>IF([1]!BANCO10[[#This Row],[SOLUÇÃO]]=CH$1,[1]!BANCO10[[#This Row],[STATUS DA ETAPA]],"")</f>
        <v/>
      </c>
      <c r="CI767" s="21" t="str">
        <f>IF([1]!BANCO10[[#This Row],[SOLUÇÃO]]=CI$1,[1]!BANCO10[[#This Row],[STATUS DA ETAPA]],"")</f>
        <v/>
      </c>
      <c r="CJ767" s="21" t="str">
        <f>IF([1]!BANCO10[[#This Row],[SOLUÇÃO]]=CJ$1,[1]!BANCO10[[#This Row],[STATUS DA ETAPA]],"")</f>
        <v/>
      </c>
      <c r="CK767" s="21" t="str">
        <f>IF([1]!BANCO10[[#This Row],[SOLUÇÃO]]=CK$1,[1]!BANCO10[[#This Row],[STATUS DA ETAPA]],"")</f>
        <v/>
      </c>
      <c r="CL767" s="22" t="str">
        <f>IF([1]!BANCO10[[#This Row],[SOLUÇÃO]]=CL$1,[1]!BANCO10[[#This Row],[STATUS DA ETAPA]],"")</f>
        <v/>
      </c>
      <c r="CM767" s="64" t="str">
        <f>IF([1]!BANCO10[[#This Row],[SOLUÇÃO]]=CM$1,[1]!BANCO10[[#This Row],[STATUS DA ETAPA]],"")</f>
        <v/>
      </c>
      <c r="CN767" s="64" t="str">
        <f>IF([1]!BANCO10[[#This Row],[SOLUÇÃO]]=CN$1,[1]!BANCO10[[#This Row],[STATUS DA ETAPA]],"")</f>
        <v/>
      </c>
      <c r="CO767" s="64" t="str">
        <f>IF([1]!BANCO10[[#This Row],[SOLUÇÃO]]=CO$1,[1]!BANCO10[[#This Row],[STATUS DA ETAPA]],"")</f>
        <v/>
      </c>
      <c r="CP767" s="64" t="str">
        <f>IF([1]!BANCO10[[#This Row],[SOLUÇÃO]]=CP$1,[1]!BANCO10[[#This Row],[STATUS DA ETAPA]],"")</f>
        <v/>
      </c>
      <c r="CQ767" s="64" t="str">
        <f>IF([1]!BANCO10[[#This Row],[SOLUÇÃO]]=CQ$1,[1]!BANCO10[[#This Row],[STATUS DA ETAPA]],"")</f>
        <v/>
      </c>
      <c r="CR767" s="64" t="str">
        <f>IF([1]!BANCO10[[#This Row],[SOLUÇÃO]]=CR$1,[1]!BANCO10[[#This Row],[STATUS DA ETAPA]],"")</f>
        <v/>
      </c>
      <c r="CS767" s="64" t="str">
        <f>IF([1]!BANCO10[[#This Row],[SOLUÇÃO]]=CS$1,[1]!BANCO10[[#This Row],[STATUS DA ETAPA]],"")</f>
        <v/>
      </c>
      <c r="CT767" s="64" t="str">
        <f>IF([1]!BANCO10[[#This Row],[SOLUÇÃO]]=CT$1,[1]!BANCO10[[#This Row],[STATUS DA ETAPA]],"")</f>
        <v/>
      </c>
      <c r="CU767" s="64" t="str">
        <f>IF([1]!BANCO10[[#This Row],[SOLUÇÃO]]=CU$1,[1]!BANCO10[[#This Row],[STATUS DA ETAPA]],"")</f>
        <v/>
      </c>
      <c r="CV767" s="64" t="str">
        <f>IF([1]!BANCO10[[#This Row],[SOLUÇÃO]]=CV$1,[1]!BANCO10[[#This Row],[STATUS DA ETAPA]],"")</f>
        <v/>
      </c>
    </row>
    <row r="768" spans="1:100">
      <c r="A768" s="44" t="s">
        <v>1</v>
      </c>
      <c r="B768" s="44"/>
      <c r="C768" s="44" t="s">
        <v>1</v>
      </c>
      <c r="D768" s="44"/>
      <c r="E768" s="44" t="s">
        <v>1</v>
      </c>
      <c r="F768" s="44"/>
      <c r="G768" s="44" t="s">
        <v>1</v>
      </c>
      <c r="H768" s="44"/>
      <c r="I768" s="45" t="s">
        <v>1</v>
      </c>
      <c r="J768" s="46"/>
      <c r="K768" s="45" t="s">
        <v>1</v>
      </c>
      <c r="L768" s="33"/>
      <c r="M768" s="45" t="s">
        <v>1</v>
      </c>
      <c r="N768" s="33"/>
      <c r="O768" s="44" t="s">
        <v>2</v>
      </c>
      <c r="P768" s="44">
        <v>45271</v>
      </c>
      <c r="Q768" s="44" t="s">
        <v>0</v>
      </c>
      <c r="R768" s="44"/>
      <c r="S768" s="44" t="s">
        <v>1</v>
      </c>
      <c r="T768" s="44"/>
      <c r="U768" s="44" t="s">
        <v>1</v>
      </c>
      <c r="V768" s="44"/>
      <c r="W768" s="44" t="s">
        <v>1</v>
      </c>
      <c r="X768" s="44"/>
      <c r="Y768" s="44" t="s">
        <v>1</v>
      </c>
      <c r="Z768" s="44"/>
      <c r="AA768" s="44" t="s">
        <v>1</v>
      </c>
      <c r="AB768" s="44"/>
      <c r="AC768" s="51">
        <v>45271</v>
      </c>
      <c r="AD768" s="51">
        <v>45271</v>
      </c>
      <c r="AE768" s="40" t="s">
        <v>1</v>
      </c>
      <c r="AF768" s="40" t="s">
        <v>1</v>
      </c>
      <c r="AG768" s="40" t="s">
        <v>5</v>
      </c>
      <c r="AH768" s="36" t="s">
        <v>0</v>
      </c>
      <c r="AI768" s="49">
        <v>0</v>
      </c>
      <c r="AJ768" s="36" t="s">
        <v>1</v>
      </c>
      <c r="AK768" s="10" t="s">
        <v>1</v>
      </c>
      <c r="AL768" s="36" t="s">
        <v>1</v>
      </c>
      <c r="AM768" s="36" t="s">
        <v>1</v>
      </c>
      <c r="AN768" s="35" t="s">
        <v>1</v>
      </c>
      <c r="AO768" s="35" t="s">
        <v>1</v>
      </c>
      <c r="AP768" s="35" t="s">
        <v>1</v>
      </c>
      <c r="AQ768" s="35" t="s">
        <v>1</v>
      </c>
      <c r="AR768" s="48" t="s">
        <v>1</v>
      </c>
      <c r="AS768" s="33"/>
      <c r="AT768" s="30"/>
      <c r="AU768" s="55"/>
      <c r="AV768" s="30"/>
      <c r="AW768" s="55"/>
      <c r="AX768" s="30" t="s">
        <v>1</v>
      </c>
      <c r="AY768" s="55"/>
      <c r="AZ768" s="30" t="s">
        <v>1</v>
      </c>
      <c r="BA768" s="85"/>
      <c r="BB768" s="39"/>
      <c r="BC768" s="25"/>
      <c r="BD768" s="24" t="s">
        <v>11</v>
      </c>
      <c r="BE768" s="24" t="s">
        <v>11</v>
      </c>
      <c r="BF768" s="79" t="s">
        <v>112</v>
      </c>
      <c r="BG768" s="79"/>
      <c r="BH768" s="80"/>
      <c r="BI768" s="79"/>
      <c r="BJ768" s="54" t="s">
        <v>11</v>
      </c>
      <c r="BK768" s="78" t="s">
        <v>11</v>
      </c>
      <c r="BL768" s="69" t="s">
        <v>11</v>
      </c>
      <c r="BM768" s="78" t="s">
        <v>11</v>
      </c>
      <c r="BN768" s="78" t="s">
        <v>11</v>
      </c>
      <c r="BO768" s="78" t="s">
        <v>11</v>
      </c>
      <c r="BP768" s="78" t="s">
        <v>11</v>
      </c>
      <c r="BQ768" s="21">
        <f>YEAR([1]!BANCO10[[#This Row],[DATA INÍCIO]])</f>
        <v>2023</v>
      </c>
      <c r="BR768" s="21">
        <f>MONTH([1]!BANCO10[[#This Row],[DATA INÍCIO]])</f>
        <v>12</v>
      </c>
      <c r="BS768" s="21" t="e">
        <f>CONCATENATE(#REF!,#REF!)</f>
        <v>#REF!</v>
      </c>
      <c r="BT768" s="21"/>
      <c r="BU768" s="21" t="s">
        <v>111</v>
      </c>
      <c r="BV768" s="21" t="str">
        <f>IF([1]!BANCO10[[#This Row],[SOLUÇÃO]]=BV$1,[1]!BANCO10[[#This Row],[STATUS DA ETAPA]],"")</f>
        <v>CONCLUÍDO</v>
      </c>
      <c r="BW768" s="21" t="str">
        <f>IF([1]!BANCO10[[#This Row],[SOLUÇÃO]]=BW$1,[1]!BANCO10[[#This Row],[STATUS DA ETAPA]],"")</f>
        <v/>
      </c>
      <c r="BX768" s="21" t="str">
        <f>IF([1]!BANCO10[[#This Row],[SOLUÇÃO]]=BX$1,[1]!BANCO10[[#This Row],[STATUS DA ETAPA]],"")</f>
        <v/>
      </c>
      <c r="BY768" s="21" t="str">
        <f>IF([1]!BANCO10[[#This Row],[SOLUÇÃO]]=BY$1,[1]!BANCO10[[#This Row],[STATUS DA ETAPA]],"")</f>
        <v/>
      </c>
      <c r="BZ768" s="21" t="str">
        <f>IF([1]!BANCO10[[#This Row],[SOLUÇÃO]]=BZ$1,[1]!BANCO10[[#This Row],[STATUS DA ETAPA]],"")</f>
        <v/>
      </c>
      <c r="CA768" s="21" t="str">
        <f>IF([1]!BANCO10[[#This Row],[SOLUÇÃO]]=CA$1,[1]!BANCO10[[#This Row],[STATUS DA ETAPA]],"")</f>
        <v/>
      </c>
      <c r="CB768" s="21" t="str">
        <f>IF([1]!BANCO10[[#This Row],[SOLUÇÃO]]=CB$1,[1]!BANCO10[[#This Row],[STATUS DA ETAPA]],"")</f>
        <v/>
      </c>
      <c r="CC768" s="21" t="str">
        <f>IF([1]!BANCO10[[#This Row],[SOLUÇÃO]]=CC$1,[1]!BANCO10[[#This Row],[STATUS DA ETAPA]],"")</f>
        <v/>
      </c>
      <c r="CD768" s="21" t="str">
        <f>IF([1]!BANCO10[[#This Row],[SOLUÇÃO]]=CD$1,[1]!BANCO10[[#This Row],[STATUS DA ETAPA]],"")</f>
        <v/>
      </c>
      <c r="CE768" s="21" t="str">
        <f>IF([1]!BANCO10[[#This Row],[SOLUÇÃO]]=CE$1,[1]!BANCO10[[#This Row],[STATUS DA ETAPA]],"")</f>
        <v/>
      </c>
      <c r="CF768" s="21" t="str">
        <f>IF([1]!BANCO10[[#This Row],[SOLUÇÃO]]=CF$1,[1]!BANCO10[[#This Row],[STATUS DA ETAPA]],"")</f>
        <v/>
      </c>
      <c r="CG768" s="21" t="str">
        <f>IF([1]!BANCO10[[#This Row],[SOLUÇÃO]]=CG$1,[1]!BANCO10[[#This Row],[STATUS DA ETAPA]],"")</f>
        <v/>
      </c>
      <c r="CH768" s="21" t="str">
        <f>IF([1]!BANCO10[[#This Row],[SOLUÇÃO]]=CH$1,[1]!BANCO10[[#This Row],[STATUS DA ETAPA]],"")</f>
        <v/>
      </c>
      <c r="CI768" s="21" t="str">
        <f>IF([1]!BANCO10[[#This Row],[SOLUÇÃO]]=CI$1,[1]!BANCO10[[#This Row],[STATUS DA ETAPA]],"")</f>
        <v/>
      </c>
      <c r="CJ768" s="21" t="str">
        <f>IF([1]!BANCO10[[#This Row],[SOLUÇÃO]]=CJ$1,[1]!BANCO10[[#This Row],[STATUS DA ETAPA]],"")</f>
        <v/>
      </c>
      <c r="CK768" s="21" t="str">
        <f>IF([1]!BANCO10[[#This Row],[SOLUÇÃO]]=CK$1,[1]!BANCO10[[#This Row],[STATUS DA ETAPA]],"")</f>
        <v/>
      </c>
      <c r="CL768" s="22" t="str">
        <f>IF([1]!BANCO10[[#This Row],[SOLUÇÃO]]=CL$1,[1]!BANCO10[[#This Row],[STATUS DA ETAPA]],"")</f>
        <v/>
      </c>
      <c r="CM768" s="64" t="str">
        <f>IF([1]!BANCO10[[#This Row],[SOLUÇÃO]]=CM$1,[1]!BANCO10[[#This Row],[STATUS DA ETAPA]],"")</f>
        <v/>
      </c>
      <c r="CN768" s="64" t="str">
        <f>IF([1]!BANCO10[[#This Row],[SOLUÇÃO]]=CN$1,[1]!BANCO10[[#This Row],[STATUS DA ETAPA]],"")</f>
        <v/>
      </c>
      <c r="CO768" s="64" t="str">
        <f>IF([1]!BANCO10[[#This Row],[SOLUÇÃO]]=CO$1,[1]!BANCO10[[#This Row],[STATUS DA ETAPA]],"")</f>
        <v/>
      </c>
      <c r="CP768" s="64" t="str">
        <f>IF([1]!BANCO10[[#This Row],[SOLUÇÃO]]=CP$1,[1]!BANCO10[[#This Row],[STATUS DA ETAPA]],"")</f>
        <v/>
      </c>
      <c r="CQ768" s="64" t="str">
        <f>IF([1]!BANCO10[[#This Row],[SOLUÇÃO]]=CQ$1,[1]!BANCO10[[#This Row],[STATUS DA ETAPA]],"")</f>
        <v/>
      </c>
      <c r="CR768" s="64" t="str">
        <f>IF([1]!BANCO10[[#This Row],[SOLUÇÃO]]=CR$1,[1]!BANCO10[[#This Row],[STATUS DA ETAPA]],"")</f>
        <v/>
      </c>
      <c r="CS768" s="64" t="str">
        <f>IF([1]!BANCO10[[#This Row],[SOLUÇÃO]]=CS$1,[1]!BANCO10[[#This Row],[STATUS DA ETAPA]],"")</f>
        <v/>
      </c>
      <c r="CT768" s="64" t="str">
        <f>IF([1]!BANCO10[[#This Row],[SOLUÇÃO]]=CT$1,[1]!BANCO10[[#This Row],[STATUS DA ETAPA]],"")</f>
        <v/>
      </c>
      <c r="CU768" s="64" t="str">
        <f>IF([1]!BANCO10[[#This Row],[SOLUÇÃO]]=CU$1,[1]!BANCO10[[#This Row],[STATUS DA ETAPA]],"")</f>
        <v/>
      </c>
      <c r="CV768" s="64" t="str">
        <f>IF([1]!BANCO10[[#This Row],[SOLUÇÃO]]=CV$1,[1]!BANCO10[[#This Row],[STATUS DA ETAPA]],"")</f>
        <v/>
      </c>
    </row>
    <row r="769" spans="1:100">
      <c r="A769" s="44" t="s">
        <v>1</v>
      </c>
      <c r="B769" s="44"/>
      <c r="C769" s="44" t="s">
        <v>1</v>
      </c>
      <c r="D769" s="44"/>
      <c r="E769" s="44" t="s">
        <v>1</v>
      </c>
      <c r="F769" s="44"/>
      <c r="G769" s="44" t="s">
        <v>1</v>
      </c>
      <c r="H769" s="44"/>
      <c r="I769" s="45" t="s">
        <v>1</v>
      </c>
      <c r="J769" s="46"/>
      <c r="K769" s="45" t="s">
        <v>1</v>
      </c>
      <c r="L769" s="33"/>
      <c r="M769" s="45" t="s">
        <v>1</v>
      </c>
      <c r="N769" s="33"/>
      <c r="O769" s="44" t="s">
        <v>2</v>
      </c>
      <c r="P769" s="44">
        <v>45310</v>
      </c>
      <c r="Q769" s="44" t="s">
        <v>1</v>
      </c>
      <c r="R769" s="44"/>
      <c r="S769" s="44" t="s">
        <v>1</v>
      </c>
      <c r="T769" s="44"/>
      <c r="U769" s="44" t="s">
        <v>1</v>
      </c>
      <c r="V769" s="44"/>
      <c r="W769" s="44" t="s">
        <v>1</v>
      </c>
      <c r="X769" s="44"/>
      <c r="Y769" s="44" t="s">
        <v>1</v>
      </c>
      <c r="Z769" s="44"/>
      <c r="AA769" s="44" t="s">
        <v>1</v>
      </c>
      <c r="AB769" s="44"/>
      <c r="AC769" s="51">
        <v>45322</v>
      </c>
      <c r="AD769" s="50">
        <v>45626</v>
      </c>
      <c r="AE769" s="40" t="s">
        <v>2</v>
      </c>
      <c r="AF769" s="41" t="s">
        <v>2</v>
      </c>
      <c r="AG769" s="40" t="s">
        <v>5</v>
      </c>
      <c r="AH769" s="36" t="s">
        <v>0</v>
      </c>
      <c r="AI769" s="49">
        <v>0</v>
      </c>
      <c r="AJ769" s="36" t="s">
        <v>6</v>
      </c>
      <c r="AK769" s="10">
        <v>0</v>
      </c>
      <c r="AL769" s="36">
        <v>0</v>
      </c>
      <c r="AM769" s="36">
        <v>0</v>
      </c>
      <c r="AN769" s="35" t="s">
        <v>1</v>
      </c>
      <c r="AO769" s="35" t="s">
        <v>1</v>
      </c>
      <c r="AP769" s="35" t="s">
        <v>2</v>
      </c>
      <c r="AQ769" s="35" t="s">
        <v>1</v>
      </c>
      <c r="AR769" s="33" t="s">
        <v>1</v>
      </c>
      <c r="AS769" s="33"/>
      <c r="AT769" s="30"/>
      <c r="AU769" s="55"/>
      <c r="AV769" s="30"/>
      <c r="AW769" s="55"/>
      <c r="AX769" s="30" t="s">
        <v>2</v>
      </c>
      <c r="AY769" s="55">
        <v>45626</v>
      </c>
      <c r="AZ769" s="30" t="s">
        <v>0</v>
      </c>
      <c r="BA769" s="91"/>
      <c r="BB769" s="39" t="s">
        <v>110</v>
      </c>
      <c r="BC769" s="25" t="s">
        <v>31</v>
      </c>
      <c r="BD769" s="24"/>
      <c r="BE769" s="24"/>
      <c r="BF769" s="79"/>
      <c r="BG769" s="79"/>
      <c r="BH769" s="80"/>
      <c r="BI769" s="79"/>
      <c r="BJ769" s="54" t="s">
        <v>11</v>
      </c>
      <c r="BK769" s="78" t="s">
        <v>11</v>
      </c>
      <c r="BL769" s="69" t="s">
        <v>11</v>
      </c>
      <c r="BM769" s="78" t="s">
        <v>11</v>
      </c>
      <c r="BN769" s="78" t="s">
        <v>11</v>
      </c>
      <c r="BO769" s="78" t="s">
        <v>11</v>
      </c>
      <c r="BP769" s="78" t="s">
        <v>11</v>
      </c>
      <c r="BQ769" s="21">
        <f>YEAR([1]!BANCO10[[#This Row],[DATA INÍCIO]])</f>
        <v>2024</v>
      </c>
      <c r="BR769" s="21">
        <f>MONTH([1]!BANCO10[[#This Row],[DATA INÍCIO]])</f>
        <v>1</v>
      </c>
      <c r="BS769" s="21" t="e">
        <f>CONCATENATE(#REF!,#REF!)</f>
        <v>#REF!</v>
      </c>
      <c r="BT769" s="21"/>
      <c r="BU769" s="21" t="s">
        <v>109</v>
      </c>
      <c r="BV769" s="21" t="str">
        <f>IF([1]!BANCO10[[#This Row],[SOLUÇÃO]]=BV$1,[1]!BANCO10[[#This Row],[STATUS DA ETAPA]],"")</f>
        <v/>
      </c>
      <c r="BW769" s="21" t="str">
        <f>IF([1]!BANCO10[[#This Row],[SOLUÇÃO]]=BW$1,[1]!BANCO10[[#This Row],[STATUS DA ETAPA]],"")</f>
        <v/>
      </c>
      <c r="BX769" s="21" t="str">
        <f>IF([1]!BANCO10[[#This Row],[SOLUÇÃO]]=BX$1,[1]!BANCO10[[#This Row],[STATUS DA ETAPA]],"")</f>
        <v/>
      </c>
      <c r="BY769" s="21" t="str">
        <f>IF([1]!BANCO10[[#This Row],[SOLUÇÃO]]=BY$1,[1]!BANCO10[[#This Row],[STATUS DA ETAPA]],"")</f>
        <v/>
      </c>
      <c r="BZ769" s="21" t="str">
        <f>IF([1]!BANCO10[[#This Row],[SOLUÇÃO]]=BZ$1,[1]!BANCO10[[#This Row],[STATUS DA ETAPA]],"")</f>
        <v/>
      </c>
      <c r="CA769" s="21" t="str">
        <f>IF([1]!BANCO10[[#This Row],[SOLUÇÃO]]=CA$1,[1]!BANCO10[[#This Row],[STATUS DA ETAPA]],"")</f>
        <v/>
      </c>
      <c r="CB769" s="21" t="str">
        <f>IF([1]!BANCO10[[#This Row],[SOLUÇÃO]]=CB$1,[1]!BANCO10[[#This Row],[STATUS DA ETAPA]],"")</f>
        <v/>
      </c>
      <c r="CC769" s="21" t="str">
        <f>IF([1]!BANCO10[[#This Row],[SOLUÇÃO]]=CC$1,[1]!BANCO10[[#This Row],[STATUS DA ETAPA]],"")</f>
        <v/>
      </c>
      <c r="CD769" s="21" t="str">
        <f>IF([1]!BANCO10[[#This Row],[SOLUÇÃO]]=CD$1,[1]!BANCO10[[#This Row],[STATUS DA ETAPA]],"")</f>
        <v/>
      </c>
      <c r="CE769" s="21" t="str">
        <f>IF([1]!BANCO10[[#This Row],[SOLUÇÃO]]=CE$1,[1]!BANCO10[[#This Row],[STATUS DA ETAPA]],"")</f>
        <v/>
      </c>
      <c r="CF769" s="21" t="str">
        <f>IF([1]!BANCO10[[#This Row],[SOLUÇÃO]]=CF$1,[1]!BANCO10[[#This Row],[STATUS DA ETAPA]],"")</f>
        <v/>
      </c>
      <c r="CG769" s="21" t="str">
        <f>IF([1]!BANCO10[[#This Row],[SOLUÇÃO]]=CG$1,[1]!BANCO10[[#This Row],[STATUS DA ETAPA]],"")</f>
        <v/>
      </c>
      <c r="CH769" s="21" t="str">
        <f>IF([1]!BANCO10[[#This Row],[SOLUÇÃO]]=CH$1,[1]!BANCO10[[#This Row],[STATUS DA ETAPA]],"")</f>
        <v/>
      </c>
      <c r="CI769" s="21" t="str">
        <f>IF([1]!BANCO10[[#This Row],[SOLUÇÃO]]=CI$1,[1]!BANCO10[[#This Row],[STATUS DA ETAPA]],"")</f>
        <v/>
      </c>
      <c r="CJ769" s="21" t="str">
        <f>IF([1]!BANCO10[[#This Row],[SOLUÇÃO]]=CJ$1,[1]!BANCO10[[#This Row],[STATUS DA ETAPA]],"")</f>
        <v/>
      </c>
      <c r="CK769" s="21" t="str">
        <f>IF([1]!BANCO10[[#This Row],[SOLUÇÃO]]=CK$1,[1]!BANCO10[[#This Row],[STATUS DA ETAPA]],"")</f>
        <v/>
      </c>
      <c r="CL769" s="22" t="str">
        <f>IF([1]!BANCO10[[#This Row],[SOLUÇÃO]]=CL$1,[1]!BANCO10[[#This Row],[STATUS DA ETAPA]],"")</f>
        <v/>
      </c>
      <c r="CM769" s="64" t="str">
        <f>IF([1]!BANCO10[[#This Row],[SOLUÇÃO]]=CM$1,[1]!BANCO10[[#This Row],[STATUS DA ETAPA]],"")</f>
        <v/>
      </c>
      <c r="CN769" s="64" t="str">
        <f>IF([1]!BANCO10[[#This Row],[SOLUÇÃO]]=CN$1,[1]!BANCO10[[#This Row],[STATUS DA ETAPA]],"")</f>
        <v/>
      </c>
      <c r="CO769" s="64" t="str">
        <f>IF([1]!BANCO10[[#This Row],[SOLUÇÃO]]=CO$1,[1]!BANCO10[[#This Row],[STATUS DA ETAPA]],"")</f>
        <v>CONCLUÍDO</v>
      </c>
      <c r="CP769" s="64" t="str">
        <f>IF([1]!BANCO10[[#This Row],[SOLUÇÃO]]=CP$1,[1]!BANCO10[[#This Row],[STATUS DA ETAPA]],"")</f>
        <v/>
      </c>
      <c r="CQ769" s="64" t="str">
        <f>IF([1]!BANCO10[[#This Row],[SOLUÇÃO]]=CQ$1,[1]!BANCO10[[#This Row],[STATUS DA ETAPA]],"")</f>
        <v/>
      </c>
      <c r="CR769" s="64" t="str">
        <f>IF([1]!BANCO10[[#This Row],[SOLUÇÃO]]=CR$1,[1]!BANCO10[[#This Row],[STATUS DA ETAPA]],"")</f>
        <v/>
      </c>
      <c r="CS769" s="64" t="str">
        <f>IF([1]!BANCO10[[#This Row],[SOLUÇÃO]]=CS$1,[1]!BANCO10[[#This Row],[STATUS DA ETAPA]],"")</f>
        <v/>
      </c>
      <c r="CT769" s="64" t="str">
        <f>IF([1]!BANCO10[[#This Row],[SOLUÇÃO]]=CT$1,[1]!BANCO10[[#This Row],[STATUS DA ETAPA]],"")</f>
        <v/>
      </c>
      <c r="CU769" s="64" t="str">
        <f>IF([1]!BANCO10[[#This Row],[SOLUÇÃO]]=CU$1,[1]!BANCO10[[#This Row],[STATUS DA ETAPA]],"")</f>
        <v/>
      </c>
      <c r="CV769" s="64" t="str">
        <f>IF([1]!BANCO10[[#This Row],[SOLUÇÃO]]=CV$1,[1]!BANCO10[[#This Row],[STATUS DA ETAPA]],"")</f>
        <v/>
      </c>
    </row>
    <row r="770" spans="1:100">
      <c r="A770" s="44" t="s">
        <v>1</v>
      </c>
      <c r="B770" s="44"/>
      <c r="C770" s="44" t="s">
        <v>1</v>
      </c>
      <c r="D770" s="44"/>
      <c r="E770" s="44" t="s">
        <v>1</v>
      </c>
      <c r="F770" s="44"/>
      <c r="G770" s="44" t="s">
        <v>1</v>
      </c>
      <c r="H770" s="44"/>
      <c r="I770" s="45" t="s">
        <v>1</v>
      </c>
      <c r="J770" s="46"/>
      <c r="K770" s="45" t="s">
        <v>1</v>
      </c>
      <c r="L770" s="33"/>
      <c r="M770" s="45" t="s">
        <v>1</v>
      </c>
      <c r="N770" s="33"/>
      <c r="O770" s="44" t="s">
        <v>1</v>
      </c>
      <c r="P770" s="44"/>
      <c r="Q770" s="44" t="s">
        <v>1</v>
      </c>
      <c r="R770" s="44"/>
      <c r="S770" s="44" t="s">
        <v>1</v>
      </c>
      <c r="T770" s="44"/>
      <c r="U770" s="44" t="s">
        <v>1</v>
      </c>
      <c r="V770" s="44"/>
      <c r="W770" s="44" t="s">
        <v>1</v>
      </c>
      <c r="X770" s="44"/>
      <c r="Y770" s="44" t="s">
        <v>1</v>
      </c>
      <c r="Z770" s="44"/>
      <c r="AA770" s="44" t="s">
        <v>1</v>
      </c>
      <c r="AB770" s="44"/>
      <c r="AC770" s="51">
        <v>45427</v>
      </c>
      <c r="AD770" s="50">
        <v>45602</v>
      </c>
      <c r="AE770" s="40" t="s">
        <v>2</v>
      </c>
      <c r="AF770" s="41" t="s">
        <v>2</v>
      </c>
      <c r="AG770" s="40" t="s">
        <v>5</v>
      </c>
      <c r="AH770" s="36" t="s">
        <v>0</v>
      </c>
      <c r="AI770" s="49">
        <v>0</v>
      </c>
      <c r="AJ770" s="36" t="s">
        <v>6</v>
      </c>
      <c r="AK770" s="10" t="s">
        <v>1</v>
      </c>
      <c r="AL770" s="36" t="s">
        <v>1</v>
      </c>
      <c r="AM770" s="36" t="s">
        <v>1</v>
      </c>
      <c r="AN770" s="35" t="s">
        <v>1</v>
      </c>
      <c r="AO770" s="35" t="s">
        <v>1</v>
      </c>
      <c r="AP770" s="35" t="s">
        <v>2</v>
      </c>
      <c r="AQ770" s="35" t="s">
        <v>1</v>
      </c>
      <c r="AR770" s="33" t="s">
        <v>1</v>
      </c>
      <c r="AS770" s="33"/>
      <c r="AT770" s="30"/>
      <c r="AU770" s="55"/>
      <c r="AV770" s="30"/>
      <c r="AW770" s="55"/>
      <c r="AX770" s="30" t="s">
        <v>2</v>
      </c>
      <c r="AY770" s="55">
        <v>45649</v>
      </c>
      <c r="AZ770" s="30" t="s">
        <v>0</v>
      </c>
      <c r="BA770" s="91"/>
      <c r="BB770" s="39"/>
      <c r="BC770" s="25"/>
      <c r="BD770" s="24"/>
      <c r="BE770" s="24"/>
      <c r="BF770" s="79"/>
      <c r="BG770" s="79"/>
      <c r="BH770" s="80"/>
      <c r="BI770" s="79"/>
      <c r="BJ770" s="54" t="s">
        <v>11</v>
      </c>
      <c r="BK770" s="78" t="s">
        <v>11</v>
      </c>
      <c r="BL770" s="69">
        <v>45389</v>
      </c>
      <c r="BM770" s="78" t="s">
        <v>11</v>
      </c>
      <c r="BN770" s="78" t="s">
        <v>11</v>
      </c>
      <c r="BO770" s="78" t="s">
        <v>11</v>
      </c>
      <c r="BP770" s="78" t="s">
        <v>108</v>
      </c>
      <c r="BQ770" s="21">
        <f>YEAR([1]!BANCO10[[#This Row],[DATA INÍCIO]])</f>
        <v>2024</v>
      </c>
      <c r="BR770" s="21">
        <f>MONTH([1]!BANCO10[[#This Row],[DATA INÍCIO]])</f>
        <v>5</v>
      </c>
      <c r="BS770" s="21" t="e">
        <f>CONCATENATE(#REF!,#REF!)</f>
        <v>#REF!</v>
      </c>
      <c r="BT770" s="21"/>
      <c r="BU770" s="21" t="s">
        <v>107</v>
      </c>
      <c r="BV770" s="21" t="str">
        <f>IF([1]!BANCO10[[#This Row],[SOLUÇÃO]]=BV$1,[1]!BANCO10[[#This Row],[STATUS DA ETAPA]],"")</f>
        <v/>
      </c>
      <c r="BW770" s="21" t="str">
        <f>IF([1]!BANCO10[[#This Row],[SOLUÇÃO]]=BW$1,[1]!BANCO10[[#This Row],[STATUS DA ETAPA]],"")</f>
        <v/>
      </c>
      <c r="BX770" s="21" t="str">
        <f>IF([1]!BANCO10[[#This Row],[SOLUÇÃO]]=BX$1,[1]!BANCO10[[#This Row],[STATUS DA ETAPA]],"")</f>
        <v/>
      </c>
      <c r="BY770" s="21" t="str">
        <f>IF([1]!BANCO10[[#This Row],[SOLUÇÃO]]=BY$1,[1]!BANCO10[[#This Row],[STATUS DA ETAPA]],"")</f>
        <v/>
      </c>
      <c r="BZ770" s="21" t="str">
        <f>IF([1]!BANCO10[[#This Row],[SOLUÇÃO]]=BZ$1,[1]!BANCO10[[#This Row],[STATUS DA ETAPA]],"")</f>
        <v/>
      </c>
      <c r="CA770" s="21" t="str">
        <f>IF([1]!BANCO10[[#This Row],[SOLUÇÃO]]=CA$1,[1]!BANCO10[[#This Row],[STATUS DA ETAPA]],"")</f>
        <v/>
      </c>
      <c r="CB770" s="21" t="str">
        <f>IF([1]!BANCO10[[#This Row],[SOLUÇÃO]]=CB$1,[1]!BANCO10[[#This Row],[STATUS DA ETAPA]],"")</f>
        <v>CONCLUÍDO</v>
      </c>
      <c r="CC770" s="21" t="str">
        <f>IF([1]!BANCO10[[#This Row],[SOLUÇÃO]]=CC$1,[1]!BANCO10[[#This Row],[STATUS DA ETAPA]],"")</f>
        <v/>
      </c>
      <c r="CD770" s="21" t="str">
        <f>IF([1]!BANCO10[[#This Row],[SOLUÇÃO]]=CD$1,[1]!BANCO10[[#This Row],[STATUS DA ETAPA]],"")</f>
        <v/>
      </c>
      <c r="CE770" s="21" t="str">
        <f>IF([1]!BANCO10[[#This Row],[SOLUÇÃO]]=CE$1,[1]!BANCO10[[#This Row],[STATUS DA ETAPA]],"")</f>
        <v/>
      </c>
      <c r="CF770" s="21" t="str">
        <f>IF([1]!BANCO10[[#This Row],[SOLUÇÃO]]=CF$1,[1]!BANCO10[[#This Row],[STATUS DA ETAPA]],"")</f>
        <v/>
      </c>
      <c r="CG770" s="21" t="str">
        <f>IF([1]!BANCO10[[#This Row],[SOLUÇÃO]]=CG$1,[1]!BANCO10[[#This Row],[STATUS DA ETAPA]],"")</f>
        <v/>
      </c>
      <c r="CH770" s="21" t="str">
        <f>IF([1]!BANCO10[[#This Row],[SOLUÇÃO]]=CH$1,[1]!BANCO10[[#This Row],[STATUS DA ETAPA]],"")</f>
        <v/>
      </c>
      <c r="CI770" s="21" t="str">
        <f>IF([1]!BANCO10[[#This Row],[SOLUÇÃO]]=CI$1,[1]!BANCO10[[#This Row],[STATUS DA ETAPA]],"")</f>
        <v/>
      </c>
      <c r="CJ770" s="21" t="str">
        <f>IF([1]!BANCO10[[#This Row],[SOLUÇÃO]]=CJ$1,[1]!BANCO10[[#This Row],[STATUS DA ETAPA]],"")</f>
        <v/>
      </c>
      <c r="CK770" s="21" t="str">
        <f>IF([1]!BANCO10[[#This Row],[SOLUÇÃO]]=CK$1,[1]!BANCO10[[#This Row],[STATUS DA ETAPA]],"")</f>
        <v/>
      </c>
      <c r="CL770" s="22" t="str">
        <f>IF([1]!BANCO10[[#This Row],[SOLUÇÃO]]=CL$1,[1]!BANCO10[[#This Row],[STATUS DA ETAPA]],"")</f>
        <v/>
      </c>
      <c r="CM770" s="64" t="str">
        <f>IF([1]!BANCO10[[#This Row],[SOLUÇÃO]]=CM$1,[1]!BANCO10[[#This Row],[STATUS DA ETAPA]],"")</f>
        <v/>
      </c>
      <c r="CN770" s="64" t="str">
        <f>IF([1]!BANCO10[[#This Row],[SOLUÇÃO]]=CN$1,[1]!BANCO10[[#This Row],[STATUS DA ETAPA]],"")</f>
        <v/>
      </c>
      <c r="CO770" s="64" t="str">
        <f>IF([1]!BANCO10[[#This Row],[SOLUÇÃO]]=CO$1,[1]!BANCO10[[#This Row],[STATUS DA ETAPA]],"")</f>
        <v/>
      </c>
      <c r="CP770" s="64" t="str">
        <f>IF([1]!BANCO10[[#This Row],[SOLUÇÃO]]=CP$1,[1]!BANCO10[[#This Row],[STATUS DA ETAPA]],"")</f>
        <v/>
      </c>
      <c r="CQ770" s="64" t="str">
        <f>IF([1]!BANCO10[[#This Row],[SOLUÇÃO]]=CQ$1,[1]!BANCO10[[#This Row],[STATUS DA ETAPA]],"")</f>
        <v/>
      </c>
      <c r="CR770" s="64" t="str">
        <f>IF([1]!BANCO10[[#This Row],[SOLUÇÃO]]=CR$1,[1]!BANCO10[[#This Row],[STATUS DA ETAPA]],"")</f>
        <v/>
      </c>
      <c r="CS770" s="64" t="str">
        <f>IF([1]!BANCO10[[#This Row],[SOLUÇÃO]]=CS$1,[1]!BANCO10[[#This Row],[STATUS DA ETAPA]],"")</f>
        <v/>
      </c>
      <c r="CT770" s="64" t="str">
        <f>IF([1]!BANCO10[[#This Row],[SOLUÇÃO]]=CT$1,[1]!BANCO10[[#This Row],[STATUS DA ETAPA]],"")</f>
        <v/>
      </c>
      <c r="CU770" s="64" t="str">
        <f>IF([1]!BANCO10[[#This Row],[SOLUÇÃO]]=CU$1,[1]!BANCO10[[#This Row],[STATUS DA ETAPA]],"")</f>
        <v/>
      </c>
      <c r="CV770" s="64" t="str">
        <f>IF([1]!BANCO10[[#This Row],[SOLUÇÃO]]=CV$1,[1]!BANCO10[[#This Row],[STATUS DA ETAPA]],"")</f>
        <v/>
      </c>
    </row>
    <row r="771" spans="1:100">
      <c r="A771" s="44" t="s">
        <v>1</v>
      </c>
      <c r="B771" s="44"/>
      <c r="C771" s="44" t="s">
        <v>1</v>
      </c>
      <c r="D771" s="44"/>
      <c r="E771" s="44" t="s">
        <v>1</v>
      </c>
      <c r="F771" s="44"/>
      <c r="G771" s="44" t="s">
        <v>1</v>
      </c>
      <c r="H771" s="44"/>
      <c r="I771" s="45" t="s">
        <v>1</v>
      </c>
      <c r="J771" s="46"/>
      <c r="K771" s="45" t="s">
        <v>1</v>
      </c>
      <c r="L771" s="33"/>
      <c r="M771" s="45" t="s">
        <v>1</v>
      </c>
      <c r="N771" s="33"/>
      <c r="O771" s="44" t="s">
        <v>1</v>
      </c>
      <c r="P771" s="44"/>
      <c r="Q771" s="44" t="s">
        <v>1</v>
      </c>
      <c r="R771" s="44"/>
      <c r="S771" s="44" t="s">
        <v>1</v>
      </c>
      <c r="T771" s="44"/>
      <c r="U771" s="44" t="s">
        <v>1</v>
      </c>
      <c r="V771" s="44"/>
      <c r="W771" s="44" t="s">
        <v>1</v>
      </c>
      <c r="X771" s="44"/>
      <c r="Y771" s="44" t="s">
        <v>1</v>
      </c>
      <c r="Z771" s="44"/>
      <c r="AA771" s="44" t="s">
        <v>1</v>
      </c>
      <c r="AB771" s="44"/>
      <c r="AC771" s="51">
        <v>45427</v>
      </c>
      <c r="AD771" s="50">
        <v>45602</v>
      </c>
      <c r="AE771" s="40" t="s">
        <v>2</v>
      </c>
      <c r="AF771" s="41" t="s">
        <v>2</v>
      </c>
      <c r="AG771" s="40" t="s">
        <v>5</v>
      </c>
      <c r="AH771" s="36" t="s">
        <v>0</v>
      </c>
      <c r="AI771" s="49">
        <v>0</v>
      </c>
      <c r="AJ771" s="36" t="s">
        <v>6</v>
      </c>
      <c r="AK771" s="10" t="s">
        <v>1</v>
      </c>
      <c r="AL771" s="36" t="s">
        <v>1</v>
      </c>
      <c r="AM771" s="36" t="s">
        <v>1</v>
      </c>
      <c r="AN771" s="35" t="s">
        <v>1</v>
      </c>
      <c r="AO771" s="35" t="s">
        <v>1</v>
      </c>
      <c r="AP771" s="35" t="s">
        <v>2</v>
      </c>
      <c r="AQ771" s="35" t="s">
        <v>1</v>
      </c>
      <c r="AR771" s="33" t="s">
        <v>1</v>
      </c>
      <c r="AS771" s="33"/>
      <c r="AT771" s="30"/>
      <c r="AU771" s="55"/>
      <c r="AV771" s="30"/>
      <c r="AW771" s="55"/>
      <c r="AX771" s="30" t="s">
        <v>2</v>
      </c>
      <c r="AY771" s="55">
        <v>45649</v>
      </c>
      <c r="AZ771" s="30" t="s">
        <v>0</v>
      </c>
      <c r="BA771" s="91"/>
      <c r="BB771" s="39"/>
      <c r="BC771" s="25"/>
      <c r="BD771" s="24"/>
      <c r="BE771" s="24"/>
      <c r="BF771" s="79"/>
      <c r="BG771" s="79"/>
      <c r="BH771" s="80"/>
      <c r="BI771" s="79"/>
      <c r="BJ771" s="54" t="s">
        <v>11</v>
      </c>
      <c r="BK771" s="78" t="s">
        <v>11</v>
      </c>
      <c r="BL771" s="69">
        <v>45389</v>
      </c>
      <c r="BM771" s="78" t="s">
        <v>11</v>
      </c>
      <c r="BN771" s="78" t="s">
        <v>11</v>
      </c>
      <c r="BO771" s="78" t="s">
        <v>11</v>
      </c>
      <c r="BP771" s="78" t="s">
        <v>108</v>
      </c>
      <c r="BQ771" s="21">
        <f>YEAR([1]!BANCO10[[#This Row],[DATA INÍCIO]])</f>
        <v>2024</v>
      </c>
      <c r="BR771" s="21">
        <f>MONTH([1]!BANCO10[[#This Row],[DATA INÍCIO]])</f>
        <v>5</v>
      </c>
      <c r="BS771" s="21" t="e">
        <f>CONCATENATE(#REF!,#REF!)</f>
        <v>#REF!</v>
      </c>
      <c r="BT771" s="21"/>
      <c r="BU771" s="21" t="s">
        <v>107</v>
      </c>
      <c r="BV771" s="21" t="str">
        <f>IF([1]!BANCO10[[#This Row],[SOLUÇÃO]]=BV$1,[1]!BANCO10[[#This Row],[STATUS DA ETAPA]],"")</f>
        <v/>
      </c>
      <c r="BW771" s="21" t="str">
        <f>IF([1]!BANCO10[[#This Row],[SOLUÇÃO]]=BW$1,[1]!BANCO10[[#This Row],[STATUS DA ETAPA]],"")</f>
        <v/>
      </c>
      <c r="BX771" s="21" t="str">
        <f>IF([1]!BANCO10[[#This Row],[SOLUÇÃO]]=BX$1,[1]!BANCO10[[#This Row],[STATUS DA ETAPA]],"")</f>
        <v/>
      </c>
      <c r="BY771" s="21" t="str">
        <f>IF([1]!BANCO10[[#This Row],[SOLUÇÃO]]=BY$1,[1]!BANCO10[[#This Row],[STATUS DA ETAPA]],"")</f>
        <v/>
      </c>
      <c r="BZ771" s="21" t="str">
        <f>IF([1]!BANCO10[[#This Row],[SOLUÇÃO]]=BZ$1,[1]!BANCO10[[#This Row],[STATUS DA ETAPA]],"")</f>
        <v/>
      </c>
      <c r="CA771" s="21" t="str">
        <f>IF([1]!BANCO10[[#This Row],[SOLUÇÃO]]=CA$1,[1]!BANCO10[[#This Row],[STATUS DA ETAPA]],"")</f>
        <v/>
      </c>
      <c r="CB771" s="21" t="str">
        <f>IF([1]!BANCO10[[#This Row],[SOLUÇÃO]]=CB$1,[1]!BANCO10[[#This Row],[STATUS DA ETAPA]],"")</f>
        <v>CONCLUÍDO</v>
      </c>
      <c r="CC771" s="21" t="str">
        <f>IF([1]!BANCO10[[#This Row],[SOLUÇÃO]]=CC$1,[1]!BANCO10[[#This Row],[STATUS DA ETAPA]],"")</f>
        <v/>
      </c>
      <c r="CD771" s="21" t="str">
        <f>IF([1]!BANCO10[[#This Row],[SOLUÇÃO]]=CD$1,[1]!BANCO10[[#This Row],[STATUS DA ETAPA]],"")</f>
        <v/>
      </c>
      <c r="CE771" s="21" t="str">
        <f>IF([1]!BANCO10[[#This Row],[SOLUÇÃO]]=CE$1,[1]!BANCO10[[#This Row],[STATUS DA ETAPA]],"")</f>
        <v/>
      </c>
      <c r="CF771" s="21" t="str">
        <f>IF([1]!BANCO10[[#This Row],[SOLUÇÃO]]=CF$1,[1]!BANCO10[[#This Row],[STATUS DA ETAPA]],"")</f>
        <v/>
      </c>
      <c r="CG771" s="21" t="str">
        <f>IF([1]!BANCO10[[#This Row],[SOLUÇÃO]]=CG$1,[1]!BANCO10[[#This Row],[STATUS DA ETAPA]],"")</f>
        <v/>
      </c>
      <c r="CH771" s="21" t="str">
        <f>IF([1]!BANCO10[[#This Row],[SOLUÇÃO]]=CH$1,[1]!BANCO10[[#This Row],[STATUS DA ETAPA]],"")</f>
        <v/>
      </c>
      <c r="CI771" s="21" t="str">
        <f>IF([1]!BANCO10[[#This Row],[SOLUÇÃO]]=CI$1,[1]!BANCO10[[#This Row],[STATUS DA ETAPA]],"")</f>
        <v/>
      </c>
      <c r="CJ771" s="21" t="str">
        <f>IF([1]!BANCO10[[#This Row],[SOLUÇÃO]]=CJ$1,[1]!BANCO10[[#This Row],[STATUS DA ETAPA]],"")</f>
        <v/>
      </c>
      <c r="CK771" s="21" t="str">
        <f>IF([1]!BANCO10[[#This Row],[SOLUÇÃO]]=CK$1,[1]!BANCO10[[#This Row],[STATUS DA ETAPA]],"")</f>
        <v/>
      </c>
      <c r="CL771" s="22" t="str">
        <f>IF([1]!BANCO10[[#This Row],[SOLUÇÃO]]=CL$1,[1]!BANCO10[[#This Row],[STATUS DA ETAPA]],"")</f>
        <v/>
      </c>
      <c r="CM771" s="64" t="str">
        <f>IF([1]!BANCO10[[#This Row],[SOLUÇÃO]]=CM$1,[1]!BANCO10[[#This Row],[STATUS DA ETAPA]],"")</f>
        <v/>
      </c>
      <c r="CN771" s="64" t="str">
        <f>IF([1]!BANCO10[[#This Row],[SOLUÇÃO]]=CN$1,[1]!BANCO10[[#This Row],[STATUS DA ETAPA]],"")</f>
        <v/>
      </c>
      <c r="CO771" s="64" t="str">
        <f>IF([1]!BANCO10[[#This Row],[SOLUÇÃO]]=CO$1,[1]!BANCO10[[#This Row],[STATUS DA ETAPA]],"")</f>
        <v/>
      </c>
      <c r="CP771" s="64" t="str">
        <f>IF([1]!BANCO10[[#This Row],[SOLUÇÃO]]=CP$1,[1]!BANCO10[[#This Row],[STATUS DA ETAPA]],"")</f>
        <v/>
      </c>
      <c r="CQ771" s="64" t="str">
        <f>IF([1]!BANCO10[[#This Row],[SOLUÇÃO]]=CQ$1,[1]!BANCO10[[#This Row],[STATUS DA ETAPA]],"")</f>
        <v/>
      </c>
      <c r="CR771" s="64" t="str">
        <f>IF([1]!BANCO10[[#This Row],[SOLUÇÃO]]=CR$1,[1]!BANCO10[[#This Row],[STATUS DA ETAPA]],"")</f>
        <v/>
      </c>
      <c r="CS771" s="64" t="str">
        <f>IF([1]!BANCO10[[#This Row],[SOLUÇÃO]]=CS$1,[1]!BANCO10[[#This Row],[STATUS DA ETAPA]],"")</f>
        <v/>
      </c>
      <c r="CT771" s="64" t="str">
        <f>IF([1]!BANCO10[[#This Row],[SOLUÇÃO]]=CT$1,[1]!BANCO10[[#This Row],[STATUS DA ETAPA]],"")</f>
        <v/>
      </c>
      <c r="CU771" s="64" t="str">
        <f>IF([1]!BANCO10[[#This Row],[SOLUÇÃO]]=CU$1,[1]!BANCO10[[#This Row],[STATUS DA ETAPA]],"")</f>
        <v/>
      </c>
      <c r="CV771" s="64" t="str">
        <f>IF([1]!BANCO10[[#This Row],[SOLUÇÃO]]=CV$1,[1]!BANCO10[[#This Row],[STATUS DA ETAPA]],"")</f>
        <v/>
      </c>
    </row>
    <row r="772" spans="1:100">
      <c r="A772" s="44" t="s">
        <v>1</v>
      </c>
      <c r="B772" s="44"/>
      <c r="C772" s="44" t="s">
        <v>1</v>
      </c>
      <c r="D772" s="44"/>
      <c r="E772" s="44" t="s">
        <v>1</v>
      </c>
      <c r="F772" s="44"/>
      <c r="G772" s="44" t="s">
        <v>1</v>
      </c>
      <c r="H772" s="44"/>
      <c r="I772" s="45" t="s">
        <v>1</v>
      </c>
      <c r="J772" s="46"/>
      <c r="K772" s="45" t="s">
        <v>1</v>
      </c>
      <c r="L772" s="33"/>
      <c r="M772" s="45" t="s">
        <v>1</v>
      </c>
      <c r="N772" s="33"/>
      <c r="O772" s="44" t="s">
        <v>1</v>
      </c>
      <c r="P772" s="44"/>
      <c r="Q772" s="44" t="s">
        <v>1</v>
      </c>
      <c r="R772" s="44" t="s">
        <v>1</v>
      </c>
      <c r="S772" s="44" t="s">
        <v>1</v>
      </c>
      <c r="T772" s="44"/>
      <c r="U772" s="44" t="s">
        <v>1</v>
      </c>
      <c r="V772" s="44"/>
      <c r="W772" s="44" t="s">
        <v>1</v>
      </c>
      <c r="X772" s="44"/>
      <c r="Y772" s="44" t="s">
        <v>1</v>
      </c>
      <c r="Z772" s="44"/>
      <c r="AA772" s="44" t="s">
        <v>1</v>
      </c>
      <c r="AB772" s="44"/>
      <c r="AC772" s="51">
        <v>45636</v>
      </c>
      <c r="AD772" s="50">
        <v>45636</v>
      </c>
      <c r="AE772" s="41" t="s">
        <v>1</v>
      </c>
      <c r="AF772" s="41" t="s">
        <v>1</v>
      </c>
      <c r="AG772" s="40" t="s">
        <v>4</v>
      </c>
      <c r="AH772" s="36" t="s">
        <v>0</v>
      </c>
      <c r="AI772" s="49">
        <v>0</v>
      </c>
      <c r="AJ772" s="36" t="s">
        <v>1</v>
      </c>
      <c r="AK772" s="10" t="s">
        <v>1</v>
      </c>
      <c r="AL772" s="36" t="s">
        <v>1</v>
      </c>
      <c r="AM772" s="36" t="s">
        <v>1</v>
      </c>
      <c r="AN772" s="35" t="s">
        <v>1</v>
      </c>
      <c r="AO772" s="35" t="s">
        <v>1</v>
      </c>
      <c r="AP772" s="35" t="s">
        <v>1</v>
      </c>
      <c r="AQ772" s="35" t="s">
        <v>2</v>
      </c>
      <c r="AR772" s="33" t="s">
        <v>0</v>
      </c>
      <c r="AS772" s="33"/>
      <c r="AT772" s="30" t="s">
        <v>0</v>
      </c>
      <c r="AU772" s="31"/>
      <c r="AV772" s="30" t="s">
        <v>0</v>
      </c>
      <c r="AW772" s="31"/>
      <c r="AX772" s="30" t="s">
        <v>0</v>
      </c>
      <c r="AY772" s="29"/>
      <c r="AZ772" s="28" t="s">
        <v>0</v>
      </c>
      <c r="BA772" s="81"/>
      <c r="BB772" s="26"/>
      <c r="BC772" s="25"/>
      <c r="BD772" s="24"/>
      <c r="BE772" s="24"/>
      <c r="BF772" s="24"/>
      <c r="BG772" s="24"/>
      <c r="BH772" s="24"/>
      <c r="BI772" s="24"/>
      <c r="BJ772" s="24"/>
      <c r="BK772" s="24"/>
      <c r="BL772" s="24"/>
      <c r="BM772" s="24"/>
      <c r="BN772" s="24"/>
      <c r="BO772" s="24"/>
      <c r="BP772" s="24"/>
      <c r="BQ772" s="22">
        <f>YEAR([1]!BANCO10[[#This Row],[DATA INÍCIO]])</f>
        <v>2024</v>
      </c>
      <c r="BR772" s="22">
        <f>MONTH([1]!BANCO10[[#This Row],[DATA INÍCIO]])</f>
        <v>12</v>
      </c>
      <c r="BS772" s="23" t="e">
        <f>CONCATENATE(#REF!,#REF!)</f>
        <v>#REF!</v>
      </c>
      <c r="BT772" s="22"/>
      <c r="BU772" s="22"/>
      <c r="BV772" s="21" t="str">
        <f>IF([1]!BANCO10[[#This Row],[SOLUÇÃO]]=BV$1,[1]!BANCO10[[#This Row],[STATUS DA ETAPA]],"")</f>
        <v/>
      </c>
      <c r="BW772" s="21" t="str">
        <f>IF([1]!BANCO10[[#This Row],[SOLUÇÃO]]=BW$1,[1]!BANCO10[[#This Row],[STATUS DA ETAPA]],"")</f>
        <v/>
      </c>
      <c r="BX772" s="21" t="str">
        <f>IF([1]!BANCO10[[#This Row],[SOLUÇÃO]]=BX$1,[1]!BANCO10[[#This Row],[STATUS DA ETAPA]],"")</f>
        <v/>
      </c>
      <c r="BY772" s="21" t="str">
        <f>IF([1]!BANCO10[[#This Row],[SOLUÇÃO]]=BY$1,[1]!BANCO10[[#This Row],[STATUS DA ETAPA]],"")</f>
        <v/>
      </c>
      <c r="BZ772" s="21" t="str">
        <f>IF([1]!BANCO10[[#This Row],[SOLUÇÃO]]=BZ$1,[1]!BANCO10[[#This Row],[STATUS DA ETAPA]],"")</f>
        <v/>
      </c>
      <c r="CA772" s="21" t="str">
        <f>IF([1]!BANCO10[[#This Row],[SOLUÇÃO]]=CA$1,[1]!BANCO10[[#This Row],[STATUS DA ETAPA]],"")</f>
        <v/>
      </c>
      <c r="CB772" s="21" t="str">
        <f>IF([1]!BANCO10[[#This Row],[SOLUÇÃO]]=CB$1,[1]!BANCO10[[#This Row],[STATUS DA ETAPA]],"")</f>
        <v/>
      </c>
      <c r="CC772" s="21" t="str">
        <f>IF([1]!BANCO10[[#This Row],[SOLUÇÃO]]=CC$1,[1]!BANCO10[[#This Row],[STATUS DA ETAPA]],"")</f>
        <v/>
      </c>
      <c r="CD772" s="21" t="str">
        <f>IF([1]!BANCO10[[#This Row],[SOLUÇÃO]]=CD$1,[1]!BANCO10[[#This Row],[STATUS DA ETAPA]],"")</f>
        <v/>
      </c>
      <c r="CE772" s="21" t="str">
        <f>IF([1]!BANCO10[[#This Row],[SOLUÇÃO]]=CE$1,[1]!BANCO10[[#This Row],[STATUS DA ETAPA]],"")</f>
        <v/>
      </c>
      <c r="CF772" s="21" t="str">
        <f>IF([1]!BANCO10[[#This Row],[SOLUÇÃO]]=CF$1,[1]!BANCO10[[#This Row],[STATUS DA ETAPA]],"")</f>
        <v/>
      </c>
      <c r="CG772" s="21" t="str">
        <f>IF([1]!BANCO10[[#This Row],[SOLUÇÃO]]=CG$1,[1]!BANCO10[[#This Row],[STATUS DA ETAPA]],"")</f>
        <v/>
      </c>
      <c r="CH772" s="21" t="str">
        <f>IF([1]!BANCO10[[#This Row],[SOLUÇÃO]]=CH$1,[1]!BANCO10[[#This Row],[STATUS DA ETAPA]],"")</f>
        <v/>
      </c>
      <c r="CI772" s="21" t="str">
        <f>IF([1]!BANCO10[[#This Row],[SOLUÇÃO]]=CI$1,[1]!BANCO10[[#This Row],[STATUS DA ETAPA]],"")</f>
        <v/>
      </c>
      <c r="CJ772" s="21" t="str">
        <f>IF([1]!BANCO10[[#This Row],[SOLUÇÃO]]=CJ$1,[1]!BANCO10[[#This Row],[STATUS DA ETAPA]],"")</f>
        <v/>
      </c>
      <c r="CK772" s="21" t="str">
        <f>IF([1]!BANCO10[[#This Row],[SOLUÇÃO]]=CK$1,[1]!BANCO10[[#This Row],[STATUS DA ETAPA]],"")</f>
        <v/>
      </c>
      <c r="CL772" s="21" t="str">
        <f>IF([1]!BANCO10[[#This Row],[SOLUÇÃO]]=CL$1,[1]!BANCO10[[#This Row],[STATUS DA ETAPA]],"")</f>
        <v/>
      </c>
      <c r="CM772" s="21" t="str">
        <f>IF([1]!BANCO10[[#This Row],[SOLUÇÃO]]=CM$1,[1]!BANCO10[[#This Row],[STATUS DA ETAPA]],"")</f>
        <v/>
      </c>
      <c r="CN772" s="21" t="str">
        <f>IF([1]!BANCO10[[#This Row],[SOLUÇÃO]]=CN$1,[1]!BANCO10[[#This Row],[STATUS DA ETAPA]],"")</f>
        <v/>
      </c>
      <c r="CO772" s="21" t="str">
        <f>IF([1]!BANCO10[[#This Row],[SOLUÇÃO]]=CO$1,[1]!BANCO10[[#This Row],[STATUS DA ETAPA]],"")</f>
        <v/>
      </c>
      <c r="CP772" s="21" t="str">
        <f>IF([1]!BANCO10[[#This Row],[SOLUÇÃO]]=CP$1,[1]!BANCO10[[#This Row],[STATUS DA ETAPA]],"")</f>
        <v/>
      </c>
      <c r="CQ772" s="21" t="str">
        <f>IF([1]!BANCO10[[#This Row],[SOLUÇÃO]]=CQ$1,[1]!BANCO10[[#This Row],[STATUS DA ETAPA]],"")</f>
        <v/>
      </c>
      <c r="CR772" s="21" t="str">
        <f>IF([1]!BANCO10[[#This Row],[SOLUÇÃO]]=CR$1,[1]!BANCO10[[#This Row],[STATUS DA ETAPA]],"")</f>
        <v/>
      </c>
      <c r="CS772" s="21" t="str">
        <f>IF([1]!BANCO10[[#This Row],[SOLUÇÃO]]=CS$1,[1]!BANCO10[[#This Row],[STATUS DA ETAPA]],"")</f>
        <v/>
      </c>
      <c r="CT772" s="21" t="str">
        <f>IF([1]!BANCO10[[#This Row],[SOLUÇÃO]]=CT$1,[1]!BANCO10[[#This Row],[STATUS DA ETAPA]],"")</f>
        <v/>
      </c>
      <c r="CU772" s="21" t="str">
        <f>IF([1]!BANCO10[[#This Row],[SOLUÇÃO]]=CU$1,[1]!BANCO10[[#This Row],[STATUS DA ETAPA]],"")</f>
        <v/>
      </c>
      <c r="CV772" s="21" t="str">
        <f>IF([1]!BANCO10[[#This Row],[SOLUÇÃO]]=CV$1,[1]!BANCO10[[#This Row],[STATUS DA ETAPA]],"")</f>
        <v/>
      </c>
    </row>
    <row r="773" spans="1:100">
      <c r="A773" s="44" t="s">
        <v>1</v>
      </c>
      <c r="B773" s="44"/>
      <c r="C773" s="44" t="s">
        <v>1</v>
      </c>
      <c r="D773" s="44"/>
      <c r="E773" s="44" t="s">
        <v>1</v>
      </c>
      <c r="F773" s="44"/>
      <c r="G773" s="44" t="s">
        <v>1</v>
      </c>
      <c r="H773" s="44"/>
      <c r="I773" s="45" t="s">
        <v>1</v>
      </c>
      <c r="J773" s="46"/>
      <c r="K773" s="45" t="s">
        <v>1</v>
      </c>
      <c r="L773" s="33"/>
      <c r="M773" s="45" t="s">
        <v>1</v>
      </c>
      <c r="N773" s="33"/>
      <c r="O773" s="44" t="s">
        <v>2</v>
      </c>
      <c r="P773" s="44">
        <v>45153</v>
      </c>
      <c r="Q773" s="44" t="s">
        <v>0</v>
      </c>
      <c r="R773" s="44"/>
      <c r="S773" s="44" t="s">
        <v>1</v>
      </c>
      <c r="T773" s="44"/>
      <c r="U773" s="44" t="s">
        <v>1</v>
      </c>
      <c r="V773" s="44"/>
      <c r="W773" s="44" t="s">
        <v>1</v>
      </c>
      <c r="X773" s="44"/>
      <c r="Y773" s="44" t="s">
        <v>1</v>
      </c>
      <c r="Z773" s="44"/>
      <c r="AA773" s="44" t="s">
        <v>1</v>
      </c>
      <c r="AB773" s="44"/>
      <c r="AC773" s="84">
        <v>45159</v>
      </c>
      <c r="AD773" s="83">
        <v>45159</v>
      </c>
      <c r="AE773" s="40" t="s">
        <v>1</v>
      </c>
      <c r="AF773" s="40" t="s">
        <v>1</v>
      </c>
      <c r="AG773" s="40" t="s">
        <v>5</v>
      </c>
      <c r="AH773" s="36" t="s">
        <v>1</v>
      </c>
      <c r="AI773" s="49">
        <v>0</v>
      </c>
      <c r="AJ773" s="36" t="s">
        <v>1</v>
      </c>
      <c r="AK773" s="10" t="s">
        <v>1</v>
      </c>
      <c r="AL773" s="36" t="s">
        <v>1</v>
      </c>
      <c r="AM773" s="36" t="s">
        <v>1</v>
      </c>
      <c r="AN773" s="35" t="s">
        <v>1</v>
      </c>
      <c r="AO773" s="35" t="s">
        <v>1</v>
      </c>
      <c r="AP773" s="35" t="s">
        <v>1</v>
      </c>
      <c r="AQ773" s="35" t="s">
        <v>1</v>
      </c>
      <c r="AR773" s="48" t="s">
        <v>1</v>
      </c>
      <c r="AS773" s="33"/>
      <c r="AT773" s="30"/>
      <c r="AU773" s="55"/>
      <c r="AV773" s="30"/>
      <c r="AW773" s="55"/>
      <c r="AX773" s="30" t="s">
        <v>1</v>
      </c>
      <c r="AY773" s="55"/>
      <c r="AZ773" s="30" t="s">
        <v>1</v>
      </c>
      <c r="BA773" s="85"/>
      <c r="BB773" s="39"/>
      <c r="BC773" s="25"/>
      <c r="BD773" s="24" t="s">
        <v>18</v>
      </c>
      <c r="BE773" s="24" t="s">
        <v>11</v>
      </c>
      <c r="BF773" s="79" t="s">
        <v>51</v>
      </c>
      <c r="BG773" s="79" t="s">
        <v>11</v>
      </c>
      <c r="BH773" s="80" t="s">
        <v>18</v>
      </c>
      <c r="BI773" s="79" t="s">
        <v>51</v>
      </c>
      <c r="BJ773" s="54" t="s">
        <v>11</v>
      </c>
      <c r="BK773" s="78" t="s">
        <v>11</v>
      </c>
      <c r="BL773" s="69" t="s">
        <v>11</v>
      </c>
      <c r="BM773" s="78" t="s">
        <v>11</v>
      </c>
      <c r="BN773" s="78" t="s">
        <v>11</v>
      </c>
      <c r="BO773" s="78" t="s">
        <v>11</v>
      </c>
      <c r="BP773" s="78" t="s">
        <v>11</v>
      </c>
      <c r="BQ773" s="21">
        <f>YEAR([1]!BANCO10[[#This Row],[DATA INÍCIO]])</f>
        <v>2023</v>
      </c>
      <c r="BR773" s="21">
        <f>MONTH([1]!BANCO10[[#This Row],[DATA INÍCIO]])</f>
        <v>8</v>
      </c>
      <c r="BS773" s="21" t="e">
        <f>CONCATENATE(#REF!,#REF!)</f>
        <v>#REF!</v>
      </c>
      <c r="BT773" s="21"/>
      <c r="BU773" s="21" t="s">
        <v>106</v>
      </c>
      <c r="BV773" s="21" t="str">
        <f>IF([1]!BANCO10[[#This Row],[SOLUÇÃO]]=BV$1,[1]!BANCO10[[#This Row],[STATUS DA ETAPA]],"")</f>
        <v>CONCLUÍDO</v>
      </c>
      <c r="BW773" s="21" t="str">
        <f>IF([1]!BANCO10[[#This Row],[SOLUÇÃO]]=BW$1,[1]!BANCO10[[#This Row],[STATUS DA ETAPA]],"")</f>
        <v/>
      </c>
      <c r="BX773" s="21" t="str">
        <f>IF([1]!BANCO10[[#This Row],[SOLUÇÃO]]=BX$1,[1]!BANCO10[[#This Row],[STATUS DA ETAPA]],"")</f>
        <v/>
      </c>
      <c r="BY773" s="21" t="str">
        <f>IF([1]!BANCO10[[#This Row],[SOLUÇÃO]]=BY$1,[1]!BANCO10[[#This Row],[STATUS DA ETAPA]],"")</f>
        <v/>
      </c>
      <c r="BZ773" s="21" t="str">
        <f>IF([1]!BANCO10[[#This Row],[SOLUÇÃO]]=BZ$1,[1]!BANCO10[[#This Row],[STATUS DA ETAPA]],"")</f>
        <v/>
      </c>
      <c r="CA773" s="21" t="str">
        <f>IF([1]!BANCO10[[#This Row],[SOLUÇÃO]]=CA$1,[1]!BANCO10[[#This Row],[STATUS DA ETAPA]],"")</f>
        <v/>
      </c>
      <c r="CB773" s="21" t="str">
        <f>IF([1]!BANCO10[[#This Row],[SOLUÇÃO]]=CB$1,[1]!BANCO10[[#This Row],[STATUS DA ETAPA]],"")</f>
        <v/>
      </c>
      <c r="CC773" s="21" t="str">
        <f>IF([1]!BANCO10[[#This Row],[SOLUÇÃO]]=CC$1,[1]!BANCO10[[#This Row],[STATUS DA ETAPA]],"")</f>
        <v/>
      </c>
      <c r="CD773" s="21" t="str">
        <f>IF([1]!BANCO10[[#This Row],[SOLUÇÃO]]=CD$1,[1]!BANCO10[[#This Row],[STATUS DA ETAPA]],"")</f>
        <v/>
      </c>
      <c r="CE773" s="21" t="str">
        <f>IF([1]!BANCO10[[#This Row],[SOLUÇÃO]]=CE$1,[1]!BANCO10[[#This Row],[STATUS DA ETAPA]],"")</f>
        <v/>
      </c>
      <c r="CF773" s="21" t="str">
        <f>IF([1]!BANCO10[[#This Row],[SOLUÇÃO]]=CF$1,[1]!BANCO10[[#This Row],[STATUS DA ETAPA]],"")</f>
        <v/>
      </c>
      <c r="CG773" s="21" t="str">
        <f>IF([1]!BANCO10[[#This Row],[SOLUÇÃO]]=CG$1,[1]!BANCO10[[#This Row],[STATUS DA ETAPA]],"")</f>
        <v/>
      </c>
      <c r="CH773" s="21" t="str">
        <f>IF([1]!BANCO10[[#This Row],[SOLUÇÃO]]=CH$1,[1]!BANCO10[[#This Row],[STATUS DA ETAPA]],"")</f>
        <v/>
      </c>
      <c r="CI773" s="21" t="str">
        <f>IF([1]!BANCO10[[#This Row],[SOLUÇÃO]]=CI$1,[1]!BANCO10[[#This Row],[STATUS DA ETAPA]],"")</f>
        <v/>
      </c>
      <c r="CJ773" s="21" t="str">
        <f>IF([1]!BANCO10[[#This Row],[SOLUÇÃO]]=CJ$1,[1]!BANCO10[[#This Row],[STATUS DA ETAPA]],"")</f>
        <v/>
      </c>
      <c r="CK773" s="21" t="str">
        <f>IF([1]!BANCO10[[#This Row],[SOLUÇÃO]]=CK$1,[1]!BANCO10[[#This Row],[STATUS DA ETAPA]],"")</f>
        <v/>
      </c>
      <c r="CL773" s="22" t="str">
        <f>IF([1]!BANCO10[[#This Row],[SOLUÇÃO]]=CL$1,[1]!BANCO10[[#This Row],[STATUS DA ETAPA]],"")</f>
        <v/>
      </c>
      <c r="CM773" s="64" t="str">
        <f>IF([1]!BANCO10[[#This Row],[SOLUÇÃO]]=CM$1,[1]!BANCO10[[#This Row],[STATUS DA ETAPA]],"")</f>
        <v/>
      </c>
      <c r="CN773" s="64" t="str">
        <f>IF([1]!BANCO10[[#This Row],[SOLUÇÃO]]=CN$1,[1]!BANCO10[[#This Row],[STATUS DA ETAPA]],"")</f>
        <v/>
      </c>
      <c r="CO773" s="64" t="str">
        <f>IF([1]!BANCO10[[#This Row],[SOLUÇÃO]]=CO$1,[1]!BANCO10[[#This Row],[STATUS DA ETAPA]],"")</f>
        <v/>
      </c>
      <c r="CP773" s="64" t="str">
        <f>IF([1]!BANCO10[[#This Row],[SOLUÇÃO]]=CP$1,[1]!BANCO10[[#This Row],[STATUS DA ETAPA]],"")</f>
        <v/>
      </c>
      <c r="CQ773" s="64" t="str">
        <f>IF([1]!BANCO10[[#This Row],[SOLUÇÃO]]=CQ$1,[1]!BANCO10[[#This Row],[STATUS DA ETAPA]],"")</f>
        <v/>
      </c>
      <c r="CR773" s="64" t="str">
        <f>IF([1]!BANCO10[[#This Row],[SOLUÇÃO]]=CR$1,[1]!BANCO10[[#This Row],[STATUS DA ETAPA]],"")</f>
        <v/>
      </c>
      <c r="CS773" s="64" t="str">
        <f>IF([1]!BANCO10[[#This Row],[SOLUÇÃO]]=CS$1,[1]!BANCO10[[#This Row],[STATUS DA ETAPA]],"")</f>
        <v/>
      </c>
      <c r="CT773" s="64" t="str">
        <f>IF([1]!BANCO10[[#This Row],[SOLUÇÃO]]=CT$1,[1]!BANCO10[[#This Row],[STATUS DA ETAPA]],"")</f>
        <v/>
      </c>
      <c r="CU773" s="64" t="str">
        <f>IF([1]!BANCO10[[#This Row],[SOLUÇÃO]]=CU$1,[1]!BANCO10[[#This Row],[STATUS DA ETAPA]],"")</f>
        <v/>
      </c>
      <c r="CV773" s="64" t="str">
        <f>IF([1]!BANCO10[[#This Row],[SOLUÇÃO]]=CV$1,[1]!BANCO10[[#This Row],[STATUS DA ETAPA]],"")</f>
        <v/>
      </c>
    </row>
    <row r="774" spans="1:100">
      <c r="A774" s="44" t="s">
        <v>1</v>
      </c>
      <c r="B774" s="44"/>
      <c r="C774" s="44" t="s">
        <v>1</v>
      </c>
      <c r="D774" s="44"/>
      <c r="E774" s="44" t="s">
        <v>1</v>
      </c>
      <c r="F774" s="44"/>
      <c r="G774" s="44" t="s">
        <v>1</v>
      </c>
      <c r="H774" s="44"/>
      <c r="I774" s="45" t="s">
        <v>1</v>
      </c>
      <c r="J774" s="46"/>
      <c r="K774" s="45" t="s">
        <v>1</v>
      </c>
      <c r="L774" s="33"/>
      <c r="M774" s="45" t="s">
        <v>1</v>
      </c>
      <c r="N774" s="33"/>
      <c r="O774" s="44" t="s">
        <v>1</v>
      </c>
      <c r="P774" s="44"/>
      <c r="Q774" s="44" t="s">
        <v>1</v>
      </c>
      <c r="R774" s="44"/>
      <c r="S774" s="44" t="s">
        <v>1</v>
      </c>
      <c r="T774" s="44"/>
      <c r="U774" s="44" t="s">
        <v>1</v>
      </c>
      <c r="V774" s="44"/>
      <c r="W774" s="44" t="s">
        <v>1</v>
      </c>
      <c r="X774" s="44"/>
      <c r="Y774" s="44" t="s">
        <v>1</v>
      </c>
      <c r="Z774" s="44"/>
      <c r="AA774" s="44" t="s">
        <v>1</v>
      </c>
      <c r="AB774" s="44"/>
      <c r="AC774" s="51">
        <v>45408</v>
      </c>
      <c r="AD774" s="51">
        <v>45408</v>
      </c>
      <c r="AE774" s="41" t="s">
        <v>1</v>
      </c>
      <c r="AF774" s="41" t="s">
        <v>1</v>
      </c>
      <c r="AG774" s="40" t="s">
        <v>5</v>
      </c>
      <c r="AH774" s="36" t="s">
        <v>1</v>
      </c>
      <c r="AI774" s="49">
        <v>0</v>
      </c>
      <c r="AJ774" s="36" t="s">
        <v>1</v>
      </c>
      <c r="AK774" s="10" t="s">
        <v>1</v>
      </c>
      <c r="AL774" s="36" t="s">
        <v>1</v>
      </c>
      <c r="AM774" s="36" t="s">
        <v>1</v>
      </c>
      <c r="AN774" s="35" t="s">
        <v>1</v>
      </c>
      <c r="AO774" s="35" t="s">
        <v>1</v>
      </c>
      <c r="AP774" s="35" t="s">
        <v>1</v>
      </c>
      <c r="AQ774" s="35" t="s">
        <v>1</v>
      </c>
      <c r="AR774" s="48" t="s">
        <v>1</v>
      </c>
      <c r="AS774" s="33"/>
      <c r="AT774" s="30"/>
      <c r="AU774" s="55"/>
      <c r="AV774" s="30"/>
      <c r="AW774" s="55"/>
      <c r="AX774" s="30" t="s">
        <v>1</v>
      </c>
      <c r="AY774" s="55"/>
      <c r="AZ774" s="30" t="s">
        <v>1</v>
      </c>
      <c r="BA774" s="91"/>
      <c r="BB774" s="39"/>
      <c r="BC774" s="25" t="s">
        <v>41</v>
      </c>
      <c r="BD774" s="24"/>
      <c r="BE774" s="24"/>
      <c r="BF774" s="79"/>
      <c r="BG774" s="79"/>
      <c r="BH774" s="80"/>
      <c r="BI774" s="79"/>
      <c r="BJ774" s="54"/>
      <c r="BK774" s="78"/>
      <c r="BL774" s="69"/>
      <c r="BM774" s="78"/>
      <c r="BN774" s="78"/>
      <c r="BO774" s="78"/>
      <c r="BP774" s="78"/>
      <c r="BQ774" s="21">
        <f>YEAR([1]!BANCO10[[#This Row],[DATA INÍCIO]])</f>
        <v>2024</v>
      </c>
      <c r="BR774" s="21">
        <f>MONTH([1]!BANCO10[[#This Row],[DATA INÍCIO]])</f>
        <v>4</v>
      </c>
      <c r="BS774" s="21" t="e">
        <f>CONCATENATE(#REF!,#REF!)</f>
        <v>#REF!</v>
      </c>
      <c r="BT774" s="21"/>
      <c r="BU774" s="21" t="s">
        <v>105</v>
      </c>
      <c r="BV774" s="21" t="str">
        <f>IF([1]!BANCO10[[#This Row],[SOLUÇÃO]]=BV$1,[1]!BANCO10[[#This Row],[STATUS DA ETAPA]],"")</f>
        <v>CONCLUÍDO</v>
      </c>
      <c r="BW774" s="21" t="str">
        <f>IF([1]!BANCO10[[#This Row],[SOLUÇÃO]]=BW$1,[1]!BANCO10[[#This Row],[STATUS DA ETAPA]],"")</f>
        <v/>
      </c>
      <c r="BX774" s="21" t="str">
        <f>IF([1]!BANCO10[[#This Row],[SOLUÇÃO]]=BX$1,[1]!BANCO10[[#This Row],[STATUS DA ETAPA]],"")</f>
        <v/>
      </c>
      <c r="BY774" s="21" t="str">
        <f>IF([1]!BANCO10[[#This Row],[SOLUÇÃO]]=BY$1,[1]!BANCO10[[#This Row],[STATUS DA ETAPA]],"")</f>
        <v/>
      </c>
      <c r="BZ774" s="21" t="str">
        <f>IF([1]!BANCO10[[#This Row],[SOLUÇÃO]]=BZ$1,[1]!BANCO10[[#This Row],[STATUS DA ETAPA]],"")</f>
        <v/>
      </c>
      <c r="CA774" s="21" t="str">
        <f>IF([1]!BANCO10[[#This Row],[SOLUÇÃO]]=CA$1,[1]!BANCO10[[#This Row],[STATUS DA ETAPA]],"")</f>
        <v/>
      </c>
      <c r="CB774" s="21" t="str">
        <f>IF([1]!BANCO10[[#This Row],[SOLUÇÃO]]=CB$1,[1]!BANCO10[[#This Row],[STATUS DA ETAPA]],"")</f>
        <v/>
      </c>
      <c r="CC774" s="21" t="str">
        <f>IF([1]!BANCO10[[#This Row],[SOLUÇÃO]]=CC$1,[1]!BANCO10[[#This Row],[STATUS DA ETAPA]],"")</f>
        <v/>
      </c>
      <c r="CD774" s="21" t="str">
        <f>IF([1]!BANCO10[[#This Row],[SOLUÇÃO]]=CD$1,[1]!BANCO10[[#This Row],[STATUS DA ETAPA]],"")</f>
        <v/>
      </c>
      <c r="CE774" s="21" t="str">
        <f>IF([1]!BANCO10[[#This Row],[SOLUÇÃO]]=CE$1,[1]!BANCO10[[#This Row],[STATUS DA ETAPA]],"")</f>
        <v/>
      </c>
      <c r="CF774" s="21" t="str">
        <f>IF([1]!BANCO10[[#This Row],[SOLUÇÃO]]=CF$1,[1]!BANCO10[[#This Row],[STATUS DA ETAPA]],"")</f>
        <v/>
      </c>
      <c r="CG774" s="21" t="str">
        <f>IF([1]!BANCO10[[#This Row],[SOLUÇÃO]]=CG$1,[1]!BANCO10[[#This Row],[STATUS DA ETAPA]],"")</f>
        <v/>
      </c>
      <c r="CH774" s="21" t="str">
        <f>IF([1]!BANCO10[[#This Row],[SOLUÇÃO]]=CH$1,[1]!BANCO10[[#This Row],[STATUS DA ETAPA]],"")</f>
        <v/>
      </c>
      <c r="CI774" s="21" t="str">
        <f>IF([1]!BANCO10[[#This Row],[SOLUÇÃO]]=CI$1,[1]!BANCO10[[#This Row],[STATUS DA ETAPA]],"")</f>
        <v/>
      </c>
      <c r="CJ774" s="21" t="str">
        <f>IF([1]!BANCO10[[#This Row],[SOLUÇÃO]]=CJ$1,[1]!BANCO10[[#This Row],[STATUS DA ETAPA]],"")</f>
        <v/>
      </c>
      <c r="CK774" s="21" t="str">
        <f>IF([1]!BANCO10[[#This Row],[SOLUÇÃO]]=CK$1,[1]!BANCO10[[#This Row],[STATUS DA ETAPA]],"")</f>
        <v/>
      </c>
      <c r="CL774" s="22" t="str">
        <f>IF([1]!BANCO10[[#This Row],[SOLUÇÃO]]=CL$1,[1]!BANCO10[[#This Row],[STATUS DA ETAPA]],"")</f>
        <v/>
      </c>
      <c r="CM774" s="64" t="str">
        <f>IF([1]!BANCO10[[#This Row],[SOLUÇÃO]]=CM$1,[1]!BANCO10[[#This Row],[STATUS DA ETAPA]],"")</f>
        <v/>
      </c>
      <c r="CN774" s="64" t="str">
        <f>IF([1]!BANCO10[[#This Row],[SOLUÇÃO]]=CN$1,[1]!BANCO10[[#This Row],[STATUS DA ETAPA]],"")</f>
        <v/>
      </c>
      <c r="CO774" s="64" t="str">
        <f>IF([1]!BANCO10[[#This Row],[SOLUÇÃO]]=CO$1,[1]!BANCO10[[#This Row],[STATUS DA ETAPA]],"")</f>
        <v/>
      </c>
      <c r="CP774" s="64" t="str">
        <f>IF([1]!BANCO10[[#This Row],[SOLUÇÃO]]=CP$1,[1]!BANCO10[[#This Row],[STATUS DA ETAPA]],"")</f>
        <v/>
      </c>
      <c r="CQ774" s="64" t="str">
        <f>IF([1]!BANCO10[[#This Row],[SOLUÇÃO]]=CQ$1,[1]!BANCO10[[#This Row],[STATUS DA ETAPA]],"")</f>
        <v/>
      </c>
      <c r="CR774" s="64" t="str">
        <f>IF([1]!BANCO10[[#This Row],[SOLUÇÃO]]=CR$1,[1]!BANCO10[[#This Row],[STATUS DA ETAPA]],"")</f>
        <v/>
      </c>
      <c r="CS774" s="64" t="str">
        <f>IF([1]!BANCO10[[#This Row],[SOLUÇÃO]]=CS$1,[1]!BANCO10[[#This Row],[STATUS DA ETAPA]],"")</f>
        <v/>
      </c>
      <c r="CT774" s="64" t="str">
        <f>IF([1]!BANCO10[[#This Row],[SOLUÇÃO]]=CT$1,[1]!BANCO10[[#This Row],[STATUS DA ETAPA]],"")</f>
        <v/>
      </c>
      <c r="CU774" s="64" t="str">
        <f>IF([1]!BANCO10[[#This Row],[SOLUÇÃO]]=CU$1,[1]!BANCO10[[#This Row],[STATUS DA ETAPA]],"")</f>
        <v/>
      </c>
      <c r="CV774" s="64" t="str">
        <f>IF([1]!BANCO10[[#This Row],[SOLUÇÃO]]=CV$1,[1]!BANCO10[[#This Row],[STATUS DA ETAPA]],"")</f>
        <v/>
      </c>
    </row>
    <row r="775" spans="1:100">
      <c r="A775" s="44" t="s">
        <v>2</v>
      </c>
      <c r="B775" s="44">
        <v>45383</v>
      </c>
      <c r="C775" s="44" t="s">
        <v>2</v>
      </c>
      <c r="D775" s="44">
        <v>45383</v>
      </c>
      <c r="E775" s="44" t="s">
        <v>2</v>
      </c>
      <c r="F775" s="44">
        <v>45383</v>
      </c>
      <c r="G775" s="44" t="s">
        <v>2</v>
      </c>
      <c r="H775" s="44">
        <v>45383</v>
      </c>
      <c r="I775" s="45" t="s">
        <v>2</v>
      </c>
      <c r="J775" s="46">
        <v>45536</v>
      </c>
      <c r="K775" s="45" t="s">
        <v>2</v>
      </c>
      <c r="L775" s="33">
        <v>45536</v>
      </c>
      <c r="M775" s="45" t="s">
        <v>2</v>
      </c>
      <c r="N775" s="33">
        <v>45536</v>
      </c>
      <c r="O775" s="44" t="s">
        <v>2</v>
      </c>
      <c r="P775" s="44">
        <v>45506</v>
      </c>
      <c r="Q775" s="44" t="s">
        <v>2</v>
      </c>
      <c r="R775" s="44">
        <v>45509</v>
      </c>
      <c r="S775" s="44" t="s">
        <v>2</v>
      </c>
      <c r="T775" s="44">
        <v>45536</v>
      </c>
      <c r="U775" s="44" t="s">
        <v>1</v>
      </c>
      <c r="V775" s="44"/>
      <c r="W775" s="44" t="s">
        <v>1</v>
      </c>
      <c r="X775" s="44"/>
      <c r="Y775" s="44" t="s">
        <v>1</v>
      </c>
      <c r="Z775" s="44"/>
      <c r="AA775" s="44" t="s">
        <v>1</v>
      </c>
      <c r="AB775" s="44"/>
      <c r="AC775" s="51">
        <v>45457</v>
      </c>
      <c r="AD775" s="50">
        <v>45551</v>
      </c>
      <c r="AE775" s="41" t="s">
        <v>2</v>
      </c>
      <c r="AF775" s="41" t="s">
        <v>2</v>
      </c>
      <c r="AG775" s="40" t="s">
        <v>5</v>
      </c>
      <c r="AH775" s="36" t="s">
        <v>0</v>
      </c>
      <c r="AI775" s="49">
        <v>0</v>
      </c>
      <c r="AJ775" s="36" t="s">
        <v>6</v>
      </c>
      <c r="AK775" s="10">
        <v>549384</v>
      </c>
      <c r="AL775" s="36" t="s">
        <v>1</v>
      </c>
      <c r="AM775" s="36" t="s">
        <v>1</v>
      </c>
      <c r="AN775" s="35" t="s">
        <v>2</v>
      </c>
      <c r="AO775" s="35" t="s">
        <v>2</v>
      </c>
      <c r="AP775" s="35" t="s">
        <v>2</v>
      </c>
      <c r="AQ775" s="35" t="s">
        <v>2</v>
      </c>
      <c r="AR775" s="33" t="s">
        <v>2</v>
      </c>
      <c r="AS775" s="33">
        <v>45610</v>
      </c>
      <c r="AT775" s="30"/>
      <c r="AU775" s="31"/>
      <c r="AV775" s="30"/>
      <c r="AW775" s="31"/>
      <c r="AX775" s="30" t="s">
        <v>2</v>
      </c>
      <c r="AY775" s="31">
        <v>45609</v>
      </c>
      <c r="AZ775" s="30" t="s">
        <v>2</v>
      </c>
      <c r="BA775" s="91">
        <v>45622</v>
      </c>
      <c r="BB775" s="39"/>
      <c r="BC775" s="25" t="s">
        <v>41</v>
      </c>
      <c r="BD775" s="24"/>
      <c r="BE775" s="24"/>
      <c r="BF775" s="79"/>
      <c r="BG775" s="79"/>
      <c r="BH775" s="80"/>
      <c r="BI775" s="79"/>
      <c r="BJ775" s="54"/>
      <c r="BK775" s="78"/>
      <c r="BL775" s="69"/>
      <c r="BM775" s="78"/>
      <c r="BN775" s="78"/>
      <c r="BO775" s="78"/>
      <c r="BP775" s="78"/>
      <c r="BQ775" s="21">
        <f>YEAR([1]!BANCO10[[#This Row],[DATA INÍCIO]])</f>
        <v>2024</v>
      </c>
      <c r="BR775" s="21">
        <f>MONTH([1]!BANCO10[[#This Row],[DATA INÍCIO]])</f>
        <v>6</v>
      </c>
      <c r="BS775" s="21" t="e">
        <f>CONCATENATE(#REF!,#REF!)</f>
        <v>#REF!</v>
      </c>
      <c r="BT775" s="21"/>
      <c r="BU775" s="21" t="s">
        <v>104</v>
      </c>
      <c r="BV775" s="21" t="str">
        <f>IF([1]!BANCO10[[#This Row],[SOLUÇÃO]]=BV$1,[1]!BANCO10[[#This Row],[STATUS DA ETAPA]],"")</f>
        <v/>
      </c>
      <c r="BW775" s="21" t="str">
        <f>IF([1]!BANCO10[[#This Row],[SOLUÇÃO]]=BW$1,[1]!BANCO10[[#This Row],[STATUS DA ETAPA]],"")</f>
        <v/>
      </c>
      <c r="BX775" s="21" t="str">
        <f>IF([1]!BANCO10[[#This Row],[SOLUÇÃO]]=BX$1,[1]!BANCO10[[#This Row],[STATUS DA ETAPA]],"")</f>
        <v/>
      </c>
      <c r="BY775" s="21" t="str">
        <f>IF([1]!BANCO10[[#This Row],[SOLUÇÃO]]=BY$1,[1]!BANCO10[[#This Row],[STATUS DA ETAPA]],"")</f>
        <v/>
      </c>
      <c r="BZ775" s="21" t="str">
        <f>IF([1]!BANCO10[[#This Row],[SOLUÇÃO]]=BZ$1,[1]!BANCO10[[#This Row],[STATUS DA ETAPA]],"")</f>
        <v/>
      </c>
      <c r="CA775" s="21" t="str">
        <f>IF([1]!BANCO10[[#This Row],[SOLUÇÃO]]=CA$1,[1]!BANCO10[[#This Row],[STATUS DA ETAPA]],"")</f>
        <v/>
      </c>
      <c r="CB775" s="21" t="str">
        <f>IF([1]!BANCO10[[#This Row],[SOLUÇÃO]]=CB$1,[1]!BANCO10[[#This Row],[STATUS DA ETAPA]],"")</f>
        <v>CONCLUÍDO</v>
      </c>
      <c r="CC775" s="21" t="str">
        <f>IF([1]!BANCO10[[#This Row],[SOLUÇÃO]]=CC$1,[1]!BANCO10[[#This Row],[STATUS DA ETAPA]],"")</f>
        <v/>
      </c>
      <c r="CD775" s="21" t="str">
        <f>IF([1]!BANCO10[[#This Row],[SOLUÇÃO]]=CD$1,[1]!BANCO10[[#This Row],[STATUS DA ETAPA]],"")</f>
        <v/>
      </c>
      <c r="CE775" s="21" t="str">
        <f>IF([1]!BANCO10[[#This Row],[SOLUÇÃO]]=CE$1,[1]!BANCO10[[#This Row],[STATUS DA ETAPA]],"")</f>
        <v/>
      </c>
      <c r="CF775" s="21" t="str">
        <f>IF([1]!BANCO10[[#This Row],[SOLUÇÃO]]=CF$1,[1]!BANCO10[[#This Row],[STATUS DA ETAPA]],"")</f>
        <v/>
      </c>
      <c r="CG775" s="21" t="str">
        <f>IF([1]!BANCO10[[#This Row],[SOLUÇÃO]]=CG$1,[1]!BANCO10[[#This Row],[STATUS DA ETAPA]],"")</f>
        <v/>
      </c>
      <c r="CH775" s="21" t="str">
        <f>IF([1]!BANCO10[[#This Row],[SOLUÇÃO]]=CH$1,[1]!BANCO10[[#This Row],[STATUS DA ETAPA]],"")</f>
        <v/>
      </c>
      <c r="CI775" s="21" t="str">
        <f>IF([1]!BANCO10[[#This Row],[SOLUÇÃO]]=CI$1,[1]!BANCO10[[#This Row],[STATUS DA ETAPA]],"")</f>
        <v/>
      </c>
      <c r="CJ775" s="21" t="str">
        <f>IF([1]!BANCO10[[#This Row],[SOLUÇÃO]]=CJ$1,[1]!BANCO10[[#This Row],[STATUS DA ETAPA]],"")</f>
        <v/>
      </c>
      <c r="CK775" s="21" t="str">
        <f>IF([1]!BANCO10[[#This Row],[SOLUÇÃO]]=CK$1,[1]!BANCO10[[#This Row],[STATUS DA ETAPA]],"")</f>
        <v/>
      </c>
      <c r="CL775" s="22" t="str">
        <f>IF([1]!BANCO10[[#This Row],[SOLUÇÃO]]=CL$1,[1]!BANCO10[[#This Row],[STATUS DA ETAPA]],"")</f>
        <v/>
      </c>
      <c r="CM775" s="64" t="str">
        <f>IF([1]!BANCO10[[#This Row],[SOLUÇÃO]]=CM$1,[1]!BANCO10[[#This Row],[STATUS DA ETAPA]],"")</f>
        <v/>
      </c>
      <c r="CN775" s="64" t="str">
        <f>IF([1]!BANCO10[[#This Row],[SOLUÇÃO]]=CN$1,[1]!BANCO10[[#This Row],[STATUS DA ETAPA]],"")</f>
        <v/>
      </c>
      <c r="CO775" s="64" t="str">
        <f>IF([1]!BANCO10[[#This Row],[SOLUÇÃO]]=CO$1,[1]!BANCO10[[#This Row],[STATUS DA ETAPA]],"")</f>
        <v/>
      </c>
      <c r="CP775" s="64" t="str">
        <f>IF([1]!BANCO10[[#This Row],[SOLUÇÃO]]=CP$1,[1]!BANCO10[[#This Row],[STATUS DA ETAPA]],"")</f>
        <v/>
      </c>
      <c r="CQ775" s="64" t="str">
        <f>IF([1]!BANCO10[[#This Row],[SOLUÇÃO]]=CQ$1,[1]!BANCO10[[#This Row],[STATUS DA ETAPA]],"")</f>
        <v/>
      </c>
      <c r="CR775" s="64" t="str">
        <f>IF([1]!BANCO10[[#This Row],[SOLUÇÃO]]=CR$1,[1]!BANCO10[[#This Row],[STATUS DA ETAPA]],"")</f>
        <v/>
      </c>
      <c r="CS775" s="64" t="str">
        <f>IF([1]!BANCO10[[#This Row],[SOLUÇÃO]]=CS$1,[1]!BANCO10[[#This Row],[STATUS DA ETAPA]],"")</f>
        <v/>
      </c>
      <c r="CT775" s="64" t="str">
        <f>IF([1]!BANCO10[[#This Row],[SOLUÇÃO]]=CT$1,[1]!BANCO10[[#This Row],[STATUS DA ETAPA]],"")</f>
        <v/>
      </c>
      <c r="CU775" s="64" t="str">
        <f>IF([1]!BANCO10[[#This Row],[SOLUÇÃO]]=CU$1,[1]!BANCO10[[#This Row],[STATUS DA ETAPA]],"")</f>
        <v/>
      </c>
      <c r="CV775" s="64" t="str">
        <f>IF([1]!BANCO10[[#This Row],[SOLUÇÃO]]=CV$1,[1]!BANCO10[[#This Row],[STATUS DA ETAPA]],"")</f>
        <v/>
      </c>
    </row>
    <row r="776" spans="1:100">
      <c r="A776" s="44" t="s">
        <v>1</v>
      </c>
      <c r="B776" s="44"/>
      <c r="C776" s="44" t="s">
        <v>1</v>
      </c>
      <c r="D776" s="44"/>
      <c r="E776" s="44" t="s">
        <v>1</v>
      </c>
      <c r="F776" s="44"/>
      <c r="G776" s="44" t="s">
        <v>1</v>
      </c>
      <c r="H776" s="44"/>
      <c r="I776" s="45" t="s">
        <v>1</v>
      </c>
      <c r="J776" s="46"/>
      <c r="K776" s="45" t="s">
        <v>1</v>
      </c>
      <c r="L776" s="33"/>
      <c r="M776" s="45" t="s">
        <v>1</v>
      </c>
      <c r="N776" s="33"/>
      <c r="O776" s="44" t="s">
        <v>2</v>
      </c>
      <c r="P776" s="44">
        <v>44980</v>
      </c>
      <c r="Q776" s="44" t="s">
        <v>0</v>
      </c>
      <c r="R776" s="44"/>
      <c r="S776" s="44" t="s">
        <v>1</v>
      </c>
      <c r="T776" s="44"/>
      <c r="U776" s="44" t="s">
        <v>1</v>
      </c>
      <c r="V776" s="44"/>
      <c r="W776" s="44" t="s">
        <v>1</v>
      </c>
      <c r="X776" s="44"/>
      <c r="Y776" s="44" t="s">
        <v>1</v>
      </c>
      <c r="Z776" s="44"/>
      <c r="AA776" s="44" t="s">
        <v>1</v>
      </c>
      <c r="AB776" s="44"/>
      <c r="AC776" s="84">
        <v>44971</v>
      </c>
      <c r="AD776" s="83">
        <v>44971</v>
      </c>
      <c r="AE776" s="40" t="s">
        <v>1</v>
      </c>
      <c r="AF776" s="40" t="s">
        <v>1</v>
      </c>
      <c r="AG776" s="40" t="s">
        <v>5</v>
      </c>
      <c r="AH776" s="36" t="s">
        <v>1</v>
      </c>
      <c r="AI776" s="49">
        <v>0</v>
      </c>
      <c r="AJ776" s="36" t="s">
        <v>1</v>
      </c>
      <c r="AK776" s="10" t="s">
        <v>1</v>
      </c>
      <c r="AL776" s="36" t="s">
        <v>1</v>
      </c>
      <c r="AM776" s="36" t="s">
        <v>1</v>
      </c>
      <c r="AN776" s="35" t="s">
        <v>1</v>
      </c>
      <c r="AO776" s="35" t="s">
        <v>1</v>
      </c>
      <c r="AP776" s="35" t="s">
        <v>1</v>
      </c>
      <c r="AQ776" s="35" t="s">
        <v>1</v>
      </c>
      <c r="AR776" s="48" t="s">
        <v>1</v>
      </c>
      <c r="AS776" s="33"/>
      <c r="AT776" s="30"/>
      <c r="AU776" s="55"/>
      <c r="AV776" s="30"/>
      <c r="AW776" s="55"/>
      <c r="AX776" s="30" t="s">
        <v>1</v>
      </c>
      <c r="AY776" s="55"/>
      <c r="AZ776" s="30" t="s">
        <v>1</v>
      </c>
      <c r="BA776" s="85"/>
      <c r="BB776" s="39"/>
      <c r="BC776" s="25"/>
      <c r="BD776" s="24" t="s">
        <v>11</v>
      </c>
      <c r="BE776" s="24" t="s">
        <v>11</v>
      </c>
      <c r="BF776" s="79" t="s">
        <v>21</v>
      </c>
      <c r="BG776" s="79" t="s">
        <v>11</v>
      </c>
      <c r="BH776" s="80" t="s">
        <v>18</v>
      </c>
      <c r="BI776" s="79"/>
      <c r="BJ776" s="54" t="s">
        <v>11</v>
      </c>
      <c r="BK776" s="78" t="s">
        <v>11</v>
      </c>
      <c r="BL776" s="69" t="s">
        <v>11</v>
      </c>
      <c r="BM776" s="78" t="s">
        <v>11</v>
      </c>
      <c r="BN776" s="78" t="s">
        <v>11</v>
      </c>
      <c r="BO776" s="78" t="s">
        <v>11</v>
      </c>
      <c r="BP776" s="78" t="s">
        <v>11</v>
      </c>
      <c r="BQ776" s="21">
        <f>YEAR([1]!BANCO10[[#This Row],[DATA INÍCIO]])</f>
        <v>2023</v>
      </c>
      <c r="BR776" s="21">
        <f>MONTH([1]!BANCO10[[#This Row],[DATA INÍCIO]])</f>
        <v>2</v>
      </c>
      <c r="BS776" s="21" t="e">
        <f>CONCATENATE(#REF!,#REF!)</f>
        <v>#REF!</v>
      </c>
      <c r="BT776" s="21"/>
      <c r="BU776" s="21" t="s">
        <v>103</v>
      </c>
      <c r="BV776" s="21" t="str">
        <f>IF([1]!BANCO10[[#This Row],[SOLUÇÃO]]=BV$1,[1]!BANCO10[[#This Row],[STATUS DA ETAPA]],"")</f>
        <v>CONCLUÍDO</v>
      </c>
      <c r="BW776" s="21" t="str">
        <f>IF([1]!BANCO10[[#This Row],[SOLUÇÃO]]=BW$1,[1]!BANCO10[[#This Row],[STATUS DA ETAPA]],"")</f>
        <v/>
      </c>
      <c r="BX776" s="21" t="str">
        <f>IF([1]!BANCO10[[#This Row],[SOLUÇÃO]]=BX$1,[1]!BANCO10[[#This Row],[STATUS DA ETAPA]],"")</f>
        <v/>
      </c>
      <c r="BY776" s="21" t="str">
        <f>IF([1]!BANCO10[[#This Row],[SOLUÇÃO]]=BY$1,[1]!BANCO10[[#This Row],[STATUS DA ETAPA]],"")</f>
        <v/>
      </c>
      <c r="BZ776" s="21" t="str">
        <f>IF([1]!BANCO10[[#This Row],[SOLUÇÃO]]=BZ$1,[1]!BANCO10[[#This Row],[STATUS DA ETAPA]],"")</f>
        <v/>
      </c>
      <c r="CA776" s="21" t="str">
        <f>IF([1]!BANCO10[[#This Row],[SOLUÇÃO]]=CA$1,[1]!BANCO10[[#This Row],[STATUS DA ETAPA]],"")</f>
        <v/>
      </c>
      <c r="CB776" s="21" t="str">
        <f>IF([1]!BANCO10[[#This Row],[SOLUÇÃO]]=CB$1,[1]!BANCO10[[#This Row],[STATUS DA ETAPA]],"")</f>
        <v/>
      </c>
      <c r="CC776" s="21" t="str">
        <f>IF([1]!BANCO10[[#This Row],[SOLUÇÃO]]=CC$1,[1]!BANCO10[[#This Row],[STATUS DA ETAPA]],"")</f>
        <v/>
      </c>
      <c r="CD776" s="21" t="str">
        <f>IF([1]!BANCO10[[#This Row],[SOLUÇÃO]]=CD$1,[1]!BANCO10[[#This Row],[STATUS DA ETAPA]],"")</f>
        <v/>
      </c>
      <c r="CE776" s="21" t="str">
        <f>IF([1]!BANCO10[[#This Row],[SOLUÇÃO]]=CE$1,[1]!BANCO10[[#This Row],[STATUS DA ETAPA]],"")</f>
        <v/>
      </c>
      <c r="CF776" s="21" t="str">
        <f>IF([1]!BANCO10[[#This Row],[SOLUÇÃO]]=CF$1,[1]!BANCO10[[#This Row],[STATUS DA ETAPA]],"")</f>
        <v/>
      </c>
      <c r="CG776" s="21" t="str">
        <f>IF([1]!BANCO10[[#This Row],[SOLUÇÃO]]=CG$1,[1]!BANCO10[[#This Row],[STATUS DA ETAPA]],"")</f>
        <v/>
      </c>
      <c r="CH776" s="21" t="str">
        <f>IF([1]!BANCO10[[#This Row],[SOLUÇÃO]]=CH$1,[1]!BANCO10[[#This Row],[STATUS DA ETAPA]],"")</f>
        <v/>
      </c>
      <c r="CI776" s="21" t="str">
        <f>IF([1]!BANCO10[[#This Row],[SOLUÇÃO]]=CI$1,[1]!BANCO10[[#This Row],[STATUS DA ETAPA]],"")</f>
        <v/>
      </c>
      <c r="CJ776" s="21" t="str">
        <f>IF([1]!BANCO10[[#This Row],[SOLUÇÃO]]=CJ$1,[1]!BANCO10[[#This Row],[STATUS DA ETAPA]],"")</f>
        <v/>
      </c>
      <c r="CK776" s="21" t="str">
        <f>IF([1]!BANCO10[[#This Row],[SOLUÇÃO]]=CK$1,[1]!BANCO10[[#This Row],[STATUS DA ETAPA]],"")</f>
        <v/>
      </c>
      <c r="CL776" s="22" t="str">
        <f>IF([1]!BANCO10[[#This Row],[SOLUÇÃO]]=CL$1,[1]!BANCO10[[#This Row],[STATUS DA ETAPA]],"")</f>
        <v/>
      </c>
      <c r="CM776" s="64" t="str">
        <f>IF([1]!BANCO10[[#This Row],[SOLUÇÃO]]=CM$1,[1]!BANCO10[[#This Row],[STATUS DA ETAPA]],"")</f>
        <v/>
      </c>
      <c r="CN776" s="64" t="str">
        <f>IF([1]!BANCO10[[#This Row],[SOLUÇÃO]]=CN$1,[1]!BANCO10[[#This Row],[STATUS DA ETAPA]],"")</f>
        <v/>
      </c>
      <c r="CO776" s="64" t="str">
        <f>IF([1]!BANCO10[[#This Row],[SOLUÇÃO]]=CO$1,[1]!BANCO10[[#This Row],[STATUS DA ETAPA]],"")</f>
        <v/>
      </c>
      <c r="CP776" s="64" t="str">
        <f>IF([1]!BANCO10[[#This Row],[SOLUÇÃO]]=CP$1,[1]!BANCO10[[#This Row],[STATUS DA ETAPA]],"")</f>
        <v/>
      </c>
      <c r="CQ776" s="64" t="str">
        <f>IF([1]!BANCO10[[#This Row],[SOLUÇÃO]]=CQ$1,[1]!BANCO10[[#This Row],[STATUS DA ETAPA]],"")</f>
        <v/>
      </c>
      <c r="CR776" s="64" t="str">
        <f>IF([1]!BANCO10[[#This Row],[SOLUÇÃO]]=CR$1,[1]!BANCO10[[#This Row],[STATUS DA ETAPA]],"")</f>
        <v/>
      </c>
      <c r="CS776" s="64" t="str">
        <f>IF([1]!BANCO10[[#This Row],[SOLUÇÃO]]=CS$1,[1]!BANCO10[[#This Row],[STATUS DA ETAPA]],"")</f>
        <v/>
      </c>
      <c r="CT776" s="64" t="str">
        <f>IF([1]!BANCO10[[#This Row],[SOLUÇÃO]]=CT$1,[1]!BANCO10[[#This Row],[STATUS DA ETAPA]],"")</f>
        <v/>
      </c>
      <c r="CU776" s="64" t="str">
        <f>IF([1]!BANCO10[[#This Row],[SOLUÇÃO]]=CU$1,[1]!BANCO10[[#This Row],[STATUS DA ETAPA]],"")</f>
        <v/>
      </c>
      <c r="CV776" s="64" t="str">
        <f>IF([1]!BANCO10[[#This Row],[SOLUÇÃO]]=CV$1,[1]!BANCO10[[#This Row],[STATUS DA ETAPA]],"")</f>
        <v/>
      </c>
    </row>
    <row r="777" spans="1:100">
      <c r="A777" s="44" t="s">
        <v>1</v>
      </c>
      <c r="B777" s="44"/>
      <c r="C777" s="44" t="s">
        <v>1</v>
      </c>
      <c r="D777" s="44"/>
      <c r="E777" s="44" t="s">
        <v>1</v>
      </c>
      <c r="F777" s="44"/>
      <c r="G777" s="44" t="s">
        <v>1</v>
      </c>
      <c r="H777" s="44"/>
      <c r="I777" s="45" t="s">
        <v>1</v>
      </c>
      <c r="J777" s="46"/>
      <c r="K777" s="45" t="s">
        <v>1</v>
      </c>
      <c r="L777" s="33"/>
      <c r="M777" s="45" t="s">
        <v>1</v>
      </c>
      <c r="N777" s="33"/>
      <c r="O777" s="44" t="s">
        <v>2</v>
      </c>
      <c r="P777" s="44">
        <v>44980</v>
      </c>
      <c r="Q777" s="44" t="s">
        <v>2</v>
      </c>
      <c r="R777" s="44">
        <v>44984</v>
      </c>
      <c r="S777" s="44" t="s">
        <v>2</v>
      </c>
      <c r="T777" s="44">
        <v>44981</v>
      </c>
      <c r="U777" s="44" t="s">
        <v>2</v>
      </c>
      <c r="V777" s="44">
        <v>44981</v>
      </c>
      <c r="W777" s="44" t="s">
        <v>2</v>
      </c>
      <c r="X777" s="44"/>
      <c r="Y777" s="44" t="s">
        <v>2</v>
      </c>
      <c r="Z777" s="44">
        <v>45007</v>
      </c>
      <c r="AA777" s="44" t="s">
        <v>2</v>
      </c>
      <c r="AB777" s="44"/>
      <c r="AC777" s="51">
        <v>45055</v>
      </c>
      <c r="AD777" s="51">
        <v>45180</v>
      </c>
      <c r="AE777" s="40" t="s">
        <v>2</v>
      </c>
      <c r="AF777" s="40" t="s">
        <v>2</v>
      </c>
      <c r="AG777" s="40" t="s">
        <v>5</v>
      </c>
      <c r="AH777" s="36" t="s">
        <v>0</v>
      </c>
      <c r="AI777" s="49">
        <v>0</v>
      </c>
      <c r="AJ777" s="36"/>
      <c r="AK777" s="10"/>
      <c r="AL777" s="36">
        <v>4731</v>
      </c>
      <c r="AM777" s="36" t="s">
        <v>1</v>
      </c>
      <c r="AN777" s="35" t="s">
        <v>1</v>
      </c>
      <c r="AO777" s="35" t="s">
        <v>1</v>
      </c>
      <c r="AP777" s="35" t="s">
        <v>2</v>
      </c>
      <c r="AQ777" s="35" t="s">
        <v>1</v>
      </c>
      <c r="AR777" s="33" t="s">
        <v>1</v>
      </c>
      <c r="AS777" s="33"/>
      <c r="AT777" s="30"/>
      <c r="AU777" s="55"/>
      <c r="AV777" s="30"/>
      <c r="AW777" s="55"/>
      <c r="AX777" s="30" t="s">
        <v>2</v>
      </c>
      <c r="AY777" s="55">
        <v>45181</v>
      </c>
      <c r="AZ777" s="30" t="s">
        <v>2</v>
      </c>
      <c r="BA777" s="85"/>
      <c r="BB777" s="39"/>
      <c r="BC777" s="25"/>
      <c r="BD777" s="24" t="s">
        <v>11</v>
      </c>
      <c r="BE777" s="24" t="s">
        <v>11</v>
      </c>
      <c r="BF777" s="79" t="s">
        <v>21</v>
      </c>
      <c r="BG777" s="79" t="s">
        <v>11</v>
      </c>
      <c r="BH777" s="80" t="s">
        <v>18</v>
      </c>
      <c r="BI777" s="79"/>
      <c r="BJ777" s="54" t="s">
        <v>11</v>
      </c>
      <c r="BK777" s="78" t="s">
        <v>11</v>
      </c>
      <c r="BL777" s="69">
        <v>45393</v>
      </c>
      <c r="BM777" s="78" t="s">
        <v>18</v>
      </c>
      <c r="BN777" s="78" t="s">
        <v>11</v>
      </c>
      <c r="BO777" s="78"/>
      <c r="BP777" s="78" t="s">
        <v>102</v>
      </c>
      <c r="BQ777" s="21">
        <f>YEAR([1]!BANCO10[[#This Row],[DATA INÍCIO]])</f>
        <v>2023</v>
      </c>
      <c r="BR777" s="21">
        <f>MONTH([1]!BANCO10[[#This Row],[DATA INÍCIO]])</f>
        <v>5</v>
      </c>
      <c r="BS777" s="21" t="e">
        <f>CONCATENATE(#REF!,#REF!)</f>
        <v>#REF!</v>
      </c>
      <c r="BT777" s="21"/>
      <c r="BU777" s="21" t="s">
        <v>101</v>
      </c>
      <c r="BV777" s="21" t="str">
        <f>IF([1]!BANCO10[[#This Row],[SOLUÇÃO]]=BV$1,[1]!BANCO10[[#This Row],[STATUS DA ETAPA]],"")</f>
        <v/>
      </c>
      <c r="BW777" s="21" t="str">
        <f>IF([1]!BANCO10[[#This Row],[SOLUÇÃO]]=BW$1,[1]!BANCO10[[#This Row],[STATUS DA ETAPA]],"")</f>
        <v/>
      </c>
      <c r="BX777" s="21" t="str">
        <f>IF([1]!BANCO10[[#This Row],[SOLUÇÃO]]=BX$1,[1]!BANCO10[[#This Row],[STATUS DA ETAPA]],"")</f>
        <v/>
      </c>
      <c r="BY777" s="21" t="str">
        <f>IF([1]!BANCO10[[#This Row],[SOLUÇÃO]]=BY$1,[1]!BANCO10[[#This Row],[STATUS DA ETAPA]],"")</f>
        <v/>
      </c>
      <c r="BZ777" s="21" t="str">
        <f>IF([1]!BANCO10[[#This Row],[SOLUÇÃO]]=BZ$1,[1]!BANCO10[[#This Row],[STATUS DA ETAPA]],"")</f>
        <v/>
      </c>
      <c r="CA777" s="21" t="str">
        <f>IF([1]!BANCO10[[#This Row],[SOLUÇÃO]]=CA$1,[1]!BANCO10[[#This Row],[STATUS DA ETAPA]],"")</f>
        <v>CONCLUÍDO</v>
      </c>
      <c r="CB777" s="21" t="str">
        <f>IF([1]!BANCO10[[#This Row],[SOLUÇÃO]]=CB$1,[1]!BANCO10[[#This Row],[STATUS DA ETAPA]],"")</f>
        <v/>
      </c>
      <c r="CC777" s="21" t="str">
        <f>IF([1]!BANCO10[[#This Row],[SOLUÇÃO]]=CC$1,[1]!BANCO10[[#This Row],[STATUS DA ETAPA]],"")</f>
        <v/>
      </c>
      <c r="CD777" s="21" t="str">
        <f>IF([1]!BANCO10[[#This Row],[SOLUÇÃO]]=CD$1,[1]!BANCO10[[#This Row],[STATUS DA ETAPA]],"")</f>
        <v/>
      </c>
      <c r="CE777" s="21" t="str">
        <f>IF([1]!BANCO10[[#This Row],[SOLUÇÃO]]=CE$1,[1]!BANCO10[[#This Row],[STATUS DA ETAPA]],"")</f>
        <v/>
      </c>
      <c r="CF777" s="21" t="str">
        <f>IF([1]!BANCO10[[#This Row],[SOLUÇÃO]]=CF$1,[1]!BANCO10[[#This Row],[STATUS DA ETAPA]],"")</f>
        <v/>
      </c>
      <c r="CG777" s="21" t="str">
        <f>IF([1]!BANCO10[[#This Row],[SOLUÇÃO]]=CG$1,[1]!BANCO10[[#This Row],[STATUS DA ETAPA]],"")</f>
        <v/>
      </c>
      <c r="CH777" s="21" t="str">
        <f>IF([1]!BANCO10[[#This Row],[SOLUÇÃO]]=CH$1,[1]!BANCO10[[#This Row],[STATUS DA ETAPA]],"")</f>
        <v/>
      </c>
      <c r="CI777" s="21" t="str">
        <f>IF([1]!BANCO10[[#This Row],[SOLUÇÃO]]=CI$1,[1]!BANCO10[[#This Row],[STATUS DA ETAPA]],"")</f>
        <v/>
      </c>
      <c r="CJ777" s="21" t="str">
        <f>IF([1]!BANCO10[[#This Row],[SOLUÇÃO]]=CJ$1,[1]!BANCO10[[#This Row],[STATUS DA ETAPA]],"")</f>
        <v/>
      </c>
      <c r="CK777" s="21" t="str">
        <f>IF([1]!BANCO10[[#This Row],[SOLUÇÃO]]=CK$1,[1]!BANCO10[[#This Row],[STATUS DA ETAPA]],"")</f>
        <v/>
      </c>
      <c r="CL777" s="22" t="str">
        <f>IF([1]!BANCO10[[#This Row],[SOLUÇÃO]]=CL$1,[1]!BANCO10[[#This Row],[STATUS DA ETAPA]],"")</f>
        <v/>
      </c>
      <c r="CM777" s="64" t="str">
        <f>IF([1]!BANCO10[[#This Row],[SOLUÇÃO]]=CM$1,[1]!BANCO10[[#This Row],[STATUS DA ETAPA]],"")</f>
        <v/>
      </c>
      <c r="CN777" s="64" t="str">
        <f>IF([1]!BANCO10[[#This Row],[SOLUÇÃO]]=CN$1,[1]!BANCO10[[#This Row],[STATUS DA ETAPA]],"")</f>
        <v/>
      </c>
      <c r="CO777" s="64" t="str">
        <f>IF([1]!BANCO10[[#This Row],[SOLUÇÃO]]=CO$1,[1]!BANCO10[[#This Row],[STATUS DA ETAPA]],"")</f>
        <v/>
      </c>
      <c r="CP777" s="64" t="str">
        <f>IF([1]!BANCO10[[#This Row],[SOLUÇÃO]]=CP$1,[1]!BANCO10[[#This Row],[STATUS DA ETAPA]],"")</f>
        <v/>
      </c>
      <c r="CQ777" s="64" t="str">
        <f>IF([1]!BANCO10[[#This Row],[SOLUÇÃO]]=CQ$1,[1]!BANCO10[[#This Row],[STATUS DA ETAPA]],"")</f>
        <v/>
      </c>
      <c r="CR777" s="64" t="str">
        <f>IF([1]!BANCO10[[#This Row],[SOLUÇÃO]]=CR$1,[1]!BANCO10[[#This Row],[STATUS DA ETAPA]],"")</f>
        <v/>
      </c>
      <c r="CS777" s="64" t="str">
        <f>IF([1]!BANCO10[[#This Row],[SOLUÇÃO]]=CS$1,[1]!BANCO10[[#This Row],[STATUS DA ETAPA]],"")</f>
        <v/>
      </c>
      <c r="CT777" s="64" t="str">
        <f>IF([1]!BANCO10[[#This Row],[SOLUÇÃO]]=CT$1,[1]!BANCO10[[#This Row],[STATUS DA ETAPA]],"")</f>
        <v/>
      </c>
      <c r="CU777" s="64" t="str">
        <f>IF([1]!BANCO10[[#This Row],[SOLUÇÃO]]=CU$1,[1]!BANCO10[[#This Row],[STATUS DA ETAPA]],"")</f>
        <v/>
      </c>
      <c r="CV777" s="64" t="str">
        <f>IF([1]!BANCO10[[#This Row],[SOLUÇÃO]]=CV$1,[1]!BANCO10[[#This Row],[STATUS DA ETAPA]],"")</f>
        <v/>
      </c>
    </row>
    <row r="778" spans="1:100">
      <c r="A778" s="44" t="s">
        <v>1</v>
      </c>
      <c r="B778" s="44"/>
      <c r="C778" s="44" t="s">
        <v>1</v>
      </c>
      <c r="D778" s="44"/>
      <c r="E778" s="44" t="s">
        <v>1</v>
      </c>
      <c r="F778" s="44"/>
      <c r="G778" s="44" t="s">
        <v>1</v>
      </c>
      <c r="H778" s="44"/>
      <c r="I778" s="45" t="s">
        <v>1</v>
      </c>
      <c r="J778" s="46"/>
      <c r="K778" s="45" t="s">
        <v>1</v>
      </c>
      <c r="L778" s="33"/>
      <c r="M778" s="45" t="s">
        <v>1</v>
      </c>
      <c r="N778" s="33"/>
      <c r="O778" s="44" t="s">
        <v>1</v>
      </c>
      <c r="P778" s="44"/>
      <c r="Q778" s="44" t="s">
        <v>1</v>
      </c>
      <c r="R778" s="44"/>
      <c r="S778" s="44" t="s">
        <v>1</v>
      </c>
      <c r="T778" s="44"/>
      <c r="U778" s="44" t="s">
        <v>1</v>
      </c>
      <c r="V778" s="44"/>
      <c r="W778" s="44" t="s">
        <v>1</v>
      </c>
      <c r="X778" s="44"/>
      <c r="Y778" s="44" t="s">
        <v>1</v>
      </c>
      <c r="Z778" s="44"/>
      <c r="AA778" s="44" t="s">
        <v>1</v>
      </c>
      <c r="AB778" s="44"/>
      <c r="AC778" s="51">
        <v>45577</v>
      </c>
      <c r="AD778" s="51">
        <v>45577</v>
      </c>
      <c r="AE778" s="41" t="s">
        <v>1</v>
      </c>
      <c r="AF778" s="41" t="s">
        <v>1</v>
      </c>
      <c r="AG778" s="40" t="s">
        <v>5</v>
      </c>
      <c r="AH778" s="36" t="s">
        <v>1</v>
      </c>
      <c r="AI778" s="49">
        <v>0</v>
      </c>
      <c r="AJ778" s="36" t="s">
        <v>1</v>
      </c>
      <c r="AK778" s="10" t="s">
        <v>1</v>
      </c>
      <c r="AL778" s="36" t="s">
        <v>1</v>
      </c>
      <c r="AM778" s="36" t="s">
        <v>1</v>
      </c>
      <c r="AN778" s="35" t="s">
        <v>1</v>
      </c>
      <c r="AO778" s="35" t="s">
        <v>1</v>
      </c>
      <c r="AP778" s="35" t="s">
        <v>1</v>
      </c>
      <c r="AQ778" s="35" t="s">
        <v>1</v>
      </c>
      <c r="AR778" s="93" t="s">
        <v>1</v>
      </c>
      <c r="AS778" s="89"/>
      <c r="AT778" s="88"/>
      <c r="AU778" s="25"/>
      <c r="AV778" s="88"/>
      <c r="AW778" s="25"/>
      <c r="AX778" s="88" t="s">
        <v>1</v>
      </c>
      <c r="AY778" s="25"/>
      <c r="AZ778" s="88" t="s">
        <v>1</v>
      </c>
      <c r="BA778" s="87"/>
      <c r="BB778" s="39" t="s">
        <v>100</v>
      </c>
      <c r="BC778" s="25"/>
      <c r="BD778" s="24"/>
      <c r="BE778" s="24"/>
      <c r="BF778" s="79"/>
      <c r="BG778" s="79"/>
      <c r="BH778" s="80"/>
      <c r="BI778" s="79"/>
      <c r="BJ778" s="54"/>
      <c r="BK778" s="78"/>
      <c r="BL778" s="69"/>
      <c r="BM778" s="78"/>
      <c r="BN778" s="78"/>
      <c r="BO778" s="78"/>
      <c r="BP778" s="78"/>
      <c r="BQ778" s="21">
        <f>YEAR([1]!BANCO10[[#This Row],[DATA INÍCIO]])</f>
        <v>2024</v>
      </c>
      <c r="BR778" s="21">
        <f>MONTH([1]!BANCO10[[#This Row],[DATA INÍCIO]])</f>
        <v>10</v>
      </c>
      <c r="BS778" s="21" t="e">
        <f>CONCATENATE(#REF!,#REF!)</f>
        <v>#REF!</v>
      </c>
      <c r="BT778" s="21"/>
      <c r="BU778" s="21"/>
      <c r="BV778" s="21" t="str">
        <f>IF([1]!BANCO10[[#This Row],[SOLUÇÃO]]=BV$1,[1]!BANCO10[[#This Row],[STATUS DA ETAPA]],"")</f>
        <v>CONCLUÍDO</v>
      </c>
      <c r="BW778" s="21" t="str">
        <f>IF([1]!BANCO10[[#This Row],[SOLUÇÃO]]=BW$1,[1]!BANCO10[[#This Row],[STATUS DA ETAPA]],"")</f>
        <v/>
      </c>
      <c r="BX778" s="21" t="str">
        <f>IF([1]!BANCO10[[#This Row],[SOLUÇÃO]]=BX$1,[1]!BANCO10[[#This Row],[STATUS DA ETAPA]],"")</f>
        <v/>
      </c>
      <c r="BY778" s="21" t="str">
        <f>IF([1]!BANCO10[[#This Row],[SOLUÇÃO]]=BY$1,[1]!BANCO10[[#This Row],[STATUS DA ETAPA]],"")</f>
        <v/>
      </c>
      <c r="BZ778" s="21" t="str">
        <f>IF([1]!BANCO10[[#This Row],[SOLUÇÃO]]=BZ$1,[1]!BANCO10[[#This Row],[STATUS DA ETAPA]],"")</f>
        <v/>
      </c>
      <c r="CA778" s="21" t="str">
        <f>IF([1]!BANCO10[[#This Row],[SOLUÇÃO]]=CA$1,[1]!BANCO10[[#This Row],[STATUS DA ETAPA]],"")</f>
        <v/>
      </c>
      <c r="CB778" s="21" t="str">
        <f>IF([1]!BANCO10[[#This Row],[SOLUÇÃO]]=CB$1,[1]!BANCO10[[#This Row],[STATUS DA ETAPA]],"")</f>
        <v/>
      </c>
      <c r="CC778" s="21" t="str">
        <f>IF([1]!BANCO10[[#This Row],[SOLUÇÃO]]=CC$1,[1]!BANCO10[[#This Row],[STATUS DA ETAPA]],"")</f>
        <v/>
      </c>
      <c r="CD778" s="21" t="str">
        <f>IF([1]!BANCO10[[#This Row],[SOLUÇÃO]]=CD$1,[1]!BANCO10[[#This Row],[STATUS DA ETAPA]],"")</f>
        <v/>
      </c>
      <c r="CE778" s="21" t="str">
        <f>IF([1]!BANCO10[[#This Row],[SOLUÇÃO]]=CE$1,[1]!BANCO10[[#This Row],[STATUS DA ETAPA]],"")</f>
        <v/>
      </c>
      <c r="CF778" s="21" t="str">
        <f>IF([1]!BANCO10[[#This Row],[SOLUÇÃO]]=CF$1,[1]!BANCO10[[#This Row],[STATUS DA ETAPA]],"")</f>
        <v/>
      </c>
      <c r="CG778" s="21" t="str">
        <f>IF([1]!BANCO10[[#This Row],[SOLUÇÃO]]=CG$1,[1]!BANCO10[[#This Row],[STATUS DA ETAPA]],"")</f>
        <v/>
      </c>
      <c r="CH778" s="21" t="str">
        <f>IF([1]!BANCO10[[#This Row],[SOLUÇÃO]]=CH$1,[1]!BANCO10[[#This Row],[STATUS DA ETAPA]],"")</f>
        <v/>
      </c>
      <c r="CI778" s="21" t="str">
        <f>IF([1]!BANCO10[[#This Row],[SOLUÇÃO]]=CI$1,[1]!BANCO10[[#This Row],[STATUS DA ETAPA]],"")</f>
        <v/>
      </c>
      <c r="CJ778" s="21" t="str">
        <f>IF([1]!BANCO10[[#This Row],[SOLUÇÃO]]=CJ$1,[1]!BANCO10[[#This Row],[STATUS DA ETAPA]],"")</f>
        <v/>
      </c>
      <c r="CK778" s="21" t="str">
        <f>IF([1]!BANCO10[[#This Row],[SOLUÇÃO]]=CK$1,[1]!BANCO10[[#This Row],[STATUS DA ETAPA]],"")</f>
        <v/>
      </c>
      <c r="CL778" s="22" t="str">
        <f>IF([1]!BANCO10[[#This Row],[SOLUÇÃO]]=CL$1,[1]!BANCO10[[#This Row],[STATUS DA ETAPA]],"")</f>
        <v/>
      </c>
      <c r="CM778" s="64" t="str">
        <f>IF([1]!BANCO10[[#This Row],[SOLUÇÃO]]=CM$1,[1]!BANCO10[[#This Row],[STATUS DA ETAPA]],"")</f>
        <v/>
      </c>
      <c r="CN778" s="64" t="str">
        <f>IF([1]!BANCO10[[#This Row],[SOLUÇÃO]]=CN$1,[1]!BANCO10[[#This Row],[STATUS DA ETAPA]],"")</f>
        <v/>
      </c>
      <c r="CO778" s="64" t="str">
        <f>IF([1]!BANCO10[[#This Row],[SOLUÇÃO]]=CO$1,[1]!BANCO10[[#This Row],[STATUS DA ETAPA]],"")</f>
        <v/>
      </c>
      <c r="CP778" s="64" t="str">
        <f>IF([1]!BANCO10[[#This Row],[SOLUÇÃO]]=CP$1,[1]!BANCO10[[#This Row],[STATUS DA ETAPA]],"")</f>
        <v/>
      </c>
      <c r="CQ778" s="64" t="str">
        <f>IF([1]!BANCO10[[#This Row],[SOLUÇÃO]]=CQ$1,[1]!BANCO10[[#This Row],[STATUS DA ETAPA]],"")</f>
        <v/>
      </c>
      <c r="CR778" s="64" t="str">
        <f>IF([1]!BANCO10[[#This Row],[SOLUÇÃO]]=CR$1,[1]!BANCO10[[#This Row],[STATUS DA ETAPA]],"")</f>
        <v/>
      </c>
      <c r="CS778" s="64" t="str">
        <f>IF([1]!BANCO10[[#This Row],[SOLUÇÃO]]=CS$1,[1]!BANCO10[[#This Row],[STATUS DA ETAPA]],"")</f>
        <v/>
      </c>
      <c r="CT778" s="64" t="str">
        <f>IF([1]!BANCO10[[#This Row],[SOLUÇÃO]]=CT$1,[1]!BANCO10[[#This Row],[STATUS DA ETAPA]],"")</f>
        <v/>
      </c>
      <c r="CU778" s="64" t="str">
        <f>IF([1]!BANCO10[[#This Row],[SOLUÇÃO]]=CU$1,[1]!BANCO10[[#This Row],[STATUS DA ETAPA]],"")</f>
        <v/>
      </c>
      <c r="CV778" s="64" t="str">
        <f>IF([1]!BANCO10[[#This Row],[SOLUÇÃO]]=CV$1,[1]!BANCO10[[#This Row],[STATUS DA ETAPA]],"")</f>
        <v/>
      </c>
    </row>
    <row r="779" spans="1:100">
      <c r="A779" s="44" t="s">
        <v>1</v>
      </c>
      <c r="B779" s="44"/>
      <c r="C779" s="44" t="s">
        <v>1</v>
      </c>
      <c r="D779" s="44"/>
      <c r="E779" s="44" t="s">
        <v>1</v>
      </c>
      <c r="F779" s="44"/>
      <c r="G779" s="44" t="s">
        <v>1</v>
      </c>
      <c r="H779" s="44"/>
      <c r="I779" s="45" t="s">
        <v>1</v>
      </c>
      <c r="J779" s="46"/>
      <c r="K779" s="45" t="s">
        <v>1</v>
      </c>
      <c r="L779" s="33"/>
      <c r="M779" s="45" t="s">
        <v>1</v>
      </c>
      <c r="N779" s="33"/>
      <c r="O779" s="44" t="s">
        <v>2</v>
      </c>
      <c r="P779" s="44">
        <v>45531</v>
      </c>
      <c r="Q779" s="44" t="s">
        <v>2</v>
      </c>
      <c r="R779" s="44">
        <v>45536</v>
      </c>
      <c r="S779" s="44" t="s">
        <v>2</v>
      </c>
      <c r="T779" s="44">
        <v>45608</v>
      </c>
      <c r="U779" s="44" t="s">
        <v>1</v>
      </c>
      <c r="V779" s="44"/>
      <c r="W779" s="44" t="s">
        <v>1</v>
      </c>
      <c r="X779" s="44"/>
      <c r="Y779" s="44" t="s">
        <v>1</v>
      </c>
      <c r="Z779" s="44"/>
      <c r="AA779" s="44" t="s">
        <v>1</v>
      </c>
      <c r="AB779" s="44"/>
      <c r="AC779" s="51">
        <v>45684</v>
      </c>
      <c r="AD779" s="50">
        <v>45761</v>
      </c>
      <c r="AE779" s="41" t="s">
        <v>2</v>
      </c>
      <c r="AF779" s="41" t="s">
        <v>2</v>
      </c>
      <c r="AG779" s="40" t="s">
        <v>5</v>
      </c>
      <c r="AH779" s="36" t="s">
        <v>0</v>
      </c>
      <c r="AI779" s="49">
        <v>14440</v>
      </c>
      <c r="AJ779" s="36" t="s">
        <v>6</v>
      </c>
      <c r="AK779" s="10">
        <v>577525</v>
      </c>
      <c r="AL779" s="36" t="s">
        <v>1</v>
      </c>
      <c r="AM779" s="36" t="s">
        <v>1</v>
      </c>
      <c r="AN779" s="35" t="s">
        <v>2</v>
      </c>
      <c r="AO779" s="35" t="s">
        <v>2</v>
      </c>
      <c r="AP779" s="35" t="s">
        <v>2</v>
      </c>
      <c r="AQ779" s="35" t="s">
        <v>2</v>
      </c>
      <c r="AR779" s="33" t="s">
        <v>2</v>
      </c>
      <c r="AS779" s="33">
        <v>45803</v>
      </c>
      <c r="AT779" s="32" t="s">
        <v>1</v>
      </c>
      <c r="AU779" s="31"/>
      <c r="AV779" s="32" t="s">
        <v>1</v>
      </c>
      <c r="AW779" s="31"/>
      <c r="AX779" s="30" t="s">
        <v>2</v>
      </c>
      <c r="AY779" s="29">
        <v>45803</v>
      </c>
      <c r="AZ779" s="28" t="s">
        <v>0</v>
      </c>
      <c r="BA779" s="81"/>
      <c r="BB779" s="95" t="s">
        <v>99</v>
      </c>
      <c r="BC779" s="25" t="s">
        <v>41</v>
      </c>
      <c r="BD779" s="24"/>
      <c r="BE779" s="24"/>
      <c r="BF779" s="79"/>
      <c r="BG779" s="79"/>
      <c r="BH779" s="80"/>
      <c r="BI779" s="79"/>
      <c r="BJ779" s="54"/>
      <c r="BK779" s="78"/>
      <c r="BL779" s="69"/>
      <c r="BM779" s="78"/>
      <c r="BN779" s="78"/>
      <c r="BO779" s="78"/>
      <c r="BP779" s="78" t="s">
        <v>98</v>
      </c>
      <c r="BQ779" s="21">
        <f>YEAR([1]!BANCO10[[#This Row],[DATA INÍCIO]])</f>
        <v>2025</v>
      </c>
      <c r="BR779" s="21">
        <f>MONTH([1]!BANCO10[[#This Row],[DATA INÍCIO]])</f>
        <v>1</v>
      </c>
      <c r="BS779" s="21" t="e">
        <f>CONCATENATE(#REF!,#REF!)</f>
        <v>#REF!</v>
      </c>
      <c r="BT779" s="21"/>
      <c r="BU779" s="21"/>
      <c r="BV779" s="21" t="str">
        <f>IF([1]!BANCO10[[#This Row],[SOLUÇÃO]]=BV$1,[1]!BANCO10[[#This Row],[STATUS DA ETAPA]],"")</f>
        <v/>
      </c>
      <c r="BW779" s="21" t="str">
        <f>IF([1]!BANCO10[[#This Row],[SOLUÇÃO]]=BW$1,[1]!BANCO10[[#This Row],[STATUS DA ETAPA]],"")</f>
        <v/>
      </c>
      <c r="BX779" s="21" t="str">
        <f>IF([1]!BANCO10[[#This Row],[SOLUÇÃO]]=BX$1,[1]!BANCO10[[#This Row],[STATUS DA ETAPA]],"")</f>
        <v/>
      </c>
      <c r="BY779" s="21" t="str">
        <f>IF([1]!BANCO10[[#This Row],[SOLUÇÃO]]=BY$1,[1]!BANCO10[[#This Row],[STATUS DA ETAPA]],"")</f>
        <v/>
      </c>
      <c r="BZ779" s="21" t="str">
        <f>IF([1]!BANCO10[[#This Row],[SOLUÇÃO]]=BZ$1,[1]!BANCO10[[#This Row],[STATUS DA ETAPA]],"")</f>
        <v/>
      </c>
      <c r="CA779" s="21" t="str">
        <f>IF([1]!BANCO10[[#This Row],[SOLUÇÃO]]=CA$1,[1]!BANCO10[[#This Row],[STATUS DA ETAPA]],"")</f>
        <v/>
      </c>
      <c r="CB779" s="21" t="str">
        <f>IF([1]!BANCO10[[#This Row],[SOLUÇÃO]]=CB$1,[1]!BANCO10[[#This Row],[STATUS DA ETAPA]],"")</f>
        <v>CONCLUÍDO</v>
      </c>
      <c r="CC779" s="21" t="str">
        <f>IF([1]!BANCO10[[#This Row],[SOLUÇÃO]]=CC$1,[1]!BANCO10[[#This Row],[STATUS DA ETAPA]],"")</f>
        <v/>
      </c>
      <c r="CD779" s="21" t="str">
        <f>IF([1]!BANCO10[[#This Row],[SOLUÇÃO]]=CD$1,[1]!BANCO10[[#This Row],[STATUS DA ETAPA]],"")</f>
        <v/>
      </c>
      <c r="CE779" s="21" t="str">
        <f>IF([1]!BANCO10[[#This Row],[SOLUÇÃO]]=CE$1,[1]!BANCO10[[#This Row],[STATUS DA ETAPA]],"")</f>
        <v/>
      </c>
      <c r="CF779" s="21" t="str">
        <f>IF([1]!BANCO10[[#This Row],[SOLUÇÃO]]=CF$1,[1]!BANCO10[[#This Row],[STATUS DA ETAPA]],"")</f>
        <v/>
      </c>
      <c r="CG779" s="21" t="str">
        <f>IF([1]!BANCO10[[#This Row],[SOLUÇÃO]]=CG$1,[1]!BANCO10[[#This Row],[STATUS DA ETAPA]],"")</f>
        <v/>
      </c>
      <c r="CH779" s="21" t="str">
        <f>IF([1]!BANCO10[[#This Row],[SOLUÇÃO]]=CH$1,[1]!BANCO10[[#This Row],[STATUS DA ETAPA]],"")</f>
        <v/>
      </c>
      <c r="CI779" s="21" t="str">
        <f>IF([1]!BANCO10[[#This Row],[SOLUÇÃO]]=CI$1,[1]!BANCO10[[#This Row],[STATUS DA ETAPA]],"")</f>
        <v/>
      </c>
      <c r="CJ779" s="21" t="str">
        <f>IF([1]!BANCO10[[#This Row],[SOLUÇÃO]]=CJ$1,[1]!BANCO10[[#This Row],[STATUS DA ETAPA]],"")</f>
        <v/>
      </c>
      <c r="CK779" s="21" t="str">
        <f>IF([1]!BANCO10[[#This Row],[SOLUÇÃO]]=CK$1,[1]!BANCO10[[#This Row],[STATUS DA ETAPA]],"")</f>
        <v/>
      </c>
      <c r="CL779" s="22" t="str">
        <f>IF([1]!BANCO10[[#This Row],[SOLUÇÃO]]=CL$1,[1]!BANCO10[[#This Row],[STATUS DA ETAPA]],"")</f>
        <v/>
      </c>
      <c r="CM779" s="64" t="str">
        <f>IF([1]!BANCO10[[#This Row],[SOLUÇÃO]]=CM$1,[1]!BANCO10[[#This Row],[STATUS DA ETAPA]],"")</f>
        <v/>
      </c>
      <c r="CN779" s="64" t="str">
        <f>IF([1]!BANCO10[[#This Row],[SOLUÇÃO]]=CN$1,[1]!BANCO10[[#This Row],[STATUS DA ETAPA]],"")</f>
        <v/>
      </c>
      <c r="CO779" s="64" t="str">
        <f>IF([1]!BANCO10[[#This Row],[SOLUÇÃO]]=CO$1,[1]!BANCO10[[#This Row],[STATUS DA ETAPA]],"")</f>
        <v/>
      </c>
      <c r="CP779" s="64" t="str">
        <f>IF([1]!BANCO10[[#This Row],[SOLUÇÃO]]=CP$1,[1]!BANCO10[[#This Row],[STATUS DA ETAPA]],"")</f>
        <v/>
      </c>
      <c r="CQ779" s="64" t="str">
        <f>IF([1]!BANCO10[[#This Row],[SOLUÇÃO]]=CQ$1,[1]!BANCO10[[#This Row],[STATUS DA ETAPA]],"")</f>
        <v/>
      </c>
      <c r="CR779" s="64" t="str">
        <f>IF([1]!BANCO10[[#This Row],[SOLUÇÃO]]=CR$1,[1]!BANCO10[[#This Row],[STATUS DA ETAPA]],"")</f>
        <v/>
      </c>
      <c r="CS779" s="64" t="str">
        <f>IF([1]!BANCO10[[#This Row],[SOLUÇÃO]]=CS$1,[1]!BANCO10[[#This Row],[STATUS DA ETAPA]],"")</f>
        <v/>
      </c>
      <c r="CT779" s="64" t="str">
        <f>IF([1]!BANCO10[[#This Row],[SOLUÇÃO]]=CT$1,[1]!BANCO10[[#This Row],[STATUS DA ETAPA]],"")</f>
        <v/>
      </c>
      <c r="CU779" s="64" t="str">
        <f>IF([1]!BANCO10[[#This Row],[SOLUÇÃO]]=CU$1,[1]!BANCO10[[#This Row],[STATUS DA ETAPA]],"")</f>
        <v/>
      </c>
      <c r="CV779" s="64" t="str">
        <f>IF([1]!BANCO10[[#This Row],[SOLUÇÃO]]=CV$1,[1]!BANCO10[[#This Row],[STATUS DA ETAPA]],"")</f>
        <v/>
      </c>
    </row>
    <row r="780" spans="1:100">
      <c r="A780" s="44" t="s">
        <v>1</v>
      </c>
      <c r="B780" s="44"/>
      <c r="C780" s="44" t="s">
        <v>1</v>
      </c>
      <c r="D780" s="44"/>
      <c r="E780" s="44" t="s">
        <v>1</v>
      </c>
      <c r="F780" s="44"/>
      <c r="G780" s="44" t="s">
        <v>1</v>
      </c>
      <c r="H780" s="44"/>
      <c r="I780" s="45" t="s">
        <v>1</v>
      </c>
      <c r="J780" s="46"/>
      <c r="K780" s="45" t="s">
        <v>1</v>
      </c>
      <c r="L780" s="33"/>
      <c r="M780" s="45" t="s">
        <v>1</v>
      </c>
      <c r="N780" s="33"/>
      <c r="O780" s="44" t="s">
        <v>1</v>
      </c>
      <c r="P780" s="44"/>
      <c r="Q780" s="44" t="s">
        <v>1</v>
      </c>
      <c r="R780" s="44"/>
      <c r="S780" s="44" t="s">
        <v>1</v>
      </c>
      <c r="T780" s="44"/>
      <c r="U780" s="44" t="s">
        <v>1</v>
      </c>
      <c r="V780" s="44"/>
      <c r="W780" s="44" t="s">
        <v>1</v>
      </c>
      <c r="X780" s="44"/>
      <c r="Y780" s="44" t="s">
        <v>1</v>
      </c>
      <c r="Z780" s="44"/>
      <c r="AA780" s="44" t="s">
        <v>1</v>
      </c>
      <c r="AB780" s="44"/>
      <c r="AC780" s="51">
        <v>45807</v>
      </c>
      <c r="AD780" s="50">
        <v>45807</v>
      </c>
      <c r="AE780" s="41" t="s">
        <v>1</v>
      </c>
      <c r="AF780" s="41" t="s">
        <v>1</v>
      </c>
      <c r="AG780" s="40" t="s">
        <v>4</v>
      </c>
      <c r="AH780" s="36" t="s">
        <v>0</v>
      </c>
      <c r="AI780" s="49">
        <v>0</v>
      </c>
      <c r="AJ780" s="36" t="s">
        <v>1</v>
      </c>
      <c r="AK780" s="10" t="s">
        <v>1</v>
      </c>
      <c r="AL780" s="36" t="s">
        <v>1</v>
      </c>
      <c r="AM780" s="36" t="s">
        <v>1</v>
      </c>
      <c r="AN780" s="35" t="s">
        <v>1</v>
      </c>
      <c r="AO780" s="35" t="s">
        <v>1</v>
      </c>
      <c r="AP780" s="35" t="s">
        <v>1</v>
      </c>
      <c r="AQ780" s="35" t="s">
        <v>2</v>
      </c>
      <c r="AR780" s="33" t="s">
        <v>0</v>
      </c>
      <c r="AS780" s="33"/>
      <c r="AT780" s="30" t="s">
        <v>0</v>
      </c>
      <c r="AU780" s="31"/>
      <c r="AV780" s="30" t="s">
        <v>0</v>
      </c>
      <c r="AW780" s="31"/>
      <c r="AX780" s="30" t="s">
        <v>0</v>
      </c>
      <c r="AY780" s="29"/>
      <c r="AZ780" s="28" t="s">
        <v>0</v>
      </c>
      <c r="BA780" s="81"/>
      <c r="BB780" s="26"/>
      <c r="BC780" s="25"/>
      <c r="BD780" s="24"/>
      <c r="BE780" s="24"/>
      <c r="BF780" s="24"/>
      <c r="BG780" s="24"/>
      <c r="BH780" s="24"/>
      <c r="BI780" s="24"/>
      <c r="BJ780" s="24"/>
      <c r="BK780" s="24"/>
      <c r="BL780" s="24"/>
      <c r="BM780" s="24"/>
      <c r="BN780" s="24"/>
      <c r="BO780" s="24"/>
      <c r="BP780" s="24"/>
      <c r="BQ780" s="22">
        <f>YEAR([1]!BANCO10[[#This Row],[DATA INÍCIO]])</f>
        <v>2025</v>
      </c>
      <c r="BR780" s="22">
        <f>MONTH([1]!BANCO10[[#This Row],[DATA INÍCIO]])</f>
        <v>5</v>
      </c>
      <c r="BS780" s="23" t="e">
        <f>CONCATENATE(#REF!,#REF!)</f>
        <v>#REF!</v>
      </c>
      <c r="BT780" s="22"/>
      <c r="BU780" s="22"/>
      <c r="BV780" s="21" t="str">
        <f>IF([1]!BANCO10[[#This Row],[SOLUÇÃO]]=BV$1,[1]!BANCO10[[#This Row],[STATUS DA ETAPA]],"")</f>
        <v/>
      </c>
      <c r="BW780" s="21" t="str">
        <f>IF([1]!BANCO10[[#This Row],[SOLUÇÃO]]=BW$1,[1]!BANCO10[[#This Row],[STATUS DA ETAPA]],"")</f>
        <v/>
      </c>
      <c r="BX780" s="21" t="str">
        <f>IF([1]!BANCO10[[#This Row],[SOLUÇÃO]]=BX$1,[1]!BANCO10[[#This Row],[STATUS DA ETAPA]],"")</f>
        <v/>
      </c>
      <c r="BY780" s="21" t="str">
        <f>IF([1]!BANCO10[[#This Row],[SOLUÇÃO]]=BY$1,[1]!BANCO10[[#This Row],[STATUS DA ETAPA]],"")</f>
        <v/>
      </c>
      <c r="BZ780" s="21" t="str">
        <f>IF([1]!BANCO10[[#This Row],[SOLUÇÃO]]=BZ$1,[1]!BANCO10[[#This Row],[STATUS DA ETAPA]],"")</f>
        <v/>
      </c>
      <c r="CA780" s="21" t="str">
        <f>IF([1]!BANCO10[[#This Row],[SOLUÇÃO]]=CA$1,[1]!BANCO10[[#This Row],[STATUS DA ETAPA]],"")</f>
        <v/>
      </c>
      <c r="CB780" s="21" t="str">
        <f>IF([1]!BANCO10[[#This Row],[SOLUÇÃO]]=CB$1,[1]!BANCO10[[#This Row],[STATUS DA ETAPA]],"")</f>
        <v/>
      </c>
      <c r="CC780" s="21" t="str">
        <f>IF([1]!BANCO10[[#This Row],[SOLUÇÃO]]=CC$1,[1]!BANCO10[[#This Row],[STATUS DA ETAPA]],"")</f>
        <v/>
      </c>
      <c r="CD780" s="21" t="str">
        <f>IF([1]!BANCO10[[#This Row],[SOLUÇÃO]]=CD$1,[1]!BANCO10[[#This Row],[STATUS DA ETAPA]],"")</f>
        <v/>
      </c>
      <c r="CE780" s="21" t="str">
        <f>IF([1]!BANCO10[[#This Row],[SOLUÇÃO]]=CE$1,[1]!BANCO10[[#This Row],[STATUS DA ETAPA]],"")</f>
        <v/>
      </c>
      <c r="CF780" s="21" t="str">
        <f>IF([1]!BANCO10[[#This Row],[SOLUÇÃO]]=CF$1,[1]!BANCO10[[#This Row],[STATUS DA ETAPA]],"")</f>
        <v/>
      </c>
      <c r="CG780" s="21" t="str">
        <f>IF([1]!BANCO10[[#This Row],[SOLUÇÃO]]=CG$1,[1]!BANCO10[[#This Row],[STATUS DA ETAPA]],"")</f>
        <v/>
      </c>
      <c r="CH780" s="21" t="str">
        <f>IF([1]!BANCO10[[#This Row],[SOLUÇÃO]]=CH$1,[1]!BANCO10[[#This Row],[STATUS DA ETAPA]],"")</f>
        <v/>
      </c>
      <c r="CI780" s="21" t="str">
        <f>IF([1]!BANCO10[[#This Row],[SOLUÇÃO]]=CI$1,[1]!BANCO10[[#This Row],[STATUS DA ETAPA]],"")</f>
        <v/>
      </c>
      <c r="CJ780" s="21" t="str">
        <f>IF([1]!BANCO10[[#This Row],[SOLUÇÃO]]=CJ$1,[1]!BANCO10[[#This Row],[STATUS DA ETAPA]],"")</f>
        <v/>
      </c>
      <c r="CK780" s="21" t="str">
        <f>IF([1]!BANCO10[[#This Row],[SOLUÇÃO]]=CK$1,[1]!BANCO10[[#This Row],[STATUS DA ETAPA]],"")</f>
        <v/>
      </c>
      <c r="CL780" s="21" t="str">
        <f>IF([1]!BANCO10[[#This Row],[SOLUÇÃO]]=CL$1,[1]!BANCO10[[#This Row],[STATUS DA ETAPA]],"")</f>
        <v/>
      </c>
      <c r="CM780" s="21" t="str">
        <f>IF([1]!BANCO10[[#This Row],[SOLUÇÃO]]=CM$1,[1]!BANCO10[[#This Row],[STATUS DA ETAPA]],"")</f>
        <v/>
      </c>
      <c r="CN780" s="21" t="str">
        <f>IF([1]!BANCO10[[#This Row],[SOLUÇÃO]]=CN$1,[1]!BANCO10[[#This Row],[STATUS DA ETAPA]],"")</f>
        <v/>
      </c>
      <c r="CO780" s="21" t="str">
        <f>IF([1]!BANCO10[[#This Row],[SOLUÇÃO]]=CO$1,[1]!BANCO10[[#This Row],[STATUS DA ETAPA]],"")</f>
        <v/>
      </c>
      <c r="CP780" s="21" t="str">
        <f>IF([1]!BANCO10[[#This Row],[SOLUÇÃO]]=CP$1,[1]!BANCO10[[#This Row],[STATUS DA ETAPA]],"")</f>
        <v/>
      </c>
      <c r="CQ780" s="21" t="str">
        <f>IF([1]!BANCO10[[#This Row],[SOLUÇÃO]]=CQ$1,[1]!BANCO10[[#This Row],[STATUS DA ETAPA]],"")</f>
        <v/>
      </c>
      <c r="CR780" s="21" t="str">
        <f>IF([1]!BANCO10[[#This Row],[SOLUÇÃO]]=CR$1,[1]!BANCO10[[#This Row],[STATUS DA ETAPA]],"")</f>
        <v/>
      </c>
      <c r="CS780" s="21" t="str">
        <f>IF([1]!BANCO10[[#This Row],[SOLUÇÃO]]=CS$1,[1]!BANCO10[[#This Row],[STATUS DA ETAPA]],"")</f>
        <v/>
      </c>
      <c r="CT780" s="21" t="str">
        <f>IF([1]!BANCO10[[#This Row],[SOLUÇÃO]]=CT$1,[1]!BANCO10[[#This Row],[STATUS DA ETAPA]],"")</f>
        <v/>
      </c>
      <c r="CU780" s="21" t="str">
        <f>IF([1]!BANCO10[[#This Row],[SOLUÇÃO]]=CU$1,[1]!BANCO10[[#This Row],[STATUS DA ETAPA]],"")</f>
        <v/>
      </c>
      <c r="CV780" s="21" t="str">
        <f>IF([1]!BANCO10[[#This Row],[SOLUÇÃO]]=CV$1,[1]!BANCO10[[#This Row],[STATUS DA ETAPA]],"")</f>
        <v/>
      </c>
    </row>
    <row r="781" spans="1:100">
      <c r="A781" s="44" t="s">
        <v>1</v>
      </c>
      <c r="B781" s="44"/>
      <c r="C781" s="44" t="s">
        <v>1</v>
      </c>
      <c r="D781" s="44"/>
      <c r="E781" s="44" t="s">
        <v>1</v>
      </c>
      <c r="F781" s="44"/>
      <c r="G781" s="44" t="s">
        <v>1</v>
      </c>
      <c r="H781" s="44"/>
      <c r="I781" s="45" t="s">
        <v>1</v>
      </c>
      <c r="J781" s="46"/>
      <c r="K781" s="45" t="s">
        <v>1</v>
      </c>
      <c r="L781" s="33"/>
      <c r="M781" s="45" t="s">
        <v>1</v>
      </c>
      <c r="N781" s="33"/>
      <c r="O781" s="44" t="s">
        <v>1</v>
      </c>
      <c r="P781" s="44"/>
      <c r="Q781" s="44" t="s">
        <v>1</v>
      </c>
      <c r="R781" s="44"/>
      <c r="S781" s="44" t="s">
        <v>1</v>
      </c>
      <c r="T781" s="44"/>
      <c r="U781" s="44" t="s">
        <v>1</v>
      </c>
      <c r="V781" s="44"/>
      <c r="W781" s="44" t="s">
        <v>1</v>
      </c>
      <c r="X781" s="44"/>
      <c r="Y781" s="44" t="s">
        <v>1</v>
      </c>
      <c r="Z781" s="44"/>
      <c r="AA781" s="44" t="s">
        <v>1</v>
      </c>
      <c r="AB781" s="44"/>
      <c r="AC781" s="51">
        <v>45051</v>
      </c>
      <c r="AD781" s="50">
        <v>45051</v>
      </c>
      <c r="AE781" s="40" t="s">
        <v>1</v>
      </c>
      <c r="AF781" s="40" t="s">
        <v>1</v>
      </c>
      <c r="AG781" s="76" t="s">
        <v>5</v>
      </c>
      <c r="AH781" s="36" t="s">
        <v>0</v>
      </c>
      <c r="AI781" s="49">
        <v>0</v>
      </c>
      <c r="AJ781" s="36" t="s">
        <v>1</v>
      </c>
      <c r="AK781" s="10" t="s">
        <v>1</v>
      </c>
      <c r="AL781" s="36" t="s">
        <v>1</v>
      </c>
      <c r="AM781" s="36" t="s">
        <v>1</v>
      </c>
      <c r="AN781" s="35" t="s">
        <v>1</v>
      </c>
      <c r="AO781" s="35" t="s">
        <v>1</v>
      </c>
      <c r="AP781" s="35" t="s">
        <v>1</v>
      </c>
      <c r="AQ781" s="35" t="s">
        <v>1</v>
      </c>
      <c r="AR781" s="48" t="s">
        <v>1</v>
      </c>
      <c r="AS781" s="33"/>
      <c r="AT781" s="30"/>
      <c r="AU781" s="55"/>
      <c r="AV781" s="30"/>
      <c r="AW781" s="55"/>
      <c r="AX781" s="30" t="s">
        <v>1</v>
      </c>
      <c r="AY781" s="55"/>
      <c r="AZ781" s="30" t="s">
        <v>1</v>
      </c>
      <c r="BA781" s="91"/>
      <c r="BB781" s="39" t="s">
        <v>97</v>
      </c>
      <c r="BC781" s="25"/>
      <c r="BD781" s="24" t="s">
        <v>11</v>
      </c>
      <c r="BE781" s="24" t="s">
        <v>11</v>
      </c>
      <c r="BF781" s="79" t="s">
        <v>11</v>
      </c>
      <c r="BG781" s="79" t="s">
        <v>11</v>
      </c>
      <c r="BH781" s="80" t="s">
        <v>11</v>
      </c>
      <c r="BI781" s="79"/>
      <c r="BJ781" s="54" t="s">
        <v>11</v>
      </c>
      <c r="BK781" s="78" t="s">
        <v>11</v>
      </c>
      <c r="BL781" s="69" t="s">
        <v>11</v>
      </c>
      <c r="BM781" s="78" t="s">
        <v>11</v>
      </c>
      <c r="BN781" s="78" t="s">
        <v>11</v>
      </c>
      <c r="BO781" s="78" t="s">
        <v>11</v>
      </c>
      <c r="BP781" s="78" t="s">
        <v>11</v>
      </c>
      <c r="BQ781" s="21">
        <f>YEAR([1]!BANCO10[[#This Row],[DATA INÍCIO]])</f>
        <v>2023</v>
      </c>
      <c r="BR781" s="21">
        <f>MONTH([1]!BANCO10[[#This Row],[DATA INÍCIO]])</f>
        <v>5</v>
      </c>
      <c r="BS781" s="21" t="e">
        <f>CONCATENATE(#REF!,#REF!)</f>
        <v>#REF!</v>
      </c>
      <c r="BT781" s="21"/>
      <c r="BU781" s="21" t="s">
        <v>96</v>
      </c>
      <c r="BV781" s="21" t="str">
        <f>IF([1]!BANCO10[[#This Row],[SOLUÇÃO]]=BV$1,[1]!BANCO10[[#This Row],[STATUS DA ETAPA]],"")</f>
        <v>CONCLUÍDO</v>
      </c>
      <c r="BW781" s="21" t="str">
        <f>IF([1]!BANCO10[[#This Row],[SOLUÇÃO]]=BW$1,[1]!BANCO10[[#This Row],[STATUS DA ETAPA]],"")</f>
        <v/>
      </c>
      <c r="BX781" s="21" t="str">
        <f>IF([1]!BANCO10[[#This Row],[SOLUÇÃO]]=BX$1,[1]!BANCO10[[#This Row],[STATUS DA ETAPA]],"")</f>
        <v/>
      </c>
      <c r="BY781" s="21" t="str">
        <f>IF([1]!BANCO10[[#This Row],[SOLUÇÃO]]=BY$1,[1]!BANCO10[[#This Row],[STATUS DA ETAPA]],"")</f>
        <v/>
      </c>
      <c r="BZ781" s="21" t="str">
        <f>IF([1]!BANCO10[[#This Row],[SOLUÇÃO]]=BZ$1,[1]!BANCO10[[#This Row],[STATUS DA ETAPA]],"")</f>
        <v/>
      </c>
      <c r="CA781" s="21" t="str">
        <f>IF([1]!BANCO10[[#This Row],[SOLUÇÃO]]=CA$1,[1]!BANCO10[[#This Row],[STATUS DA ETAPA]],"")</f>
        <v/>
      </c>
      <c r="CB781" s="21" t="str">
        <f>IF([1]!BANCO10[[#This Row],[SOLUÇÃO]]=CB$1,[1]!BANCO10[[#This Row],[STATUS DA ETAPA]],"")</f>
        <v/>
      </c>
      <c r="CC781" s="21" t="str">
        <f>IF([1]!BANCO10[[#This Row],[SOLUÇÃO]]=CC$1,[1]!BANCO10[[#This Row],[STATUS DA ETAPA]],"")</f>
        <v/>
      </c>
      <c r="CD781" s="21" t="str">
        <f>IF([1]!BANCO10[[#This Row],[SOLUÇÃO]]=CD$1,[1]!BANCO10[[#This Row],[STATUS DA ETAPA]],"")</f>
        <v/>
      </c>
      <c r="CE781" s="21" t="str">
        <f>IF([1]!BANCO10[[#This Row],[SOLUÇÃO]]=CE$1,[1]!BANCO10[[#This Row],[STATUS DA ETAPA]],"")</f>
        <v/>
      </c>
      <c r="CF781" s="21" t="str">
        <f>IF([1]!BANCO10[[#This Row],[SOLUÇÃO]]=CF$1,[1]!BANCO10[[#This Row],[STATUS DA ETAPA]],"")</f>
        <v/>
      </c>
      <c r="CG781" s="21" t="str">
        <f>IF([1]!BANCO10[[#This Row],[SOLUÇÃO]]=CG$1,[1]!BANCO10[[#This Row],[STATUS DA ETAPA]],"")</f>
        <v/>
      </c>
      <c r="CH781" s="21" t="str">
        <f>IF([1]!BANCO10[[#This Row],[SOLUÇÃO]]=CH$1,[1]!BANCO10[[#This Row],[STATUS DA ETAPA]],"")</f>
        <v/>
      </c>
      <c r="CI781" s="21" t="str">
        <f>IF([1]!BANCO10[[#This Row],[SOLUÇÃO]]=CI$1,[1]!BANCO10[[#This Row],[STATUS DA ETAPA]],"")</f>
        <v/>
      </c>
      <c r="CJ781" s="21" t="str">
        <f>IF([1]!BANCO10[[#This Row],[SOLUÇÃO]]=CJ$1,[1]!BANCO10[[#This Row],[STATUS DA ETAPA]],"")</f>
        <v/>
      </c>
      <c r="CK781" s="21" t="str">
        <f>IF([1]!BANCO10[[#This Row],[SOLUÇÃO]]=CK$1,[1]!BANCO10[[#This Row],[STATUS DA ETAPA]],"")</f>
        <v/>
      </c>
      <c r="CL781" s="22" t="str">
        <f>IF([1]!BANCO10[[#This Row],[SOLUÇÃO]]=CL$1,[1]!BANCO10[[#This Row],[STATUS DA ETAPA]],"")</f>
        <v/>
      </c>
      <c r="CM781" s="64" t="str">
        <f>IF([1]!BANCO10[[#This Row],[SOLUÇÃO]]=CM$1,[1]!BANCO10[[#This Row],[STATUS DA ETAPA]],"")</f>
        <v/>
      </c>
      <c r="CN781" s="64" t="str">
        <f>IF([1]!BANCO10[[#This Row],[SOLUÇÃO]]=CN$1,[1]!BANCO10[[#This Row],[STATUS DA ETAPA]],"")</f>
        <v/>
      </c>
      <c r="CO781" s="64" t="str">
        <f>IF([1]!BANCO10[[#This Row],[SOLUÇÃO]]=CO$1,[1]!BANCO10[[#This Row],[STATUS DA ETAPA]],"")</f>
        <v/>
      </c>
      <c r="CP781" s="64" t="str">
        <f>IF([1]!BANCO10[[#This Row],[SOLUÇÃO]]=CP$1,[1]!BANCO10[[#This Row],[STATUS DA ETAPA]],"")</f>
        <v/>
      </c>
      <c r="CQ781" s="64" t="str">
        <f>IF([1]!BANCO10[[#This Row],[SOLUÇÃO]]=CQ$1,[1]!BANCO10[[#This Row],[STATUS DA ETAPA]],"")</f>
        <v/>
      </c>
      <c r="CR781" s="64" t="str">
        <f>IF([1]!BANCO10[[#This Row],[SOLUÇÃO]]=CR$1,[1]!BANCO10[[#This Row],[STATUS DA ETAPA]],"")</f>
        <v/>
      </c>
      <c r="CS781" s="64" t="str">
        <f>IF([1]!BANCO10[[#This Row],[SOLUÇÃO]]=CS$1,[1]!BANCO10[[#This Row],[STATUS DA ETAPA]],"")</f>
        <v/>
      </c>
      <c r="CT781" s="64" t="str">
        <f>IF([1]!BANCO10[[#This Row],[SOLUÇÃO]]=CT$1,[1]!BANCO10[[#This Row],[STATUS DA ETAPA]],"")</f>
        <v/>
      </c>
      <c r="CU781" s="64" t="str">
        <f>IF([1]!BANCO10[[#This Row],[SOLUÇÃO]]=CU$1,[1]!BANCO10[[#This Row],[STATUS DA ETAPA]],"")</f>
        <v/>
      </c>
      <c r="CV781" s="64" t="str">
        <f>IF([1]!BANCO10[[#This Row],[SOLUÇÃO]]=CV$1,[1]!BANCO10[[#This Row],[STATUS DA ETAPA]],"")</f>
        <v/>
      </c>
    </row>
    <row r="782" spans="1:100">
      <c r="A782" s="44" t="s">
        <v>1</v>
      </c>
      <c r="B782" s="44"/>
      <c r="C782" s="44" t="s">
        <v>1</v>
      </c>
      <c r="D782" s="44"/>
      <c r="E782" s="44" t="s">
        <v>1</v>
      </c>
      <c r="F782" s="44"/>
      <c r="G782" s="44" t="s">
        <v>1</v>
      </c>
      <c r="H782" s="44"/>
      <c r="I782" s="45" t="s">
        <v>1</v>
      </c>
      <c r="J782" s="46"/>
      <c r="K782" s="45" t="s">
        <v>1</v>
      </c>
      <c r="L782" s="33"/>
      <c r="M782" s="45" t="s">
        <v>1</v>
      </c>
      <c r="N782" s="33"/>
      <c r="O782" s="44" t="s">
        <v>1</v>
      </c>
      <c r="P782" s="44"/>
      <c r="Q782" s="44" t="s">
        <v>1</v>
      </c>
      <c r="R782" s="44"/>
      <c r="S782" s="44" t="s">
        <v>1</v>
      </c>
      <c r="T782" s="44"/>
      <c r="U782" s="44" t="s">
        <v>1</v>
      </c>
      <c r="V782" s="44"/>
      <c r="W782" s="44" t="s">
        <v>1</v>
      </c>
      <c r="X782" s="44"/>
      <c r="Y782" s="44" t="s">
        <v>1</v>
      </c>
      <c r="Z782" s="44"/>
      <c r="AA782" s="44" t="s">
        <v>1</v>
      </c>
      <c r="AB782" s="44"/>
      <c r="AC782" s="51">
        <v>45145</v>
      </c>
      <c r="AD782" s="50">
        <v>45389</v>
      </c>
      <c r="AE782" s="40" t="s">
        <v>2</v>
      </c>
      <c r="AF782" s="41" t="s">
        <v>2</v>
      </c>
      <c r="AG782" s="40" t="s">
        <v>5</v>
      </c>
      <c r="AH782" s="36" t="s">
        <v>0</v>
      </c>
      <c r="AI782" s="49">
        <v>0</v>
      </c>
      <c r="AJ782" s="36" t="s">
        <v>6</v>
      </c>
      <c r="AK782" s="10" t="s">
        <v>1</v>
      </c>
      <c r="AL782" s="36" t="s">
        <v>1</v>
      </c>
      <c r="AM782" s="36" t="s">
        <v>1</v>
      </c>
      <c r="AN782" s="35" t="s">
        <v>1</v>
      </c>
      <c r="AO782" s="35" t="s">
        <v>1</v>
      </c>
      <c r="AP782" s="35"/>
      <c r="AQ782" s="35" t="s">
        <v>1</v>
      </c>
      <c r="AR782" s="33" t="s">
        <v>1</v>
      </c>
      <c r="AS782" s="33"/>
      <c r="AT782" s="30"/>
      <c r="AU782" s="55"/>
      <c r="AV782" s="30"/>
      <c r="AW782" s="55"/>
      <c r="AX782" s="30" t="s">
        <v>2</v>
      </c>
      <c r="AY782" s="55">
        <v>45389</v>
      </c>
      <c r="AZ782" s="30" t="s">
        <v>0</v>
      </c>
      <c r="BA782" s="91"/>
      <c r="BB782" s="39" t="s">
        <v>95</v>
      </c>
      <c r="BC782" s="25"/>
      <c r="BD782" s="24" t="s">
        <v>11</v>
      </c>
      <c r="BE782" s="24" t="s">
        <v>11</v>
      </c>
      <c r="BF782" s="79" t="s">
        <v>11</v>
      </c>
      <c r="BG782" s="79" t="s">
        <v>11</v>
      </c>
      <c r="BH782" s="80" t="s">
        <v>11</v>
      </c>
      <c r="BI782" s="79"/>
      <c r="BJ782" s="54" t="s">
        <v>11</v>
      </c>
      <c r="BK782" s="78" t="s">
        <v>11</v>
      </c>
      <c r="BL782" s="69" t="s">
        <v>11</v>
      </c>
      <c r="BM782" s="78" t="s">
        <v>11</v>
      </c>
      <c r="BN782" s="78" t="s">
        <v>11</v>
      </c>
      <c r="BO782" s="78" t="s">
        <v>11</v>
      </c>
      <c r="BP782" s="78" t="s">
        <v>11</v>
      </c>
      <c r="BQ782" s="21">
        <f>YEAR([1]!BANCO10[[#This Row],[DATA INÍCIO]])</f>
        <v>2023</v>
      </c>
      <c r="BR782" s="21">
        <f>MONTH([1]!BANCO10[[#This Row],[DATA INÍCIO]])</f>
        <v>8</v>
      </c>
      <c r="BS782" s="21" t="e">
        <f>CONCATENATE(#REF!,#REF!)</f>
        <v>#REF!</v>
      </c>
      <c r="BT782" s="21"/>
      <c r="BU782" s="21" t="s">
        <v>93</v>
      </c>
      <c r="BV782" s="21" t="str">
        <f>IF([1]!BANCO10[[#This Row],[SOLUÇÃO]]=BV$1,[1]!BANCO10[[#This Row],[STATUS DA ETAPA]],"")</f>
        <v/>
      </c>
      <c r="BW782" s="21" t="str">
        <f>IF([1]!BANCO10[[#This Row],[SOLUÇÃO]]=BW$1,[1]!BANCO10[[#This Row],[STATUS DA ETAPA]],"")</f>
        <v/>
      </c>
      <c r="BX782" s="21" t="str">
        <f>IF([1]!BANCO10[[#This Row],[SOLUÇÃO]]=BX$1,[1]!BANCO10[[#This Row],[STATUS DA ETAPA]],"")</f>
        <v/>
      </c>
      <c r="BY782" s="21" t="str">
        <f>IF([1]!BANCO10[[#This Row],[SOLUÇÃO]]=BY$1,[1]!BANCO10[[#This Row],[STATUS DA ETAPA]],"")</f>
        <v/>
      </c>
      <c r="BZ782" s="21" t="str">
        <f>IF([1]!BANCO10[[#This Row],[SOLUÇÃO]]=BZ$1,[1]!BANCO10[[#This Row],[STATUS DA ETAPA]],"")</f>
        <v/>
      </c>
      <c r="CA782" s="21" t="str">
        <f>IF([1]!BANCO10[[#This Row],[SOLUÇÃO]]=CA$1,[1]!BANCO10[[#This Row],[STATUS DA ETAPA]],"")</f>
        <v/>
      </c>
      <c r="CB782" s="21" t="str">
        <f>IF([1]!BANCO10[[#This Row],[SOLUÇÃO]]=CB$1,[1]!BANCO10[[#This Row],[STATUS DA ETAPA]],"")</f>
        <v>CONCLUÍDO</v>
      </c>
      <c r="CC782" s="21" t="str">
        <f>IF([1]!BANCO10[[#This Row],[SOLUÇÃO]]=CC$1,[1]!BANCO10[[#This Row],[STATUS DA ETAPA]],"")</f>
        <v/>
      </c>
      <c r="CD782" s="21" t="str">
        <f>IF([1]!BANCO10[[#This Row],[SOLUÇÃO]]=CD$1,[1]!BANCO10[[#This Row],[STATUS DA ETAPA]],"")</f>
        <v/>
      </c>
      <c r="CE782" s="21" t="str">
        <f>IF([1]!BANCO10[[#This Row],[SOLUÇÃO]]=CE$1,[1]!BANCO10[[#This Row],[STATUS DA ETAPA]],"")</f>
        <v/>
      </c>
      <c r="CF782" s="21" t="str">
        <f>IF([1]!BANCO10[[#This Row],[SOLUÇÃO]]=CF$1,[1]!BANCO10[[#This Row],[STATUS DA ETAPA]],"")</f>
        <v/>
      </c>
      <c r="CG782" s="21" t="str">
        <f>IF([1]!BANCO10[[#This Row],[SOLUÇÃO]]=CG$1,[1]!BANCO10[[#This Row],[STATUS DA ETAPA]],"")</f>
        <v/>
      </c>
      <c r="CH782" s="21" t="str">
        <f>IF([1]!BANCO10[[#This Row],[SOLUÇÃO]]=CH$1,[1]!BANCO10[[#This Row],[STATUS DA ETAPA]],"")</f>
        <v/>
      </c>
      <c r="CI782" s="21" t="str">
        <f>IF([1]!BANCO10[[#This Row],[SOLUÇÃO]]=CI$1,[1]!BANCO10[[#This Row],[STATUS DA ETAPA]],"")</f>
        <v/>
      </c>
      <c r="CJ782" s="21" t="str">
        <f>IF([1]!BANCO10[[#This Row],[SOLUÇÃO]]=CJ$1,[1]!BANCO10[[#This Row],[STATUS DA ETAPA]],"")</f>
        <v/>
      </c>
      <c r="CK782" s="21" t="str">
        <f>IF([1]!BANCO10[[#This Row],[SOLUÇÃO]]=CK$1,[1]!BANCO10[[#This Row],[STATUS DA ETAPA]],"")</f>
        <v/>
      </c>
      <c r="CL782" s="22" t="str">
        <f>IF([1]!BANCO10[[#This Row],[SOLUÇÃO]]=CL$1,[1]!BANCO10[[#This Row],[STATUS DA ETAPA]],"")</f>
        <v/>
      </c>
      <c r="CM782" s="64" t="str">
        <f>IF([1]!BANCO10[[#This Row],[SOLUÇÃO]]=CM$1,[1]!BANCO10[[#This Row],[STATUS DA ETAPA]],"")</f>
        <v/>
      </c>
      <c r="CN782" s="64" t="str">
        <f>IF([1]!BANCO10[[#This Row],[SOLUÇÃO]]=CN$1,[1]!BANCO10[[#This Row],[STATUS DA ETAPA]],"")</f>
        <v/>
      </c>
      <c r="CO782" s="64" t="str">
        <f>IF([1]!BANCO10[[#This Row],[SOLUÇÃO]]=CO$1,[1]!BANCO10[[#This Row],[STATUS DA ETAPA]],"")</f>
        <v/>
      </c>
      <c r="CP782" s="64" t="str">
        <f>IF([1]!BANCO10[[#This Row],[SOLUÇÃO]]=CP$1,[1]!BANCO10[[#This Row],[STATUS DA ETAPA]],"")</f>
        <v/>
      </c>
      <c r="CQ782" s="64" t="str">
        <f>IF([1]!BANCO10[[#This Row],[SOLUÇÃO]]=CQ$1,[1]!BANCO10[[#This Row],[STATUS DA ETAPA]],"")</f>
        <v/>
      </c>
      <c r="CR782" s="64" t="str">
        <f>IF([1]!BANCO10[[#This Row],[SOLUÇÃO]]=CR$1,[1]!BANCO10[[#This Row],[STATUS DA ETAPA]],"")</f>
        <v/>
      </c>
      <c r="CS782" s="64" t="str">
        <f>IF([1]!BANCO10[[#This Row],[SOLUÇÃO]]=CS$1,[1]!BANCO10[[#This Row],[STATUS DA ETAPA]],"")</f>
        <v/>
      </c>
      <c r="CT782" s="64" t="str">
        <f>IF([1]!BANCO10[[#This Row],[SOLUÇÃO]]=CT$1,[1]!BANCO10[[#This Row],[STATUS DA ETAPA]],"")</f>
        <v/>
      </c>
      <c r="CU782" s="64" t="str">
        <f>IF([1]!BANCO10[[#This Row],[SOLUÇÃO]]=CU$1,[1]!BANCO10[[#This Row],[STATUS DA ETAPA]],"")</f>
        <v/>
      </c>
      <c r="CV782" s="64" t="str">
        <f>IF([1]!BANCO10[[#This Row],[SOLUÇÃO]]=CV$1,[1]!BANCO10[[#This Row],[STATUS DA ETAPA]],"")</f>
        <v/>
      </c>
    </row>
    <row r="783" spans="1:100">
      <c r="A783" s="44" t="s">
        <v>1</v>
      </c>
      <c r="B783" s="44"/>
      <c r="C783" s="44" t="s">
        <v>1</v>
      </c>
      <c r="D783" s="44"/>
      <c r="E783" s="44" t="s">
        <v>1</v>
      </c>
      <c r="F783" s="44"/>
      <c r="G783" s="44" t="s">
        <v>1</v>
      </c>
      <c r="H783" s="44"/>
      <c r="I783" s="45" t="s">
        <v>1</v>
      </c>
      <c r="J783" s="46"/>
      <c r="K783" s="45" t="s">
        <v>1</v>
      </c>
      <c r="L783" s="33"/>
      <c r="M783" s="45" t="s">
        <v>1</v>
      </c>
      <c r="N783" s="33"/>
      <c r="O783" s="44" t="s">
        <v>1</v>
      </c>
      <c r="P783" s="44"/>
      <c r="Q783" s="44" t="s">
        <v>1</v>
      </c>
      <c r="R783" s="44"/>
      <c r="S783" s="44" t="s">
        <v>1</v>
      </c>
      <c r="T783" s="44"/>
      <c r="U783" s="44" t="s">
        <v>1</v>
      </c>
      <c r="V783" s="44"/>
      <c r="W783" s="44" t="s">
        <v>1</v>
      </c>
      <c r="X783" s="44"/>
      <c r="Y783" s="44" t="s">
        <v>1</v>
      </c>
      <c r="Z783" s="44"/>
      <c r="AA783" s="44" t="s">
        <v>1</v>
      </c>
      <c r="AB783" s="44"/>
      <c r="AC783" s="51">
        <v>45145</v>
      </c>
      <c r="AD783" s="51">
        <v>45389</v>
      </c>
      <c r="AE783" s="40" t="s">
        <v>2</v>
      </c>
      <c r="AF783" s="41" t="s">
        <v>2</v>
      </c>
      <c r="AG783" s="40" t="s">
        <v>5</v>
      </c>
      <c r="AH783" s="36" t="s">
        <v>0</v>
      </c>
      <c r="AI783" s="49">
        <v>0</v>
      </c>
      <c r="AJ783" s="36" t="s">
        <v>6</v>
      </c>
      <c r="AK783" s="10" t="s">
        <v>1</v>
      </c>
      <c r="AL783" s="36" t="s">
        <v>1</v>
      </c>
      <c r="AM783" s="36" t="s">
        <v>1</v>
      </c>
      <c r="AN783" s="35" t="s">
        <v>1</v>
      </c>
      <c r="AO783" s="35" t="s">
        <v>1</v>
      </c>
      <c r="AP783" s="35"/>
      <c r="AQ783" s="35" t="s">
        <v>1</v>
      </c>
      <c r="AR783" s="33" t="s">
        <v>1</v>
      </c>
      <c r="AS783" s="33"/>
      <c r="AT783" s="30"/>
      <c r="AU783" s="55"/>
      <c r="AV783" s="30"/>
      <c r="AW783" s="55"/>
      <c r="AX783" s="30" t="s">
        <v>2</v>
      </c>
      <c r="AY783" s="55">
        <v>45389</v>
      </c>
      <c r="AZ783" s="30" t="s">
        <v>0</v>
      </c>
      <c r="BA783" s="91"/>
      <c r="BB783" s="39" t="s">
        <v>95</v>
      </c>
      <c r="BC783" s="25"/>
      <c r="BD783" s="24" t="s">
        <v>11</v>
      </c>
      <c r="BE783" s="24" t="s">
        <v>11</v>
      </c>
      <c r="BF783" s="79" t="s">
        <v>11</v>
      </c>
      <c r="BG783" s="79" t="s">
        <v>11</v>
      </c>
      <c r="BH783" s="80" t="s">
        <v>11</v>
      </c>
      <c r="BI783" s="79"/>
      <c r="BJ783" s="54" t="s">
        <v>11</v>
      </c>
      <c r="BK783" s="78" t="s">
        <v>11</v>
      </c>
      <c r="BL783" s="69">
        <v>45412</v>
      </c>
      <c r="BM783" s="78" t="s">
        <v>11</v>
      </c>
      <c r="BN783" s="78" t="s">
        <v>11</v>
      </c>
      <c r="BO783" s="78" t="s">
        <v>11</v>
      </c>
      <c r="BP783" s="78" t="s">
        <v>94</v>
      </c>
      <c r="BQ783" s="21">
        <f>YEAR([1]!BANCO10[[#This Row],[DATA INÍCIO]])</f>
        <v>2023</v>
      </c>
      <c r="BR783" s="21">
        <f>MONTH([1]!BANCO10[[#This Row],[DATA INÍCIO]])</f>
        <v>8</v>
      </c>
      <c r="BS783" s="21" t="e">
        <f>CONCATENATE(#REF!,#REF!)</f>
        <v>#REF!</v>
      </c>
      <c r="BT783" s="21"/>
      <c r="BU783" s="21" t="s">
        <v>93</v>
      </c>
      <c r="BV783" s="21" t="str">
        <f>IF([1]!BANCO10[[#This Row],[SOLUÇÃO]]=BV$1,[1]!BANCO10[[#This Row],[STATUS DA ETAPA]],"")</f>
        <v/>
      </c>
      <c r="BW783" s="21" t="str">
        <f>IF([1]!BANCO10[[#This Row],[SOLUÇÃO]]=BW$1,[1]!BANCO10[[#This Row],[STATUS DA ETAPA]],"")</f>
        <v/>
      </c>
      <c r="BX783" s="21" t="str">
        <f>IF([1]!BANCO10[[#This Row],[SOLUÇÃO]]=BX$1,[1]!BANCO10[[#This Row],[STATUS DA ETAPA]],"")</f>
        <v/>
      </c>
      <c r="BY783" s="21" t="str">
        <f>IF([1]!BANCO10[[#This Row],[SOLUÇÃO]]=BY$1,[1]!BANCO10[[#This Row],[STATUS DA ETAPA]],"")</f>
        <v/>
      </c>
      <c r="BZ783" s="21" t="str">
        <f>IF([1]!BANCO10[[#This Row],[SOLUÇÃO]]=BZ$1,[1]!BANCO10[[#This Row],[STATUS DA ETAPA]],"")</f>
        <v/>
      </c>
      <c r="CA783" s="21" t="str">
        <f>IF([1]!BANCO10[[#This Row],[SOLUÇÃO]]=CA$1,[1]!BANCO10[[#This Row],[STATUS DA ETAPA]],"")</f>
        <v/>
      </c>
      <c r="CB783" s="21" t="str">
        <f>IF([1]!BANCO10[[#This Row],[SOLUÇÃO]]=CB$1,[1]!BANCO10[[#This Row],[STATUS DA ETAPA]],"")</f>
        <v>CONCLUÍDO</v>
      </c>
      <c r="CC783" s="21" t="str">
        <f>IF([1]!BANCO10[[#This Row],[SOLUÇÃO]]=CC$1,[1]!BANCO10[[#This Row],[STATUS DA ETAPA]],"")</f>
        <v/>
      </c>
      <c r="CD783" s="21" t="str">
        <f>IF([1]!BANCO10[[#This Row],[SOLUÇÃO]]=CD$1,[1]!BANCO10[[#This Row],[STATUS DA ETAPA]],"")</f>
        <v/>
      </c>
      <c r="CE783" s="21" t="str">
        <f>IF([1]!BANCO10[[#This Row],[SOLUÇÃO]]=CE$1,[1]!BANCO10[[#This Row],[STATUS DA ETAPA]],"")</f>
        <v/>
      </c>
      <c r="CF783" s="21" t="str">
        <f>IF([1]!BANCO10[[#This Row],[SOLUÇÃO]]=CF$1,[1]!BANCO10[[#This Row],[STATUS DA ETAPA]],"")</f>
        <v/>
      </c>
      <c r="CG783" s="21" t="str">
        <f>IF([1]!BANCO10[[#This Row],[SOLUÇÃO]]=CG$1,[1]!BANCO10[[#This Row],[STATUS DA ETAPA]],"")</f>
        <v/>
      </c>
      <c r="CH783" s="21" t="str">
        <f>IF([1]!BANCO10[[#This Row],[SOLUÇÃO]]=CH$1,[1]!BANCO10[[#This Row],[STATUS DA ETAPA]],"")</f>
        <v/>
      </c>
      <c r="CI783" s="21" t="str">
        <f>IF([1]!BANCO10[[#This Row],[SOLUÇÃO]]=CI$1,[1]!BANCO10[[#This Row],[STATUS DA ETAPA]],"")</f>
        <v/>
      </c>
      <c r="CJ783" s="21" t="str">
        <f>IF([1]!BANCO10[[#This Row],[SOLUÇÃO]]=CJ$1,[1]!BANCO10[[#This Row],[STATUS DA ETAPA]],"")</f>
        <v/>
      </c>
      <c r="CK783" s="21" t="str">
        <f>IF([1]!BANCO10[[#This Row],[SOLUÇÃO]]=CK$1,[1]!BANCO10[[#This Row],[STATUS DA ETAPA]],"")</f>
        <v/>
      </c>
      <c r="CL783" s="22" t="str">
        <f>IF([1]!BANCO10[[#This Row],[SOLUÇÃO]]=CL$1,[1]!BANCO10[[#This Row],[STATUS DA ETAPA]],"")</f>
        <v/>
      </c>
      <c r="CM783" s="64" t="str">
        <f>IF([1]!BANCO10[[#This Row],[SOLUÇÃO]]=CM$1,[1]!BANCO10[[#This Row],[STATUS DA ETAPA]],"")</f>
        <v/>
      </c>
      <c r="CN783" s="64" t="str">
        <f>IF([1]!BANCO10[[#This Row],[SOLUÇÃO]]=CN$1,[1]!BANCO10[[#This Row],[STATUS DA ETAPA]],"")</f>
        <v/>
      </c>
      <c r="CO783" s="64" t="str">
        <f>IF([1]!BANCO10[[#This Row],[SOLUÇÃO]]=CO$1,[1]!BANCO10[[#This Row],[STATUS DA ETAPA]],"")</f>
        <v/>
      </c>
      <c r="CP783" s="64" t="str">
        <f>IF([1]!BANCO10[[#This Row],[SOLUÇÃO]]=CP$1,[1]!BANCO10[[#This Row],[STATUS DA ETAPA]],"")</f>
        <v/>
      </c>
      <c r="CQ783" s="64" t="str">
        <f>IF([1]!BANCO10[[#This Row],[SOLUÇÃO]]=CQ$1,[1]!BANCO10[[#This Row],[STATUS DA ETAPA]],"")</f>
        <v/>
      </c>
      <c r="CR783" s="64" t="str">
        <f>IF([1]!BANCO10[[#This Row],[SOLUÇÃO]]=CR$1,[1]!BANCO10[[#This Row],[STATUS DA ETAPA]],"")</f>
        <v/>
      </c>
      <c r="CS783" s="64" t="str">
        <f>IF([1]!BANCO10[[#This Row],[SOLUÇÃO]]=CS$1,[1]!BANCO10[[#This Row],[STATUS DA ETAPA]],"")</f>
        <v/>
      </c>
      <c r="CT783" s="64" t="str">
        <f>IF([1]!BANCO10[[#This Row],[SOLUÇÃO]]=CT$1,[1]!BANCO10[[#This Row],[STATUS DA ETAPA]],"")</f>
        <v/>
      </c>
      <c r="CU783" s="64" t="str">
        <f>IF([1]!BANCO10[[#This Row],[SOLUÇÃO]]=CU$1,[1]!BANCO10[[#This Row],[STATUS DA ETAPA]],"")</f>
        <v/>
      </c>
      <c r="CV783" s="64" t="str">
        <f>IF([1]!BANCO10[[#This Row],[SOLUÇÃO]]=CV$1,[1]!BANCO10[[#This Row],[STATUS DA ETAPA]],"")</f>
        <v/>
      </c>
    </row>
    <row r="784" spans="1:100">
      <c r="A784" s="44" t="s">
        <v>1</v>
      </c>
      <c r="B784" s="44"/>
      <c r="C784" s="44" t="s">
        <v>1</v>
      </c>
      <c r="D784" s="44"/>
      <c r="E784" s="44" t="s">
        <v>1</v>
      </c>
      <c r="F784" s="44"/>
      <c r="G784" s="44" t="s">
        <v>1</v>
      </c>
      <c r="H784" s="44"/>
      <c r="I784" s="45" t="s">
        <v>1</v>
      </c>
      <c r="J784" s="46"/>
      <c r="K784" s="45" t="s">
        <v>1</v>
      </c>
      <c r="L784" s="33"/>
      <c r="M784" s="45" t="s">
        <v>1</v>
      </c>
      <c r="N784" s="33"/>
      <c r="O784" s="44" t="s">
        <v>1</v>
      </c>
      <c r="P784" s="44"/>
      <c r="Q784" s="44" t="s">
        <v>1</v>
      </c>
      <c r="R784" s="44"/>
      <c r="S784" s="44" t="s">
        <v>1</v>
      </c>
      <c r="T784" s="44"/>
      <c r="U784" s="44" t="s">
        <v>1</v>
      </c>
      <c r="V784" s="44"/>
      <c r="W784" s="44" t="s">
        <v>1</v>
      </c>
      <c r="X784" s="44"/>
      <c r="Y784" s="44" t="s">
        <v>1</v>
      </c>
      <c r="Z784" s="44"/>
      <c r="AA784" s="44" t="s">
        <v>1</v>
      </c>
      <c r="AB784" s="44"/>
      <c r="AC784" s="51">
        <v>45963</v>
      </c>
      <c r="AD784" s="50">
        <v>45963</v>
      </c>
      <c r="AE784" s="40" t="s">
        <v>1</v>
      </c>
      <c r="AF784" s="40" t="s">
        <v>1</v>
      </c>
      <c r="AG784" s="40" t="s">
        <v>1</v>
      </c>
      <c r="AH784" s="36" t="s">
        <v>1</v>
      </c>
      <c r="AI784" s="49">
        <v>0</v>
      </c>
      <c r="AJ784" s="36" t="s">
        <v>1</v>
      </c>
      <c r="AK784" s="10" t="s">
        <v>1</v>
      </c>
      <c r="AL784" s="36" t="s">
        <v>1</v>
      </c>
      <c r="AM784" s="36" t="s">
        <v>1</v>
      </c>
      <c r="AN784" s="35" t="s">
        <v>1</v>
      </c>
      <c r="AO784" s="35" t="s">
        <v>1</v>
      </c>
      <c r="AP784" s="35" t="s">
        <v>1</v>
      </c>
      <c r="AQ784" s="35" t="s">
        <v>1</v>
      </c>
      <c r="AR784" s="48" t="s">
        <v>1</v>
      </c>
      <c r="AS784" s="63"/>
      <c r="AT784" s="32" t="s">
        <v>1</v>
      </c>
      <c r="AU784" s="31"/>
      <c r="AV784" s="32" t="s">
        <v>1</v>
      </c>
      <c r="AW784" s="31"/>
      <c r="AX784" s="32" t="s">
        <v>1</v>
      </c>
      <c r="AY784" s="31"/>
      <c r="AZ784" s="32" t="s">
        <v>1</v>
      </c>
      <c r="BA784" s="47"/>
      <c r="BB784" s="39" t="s">
        <v>92</v>
      </c>
      <c r="BC784" s="25"/>
      <c r="BD784" s="24" t="s">
        <v>11</v>
      </c>
      <c r="BE784" s="24" t="s">
        <v>11</v>
      </c>
      <c r="BF784" s="79" t="s">
        <v>11</v>
      </c>
      <c r="BG784" s="79" t="s">
        <v>11</v>
      </c>
      <c r="BH784" s="80" t="s">
        <v>11</v>
      </c>
      <c r="BI784" s="79"/>
      <c r="BJ784" s="54" t="s">
        <v>11</v>
      </c>
      <c r="BK784" s="78" t="s">
        <v>11</v>
      </c>
      <c r="BL784" s="69" t="s">
        <v>11</v>
      </c>
      <c r="BM784" s="78" t="s">
        <v>11</v>
      </c>
      <c r="BN784" s="78" t="s">
        <v>11</v>
      </c>
      <c r="BO784" s="78" t="s">
        <v>11</v>
      </c>
      <c r="BP784" s="78" t="s">
        <v>11</v>
      </c>
      <c r="BQ784" s="21">
        <f>YEAR([1]!BANCO10[[#This Row],[DATA INÍCIO]])</f>
        <v>2025</v>
      </c>
      <c r="BR784" s="21">
        <f>MONTH([1]!BANCO10[[#This Row],[DATA INÍCIO]])</f>
        <v>11</v>
      </c>
      <c r="BS784" s="21" t="e">
        <f>CONCATENATE(#REF!,#REF!)</f>
        <v>#REF!</v>
      </c>
      <c r="BT784" s="21"/>
      <c r="BU784" s="21" t="s">
        <v>1</v>
      </c>
      <c r="BV784" s="21" t="str">
        <f>IF([1]!BANCO10[[#This Row],[SOLUÇÃO]]=BV$1,[1]!BANCO10[[#This Row],[STATUS DA ETAPA]],"")</f>
        <v>CANCELADO</v>
      </c>
      <c r="BW784" s="21" t="str">
        <f>IF([1]!BANCO10[[#This Row],[SOLUÇÃO]]=BW$1,[1]!BANCO10[[#This Row],[STATUS DA ETAPA]],"")</f>
        <v/>
      </c>
      <c r="BX784" s="21" t="str">
        <f>IF([1]!BANCO10[[#This Row],[SOLUÇÃO]]=BX$1,[1]!BANCO10[[#This Row],[STATUS DA ETAPA]],"")</f>
        <v/>
      </c>
      <c r="BY784" s="21" t="str">
        <f>IF([1]!BANCO10[[#This Row],[SOLUÇÃO]]=BY$1,[1]!BANCO10[[#This Row],[STATUS DA ETAPA]],"")</f>
        <v/>
      </c>
      <c r="BZ784" s="21" t="str">
        <f>IF([1]!BANCO10[[#This Row],[SOLUÇÃO]]=BZ$1,[1]!BANCO10[[#This Row],[STATUS DA ETAPA]],"")</f>
        <v/>
      </c>
      <c r="CA784" s="21" t="str">
        <f>IF([1]!BANCO10[[#This Row],[SOLUÇÃO]]=CA$1,[1]!BANCO10[[#This Row],[STATUS DA ETAPA]],"")</f>
        <v/>
      </c>
      <c r="CB784" s="21" t="str">
        <f>IF([1]!BANCO10[[#This Row],[SOLUÇÃO]]=CB$1,[1]!BANCO10[[#This Row],[STATUS DA ETAPA]],"")</f>
        <v/>
      </c>
      <c r="CC784" s="21" t="str">
        <f>IF([1]!BANCO10[[#This Row],[SOLUÇÃO]]=CC$1,[1]!BANCO10[[#This Row],[STATUS DA ETAPA]],"")</f>
        <v/>
      </c>
      <c r="CD784" s="21" t="str">
        <f>IF([1]!BANCO10[[#This Row],[SOLUÇÃO]]=CD$1,[1]!BANCO10[[#This Row],[STATUS DA ETAPA]],"")</f>
        <v/>
      </c>
      <c r="CE784" s="21" t="str">
        <f>IF([1]!BANCO10[[#This Row],[SOLUÇÃO]]=CE$1,[1]!BANCO10[[#This Row],[STATUS DA ETAPA]],"")</f>
        <v/>
      </c>
      <c r="CF784" s="21" t="str">
        <f>IF([1]!BANCO10[[#This Row],[SOLUÇÃO]]=CF$1,[1]!BANCO10[[#This Row],[STATUS DA ETAPA]],"")</f>
        <v/>
      </c>
      <c r="CG784" s="21" t="str">
        <f>IF([1]!BANCO10[[#This Row],[SOLUÇÃO]]=CG$1,[1]!BANCO10[[#This Row],[STATUS DA ETAPA]],"")</f>
        <v/>
      </c>
      <c r="CH784" s="21" t="str">
        <f>IF([1]!BANCO10[[#This Row],[SOLUÇÃO]]=CH$1,[1]!BANCO10[[#This Row],[STATUS DA ETAPA]],"")</f>
        <v/>
      </c>
      <c r="CI784" s="21" t="str">
        <f>IF([1]!BANCO10[[#This Row],[SOLUÇÃO]]=CI$1,[1]!BANCO10[[#This Row],[STATUS DA ETAPA]],"")</f>
        <v/>
      </c>
      <c r="CJ784" s="21" t="str">
        <f>IF([1]!BANCO10[[#This Row],[SOLUÇÃO]]=CJ$1,[1]!BANCO10[[#This Row],[STATUS DA ETAPA]],"")</f>
        <v/>
      </c>
      <c r="CK784" s="21" t="str">
        <f>IF([1]!BANCO10[[#This Row],[SOLUÇÃO]]=CK$1,[1]!BANCO10[[#This Row],[STATUS DA ETAPA]],"")</f>
        <v/>
      </c>
      <c r="CL784" s="22" t="str">
        <f>IF([1]!BANCO10[[#This Row],[SOLUÇÃO]]=CL$1,[1]!BANCO10[[#This Row],[STATUS DA ETAPA]],"")</f>
        <v/>
      </c>
      <c r="CM784" s="64" t="str">
        <f>IF([1]!BANCO10[[#This Row],[SOLUÇÃO]]=CM$1,[1]!BANCO10[[#This Row],[STATUS DA ETAPA]],"")</f>
        <v/>
      </c>
      <c r="CN784" s="64" t="str">
        <f>IF([1]!BANCO10[[#This Row],[SOLUÇÃO]]=CN$1,[1]!BANCO10[[#This Row],[STATUS DA ETAPA]],"")</f>
        <v/>
      </c>
      <c r="CO784" s="64" t="str">
        <f>IF([1]!BANCO10[[#This Row],[SOLUÇÃO]]=CO$1,[1]!BANCO10[[#This Row],[STATUS DA ETAPA]],"")</f>
        <v/>
      </c>
      <c r="CP784" s="64" t="str">
        <f>IF([1]!BANCO10[[#This Row],[SOLUÇÃO]]=CP$1,[1]!BANCO10[[#This Row],[STATUS DA ETAPA]],"")</f>
        <v/>
      </c>
      <c r="CQ784" s="64" t="str">
        <f>IF([1]!BANCO10[[#This Row],[SOLUÇÃO]]=CQ$1,[1]!BANCO10[[#This Row],[STATUS DA ETAPA]],"")</f>
        <v/>
      </c>
      <c r="CR784" s="64" t="str">
        <f>IF([1]!BANCO10[[#This Row],[SOLUÇÃO]]=CR$1,[1]!BANCO10[[#This Row],[STATUS DA ETAPA]],"")</f>
        <v/>
      </c>
      <c r="CS784" s="64" t="str">
        <f>IF([1]!BANCO10[[#This Row],[SOLUÇÃO]]=CS$1,[1]!BANCO10[[#This Row],[STATUS DA ETAPA]],"")</f>
        <v/>
      </c>
      <c r="CT784" s="64" t="str">
        <f>IF([1]!BANCO10[[#This Row],[SOLUÇÃO]]=CT$1,[1]!BANCO10[[#This Row],[STATUS DA ETAPA]],"")</f>
        <v/>
      </c>
      <c r="CU784" s="64" t="str">
        <f>IF([1]!BANCO10[[#This Row],[SOLUÇÃO]]=CU$1,[1]!BANCO10[[#This Row],[STATUS DA ETAPA]],"")</f>
        <v/>
      </c>
      <c r="CV784" s="64" t="str">
        <f>IF([1]!BANCO10[[#This Row],[SOLUÇÃO]]=CV$1,[1]!BANCO10[[#This Row],[STATUS DA ETAPA]],"")</f>
        <v/>
      </c>
    </row>
    <row r="785" spans="1:100">
      <c r="A785" s="44" t="s">
        <v>2</v>
      </c>
      <c r="B785" s="44">
        <v>45749</v>
      </c>
      <c r="C785" s="44" t="s">
        <v>2</v>
      </c>
      <c r="D785" s="44">
        <v>45755</v>
      </c>
      <c r="E785" s="44" t="s">
        <v>2</v>
      </c>
      <c r="F785" s="44">
        <v>45757</v>
      </c>
      <c r="G785" s="44" t="s">
        <v>2</v>
      </c>
      <c r="H785" s="44">
        <v>45757</v>
      </c>
      <c r="I785" s="45" t="s">
        <v>2</v>
      </c>
      <c r="J785" s="46">
        <v>45709</v>
      </c>
      <c r="K785" s="45" t="s">
        <v>0</v>
      </c>
      <c r="L785" s="33"/>
      <c r="M785" s="45" t="s">
        <v>0</v>
      </c>
      <c r="N785" s="33"/>
      <c r="O785" s="44" t="s">
        <v>1</v>
      </c>
      <c r="P785" s="44"/>
      <c r="Q785" s="44" t="s">
        <v>1</v>
      </c>
      <c r="R785" s="44"/>
      <c r="S785" s="44" t="s">
        <v>2</v>
      </c>
      <c r="T785" s="44">
        <v>45708</v>
      </c>
      <c r="U785" s="44" t="s">
        <v>1</v>
      </c>
      <c r="V785" s="44"/>
      <c r="W785" s="44" t="s">
        <v>1</v>
      </c>
      <c r="X785" s="44"/>
      <c r="Y785" s="44" t="s">
        <v>1</v>
      </c>
      <c r="Z785" s="44"/>
      <c r="AA785" s="44" t="s">
        <v>1</v>
      </c>
      <c r="AB785" s="44"/>
      <c r="AC785" s="51">
        <v>46022</v>
      </c>
      <c r="AD785" s="50">
        <v>46022</v>
      </c>
      <c r="AE785" s="41" t="s">
        <v>0</v>
      </c>
      <c r="AF785" s="41" t="s">
        <v>0</v>
      </c>
      <c r="AG785" s="40" t="s">
        <v>5</v>
      </c>
      <c r="AH785" s="36" t="s">
        <v>0</v>
      </c>
      <c r="AI785" s="49">
        <v>20140</v>
      </c>
      <c r="AJ785" s="36" t="s">
        <v>3</v>
      </c>
      <c r="AK785" s="21">
        <v>711078</v>
      </c>
      <c r="AL785" s="36" t="s">
        <v>1</v>
      </c>
      <c r="AM785" s="36" t="s">
        <v>1</v>
      </c>
      <c r="AN785" s="94" t="s">
        <v>0</v>
      </c>
      <c r="AO785" s="94" t="s">
        <v>0</v>
      </c>
      <c r="AP785" s="94" t="s">
        <v>0</v>
      </c>
      <c r="AQ785" s="94" t="s">
        <v>0</v>
      </c>
      <c r="AR785" s="33" t="s">
        <v>0</v>
      </c>
      <c r="AS785" s="33"/>
      <c r="AT785" s="32" t="s">
        <v>0</v>
      </c>
      <c r="AU785" s="31"/>
      <c r="AV785" s="32" t="s">
        <v>0</v>
      </c>
      <c r="AW785" s="31"/>
      <c r="AX785" s="30" t="s">
        <v>0</v>
      </c>
      <c r="AY785" s="29"/>
      <c r="AZ785" s="28" t="s">
        <v>0</v>
      </c>
      <c r="BA785" s="81"/>
      <c r="BB785" s="26" t="s">
        <v>7</v>
      </c>
      <c r="BC785" s="25"/>
      <c r="BD785" s="24"/>
      <c r="BE785" s="24"/>
      <c r="BF785" s="24"/>
      <c r="BG785" s="24"/>
      <c r="BH785" s="24"/>
      <c r="BI785" s="24"/>
      <c r="BJ785" s="24"/>
      <c r="BK785" s="24"/>
      <c r="BL785" s="24"/>
      <c r="BM785" s="24"/>
      <c r="BN785" s="24"/>
      <c r="BO785" s="24"/>
      <c r="BP785" s="24"/>
      <c r="BQ785" s="22">
        <f>YEAR([1]!BANCO10[[#This Row],[DATA INÍCIO]])</f>
        <v>2025</v>
      </c>
      <c r="BR785" s="22">
        <f>MONTH([1]!BANCO10[[#This Row],[DATA INÍCIO]])</f>
        <v>12</v>
      </c>
      <c r="BS785" s="23" t="e">
        <f>CONCATENATE(#REF!,#REF!)</f>
        <v>#REF!</v>
      </c>
      <c r="BT785" s="22"/>
      <c r="BU785" s="22"/>
      <c r="BV785" s="21" t="str">
        <f>IF([1]!BANCO10[[#This Row],[SOLUÇÃO]]=BV$1,[1]!BANCO10[[#This Row],[STATUS DA ETAPA]],"")</f>
        <v/>
      </c>
      <c r="BW785" s="21" t="str">
        <f>IF([1]!BANCO10[[#This Row],[SOLUÇÃO]]=BW$1,[1]!BANCO10[[#This Row],[STATUS DA ETAPA]],"")</f>
        <v/>
      </c>
      <c r="BX785" s="21" t="str">
        <f>IF([1]!BANCO10[[#This Row],[SOLUÇÃO]]=BX$1,[1]!BANCO10[[#This Row],[STATUS DA ETAPA]],"")</f>
        <v/>
      </c>
      <c r="BY785" s="21" t="str">
        <f>IF([1]!BANCO10[[#This Row],[SOLUÇÃO]]=BY$1,[1]!BANCO10[[#This Row],[STATUS DA ETAPA]],"")</f>
        <v/>
      </c>
      <c r="BZ785" s="21" t="str">
        <f>IF([1]!BANCO10[[#This Row],[SOLUÇÃO]]=BZ$1,[1]!BANCO10[[#This Row],[STATUS DA ETAPA]],"")</f>
        <v/>
      </c>
      <c r="CA785" s="21" t="str">
        <f>IF([1]!BANCO10[[#This Row],[SOLUÇÃO]]=CA$1,[1]!BANCO10[[#This Row],[STATUS DA ETAPA]],"")</f>
        <v/>
      </c>
      <c r="CB785" s="21" t="str">
        <f>IF([1]!BANCO10[[#This Row],[SOLUÇÃO]]=CB$1,[1]!BANCO10[[#This Row],[STATUS DA ETAPA]],"")</f>
        <v>AGUARDANDO SALDO</v>
      </c>
      <c r="CC785" s="21" t="str">
        <f>IF([1]!BANCO10[[#This Row],[SOLUÇÃO]]=CC$1,[1]!BANCO10[[#This Row],[STATUS DA ETAPA]],"")</f>
        <v/>
      </c>
      <c r="CD785" s="21" t="str">
        <f>IF([1]!BANCO10[[#This Row],[SOLUÇÃO]]=CD$1,[1]!BANCO10[[#This Row],[STATUS DA ETAPA]],"")</f>
        <v/>
      </c>
      <c r="CE785" s="21" t="str">
        <f>IF([1]!BANCO10[[#This Row],[SOLUÇÃO]]=CE$1,[1]!BANCO10[[#This Row],[STATUS DA ETAPA]],"")</f>
        <v/>
      </c>
      <c r="CF785" s="21" t="str">
        <f>IF([1]!BANCO10[[#This Row],[SOLUÇÃO]]=CF$1,[1]!BANCO10[[#This Row],[STATUS DA ETAPA]],"")</f>
        <v/>
      </c>
      <c r="CG785" s="21" t="str">
        <f>IF([1]!BANCO10[[#This Row],[SOLUÇÃO]]=CG$1,[1]!BANCO10[[#This Row],[STATUS DA ETAPA]],"")</f>
        <v/>
      </c>
      <c r="CH785" s="21" t="str">
        <f>IF([1]!BANCO10[[#This Row],[SOLUÇÃO]]=CH$1,[1]!BANCO10[[#This Row],[STATUS DA ETAPA]],"")</f>
        <v/>
      </c>
      <c r="CI785" s="21" t="str">
        <f>IF([1]!BANCO10[[#This Row],[SOLUÇÃO]]=CI$1,[1]!BANCO10[[#This Row],[STATUS DA ETAPA]],"")</f>
        <v/>
      </c>
      <c r="CJ785" s="21" t="str">
        <f>IF([1]!BANCO10[[#This Row],[SOLUÇÃO]]=CJ$1,[1]!BANCO10[[#This Row],[STATUS DA ETAPA]],"")</f>
        <v/>
      </c>
      <c r="CK785" s="21" t="str">
        <f>IF([1]!BANCO10[[#This Row],[SOLUÇÃO]]=CK$1,[1]!BANCO10[[#This Row],[STATUS DA ETAPA]],"")</f>
        <v/>
      </c>
      <c r="CL785" s="21" t="str">
        <f>IF([1]!BANCO10[[#This Row],[SOLUÇÃO]]=CL$1,[1]!BANCO10[[#This Row],[STATUS DA ETAPA]],"")</f>
        <v/>
      </c>
      <c r="CM785" s="21" t="str">
        <f>IF([1]!BANCO10[[#This Row],[SOLUÇÃO]]=CM$1,[1]!BANCO10[[#This Row],[STATUS DA ETAPA]],"")</f>
        <v/>
      </c>
      <c r="CN785" s="21" t="str">
        <f>IF([1]!BANCO10[[#This Row],[SOLUÇÃO]]=CN$1,[1]!BANCO10[[#This Row],[STATUS DA ETAPA]],"")</f>
        <v/>
      </c>
      <c r="CO785" s="21" t="str">
        <f>IF([1]!BANCO10[[#This Row],[SOLUÇÃO]]=CO$1,[1]!BANCO10[[#This Row],[STATUS DA ETAPA]],"")</f>
        <v/>
      </c>
      <c r="CP785" s="21" t="str">
        <f>IF([1]!BANCO10[[#This Row],[SOLUÇÃO]]=CP$1,[1]!BANCO10[[#This Row],[STATUS DA ETAPA]],"")</f>
        <v/>
      </c>
      <c r="CQ785" s="21" t="str">
        <f>IF([1]!BANCO10[[#This Row],[SOLUÇÃO]]=CQ$1,[1]!BANCO10[[#This Row],[STATUS DA ETAPA]],"")</f>
        <v/>
      </c>
      <c r="CR785" s="21" t="str">
        <f>IF([1]!BANCO10[[#This Row],[SOLUÇÃO]]=CR$1,[1]!BANCO10[[#This Row],[STATUS DA ETAPA]],"")</f>
        <v/>
      </c>
      <c r="CS785" s="21" t="str">
        <f>IF([1]!BANCO10[[#This Row],[SOLUÇÃO]]=CS$1,[1]!BANCO10[[#This Row],[STATUS DA ETAPA]],"")</f>
        <v/>
      </c>
      <c r="CT785" s="21" t="str">
        <f>IF([1]!BANCO10[[#This Row],[SOLUÇÃO]]=CT$1,[1]!BANCO10[[#This Row],[STATUS DA ETAPA]],"")</f>
        <v/>
      </c>
      <c r="CU785" s="21" t="str">
        <f>IF([1]!BANCO10[[#This Row],[SOLUÇÃO]]=CU$1,[1]!BANCO10[[#This Row],[STATUS DA ETAPA]],"")</f>
        <v/>
      </c>
      <c r="CV785" s="21" t="str">
        <f>IF([1]!BANCO10[[#This Row],[SOLUÇÃO]]=CV$1,[1]!BANCO10[[#This Row],[STATUS DA ETAPA]],"")</f>
        <v/>
      </c>
    </row>
    <row r="786" spans="1:100">
      <c r="A786" s="44" t="s">
        <v>1</v>
      </c>
      <c r="B786" s="44"/>
      <c r="C786" s="44" t="s">
        <v>1</v>
      </c>
      <c r="D786" s="44"/>
      <c r="E786" s="44" t="s">
        <v>1</v>
      </c>
      <c r="F786" s="44"/>
      <c r="G786" s="44" t="s">
        <v>1</v>
      </c>
      <c r="H786" s="44"/>
      <c r="I786" s="45" t="s">
        <v>1</v>
      </c>
      <c r="J786" s="46"/>
      <c r="K786" s="45" t="s">
        <v>1</v>
      </c>
      <c r="L786" s="33"/>
      <c r="M786" s="45" t="s">
        <v>1</v>
      </c>
      <c r="N786" s="33"/>
      <c r="O786" s="44" t="s">
        <v>2</v>
      </c>
      <c r="P786" s="44">
        <v>44712</v>
      </c>
      <c r="Q786" s="44" t="s">
        <v>0</v>
      </c>
      <c r="R786" s="44"/>
      <c r="S786" s="44" t="s">
        <v>1</v>
      </c>
      <c r="T786" s="44"/>
      <c r="U786" s="44" t="s">
        <v>1</v>
      </c>
      <c r="V786" s="44"/>
      <c r="W786" s="44" t="s">
        <v>1</v>
      </c>
      <c r="X786" s="44"/>
      <c r="Y786" s="44" t="s">
        <v>1</v>
      </c>
      <c r="Z786" s="44"/>
      <c r="AA786" s="44" t="s">
        <v>1</v>
      </c>
      <c r="AB786" s="44"/>
      <c r="AC786" s="51">
        <v>44706</v>
      </c>
      <c r="AD786" s="50">
        <v>44706</v>
      </c>
      <c r="AE786" s="40" t="s">
        <v>1</v>
      </c>
      <c r="AF786" s="40" t="s">
        <v>1</v>
      </c>
      <c r="AG786" s="40" t="s">
        <v>5</v>
      </c>
      <c r="AH786" s="36" t="s">
        <v>1</v>
      </c>
      <c r="AI786" s="49">
        <v>0</v>
      </c>
      <c r="AJ786" s="36" t="s">
        <v>1</v>
      </c>
      <c r="AK786" s="10" t="s">
        <v>1</v>
      </c>
      <c r="AL786" s="36" t="s">
        <v>1</v>
      </c>
      <c r="AM786" s="36" t="s">
        <v>1</v>
      </c>
      <c r="AN786" s="35" t="s">
        <v>1</v>
      </c>
      <c r="AO786" s="35" t="s">
        <v>1</v>
      </c>
      <c r="AP786" s="35" t="s">
        <v>1</v>
      </c>
      <c r="AQ786" s="35" t="s">
        <v>1</v>
      </c>
      <c r="AR786" s="48" t="s">
        <v>1</v>
      </c>
      <c r="AS786" s="33"/>
      <c r="AT786" s="30"/>
      <c r="AU786" s="55"/>
      <c r="AV786" s="30"/>
      <c r="AW786" s="55"/>
      <c r="AX786" s="30" t="s">
        <v>1</v>
      </c>
      <c r="AY786" s="55"/>
      <c r="AZ786" s="30" t="s">
        <v>1</v>
      </c>
      <c r="BA786" s="85"/>
      <c r="BB786" s="39"/>
      <c r="BC786" s="39"/>
      <c r="BD786" s="24" t="s">
        <v>11</v>
      </c>
      <c r="BE786" s="24" t="s">
        <v>11</v>
      </c>
      <c r="BF786" s="79" t="s">
        <v>88</v>
      </c>
      <c r="BG786" s="79" t="s">
        <v>11</v>
      </c>
      <c r="BH786" s="80" t="s">
        <v>18</v>
      </c>
      <c r="BI786" s="79" t="s">
        <v>87</v>
      </c>
      <c r="BJ786" s="54" t="s">
        <v>11</v>
      </c>
      <c r="BK786" s="78" t="s">
        <v>11</v>
      </c>
      <c r="BL786" s="69" t="s">
        <v>11</v>
      </c>
      <c r="BM786" s="78" t="s">
        <v>11</v>
      </c>
      <c r="BN786" s="78" t="s">
        <v>11</v>
      </c>
      <c r="BO786" s="78" t="s">
        <v>11</v>
      </c>
      <c r="BP786" s="78" t="s">
        <v>11</v>
      </c>
      <c r="BQ786" s="21">
        <f>YEAR([1]!BANCO10[[#This Row],[DATA INÍCIO]])</f>
        <v>2022</v>
      </c>
      <c r="BR786" s="21">
        <f>MONTH([1]!BANCO10[[#This Row],[DATA INÍCIO]])</f>
        <v>5</v>
      </c>
      <c r="BS786" s="21" t="e">
        <f>CONCATENATE(#REF!,#REF!)</f>
        <v>#REF!</v>
      </c>
      <c r="BT786" s="21"/>
      <c r="BU786" s="21" t="s">
        <v>91</v>
      </c>
      <c r="BV786" s="21" t="str">
        <f>IF([1]!BANCO10[[#This Row],[SOLUÇÃO]]=BV$1,[1]!BANCO10[[#This Row],[STATUS DA ETAPA]],"")</f>
        <v>CONCLUÍDO</v>
      </c>
      <c r="BW786" s="21" t="str">
        <f>IF([1]!BANCO10[[#This Row],[SOLUÇÃO]]=BW$1,[1]!BANCO10[[#This Row],[STATUS DA ETAPA]],"")</f>
        <v/>
      </c>
      <c r="BX786" s="21" t="str">
        <f>IF([1]!BANCO10[[#This Row],[SOLUÇÃO]]=BX$1,[1]!BANCO10[[#This Row],[STATUS DA ETAPA]],"")</f>
        <v/>
      </c>
      <c r="BY786" s="21" t="str">
        <f>IF([1]!BANCO10[[#This Row],[SOLUÇÃO]]=BY$1,[1]!BANCO10[[#This Row],[STATUS DA ETAPA]],"")</f>
        <v/>
      </c>
      <c r="BZ786" s="21" t="str">
        <f>IF([1]!BANCO10[[#This Row],[SOLUÇÃO]]=BZ$1,[1]!BANCO10[[#This Row],[STATUS DA ETAPA]],"")</f>
        <v/>
      </c>
      <c r="CA786" s="21" t="str">
        <f>IF([1]!BANCO10[[#This Row],[SOLUÇÃO]]=CA$1,[1]!BANCO10[[#This Row],[STATUS DA ETAPA]],"")</f>
        <v/>
      </c>
      <c r="CB786" s="21" t="str">
        <f>IF([1]!BANCO10[[#This Row],[SOLUÇÃO]]=CB$1,[1]!BANCO10[[#This Row],[STATUS DA ETAPA]],"")</f>
        <v/>
      </c>
      <c r="CC786" s="21" t="str">
        <f>IF([1]!BANCO10[[#This Row],[SOLUÇÃO]]=CC$1,[1]!BANCO10[[#This Row],[STATUS DA ETAPA]],"")</f>
        <v/>
      </c>
      <c r="CD786" s="21" t="str">
        <f>IF([1]!BANCO10[[#This Row],[SOLUÇÃO]]=CD$1,[1]!BANCO10[[#This Row],[STATUS DA ETAPA]],"")</f>
        <v/>
      </c>
      <c r="CE786" s="21" t="str">
        <f>IF([1]!BANCO10[[#This Row],[SOLUÇÃO]]=CE$1,[1]!BANCO10[[#This Row],[STATUS DA ETAPA]],"")</f>
        <v/>
      </c>
      <c r="CF786" s="21" t="str">
        <f>IF([1]!BANCO10[[#This Row],[SOLUÇÃO]]=CF$1,[1]!BANCO10[[#This Row],[STATUS DA ETAPA]],"")</f>
        <v/>
      </c>
      <c r="CG786" s="21" t="str">
        <f>IF([1]!BANCO10[[#This Row],[SOLUÇÃO]]=CG$1,[1]!BANCO10[[#This Row],[STATUS DA ETAPA]],"")</f>
        <v/>
      </c>
      <c r="CH786" s="21" t="str">
        <f>IF([1]!BANCO10[[#This Row],[SOLUÇÃO]]=CH$1,[1]!BANCO10[[#This Row],[STATUS DA ETAPA]],"")</f>
        <v/>
      </c>
      <c r="CI786" s="21" t="str">
        <f>IF([1]!BANCO10[[#This Row],[SOLUÇÃO]]=CI$1,[1]!BANCO10[[#This Row],[STATUS DA ETAPA]],"")</f>
        <v/>
      </c>
      <c r="CJ786" s="21" t="str">
        <f>IF([1]!BANCO10[[#This Row],[SOLUÇÃO]]=CJ$1,[1]!BANCO10[[#This Row],[STATUS DA ETAPA]],"")</f>
        <v/>
      </c>
      <c r="CK786" s="21" t="str">
        <f>IF([1]!BANCO10[[#This Row],[SOLUÇÃO]]=CK$1,[1]!BANCO10[[#This Row],[STATUS DA ETAPA]],"")</f>
        <v/>
      </c>
      <c r="CL786" s="22" t="str">
        <f>IF([1]!BANCO10[[#This Row],[SOLUÇÃO]]=CL$1,[1]!BANCO10[[#This Row],[STATUS DA ETAPA]],"")</f>
        <v/>
      </c>
      <c r="CM786" s="64" t="str">
        <f>IF([1]!BANCO10[[#This Row],[SOLUÇÃO]]=CM$1,[1]!BANCO10[[#This Row],[STATUS DA ETAPA]],"")</f>
        <v/>
      </c>
      <c r="CN786" s="64" t="str">
        <f>IF([1]!BANCO10[[#This Row],[SOLUÇÃO]]=CN$1,[1]!BANCO10[[#This Row],[STATUS DA ETAPA]],"")</f>
        <v/>
      </c>
      <c r="CO786" s="64" t="str">
        <f>IF([1]!BANCO10[[#This Row],[SOLUÇÃO]]=CO$1,[1]!BANCO10[[#This Row],[STATUS DA ETAPA]],"")</f>
        <v/>
      </c>
      <c r="CP786" s="64" t="str">
        <f>IF([1]!BANCO10[[#This Row],[SOLUÇÃO]]=CP$1,[1]!BANCO10[[#This Row],[STATUS DA ETAPA]],"")</f>
        <v/>
      </c>
      <c r="CQ786" s="64" t="str">
        <f>IF([1]!BANCO10[[#This Row],[SOLUÇÃO]]=CQ$1,[1]!BANCO10[[#This Row],[STATUS DA ETAPA]],"")</f>
        <v/>
      </c>
      <c r="CR786" s="64" t="str">
        <f>IF([1]!BANCO10[[#This Row],[SOLUÇÃO]]=CR$1,[1]!BANCO10[[#This Row],[STATUS DA ETAPA]],"")</f>
        <v/>
      </c>
      <c r="CS786" s="64" t="str">
        <f>IF([1]!BANCO10[[#This Row],[SOLUÇÃO]]=CS$1,[1]!BANCO10[[#This Row],[STATUS DA ETAPA]],"")</f>
        <v/>
      </c>
      <c r="CT786" s="64" t="str">
        <f>IF([1]!BANCO10[[#This Row],[SOLUÇÃO]]=CT$1,[1]!BANCO10[[#This Row],[STATUS DA ETAPA]],"")</f>
        <v/>
      </c>
      <c r="CU786" s="64" t="str">
        <f>IF([1]!BANCO10[[#This Row],[SOLUÇÃO]]=CU$1,[1]!BANCO10[[#This Row],[STATUS DA ETAPA]],"")</f>
        <v/>
      </c>
      <c r="CV786" s="64" t="str">
        <f>IF([1]!BANCO10[[#This Row],[SOLUÇÃO]]=CV$1,[1]!BANCO10[[#This Row],[STATUS DA ETAPA]],"")</f>
        <v/>
      </c>
    </row>
    <row r="787" spans="1:100">
      <c r="A787" s="44" t="s">
        <v>1</v>
      </c>
      <c r="B787" s="44"/>
      <c r="C787" s="44" t="s">
        <v>1</v>
      </c>
      <c r="D787" s="44"/>
      <c r="E787" s="44" t="s">
        <v>1</v>
      </c>
      <c r="F787" s="44"/>
      <c r="G787" s="44" t="s">
        <v>1</v>
      </c>
      <c r="H787" s="44"/>
      <c r="I787" s="45" t="s">
        <v>1</v>
      </c>
      <c r="J787" s="46"/>
      <c r="K787" s="45" t="s">
        <v>1</v>
      </c>
      <c r="L787" s="33"/>
      <c r="M787" s="45" t="s">
        <v>1</v>
      </c>
      <c r="N787" s="33"/>
      <c r="O787" s="44" t="s">
        <v>2</v>
      </c>
      <c r="P787" s="44">
        <v>44712</v>
      </c>
      <c r="Q787" s="44" t="s">
        <v>2</v>
      </c>
      <c r="R787" s="44">
        <v>44712</v>
      </c>
      <c r="S787" s="44" t="s">
        <v>2</v>
      </c>
      <c r="T787" s="44">
        <v>44718</v>
      </c>
      <c r="U787" s="44"/>
      <c r="V787" s="44"/>
      <c r="W787" s="44" t="s">
        <v>2</v>
      </c>
      <c r="X787" s="44"/>
      <c r="Y787" s="44" t="s">
        <v>2</v>
      </c>
      <c r="Z787" s="44">
        <v>44930</v>
      </c>
      <c r="AA787" s="44" t="s">
        <v>2</v>
      </c>
      <c r="AB787" s="44"/>
      <c r="AC787" s="84">
        <v>44944</v>
      </c>
      <c r="AD787" s="83">
        <v>45048</v>
      </c>
      <c r="AE787" s="40" t="s">
        <v>2</v>
      </c>
      <c r="AF787" s="40" t="s">
        <v>2</v>
      </c>
      <c r="AG787" s="40" t="s">
        <v>5</v>
      </c>
      <c r="AH787" s="36" t="s">
        <v>0</v>
      </c>
      <c r="AI787" s="49">
        <v>0</v>
      </c>
      <c r="AJ787" s="36"/>
      <c r="AK787" s="10"/>
      <c r="AL787" s="36" t="s">
        <v>22</v>
      </c>
      <c r="AM787" s="36" t="s">
        <v>1</v>
      </c>
      <c r="AN787" s="35" t="s">
        <v>1</v>
      </c>
      <c r="AO787" s="35" t="s">
        <v>1</v>
      </c>
      <c r="AP787" s="35" t="s">
        <v>2</v>
      </c>
      <c r="AQ787" s="35" t="s">
        <v>1</v>
      </c>
      <c r="AR787" s="33" t="s">
        <v>1</v>
      </c>
      <c r="AS787" s="33"/>
      <c r="AT787" s="30"/>
      <c r="AU787" s="55"/>
      <c r="AV787" s="30"/>
      <c r="AW787" s="55"/>
      <c r="AX787" s="30" t="s">
        <v>2</v>
      </c>
      <c r="AY787" s="55">
        <v>45048</v>
      </c>
      <c r="AZ787" s="30" t="s">
        <v>2</v>
      </c>
      <c r="BA787" s="85"/>
      <c r="BB787" s="39"/>
      <c r="BC787" s="25"/>
      <c r="BD787" s="24" t="s">
        <v>11</v>
      </c>
      <c r="BE787" s="24" t="s">
        <v>11</v>
      </c>
      <c r="BF787" s="79" t="s">
        <v>88</v>
      </c>
      <c r="BG787" s="79" t="s">
        <v>11</v>
      </c>
      <c r="BH787" s="80" t="s">
        <v>18</v>
      </c>
      <c r="BI787" s="79" t="s">
        <v>87</v>
      </c>
      <c r="BJ787" s="54" t="s">
        <v>11</v>
      </c>
      <c r="BK787" s="78" t="s">
        <v>11</v>
      </c>
      <c r="BL787" s="69" t="s">
        <v>11</v>
      </c>
      <c r="BM787" s="78" t="s">
        <v>11</v>
      </c>
      <c r="BN787" s="78" t="s">
        <v>11</v>
      </c>
      <c r="BO787" s="78" t="s">
        <v>11</v>
      </c>
      <c r="BP787" s="78" t="s">
        <v>11</v>
      </c>
      <c r="BQ787" s="21">
        <f>YEAR([1]!BANCO10[[#This Row],[DATA INÍCIO]])</f>
        <v>2023</v>
      </c>
      <c r="BR787" s="21">
        <f>MONTH([1]!BANCO10[[#This Row],[DATA INÍCIO]])</f>
        <v>1</v>
      </c>
      <c r="BS787" s="21" t="e">
        <f>CONCATENATE(#REF!,#REF!)</f>
        <v>#REF!</v>
      </c>
      <c r="BT787" s="21"/>
      <c r="BU787" s="21" t="s">
        <v>90</v>
      </c>
      <c r="BV787" s="21" t="str">
        <f>IF([1]!BANCO10[[#This Row],[SOLUÇÃO]]=BV$1,[1]!BANCO10[[#This Row],[STATUS DA ETAPA]],"")</f>
        <v/>
      </c>
      <c r="BW787" s="21" t="str">
        <f>IF([1]!BANCO10[[#This Row],[SOLUÇÃO]]=BW$1,[1]!BANCO10[[#This Row],[STATUS DA ETAPA]],"")</f>
        <v/>
      </c>
      <c r="BX787" s="21" t="str">
        <f>IF([1]!BANCO10[[#This Row],[SOLUÇÃO]]=BX$1,[1]!BANCO10[[#This Row],[STATUS DA ETAPA]],"")</f>
        <v/>
      </c>
      <c r="BY787" s="21" t="str">
        <f>IF([1]!BANCO10[[#This Row],[SOLUÇÃO]]=BY$1,[1]!BANCO10[[#This Row],[STATUS DA ETAPA]],"")</f>
        <v/>
      </c>
      <c r="BZ787" s="21" t="str">
        <f>IF([1]!BANCO10[[#This Row],[SOLUÇÃO]]=BZ$1,[1]!BANCO10[[#This Row],[STATUS DA ETAPA]],"")</f>
        <v/>
      </c>
      <c r="CA787" s="21" t="str">
        <f>IF([1]!BANCO10[[#This Row],[SOLUÇÃO]]=CA$1,[1]!BANCO10[[#This Row],[STATUS DA ETAPA]],"")</f>
        <v>CONCLUÍDO</v>
      </c>
      <c r="CB787" s="21" t="str">
        <f>IF([1]!BANCO10[[#This Row],[SOLUÇÃO]]=CB$1,[1]!BANCO10[[#This Row],[STATUS DA ETAPA]],"")</f>
        <v/>
      </c>
      <c r="CC787" s="21" t="str">
        <f>IF([1]!BANCO10[[#This Row],[SOLUÇÃO]]=CC$1,[1]!BANCO10[[#This Row],[STATUS DA ETAPA]],"")</f>
        <v/>
      </c>
      <c r="CD787" s="21" t="str">
        <f>IF([1]!BANCO10[[#This Row],[SOLUÇÃO]]=CD$1,[1]!BANCO10[[#This Row],[STATUS DA ETAPA]],"")</f>
        <v/>
      </c>
      <c r="CE787" s="21" t="str">
        <f>IF([1]!BANCO10[[#This Row],[SOLUÇÃO]]=CE$1,[1]!BANCO10[[#This Row],[STATUS DA ETAPA]],"")</f>
        <v/>
      </c>
      <c r="CF787" s="21" t="str">
        <f>IF([1]!BANCO10[[#This Row],[SOLUÇÃO]]=CF$1,[1]!BANCO10[[#This Row],[STATUS DA ETAPA]],"")</f>
        <v/>
      </c>
      <c r="CG787" s="21" t="str">
        <f>IF([1]!BANCO10[[#This Row],[SOLUÇÃO]]=CG$1,[1]!BANCO10[[#This Row],[STATUS DA ETAPA]],"")</f>
        <v/>
      </c>
      <c r="CH787" s="21" t="str">
        <f>IF([1]!BANCO10[[#This Row],[SOLUÇÃO]]=CH$1,[1]!BANCO10[[#This Row],[STATUS DA ETAPA]],"")</f>
        <v/>
      </c>
      <c r="CI787" s="21" t="str">
        <f>IF([1]!BANCO10[[#This Row],[SOLUÇÃO]]=CI$1,[1]!BANCO10[[#This Row],[STATUS DA ETAPA]],"")</f>
        <v/>
      </c>
      <c r="CJ787" s="21" t="str">
        <f>IF([1]!BANCO10[[#This Row],[SOLUÇÃO]]=CJ$1,[1]!BANCO10[[#This Row],[STATUS DA ETAPA]],"")</f>
        <v/>
      </c>
      <c r="CK787" s="21" t="str">
        <f>IF([1]!BANCO10[[#This Row],[SOLUÇÃO]]=CK$1,[1]!BANCO10[[#This Row],[STATUS DA ETAPA]],"")</f>
        <v/>
      </c>
      <c r="CL787" s="22" t="str">
        <f>IF([1]!BANCO10[[#This Row],[SOLUÇÃO]]=CL$1,[1]!BANCO10[[#This Row],[STATUS DA ETAPA]],"")</f>
        <v/>
      </c>
      <c r="CM787" s="64" t="str">
        <f>IF([1]!BANCO10[[#This Row],[SOLUÇÃO]]=CM$1,[1]!BANCO10[[#This Row],[STATUS DA ETAPA]],"")</f>
        <v/>
      </c>
      <c r="CN787" s="64" t="str">
        <f>IF([1]!BANCO10[[#This Row],[SOLUÇÃO]]=CN$1,[1]!BANCO10[[#This Row],[STATUS DA ETAPA]],"")</f>
        <v/>
      </c>
      <c r="CO787" s="64" t="str">
        <f>IF([1]!BANCO10[[#This Row],[SOLUÇÃO]]=CO$1,[1]!BANCO10[[#This Row],[STATUS DA ETAPA]],"")</f>
        <v/>
      </c>
      <c r="CP787" s="64" t="str">
        <f>IF([1]!BANCO10[[#This Row],[SOLUÇÃO]]=CP$1,[1]!BANCO10[[#This Row],[STATUS DA ETAPA]],"")</f>
        <v/>
      </c>
      <c r="CQ787" s="64" t="str">
        <f>IF([1]!BANCO10[[#This Row],[SOLUÇÃO]]=CQ$1,[1]!BANCO10[[#This Row],[STATUS DA ETAPA]],"")</f>
        <v/>
      </c>
      <c r="CR787" s="64" t="str">
        <f>IF([1]!BANCO10[[#This Row],[SOLUÇÃO]]=CR$1,[1]!BANCO10[[#This Row],[STATUS DA ETAPA]],"")</f>
        <v/>
      </c>
      <c r="CS787" s="64" t="str">
        <f>IF([1]!BANCO10[[#This Row],[SOLUÇÃO]]=CS$1,[1]!BANCO10[[#This Row],[STATUS DA ETAPA]],"")</f>
        <v/>
      </c>
      <c r="CT787" s="64" t="str">
        <f>IF([1]!BANCO10[[#This Row],[SOLUÇÃO]]=CT$1,[1]!BANCO10[[#This Row],[STATUS DA ETAPA]],"")</f>
        <v/>
      </c>
      <c r="CU787" s="64" t="str">
        <f>IF([1]!BANCO10[[#This Row],[SOLUÇÃO]]=CU$1,[1]!BANCO10[[#This Row],[STATUS DA ETAPA]],"")</f>
        <v/>
      </c>
      <c r="CV787" s="64" t="str">
        <f>IF([1]!BANCO10[[#This Row],[SOLUÇÃO]]=CV$1,[1]!BANCO10[[#This Row],[STATUS DA ETAPA]],"")</f>
        <v/>
      </c>
    </row>
    <row r="788" spans="1:100">
      <c r="A788" s="44" t="s">
        <v>1</v>
      </c>
      <c r="B788" s="44"/>
      <c r="C788" s="44" t="s">
        <v>1</v>
      </c>
      <c r="D788" s="44"/>
      <c r="E788" s="44" t="s">
        <v>1</v>
      </c>
      <c r="F788" s="44"/>
      <c r="G788" s="44" t="s">
        <v>1</v>
      </c>
      <c r="H788" s="44"/>
      <c r="I788" s="45" t="s">
        <v>1</v>
      </c>
      <c r="J788" s="46"/>
      <c r="K788" s="45" t="s">
        <v>1</v>
      </c>
      <c r="L788" s="33"/>
      <c r="M788" s="45" t="s">
        <v>1</v>
      </c>
      <c r="N788" s="33"/>
      <c r="O788" s="44" t="s">
        <v>2</v>
      </c>
      <c r="P788" s="44">
        <v>44712</v>
      </c>
      <c r="Q788" s="44" t="s">
        <v>2</v>
      </c>
      <c r="R788" s="44">
        <v>44620</v>
      </c>
      <c r="S788" s="44" t="s">
        <v>2</v>
      </c>
      <c r="T788" s="44">
        <v>45378</v>
      </c>
      <c r="U788" s="44" t="s">
        <v>2</v>
      </c>
      <c r="V788" s="44">
        <v>45379</v>
      </c>
      <c r="W788" s="44" t="s">
        <v>2</v>
      </c>
      <c r="X788" s="44"/>
      <c r="Y788" s="44" t="s">
        <v>2</v>
      </c>
      <c r="Z788" s="44">
        <v>45383</v>
      </c>
      <c r="AA788" s="44" t="s">
        <v>2</v>
      </c>
      <c r="AB788" s="44"/>
      <c r="AC788" s="51">
        <v>45408</v>
      </c>
      <c r="AD788" s="51">
        <v>45511</v>
      </c>
      <c r="AE788" s="40" t="s">
        <v>2</v>
      </c>
      <c r="AF788" s="40" t="s">
        <v>2</v>
      </c>
      <c r="AG788" s="40" t="s">
        <v>4</v>
      </c>
      <c r="AH788" s="36" t="s">
        <v>0</v>
      </c>
      <c r="AI788" s="49">
        <v>0</v>
      </c>
      <c r="AJ788" s="36" t="s">
        <v>6</v>
      </c>
      <c r="AK788" s="10" t="s">
        <v>30</v>
      </c>
      <c r="AL788" s="36" t="s">
        <v>89</v>
      </c>
      <c r="AM788" s="36">
        <v>0</v>
      </c>
      <c r="AN788" s="35" t="s">
        <v>1</v>
      </c>
      <c r="AO788" s="35" t="s">
        <v>1</v>
      </c>
      <c r="AP788" s="35" t="s">
        <v>2</v>
      </c>
      <c r="AQ788" s="35" t="s">
        <v>1</v>
      </c>
      <c r="AR788" s="33" t="s">
        <v>1</v>
      </c>
      <c r="AS788" s="33"/>
      <c r="AT788" s="30"/>
      <c r="AU788" s="55"/>
      <c r="AV788" s="30"/>
      <c r="AW788" s="55"/>
      <c r="AX788" s="30" t="s">
        <v>2</v>
      </c>
      <c r="AY788" s="55">
        <v>45554</v>
      </c>
      <c r="AZ788" s="30" t="s">
        <v>0</v>
      </c>
      <c r="BA788" s="91"/>
      <c r="BB788" s="39"/>
      <c r="BC788" s="25"/>
      <c r="BD788" s="24" t="s">
        <v>11</v>
      </c>
      <c r="BE788" s="24" t="s">
        <v>11</v>
      </c>
      <c r="BF788" s="79" t="s">
        <v>88</v>
      </c>
      <c r="BG788" s="79" t="s">
        <v>11</v>
      </c>
      <c r="BH788" s="80" t="s">
        <v>18</v>
      </c>
      <c r="BI788" s="79" t="s">
        <v>87</v>
      </c>
      <c r="BJ788" s="54" t="s">
        <v>11</v>
      </c>
      <c r="BK788" s="78" t="s">
        <v>11</v>
      </c>
      <c r="BL788" s="69">
        <v>45389</v>
      </c>
      <c r="BM788" s="78"/>
      <c r="BN788" s="78" t="s">
        <v>11</v>
      </c>
      <c r="BO788" s="78"/>
      <c r="BP788" s="78" t="s">
        <v>86</v>
      </c>
      <c r="BQ788" s="21">
        <f>YEAR([1]!BANCO10[[#This Row],[DATA INÍCIO]])</f>
        <v>2024</v>
      </c>
      <c r="BR788" s="21">
        <f>MONTH([1]!BANCO10[[#This Row],[DATA INÍCIO]])</f>
        <v>4</v>
      </c>
      <c r="BS788" s="21" t="e">
        <f>CONCATENATE(#REF!,#REF!)</f>
        <v>#REF!</v>
      </c>
      <c r="BT788" s="21"/>
      <c r="BU788" s="21" t="s">
        <v>85</v>
      </c>
      <c r="BV788" s="21" t="str">
        <f>IF([1]!BANCO10[[#This Row],[SOLUÇÃO]]=BV$1,[1]!BANCO10[[#This Row],[STATUS DA ETAPA]],"")</f>
        <v/>
      </c>
      <c r="BW788" s="21" t="str">
        <f>IF([1]!BANCO10[[#This Row],[SOLUÇÃO]]=BW$1,[1]!BANCO10[[#This Row],[STATUS DA ETAPA]],"")</f>
        <v/>
      </c>
      <c r="BX788" s="21" t="str">
        <f>IF([1]!BANCO10[[#This Row],[SOLUÇÃO]]=BX$1,[1]!BANCO10[[#This Row],[STATUS DA ETAPA]],"")</f>
        <v>CONCLUÍDO</v>
      </c>
      <c r="BY788" s="21" t="str">
        <f>IF([1]!BANCO10[[#This Row],[SOLUÇÃO]]=BY$1,[1]!BANCO10[[#This Row],[STATUS DA ETAPA]],"")</f>
        <v/>
      </c>
      <c r="BZ788" s="21" t="str">
        <f>IF([1]!BANCO10[[#This Row],[SOLUÇÃO]]=BZ$1,[1]!BANCO10[[#This Row],[STATUS DA ETAPA]],"")</f>
        <v/>
      </c>
      <c r="CA788" s="21" t="str">
        <f>IF([1]!BANCO10[[#This Row],[SOLUÇÃO]]=CA$1,[1]!BANCO10[[#This Row],[STATUS DA ETAPA]],"")</f>
        <v/>
      </c>
      <c r="CB788" s="21" t="str">
        <f>IF([1]!BANCO10[[#This Row],[SOLUÇÃO]]=CB$1,[1]!BANCO10[[#This Row],[STATUS DA ETAPA]],"")</f>
        <v/>
      </c>
      <c r="CC788" s="21" t="str">
        <f>IF([1]!BANCO10[[#This Row],[SOLUÇÃO]]=CC$1,[1]!BANCO10[[#This Row],[STATUS DA ETAPA]],"")</f>
        <v/>
      </c>
      <c r="CD788" s="21" t="str">
        <f>IF([1]!BANCO10[[#This Row],[SOLUÇÃO]]=CD$1,[1]!BANCO10[[#This Row],[STATUS DA ETAPA]],"")</f>
        <v/>
      </c>
      <c r="CE788" s="21" t="str">
        <f>IF([1]!BANCO10[[#This Row],[SOLUÇÃO]]=CE$1,[1]!BANCO10[[#This Row],[STATUS DA ETAPA]],"")</f>
        <v/>
      </c>
      <c r="CF788" s="21" t="str">
        <f>IF([1]!BANCO10[[#This Row],[SOLUÇÃO]]=CF$1,[1]!BANCO10[[#This Row],[STATUS DA ETAPA]],"")</f>
        <v/>
      </c>
      <c r="CG788" s="21" t="str">
        <f>IF([1]!BANCO10[[#This Row],[SOLUÇÃO]]=CG$1,[1]!BANCO10[[#This Row],[STATUS DA ETAPA]],"")</f>
        <v/>
      </c>
      <c r="CH788" s="21" t="str">
        <f>IF([1]!BANCO10[[#This Row],[SOLUÇÃO]]=CH$1,[1]!BANCO10[[#This Row],[STATUS DA ETAPA]],"")</f>
        <v/>
      </c>
      <c r="CI788" s="21" t="str">
        <f>IF([1]!BANCO10[[#This Row],[SOLUÇÃO]]=CI$1,[1]!BANCO10[[#This Row],[STATUS DA ETAPA]],"")</f>
        <v/>
      </c>
      <c r="CJ788" s="21" t="str">
        <f>IF([1]!BANCO10[[#This Row],[SOLUÇÃO]]=CJ$1,[1]!BANCO10[[#This Row],[STATUS DA ETAPA]],"")</f>
        <v/>
      </c>
      <c r="CK788" s="21" t="str">
        <f>IF([1]!BANCO10[[#This Row],[SOLUÇÃO]]=CK$1,[1]!BANCO10[[#This Row],[STATUS DA ETAPA]],"")</f>
        <v/>
      </c>
      <c r="CL788" s="22" t="str">
        <f>IF([1]!BANCO10[[#This Row],[SOLUÇÃO]]=CL$1,[1]!BANCO10[[#This Row],[STATUS DA ETAPA]],"")</f>
        <v/>
      </c>
      <c r="CM788" s="64" t="str">
        <f>IF([1]!BANCO10[[#This Row],[SOLUÇÃO]]=CM$1,[1]!BANCO10[[#This Row],[STATUS DA ETAPA]],"")</f>
        <v/>
      </c>
      <c r="CN788" s="64" t="str">
        <f>IF([1]!BANCO10[[#This Row],[SOLUÇÃO]]=CN$1,[1]!BANCO10[[#This Row],[STATUS DA ETAPA]],"")</f>
        <v/>
      </c>
      <c r="CO788" s="64" t="str">
        <f>IF([1]!BANCO10[[#This Row],[SOLUÇÃO]]=CO$1,[1]!BANCO10[[#This Row],[STATUS DA ETAPA]],"")</f>
        <v/>
      </c>
      <c r="CP788" s="64" t="str">
        <f>IF([1]!BANCO10[[#This Row],[SOLUÇÃO]]=CP$1,[1]!BANCO10[[#This Row],[STATUS DA ETAPA]],"")</f>
        <v/>
      </c>
      <c r="CQ788" s="64" t="str">
        <f>IF([1]!BANCO10[[#This Row],[SOLUÇÃO]]=CQ$1,[1]!BANCO10[[#This Row],[STATUS DA ETAPA]],"")</f>
        <v/>
      </c>
      <c r="CR788" s="64" t="str">
        <f>IF([1]!BANCO10[[#This Row],[SOLUÇÃO]]=CR$1,[1]!BANCO10[[#This Row],[STATUS DA ETAPA]],"")</f>
        <v/>
      </c>
      <c r="CS788" s="64" t="str">
        <f>IF([1]!BANCO10[[#This Row],[SOLUÇÃO]]=CS$1,[1]!BANCO10[[#This Row],[STATUS DA ETAPA]],"")</f>
        <v/>
      </c>
      <c r="CT788" s="64" t="str">
        <f>IF([1]!BANCO10[[#This Row],[SOLUÇÃO]]=CT$1,[1]!BANCO10[[#This Row],[STATUS DA ETAPA]],"")</f>
        <v/>
      </c>
      <c r="CU788" s="64" t="str">
        <f>IF([1]!BANCO10[[#This Row],[SOLUÇÃO]]=CU$1,[1]!BANCO10[[#This Row],[STATUS DA ETAPA]],"")</f>
        <v/>
      </c>
      <c r="CV788" s="64" t="str">
        <f>IF([1]!BANCO10[[#This Row],[SOLUÇÃO]]=CV$1,[1]!BANCO10[[#This Row],[STATUS DA ETAPA]],"")</f>
        <v/>
      </c>
    </row>
    <row r="789" spans="1:100">
      <c r="A789" s="44" t="s">
        <v>1</v>
      </c>
      <c r="B789" s="44"/>
      <c r="C789" s="44" t="s">
        <v>1</v>
      </c>
      <c r="D789" s="44"/>
      <c r="E789" s="44" t="s">
        <v>1</v>
      </c>
      <c r="F789" s="44"/>
      <c r="G789" s="44" t="s">
        <v>1</v>
      </c>
      <c r="H789" s="44"/>
      <c r="I789" s="45" t="s">
        <v>1</v>
      </c>
      <c r="J789" s="46"/>
      <c r="K789" s="45" t="s">
        <v>1</v>
      </c>
      <c r="L789" s="33"/>
      <c r="M789" s="45" t="s">
        <v>1</v>
      </c>
      <c r="N789" s="33"/>
      <c r="O789" s="44" t="s">
        <v>1</v>
      </c>
      <c r="P789" s="44"/>
      <c r="Q789" s="44" t="s">
        <v>1</v>
      </c>
      <c r="R789" s="44"/>
      <c r="S789" s="44" t="s">
        <v>1</v>
      </c>
      <c r="T789" s="44"/>
      <c r="U789" s="44" t="s">
        <v>1</v>
      </c>
      <c r="V789" s="44"/>
      <c r="W789" s="44" t="s">
        <v>1</v>
      </c>
      <c r="X789" s="44"/>
      <c r="Y789" s="44" t="s">
        <v>1</v>
      </c>
      <c r="Z789" s="44"/>
      <c r="AA789" s="44" t="s">
        <v>1</v>
      </c>
      <c r="AB789" s="44"/>
      <c r="AC789" s="51"/>
      <c r="AD789" s="50"/>
      <c r="AE789" s="68"/>
      <c r="AF789" s="68"/>
      <c r="AG789" s="40" t="s">
        <v>5</v>
      </c>
      <c r="AH789" s="36" t="s">
        <v>0</v>
      </c>
      <c r="AI789" s="49">
        <v>0</v>
      </c>
      <c r="AJ789" s="36" t="s">
        <v>1</v>
      </c>
      <c r="AK789" s="10" t="s">
        <v>1</v>
      </c>
      <c r="AL789" s="36" t="s">
        <v>1</v>
      </c>
      <c r="AM789" s="36" t="s">
        <v>1</v>
      </c>
      <c r="AN789" s="35" t="s">
        <v>1</v>
      </c>
      <c r="AO789" s="35" t="s">
        <v>1</v>
      </c>
      <c r="AP789" s="35" t="s">
        <v>1</v>
      </c>
      <c r="AQ789" s="35" t="s">
        <v>2</v>
      </c>
      <c r="AR789" s="33" t="s">
        <v>0</v>
      </c>
      <c r="AS789" s="33"/>
      <c r="AT789" s="30" t="s">
        <v>0</v>
      </c>
      <c r="AU789" s="31"/>
      <c r="AV789" s="30" t="s">
        <v>0</v>
      </c>
      <c r="AW789" s="31"/>
      <c r="AX789" s="30" t="s">
        <v>0</v>
      </c>
      <c r="AY789" s="29"/>
      <c r="AZ789" s="28" t="s">
        <v>0</v>
      </c>
      <c r="BA789" s="81"/>
      <c r="BB789" s="39"/>
      <c r="BC789" s="25"/>
      <c r="BD789" s="24"/>
      <c r="BE789" s="24"/>
      <c r="BF789" s="24"/>
      <c r="BG789" s="24"/>
      <c r="BH789" s="24"/>
      <c r="BI789" s="24"/>
      <c r="BJ789" s="24"/>
      <c r="BK789" s="24"/>
      <c r="BL789" s="24"/>
      <c r="BM789" s="24"/>
      <c r="BN789" s="24"/>
      <c r="BO789" s="24"/>
      <c r="BP789" s="24"/>
      <c r="BQ789" s="22">
        <f>YEAR([1]!BANCO10[[#This Row],[DATA INÍCIO]])</f>
        <v>1900</v>
      </c>
      <c r="BR789" s="22">
        <f>MONTH([1]!BANCO10[[#This Row],[DATA INÍCIO]])</f>
        <v>1</v>
      </c>
      <c r="BS789" s="23" t="e">
        <f>CONCATENATE(#REF!,#REF!)</f>
        <v>#REF!</v>
      </c>
      <c r="BT789" s="22"/>
      <c r="BU789" s="22"/>
      <c r="BV789" s="21" t="str">
        <f>IF([1]!BANCO10[[#This Row],[SOLUÇÃO]]=BV$1,[1]!BANCO10[[#This Row],[STATUS DA ETAPA]],"")</f>
        <v/>
      </c>
      <c r="BW789" s="21" t="str">
        <f>IF([1]!BANCO10[[#This Row],[SOLUÇÃO]]=BW$1,[1]!BANCO10[[#This Row],[STATUS DA ETAPA]],"")</f>
        <v/>
      </c>
      <c r="BX789" s="21" t="str">
        <f>IF([1]!BANCO10[[#This Row],[SOLUÇÃO]]=BX$1,[1]!BANCO10[[#This Row],[STATUS DA ETAPA]],"")</f>
        <v/>
      </c>
      <c r="BY789" s="21" t="str">
        <f>IF([1]!BANCO10[[#This Row],[SOLUÇÃO]]=BY$1,[1]!BANCO10[[#This Row],[STATUS DA ETAPA]],"")</f>
        <v/>
      </c>
      <c r="BZ789" s="21" t="str">
        <f>IF([1]!BANCO10[[#This Row],[SOLUÇÃO]]=BZ$1,[1]!BANCO10[[#This Row],[STATUS DA ETAPA]],"")</f>
        <v/>
      </c>
      <c r="CA789" s="21" t="str">
        <f>IF([1]!BANCO10[[#This Row],[SOLUÇÃO]]=CA$1,[1]!BANCO10[[#This Row],[STATUS DA ETAPA]],"")</f>
        <v/>
      </c>
      <c r="CB789" s="21" t="str">
        <f>IF([1]!BANCO10[[#This Row],[SOLUÇÃO]]=CB$1,[1]!BANCO10[[#This Row],[STATUS DA ETAPA]],"")</f>
        <v/>
      </c>
      <c r="CC789" s="21" t="str">
        <f>IF([1]!BANCO10[[#This Row],[SOLUÇÃO]]=CC$1,[1]!BANCO10[[#This Row],[STATUS DA ETAPA]],"")</f>
        <v/>
      </c>
      <c r="CD789" s="21" t="str">
        <f>IF([1]!BANCO10[[#This Row],[SOLUÇÃO]]=CD$1,[1]!BANCO10[[#This Row],[STATUS DA ETAPA]],"")</f>
        <v/>
      </c>
      <c r="CE789" s="21" t="str">
        <f>IF([1]!BANCO10[[#This Row],[SOLUÇÃO]]=CE$1,[1]!BANCO10[[#This Row],[STATUS DA ETAPA]],"")</f>
        <v/>
      </c>
      <c r="CF789" s="21" t="str">
        <f>IF([1]!BANCO10[[#This Row],[SOLUÇÃO]]=CF$1,[1]!BANCO10[[#This Row],[STATUS DA ETAPA]],"")</f>
        <v/>
      </c>
      <c r="CG789" s="21" t="str">
        <f>IF([1]!BANCO10[[#This Row],[SOLUÇÃO]]=CG$1,[1]!BANCO10[[#This Row],[STATUS DA ETAPA]],"")</f>
        <v/>
      </c>
      <c r="CH789" s="21" t="str">
        <f>IF([1]!BANCO10[[#This Row],[SOLUÇÃO]]=CH$1,[1]!BANCO10[[#This Row],[STATUS DA ETAPA]],"")</f>
        <v/>
      </c>
      <c r="CI789" s="21" t="str">
        <f>IF([1]!BANCO10[[#This Row],[SOLUÇÃO]]=CI$1,[1]!BANCO10[[#This Row],[STATUS DA ETAPA]],"")</f>
        <v/>
      </c>
      <c r="CJ789" s="21" t="str">
        <f>IF([1]!BANCO10[[#This Row],[SOLUÇÃO]]=CJ$1,[1]!BANCO10[[#This Row],[STATUS DA ETAPA]],"")</f>
        <v/>
      </c>
      <c r="CK789" s="21" t="str">
        <f>IF([1]!BANCO10[[#This Row],[SOLUÇÃO]]=CK$1,[1]!BANCO10[[#This Row],[STATUS DA ETAPA]],"")</f>
        <v/>
      </c>
      <c r="CL789" s="21" t="str">
        <f>IF([1]!BANCO10[[#This Row],[SOLUÇÃO]]=CL$1,[1]!BANCO10[[#This Row],[STATUS DA ETAPA]],"")</f>
        <v/>
      </c>
      <c r="CM789" s="21" t="str">
        <f>IF([1]!BANCO10[[#This Row],[SOLUÇÃO]]=CM$1,[1]!BANCO10[[#This Row],[STATUS DA ETAPA]],"")</f>
        <v/>
      </c>
      <c r="CN789" s="21" t="str">
        <f>IF([1]!BANCO10[[#This Row],[SOLUÇÃO]]=CN$1,[1]!BANCO10[[#This Row],[STATUS DA ETAPA]],"")</f>
        <v/>
      </c>
      <c r="CO789" s="21" t="str">
        <f>IF([1]!BANCO10[[#This Row],[SOLUÇÃO]]=CO$1,[1]!BANCO10[[#This Row],[STATUS DA ETAPA]],"")</f>
        <v/>
      </c>
      <c r="CP789" s="21" t="str">
        <f>IF([1]!BANCO10[[#This Row],[SOLUÇÃO]]=CP$1,[1]!BANCO10[[#This Row],[STATUS DA ETAPA]],"")</f>
        <v/>
      </c>
      <c r="CQ789" s="21" t="str">
        <f>IF([1]!BANCO10[[#This Row],[SOLUÇÃO]]=CQ$1,[1]!BANCO10[[#This Row],[STATUS DA ETAPA]],"")</f>
        <v/>
      </c>
      <c r="CR789" s="21" t="str">
        <f>IF([1]!BANCO10[[#This Row],[SOLUÇÃO]]=CR$1,[1]!BANCO10[[#This Row],[STATUS DA ETAPA]],"")</f>
        <v/>
      </c>
      <c r="CS789" s="21" t="str">
        <f>IF([1]!BANCO10[[#This Row],[SOLUÇÃO]]=CS$1,[1]!BANCO10[[#This Row],[STATUS DA ETAPA]],"")</f>
        <v/>
      </c>
      <c r="CT789" s="21" t="str">
        <f>IF([1]!BANCO10[[#This Row],[SOLUÇÃO]]=CT$1,[1]!BANCO10[[#This Row],[STATUS DA ETAPA]],"")</f>
        <v/>
      </c>
      <c r="CU789" s="21" t="str">
        <f>IF([1]!BANCO10[[#This Row],[SOLUÇÃO]]=CU$1,[1]!BANCO10[[#This Row],[STATUS DA ETAPA]],"")</f>
        <v/>
      </c>
      <c r="CV789" s="21" t="str">
        <f>IF([1]!BANCO10[[#This Row],[SOLUÇÃO]]=CV$1,[1]!BANCO10[[#This Row],[STATUS DA ETAPA]],"")</f>
        <v/>
      </c>
    </row>
    <row r="790" spans="1:100">
      <c r="A790" s="44" t="s">
        <v>2</v>
      </c>
      <c r="B790" s="44">
        <v>45713</v>
      </c>
      <c r="C790" s="44" t="s">
        <v>2</v>
      </c>
      <c r="D790" s="44">
        <v>45713</v>
      </c>
      <c r="E790" s="44" t="s">
        <v>2</v>
      </c>
      <c r="F790" s="44">
        <v>45713</v>
      </c>
      <c r="G790" s="44" t="s">
        <v>2</v>
      </c>
      <c r="H790" s="44">
        <v>45713</v>
      </c>
      <c r="I790" s="45" t="s">
        <v>2</v>
      </c>
      <c r="J790" s="46">
        <v>45736</v>
      </c>
      <c r="K790" s="45" t="s">
        <v>0</v>
      </c>
      <c r="L790" s="33"/>
      <c r="M790" s="45" t="s">
        <v>0</v>
      </c>
      <c r="N790" s="33"/>
      <c r="O790" s="44" t="s">
        <v>1</v>
      </c>
      <c r="P790" s="44"/>
      <c r="Q790" s="44" t="s">
        <v>1</v>
      </c>
      <c r="R790" s="44"/>
      <c r="S790" s="44" t="s">
        <v>2</v>
      </c>
      <c r="T790" s="44">
        <v>45708</v>
      </c>
      <c r="U790" s="44" t="s">
        <v>1</v>
      </c>
      <c r="V790" s="44"/>
      <c r="W790" s="44" t="s">
        <v>1</v>
      </c>
      <c r="X790" s="44"/>
      <c r="Y790" s="44" t="s">
        <v>1</v>
      </c>
      <c r="Z790" s="44"/>
      <c r="AA790" s="44" t="s">
        <v>1</v>
      </c>
      <c r="AB790" s="44"/>
      <c r="AC790" s="51">
        <v>46022</v>
      </c>
      <c r="AD790" s="50">
        <v>46022</v>
      </c>
      <c r="AE790" s="41" t="s">
        <v>0</v>
      </c>
      <c r="AF790" s="41" t="s">
        <v>0</v>
      </c>
      <c r="AG790" s="40" t="s">
        <v>5</v>
      </c>
      <c r="AH790" s="36" t="s">
        <v>0</v>
      </c>
      <c r="AI790" s="49">
        <v>20140</v>
      </c>
      <c r="AJ790" s="36" t="s">
        <v>3</v>
      </c>
      <c r="AK790" s="21">
        <v>678872</v>
      </c>
      <c r="AL790" s="36" t="s">
        <v>1</v>
      </c>
      <c r="AM790" s="36" t="s">
        <v>1</v>
      </c>
      <c r="AN790" s="35" t="s">
        <v>0</v>
      </c>
      <c r="AO790" s="35" t="s">
        <v>0</v>
      </c>
      <c r="AP790" s="35" t="s">
        <v>0</v>
      </c>
      <c r="AQ790" s="35" t="s">
        <v>0</v>
      </c>
      <c r="AR790" s="33" t="s">
        <v>0</v>
      </c>
      <c r="AS790" s="33"/>
      <c r="AT790" s="32" t="s">
        <v>0</v>
      </c>
      <c r="AU790" s="31"/>
      <c r="AV790" s="32" t="s">
        <v>0</v>
      </c>
      <c r="AW790" s="31"/>
      <c r="AX790" s="32" t="s">
        <v>0</v>
      </c>
      <c r="AY790" s="31"/>
      <c r="AZ790" s="32" t="s">
        <v>0</v>
      </c>
      <c r="BA790" s="47"/>
      <c r="BB790" s="26" t="s">
        <v>7</v>
      </c>
      <c r="BC790" s="25" t="s">
        <v>84</v>
      </c>
      <c r="BD790" s="24"/>
      <c r="BE790" s="24"/>
      <c r="BF790" s="24"/>
      <c r="BG790" s="24"/>
      <c r="BH790" s="24"/>
      <c r="BI790" s="24"/>
      <c r="BJ790" s="24"/>
      <c r="BK790" s="24"/>
      <c r="BL790" s="24"/>
      <c r="BM790" s="24"/>
      <c r="BN790" s="24"/>
      <c r="BO790" s="24"/>
      <c r="BP790" s="24"/>
      <c r="BQ790" s="22">
        <f>YEAR([1]!BANCO10[[#This Row],[DATA INÍCIO]])</f>
        <v>2025</v>
      </c>
      <c r="BR790" s="22">
        <f>MONTH([1]!BANCO10[[#This Row],[DATA INÍCIO]])</f>
        <v>12</v>
      </c>
      <c r="BS790" s="23" t="e">
        <f>CONCATENATE(#REF!,#REF!)</f>
        <v>#REF!</v>
      </c>
      <c r="BT790" s="22"/>
      <c r="BU790" s="22"/>
      <c r="BV790" s="21" t="str">
        <f>IF([1]!BANCO10[[#This Row],[SOLUÇÃO]]=BV$1,[1]!BANCO10[[#This Row],[STATUS DA ETAPA]],"")</f>
        <v/>
      </c>
      <c r="BW790" s="21" t="str">
        <f>IF([1]!BANCO10[[#This Row],[SOLUÇÃO]]=BW$1,[1]!BANCO10[[#This Row],[STATUS DA ETAPA]],"")</f>
        <v/>
      </c>
      <c r="BX790" s="21" t="str">
        <f>IF([1]!BANCO10[[#This Row],[SOLUÇÃO]]=BX$1,[1]!BANCO10[[#This Row],[STATUS DA ETAPA]],"")</f>
        <v/>
      </c>
      <c r="BY790" s="21" t="str">
        <f>IF([1]!BANCO10[[#This Row],[SOLUÇÃO]]=BY$1,[1]!BANCO10[[#This Row],[STATUS DA ETAPA]],"")</f>
        <v/>
      </c>
      <c r="BZ790" s="21" t="str">
        <f>IF([1]!BANCO10[[#This Row],[SOLUÇÃO]]=BZ$1,[1]!BANCO10[[#This Row],[STATUS DA ETAPA]],"")</f>
        <v/>
      </c>
      <c r="CA790" s="21" t="str">
        <f>IF([1]!BANCO10[[#This Row],[SOLUÇÃO]]=CA$1,[1]!BANCO10[[#This Row],[STATUS DA ETAPA]],"")</f>
        <v/>
      </c>
      <c r="CB790" s="21" t="str">
        <f>IF([1]!BANCO10[[#This Row],[SOLUÇÃO]]=CB$1,[1]!BANCO10[[#This Row],[STATUS DA ETAPA]],"")</f>
        <v>AGUARDANDO SALDO</v>
      </c>
      <c r="CC790" s="21" t="str">
        <f>IF([1]!BANCO10[[#This Row],[SOLUÇÃO]]=CC$1,[1]!BANCO10[[#This Row],[STATUS DA ETAPA]],"")</f>
        <v/>
      </c>
      <c r="CD790" s="21" t="str">
        <f>IF([1]!BANCO10[[#This Row],[SOLUÇÃO]]=CD$1,[1]!BANCO10[[#This Row],[STATUS DA ETAPA]],"")</f>
        <v/>
      </c>
      <c r="CE790" s="21" t="str">
        <f>IF([1]!BANCO10[[#This Row],[SOLUÇÃO]]=CE$1,[1]!BANCO10[[#This Row],[STATUS DA ETAPA]],"")</f>
        <v/>
      </c>
      <c r="CF790" s="21" t="str">
        <f>IF([1]!BANCO10[[#This Row],[SOLUÇÃO]]=CF$1,[1]!BANCO10[[#This Row],[STATUS DA ETAPA]],"")</f>
        <v/>
      </c>
      <c r="CG790" s="21" t="str">
        <f>IF([1]!BANCO10[[#This Row],[SOLUÇÃO]]=CG$1,[1]!BANCO10[[#This Row],[STATUS DA ETAPA]],"")</f>
        <v/>
      </c>
      <c r="CH790" s="21" t="str">
        <f>IF([1]!BANCO10[[#This Row],[SOLUÇÃO]]=CH$1,[1]!BANCO10[[#This Row],[STATUS DA ETAPA]],"")</f>
        <v/>
      </c>
      <c r="CI790" s="21" t="str">
        <f>IF([1]!BANCO10[[#This Row],[SOLUÇÃO]]=CI$1,[1]!BANCO10[[#This Row],[STATUS DA ETAPA]],"")</f>
        <v/>
      </c>
      <c r="CJ790" s="21" t="str">
        <f>IF([1]!BANCO10[[#This Row],[SOLUÇÃO]]=CJ$1,[1]!BANCO10[[#This Row],[STATUS DA ETAPA]],"")</f>
        <v/>
      </c>
      <c r="CK790" s="21" t="str">
        <f>IF([1]!BANCO10[[#This Row],[SOLUÇÃO]]=CK$1,[1]!BANCO10[[#This Row],[STATUS DA ETAPA]],"")</f>
        <v/>
      </c>
      <c r="CL790" s="21" t="str">
        <f>IF([1]!BANCO10[[#This Row],[SOLUÇÃO]]=CL$1,[1]!BANCO10[[#This Row],[STATUS DA ETAPA]],"")</f>
        <v/>
      </c>
      <c r="CM790" s="21" t="str">
        <f>IF([1]!BANCO10[[#This Row],[SOLUÇÃO]]=CM$1,[1]!BANCO10[[#This Row],[STATUS DA ETAPA]],"")</f>
        <v/>
      </c>
      <c r="CN790" s="21" t="str">
        <f>IF([1]!BANCO10[[#This Row],[SOLUÇÃO]]=CN$1,[1]!BANCO10[[#This Row],[STATUS DA ETAPA]],"")</f>
        <v/>
      </c>
      <c r="CO790" s="21" t="str">
        <f>IF([1]!BANCO10[[#This Row],[SOLUÇÃO]]=CO$1,[1]!BANCO10[[#This Row],[STATUS DA ETAPA]],"")</f>
        <v/>
      </c>
      <c r="CP790" s="21" t="str">
        <f>IF([1]!BANCO10[[#This Row],[SOLUÇÃO]]=CP$1,[1]!BANCO10[[#This Row],[STATUS DA ETAPA]],"")</f>
        <v/>
      </c>
      <c r="CQ790" s="21" t="str">
        <f>IF([1]!BANCO10[[#This Row],[SOLUÇÃO]]=CQ$1,[1]!BANCO10[[#This Row],[STATUS DA ETAPA]],"")</f>
        <v/>
      </c>
      <c r="CR790" s="21" t="str">
        <f>IF([1]!BANCO10[[#This Row],[SOLUÇÃO]]=CR$1,[1]!BANCO10[[#This Row],[STATUS DA ETAPA]],"")</f>
        <v/>
      </c>
      <c r="CS790" s="21" t="str">
        <f>IF([1]!BANCO10[[#This Row],[SOLUÇÃO]]=CS$1,[1]!BANCO10[[#This Row],[STATUS DA ETAPA]],"")</f>
        <v/>
      </c>
      <c r="CT790" s="21" t="str">
        <f>IF([1]!BANCO10[[#This Row],[SOLUÇÃO]]=CT$1,[1]!BANCO10[[#This Row],[STATUS DA ETAPA]],"")</f>
        <v/>
      </c>
      <c r="CU790" s="21" t="str">
        <f>IF([1]!BANCO10[[#This Row],[SOLUÇÃO]]=CU$1,[1]!BANCO10[[#This Row],[STATUS DA ETAPA]],"")</f>
        <v/>
      </c>
      <c r="CV790" s="21" t="str">
        <f>IF([1]!BANCO10[[#This Row],[SOLUÇÃO]]=CV$1,[1]!BANCO10[[#This Row],[STATUS DA ETAPA]],"")</f>
        <v/>
      </c>
    </row>
    <row r="791" spans="1:100">
      <c r="A791" s="44" t="s">
        <v>1</v>
      </c>
      <c r="B791" s="44"/>
      <c r="C791" s="44" t="s">
        <v>1</v>
      </c>
      <c r="D791" s="44"/>
      <c r="E791" s="44" t="s">
        <v>1</v>
      </c>
      <c r="F791" s="44"/>
      <c r="G791" s="44" t="s">
        <v>1</v>
      </c>
      <c r="H791" s="44"/>
      <c r="I791" s="45" t="s">
        <v>1</v>
      </c>
      <c r="J791" s="46"/>
      <c r="K791" s="45" t="s">
        <v>1</v>
      </c>
      <c r="L791" s="33"/>
      <c r="M791" s="45" t="s">
        <v>1</v>
      </c>
      <c r="N791" s="33"/>
      <c r="O791" s="44" t="s">
        <v>2</v>
      </c>
      <c r="P791" s="44">
        <v>44801</v>
      </c>
      <c r="Q791" s="44" t="s">
        <v>0</v>
      </c>
      <c r="R791" s="44"/>
      <c r="S791" s="44" t="s">
        <v>1</v>
      </c>
      <c r="T791" s="44"/>
      <c r="U791" s="44" t="s">
        <v>1</v>
      </c>
      <c r="V791" s="44"/>
      <c r="W791" s="44" t="s">
        <v>1</v>
      </c>
      <c r="X791" s="44"/>
      <c r="Y791" s="44" t="s">
        <v>1</v>
      </c>
      <c r="Z791" s="44"/>
      <c r="AA791" s="44" t="s">
        <v>1</v>
      </c>
      <c r="AB791" s="44"/>
      <c r="AC791" s="51">
        <v>44798</v>
      </c>
      <c r="AD791" s="50">
        <v>44798</v>
      </c>
      <c r="AE791" s="40" t="s">
        <v>1</v>
      </c>
      <c r="AF791" s="40" t="s">
        <v>1</v>
      </c>
      <c r="AG791" s="40" t="s">
        <v>5</v>
      </c>
      <c r="AH791" s="36" t="s">
        <v>1</v>
      </c>
      <c r="AI791" s="49">
        <v>0</v>
      </c>
      <c r="AJ791" s="36" t="s">
        <v>1</v>
      </c>
      <c r="AK791" s="10" t="s">
        <v>1</v>
      </c>
      <c r="AL791" s="36" t="s">
        <v>1</v>
      </c>
      <c r="AM791" s="36" t="s">
        <v>1</v>
      </c>
      <c r="AN791" s="35" t="s">
        <v>1</v>
      </c>
      <c r="AO791" s="35" t="s">
        <v>1</v>
      </c>
      <c r="AP791" s="35" t="s">
        <v>1</v>
      </c>
      <c r="AQ791" s="35" t="s">
        <v>1</v>
      </c>
      <c r="AR791" s="48" t="s">
        <v>1</v>
      </c>
      <c r="AS791" s="33"/>
      <c r="AT791" s="30"/>
      <c r="AU791" s="55"/>
      <c r="AV791" s="30"/>
      <c r="AW791" s="55"/>
      <c r="AX791" s="30" t="s">
        <v>1</v>
      </c>
      <c r="AY791" s="55"/>
      <c r="AZ791" s="30" t="s">
        <v>1</v>
      </c>
      <c r="BA791" s="85"/>
      <c r="BB791" s="39" t="s">
        <v>19</v>
      </c>
      <c r="BC791" s="25"/>
      <c r="BD791" s="24" t="s">
        <v>11</v>
      </c>
      <c r="BE791" s="24" t="s">
        <v>11</v>
      </c>
      <c r="BF791" s="79" t="s">
        <v>21</v>
      </c>
      <c r="BG791" s="79" t="s">
        <v>80</v>
      </c>
      <c r="BH791" s="80" t="s">
        <v>19</v>
      </c>
      <c r="BI791" s="79"/>
      <c r="BJ791" s="54" t="s">
        <v>11</v>
      </c>
      <c r="BK791" s="78" t="s">
        <v>11</v>
      </c>
      <c r="BL791" s="69" t="s">
        <v>11</v>
      </c>
      <c r="BM791" s="78" t="s">
        <v>11</v>
      </c>
      <c r="BN791" s="78" t="s">
        <v>11</v>
      </c>
      <c r="BO791" s="78" t="s">
        <v>11</v>
      </c>
      <c r="BP791" s="78" t="s">
        <v>11</v>
      </c>
      <c r="BQ791" s="21">
        <f>YEAR([1]!BANCO10[[#This Row],[DATA INÍCIO]])</f>
        <v>2022</v>
      </c>
      <c r="BR791" s="21">
        <f>MONTH([1]!BANCO10[[#This Row],[DATA INÍCIO]])</f>
        <v>8</v>
      </c>
      <c r="BS791" s="21" t="e">
        <f>CONCATENATE(#REF!,#REF!)</f>
        <v>#REF!</v>
      </c>
      <c r="BT791" s="21"/>
      <c r="BU791" s="21" t="s">
        <v>83</v>
      </c>
      <c r="BV791" s="21" t="str">
        <f>IF([1]!BANCO10[[#This Row],[SOLUÇÃO]]=BV$1,[1]!BANCO10[[#This Row],[STATUS DA ETAPA]],"")</f>
        <v>CONCLUÍDO</v>
      </c>
      <c r="BW791" s="21" t="str">
        <f>IF([1]!BANCO10[[#This Row],[SOLUÇÃO]]=BW$1,[1]!BANCO10[[#This Row],[STATUS DA ETAPA]],"")</f>
        <v/>
      </c>
      <c r="BX791" s="21" t="str">
        <f>IF([1]!BANCO10[[#This Row],[SOLUÇÃO]]=BX$1,[1]!BANCO10[[#This Row],[STATUS DA ETAPA]],"")</f>
        <v/>
      </c>
      <c r="BY791" s="21" t="str">
        <f>IF([1]!BANCO10[[#This Row],[SOLUÇÃO]]=BY$1,[1]!BANCO10[[#This Row],[STATUS DA ETAPA]],"")</f>
        <v/>
      </c>
      <c r="BZ791" s="21" t="str">
        <f>IF([1]!BANCO10[[#This Row],[SOLUÇÃO]]=BZ$1,[1]!BANCO10[[#This Row],[STATUS DA ETAPA]],"")</f>
        <v/>
      </c>
      <c r="CA791" s="21" t="str">
        <f>IF([1]!BANCO10[[#This Row],[SOLUÇÃO]]=CA$1,[1]!BANCO10[[#This Row],[STATUS DA ETAPA]],"")</f>
        <v/>
      </c>
      <c r="CB791" s="21" t="str">
        <f>IF([1]!BANCO10[[#This Row],[SOLUÇÃO]]=CB$1,[1]!BANCO10[[#This Row],[STATUS DA ETAPA]],"")</f>
        <v/>
      </c>
      <c r="CC791" s="21" t="str">
        <f>IF([1]!BANCO10[[#This Row],[SOLUÇÃO]]=CC$1,[1]!BANCO10[[#This Row],[STATUS DA ETAPA]],"")</f>
        <v/>
      </c>
      <c r="CD791" s="21" t="str">
        <f>IF([1]!BANCO10[[#This Row],[SOLUÇÃO]]=CD$1,[1]!BANCO10[[#This Row],[STATUS DA ETAPA]],"")</f>
        <v/>
      </c>
      <c r="CE791" s="21" t="str">
        <f>IF([1]!BANCO10[[#This Row],[SOLUÇÃO]]=CE$1,[1]!BANCO10[[#This Row],[STATUS DA ETAPA]],"")</f>
        <v/>
      </c>
      <c r="CF791" s="21" t="str">
        <f>IF([1]!BANCO10[[#This Row],[SOLUÇÃO]]=CF$1,[1]!BANCO10[[#This Row],[STATUS DA ETAPA]],"")</f>
        <v/>
      </c>
      <c r="CG791" s="21" t="str">
        <f>IF([1]!BANCO10[[#This Row],[SOLUÇÃO]]=CG$1,[1]!BANCO10[[#This Row],[STATUS DA ETAPA]],"")</f>
        <v/>
      </c>
      <c r="CH791" s="21" t="str">
        <f>IF([1]!BANCO10[[#This Row],[SOLUÇÃO]]=CH$1,[1]!BANCO10[[#This Row],[STATUS DA ETAPA]],"")</f>
        <v/>
      </c>
      <c r="CI791" s="21" t="str">
        <f>IF([1]!BANCO10[[#This Row],[SOLUÇÃO]]=CI$1,[1]!BANCO10[[#This Row],[STATUS DA ETAPA]],"")</f>
        <v/>
      </c>
      <c r="CJ791" s="21" t="str">
        <f>IF([1]!BANCO10[[#This Row],[SOLUÇÃO]]=CJ$1,[1]!BANCO10[[#This Row],[STATUS DA ETAPA]],"")</f>
        <v/>
      </c>
      <c r="CK791" s="21" t="str">
        <f>IF([1]!BANCO10[[#This Row],[SOLUÇÃO]]=CK$1,[1]!BANCO10[[#This Row],[STATUS DA ETAPA]],"")</f>
        <v/>
      </c>
      <c r="CL791" s="22" t="str">
        <f>IF([1]!BANCO10[[#This Row],[SOLUÇÃO]]=CL$1,[1]!BANCO10[[#This Row],[STATUS DA ETAPA]],"")</f>
        <v/>
      </c>
      <c r="CM791" s="64" t="str">
        <f>IF([1]!BANCO10[[#This Row],[SOLUÇÃO]]=CM$1,[1]!BANCO10[[#This Row],[STATUS DA ETAPA]],"")</f>
        <v/>
      </c>
      <c r="CN791" s="64" t="str">
        <f>IF([1]!BANCO10[[#This Row],[SOLUÇÃO]]=CN$1,[1]!BANCO10[[#This Row],[STATUS DA ETAPA]],"")</f>
        <v/>
      </c>
      <c r="CO791" s="64" t="str">
        <f>IF([1]!BANCO10[[#This Row],[SOLUÇÃO]]=CO$1,[1]!BANCO10[[#This Row],[STATUS DA ETAPA]],"")</f>
        <v/>
      </c>
      <c r="CP791" s="64" t="str">
        <f>IF([1]!BANCO10[[#This Row],[SOLUÇÃO]]=CP$1,[1]!BANCO10[[#This Row],[STATUS DA ETAPA]],"")</f>
        <v/>
      </c>
      <c r="CQ791" s="64" t="str">
        <f>IF([1]!BANCO10[[#This Row],[SOLUÇÃO]]=CQ$1,[1]!BANCO10[[#This Row],[STATUS DA ETAPA]],"")</f>
        <v/>
      </c>
      <c r="CR791" s="64" t="str">
        <f>IF([1]!BANCO10[[#This Row],[SOLUÇÃO]]=CR$1,[1]!BANCO10[[#This Row],[STATUS DA ETAPA]],"")</f>
        <v/>
      </c>
      <c r="CS791" s="64" t="str">
        <f>IF([1]!BANCO10[[#This Row],[SOLUÇÃO]]=CS$1,[1]!BANCO10[[#This Row],[STATUS DA ETAPA]],"")</f>
        <v/>
      </c>
      <c r="CT791" s="64" t="str">
        <f>IF([1]!BANCO10[[#This Row],[SOLUÇÃO]]=CT$1,[1]!BANCO10[[#This Row],[STATUS DA ETAPA]],"")</f>
        <v/>
      </c>
      <c r="CU791" s="64" t="str">
        <f>IF([1]!BANCO10[[#This Row],[SOLUÇÃO]]=CU$1,[1]!BANCO10[[#This Row],[STATUS DA ETAPA]],"")</f>
        <v/>
      </c>
      <c r="CV791" s="64" t="str">
        <f>IF([1]!BANCO10[[#This Row],[SOLUÇÃO]]=CV$1,[1]!BANCO10[[#This Row],[STATUS DA ETAPA]],"")</f>
        <v/>
      </c>
    </row>
    <row r="792" spans="1:100">
      <c r="A792" s="44" t="s">
        <v>1</v>
      </c>
      <c r="B792" s="44"/>
      <c r="C792" s="44" t="s">
        <v>1</v>
      </c>
      <c r="D792" s="44"/>
      <c r="E792" s="44" t="s">
        <v>1</v>
      </c>
      <c r="F792" s="44"/>
      <c r="G792" s="44" t="s">
        <v>1</v>
      </c>
      <c r="H792" s="44"/>
      <c r="I792" s="45" t="s">
        <v>1</v>
      </c>
      <c r="J792" s="46"/>
      <c r="K792" s="45" t="s">
        <v>1</v>
      </c>
      <c r="L792" s="33"/>
      <c r="M792" s="45" t="s">
        <v>1</v>
      </c>
      <c r="N792" s="33"/>
      <c r="O792" s="44" t="s">
        <v>2</v>
      </c>
      <c r="P792" s="44">
        <v>44801</v>
      </c>
      <c r="Q792" s="44" t="s">
        <v>2</v>
      </c>
      <c r="R792" s="44">
        <v>44830</v>
      </c>
      <c r="S792" s="44" t="s">
        <v>2</v>
      </c>
      <c r="T792" s="44">
        <v>44833</v>
      </c>
      <c r="U792" s="44"/>
      <c r="V792" s="44"/>
      <c r="W792" s="44" t="s">
        <v>2</v>
      </c>
      <c r="X792" s="44"/>
      <c r="Y792" s="44" t="s">
        <v>2</v>
      </c>
      <c r="Z792" s="44">
        <v>44904</v>
      </c>
      <c r="AA792" s="44" t="s">
        <v>2</v>
      </c>
      <c r="AB792" s="44"/>
      <c r="AC792" s="51">
        <v>44937</v>
      </c>
      <c r="AD792" s="51">
        <v>45079</v>
      </c>
      <c r="AE792" s="40" t="s">
        <v>2</v>
      </c>
      <c r="AF792" s="40" t="s">
        <v>2</v>
      </c>
      <c r="AG792" s="40" t="s">
        <v>5</v>
      </c>
      <c r="AH792" s="36" t="s">
        <v>0</v>
      </c>
      <c r="AI792" s="49">
        <v>0</v>
      </c>
      <c r="AJ792" s="36"/>
      <c r="AK792" s="10" t="s">
        <v>1</v>
      </c>
      <c r="AL792" s="36" t="s">
        <v>1</v>
      </c>
      <c r="AM792" s="36" t="s">
        <v>1</v>
      </c>
      <c r="AN792" s="35" t="s">
        <v>1</v>
      </c>
      <c r="AO792" s="35" t="s">
        <v>1</v>
      </c>
      <c r="AP792" s="35" t="s">
        <v>2</v>
      </c>
      <c r="AQ792" s="35" t="s">
        <v>1</v>
      </c>
      <c r="AR792" s="33" t="s">
        <v>1</v>
      </c>
      <c r="AS792" s="33"/>
      <c r="AT792" s="30"/>
      <c r="AU792" s="55"/>
      <c r="AV792" s="30"/>
      <c r="AW792" s="55"/>
      <c r="AX792" s="30" t="s">
        <v>2</v>
      </c>
      <c r="AY792" s="55">
        <v>45079</v>
      </c>
      <c r="AZ792" s="30" t="s">
        <v>2</v>
      </c>
      <c r="BA792" s="85"/>
      <c r="BB792" s="39"/>
      <c r="BC792" s="25"/>
      <c r="BD792" s="24" t="s">
        <v>11</v>
      </c>
      <c r="BE792" s="24" t="s">
        <v>11</v>
      </c>
      <c r="BF792" s="79" t="s">
        <v>21</v>
      </c>
      <c r="BG792" s="79" t="s">
        <v>80</v>
      </c>
      <c r="BH792" s="80" t="s">
        <v>19</v>
      </c>
      <c r="BI792" s="79"/>
      <c r="BJ792" s="54" t="s">
        <v>11</v>
      </c>
      <c r="BK792" s="78" t="s">
        <v>11</v>
      </c>
      <c r="BL792" s="69">
        <v>45412</v>
      </c>
      <c r="BM792" s="78" t="s">
        <v>18</v>
      </c>
      <c r="BN792" s="78" t="s">
        <v>20</v>
      </c>
      <c r="BO792" s="78"/>
      <c r="BP792" s="78" t="s">
        <v>79</v>
      </c>
      <c r="BQ792" s="21">
        <f>YEAR([1]!BANCO10[[#This Row],[DATA INÍCIO]])</f>
        <v>2023</v>
      </c>
      <c r="BR792" s="21">
        <f>MONTH([1]!BANCO10[[#This Row],[DATA INÍCIO]])</f>
        <v>1</v>
      </c>
      <c r="BS792" s="21" t="e">
        <f>CONCATENATE(#REF!,#REF!)</f>
        <v>#REF!</v>
      </c>
      <c r="BT792" s="21"/>
      <c r="BU792" s="21" t="s">
        <v>82</v>
      </c>
      <c r="BV792" s="21" t="str">
        <f>IF([1]!BANCO10[[#This Row],[SOLUÇÃO]]=BV$1,[1]!BANCO10[[#This Row],[STATUS DA ETAPA]],"")</f>
        <v/>
      </c>
      <c r="BW792" s="21" t="str">
        <f>IF([1]!BANCO10[[#This Row],[SOLUÇÃO]]=BW$1,[1]!BANCO10[[#This Row],[STATUS DA ETAPA]],"")</f>
        <v/>
      </c>
      <c r="BX792" s="21" t="str">
        <f>IF([1]!BANCO10[[#This Row],[SOLUÇÃO]]=BX$1,[1]!BANCO10[[#This Row],[STATUS DA ETAPA]],"")</f>
        <v/>
      </c>
      <c r="BY792" s="21" t="str">
        <f>IF([1]!BANCO10[[#This Row],[SOLUÇÃO]]=BY$1,[1]!BANCO10[[#This Row],[STATUS DA ETAPA]],"")</f>
        <v/>
      </c>
      <c r="BZ792" s="21" t="str">
        <f>IF([1]!BANCO10[[#This Row],[SOLUÇÃO]]=BZ$1,[1]!BANCO10[[#This Row],[STATUS DA ETAPA]],"")</f>
        <v/>
      </c>
      <c r="CA792" s="21" t="str">
        <f>IF([1]!BANCO10[[#This Row],[SOLUÇÃO]]=CA$1,[1]!BANCO10[[#This Row],[STATUS DA ETAPA]],"")</f>
        <v>CONCLUÍDO</v>
      </c>
      <c r="CB792" s="21" t="str">
        <f>IF([1]!BANCO10[[#This Row],[SOLUÇÃO]]=CB$1,[1]!BANCO10[[#This Row],[STATUS DA ETAPA]],"")</f>
        <v/>
      </c>
      <c r="CC792" s="21" t="str">
        <f>IF([1]!BANCO10[[#This Row],[SOLUÇÃO]]=CC$1,[1]!BANCO10[[#This Row],[STATUS DA ETAPA]],"")</f>
        <v/>
      </c>
      <c r="CD792" s="21" t="str">
        <f>IF([1]!BANCO10[[#This Row],[SOLUÇÃO]]=CD$1,[1]!BANCO10[[#This Row],[STATUS DA ETAPA]],"")</f>
        <v/>
      </c>
      <c r="CE792" s="21" t="str">
        <f>IF([1]!BANCO10[[#This Row],[SOLUÇÃO]]=CE$1,[1]!BANCO10[[#This Row],[STATUS DA ETAPA]],"")</f>
        <v/>
      </c>
      <c r="CF792" s="21" t="str">
        <f>IF([1]!BANCO10[[#This Row],[SOLUÇÃO]]=CF$1,[1]!BANCO10[[#This Row],[STATUS DA ETAPA]],"")</f>
        <v/>
      </c>
      <c r="CG792" s="21" t="str">
        <f>IF([1]!BANCO10[[#This Row],[SOLUÇÃO]]=CG$1,[1]!BANCO10[[#This Row],[STATUS DA ETAPA]],"")</f>
        <v/>
      </c>
      <c r="CH792" s="21" t="str">
        <f>IF([1]!BANCO10[[#This Row],[SOLUÇÃO]]=CH$1,[1]!BANCO10[[#This Row],[STATUS DA ETAPA]],"")</f>
        <v/>
      </c>
      <c r="CI792" s="21" t="str">
        <f>IF([1]!BANCO10[[#This Row],[SOLUÇÃO]]=CI$1,[1]!BANCO10[[#This Row],[STATUS DA ETAPA]],"")</f>
        <v/>
      </c>
      <c r="CJ792" s="21" t="str">
        <f>IF([1]!BANCO10[[#This Row],[SOLUÇÃO]]=CJ$1,[1]!BANCO10[[#This Row],[STATUS DA ETAPA]],"")</f>
        <v/>
      </c>
      <c r="CK792" s="21" t="str">
        <f>IF([1]!BANCO10[[#This Row],[SOLUÇÃO]]=CK$1,[1]!BANCO10[[#This Row],[STATUS DA ETAPA]],"")</f>
        <v/>
      </c>
      <c r="CL792" s="22" t="str">
        <f>IF([1]!BANCO10[[#This Row],[SOLUÇÃO]]=CL$1,[1]!BANCO10[[#This Row],[STATUS DA ETAPA]],"")</f>
        <v/>
      </c>
      <c r="CM792" s="64" t="str">
        <f>IF([1]!BANCO10[[#This Row],[SOLUÇÃO]]=CM$1,[1]!BANCO10[[#This Row],[STATUS DA ETAPA]],"")</f>
        <v/>
      </c>
      <c r="CN792" s="64" t="str">
        <f>IF([1]!BANCO10[[#This Row],[SOLUÇÃO]]=CN$1,[1]!BANCO10[[#This Row],[STATUS DA ETAPA]],"")</f>
        <v/>
      </c>
      <c r="CO792" s="64" t="str">
        <f>IF([1]!BANCO10[[#This Row],[SOLUÇÃO]]=CO$1,[1]!BANCO10[[#This Row],[STATUS DA ETAPA]],"")</f>
        <v/>
      </c>
      <c r="CP792" s="64" t="str">
        <f>IF([1]!BANCO10[[#This Row],[SOLUÇÃO]]=CP$1,[1]!BANCO10[[#This Row],[STATUS DA ETAPA]],"")</f>
        <v/>
      </c>
      <c r="CQ792" s="64" t="str">
        <f>IF([1]!BANCO10[[#This Row],[SOLUÇÃO]]=CQ$1,[1]!BANCO10[[#This Row],[STATUS DA ETAPA]],"")</f>
        <v/>
      </c>
      <c r="CR792" s="64" t="str">
        <f>IF([1]!BANCO10[[#This Row],[SOLUÇÃO]]=CR$1,[1]!BANCO10[[#This Row],[STATUS DA ETAPA]],"")</f>
        <v/>
      </c>
      <c r="CS792" s="64" t="str">
        <f>IF([1]!BANCO10[[#This Row],[SOLUÇÃO]]=CS$1,[1]!BANCO10[[#This Row],[STATUS DA ETAPA]],"")</f>
        <v/>
      </c>
      <c r="CT792" s="64" t="str">
        <f>IF([1]!BANCO10[[#This Row],[SOLUÇÃO]]=CT$1,[1]!BANCO10[[#This Row],[STATUS DA ETAPA]],"")</f>
        <v/>
      </c>
      <c r="CU792" s="64" t="str">
        <f>IF([1]!BANCO10[[#This Row],[SOLUÇÃO]]=CU$1,[1]!BANCO10[[#This Row],[STATUS DA ETAPA]],"")</f>
        <v/>
      </c>
      <c r="CV792" s="64" t="str">
        <f>IF([1]!BANCO10[[#This Row],[SOLUÇÃO]]=CV$1,[1]!BANCO10[[#This Row],[STATUS DA ETAPA]],"")</f>
        <v/>
      </c>
    </row>
    <row r="793" spans="1:100">
      <c r="A793" s="44" t="s">
        <v>1</v>
      </c>
      <c r="B793" s="44"/>
      <c r="C793" s="44" t="s">
        <v>1</v>
      </c>
      <c r="D793" s="44"/>
      <c r="E793" s="44" t="s">
        <v>1</v>
      </c>
      <c r="F793" s="44"/>
      <c r="G793" s="44" t="s">
        <v>1</v>
      </c>
      <c r="H793" s="44"/>
      <c r="I793" s="45" t="s">
        <v>1</v>
      </c>
      <c r="J793" s="46"/>
      <c r="K793" s="45" t="s">
        <v>1</v>
      </c>
      <c r="L793" s="33"/>
      <c r="M793" s="45" t="s">
        <v>1</v>
      </c>
      <c r="N793" s="33"/>
      <c r="O793" s="44" t="s">
        <v>2</v>
      </c>
      <c r="P793" s="44">
        <v>44927</v>
      </c>
      <c r="Q793" s="44" t="s">
        <v>2</v>
      </c>
      <c r="R793" s="44">
        <v>44562</v>
      </c>
      <c r="S793" s="44" t="s">
        <v>2</v>
      </c>
      <c r="T793" s="44">
        <v>45099</v>
      </c>
      <c r="U793" s="44"/>
      <c r="V793" s="44"/>
      <c r="W793" s="44" t="s">
        <v>2</v>
      </c>
      <c r="X793" s="44"/>
      <c r="Y793" s="44" t="s">
        <v>2</v>
      </c>
      <c r="Z793" s="44">
        <v>45107</v>
      </c>
      <c r="AA793" s="44" t="s">
        <v>2</v>
      </c>
      <c r="AB793" s="44"/>
      <c r="AC793" s="84">
        <v>45153</v>
      </c>
      <c r="AD793" s="83">
        <v>45266</v>
      </c>
      <c r="AE793" s="40" t="s">
        <v>2</v>
      </c>
      <c r="AF793" s="40" t="s">
        <v>2</v>
      </c>
      <c r="AG793" s="40" t="s">
        <v>5</v>
      </c>
      <c r="AH793" s="36" t="s">
        <v>0</v>
      </c>
      <c r="AI793" s="49">
        <v>0</v>
      </c>
      <c r="AJ793" s="36" t="s">
        <v>6</v>
      </c>
      <c r="AK793" s="10" t="s">
        <v>1</v>
      </c>
      <c r="AL793" s="36" t="s">
        <v>1</v>
      </c>
      <c r="AM793" s="36" t="s">
        <v>1</v>
      </c>
      <c r="AN793" s="35" t="s">
        <v>1</v>
      </c>
      <c r="AO793" s="35" t="s">
        <v>1</v>
      </c>
      <c r="AP793" s="35" t="s">
        <v>2</v>
      </c>
      <c r="AQ793" s="35" t="s">
        <v>1</v>
      </c>
      <c r="AR793" s="33" t="s">
        <v>1</v>
      </c>
      <c r="AS793" s="33"/>
      <c r="AT793" s="30"/>
      <c r="AU793" s="55"/>
      <c r="AV793" s="30"/>
      <c r="AW793" s="55"/>
      <c r="AX793" s="30" t="s">
        <v>2</v>
      </c>
      <c r="AY793" s="55">
        <v>45279</v>
      </c>
      <c r="AZ793" s="30" t="s">
        <v>1</v>
      </c>
      <c r="BA793" s="91"/>
      <c r="BB793" s="39" t="s">
        <v>81</v>
      </c>
      <c r="BC793" s="25"/>
      <c r="BD793" s="24" t="s">
        <v>11</v>
      </c>
      <c r="BE793" s="24" t="s">
        <v>11</v>
      </c>
      <c r="BF793" s="79" t="s">
        <v>21</v>
      </c>
      <c r="BG793" s="79" t="s">
        <v>80</v>
      </c>
      <c r="BH793" s="80" t="s">
        <v>19</v>
      </c>
      <c r="BI793" s="79"/>
      <c r="BJ793" s="54" t="s">
        <v>11</v>
      </c>
      <c r="BK793" s="78" t="s">
        <v>11</v>
      </c>
      <c r="BL793" s="69">
        <v>45412</v>
      </c>
      <c r="BM793" s="78" t="s">
        <v>18</v>
      </c>
      <c r="BN793" s="78" t="s">
        <v>20</v>
      </c>
      <c r="BO793" s="78"/>
      <c r="BP793" s="78" t="s">
        <v>79</v>
      </c>
      <c r="BQ793" s="21">
        <f>YEAR([1]!BANCO10[[#This Row],[DATA INÍCIO]])</f>
        <v>2023</v>
      </c>
      <c r="BR793" s="21">
        <f>MONTH([1]!BANCO10[[#This Row],[DATA INÍCIO]])</f>
        <v>8</v>
      </c>
      <c r="BS793" s="21" t="e">
        <f>CONCATENATE(#REF!,#REF!)</f>
        <v>#REF!</v>
      </c>
      <c r="BT793" s="21"/>
      <c r="BU793" s="21" t="s">
        <v>78</v>
      </c>
      <c r="BV793" s="21" t="str">
        <f>IF([1]!BANCO10[[#This Row],[SOLUÇÃO]]=BV$1,[1]!BANCO10[[#This Row],[STATUS DA ETAPA]],"")</f>
        <v/>
      </c>
      <c r="BW793" s="21" t="str">
        <f>IF([1]!BANCO10[[#This Row],[SOLUÇÃO]]=BW$1,[1]!BANCO10[[#This Row],[STATUS DA ETAPA]],"")</f>
        <v/>
      </c>
      <c r="BX793" s="21" t="str">
        <f>IF([1]!BANCO10[[#This Row],[SOLUÇÃO]]=BX$1,[1]!BANCO10[[#This Row],[STATUS DA ETAPA]],"")</f>
        <v/>
      </c>
      <c r="BY793" s="21" t="str">
        <f>IF([1]!BANCO10[[#This Row],[SOLUÇÃO]]=BY$1,[1]!BANCO10[[#This Row],[STATUS DA ETAPA]],"")</f>
        <v/>
      </c>
      <c r="BZ793" s="21" t="str">
        <f>IF([1]!BANCO10[[#This Row],[SOLUÇÃO]]=BZ$1,[1]!BANCO10[[#This Row],[STATUS DA ETAPA]],"")</f>
        <v/>
      </c>
      <c r="CA793" s="21" t="str">
        <f>IF([1]!BANCO10[[#This Row],[SOLUÇÃO]]=CA$1,[1]!BANCO10[[#This Row],[STATUS DA ETAPA]],"")</f>
        <v/>
      </c>
      <c r="CB793" s="21" t="str">
        <f>IF([1]!BANCO10[[#This Row],[SOLUÇÃO]]=CB$1,[1]!BANCO10[[#This Row],[STATUS DA ETAPA]],"")</f>
        <v/>
      </c>
      <c r="CC793" s="21" t="str">
        <f>IF([1]!BANCO10[[#This Row],[SOLUÇÃO]]=CC$1,[1]!BANCO10[[#This Row],[STATUS DA ETAPA]],"")</f>
        <v/>
      </c>
      <c r="CD793" s="21" t="str">
        <f>IF([1]!BANCO10[[#This Row],[SOLUÇÃO]]=CD$1,[1]!BANCO10[[#This Row],[STATUS DA ETAPA]],"")</f>
        <v/>
      </c>
      <c r="CE793" s="21" t="str">
        <f>IF([1]!BANCO10[[#This Row],[SOLUÇÃO]]=CE$1,[1]!BANCO10[[#This Row],[STATUS DA ETAPA]],"")</f>
        <v/>
      </c>
      <c r="CF793" s="21" t="str">
        <f>IF([1]!BANCO10[[#This Row],[SOLUÇÃO]]=CF$1,[1]!BANCO10[[#This Row],[STATUS DA ETAPA]],"")</f>
        <v/>
      </c>
      <c r="CG793" s="21" t="str">
        <f>IF([1]!BANCO10[[#This Row],[SOLUÇÃO]]=CG$1,[1]!BANCO10[[#This Row],[STATUS DA ETAPA]],"")</f>
        <v/>
      </c>
      <c r="CH793" s="21" t="str">
        <f>IF([1]!BANCO10[[#This Row],[SOLUÇÃO]]=CH$1,[1]!BANCO10[[#This Row],[STATUS DA ETAPA]],"")</f>
        <v/>
      </c>
      <c r="CI793" s="21" t="str">
        <f>IF([1]!BANCO10[[#This Row],[SOLUÇÃO]]=CI$1,[1]!BANCO10[[#This Row],[STATUS DA ETAPA]],"")</f>
        <v/>
      </c>
      <c r="CJ793" s="21" t="str">
        <f>IF([1]!BANCO10[[#This Row],[SOLUÇÃO]]=CJ$1,[1]!BANCO10[[#This Row],[STATUS DA ETAPA]],"")</f>
        <v/>
      </c>
      <c r="CK793" s="21" t="str">
        <f>IF([1]!BANCO10[[#This Row],[SOLUÇÃO]]=CK$1,[1]!BANCO10[[#This Row],[STATUS DA ETAPA]],"")</f>
        <v/>
      </c>
      <c r="CL793" s="22" t="str">
        <f>IF([1]!BANCO10[[#This Row],[SOLUÇÃO]]=CL$1,[1]!BANCO10[[#This Row],[STATUS DA ETAPA]],"")</f>
        <v/>
      </c>
      <c r="CM793" s="64" t="str">
        <f>IF([1]!BANCO10[[#This Row],[SOLUÇÃO]]=CM$1,[1]!BANCO10[[#This Row],[STATUS DA ETAPA]],"")</f>
        <v/>
      </c>
      <c r="CN793" s="64" t="str">
        <f>IF([1]!BANCO10[[#This Row],[SOLUÇÃO]]=CN$1,[1]!BANCO10[[#This Row],[STATUS DA ETAPA]],"")</f>
        <v/>
      </c>
      <c r="CO793" s="64" t="str">
        <f>IF([1]!BANCO10[[#This Row],[SOLUÇÃO]]=CO$1,[1]!BANCO10[[#This Row],[STATUS DA ETAPA]],"")</f>
        <v>CONCLUÍDO</v>
      </c>
      <c r="CP793" s="64" t="str">
        <f>IF([1]!BANCO10[[#This Row],[SOLUÇÃO]]=CP$1,[1]!BANCO10[[#This Row],[STATUS DA ETAPA]],"")</f>
        <v/>
      </c>
      <c r="CQ793" s="64" t="str">
        <f>IF([1]!BANCO10[[#This Row],[SOLUÇÃO]]=CQ$1,[1]!BANCO10[[#This Row],[STATUS DA ETAPA]],"")</f>
        <v/>
      </c>
      <c r="CR793" s="64" t="str">
        <f>IF([1]!BANCO10[[#This Row],[SOLUÇÃO]]=CR$1,[1]!BANCO10[[#This Row],[STATUS DA ETAPA]],"")</f>
        <v/>
      </c>
      <c r="CS793" s="64" t="str">
        <f>IF([1]!BANCO10[[#This Row],[SOLUÇÃO]]=CS$1,[1]!BANCO10[[#This Row],[STATUS DA ETAPA]],"")</f>
        <v/>
      </c>
      <c r="CT793" s="64" t="str">
        <f>IF([1]!BANCO10[[#This Row],[SOLUÇÃO]]=CT$1,[1]!BANCO10[[#This Row],[STATUS DA ETAPA]],"")</f>
        <v/>
      </c>
      <c r="CU793" s="64" t="str">
        <f>IF([1]!BANCO10[[#This Row],[SOLUÇÃO]]=CU$1,[1]!BANCO10[[#This Row],[STATUS DA ETAPA]],"")</f>
        <v/>
      </c>
      <c r="CV793" s="64" t="str">
        <f>IF([1]!BANCO10[[#This Row],[SOLUÇÃO]]=CV$1,[1]!BANCO10[[#This Row],[STATUS DA ETAPA]],"")</f>
        <v/>
      </c>
    </row>
    <row r="794" spans="1:100">
      <c r="A794" s="44" t="s">
        <v>1</v>
      </c>
      <c r="B794" s="44"/>
      <c r="C794" s="44" t="s">
        <v>1</v>
      </c>
      <c r="D794" s="44"/>
      <c r="E794" s="44" t="s">
        <v>1</v>
      </c>
      <c r="F794" s="44"/>
      <c r="G794" s="44" t="s">
        <v>1</v>
      </c>
      <c r="H794" s="44"/>
      <c r="I794" s="45" t="s">
        <v>1</v>
      </c>
      <c r="J794" s="46"/>
      <c r="K794" s="45" t="s">
        <v>1</v>
      </c>
      <c r="L794" s="33"/>
      <c r="M794" s="45" t="s">
        <v>1</v>
      </c>
      <c r="N794" s="33"/>
      <c r="O794" s="44"/>
      <c r="P794" s="44"/>
      <c r="Q794" s="44"/>
      <c r="R794" s="44"/>
      <c r="S794" s="44"/>
      <c r="T794" s="44"/>
      <c r="U794" s="44"/>
      <c r="V794" s="44"/>
      <c r="W794" s="44"/>
      <c r="X794" s="44"/>
      <c r="Y794" s="44"/>
      <c r="Z794" s="44"/>
      <c r="AA794" s="44"/>
      <c r="AB794" s="44"/>
      <c r="AC794" s="51">
        <v>45931</v>
      </c>
      <c r="AD794" s="50">
        <v>46022</v>
      </c>
      <c r="AE794" s="68" t="s">
        <v>0</v>
      </c>
      <c r="AF794" s="68" t="s">
        <v>0</v>
      </c>
      <c r="AG794" s="76" t="s">
        <v>5</v>
      </c>
      <c r="AH794" s="36" t="s">
        <v>0</v>
      </c>
      <c r="AI794" s="49">
        <v>0</v>
      </c>
      <c r="AJ794" s="36" t="s">
        <v>1</v>
      </c>
      <c r="AK794" s="10" t="s">
        <v>1</v>
      </c>
      <c r="AL794" s="36" t="s">
        <v>1</v>
      </c>
      <c r="AM794" s="36" t="s">
        <v>1</v>
      </c>
      <c r="AN794" s="35" t="s">
        <v>1</v>
      </c>
      <c r="AO794" s="35" t="s">
        <v>1</v>
      </c>
      <c r="AP794" s="35" t="s">
        <v>1</v>
      </c>
      <c r="AQ794" s="35" t="s">
        <v>1</v>
      </c>
      <c r="AR794" s="33" t="s">
        <v>1</v>
      </c>
      <c r="AS794" s="33"/>
      <c r="AT794" s="32" t="s">
        <v>0</v>
      </c>
      <c r="AU794" s="31"/>
      <c r="AV794" s="32" t="s">
        <v>0</v>
      </c>
      <c r="AW794" s="31"/>
      <c r="AX794" s="30" t="s">
        <v>0</v>
      </c>
      <c r="AY794" s="29"/>
      <c r="AZ794" s="28" t="s">
        <v>0</v>
      </c>
      <c r="BA794" s="81"/>
      <c r="BB794" s="26" t="s">
        <v>7</v>
      </c>
      <c r="BC794" s="25"/>
      <c r="BD794" s="24"/>
      <c r="BE794" s="24"/>
      <c r="BF794" s="24"/>
      <c r="BG794" s="24"/>
      <c r="BH794" s="24"/>
      <c r="BI794" s="24"/>
      <c r="BJ794" s="24"/>
      <c r="BK794" s="24"/>
      <c r="BL794" s="24"/>
      <c r="BM794" s="24"/>
      <c r="BN794" s="24"/>
      <c r="BO794" s="24"/>
      <c r="BP794" s="24"/>
      <c r="BQ794" s="22">
        <f>YEAR([1]!BANCO10[[#This Row],[DATA INÍCIO]])</f>
        <v>2025</v>
      </c>
      <c r="BR794" s="22">
        <f>MONTH([1]!BANCO10[[#This Row],[DATA INÍCIO]])</f>
        <v>10</v>
      </c>
      <c r="BS794" s="23" t="e">
        <f>CONCATENATE(#REF!,#REF!)</f>
        <v>#REF!</v>
      </c>
      <c r="BT794" s="22"/>
      <c r="BU794" s="22"/>
      <c r="BV794" s="21" t="str">
        <f>IF([1]!BANCO10[[#This Row],[SOLUÇÃO]]=BV$1,[1]!BANCO10[[#This Row],[STATUS DA ETAPA]],"")</f>
        <v/>
      </c>
      <c r="BW794" s="21" t="str">
        <f>IF([1]!BANCO10[[#This Row],[SOLUÇÃO]]=BW$1,[1]!BANCO10[[#This Row],[STATUS DA ETAPA]],"")</f>
        <v/>
      </c>
      <c r="BX794" s="21" t="str">
        <f>IF([1]!BANCO10[[#This Row],[SOLUÇÃO]]=BX$1,[1]!BANCO10[[#This Row],[STATUS DA ETAPA]],"")</f>
        <v/>
      </c>
      <c r="BY794" s="21" t="str">
        <f>IF([1]!BANCO10[[#This Row],[SOLUÇÃO]]=BY$1,[1]!BANCO10[[#This Row],[STATUS DA ETAPA]],"")</f>
        <v/>
      </c>
      <c r="BZ794" s="21" t="str">
        <f>IF([1]!BANCO10[[#This Row],[SOLUÇÃO]]=BZ$1,[1]!BANCO10[[#This Row],[STATUS DA ETAPA]],"")</f>
        <v/>
      </c>
      <c r="CA794" s="21" t="str">
        <f>IF([1]!BANCO10[[#This Row],[SOLUÇÃO]]=CA$1,[1]!BANCO10[[#This Row],[STATUS DA ETAPA]],"")</f>
        <v/>
      </c>
      <c r="CB794" s="21" t="str">
        <f>IF([1]!BANCO10[[#This Row],[SOLUÇÃO]]=CB$1,[1]!BANCO10[[#This Row],[STATUS DA ETAPA]],"")</f>
        <v>CANCELADO</v>
      </c>
      <c r="CC794" s="21" t="str">
        <f>IF([1]!BANCO10[[#This Row],[SOLUÇÃO]]=CC$1,[1]!BANCO10[[#This Row],[STATUS DA ETAPA]],"")</f>
        <v/>
      </c>
      <c r="CD794" s="21" t="str">
        <f>IF([1]!BANCO10[[#This Row],[SOLUÇÃO]]=CD$1,[1]!BANCO10[[#This Row],[STATUS DA ETAPA]],"")</f>
        <v/>
      </c>
      <c r="CE794" s="21" t="str">
        <f>IF([1]!BANCO10[[#This Row],[SOLUÇÃO]]=CE$1,[1]!BANCO10[[#This Row],[STATUS DA ETAPA]],"")</f>
        <v/>
      </c>
      <c r="CF794" s="21" t="str">
        <f>IF([1]!BANCO10[[#This Row],[SOLUÇÃO]]=CF$1,[1]!BANCO10[[#This Row],[STATUS DA ETAPA]],"")</f>
        <v/>
      </c>
      <c r="CG794" s="21" t="str">
        <f>IF([1]!BANCO10[[#This Row],[SOLUÇÃO]]=CG$1,[1]!BANCO10[[#This Row],[STATUS DA ETAPA]],"")</f>
        <v/>
      </c>
      <c r="CH794" s="21" t="str">
        <f>IF([1]!BANCO10[[#This Row],[SOLUÇÃO]]=CH$1,[1]!BANCO10[[#This Row],[STATUS DA ETAPA]],"")</f>
        <v/>
      </c>
      <c r="CI794" s="21" t="str">
        <f>IF([1]!BANCO10[[#This Row],[SOLUÇÃO]]=CI$1,[1]!BANCO10[[#This Row],[STATUS DA ETAPA]],"")</f>
        <v/>
      </c>
      <c r="CJ794" s="21" t="str">
        <f>IF([1]!BANCO10[[#This Row],[SOLUÇÃO]]=CJ$1,[1]!BANCO10[[#This Row],[STATUS DA ETAPA]],"")</f>
        <v/>
      </c>
      <c r="CK794" s="21" t="str">
        <f>IF([1]!BANCO10[[#This Row],[SOLUÇÃO]]=CK$1,[1]!BANCO10[[#This Row],[STATUS DA ETAPA]],"")</f>
        <v/>
      </c>
      <c r="CL794" s="21" t="str">
        <f>IF([1]!BANCO10[[#This Row],[SOLUÇÃO]]=CL$1,[1]!BANCO10[[#This Row],[STATUS DA ETAPA]],"")</f>
        <v/>
      </c>
      <c r="CM794" s="21" t="str">
        <f>IF([1]!BANCO10[[#This Row],[SOLUÇÃO]]=CM$1,[1]!BANCO10[[#This Row],[STATUS DA ETAPA]],"")</f>
        <v/>
      </c>
      <c r="CN794" s="21" t="str">
        <f>IF([1]!BANCO10[[#This Row],[SOLUÇÃO]]=CN$1,[1]!BANCO10[[#This Row],[STATUS DA ETAPA]],"")</f>
        <v/>
      </c>
      <c r="CO794" s="21" t="str">
        <f>IF([1]!BANCO10[[#This Row],[SOLUÇÃO]]=CO$1,[1]!BANCO10[[#This Row],[STATUS DA ETAPA]],"")</f>
        <v/>
      </c>
      <c r="CP794" s="21" t="str">
        <f>IF([1]!BANCO10[[#This Row],[SOLUÇÃO]]=CP$1,[1]!BANCO10[[#This Row],[STATUS DA ETAPA]],"")</f>
        <v/>
      </c>
      <c r="CQ794" s="21" t="str">
        <f>IF([1]!BANCO10[[#This Row],[SOLUÇÃO]]=CQ$1,[1]!BANCO10[[#This Row],[STATUS DA ETAPA]],"")</f>
        <v/>
      </c>
      <c r="CR794" s="21" t="str">
        <f>IF([1]!BANCO10[[#This Row],[SOLUÇÃO]]=CR$1,[1]!BANCO10[[#This Row],[STATUS DA ETAPA]],"")</f>
        <v/>
      </c>
      <c r="CS794" s="21" t="str">
        <f>IF([1]!BANCO10[[#This Row],[SOLUÇÃO]]=CS$1,[1]!BANCO10[[#This Row],[STATUS DA ETAPA]],"")</f>
        <v/>
      </c>
      <c r="CT794" s="21" t="str">
        <f>IF([1]!BANCO10[[#This Row],[SOLUÇÃO]]=CT$1,[1]!BANCO10[[#This Row],[STATUS DA ETAPA]],"")</f>
        <v/>
      </c>
      <c r="CU794" s="21" t="str">
        <f>IF([1]!BANCO10[[#This Row],[SOLUÇÃO]]=CU$1,[1]!BANCO10[[#This Row],[STATUS DA ETAPA]],"")</f>
        <v/>
      </c>
      <c r="CV794" s="21" t="str">
        <f>IF([1]!BANCO10[[#This Row],[SOLUÇÃO]]=CV$1,[1]!BANCO10[[#This Row],[STATUS DA ETAPA]],"")</f>
        <v/>
      </c>
    </row>
    <row r="795" spans="1:100">
      <c r="A795" s="44" t="s">
        <v>1</v>
      </c>
      <c r="B795" s="44"/>
      <c r="C795" s="44" t="s">
        <v>1</v>
      </c>
      <c r="D795" s="44"/>
      <c r="E795" s="44" t="s">
        <v>1</v>
      </c>
      <c r="F795" s="44"/>
      <c r="G795" s="44" t="s">
        <v>1</v>
      </c>
      <c r="H795" s="44"/>
      <c r="I795" s="45" t="s">
        <v>1</v>
      </c>
      <c r="J795" s="46"/>
      <c r="K795" s="45" t="s">
        <v>1</v>
      </c>
      <c r="L795" s="33"/>
      <c r="M795" s="45" t="s">
        <v>1</v>
      </c>
      <c r="N795" s="33"/>
      <c r="O795" s="44" t="s">
        <v>2</v>
      </c>
      <c r="P795" s="44">
        <v>45536</v>
      </c>
      <c r="Q795" s="44" t="s">
        <v>1</v>
      </c>
      <c r="R795" s="44"/>
      <c r="S795" s="44" t="s">
        <v>1</v>
      </c>
      <c r="T795" s="44"/>
      <c r="U795" s="44" t="s">
        <v>1</v>
      </c>
      <c r="V795" s="44"/>
      <c r="W795" s="44" t="s">
        <v>1</v>
      </c>
      <c r="X795" s="44"/>
      <c r="Y795" s="44" t="s">
        <v>1</v>
      </c>
      <c r="Z795" s="44"/>
      <c r="AA795" s="44" t="s">
        <v>1</v>
      </c>
      <c r="AB795" s="44"/>
      <c r="AC795" s="51">
        <v>45963</v>
      </c>
      <c r="AD795" s="50">
        <v>45963</v>
      </c>
      <c r="AE795" s="41" t="s">
        <v>1</v>
      </c>
      <c r="AF795" s="41" t="s">
        <v>1</v>
      </c>
      <c r="AG795" s="40" t="s">
        <v>5</v>
      </c>
      <c r="AH795" s="36" t="s">
        <v>1</v>
      </c>
      <c r="AI795" s="49">
        <v>0</v>
      </c>
      <c r="AJ795" s="36" t="s">
        <v>1</v>
      </c>
      <c r="AK795" s="9" t="s">
        <v>1</v>
      </c>
      <c r="AL795" s="36" t="s">
        <v>1</v>
      </c>
      <c r="AM795" s="36" t="s">
        <v>1</v>
      </c>
      <c r="AN795" s="35" t="s">
        <v>1</v>
      </c>
      <c r="AO795" s="35" t="s">
        <v>1</v>
      </c>
      <c r="AP795" s="35" t="s">
        <v>1</v>
      </c>
      <c r="AQ795" s="35" t="s">
        <v>1</v>
      </c>
      <c r="AR795" s="34" t="s">
        <v>1</v>
      </c>
      <c r="AS795" s="63"/>
      <c r="AT795" s="32" t="s">
        <v>1</v>
      </c>
      <c r="AU795" s="31"/>
      <c r="AV795" s="32" t="s">
        <v>1</v>
      </c>
      <c r="AW795" s="31"/>
      <c r="AX795" s="32" t="s">
        <v>1</v>
      </c>
      <c r="AY795" s="31"/>
      <c r="AZ795" s="32" t="s">
        <v>1</v>
      </c>
      <c r="BA795" s="47"/>
      <c r="BB795" s="39"/>
      <c r="BC795" s="25"/>
      <c r="BD795" s="24"/>
      <c r="BE795" s="24"/>
      <c r="BF795" s="79"/>
      <c r="BG795" s="79"/>
      <c r="BH795" s="80"/>
      <c r="BI795" s="79"/>
      <c r="BJ795" s="54"/>
      <c r="BK795" s="78"/>
      <c r="BL795" s="69"/>
      <c r="BM795" s="78"/>
      <c r="BN795" s="78"/>
      <c r="BO795" s="78"/>
      <c r="BP795" s="78"/>
      <c r="BQ795" s="21">
        <f>YEAR([1]!BANCO10[[#This Row],[DATA INÍCIO]])</f>
        <v>2025</v>
      </c>
      <c r="BR795" s="21">
        <f>MONTH([1]!BANCO10[[#This Row],[DATA INÍCIO]])</f>
        <v>11</v>
      </c>
      <c r="BS795" s="21" t="e">
        <f>CONCATENATE(#REF!,#REF!)</f>
        <v>#REF!</v>
      </c>
      <c r="BT795" s="21"/>
      <c r="BU795" s="21"/>
      <c r="BV795" s="21" t="str">
        <f>IF([1]!BANCO10[[#This Row],[SOLUÇÃO]]=BV$1,[1]!BANCO10[[#This Row],[STATUS DA ETAPA]],"")</f>
        <v/>
      </c>
      <c r="BW795" s="21" t="str">
        <f>IF([1]!BANCO10[[#This Row],[SOLUÇÃO]]=BW$1,[1]!BANCO10[[#This Row],[STATUS DA ETAPA]],"")</f>
        <v/>
      </c>
      <c r="BX795" s="21" t="str">
        <f>IF([1]!BANCO10[[#This Row],[SOLUÇÃO]]=BX$1,[1]!BANCO10[[#This Row],[STATUS DA ETAPA]],"")</f>
        <v/>
      </c>
      <c r="BY795" s="21" t="str">
        <f>IF([1]!BANCO10[[#This Row],[SOLUÇÃO]]=BY$1,[1]!BANCO10[[#This Row],[STATUS DA ETAPA]],"")</f>
        <v/>
      </c>
      <c r="BZ795" s="21" t="str">
        <f>IF([1]!BANCO10[[#This Row],[SOLUÇÃO]]=BZ$1,[1]!BANCO10[[#This Row],[STATUS DA ETAPA]],"")</f>
        <v/>
      </c>
      <c r="CA795" s="21" t="str">
        <f>IF([1]!BANCO10[[#This Row],[SOLUÇÃO]]=CA$1,[1]!BANCO10[[#This Row],[STATUS DA ETAPA]],"")</f>
        <v/>
      </c>
      <c r="CB795" s="21" t="str">
        <f>IF([1]!BANCO10[[#This Row],[SOLUÇÃO]]=CB$1,[1]!BANCO10[[#This Row],[STATUS DA ETAPA]],"")</f>
        <v>CANCELADO</v>
      </c>
      <c r="CC795" s="21" t="str">
        <f>IF([1]!BANCO10[[#This Row],[SOLUÇÃO]]=CC$1,[1]!BANCO10[[#This Row],[STATUS DA ETAPA]],"")</f>
        <v/>
      </c>
      <c r="CD795" s="21" t="str">
        <f>IF([1]!BANCO10[[#This Row],[SOLUÇÃO]]=CD$1,[1]!BANCO10[[#This Row],[STATUS DA ETAPA]],"")</f>
        <v/>
      </c>
      <c r="CE795" s="21" t="str">
        <f>IF([1]!BANCO10[[#This Row],[SOLUÇÃO]]=CE$1,[1]!BANCO10[[#This Row],[STATUS DA ETAPA]],"")</f>
        <v/>
      </c>
      <c r="CF795" s="21" t="str">
        <f>IF([1]!BANCO10[[#This Row],[SOLUÇÃO]]=CF$1,[1]!BANCO10[[#This Row],[STATUS DA ETAPA]],"")</f>
        <v/>
      </c>
      <c r="CG795" s="21" t="str">
        <f>IF([1]!BANCO10[[#This Row],[SOLUÇÃO]]=CG$1,[1]!BANCO10[[#This Row],[STATUS DA ETAPA]],"")</f>
        <v/>
      </c>
      <c r="CH795" s="21" t="str">
        <f>IF([1]!BANCO10[[#This Row],[SOLUÇÃO]]=CH$1,[1]!BANCO10[[#This Row],[STATUS DA ETAPA]],"")</f>
        <v/>
      </c>
      <c r="CI795" s="21" t="str">
        <f>IF([1]!BANCO10[[#This Row],[SOLUÇÃO]]=CI$1,[1]!BANCO10[[#This Row],[STATUS DA ETAPA]],"")</f>
        <v/>
      </c>
      <c r="CJ795" s="21" t="str">
        <f>IF([1]!BANCO10[[#This Row],[SOLUÇÃO]]=CJ$1,[1]!BANCO10[[#This Row],[STATUS DA ETAPA]],"")</f>
        <v/>
      </c>
      <c r="CK795" s="21" t="str">
        <f>IF([1]!BANCO10[[#This Row],[SOLUÇÃO]]=CK$1,[1]!BANCO10[[#This Row],[STATUS DA ETAPA]],"")</f>
        <v/>
      </c>
      <c r="CL795" s="22" t="str">
        <f>IF([1]!BANCO10[[#This Row],[SOLUÇÃO]]=CL$1,[1]!BANCO10[[#This Row],[STATUS DA ETAPA]],"")</f>
        <v/>
      </c>
      <c r="CM795" s="64" t="str">
        <f>IF([1]!BANCO10[[#This Row],[SOLUÇÃO]]=CM$1,[1]!BANCO10[[#This Row],[STATUS DA ETAPA]],"")</f>
        <v/>
      </c>
      <c r="CN795" s="64" t="str">
        <f>IF([1]!BANCO10[[#This Row],[SOLUÇÃO]]=CN$1,[1]!BANCO10[[#This Row],[STATUS DA ETAPA]],"")</f>
        <v/>
      </c>
      <c r="CO795" s="64" t="str">
        <f>IF([1]!BANCO10[[#This Row],[SOLUÇÃO]]=CO$1,[1]!BANCO10[[#This Row],[STATUS DA ETAPA]],"")</f>
        <v/>
      </c>
      <c r="CP795" s="64" t="str">
        <f>IF([1]!BANCO10[[#This Row],[SOLUÇÃO]]=CP$1,[1]!BANCO10[[#This Row],[STATUS DA ETAPA]],"")</f>
        <v/>
      </c>
      <c r="CQ795" s="64" t="str">
        <f>IF([1]!BANCO10[[#This Row],[SOLUÇÃO]]=CQ$1,[1]!BANCO10[[#This Row],[STATUS DA ETAPA]],"")</f>
        <v/>
      </c>
      <c r="CR795" s="64" t="str">
        <f>IF([1]!BANCO10[[#This Row],[SOLUÇÃO]]=CR$1,[1]!BANCO10[[#This Row],[STATUS DA ETAPA]],"")</f>
        <v/>
      </c>
      <c r="CS795" s="64" t="str">
        <f>IF([1]!BANCO10[[#This Row],[SOLUÇÃO]]=CS$1,[1]!BANCO10[[#This Row],[STATUS DA ETAPA]],"")</f>
        <v/>
      </c>
      <c r="CT795" s="64" t="str">
        <f>IF([1]!BANCO10[[#This Row],[SOLUÇÃO]]=CT$1,[1]!BANCO10[[#This Row],[STATUS DA ETAPA]],"")</f>
        <v/>
      </c>
      <c r="CU795" s="64" t="str">
        <f>IF([1]!BANCO10[[#This Row],[SOLUÇÃO]]=CU$1,[1]!BANCO10[[#This Row],[STATUS DA ETAPA]],"")</f>
        <v/>
      </c>
      <c r="CV795" s="64" t="str">
        <f>IF([1]!BANCO10[[#This Row],[SOLUÇÃO]]=CV$1,[1]!BANCO10[[#This Row],[STATUS DA ETAPA]],"")</f>
        <v/>
      </c>
    </row>
    <row r="796" spans="1:100">
      <c r="A796" s="44" t="s">
        <v>1</v>
      </c>
      <c r="B796" s="44"/>
      <c r="C796" s="44" t="s">
        <v>1</v>
      </c>
      <c r="D796" s="44"/>
      <c r="E796" s="44" t="s">
        <v>1</v>
      </c>
      <c r="F796" s="44"/>
      <c r="G796" s="44" t="s">
        <v>1</v>
      </c>
      <c r="H796" s="44"/>
      <c r="I796" s="45" t="s">
        <v>1</v>
      </c>
      <c r="J796" s="46"/>
      <c r="K796" s="45" t="s">
        <v>1</v>
      </c>
      <c r="L796" s="33"/>
      <c r="M796" s="45" t="s">
        <v>1</v>
      </c>
      <c r="N796" s="33"/>
      <c r="O796" s="44" t="s">
        <v>1</v>
      </c>
      <c r="P796" s="44"/>
      <c r="Q796" s="44" t="s">
        <v>1</v>
      </c>
      <c r="R796" s="44"/>
      <c r="S796" s="44" t="s">
        <v>1</v>
      </c>
      <c r="T796" s="44"/>
      <c r="U796" s="44" t="s">
        <v>1</v>
      </c>
      <c r="V796" s="44"/>
      <c r="W796" s="44" t="s">
        <v>1</v>
      </c>
      <c r="X796" s="44"/>
      <c r="Y796" s="44" t="s">
        <v>1</v>
      </c>
      <c r="Z796" s="44"/>
      <c r="AA796" s="44" t="s">
        <v>1</v>
      </c>
      <c r="AB796" s="44"/>
      <c r="AC796" s="51">
        <v>45577</v>
      </c>
      <c r="AD796" s="50">
        <v>45577</v>
      </c>
      <c r="AE796" s="41" t="s">
        <v>1</v>
      </c>
      <c r="AF796" s="41" t="s">
        <v>1</v>
      </c>
      <c r="AG796" s="40" t="s">
        <v>5</v>
      </c>
      <c r="AH796" s="36" t="s">
        <v>1</v>
      </c>
      <c r="AI796" s="49">
        <v>0</v>
      </c>
      <c r="AJ796" s="36" t="s">
        <v>1</v>
      </c>
      <c r="AK796" s="10" t="s">
        <v>1</v>
      </c>
      <c r="AL796" s="36" t="s">
        <v>1</v>
      </c>
      <c r="AM796" s="36" t="s">
        <v>1</v>
      </c>
      <c r="AN796" s="35" t="s">
        <v>1</v>
      </c>
      <c r="AO796" s="35" t="s">
        <v>1</v>
      </c>
      <c r="AP796" s="35" t="s">
        <v>1</v>
      </c>
      <c r="AQ796" s="35" t="s">
        <v>1</v>
      </c>
      <c r="AR796" s="93" t="s">
        <v>1</v>
      </c>
      <c r="AS796" s="89"/>
      <c r="AT796" s="88"/>
      <c r="AU796" s="25"/>
      <c r="AV796" s="88"/>
      <c r="AW796" s="25"/>
      <c r="AX796" s="88" t="s">
        <v>1</v>
      </c>
      <c r="AY796" s="25"/>
      <c r="AZ796" s="88" t="s">
        <v>1</v>
      </c>
      <c r="BA796" s="87"/>
      <c r="BB796" s="39"/>
      <c r="BC796" s="25"/>
      <c r="BD796" s="24"/>
      <c r="BE796" s="24"/>
      <c r="BF796" s="79"/>
      <c r="BG796" s="79"/>
      <c r="BH796" s="80"/>
      <c r="BI796" s="79"/>
      <c r="BJ796" s="54"/>
      <c r="BK796" s="78"/>
      <c r="BL796" s="69"/>
      <c r="BM796" s="78"/>
      <c r="BN796" s="78"/>
      <c r="BO796" s="78"/>
      <c r="BP796" s="78"/>
      <c r="BQ796" s="21">
        <f>YEAR([1]!BANCO10[[#This Row],[DATA INÍCIO]])</f>
        <v>2024</v>
      </c>
      <c r="BR796" s="21">
        <f>MONTH([1]!BANCO10[[#This Row],[DATA INÍCIO]])</f>
        <v>10</v>
      </c>
      <c r="BS796" s="21" t="e">
        <f>CONCATENATE(#REF!,#REF!)</f>
        <v>#REF!</v>
      </c>
      <c r="BT796" s="21"/>
      <c r="BU796" s="21"/>
      <c r="BV796" s="21" t="str">
        <f>IF([1]!BANCO10[[#This Row],[SOLUÇÃO]]=BV$1,[1]!BANCO10[[#This Row],[STATUS DA ETAPA]],"")</f>
        <v>CONCLUÍDO</v>
      </c>
      <c r="BW796" s="21" t="str">
        <f>IF([1]!BANCO10[[#This Row],[SOLUÇÃO]]=BW$1,[1]!BANCO10[[#This Row],[STATUS DA ETAPA]],"")</f>
        <v/>
      </c>
      <c r="BX796" s="21" t="str">
        <f>IF([1]!BANCO10[[#This Row],[SOLUÇÃO]]=BX$1,[1]!BANCO10[[#This Row],[STATUS DA ETAPA]],"")</f>
        <v/>
      </c>
      <c r="BY796" s="21" t="str">
        <f>IF([1]!BANCO10[[#This Row],[SOLUÇÃO]]=BY$1,[1]!BANCO10[[#This Row],[STATUS DA ETAPA]],"")</f>
        <v/>
      </c>
      <c r="BZ796" s="21" t="str">
        <f>IF([1]!BANCO10[[#This Row],[SOLUÇÃO]]=BZ$1,[1]!BANCO10[[#This Row],[STATUS DA ETAPA]],"")</f>
        <v/>
      </c>
      <c r="CA796" s="21" t="str">
        <f>IF([1]!BANCO10[[#This Row],[SOLUÇÃO]]=CA$1,[1]!BANCO10[[#This Row],[STATUS DA ETAPA]],"")</f>
        <v/>
      </c>
      <c r="CB796" s="21" t="str">
        <f>IF([1]!BANCO10[[#This Row],[SOLUÇÃO]]=CB$1,[1]!BANCO10[[#This Row],[STATUS DA ETAPA]],"")</f>
        <v/>
      </c>
      <c r="CC796" s="21" t="str">
        <f>IF([1]!BANCO10[[#This Row],[SOLUÇÃO]]=CC$1,[1]!BANCO10[[#This Row],[STATUS DA ETAPA]],"")</f>
        <v/>
      </c>
      <c r="CD796" s="21" t="str">
        <f>IF([1]!BANCO10[[#This Row],[SOLUÇÃO]]=CD$1,[1]!BANCO10[[#This Row],[STATUS DA ETAPA]],"")</f>
        <v/>
      </c>
      <c r="CE796" s="21" t="str">
        <f>IF([1]!BANCO10[[#This Row],[SOLUÇÃO]]=CE$1,[1]!BANCO10[[#This Row],[STATUS DA ETAPA]],"")</f>
        <v/>
      </c>
      <c r="CF796" s="21" t="str">
        <f>IF([1]!BANCO10[[#This Row],[SOLUÇÃO]]=CF$1,[1]!BANCO10[[#This Row],[STATUS DA ETAPA]],"")</f>
        <v/>
      </c>
      <c r="CG796" s="21" t="str">
        <f>IF([1]!BANCO10[[#This Row],[SOLUÇÃO]]=CG$1,[1]!BANCO10[[#This Row],[STATUS DA ETAPA]],"")</f>
        <v/>
      </c>
      <c r="CH796" s="21" t="str">
        <f>IF([1]!BANCO10[[#This Row],[SOLUÇÃO]]=CH$1,[1]!BANCO10[[#This Row],[STATUS DA ETAPA]],"")</f>
        <v/>
      </c>
      <c r="CI796" s="21" t="str">
        <f>IF([1]!BANCO10[[#This Row],[SOLUÇÃO]]=CI$1,[1]!BANCO10[[#This Row],[STATUS DA ETAPA]],"")</f>
        <v/>
      </c>
      <c r="CJ796" s="21" t="str">
        <f>IF([1]!BANCO10[[#This Row],[SOLUÇÃO]]=CJ$1,[1]!BANCO10[[#This Row],[STATUS DA ETAPA]],"")</f>
        <v/>
      </c>
      <c r="CK796" s="21" t="str">
        <f>IF([1]!BANCO10[[#This Row],[SOLUÇÃO]]=CK$1,[1]!BANCO10[[#This Row],[STATUS DA ETAPA]],"")</f>
        <v/>
      </c>
      <c r="CL796" s="22" t="str">
        <f>IF([1]!BANCO10[[#This Row],[SOLUÇÃO]]=CL$1,[1]!BANCO10[[#This Row],[STATUS DA ETAPA]],"")</f>
        <v/>
      </c>
      <c r="CM796" s="64" t="str">
        <f>IF([1]!BANCO10[[#This Row],[SOLUÇÃO]]=CM$1,[1]!BANCO10[[#This Row],[STATUS DA ETAPA]],"")</f>
        <v/>
      </c>
      <c r="CN796" s="64" t="str">
        <f>IF([1]!BANCO10[[#This Row],[SOLUÇÃO]]=CN$1,[1]!BANCO10[[#This Row],[STATUS DA ETAPA]],"")</f>
        <v/>
      </c>
      <c r="CO796" s="64" t="str">
        <f>IF([1]!BANCO10[[#This Row],[SOLUÇÃO]]=CO$1,[1]!BANCO10[[#This Row],[STATUS DA ETAPA]],"")</f>
        <v/>
      </c>
      <c r="CP796" s="64" t="str">
        <f>IF([1]!BANCO10[[#This Row],[SOLUÇÃO]]=CP$1,[1]!BANCO10[[#This Row],[STATUS DA ETAPA]],"")</f>
        <v/>
      </c>
      <c r="CQ796" s="64" t="str">
        <f>IF([1]!BANCO10[[#This Row],[SOLUÇÃO]]=CQ$1,[1]!BANCO10[[#This Row],[STATUS DA ETAPA]],"")</f>
        <v/>
      </c>
      <c r="CR796" s="64" t="str">
        <f>IF([1]!BANCO10[[#This Row],[SOLUÇÃO]]=CR$1,[1]!BANCO10[[#This Row],[STATUS DA ETAPA]],"")</f>
        <v/>
      </c>
      <c r="CS796" s="64" t="str">
        <f>IF([1]!BANCO10[[#This Row],[SOLUÇÃO]]=CS$1,[1]!BANCO10[[#This Row],[STATUS DA ETAPA]],"")</f>
        <v/>
      </c>
      <c r="CT796" s="64" t="str">
        <f>IF([1]!BANCO10[[#This Row],[SOLUÇÃO]]=CT$1,[1]!BANCO10[[#This Row],[STATUS DA ETAPA]],"")</f>
        <v/>
      </c>
      <c r="CU796" s="64" t="str">
        <f>IF([1]!BANCO10[[#This Row],[SOLUÇÃO]]=CU$1,[1]!BANCO10[[#This Row],[STATUS DA ETAPA]],"")</f>
        <v/>
      </c>
      <c r="CV796" s="64" t="str">
        <f>IF([1]!BANCO10[[#This Row],[SOLUÇÃO]]=CV$1,[1]!BANCO10[[#This Row],[STATUS DA ETAPA]],"")</f>
        <v/>
      </c>
    </row>
    <row r="797" spans="1:100">
      <c r="A797" s="44" t="s">
        <v>1</v>
      </c>
      <c r="B797" s="44"/>
      <c r="C797" s="44" t="s">
        <v>1</v>
      </c>
      <c r="D797" s="44"/>
      <c r="E797" s="44" t="s">
        <v>1</v>
      </c>
      <c r="F797" s="44"/>
      <c r="G797" s="44" t="s">
        <v>1</v>
      </c>
      <c r="H797" s="44"/>
      <c r="I797" s="45" t="s">
        <v>1</v>
      </c>
      <c r="J797" s="46"/>
      <c r="K797" s="45" t="s">
        <v>1</v>
      </c>
      <c r="L797" s="33"/>
      <c r="M797" s="45" t="s">
        <v>1</v>
      </c>
      <c r="N797" s="33"/>
      <c r="O797" s="44" t="s">
        <v>2</v>
      </c>
      <c r="P797" s="44">
        <v>45264</v>
      </c>
      <c r="Q797" s="44" t="s">
        <v>0</v>
      </c>
      <c r="R797" s="44"/>
      <c r="S797" s="44" t="s">
        <v>1</v>
      </c>
      <c r="T797" s="44"/>
      <c r="U797" s="44" t="s">
        <v>1</v>
      </c>
      <c r="V797" s="44"/>
      <c r="W797" s="44" t="s">
        <v>1</v>
      </c>
      <c r="X797" s="44"/>
      <c r="Y797" s="44" t="s">
        <v>1</v>
      </c>
      <c r="Z797" s="44"/>
      <c r="AA797" s="44" t="s">
        <v>1</v>
      </c>
      <c r="AB797" s="44"/>
      <c r="AC797" s="51">
        <v>45300</v>
      </c>
      <c r="AD797" s="51">
        <v>45300</v>
      </c>
      <c r="AE797" s="40" t="s">
        <v>1</v>
      </c>
      <c r="AF797" s="40" t="s">
        <v>1</v>
      </c>
      <c r="AG797" s="40" t="s">
        <v>5</v>
      </c>
      <c r="AH797" s="36" t="s">
        <v>1</v>
      </c>
      <c r="AI797" s="49">
        <v>0</v>
      </c>
      <c r="AJ797" s="36" t="s">
        <v>1</v>
      </c>
      <c r="AK797" s="10" t="s">
        <v>1</v>
      </c>
      <c r="AL797" s="36" t="s">
        <v>1</v>
      </c>
      <c r="AM797" s="36" t="s">
        <v>1</v>
      </c>
      <c r="AN797" s="35" t="s">
        <v>1</v>
      </c>
      <c r="AO797" s="35" t="s">
        <v>1</v>
      </c>
      <c r="AP797" s="35" t="s">
        <v>1</v>
      </c>
      <c r="AQ797" s="35" t="s">
        <v>1</v>
      </c>
      <c r="AR797" s="48" t="s">
        <v>1</v>
      </c>
      <c r="AS797" s="33"/>
      <c r="AT797" s="30"/>
      <c r="AU797" s="55"/>
      <c r="AV797" s="30"/>
      <c r="AW797" s="55"/>
      <c r="AX797" s="30" t="s">
        <v>1</v>
      </c>
      <c r="AY797" s="55"/>
      <c r="AZ797" s="28" t="s">
        <v>1</v>
      </c>
      <c r="BA797" s="85"/>
      <c r="BB797" s="39" t="s">
        <v>77</v>
      </c>
      <c r="BC797" s="25"/>
      <c r="BD797" s="24" t="s">
        <v>19</v>
      </c>
      <c r="BE797" s="24" t="s">
        <v>19</v>
      </c>
      <c r="BF797" s="79" t="s">
        <v>51</v>
      </c>
      <c r="BG797" s="79" t="s">
        <v>11</v>
      </c>
      <c r="BH797" s="80" t="s">
        <v>19</v>
      </c>
      <c r="BI797" s="79"/>
      <c r="BJ797" s="54" t="s">
        <v>11</v>
      </c>
      <c r="BK797" s="78" t="s">
        <v>11</v>
      </c>
      <c r="BL797" s="69" t="s">
        <v>11</v>
      </c>
      <c r="BM797" s="78" t="s">
        <v>11</v>
      </c>
      <c r="BN797" s="78" t="s">
        <v>11</v>
      </c>
      <c r="BO797" s="78" t="s">
        <v>11</v>
      </c>
      <c r="BP797" s="78" t="s">
        <v>11</v>
      </c>
      <c r="BQ797" s="21">
        <f>YEAR([1]!BANCO10[[#This Row],[DATA INÍCIO]])</f>
        <v>2024</v>
      </c>
      <c r="BR797" s="21">
        <f>MONTH([1]!BANCO10[[#This Row],[DATA INÍCIO]])</f>
        <v>1</v>
      </c>
      <c r="BS797" s="21" t="e">
        <f>CONCATENATE(#REF!,#REF!)</f>
        <v>#REF!</v>
      </c>
      <c r="BT797" s="21"/>
      <c r="BU797" s="21" t="s">
        <v>76</v>
      </c>
      <c r="BV797" s="21" t="str">
        <f>IF([1]!BANCO10[[#This Row],[SOLUÇÃO]]=BV$1,[1]!BANCO10[[#This Row],[STATUS DA ETAPA]],"")</f>
        <v>CONCLUÍDO</v>
      </c>
      <c r="BW797" s="21" t="str">
        <f>IF([1]!BANCO10[[#This Row],[SOLUÇÃO]]=BW$1,[1]!BANCO10[[#This Row],[STATUS DA ETAPA]],"")</f>
        <v/>
      </c>
      <c r="BX797" s="21" t="str">
        <f>IF([1]!BANCO10[[#This Row],[SOLUÇÃO]]=BX$1,[1]!BANCO10[[#This Row],[STATUS DA ETAPA]],"")</f>
        <v/>
      </c>
      <c r="BY797" s="21" t="str">
        <f>IF([1]!BANCO10[[#This Row],[SOLUÇÃO]]=BY$1,[1]!BANCO10[[#This Row],[STATUS DA ETAPA]],"")</f>
        <v/>
      </c>
      <c r="BZ797" s="21" t="str">
        <f>IF([1]!BANCO10[[#This Row],[SOLUÇÃO]]=BZ$1,[1]!BANCO10[[#This Row],[STATUS DA ETAPA]],"")</f>
        <v/>
      </c>
      <c r="CA797" s="21" t="str">
        <f>IF([1]!BANCO10[[#This Row],[SOLUÇÃO]]=CA$1,[1]!BANCO10[[#This Row],[STATUS DA ETAPA]],"")</f>
        <v/>
      </c>
      <c r="CB797" s="21" t="str">
        <f>IF([1]!BANCO10[[#This Row],[SOLUÇÃO]]=CB$1,[1]!BANCO10[[#This Row],[STATUS DA ETAPA]],"")</f>
        <v/>
      </c>
      <c r="CC797" s="21" t="str">
        <f>IF([1]!BANCO10[[#This Row],[SOLUÇÃO]]=CC$1,[1]!BANCO10[[#This Row],[STATUS DA ETAPA]],"")</f>
        <v/>
      </c>
      <c r="CD797" s="21" t="str">
        <f>IF([1]!BANCO10[[#This Row],[SOLUÇÃO]]=CD$1,[1]!BANCO10[[#This Row],[STATUS DA ETAPA]],"")</f>
        <v/>
      </c>
      <c r="CE797" s="21" t="str">
        <f>IF([1]!BANCO10[[#This Row],[SOLUÇÃO]]=CE$1,[1]!BANCO10[[#This Row],[STATUS DA ETAPA]],"")</f>
        <v/>
      </c>
      <c r="CF797" s="21" t="str">
        <f>IF([1]!BANCO10[[#This Row],[SOLUÇÃO]]=CF$1,[1]!BANCO10[[#This Row],[STATUS DA ETAPA]],"")</f>
        <v/>
      </c>
      <c r="CG797" s="21" t="str">
        <f>IF([1]!BANCO10[[#This Row],[SOLUÇÃO]]=CG$1,[1]!BANCO10[[#This Row],[STATUS DA ETAPA]],"")</f>
        <v/>
      </c>
      <c r="CH797" s="21" t="str">
        <f>IF([1]!BANCO10[[#This Row],[SOLUÇÃO]]=CH$1,[1]!BANCO10[[#This Row],[STATUS DA ETAPA]],"")</f>
        <v/>
      </c>
      <c r="CI797" s="21" t="str">
        <f>IF([1]!BANCO10[[#This Row],[SOLUÇÃO]]=CI$1,[1]!BANCO10[[#This Row],[STATUS DA ETAPA]],"")</f>
        <v/>
      </c>
      <c r="CJ797" s="21" t="str">
        <f>IF([1]!BANCO10[[#This Row],[SOLUÇÃO]]=CJ$1,[1]!BANCO10[[#This Row],[STATUS DA ETAPA]],"")</f>
        <v/>
      </c>
      <c r="CK797" s="21" t="str">
        <f>IF([1]!BANCO10[[#This Row],[SOLUÇÃO]]=CK$1,[1]!BANCO10[[#This Row],[STATUS DA ETAPA]],"")</f>
        <v/>
      </c>
      <c r="CL797" s="22" t="str">
        <f>IF([1]!BANCO10[[#This Row],[SOLUÇÃO]]=CL$1,[1]!BANCO10[[#This Row],[STATUS DA ETAPA]],"")</f>
        <v/>
      </c>
      <c r="CM797" s="64" t="str">
        <f>IF([1]!BANCO10[[#This Row],[SOLUÇÃO]]=CM$1,[1]!BANCO10[[#This Row],[STATUS DA ETAPA]],"")</f>
        <v/>
      </c>
      <c r="CN797" s="64" t="str">
        <f>IF([1]!BANCO10[[#This Row],[SOLUÇÃO]]=CN$1,[1]!BANCO10[[#This Row],[STATUS DA ETAPA]],"")</f>
        <v/>
      </c>
      <c r="CO797" s="64" t="str">
        <f>IF([1]!BANCO10[[#This Row],[SOLUÇÃO]]=CO$1,[1]!BANCO10[[#This Row],[STATUS DA ETAPA]],"")</f>
        <v/>
      </c>
      <c r="CP797" s="64" t="str">
        <f>IF([1]!BANCO10[[#This Row],[SOLUÇÃO]]=CP$1,[1]!BANCO10[[#This Row],[STATUS DA ETAPA]],"")</f>
        <v/>
      </c>
      <c r="CQ797" s="64" t="str">
        <f>IF([1]!BANCO10[[#This Row],[SOLUÇÃO]]=CQ$1,[1]!BANCO10[[#This Row],[STATUS DA ETAPA]],"")</f>
        <v/>
      </c>
      <c r="CR797" s="64" t="str">
        <f>IF([1]!BANCO10[[#This Row],[SOLUÇÃO]]=CR$1,[1]!BANCO10[[#This Row],[STATUS DA ETAPA]],"")</f>
        <v/>
      </c>
      <c r="CS797" s="64" t="str">
        <f>IF([1]!BANCO10[[#This Row],[SOLUÇÃO]]=CS$1,[1]!BANCO10[[#This Row],[STATUS DA ETAPA]],"")</f>
        <v/>
      </c>
      <c r="CT797" s="64" t="str">
        <f>IF([1]!BANCO10[[#This Row],[SOLUÇÃO]]=CT$1,[1]!BANCO10[[#This Row],[STATUS DA ETAPA]],"")</f>
        <v/>
      </c>
      <c r="CU797" s="64" t="str">
        <f>IF([1]!BANCO10[[#This Row],[SOLUÇÃO]]=CU$1,[1]!BANCO10[[#This Row],[STATUS DA ETAPA]],"")</f>
        <v/>
      </c>
      <c r="CV797" s="64" t="str">
        <f>IF([1]!BANCO10[[#This Row],[SOLUÇÃO]]=CV$1,[1]!BANCO10[[#This Row],[STATUS DA ETAPA]],"")</f>
        <v/>
      </c>
    </row>
    <row r="798" spans="1:100">
      <c r="A798" s="44" t="s">
        <v>1</v>
      </c>
      <c r="B798" s="44"/>
      <c r="C798" s="44" t="s">
        <v>1</v>
      </c>
      <c r="D798" s="44"/>
      <c r="E798" s="44" t="s">
        <v>1</v>
      </c>
      <c r="F798" s="44"/>
      <c r="G798" s="44" t="s">
        <v>1</v>
      </c>
      <c r="H798" s="44"/>
      <c r="I798" s="45" t="s">
        <v>1</v>
      </c>
      <c r="J798" s="46"/>
      <c r="K798" s="45" t="s">
        <v>1</v>
      </c>
      <c r="L798" s="33"/>
      <c r="M798" s="45" t="s">
        <v>1</v>
      </c>
      <c r="N798" s="33"/>
      <c r="O798" s="44" t="s">
        <v>2</v>
      </c>
      <c r="P798" s="44">
        <v>44927</v>
      </c>
      <c r="Q798" s="44" t="s">
        <v>2</v>
      </c>
      <c r="R798" s="44">
        <v>44927</v>
      </c>
      <c r="S798" s="44" t="s">
        <v>2</v>
      </c>
      <c r="T798" s="44"/>
      <c r="U798" s="44" t="s">
        <v>2</v>
      </c>
      <c r="V798" s="44">
        <v>44927</v>
      </c>
      <c r="W798" s="44" t="s">
        <v>2</v>
      </c>
      <c r="X798" s="44">
        <v>44927</v>
      </c>
      <c r="Y798" s="44" t="s">
        <v>2</v>
      </c>
      <c r="Z798" s="44">
        <v>44927</v>
      </c>
      <c r="AA798" s="44" t="s">
        <v>1</v>
      </c>
      <c r="AB798" s="44"/>
      <c r="AC798" s="51">
        <v>45963</v>
      </c>
      <c r="AD798" s="50">
        <v>45963</v>
      </c>
      <c r="AE798" s="54" t="s">
        <v>1</v>
      </c>
      <c r="AF798" s="54" t="s">
        <v>1</v>
      </c>
      <c r="AG798" s="40" t="s">
        <v>5</v>
      </c>
      <c r="AH798" s="36" t="s">
        <v>0</v>
      </c>
      <c r="AI798" s="49">
        <v>0</v>
      </c>
      <c r="AJ798" s="36"/>
      <c r="AK798" s="10" t="s">
        <v>30</v>
      </c>
      <c r="AL798" s="36" t="s">
        <v>30</v>
      </c>
      <c r="AM798" s="36" t="s">
        <v>30</v>
      </c>
      <c r="AN798" s="35" t="s">
        <v>1</v>
      </c>
      <c r="AO798" s="35" t="s">
        <v>1</v>
      </c>
      <c r="AP798" s="35"/>
      <c r="AQ798" s="35" t="s">
        <v>1</v>
      </c>
      <c r="AR798" s="33" t="s">
        <v>1</v>
      </c>
      <c r="AS798" s="33"/>
      <c r="AT798" s="32"/>
      <c r="AU798" s="31"/>
      <c r="AV798" s="32"/>
      <c r="AW798" s="31"/>
      <c r="AX798" s="30" t="s">
        <v>0</v>
      </c>
      <c r="AY798" s="29"/>
      <c r="AZ798" s="28" t="s">
        <v>0</v>
      </c>
      <c r="BA798" s="81"/>
      <c r="BB798" s="39"/>
      <c r="BC798" s="25"/>
      <c r="BD798" s="24" t="s">
        <v>19</v>
      </c>
      <c r="BE798" s="24" t="s">
        <v>19</v>
      </c>
      <c r="BF798" s="79" t="s">
        <v>51</v>
      </c>
      <c r="BG798" s="79" t="s">
        <v>11</v>
      </c>
      <c r="BH798" s="80" t="s">
        <v>19</v>
      </c>
      <c r="BI798" s="79"/>
      <c r="BJ798" s="54" t="s">
        <v>11</v>
      </c>
      <c r="BK798" s="78" t="s">
        <v>11</v>
      </c>
      <c r="BL798" s="69">
        <v>45397</v>
      </c>
      <c r="BM798" s="78"/>
      <c r="BN798" s="78" t="s">
        <v>11</v>
      </c>
      <c r="BO798" s="78"/>
      <c r="BP798" s="78" t="s">
        <v>75</v>
      </c>
      <c r="BQ798" s="21">
        <f>YEAR([1]!BANCO10[[#This Row],[DATA INÍCIO]])</f>
        <v>2025</v>
      </c>
      <c r="BR798" s="21">
        <f>MONTH([1]!BANCO10[[#This Row],[DATA INÍCIO]])</f>
        <v>11</v>
      </c>
      <c r="BS798" s="21" t="e">
        <f>CONCATENATE(#REF!,#REF!)</f>
        <v>#REF!</v>
      </c>
      <c r="BT798" s="21"/>
      <c r="BU798" s="21" t="s">
        <v>30</v>
      </c>
      <c r="BV798" s="21" t="str">
        <f>IF([1]!BANCO10[[#This Row],[SOLUÇÃO]]=BV$1,[1]!BANCO10[[#This Row],[STATUS DA ETAPA]],"")</f>
        <v/>
      </c>
      <c r="BW798" s="21" t="str">
        <f>IF([1]!BANCO10[[#This Row],[SOLUÇÃO]]=BW$1,[1]!BANCO10[[#This Row],[STATUS DA ETAPA]],"")</f>
        <v/>
      </c>
      <c r="BX798" s="21" t="str">
        <f>IF([1]!BANCO10[[#This Row],[SOLUÇÃO]]=BX$1,[1]!BANCO10[[#This Row],[STATUS DA ETAPA]],"")</f>
        <v/>
      </c>
      <c r="BY798" s="21" t="str">
        <f>IF([1]!BANCO10[[#This Row],[SOLUÇÃO]]=BY$1,[1]!BANCO10[[#This Row],[STATUS DA ETAPA]],"")</f>
        <v/>
      </c>
      <c r="BZ798" s="21" t="str">
        <f>IF([1]!BANCO10[[#This Row],[SOLUÇÃO]]=BZ$1,[1]!BANCO10[[#This Row],[STATUS DA ETAPA]],"")</f>
        <v/>
      </c>
      <c r="CA798" s="21" t="str">
        <f>IF([1]!BANCO10[[#This Row],[SOLUÇÃO]]=CA$1,[1]!BANCO10[[#This Row],[STATUS DA ETAPA]],"")</f>
        <v>PROSPECÇÃO</v>
      </c>
      <c r="CB798" s="21" t="str">
        <f>IF([1]!BANCO10[[#This Row],[SOLUÇÃO]]=CB$1,[1]!BANCO10[[#This Row],[STATUS DA ETAPA]],"")</f>
        <v/>
      </c>
      <c r="CC798" s="21" t="str">
        <f>IF([1]!BANCO10[[#This Row],[SOLUÇÃO]]=CC$1,[1]!BANCO10[[#This Row],[STATUS DA ETAPA]],"")</f>
        <v/>
      </c>
      <c r="CD798" s="21" t="str">
        <f>IF([1]!BANCO10[[#This Row],[SOLUÇÃO]]=CD$1,[1]!BANCO10[[#This Row],[STATUS DA ETAPA]],"")</f>
        <v/>
      </c>
      <c r="CE798" s="21" t="str">
        <f>IF([1]!BANCO10[[#This Row],[SOLUÇÃO]]=CE$1,[1]!BANCO10[[#This Row],[STATUS DA ETAPA]],"")</f>
        <v/>
      </c>
      <c r="CF798" s="21" t="str">
        <f>IF([1]!BANCO10[[#This Row],[SOLUÇÃO]]=CF$1,[1]!BANCO10[[#This Row],[STATUS DA ETAPA]],"")</f>
        <v/>
      </c>
      <c r="CG798" s="21" t="str">
        <f>IF([1]!BANCO10[[#This Row],[SOLUÇÃO]]=CG$1,[1]!BANCO10[[#This Row],[STATUS DA ETAPA]],"")</f>
        <v/>
      </c>
      <c r="CH798" s="21" t="str">
        <f>IF([1]!BANCO10[[#This Row],[SOLUÇÃO]]=CH$1,[1]!BANCO10[[#This Row],[STATUS DA ETAPA]],"")</f>
        <v/>
      </c>
      <c r="CI798" s="21" t="str">
        <f>IF([1]!BANCO10[[#This Row],[SOLUÇÃO]]=CI$1,[1]!BANCO10[[#This Row],[STATUS DA ETAPA]],"")</f>
        <v/>
      </c>
      <c r="CJ798" s="21" t="str">
        <f>IF([1]!BANCO10[[#This Row],[SOLUÇÃO]]=CJ$1,[1]!BANCO10[[#This Row],[STATUS DA ETAPA]],"")</f>
        <v/>
      </c>
      <c r="CK798" s="21" t="str">
        <f>IF([1]!BANCO10[[#This Row],[SOLUÇÃO]]=CK$1,[1]!BANCO10[[#This Row],[STATUS DA ETAPA]],"")</f>
        <v/>
      </c>
      <c r="CL798" s="22" t="str">
        <f>IF([1]!BANCO10[[#This Row],[SOLUÇÃO]]=CL$1,[1]!BANCO10[[#This Row],[STATUS DA ETAPA]],"")</f>
        <v/>
      </c>
      <c r="CM798" s="64" t="str">
        <f>IF([1]!BANCO10[[#This Row],[SOLUÇÃO]]=CM$1,[1]!BANCO10[[#This Row],[STATUS DA ETAPA]],"")</f>
        <v/>
      </c>
      <c r="CN798" s="64" t="str">
        <f>IF([1]!BANCO10[[#This Row],[SOLUÇÃO]]=CN$1,[1]!BANCO10[[#This Row],[STATUS DA ETAPA]],"")</f>
        <v/>
      </c>
      <c r="CO798" s="64" t="str">
        <f>IF([1]!BANCO10[[#This Row],[SOLUÇÃO]]=CO$1,[1]!BANCO10[[#This Row],[STATUS DA ETAPA]],"")</f>
        <v/>
      </c>
      <c r="CP798" s="64" t="str">
        <f>IF([1]!BANCO10[[#This Row],[SOLUÇÃO]]=CP$1,[1]!BANCO10[[#This Row],[STATUS DA ETAPA]],"")</f>
        <v/>
      </c>
      <c r="CQ798" s="64" t="str">
        <f>IF([1]!BANCO10[[#This Row],[SOLUÇÃO]]=CQ$1,[1]!BANCO10[[#This Row],[STATUS DA ETAPA]],"")</f>
        <v/>
      </c>
      <c r="CR798" s="64" t="str">
        <f>IF([1]!BANCO10[[#This Row],[SOLUÇÃO]]=CR$1,[1]!BANCO10[[#This Row],[STATUS DA ETAPA]],"")</f>
        <v/>
      </c>
      <c r="CS798" s="64" t="str">
        <f>IF([1]!BANCO10[[#This Row],[SOLUÇÃO]]=CS$1,[1]!BANCO10[[#This Row],[STATUS DA ETAPA]],"")</f>
        <v/>
      </c>
      <c r="CT798" s="64" t="str">
        <f>IF([1]!BANCO10[[#This Row],[SOLUÇÃO]]=CT$1,[1]!BANCO10[[#This Row],[STATUS DA ETAPA]],"")</f>
        <v/>
      </c>
      <c r="CU798" s="64" t="str">
        <f>IF([1]!BANCO10[[#This Row],[SOLUÇÃO]]=CU$1,[1]!BANCO10[[#This Row],[STATUS DA ETAPA]],"")</f>
        <v/>
      </c>
      <c r="CV798" s="64" t="str">
        <f>IF([1]!BANCO10[[#This Row],[SOLUÇÃO]]=CV$1,[1]!BANCO10[[#This Row],[STATUS DA ETAPA]],"")</f>
        <v/>
      </c>
    </row>
    <row r="799" spans="1:100">
      <c r="A799" s="44" t="s">
        <v>1</v>
      </c>
      <c r="B799" s="44"/>
      <c r="C799" s="44" t="s">
        <v>1</v>
      </c>
      <c r="D799" s="44"/>
      <c r="E799" s="44" t="s">
        <v>1</v>
      </c>
      <c r="F799" s="44"/>
      <c r="G799" s="44" t="s">
        <v>1</v>
      </c>
      <c r="H799" s="44"/>
      <c r="I799" s="45" t="s">
        <v>1</v>
      </c>
      <c r="J799" s="46"/>
      <c r="K799" s="45" t="s">
        <v>1</v>
      </c>
      <c r="L799" s="33"/>
      <c r="M799" s="45" t="s">
        <v>1</v>
      </c>
      <c r="N799" s="33"/>
      <c r="O799" s="44" t="s">
        <v>2</v>
      </c>
      <c r="P799" s="44">
        <v>44866</v>
      </c>
      <c r="Q799" s="44" t="s">
        <v>0</v>
      </c>
      <c r="R799" s="44"/>
      <c r="S799" s="44" t="s">
        <v>1</v>
      </c>
      <c r="T799" s="44"/>
      <c r="U799" s="44" t="s">
        <v>1</v>
      </c>
      <c r="V799" s="44"/>
      <c r="W799" s="44" t="s">
        <v>1</v>
      </c>
      <c r="X799" s="44"/>
      <c r="Y799" s="44" t="s">
        <v>1</v>
      </c>
      <c r="Z799" s="44"/>
      <c r="AA799" s="44" t="s">
        <v>1</v>
      </c>
      <c r="AB799" s="44"/>
      <c r="AC799" s="84">
        <v>44861</v>
      </c>
      <c r="AD799" s="83">
        <v>44861</v>
      </c>
      <c r="AE799" s="24" t="s">
        <v>1</v>
      </c>
      <c r="AF799" s="40" t="s">
        <v>1</v>
      </c>
      <c r="AG799" s="40" t="s">
        <v>5</v>
      </c>
      <c r="AH799" s="36" t="s">
        <v>1</v>
      </c>
      <c r="AI799" s="49">
        <v>0</v>
      </c>
      <c r="AJ799" s="36" t="s">
        <v>1</v>
      </c>
      <c r="AK799" s="10" t="s">
        <v>1</v>
      </c>
      <c r="AL799" s="36" t="s">
        <v>1</v>
      </c>
      <c r="AM799" s="36" t="s">
        <v>1</v>
      </c>
      <c r="AN799" s="35" t="s">
        <v>1</v>
      </c>
      <c r="AO799" s="35" t="s">
        <v>1</v>
      </c>
      <c r="AP799" s="35" t="s">
        <v>1</v>
      </c>
      <c r="AQ799" s="35" t="s">
        <v>1</v>
      </c>
      <c r="AR799" s="48" t="s">
        <v>1</v>
      </c>
      <c r="AS799" s="33"/>
      <c r="AT799" s="30"/>
      <c r="AU799" s="55"/>
      <c r="AV799" s="30"/>
      <c r="AW799" s="55"/>
      <c r="AX799" s="30" t="s">
        <v>1</v>
      </c>
      <c r="AY799" s="55"/>
      <c r="AZ799" s="30" t="s">
        <v>1</v>
      </c>
      <c r="BA799" s="85"/>
      <c r="BB799" s="39" t="s">
        <v>73</v>
      </c>
      <c r="BC799" s="25"/>
      <c r="BD799" s="24" t="s">
        <v>11</v>
      </c>
      <c r="BE799" s="24" t="s">
        <v>11</v>
      </c>
      <c r="BF799" s="79" t="s">
        <v>11</v>
      </c>
      <c r="BG799" s="79" t="s">
        <v>11</v>
      </c>
      <c r="BH799" s="80" t="s">
        <v>11</v>
      </c>
      <c r="BI799" s="79"/>
      <c r="BJ799" s="54" t="s">
        <v>11</v>
      </c>
      <c r="BK799" s="78" t="s">
        <v>11</v>
      </c>
      <c r="BL799" s="69" t="s">
        <v>11</v>
      </c>
      <c r="BM799" s="78" t="s">
        <v>11</v>
      </c>
      <c r="BN799" s="78" t="s">
        <v>11</v>
      </c>
      <c r="BO799" s="78" t="s">
        <v>11</v>
      </c>
      <c r="BP799" s="78" t="s">
        <v>11</v>
      </c>
      <c r="BQ799" s="21">
        <f>YEAR([1]!BANCO10[[#This Row],[DATA INÍCIO]])</f>
        <v>2022</v>
      </c>
      <c r="BR799" s="21">
        <f>MONTH([1]!BANCO10[[#This Row],[DATA INÍCIO]])</f>
        <v>10</v>
      </c>
      <c r="BS799" s="21" t="e">
        <f>CONCATENATE(#REF!,#REF!)</f>
        <v>#REF!</v>
      </c>
      <c r="BT799" s="21"/>
      <c r="BU799" s="21" t="s">
        <v>74</v>
      </c>
      <c r="BV799" s="21" t="str">
        <f>IF([1]!BANCO10[[#This Row],[SOLUÇÃO]]=BV$1,[1]!BANCO10[[#This Row],[STATUS DA ETAPA]],"")</f>
        <v>CONCLUÍDO</v>
      </c>
      <c r="BW799" s="21" t="str">
        <f>IF([1]!BANCO10[[#This Row],[SOLUÇÃO]]=BW$1,[1]!BANCO10[[#This Row],[STATUS DA ETAPA]],"")</f>
        <v/>
      </c>
      <c r="BX799" s="21" t="str">
        <f>IF([1]!BANCO10[[#This Row],[SOLUÇÃO]]=BX$1,[1]!BANCO10[[#This Row],[STATUS DA ETAPA]],"")</f>
        <v/>
      </c>
      <c r="BY799" s="21" t="str">
        <f>IF([1]!BANCO10[[#This Row],[SOLUÇÃO]]=BY$1,[1]!BANCO10[[#This Row],[STATUS DA ETAPA]],"")</f>
        <v/>
      </c>
      <c r="BZ799" s="21" t="str">
        <f>IF([1]!BANCO10[[#This Row],[SOLUÇÃO]]=BZ$1,[1]!BANCO10[[#This Row],[STATUS DA ETAPA]],"")</f>
        <v/>
      </c>
      <c r="CA799" s="21" t="str">
        <f>IF([1]!BANCO10[[#This Row],[SOLUÇÃO]]=CA$1,[1]!BANCO10[[#This Row],[STATUS DA ETAPA]],"")</f>
        <v/>
      </c>
      <c r="CB799" s="21" t="str">
        <f>IF([1]!BANCO10[[#This Row],[SOLUÇÃO]]=CB$1,[1]!BANCO10[[#This Row],[STATUS DA ETAPA]],"")</f>
        <v/>
      </c>
      <c r="CC799" s="21" t="str">
        <f>IF([1]!BANCO10[[#This Row],[SOLUÇÃO]]=CC$1,[1]!BANCO10[[#This Row],[STATUS DA ETAPA]],"")</f>
        <v/>
      </c>
      <c r="CD799" s="21" t="str">
        <f>IF([1]!BANCO10[[#This Row],[SOLUÇÃO]]=CD$1,[1]!BANCO10[[#This Row],[STATUS DA ETAPA]],"")</f>
        <v/>
      </c>
      <c r="CE799" s="21" t="str">
        <f>IF([1]!BANCO10[[#This Row],[SOLUÇÃO]]=CE$1,[1]!BANCO10[[#This Row],[STATUS DA ETAPA]],"")</f>
        <v/>
      </c>
      <c r="CF799" s="21" t="str">
        <f>IF([1]!BANCO10[[#This Row],[SOLUÇÃO]]=CF$1,[1]!BANCO10[[#This Row],[STATUS DA ETAPA]],"")</f>
        <v/>
      </c>
      <c r="CG799" s="21" t="str">
        <f>IF([1]!BANCO10[[#This Row],[SOLUÇÃO]]=CG$1,[1]!BANCO10[[#This Row],[STATUS DA ETAPA]],"")</f>
        <v/>
      </c>
      <c r="CH799" s="21" t="str">
        <f>IF([1]!BANCO10[[#This Row],[SOLUÇÃO]]=CH$1,[1]!BANCO10[[#This Row],[STATUS DA ETAPA]],"")</f>
        <v/>
      </c>
      <c r="CI799" s="21" t="str">
        <f>IF([1]!BANCO10[[#This Row],[SOLUÇÃO]]=CI$1,[1]!BANCO10[[#This Row],[STATUS DA ETAPA]],"")</f>
        <v/>
      </c>
      <c r="CJ799" s="21" t="str">
        <f>IF([1]!BANCO10[[#This Row],[SOLUÇÃO]]=CJ$1,[1]!BANCO10[[#This Row],[STATUS DA ETAPA]],"")</f>
        <v/>
      </c>
      <c r="CK799" s="21" t="str">
        <f>IF([1]!BANCO10[[#This Row],[SOLUÇÃO]]=CK$1,[1]!BANCO10[[#This Row],[STATUS DA ETAPA]],"")</f>
        <v/>
      </c>
      <c r="CL799" s="22" t="str">
        <f>IF([1]!BANCO10[[#This Row],[SOLUÇÃO]]=CL$1,[1]!BANCO10[[#This Row],[STATUS DA ETAPA]],"")</f>
        <v/>
      </c>
      <c r="CM799" s="64" t="str">
        <f>IF([1]!BANCO10[[#This Row],[SOLUÇÃO]]=CM$1,[1]!BANCO10[[#This Row],[STATUS DA ETAPA]],"")</f>
        <v/>
      </c>
      <c r="CN799" s="64" t="str">
        <f>IF([1]!BANCO10[[#This Row],[SOLUÇÃO]]=CN$1,[1]!BANCO10[[#This Row],[STATUS DA ETAPA]],"")</f>
        <v/>
      </c>
      <c r="CO799" s="64" t="str">
        <f>IF([1]!BANCO10[[#This Row],[SOLUÇÃO]]=CO$1,[1]!BANCO10[[#This Row],[STATUS DA ETAPA]],"")</f>
        <v/>
      </c>
      <c r="CP799" s="64" t="str">
        <f>IF([1]!BANCO10[[#This Row],[SOLUÇÃO]]=CP$1,[1]!BANCO10[[#This Row],[STATUS DA ETAPA]],"")</f>
        <v/>
      </c>
      <c r="CQ799" s="64" t="str">
        <f>IF([1]!BANCO10[[#This Row],[SOLUÇÃO]]=CQ$1,[1]!BANCO10[[#This Row],[STATUS DA ETAPA]],"")</f>
        <v/>
      </c>
      <c r="CR799" s="64" t="str">
        <f>IF([1]!BANCO10[[#This Row],[SOLUÇÃO]]=CR$1,[1]!BANCO10[[#This Row],[STATUS DA ETAPA]],"")</f>
        <v/>
      </c>
      <c r="CS799" s="64" t="str">
        <f>IF([1]!BANCO10[[#This Row],[SOLUÇÃO]]=CS$1,[1]!BANCO10[[#This Row],[STATUS DA ETAPA]],"")</f>
        <v/>
      </c>
      <c r="CT799" s="64" t="str">
        <f>IF([1]!BANCO10[[#This Row],[SOLUÇÃO]]=CT$1,[1]!BANCO10[[#This Row],[STATUS DA ETAPA]],"")</f>
        <v/>
      </c>
      <c r="CU799" s="64" t="str">
        <f>IF([1]!BANCO10[[#This Row],[SOLUÇÃO]]=CU$1,[1]!BANCO10[[#This Row],[STATUS DA ETAPA]],"")</f>
        <v/>
      </c>
      <c r="CV799" s="64" t="str">
        <f>IF([1]!BANCO10[[#This Row],[SOLUÇÃO]]=CV$1,[1]!BANCO10[[#This Row],[STATUS DA ETAPA]],"")</f>
        <v/>
      </c>
    </row>
    <row r="800" spans="1:100">
      <c r="A800" s="44" t="s">
        <v>1</v>
      </c>
      <c r="B800" s="44"/>
      <c r="C800" s="44" t="s">
        <v>1</v>
      </c>
      <c r="D800" s="44"/>
      <c r="E800" s="44" t="s">
        <v>1</v>
      </c>
      <c r="F800" s="44"/>
      <c r="G800" s="44" t="s">
        <v>1</v>
      </c>
      <c r="H800" s="44"/>
      <c r="I800" s="45" t="s">
        <v>1</v>
      </c>
      <c r="J800" s="46"/>
      <c r="K800" s="45" t="s">
        <v>1</v>
      </c>
      <c r="L800" s="33"/>
      <c r="M800" s="45" t="s">
        <v>1</v>
      </c>
      <c r="N800" s="33"/>
      <c r="O800" s="44" t="s">
        <v>2</v>
      </c>
      <c r="P800" s="44">
        <v>44866</v>
      </c>
      <c r="Q800" s="44" t="s">
        <v>2</v>
      </c>
      <c r="R800" s="44">
        <v>45199</v>
      </c>
      <c r="S800" s="44"/>
      <c r="T800" s="44"/>
      <c r="U800" s="44"/>
      <c r="V800" s="44"/>
      <c r="W800" s="44"/>
      <c r="X800" s="44"/>
      <c r="Y800" s="44"/>
      <c r="Z800" s="44"/>
      <c r="AA800" s="44" t="s">
        <v>1</v>
      </c>
      <c r="AB800" s="44"/>
      <c r="AC800" s="51">
        <v>45963</v>
      </c>
      <c r="AD800" s="50">
        <v>45963</v>
      </c>
      <c r="AE800" s="54" t="s">
        <v>1</v>
      </c>
      <c r="AF800" s="41" t="s">
        <v>1</v>
      </c>
      <c r="AG800" s="40" t="s">
        <v>5</v>
      </c>
      <c r="AH800" s="36" t="s">
        <v>0</v>
      </c>
      <c r="AI800" s="49">
        <v>0</v>
      </c>
      <c r="AJ800" s="36"/>
      <c r="AK800" s="10" t="s">
        <v>30</v>
      </c>
      <c r="AL800" s="36" t="s">
        <v>30</v>
      </c>
      <c r="AM800" s="36" t="s">
        <v>30</v>
      </c>
      <c r="AN800" s="35" t="s">
        <v>1</v>
      </c>
      <c r="AO800" s="35" t="s">
        <v>1</v>
      </c>
      <c r="AP800" s="35"/>
      <c r="AQ800" s="35" t="s">
        <v>1</v>
      </c>
      <c r="AR800" s="33" t="s">
        <v>1</v>
      </c>
      <c r="AS800" s="33"/>
      <c r="AT800" s="32"/>
      <c r="AU800" s="31"/>
      <c r="AV800" s="32"/>
      <c r="AW800" s="31"/>
      <c r="AX800" s="30" t="s">
        <v>0</v>
      </c>
      <c r="AY800" s="29"/>
      <c r="AZ800" s="28" t="s">
        <v>0</v>
      </c>
      <c r="BA800" s="81"/>
      <c r="BB800" s="39" t="s">
        <v>73</v>
      </c>
      <c r="BC800" s="25"/>
      <c r="BD800" s="24" t="s">
        <v>11</v>
      </c>
      <c r="BE800" s="24" t="s">
        <v>11</v>
      </c>
      <c r="BF800" s="79" t="s">
        <v>11</v>
      </c>
      <c r="BG800" s="79" t="s">
        <v>11</v>
      </c>
      <c r="BH800" s="80" t="s">
        <v>11</v>
      </c>
      <c r="BI800" s="79"/>
      <c r="BJ800" s="54" t="s">
        <v>11</v>
      </c>
      <c r="BK800" s="78" t="s">
        <v>11</v>
      </c>
      <c r="BL800" s="69" t="s">
        <v>11</v>
      </c>
      <c r="BM800" s="78" t="s">
        <v>11</v>
      </c>
      <c r="BN800" s="78" t="s">
        <v>11</v>
      </c>
      <c r="BO800" s="78" t="s">
        <v>11</v>
      </c>
      <c r="BP800" s="78" t="s">
        <v>11</v>
      </c>
      <c r="BQ800" s="21">
        <f>YEAR([1]!BANCO10[[#This Row],[DATA INÍCIO]])</f>
        <v>2025</v>
      </c>
      <c r="BR800" s="21">
        <f>MONTH([1]!BANCO10[[#This Row],[DATA INÍCIO]])</f>
        <v>11</v>
      </c>
      <c r="BS800" s="21" t="e">
        <f>CONCATENATE(#REF!,#REF!)</f>
        <v>#REF!</v>
      </c>
      <c r="BT800" s="21"/>
      <c r="BU800" s="21" t="s">
        <v>30</v>
      </c>
      <c r="BV800" s="21" t="str">
        <f>IF([1]!BANCO10[[#This Row],[SOLUÇÃO]]=BV$1,[1]!BANCO10[[#This Row],[STATUS DA ETAPA]],"")</f>
        <v/>
      </c>
      <c r="BW800" s="21" t="str">
        <f>IF([1]!BANCO10[[#This Row],[SOLUÇÃO]]=BW$1,[1]!BANCO10[[#This Row],[STATUS DA ETAPA]],"")</f>
        <v/>
      </c>
      <c r="BX800" s="21" t="str">
        <f>IF([1]!BANCO10[[#This Row],[SOLUÇÃO]]=BX$1,[1]!BANCO10[[#This Row],[STATUS DA ETAPA]],"")</f>
        <v/>
      </c>
      <c r="BY800" s="21" t="str">
        <f>IF([1]!BANCO10[[#This Row],[SOLUÇÃO]]=BY$1,[1]!BANCO10[[#This Row],[STATUS DA ETAPA]],"")</f>
        <v/>
      </c>
      <c r="BZ800" s="21" t="str">
        <f>IF([1]!BANCO10[[#This Row],[SOLUÇÃO]]=BZ$1,[1]!BANCO10[[#This Row],[STATUS DA ETAPA]],"")</f>
        <v/>
      </c>
      <c r="CA800" s="21" t="str">
        <f>IF([1]!BANCO10[[#This Row],[SOLUÇÃO]]=CA$1,[1]!BANCO10[[#This Row],[STATUS DA ETAPA]],"")</f>
        <v>PROSPECÇÃO</v>
      </c>
      <c r="CB800" s="21" t="str">
        <f>IF([1]!BANCO10[[#This Row],[SOLUÇÃO]]=CB$1,[1]!BANCO10[[#This Row],[STATUS DA ETAPA]],"")</f>
        <v/>
      </c>
      <c r="CC800" s="21" t="str">
        <f>IF([1]!BANCO10[[#This Row],[SOLUÇÃO]]=CC$1,[1]!BANCO10[[#This Row],[STATUS DA ETAPA]],"")</f>
        <v/>
      </c>
      <c r="CD800" s="21" t="str">
        <f>IF([1]!BANCO10[[#This Row],[SOLUÇÃO]]=CD$1,[1]!BANCO10[[#This Row],[STATUS DA ETAPA]],"")</f>
        <v/>
      </c>
      <c r="CE800" s="21" t="str">
        <f>IF([1]!BANCO10[[#This Row],[SOLUÇÃO]]=CE$1,[1]!BANCO10[[#This Row],[STATUS DA ETAPA]],"")</f>
        <v/>
      </c>
      <c r="CF800" s="21" t="str">
        <f>IF([1]!BANCO10[[#This Row],[SOLUÇÃO]]=CF$1,[1]!BANCO10[[#This Row],[STATUS DA ETAPA]],"")</f>
        <v/>
      </c>
      <c r="CG800" s="21" t="str">
        <f>IF([1]!BANCO10[[#This Row],[SOLUÇÃO]]=CG$1,[1]!BANCO10[[#This Row],[STATUS DA ETAPA]],"")</f>
        <v/>
      </c>
      <c r="CH800" s="21" t="str">
        <f>IF([1]!BANCO10[[#This Row],[SOLUÇÃO]]=CH$1,[1]!BANCO10[[#This Row],[STATUS DA ETAPA]],"")</f>
        <v/>
      </c>
      <c r="CI800" s="21" t="str">
        <f>IF([1]!BANCO10[[#This Row],[SOLUÇÃO]]=CI$1,[1]!BANCO10[[#This Row],[STATUS DA ETAPA]],"")</f>
        <v/>
      </c>
      <c r="CJ800" s="21" t="str">
        <f>IF([1]!BANCO10[[#This Row],[SOLUÇÃO]]=CJ$1,[1]!BANCO10[[#This Row],[STATUS DA ETAPA]],"")</f>
        <v/>
      </c>
      <c r="CK800" s="21" t="str">
        <f>IF([1]!BANCO10[[#This Row],[SOLUÇÃO]]=CK$1,[1]!BANCO10[[#This Row],[STATUS DA ETAPA]],"")</f>
        <v/>
      </c>
      <c r="CL800" s="22" t="str">
        <f>IF([1]!BANCO10[[#This Row],[SOLUÇÃO]]=CL$1,[1]!BANCO10[[#This Row],[STATUS DA ETAPA]],"")</f>
        <v/>
      </c>
      <c r="CM800" s="64" t="str">
        <f>IF([1]!BANCO10[[#This Row],[SOLUÇÃO]]=CM$1,[1]!BANCO10[[#This Row],[STATUS DA ETAPA]],"")</f>
        <v/>
      </c>
      <c r="CN800" s="64" t="str">
        <f>IF([1]!BANCO10[[#This Row],[SOLUÇÃO]]=CN$1,[1]!BANCO10[[#This Row],[STATUS DA ETAPA]],"")</f>
        <v/>
      </c>
      <c r="CO800" s="64" t="str">
        <f>IF([1]!BANCO10[[#This Row],[SOLUÇÃO]]=CO$1,[1]!BANCO10[[#This Row],[STATUS DA ETAPA]],"")</f>
        <v/>
      </c>
      <c r="CP800" s="64" t="str">
        <f>IF([1]!BANCO10[[#This Row],[SOLUÇÃO]]=CP$1,[1]!BANCO10[[#This Row],[STATUS DA ETAPA]],"")</f>
        <v/>
      </c>
      <c r="CQ800" s="64" t="str">
        <f>IF([1]!BANCO10[[#This Row],[SOLUÇÃO]]=CQ$1,[1]!BANCO10[[#This Row],[STATUS DA ETAPA]],"")</f>
        <v/>
      </c>
      <c r="CR800" s="64" t="str">
        <f>IF([1]!BANCO10[[#This Row],[SOLUÇÃO]]=CR$1,[1]!BANCO10[[#This Row],[STATUS DA ETAPA]],"")</f>
        <v/>
      </c>
      <c r="CS800" s="64" t="str">
        <f>IF([1]!BANCO10[[#This Row],[SOLUÇÃO]]=CS$1,[1]!BANCO10[[#This Row],[STATUS DA ETAPA]],"")</f>
        <v/>
      </c>
      <c r="CT800" s="64" t="str">
        <f>IF([1]!BANCO10[[#This Row],[SOLUÇÃO]]=CT$1,[1]!BANCO10[[#This Row],[STATUS DA ETAPA]],"")</f>
        <v/>
      </c>
      <c r="CU800" s="64" t="str">
        <f>IF([1]!BANCO10[[#This Row],[SOLUÇÃO]]=CU$1,[1]!BANCO10[[#This Row],[STATUS DA ETAPA]],"")</f>
        <v/>
      </c>
      <c r="CV800" s="64" t="str">
        <f>IF([1]!BANCO10[[#This Row],[SOLUÇÃO]]=CV$1,[1]!BANCO10[[#This Row],[STATUS DA ETAPA]],"")</f>
        <v/>
      </c>
    </row>
    <row r="801" spans="1:100">
      <c r="A801" s="44" t="s">
        <v>1</v>
      </c>
      <c r="B801" s="44"/>
      <c r="C801" s="44" t="s">
        <v>1</v>
      </c>
      <c r="D801" s="44"/>
      <c r="E801" s="44" t="s">
        <v>1</v>
      </c>
      <c r="F801" s="44"/>
      <c r="G801" s="44" t="s">
        <v>1</v>
      </c>
      <c r="H801" s="44"/>
      <c r="I801" s="45" t="s">
        <v>1</v>
      </c>
      <c r="J801" s="46"/>
      <c r="K801" s="45" t="s">
        <v>1</v>
      </c>
      <c r="L801" s="33"/>
      <c r="M801" s="45" t="s">
        <v>1</v>
      </c>
      <c r="N801" s="33"/>
      <c r="O801" s="44" t="s">
        <v>2</v>
      </c>
      <c r="P801" s="44">
        <v>44767</v>
      </c>
      <c r="Q801" s="44" t="s">
        <v>2</v>
      </c>
      <c r="R801" s="44">
        <v>44769</v>
      </c>
      <c r="S801" s="44" t="s">
        <v>2</v>
      </c>
      <c r="T801" s="44">
        <v>44769</v>
      </c>
      <c r="U801" s="44"/>
      <c r="V801" s="44"/>
      <c r="W801" s="44" t="s">
        <v>1</v>
      </c>
      <c r="X801" s="44"/>
      <c r="Y801" s="44" t="s">
        <v>1</v>
      </c>
      <c r="Z801" s="44"/>
      <c r="AA801" s="44" t="s">
        <v>1</v>
      </c>
      <c r="AB801" s="44"/>
      <c r="AC801" s="51">
        <v>44782</v>
      </c>
      <c r="AD801" s="50">
        <v>44894</v>
      </c>
      <c r="AE801" s="40" t="s">
        <v>2</v>
      </c>
      <c r="AF801" s="40" t="s">
        <v>2</v>
      </c>
      <c r="AG801" s="40" t="s">
        <v>5</v>
      </c>
      <c r="AH801" s="36" t="s">
        <v>0</v>
      </c>
      <c r="AI801" s="49">
        <v>0</v>
      </c>
      <c r="AJ801" s="36"/>
      <c r="AK801" s="10"/>
      <c r="AL801" s="36" t="s">
        <v>1</v>
      </c>
      <c r="AM801" s="36" t="s">
        <v>1</v>
      </c>
      <c r="AN801" s="35" t="s">
        <v>0</v>
      </c>
      <c r="AO801" s="35" t="s">
        <v>0</v>
      </c>
      <c r="AP801" s="35" t="s">
        <v>2</v>
      </c>
      <c r="AQ801" s="35" t="s">
        <v>1</v>
      </c>
      <c r="AR801" s="33" t="s">
        <v>1</v>
      </c>
      <c r="AS801" s="33"/>
      <c r="AT801" s="30"/>
      <c r="AU801" s="55"/>
      <c r="AV801" s="30"/>
      <c r="AW801" s="55"/>
      <c r="AX801" s="30" t="s">
        <v>2</v>
      </c>
      <c r="AY801" s="55">
        <v>44894</v>
      </c>
      <c r="AZ801" s="30" t="s">
        <v>1</v>
      </c>
      <c r="BA801" s="85"/>
      <c r="BB801" s="39"/>
      <c r="BC801" s="25"/>
      <c r="BD801" s="24" t="s">
        <v>11</v>
      </c>
      <c r="BE801" s="24" t="s">
        <v>11</v>
      </c>
      <c r="BF801" s="79" t="s">
        <v>19</v>
      </c>
      <c r="BG801" s="79" t="s">
        <v>11</v>
      </c>
      <c r="BH801" s="80" t="s">
        <v>50</v>
      </c>
      <c r="BI801" s="79"/>
      <c r="BJ801" s="54" t="s">
        <v>11</v>
      </c>
      <c r="BK801" s="78" t="s">
        <v>11</v>
      </c>
      <c r="BL801" s="69">
        <v>45391</v>
      </c>
      <c r="BM801" s="78" t="s">
        <v>18</v>
      </c>
      <c r="BN801" s="78" t="s">
        <v>72</v>
      </c>
      <c r="BO801" s="78"/>
      <c r="BP801" s="78" t="s">
        <v>71</v>
      </c>
      <c r="BQ801" s="21">
        <f>YEAR([1]!BANCO10[[#This Row],[DATA INÍCIO]])</f>
        <v>2022</v>
      </c>
      <c r="BR801" s="21">
        <f>MONTH([1]!BANCO10[[#This Row],[DATA INÍCIO]])</f>
        <v>8</v>
      </c>
      <c r="BS801" s="21" t="e">
        <f>CONCATENATE(#REF!,#REF!)</f>
        <v>#REF!</v>
      </c>
      <c r="BT801" s="21"/>
      <c r="BU801" s="21" t="s">
        <v>70</v>
      </c>
      <c r="BV801" s="21" t="str">
        <f>IF([1]!BANCO10[[#This Row],[SOLUÇÃO]]=BV$1,[1]!BANCO10[[#This Row],[STATUS DA ETAPA]],"")</f>
        <v/>
      </c>
      <c r="BW801" s="21" t="str">
        <f>IF([1]!BANCO10[[#This Row],[SOLUÇÃO]]=BW$1,[1]!BANCO10[[#This Row],[STATUS DA ETAPA]],"")</f>
        <v/>
      </c>
      <c r="BX801" s="21" t="str">
        <f>IF([1]!BANCO10[[#This Row],[SOLUÇÃO]]=BX$1,[1]!BANCO10[[#This Row],[STATUS DA ETAPA]],"")</f>
        <v/>
      </c>
      <c r="BY801" s="21" t="str">
        <f>IF([1]!BANCO10[[#This Row],[SOLUÇÃO]]=BY$1,[1]!BANCO10[[#This Row],[STATUS DA ETAPA]],"")</f>
        <v/>
      </c>
      <c r="BZ801" s="21" t="str">
        <f>IF([1]!BANCO10[[#This Row],[SOLUÇÃO]]=BZ$1,[1]!BANCO10[[#This Row],[STATUS DA ETAPA]],"")</f>
        <v/>
      </c>
      <c r="CA801" s="21" t="str">
        <f>IF([1]!BANCO10[[#This Row],[SOLUÇÃO]]=CA$1,[1]!BANCO10[[#This Row],[STATUS DA ETAPA]],"")</f>
        <v>CONCLUÍDO</v>
      </c>
      <c r="CB801" s="21" t="str">
        <f>IF([1]!BANCO10[[#This Row],[SOLUÇÃO]]=CB$1,[1]!BANCO10[[#This Row],[STATUS DA ETAPA]],"")</f>
        <v/>
      </c>
      <c r="CC801" s="21" t="str">
        <f>IF([1]!BANCO10[[#This Row],[SOLUÇÃO]]=CC$1,[1]!BANCO10[[#This Row],[STATUS DA ETAPA]],"")</f>
        <v/>
      </c>
      <c r="CD801" s="21" t="str">
        <f>IF([1]!BANCO10[[#This Row],[SOLUÇÃO]]=CD$1,[1]!BANCO10[[#This Row],[STATUS DA ETAPA]],"")</f>
        <v/>
      </c>
      <c r="CE801" s="21" t="str">
        <f>IF([1]!BANCO10[[#This Row],[SOLUÇÃO]]=CE$1,[1]!BANCO10[[#This Row],[STATUS DA ETAPA]],"")</f>
        <v/>
      </c>
      <c r="CF801" s="21" t="str">
        <f>IF([1]!BANCO10[[#This Row],[SOLUÇÃO]]=CF$1,[1]!BANCO10[[#This Row],[STATUS DA ETAPA]],"")</f>
        <v/>
      </c>
      <c r="CG801" s="21" t="str">
        <f>IF([1]!BANCO10[[#This Row],[SOLUÇÃO]]=CG$1,[1]!BANCO10[[#This Row],[STATUS DA ETAPA]],"")</f>
        <v/>
      </c>
      <c r="CH801" s="21" t="str">
        <f>IF([1]!BANCO10[[#This Row],[SOLUÇÃO]]=CH$1,[1]!BANCO10[[#This Row],[STATUS DA ETAPA]],"")</f>
        <v/>
      </c>
      <c r="CI801" s="21" t="str">
        <f>IF([1]!BANCO10[[#This Row],[SOLUÇÃO]]=CI$1,[1]!BANCO10[[#This Row],[STATUS DA ETAPA]],"")</f>
        <v/>
      </c>
      <c r="CJ801" s="21" t="str">
        <f>IF([1]!BANCO10[[#This Row],[SOLUÇÃO]]=CJ$1,[1]!BANCO10[[#This Row],[STATUS DA ETAPA]],"")</f>
        <v/>
      </c>
      <c r="CK801" s="21" t="str">
        <f>IF([1]!BANCO10[[#This Row],[SOLUÇÃO]]=CK$1,[1]!BANCO10[[#This Row],[STATUS DA ETAPA]],"")</f>
        <v/>
      </c>
      <c r="CL801" s="22" t="str">
        <f>IF([1]!BANCO10[[#This Row],[SOLUÇÃO]]=CL$1,[1]!BANCO10[[#This Row],[STATUS DA ETAPA]],"")</f>
        <v/>
      </c>
      <c r="CM801" s="64" t="str">
        <f>IF([1]!BANCO10[[#This Row],[SOLUÇÃO]]=CM$1,[1]!BANCO10[[#This Row],[STATUS DA ETAPA]],"")</f>
        <v/>
      </c>
      <c r="CN801" s="64" t="str">
        <f>IF([1]!BANCO10[[#This Row],[SOLUÇÃO]]=CN$1,[1]!BANCO10[[#This Row],[STATUS DA ETAPA]],"")</f>
        <v/>
      </c>
      <c r="CO801" s="64" t="str">
        <f>IF([1]!BANCO10[[#This Row],[SOLUÇÃO]]=CO$1,[1]!BANCO10[[#This Row],[STATUS DA ETAPA]],"")</f>
        <v/>
      </c>
      <c r="CP801" s="64" t="str">
        <f>IF([1]!BANCO10[[#This Row],[SOLUÇÃO]]=CP$1,[1]!BANCO10[[#This Row],[STATUS DA ETAPA]],"")</f>
        <v/>
      </c>
      <c r="CQ801" s="64" t="str">
        <f>IF([1]!BANCO10[[#This Row],[SOLUÇÃO]]=CQ$1,[1]!BANCO10[[#This Row],[STATUS DA ETAPA]],"")</f>
        <v/>
      </c>
      <c r="CR801" s="64" t="str">
        <f>IF([1]!BANCO10[[#This Row],[SOLUÇÃO]]=CR$1,[1]!BANCO10[[#This Row],[STATUS DA ETAPA]],"")</f>
        <v/>
      </c>
      <c r="CS801" s="64" t="str">
        <f>IF([1]!BANCO10[[#This Row],[SOLUÇÃO]]=CS$1,[1]!BANCO10[[#This Row],[STATUS DA ETAPA]],"")</f>
        <v/>
      </c>
      <c r="CT801" s="64" t="str">
        <f>IF([1]!BANCO10[[#This Row],[SOLUÇÃO]]=CT$1,[1]!BANCO10[[#This Row],[STATUS DA ETAPA]],"")</f>
        <v/>
      </c>
      <c r="CU801" s="64" t="str">
        <f>IF([1]!BANCO10[[#This Row],[SOLUÇÃO]]=CU$1,[1]!BANCO10[[#This Row],[STATUS DA ETAPA]],"")</f>
        <v/>
      </c>
      <c r="CV801" s="64" t="str">
        <f>IF([1]!BANCO10[[#This Row],[SOLUÇÃO]]=CV$1,[1]!BANCO10[[#This Row],[STATUS DA ETAPA]],"")</f>
        <v/>
      </c>
    </row>
    <row r="802" spans="1:100">
      <c r="A802" s="44" t="s">
        <v>1</v>
      </c>
      <c r="B802" s="44"/>
      <c r="C802" s="44" t="s">
        <v>1</v>
      </c>
      <c r="D802" s="44"/>
      <c r="E802" s="44" t="s">
        <v>1</v>
      </c>
      <c r="F802" s="44"/>
      <c r="G802" s="44" t="s">
        <v>1</v>
      </c>
      <c r="H802" s="44"/>
      <c r="I802" s="45" t="s">
        <v>1</v>
      </c>
      <c r="J802" s="46"/>
      <c r="K802" s="45" t="s">
        <v>1</v>
      </c>
      <c r="L802" s="33"/>
      <c r="M802" s="45" t="s">
        <v>1</v>
      </c>
      <c r="N802" s="33"/>
      <c r="O802" s="44" t="s">
        <v>2</v>
      </c>
      <c r="P802" s="44">
        <v>44767</v>
      </c>
      <c r="Q802" s="44" t="s">
        <v>0</v>
      </c>
      <c r="R802" s="44"/>
      <c r="S802" s="44" t="s">
        <v>1</v>
      </c>
      <c r="T802" s="44"/>
      <c r="U802" s="44" t="s">
        <v>1</v>
      </c>
      <c r="V802" s="44"/>
      <c r="W802" s="44" t="s">
        <v>1</v>
      </c>
      <c r="X802" s="44"/>
      <c r="Y802" s="44" t="s">
        <v>1</v>
      </c>
      <c r="Z802" s="44"/>
      <c r="AA802" s="44" t="s">
        <v>1</v>
      </c>
      <c r="AB802" s="44"/>
      <c r="AC802" s="51">
        <v>45092</v>
      </c>
      <c r="AD802" s="50">
        <v>45092</v>
      </c>
      <c r="AE802" s="40" t="s">
        <v>1</v>
      </c>
      <c r="AF802" s="40" t="s">
        <v>1</v>
      </c>
      <c r="AG802" s="40" t="s">
        <v>5</v>
      </c>
      <c r="AH802" s="36" t="s">
        <v>1</v>
      </c>
      <c r="AI802" s="49">
        <v>0</v>
      </c>
      <c r="AJ802" s="36" t="s">
        <v>1</v>
      </c>
      <c r="AK802" s="10" t="s">
        <v>1</v>
      </c>
      <c r="AL802" s="36" t="s">
        <v>1</v>
      </c>
      <c r="AM802" s="36" t="s">
        <v>1</v>
      </c>
      <c r="AN802" s="35" t="s">
        <v>1</v>
      </c>
      <c r="AO802" s="35" t="s">
        <v>1</v>
      </c>
      <c r="AP802" s="35" t="s">
        <v>1</v>
      </c>
      <c r="AQ802" s="35" t="s">
        <v>1</v>
      </c>
      <c r="AR802" s="48" t="s">
        <v>1</v>
      </c>
      <c r="AS802" s="33"/>
      <c r="AT802" s="30"/>
      <c r="AU802" s="55"/>
      <c r="AV802" s="30"/>
      <c r="AW802" s="55"/>
      <c r="AX802" s="30" t="s">
        <v>1</v>
      </c>
      <c r="AY802" s="55"/>
      <c r="AZ802" s="30" t="s">
        <v>1</v>
      </c>
      <c r="BA802" s="85"/>
      <c r="BB802" s="39"/>
      <c r="BC802" s="25"/>
      <c r="BD802" s="24" t="s">
        <v>11</v>
      </c>
      <c r="BE802" s="24" t="s">
        <v>11</v>
      </c>
      <c r="BF802" s="79" t="s">
        <v>19</v>
      </c>
      <c r="BG802" s="79" t="s">
        <v>11</v>
      </c>
      <c r="BH802" s="80" t="s">
        <v>50</v>
      </c>
      <c r="BI802" s="79"/>
      <c r="BJ802" s="54" t="s">
        <v>11</v>
      </c>
      <c r="BK802" s="78" t="s">
        <v>11</v>
      </c>
      <c r="BL802" s="69" t="s">
        <v>11</v>
      </c>
      <c r="BM802" s="78" t="s">
        <v>11</v>
      </c>
      <c r="BN802" s="78" t="s">
        <v>11</v>
      </c>
      <c r="BO802" s="78" t="s">
        <v>11</v>
      </c>
      <c r="BP802" s="78" t="s">
        <v>11</v>
      </c>
      <c r="BQ802" s="21">
        <f>YEAR([1]!BANCO10[[#This Row],[DATA INÍCIO]])</f>
        <v>2023</v>
      </c>
      <c r="BR802" s="21">
        <f>MONTH([1]!BANCO10[[#This Row],[DATA INÍCIO]])</f>
        <v>6</v>
      </c>
      <c r="BS802" s="21" t="e">
        <f>CONCATENATE(#REF!,#REF!)</f>
        <v>#REF!</v>
      </c>
      <c r="BT802" s="21"/>
      <c r="BU802" s="21" t="s">
        <v>69</v>
      </c>
      <c r="BV802" s="21" t="str">
        <f>IF([1]!BANCO10[[#This Row],[SOLUÇÃO]]=BV$1,[1]!BANCO10[[#This Row],[STATUS DA ETAPA]],"")</f>
        <v>CONCLUÍDO</v>
      </c>
      <c r="BW802" s="21" t="str">
        <f>IF([1]!BANCO10[[#This Row],[SOLUÇÃO]]=BW$1,[1]!BANCO10[[#This Row],[STATUS DA ETAPA]],"")</f>
        <v/>
      </c>
      <c r="BX802" s="21" t="str">
        <f>IF([1]!BANCO10[[#This Row],[SOLUÇÃO]]=BX$1,[1]!BANCO10[[#This Row],[STATUS DA ETAPA]],"")</f>
        <v/>
      </c>
      <c r="BY802" s="21" t="str">
        <f>IF([1]!BANCO10[[#This Row],[SOLUÇÃO]]=BY$1,[1]!BANCO10[[#This Row],[STATUS DA ETAPA]],"")</f>
        <v/>
      </c>
      <c r="BZ802" s="21" t="str">
        <f>IF([1]!BANCO10[[#This Row],[SOLUÇÃO]]=BZ$1,[1]!BANCO10[[#This Row],[STATUS DA ETAPA]],"")</f>
        <v/>
      </c>
      <c r="CA802" s="21" t="str">
        <f>IF([1]!BANCO10[[#This Row],[SOLUÇÃO]]=CA$1,[1]!BANCO10[[#This Row],[STATUS DA ETAPA]],"")</f>
        <v/>
      </c>
      <c r="CB802" s="21" t="str">
        <f>IF([1]!BANCO10[[#This Row],[SOLUÇÃO]]=CB$1,[1]!BANCO10[[#This Row],[STATUS DA ETAPA]],"")</f>
        <v/>
      </c>
      <c r="CC802" s="21" t="str">
        <f>IF([1]!BANCO10[[#This Row],[SOLUÇÃO]]=CC$1,[1]!BANCO10[[#This Row],[STATUS DA ETAPA]],"")</f>
        <v/>
      </c>
      <c r="CD802" s="21" t="str">
        <f>IF([1]!BANCO10[[#This Row],[SOLUÇÃO]]=CD$1,[1]!BANCO10[[#This Row],[STATUS DA ETAPA]],"")</f>
        <v/>
      </c>
      <c r="CE802" s="21" t="str">
        <f>IF([1]!BANCO10[[#This Row],[SOLUÇÃO]]=CE$1,[1]!BANCO10[[#This Row],[STATUS DA ETAPA]],"")</f>
        <v/>
      </c>
      <c r="CF802" s="21" t="str">
        <f>IF([1]!BANCO10[[#This Row],[SOLUÇÃO]]=CF$1,[1]!BANCO10[[#This Row],[STATUS DA ETAPA]],"")</f>
        <v/>
      </c>
      <c r="CG802" s="21" t="str">
        <f>IF([1]!BANCO10[[#This Row],[SOLUÇÃO]]=CG$1,[1]!BANCO10[[#This Row],[STATUS DA ETAPA]],"")</f>
        <v/>
      </c>
      <c r="CH802" s="21" t="str">
        <f>IF([1]!BANCO10[[#This Row],[SOLUÇÃO]]=CH$1,[1]!BANCO10[[#This Row],[STATUS DA ETAPA]],"")</f>
        <v/>
      </c>
      <c r="CI802" s="21" t="str">
        <f>IF([1]!BANCO10[[#This Row],[SOLUÇÃO]]=CI$1,[1]!BANCO10[[#This Row],[STATUS DA ETAPA]],"")</f>
        <v/>
      </c>
      <c r="CJ802" s="21" t="str">
        <f>IF([1]!BANCO10[[#This Row],[SOLUÇÃO]]=CJ$1,[1]!BANCO10[[#This Row],[STATUS DA ETAPA]],"")</f>
        <v/>
      </c>
      <c r="CK802" s="21" t="str">
        <f>IF([1]!BANCO10[[#This Row],[SOLUÇÃO]]=CK$1,[1]!BANCO10[[#This Row],[STATUS DA ETAPA]],"")</f>
        <v/>
      </c>
      <c r="CL802" s="22" t="str">
        <f>IF([1]!BANCO10[[#This Row],[SOLUÇÃO]]=CL$1,[1]!BANCO10[[#This Row],[STATUS DA ETAPA]],"")</f>
        <v/>
      </c>
      <c r="CM802" s="64" t="str">
        <f>IF([1]!BANCO10[[#This Row],[SOLUÇÃO]]=CM$1,[1]!BANCO10[[#This Row],[STATUS DA ETAPA]],"")</f>
        <v/>
      </c>
      <c r="CN802" s="64" t="str">
        <f>IF([1]!BANCO10[[#This Row],[SOLUÇÃO]]=CN$1,[1]!BANCO10[[#This Row],[STATUS DA ETAPA]],"")</f>
        <v/>
      </c>
      <c r="CO802" s="64" t="str">
        <f>IF([1]!BANCO10[[#This Row],[SOLUÇÃO]]=CO$1,[1]!BANCO10[[#This Row],[STATUS DA ETAPA]],"")</f>
        <v/>
      </c>
      <c r="CP802" s="64" t="str">
        <f>IF([1]!BANCO10[[#This Row],[SOLUÇÃO]]=CP$1,[1]!BANCO10[[#This Row],[STATUS DA ETAPA]],"")</f>
        <v/>
      </c>
      <c r="CQ802" s="64" t="str">
        <f>IF([1]!BANCO10[[#This Row],[SOLUÇÃO]]=CQ$1,[1]!BANCO10[[#This Row],[STATUS DA ETAPA]],"")</f>
        <v/>
      </c>
      <c r="CR802" s="64" t="str">
        <f>IF([1]!BANCO10[[#This Row],[SOLUÇÃO]]=CR$1,[1]!BANCO10[[#This Row],[STATUS DA ETAPA]],"")</f>
        <v/>
      </c>
      <c r="CS802" s="64" t="str">
        <f>IF([1]!BANCO10[[#This Row],[SOLUÇÃO]]=CS$1,[1]!BANCO10[[#This Row],[STATUS DA ETAPA]],"")</f>
        <v/>
      </c>
      <c r="CT802" s="64" t="str">
        <f>IF([1]!BANCO10[[#This Row],[SOLUÇÃO]]=CT$1,[1]!BANCO10[[#This Row],[STATUS DA ETAPA]],"")</f>
        <v/>
      </c>
      <c r="CU802" s="64" t="str">
        <f>IF([1]!BANCO10[[#This Row],[SOLUÇÃO]]=CU$1,[1]!BANCO10[[#This Row],[STATUS DA ETAPA]],"")</f>
        <v/>
      </c>
      <c r="CV802" s="64" t="str">
        <f>IF([1]!BANCO10[[#This Row],[SOLUÇÃO]]=CV$1,[1]!BANCO10[[#This Row],[STATUS DA ETAPA]],"")</f>
        <v/>
      </c>
    </row>
    <row r="803" spans="1:100">
      <c r="A803" s="44" t="s">
        <v>2</v>
      </c>
      <c r="B803" s="44">
        <v>45699</v>
      </c>
      <c r="C803" s="44" t="s">
        <v>2</v>
      </c>
      <c r="D803" s="44">
        <v>45700</v>
      </c>
      <c r="E803" s="44" t="s">
        <v>2</v>
      </c>
      <c r="F803" s="44">
        <v>45702</v>
      </c>
      <c r="G803" s="44" t="s">
        <v>2</v>
      </c>
      <c r="H803" s="44">
        <v>45708</v>
      </c>
      <c r="I803" s="45" t="s">
        <v>2</v>
      </c>
      <c r="J803" s="46">
        <v>45702</v>
      </c>
      <c r="K803" s="45" t="s">
        <v>2</v>
      </c>
      <c r="L803" s="33">
        <v>45695</v>
      </c>
      <c r="M803" s="45" t="s">
        <v>2</v>
      </c>
      <c r="N803" s="33">
        <v>45695</v>
      </c>
      <c r="O803" s="44" t="s">
        <v>2</v>
      </c>
      <c r="P803" s="44">
        <v>45699</v>
      </c>
      <c r="Q803" s="44" t="s">
        <v>2</v>
      </c>
      <c r="R803" s="44">
        <v>45701</v>
      </c>
      <c r="S803" s="44" t="s">
        <v>0</v>
      </c>
      <c r="T803" s="44"/>
      <c r="U803" s="44" t="s">
        <v>1</v>
      </c>
      <c r="V803" s="44"/>
      <c r="W803" s="44" t="s">
        <v>1</v>
      </c>
      <c r="X803" s="44"/>
      <c r="Y803" s="44" t="s">
        <v>1</v>
      </c>
      <c r="Z803" s="44"/>
      <c r="AA803" s="44" t="s">
        <v>1</v>
      </c>
      <c r="AB803" s="44"/>
      <c r="AC803" s="51">
        <v>45763</v>
      </c>
      <c r="AD803" s="50">
        <v>45855</v>
      </c>
      <c r="AE803" s="41" t="s">
        <v>2</v>
      </c>
      <c r="AF803" s="41" t="s">
        <v>2</v>
      </c>
      <c r="AG803" s="40" t="s">
        <v>5</v>
      </c>
      <c r="AH803" s="36" t="s">
        <v>0</v>
      </c>
      <c r="AI803" s="49">
        <v>20140</v>
      </c>
      <c r="AJ803" s="36" t="s">
        <v>6</v>
      </c>
      <c r="AK803" s="10">
        <v>665253</v>
      </c>
      <c r="AL803" s="21" t="s">
        <v>1</v>
      </c>
      <c r="AM803" s="21" t="s">
        <v>1</v>
      </c>
      <c r="AN803" s="35" t="s">
        <v>2</v>
      </c>
      <c r="AO803" s="35" t="s">
        <v>2</v>
      </c>
      <c r="AP803" s="35" t="s">
        <v>2</v>
      </c>
      <c r="AQ803" s="35" t="s">
        <v>2</v>
      </c>
      <c r="AR803" s="33" t="s">
        <v>2</v>
      </c>
      <c r="AS803" s="33">
        <v>45889</v>
      </c>
      <c r="AT803" s="32" t="s">
        <v>1</v>
      </c>
      <c r="AU803" s="31"/>
      <c r="AV803" s="32" t="s">
        <v>1</v>
      </c>
      <c r="AW803" s="31"/>
      <c r="AX803" s="30" t="s">
        <v>2</v>
      </c>
      <c r="AY803" s="31">
        <v>45889</v>
      </c>
      <c r="AZ803" s="32" t="s">
        <v>0</v>
      </c>
      <c r="BA803" s="47"/>
      <c r="BB803" s="92" t="s">
        <v>68</v>
      </c>
      <c r="BC803" s="22">
        <v>10</v>
      </c>
      <c r="BD803" s="24"/>
      <c r="BE803" s="24"/>
      <c r="BF803" s="24"/>
      <c r="BG803" s="24"/>
      <c r="BH803" s="24"/>
      <c r="BI803" s="24"/>
      <c r="BJ803" s="24"/>
      <c r="BK803" s="24"/>
      <c r="BL803" s="24"/>
      <c r="BM803" s="24"/>
      <c r="BN803" s="24"/>
      <c r="BO803" s="24"/>
      <c r="BP803" s="24"/>
      <c r="BQ803" s="22">
        <f>YEAR([1]!BANCO10[[#This Row],[DATA INÍCIO]])</f>
        <v>2025</v>
      </c>
      <c r="BR803" s="22">
        <f>MONTH([1]!BANCO10[[#This Row],[DATA INÍCIO]])</f>
        <v>4</v>
      </c>
      <c r="BS803" s="23" t="e">
        <f>CONCATENATE(#REF!,#REF!)</f>
        <v>#REF!</v>
      </c>
      <c r="BT803" s="22"/>
      <c r="BU803" s="22"/>
      <c r="BV803" s="21" t="str">
        <f>IF([1]!BANCO10[[#This Row],[SOLUÇÃO]]=BV$1,[1]!BANCO10[[#This Row],[STATUS DA ETAPA]],"")</f>
        <v/>
      </c>
      <c r="BW803" s="21" t="str">
        <f>IF([1]!BANCO10[[#This Row],[SOLUÇÃO]]=BW$1,[1]!BANCO10[[#This Row],[STATUS DA ETAPA]],"")</f>
        <v/>
      </c>
      <c r="BX803" s="21" t="str">
        <f>IF([1]!BANCO10[[#This Row],[SOLUÇÃO]]=BX$1,[1]!BANCO10[[#This Row],[STATUS DA ETAPA]],"")</f>
        <v/>
      </c>
      <c r="BY803" s="21" t="str">
        <f>IF([1]!BANCO10[[#This Row],[SOLUÇÃO]]=BY$1,[1]!BANCO10[[#This Row],[STATUS DA ETAPA]],"")</f>
        <v/>
      </c>
      <c r="BZ803" s="21" t="str">
        <f>IF([1]!BANCO10[[#This Row],[SOLUÇÃO]]=BZ$1,[1]!BANCO10[[#This Row],[STATUS DA ETAPA]],"")</f>
        <v/>
      </c>
      <c r="CA803" s="21" t="str">
        <f>IF([1]!BANCO10[[#This Row],[SOLUÇÃO]]=CA$1,[1]!BANCO10[[#This Row],[STATUS DA ETAPA]],"")</f>
        <v/>
      </c>
      <c r="CB803" s="21" t="str">
        <f>IF([1]!BANCO10[[#This Row],[SOLUÇÃO]]=CB$1,[1]!BANCO10[[#This Row],[STATUS DA ETAPA]],"")</f>
        <v>CONCLUÍDO</v>
      </c>
      <c r="CC803" s="21" t="str">
        <f>IF([1]!BANCO10[[#This Row],[SOLUÇÃO]]=CC$1,[1]!BANCO10[[#This Row],[STATUS DA ETAPA]],"")</f>
        <v/>
      </c>
      <c r="CD803" s="21" t="str">
        <f>IF([1]!BANCO10[[#This Row],[SOLUÇÃO]]=CD$1,[1]!BANCO10[[#This Row],[STATUS DA ETAPA]],"")</f>
        <v/>
      </c>
      <c r="CE803" s="21" t="str">
        <f>IF([1]!BANCO10[[#This Row],[SOLUÇÃO]]=CE$1,[1]!BANCO10[[#This Row],[STATUS DA ETAPA]],"")</f>
        <v/>
      </c>
      <c r="CF803" s="21" t="str">
        <f>IF([1]!BANCO10[[#This Row],[SOLUÇÃO]]=CF$1,[1]!BANCO10[[#This Row],[STATUS DA ETAPA]],"")</f>
        <v/>
      </c>
      <c r="CG803" s="21" t="str">
        <f>IF([1]!BANCO10[[#This Row],[SOLUÇÃO]]=CG$1,[1]!BANCO10[[#This Row],[STATUS DA ETAPA]],"")</f>
        <v/>
      </c>
      <c r="CH803" s="21" t="str">
        <f>IF([1]!BANCO10[[#This Row],[SOLUÇÃO]]=CH$1,[1]!BANCO10[[#This Row],[STATUS DA ETAPA]],"")</f>
        <v/>
      </c>
      <c r="CI803" s="21" t="str">
        <f>IF([1]!BANCO10[[#This Row],[SOLUÇÃO]]=CI$1,[1]!BANCO10[[#This Row],[STATUS DA ETAPA]],"")</f>
        <v/>
      </c>
      <c r="CJ803" s="21" t="str">
        <f>IF([1]!BANCO10[[#This Row],[SOLUÇÃO]]=CJ$1,[1]!BANCO10[[#This Row],[STATUS DA ETAPA]],"")</f>
        <v/>
      </c>
      <c r="CK803" s="21" t="str">
        <f>IF([1]!BANCO10[[#This Row],[SOLUÇÃO]]=CK$1,[1]!BANCO10[[#This Row],[STATUS DA ETAPA]],"")</f>
        <v/>
      </c>
      <c r="CL803" s="21" t="str">
        <f>IF([1]!BANCO10[[#This Row],[SOLUÇÃO]]=CL$1,[1]!BANCO10[[#This Row],[STATUS DA ETAPA]],"")</f>
        <v/>
      </c>
      <c r="CM803" s="21" t="str">
        <f>IF([1]!BANCO10[[#This Row],[SOLUÇÃO]]=CM$1,[1]!BANCO10[[#This Row],[STATUS DA ETAPA]],"")</f>
        <v/>
      </c>
      <c r="CN803" s="21" t="str">
        <f>IF([1]!BANCO10[[#This Row],[SOLUÇÃO]]=CN$1,[1]!BANCO10[[#This Row],[STATUS DA ETAPA]],"")</f>
        <v/>
      </c>
      <c r="CO803" s="21" t="str">
        <f>IF([1]!BANCO10[[#This Row],[SOLUÇÃO]]=CO$1,[1]!BANCO10[[#This Row],[STATUS DA ETAPA]],"")</f>
        <v/>
      </c>
      <c r="CP803" s="21" t="str">
        <f>IF([1]!BANCO10[[#This Row],[SOLUÇÃO]]=CP$1,[1]!BANCO10[[#This Row],[STATUS DA ETAPA]],"")</f>
        <v/>
      </c>
      <c r="CQ803" s="21" t="str">
        <f>IF([1]!BANCO10[[#This Row],[SOLUÇÃO]]=CQ$1,[1]!BANCO10[[#This Row],[STATUS DA ETAPA]],"")</f>
        <v/>
      </c>
      <c r="CR803" s="21" t="str">
        <f>IF([1]!BANCO10[[#This Row],[SOLUÇÃO]]=CR$1,[1]!BANCO10[[#This Row],[STATUS DA ETAPA]],"")</f>
        <v/>
      </c>
      <c r="CS803" s="21" t="str">
        <f>IF([1]!BANCO10[[#This Row],[SOLUÇÃO]]=CS$1,[1]!BANCO10[[#This Row],[STATUS DA ETAPA]],"")</f>
        <v/>
      </c>
      <c r="CT803" s="21" t="str">
        <f>IF([1]!BANCO10[[#This Row],[SOLUÇÃO]]=CT$1,[1]!BANCO10[[#This Row],[STATUS DA ETAPA]],"")</f>
        <v/>
      </c>
      <c r="CU803" s="21" t="str">
        <f>IF([1]!BANCO10[[#This Row],[SOLUÇÃO]]=CU$1,[1]!BANCO10[[#This Row],[STATUS DA ETAPA]],"")</f>
        <v/>
      </c>
      <c r="CV803" s="21" t="str">
        <f>IF([1]!BANCO10[[#This Row],[SOLUÇÃO]]=CV$1,[1]!BANCO10[[#This Row],[STATUS DA ETAPA]],"")</f>
        <v/>
      </c>
    </row>
    <row r="804" spans="1:100">
      <c r="A804" s="44" t="s">
        <v>1</v>
      </c>
      <c r="B804" s="44"/>
      <c r="C804" s="44" t="s">
        <v>1</v>
      </c>
      <c r="D804" s="44"/>
      <c r="E804" s="44" t="s">
        <v>1</v>
      </c>
      <c r="F804" s="44"/>
      <c r="G804" s="44" t="s">
        <v>1</v>
      </c>
      <c r="H804" s="44"/>
      <c r="I804" s="45" t="s">
        <v>1</v>
      </c>
      <c r="J804" s="46"/>
      <c r="K804" s="45" t="s">
        <v>1</v>
      </c>
      <c r="L804" s="33"/>
      <c r="M804" s="45" t="s">
        <v>1</v>
      </c>
      <c r="N804" s="33"/>
      <c r="O804" s="44" t="s">
        <v>1</v>
      </c>
      <c r="P804" s="44"/>
      <c r="Q804" s="44" t="s">
        <v>1</v>
      </c>
      <c r="R804" s="44"/>
      <c r="S804" s="44" t="s">
        <v>1</v>
      </c>
      <c r="T804" s="44"/>
      <c r="U804" s="44" t="s">
        <v>1</v>
      </c>
      <c r="V804" s="44"/>
      <c r="W804" s="44" t="s">
        <v>1</v>
      </c>
      <c r="X804" s="44"/>
      <c r="Y804" s="44" t="s">
        <v>1</v>
      </c>
      <c r="Z804" s="44"/>
      <c r="AA804" s="44" t="s">
        <v>1</v>
      </c>
      <c r="AB804" s="44"/>
      <c r="AC804" s="51">
        <v>45790</v>
      </c>
      <c r="AD804" s="50">
        <v>45790</v>
      </c>
      <c r="AE804" s="41" t="s">
        <v>1</v>
      </c>
      <c r="AF804" s="41" t="s">
        <v>1</v>
      </c>
      <c r="AG804" s="40" t="s">
        <v>5</v>
      </c>
      <c r="AH804" s="36" t="s">
        <v>0</v>
      </c>
      <c r="AI804" s="49">
        <v>0</v>
      </c>
      <c r="AJ804" s="36" t="s">
        <v>1</v>
      </c>
      <c r="AK804" s="10" t="s">
        <v>1</v>
      </c>
      <c r="AL804" s="36" t="s">
        <v>1</v>
      </c>
      <c r="AM804" s="36" t="s">
        <v>1</v>
      </c>
      <c r="AN804" s="35" t="s">
        <v>0</v>
      </c>
      <c r="AO804" s="35" t="s">
        <v>0</v>
      </c>
      <c r="AP804" s="35" t="s">
        <v>0</v>
      </c>
      <c r="AQ804" s="35" t="s">
        <v>0</v>
      </c>
      <c r="AR804" s="34" t="s">
        <v>0</v>
      </c>
      <c r="AS804" s="46"/>
      <c r="AT804" s="30" t="s">
        <v>0</v>
      </c>
      <c r="AU804" s="31"/>
      <c r="AV804" s="30" t="s">
        <v>0</v>
      </c>
      <c r="AW804" s="31"/>
      <c r="AX804" s="30" t="s">
        <v>0</v>
      </c>
      <c r="AY804" s="29"/>
      <c r="AZ804" s="28" t="s">
        <v>0</v>
      </c>
      <c r="BA804" s="27"/>
      <c r="BB804" s="26"/>
      <c r="BC804" s="25"/>
      <c r="BD804" s="24"/>
      <c r="BE804" s="24"/>
      <c r="BF804" s="24"/>
      <c r="BG804" s="24"/>
      <c r="BH804" s="24"/>
      <c r="BI804" s="24"/>
      <c r="BJ804" s="24"/>
      <c r="BK804" s="24"/>
      <c r="BL804" s="24"/>
      <c r="BM804" s="24"/>
      <c r="BN804" s="24"/>
      <c r="BO804" s="24"/>
      <c r="BP804" s="24"/>
      <c r="BQ804" s="22">
        <f>YEAR([1]!BANCO10[[#This Row],[DATA INÍCIO]])</f>
        <v>2025</v>
      </c>
      <c r="BR804" s="22">
        <f>MONTH([1]!BANCO10[[#This Row],[DATA INÍCIO]])</f>
        <v>5</v>
      </c>
      <c r="BS804" s="23" t="e">
        <f>CONCATENATE(#REF!,#REF!)</f>
        <v>#REF!</v>
      </c>
      <c r="BT804" s="22"/>
      <c r="BU804" s="22"/>
      <c r="BV804" s="21" t="str">
        <f>IF([1]!BANCO10[[#This Row],[SOLUÇÃO]]=BV$1,[1]!BANCO10[[#This Row],[STATUS DA ETAPA]],"")</f>
        <v>CONCLUÍDO</v>
      </c>
      <c r="BW804" s="21" t="str">
        <f>IF([1]!BANCO10[[#This Row],[SOLUÇÃO]]=BW$1,[1]!BANCO10[[#This Row],[STATUS DA ETAPA]],"")</f>
        <v/>
      </c>
      <c r="BX804" s="21" t="str">
        <f>IF([1]!BANCO10[[#This Row],[SOLUÇÃO]]=BX$1,[1]!BANCO10[[#This Row],[STATUS DA ETAPA]],"")</f>
        <v/>
      </c>
      <c r="BY804" s="21" t="str">
        <f>IF([1]!BANCO10[[#This Row],[SOLUÇÃO]]=BY$1,[1]!BANCO10[[#This Row],[STATUS DA ETAPA]],"")</f>
        <v/>
      </c>
      <c r="BZ804" s="21" t="str">
        <f>IF([1]!BANCO10[[#This Row],[SOLUÇÃO]]=BZ$1,[1]!BANCO10[[#This Row],[STATUS DA ETAPA]],"")</f>
        <v/>
      </c>
      <c r="CA804" s="21" t="str">
        <f>IF([1]!BANCO10[[#This Row],[SOLUÇÃO]]=CA$1,[1]!BANCO10[[#This Row],[STATUS DA ETAPA]],"")</f>
        <v/>
      </c>
      <c r="CB804" s="21" t="str">
        <f>IF([1]!BANCO10[[#This Row],[SOLUÇÃO]]=CB$1,[1]!BANCO10[[#This Row],[STATUS DA ETAPA]],"")</f>
        <v/>
      </c>
      <c r="CC804" s="21" t="str">
        <f>IF([1]!BANCO10[[#This Row],[SOLUÇÃO]]=CC$1,[1]!BANCO10[[#This Row],[STATUS DA ETAPA]],"")</f>
        <v/>
      </c>
      <c r="CD804" s="21" t="str">
        <f>IF([1]!BANCO10[[#This Row],[SOLUÇÃO]]=CD$1,[1]!BANCO10[[#This Row],[STATUS DA ETAPA]],"")</f>
        <v/>
      </c>
      <c r="CE804" s="21" t="str">
        <f>IF([1]!BANCO10[[#This Row],[SOLUÇÃO]]=CE$1,[1]!BANCO10[[#This Row],[STATUS DA ETAPA]],"")</f>
        <v/>
      </c>
      <c r="CF804" s="21" t="str">
        <f>IF([1]!BANCO10[[#This Row],[SOLUÇÃO]]=CF$1,[1]!BANCO10[[#This Row],[STATUS DA ETAPA]],"")</f>
        <v/>
      </c>
      <c r="CG804" s="21" t="str">
        <f>IF([1]!BANCO10[[#This Row],[SOLUÇÃO]]=CG$1,[1]!BANCO10[[#This Row],[STATUS DA ETAPA]],"")</f>
        <v/>
      </c>
      <c r="CH804" s="21" t="str">
        <f>IF([1]!BANCO10[[#This Row],[SOLUÇÃO]]=CH$1,[1]!BANCO10[[#This Row],[STATUS DA ETAPA]],"")</f>
        <v/>
      </c>
      <c r="CI804" s="21" t="str">
        <f>IF([1]!BANCO10[[#This Row],[SOLUÇÃO]]=CI$1,[1]!BANCO10[[#This Row],[STATUS DA ETAPA]],"")</f>
        <v/>
      </c>
      <c r="CJ804" s="21" t="str">
        <f>IF([1]!BANCO10[[#This Row],[SOLUÇÃO]]=CJ$1,[1]!BANCO10[[#This Row],[STATUS DA ETAPA]],"")</f>
        <v/>
      </c>
      <c r="CK804" s="21" t="str">
        <f>IF([1]!BANCO10[[#This Row],[SOLUÇÃO]]=CK$1,[1]!BANCO10[[#This Row],[STATUS DA ETAPA]],"")</f>
        <v/>
      </c>
      <c r="CL804" s="21" t="str">
        <f>IF([1]!BANCO10[[#This Row],[SOLUÇÃO]]=CL$1,[1]!BANCO10[[#This Row],[STATUS DA ETAPA]],"")</f>
        <v/>
      </c>
      <c r="CM804" s="21" t="str">
        <f>IF([1]!BANCO10[[#This Row],[SOLUÇÃO]]=CM$1,[1]!BANCO10[[#This Row],[STATUS DA ETAPA]],"")</f>
        <v/>
      </c>
      <c r="CN804" s="21" t="str">
        <f>IF([1]!BANCO10[[#This Row],[SOLUÇÃO]]=CN$1,[1]!BANCO10[[#This Row],[STATUS DA ETAPA]],"")</f>
        <v/>
      </c>
      <c r="CO804" s="21" t="str">
        <f>IF([1]!BANCO10[[#This Row],[SOLUÇÃO]]=CO$1,[1]!BANCO10[[#This Row],[STATUS DA ETAPA]],"")</f>
        <v/>
      </c>
      <c r="CP804" s="21" t="str">
        <f>IF([1]!BANCO10[[#This Row],[SOLUÇÃO]]=CP$1,[1]!BANCO10[[#This Row],[STATUS DA ETAPA]],"")</f>
        <v/>
      </c>
      <c r="CQ804" s="21" t="str">
        <f>IF([1]!BANCO10[[#This Row],[SOLUÇÃO]]=CQ$1,[1]!BANCO10[[#This Row],[STATUS DA ETAPA]],"")</f>
        <v/>
      </c>
      <c r="CR804" s="21" t="str">
        <f>IF([1]!BANCO10[[#This Row],[SOLUÇÃO]]=CR$1,[1]!BANCO10[[#This Row],[STATUS DA ETAPA]],"")</f>
        <v/>
      </c>
      <c r="CS804" s="21" t="str">
        <f>IF([1]!BANCO10[[#This Row],[SOLUÇÃO]]=CS$1,[1]!BANCO10[[#This Row],[STATUS DA ETAPA]],"")</f>
        <v/>
      </c>
      <c r="CT804" s="21" t="str">
        <f>IF([1]!BANCO10[[#This Row],[SOLUÇÃO]]=CT$1,[1]!BANCO10[[#This Row],[STATUS DA ETAPA]],"")</f>
        <v/>
      </c>
      <c r="CU804" s="21" t="str">
        <f>IF([1]!BANCO10[[#This Row],[SOLUÇÃO]]=CU$1,[1]!BANCO10[[#This Row],[STATUS DA ETAPA]],"")</f>
        <v/>
      </c>
      <c r="CV804" s="21" t="str">
        <f>IF([1]!BANCO10[[#This Row],[SOLUÇÃO]]=CV$1,[1]!BANCO10[[#This Row],[STATUS DA ETAPA]],"")</f>
        <v/>
      </c>
    </row>
    <row r="805" spans="1:100">
      <c r="A805" s="44" t="s">
        <v>1</v>
      </c>
      <c r="B805" s="44"/>
      <c r="C805" s="44" t="s">
        <v>1</v>
      </c>
      <c r="D805" s="44"/>
      <c r="E805" s="44" t="s">
        <v>1</v>
      </c>
      <c r="F805" s="44"/>
      <c r="G805" s="44" t="s">
        <v>1</v>
      </c>
      <c r="H805" s="44"/>
      <c r="I805" s="45" t="s">
        <v>1</v>
      </c>
      <c r="J805" s="46"/>
      <c r="K805" s="45" t="s">
        <v>1</v>
      </c>
      <c r="L805" s="33"/>
      <c r="M805" s="45" t="s">
        <v>1</v>
      </c>
      <c r="N805" s="33"/>
      <c r="O805" s="44" t="s">
        <v>2</v>
      </c>
      <c r="P805" s="44">
        <v>44927</v>
      </c>
      <c r="Q805" s="44"/>
      <c r="R805" s="44"/>
      <c r="S805" s="44"/>
      <c r="T805" s="44"/>
      <c r="U805" s="44" t="s">
        <v>1</v>
      </c>
      <c r="V805" s="44"/>
      <c r="W805" s="44" t="s">
        <v>1</v>
      </c>
      <c r="X805" s="44"/>
      <c r="Y805" s="44" t="s">
        <v>1</v>
      </c>
      <c r="Z805" s="44"/>
      <c r="AA805" s="44" t="s">
        <v>1</v>
      </c>
      <c r="AB805" s="44"/>
      <c r="AC805" s="84">
        <v>45279</v>
      </c>
      <c r="AD805" s="83">
        <v>45356</v>
      </c>
      <c r="AE805" s="24" t="s">
        <v>2</v>
      </c>
      <c r="AF805" s="40" t="s">
        <v>2</v>
      </c>
      <c r="AG805" s="40" t="s">
        <v>5</v>
      </c>
      <c r="AH805" s="36" t="s">
        <v>2</v>
      </c>
      <c r="AI805" s="49">
        <v>0</v>
      </c>
      <c r="AJ805" s="36" t="s">
        <v>1</v>
      </c>
      <c r="AK805" s="10" t="s">
        <v>1</v>
      </c>
      <c r="AL805" s="36" t="s">
        <v>1</v>
      </c>
      <c r="AM805" s="36" t="s">
        <v>1</v>
      </c>
      <c r="AN805" s="35" t="s">
        <v>1</v>
      </c>
      <c r="AO805" s="35" t="s">
        <v>1</v>
      </c>
      <c r="AP805" s="35" t="s">
        <v>2</v>
      </c>
      <c r="AQ805" s="35" t="s">
        <v>1</v>
      </c>
      <c r="AR805" s="33" t="s">
        <v>1</v>
      </c>
      <c r="AS805" s="33"/>
      <c r="AT805" s="30"/>
      <c r="AU805" s="55"/>
      <c r="AV805" s="30"/>
      <c r="AW805" s="55"/>
      <c r="AX805" s="30" t="s">
        <v>2</v>
      </c>
      <c r="AY805" s="55">
        <v>45357</v>
      </c>
      <c r="AZ805" s="30" t="s">
        <v>0</v>
      </c>
      <c r="BA805" s="91"/>
      <c r="BB805" s="39" t="s">
        <v>34</v>
      </c>
      <c r="BC805" s="25"/>
      <c r="BD805" s="24" t="s">
        <v>11</v>
      </c>
      <c r="BE805" s="24" t="s">
        <v>11</v>
      </c>
      <c r="BF805" s="79" t="s">
        <v>11</v>
      </c>
      <c r="BG805" s="79" t="s">
        <v>11</v>
      </c>
      <c r="BH805" s="80" t="s">
        <v>11</v>
      </c>
      <c r="BI805" s="79"/>
      <c r="BJ805" s="54" t="s">
        <v>11</v>
      </c>
      <c r="BK805" s="78" t="s">
        <v>11</v>
      </c>
      <c r="BL805" s="69">
        <v>45391</v>
      </c>
      <c r="BM805" s="78" t="s">
        <v>11</v>
      </c>
      <c r="BN805" s="78" t="s">
        <v>11</v>
      </c>
      <c r="BO805" s="78" t="s">
        <v>11</v>
      </c>
      <c r="BP805" s="78" t="s">
        <v>67</v>
      </c>
      <c r="BQ805" s="21">
        <f>YEAR([1]!BANCO10[[#This Row],[DATA INÍCIO]])</f>
        <v>2023</v>
      </c>
      <c r="BR805" s="21">
        <f>MONTH([1]!BANCO10[[#This Row],[DATA INÍCIO]])</f>
        <v>12</v>
      </c>
      <c r="BS805" s="21" t="e">
        <f>CONCATENATE(#REF!,#REF!)</f>
        <v>#REF!</v>
      </c>
      <c r="BT805" s="21"/>
      <c r="BU805" s="21" t="s">
        <v>66</v>
      </c>
      <c r="BV805" s="21" t="str">
        <f>IF([1]!BANCO10[[#This Row],[SOLUÇÃO]]=BV$1,[1]!BANCO10[[#This Row],[STATUS DA ETAPA]],"")</f>
        <v/>
      </c>
      <c r="BW805" s="21" t="str">
        <f>IF([1]!BANCO10[[#This Row],[SOLUÇÃO]]=BW$1,[1]!BANCO10[[#This Row],[STATUS DA ETAPA]],"")</f>
        <v/>
      </c>
      <c r="BX805" s="21" t="str">
        <f>IF([1]!BANCO10[[#This Row],[SOLUÇÃO]]=BX$1,[1]!BANCO10[[#This Row],[STATUS DA ETAPA]],"")</f>
        <v/>
      </c>
      <c r="BY805" s="21" t="str">
        <f>IF([1]!BANCO10[[#This Row],[SOLUÇÃO]]=BY$1,[1]!BANCO10[[#This Row],[STATUS DA ETAPA]],"")</f>
        <v/>
      </c>
      <c r="BZ805" s="21" t="str">
        <f>IF([1]!BANCO10[[#This Row],[SOLUÇÃO]]=BZ$1,[1]!BANCO10[[#This Row],[STATUS DA ETAPA]],"")</f>
        <v/>
      </c>
      <c r="CA805" s="21" t="str">
        <f>IF([1]!BANCO10[[#This Row],[SOLUÇÃO]]=CA$1,[1]!BANCO10[[#This Row],[STATUS DA ETAPA]],"")</f>
        <v>CONCLUÍDO</v>
      </c>
      <c r="CB805" s="21" t="str">
        <f>IF([1]!BANCO10[[#This Row],[SOLUÇÃO]]=CB$1,[1]!BANCO10[[#This Row],[STATUS DA ETAPA]],"")</f>
        <v/>
      </c>
      <c r="CC805" s="21" t="str">
        <f>IF([1]!BANCO10[[#This Row],[SOLUÇÃO]]=CC$1,[1]!BANCO10[[#This Row],[STATUS DA ETAPA]],"")</f>
        <v/>
      </c>
      <c r="CD805" s="21" t="str">
        <f>IF([1]!BANCO10[[#This Row],[SOLUÇÃO]]=CD$1,[1]!BANCO10[[#This Row],[STATUS DA ETAPA]],"")</f>
        <v/>
      </c>
      <c r="CE805" s="21" t="str">
        <f>IF([1]!BANCO10[[#This Row],[SOLUÇÃO]]=CE$1,[1]!BANCO10[[#This Row],[STATUS DA ETAPA]],"")</f>
        <v/>
      </c>
      <c r="CF805" s="21" t="str">
        <f>IF([1]!BANCO10[[#This Row],[SOLUÇÃO]]=CF$1,[1]!BANCO10[[#This Row],[STATUS DA ETAPA]],"")</f>
        <v/>
      </c>
      <c r="CG805" s="21" t="str">
        <f>IF([1]!BANCO10[[#This Row],[SOLUÇÃO]]=CG$1,[1]!BANCO10[[#This Row],[STATUS DA ETAPA]],"")</f>
        <v/>
      </c>
      <c r="CH805" s="21" t="str">
        <f>IF([1]!BANCO10[[#This Row],[SOLUÇÃO]]=CH$1,[1]!BANCO10[[#This Row],[STATUS DA ETAPA]],"")</f>
        <v/>
      </c>
      <c r="CI805" s="21" t="str">
        <f>IF([1]!BANCO10[[#This Row],[SOLUÇÃO]]=CI$1,[1]!BANCO10[[#This Row],[STATUS DA ETAPA]],"")</f>
        <v/>
      </c>
      <c r="CJ805" s="21" t="str">
        <f>IF([1]!BANCO10[[#This Row],[SOLUÇÃO]]=CJ$1,[1]!BANCO10[[#This Row],[STATUS DA ETAPA]],"")</f>
        <v/>
      </c>
      <c r="CK805" s="21" t="str">
        <f>IF([1]!BANCO10[[#This Row],[SOLUÇÃO]]=CK$1,[1]!BANCO10[[#This Row],[STATUS DA ETAPA]],"")</f>
        <v/>
      </c>
      <c r="CL805" s="22" t="str">
        <f>IF([1]!BANCO10[[#This Row],[SOLUÇÃO]]=CL$1,[1]!BANCO10[[#This Row],[STATUS DA ETAPA]],"")</f>
        <v/>
      </c>
      <c r="CM805" s="64" t="str">
        <f>IF([1]!BANCO10[[#This Row],[SOLUÇÃO]]=CM$1,[1]!BANCO10[[#This Row],[STATUS DA ETAPA]],"")</f>
        <v/>
      </c>
      <c r="CN805" s="64" t="str">
        <f>IF([1]!BANCO10[[#This Row],[SOLUÇÃO]]=CN$1,[1]!BANCO10[[#This Row],[STATUS DA ETAPA]],"")</f>
        <v/>
      </c>
      <c r="CO805" s="64" t="str">
        <f>IF([1]!BANCO10[[#This Row],[SOLUÇÃO]]=CO$1,[1]!BANCO10[[#This Row],[STATUS DA ETAPA]],"")</f>
        <v/>
      </c>
      <c r="CP805" s="64" t="str">
        <f>IF([1]!BANCO10[[#This Row],[SOLUÇÃO]]=CP$1,[1]!BANCO10[[#This Row],[STATUS DA ETAPA]],"")</f>
        <v/>
      </c>
      <c r="CQ805" s="64" t="str">
        <f>IF([1]!BANCO10[[#This Row],[SOLUÇÃO]]=CQ$1,[1]!BANCO10[[#This Row],[STATUS DA ETAPA]],"")</f>
        <v/>
      </c>
      <c r="CR805" s="64" t="str">
        <f>IF([1]!BANCO10[[#This Row],[SOLUÇÃO]]=CR$1,[1]!BANCO10[[#This Row],[STATUS DA ETAPA]],"")</f>
        <v/>
      </c>
      <c r="CS805" s="64" t="str">
        <f>IF([1]!BANCO10[[#This Row],[SOLUÇÃO]]=CS$1,[1]!BANCO10[[#This Row],[STATUS DA ETAPA]],"")</f>
        <v/>
      </c>
      <c r="CT805" s="64" t="str">
        <f>IF([1]!BANCO10[[#This Row],[SOLUÇÃO]]=CT$1,[1]!BANCO10[[#This Row],[STATUS DA ETAPA]],"")</f>
        <v/>
      </c>
      <c r="CU805" s="64" t="str">
        <f>IF([1]!BANCO10[[#This Row],[SOLUÇÃO]]=CU$1,[1]!BANCO10[[#This Row],[STATUS DA ETAPA]],"")</f>
        <v/>
      </c>
      <c r="CV805" s="64" t="str">
        <f>IF([1]!BANCO10[[#This Row],[SOLUÇÃO]]=CV$1,[1]!BANCO10[[#This Row],[STATUS DA ETAPA]],"")</f>
        <v/>
      </c>
    </row>
    <row r="806" spans="1:100">
      <c r="A806" s="44" t="s">
        <v>1</v>
      </c>
      <c r="B806" s="44"/>
      <c r="C806" s="44" t="s">
        <v>1</v>
      </c>
      <c r="D806" s="44"/>
      <c r="E806" s="44" t="s">
        <v>1</v>
      </c>
      <c r="F806" s="44"/>
      <c r="G806" s="44" t="s">
        <v>1</v>
      </c>
      <c r="H806" s="44"/>
      <c r="I806" s="45" t="s">
        <v>1</v>
      </c>
      <c r="J806" s="46"/>
      <c r="K806" s="45" t="s">
        <v>1</v>
      </c>
      <c r="L806" s="33"/>
      <c r="M806" s="45" t="s">
        <v>1</v>
      </c>
      <c r="N806" s="33"/>
      <c r="O806" s="44" t="s">
        <v>2</v>
      </c>
      <c r="P806" s="44">
        <v>44974</v>
      </c>
      <c r="Q806" s="44" t="s">
        <v>0</v>
      </c>
      <c r="R806" s="44"/>
      <c r="S806" s="44" t="s">
        <v>1</v>
      </c>
      <c r="T806" s="44"/>
      <c r="U806" s="44" t="s">
        <v>1</v>
      </c>
      <c r="V806" s="44"/>
      <c r="W806" s="44" t="s">
        <v>1</v>
      </c>
      <c r="X806" s="44"/>
      <c r="Y806" s="44" t="s">
        <v>1</v>
      </c>
      <c r="Z806" s="44"/>
      <c r="AA806" s="44" t="s">
        <v>1</v>
      </c>
      <c r="AB806" s="44"/>
      <c r="AC806" s="84">
        <v>44974</v>
      </c>
      <c r="AD806" s="83">
        <v>44974</v>
      </c>
      <c r="AE806" s="40" t="s">
        <v>1</v>
      </c>
      <c r="AF806" s="40" t="s">
        <v>1</v>
      </c>
      <c r="AG806" s="40" t="s">
        <v>5</v>
      </c>
      <c r="AH806" s="36" t="s">
        <v>1</v>
      </c>
      <c r="AI806" s="49">
        <v>0</v>
      </c>
      <c r="AJ806" s="36" t="s">
        <v>1</v>
      </c>
      <c r="AK806" s="10" t="s">
        <v>1</v>
      </c>
      <c r="AL806" s="36" t="s">
        <v>1</v>
      </c>
      <c r="AM806" s="36" t="s">
        <v>1</v>
      </c>
      <c r="AN806" s="35" t="s">
        <v>1</v>
      </c>
      <c r="AO806" s="35" t="s">
        <v>1</v>
      </c>
      <c r="AP806" s="35" t="s">
        <v>1</v>
      </c>
      <c r="AQ806" s="35" t="s">
        <v>1</v>
      </c>
      <c r="AR806" s="82" t="s">
        <v>1</v>
      </c>
      <c r="AS806" s="46"/>
      <c r="AT806" s="30"/>
      <c r="AU806" s="55"/>
      <c r="AV806" s="30"/>
      <c r="AW806" s="55"/>
      <c r="AX806" s="30" t="s">
        <v>1</v>
      </c>
      <c r="AY806" s="55"/>
      <c r="AZ806" s="30" t="s">
        <v>1</v>
      </c>
      <c r="BA806" s="66"/>
      <c r="BB806" s="39"/>
      <c r="BC806" s="25"/>
      <c r="BD806" s="24" t="s">
        <v>11</v>
      </c>
      <c r="BE806" s="24" t="s">
        <v>11</v>
      </c>
      <c r="BF806" s="79" t="s">
        <v>21</v>
      </c>
      <c r="BG806" s="79" t="s">
        <v>64</v>
      </c>
      <c r="BH806" s="80" t="s">
        <v>63</v>
      </c>
      <c r="BI806" s="79"/>
      <c r="BJ806" s="54" t="s">
        <v>11</v>
      </c>
      <c r="BK806" s="78" t="s">
        <v>11</v>
      </c>
      <c r="BL806" s="69" t="s">
        <v>11</v>
      </c>
      <c r="BM806" s="78" t="s">
        <v>11</v>
      </c>
      <c r="BN806" s="78" t="s">
        <v>11</v>
      </c>
      <c r="BO806" s="78" t="s">
        <v>11</v>
      </c>
      <c r="BP806" s="78" t="s">
        <v>11</v>
      </c>
      <c r="BQ806" s="21">
        <f>YEAR([1]!BANCO10[[#This Row],[DATA INÍCIO]])</f>
        <v>2023</v>
      </c>
      <c r="BR806" s="21">
        <f>MONTH([1]!BANCO10[[#This Row],[DATA INÍCIO]])</f>
        <v>2</v>
      </c>
      <c r="BS806" s="21" t="e">
        <f>CONCATENATE(#REF!,#REF!)</f>
        <v>#REF!</v>
      </c>
      <c r="BT806" s="21"/>
      <c r="BU806" s="21" t="s">
        <v>65</v>
      </c>
      <c r="BV806" s="21" t="str">
        <f>IF([1]!BANCO10[[#This Row],[SOLUÇÃO]]=BV$1,[1]!BANCO10[[#This Row],[STATUS DA ETAPA]],"")</f>
        <v>CONCLUÍDO</v>
      </c>
      <c r="BW806" s="21" t="str">
        <f>IF([1]!BANCO10[[#This Row],[SOLUÇÃO]]=BW$1,[1]!BANCO10[[#This Row],[STATUS DA ETAPA]],"")</f>
        <v/>
      </c>
      <c r="BX806" s="21" t="str">
        <f>IF([1]!BANCO10[[#This Row],[SOLUÇÃO]]=BX$1,[1]!BANCO10[[#This Row],[STATUS DA ETAPA]],"")</f>
        <v/>
      </c>
      <c r="BY806" s="21" t="str">
        <f>IF([1]!BANCO10[[#This Row],[SOLUÇÃO]]=BY$1,[1]!BANCO10[[#This Row],[STATUS DA ETAPA]],"")</f>
        <v/>
      </c>
      <c r="BZ806" s="21" t="str">
        <f>IF([1]!BANCO10[[#This Row],[SOLUÇÃO]]=BZ$1,[1]!BANCO10[[#This Row],[STATUS DA ETAPA]],"")</f>
        <v/>
      </c>
      <c r="CA806" s="21" t="str">
        <f>IF([1]!BANCO10[[#This Row],[SOLUÇÃO]]=CA$1,[1]!BANCO10[[#This Row],[STATUS DA ETAPA]],"")</f>
        <v/>
      </c>
      <c r="CB806" s="21" t="str">
        <f>IF([1]!BANCO10[[#This Row],[SOLUÇÃO]]=CB$1,[1]!BANCO10[[#This Row],[STATUS DA ETAPA]],"")</f>
        <v/>
      </c>
      <c r="CC806" s="21" t="str">
        <f>IF([1]!BANCO10[[#This Row],[SOLUÇÃO]]=CC$1,[1]!BANCO10[[#This Row],[STATUS DA ETAPA]],"")</f>
        <v/>
      </c>
      <c r="CD806" s="21" t="str">
        <f>IF([1]!BANCO10[[#This Row],[SOLUÇÃO]]=CD$1,[1]!BANCO10[[#This Row],[STATUS DA ETAPA]],"")</f>
        <v/>
      </c>
      <c r="CE806" s="21" t="str">
        <f>IF([1]!BANCO10[[#This Row],[SOLUÇÃO]]=CE$1,[1]!BANCO10[[#This Row],[STATUS DA ETAPA]],"")</f>
        <v/>
      </c>
      <c r="CF806" s="21" t="str">
        <f>IF([1]!BANCO10[[#This Row],[SOLUÇÃO]]=CF$1,[1]!BANCO10[[#This Row],[STATUS DA ETAPA]],"")</f>
        <v/>
      </c>
      <c r="CG806" s="21" t="str">
        <f>IF([1]!BANCO10[[#This Row],[SOLUÇÃO]]=CG$1,[1]!BANCO10[[#This Row],[STATUS DA ETAPA]],"")</f>
        <v/>
      </c>
      <c r="CH806" s="21" t="str">
        <f>IF([1]!BANCO10[[#This Row],[SOLUÇÃO]]=CH$1,[1]!BANCO10[[#This Row],[STATUS DA ETAPA]],"")</f>
        <v/>
      </c>
      <c r="CI806" s="21" t="str">
        <f>IF([1]!BANCO10[[#This Row],[SOLUÇÃO]]=CI$1,[1]!BANCO10[[#This Row],[STATUS DA ETAPA]],"")</f>
        <v/>
      </c>
      <c r="CJ806" s="21" t="str">
        <f>IF([1]!BANCO10[[#This Row],[SOLUÇÃO]]=CJ$1,[1]!BANCO10[[#This Row],[STATUS DA ETAPA]],"")</f>
        <v/>
      </c>
      <c r="CK806" s="21" t="str">
        <f>IF([1]!BANCO10[[#This Row],[SOLUÇÃO]]=CK$1,[1]!BANCO10[[#This Row],[STATUS DA ETAPA]],"")</f>
        <v/>
      </c>
      <c r="CL806" s="22" t="str">
        <f>IF([1]!BANCO10[[#This Row],[SOLUÇÃO]]=CL$1,[1]!BANCO10[[#This Row],[STATUS DA ETAPA]],"")</f>
        <v/>
      </c>
      <c r="CM806" s="64" t="str">
        <f>IF([1]!BANCO10[[#This Row],[SOLUÇÃO]]=CM$1,[1]!BANCO10[[#This Row],[STATUS DA ETAPA]],"")</f>
        <v/>
      </c>
      <c r="CN806" s="64" t="str">
        <f>IF([1]!BANCO10[[#This Row],[SOLUÇÃO]]=CN$1,[1]!BANCO10[[#This Row],[STATUS DA ETAPA]],"")</f>
        <v/>
      </c>
      <c r="CO806" s="64" t="str">
        <f>IF([1]!BANCO10[[#This Row],[SOLUÇÃO]]=CO$1,[1]!BANCO10[[#This Row],[STATUS DA ETAPA]],"")</f>
        <v/>
      </c>
      <c r="CP806" s="64" t="str">
        <f>IF([1]!BANCO10[[#This Row],[SOLUÇÃO]]=CP$1,[1]!BANCO10[[#This Row],[STATUS DA ETAPA]],"")</f>
        <v/>
      </c>
      <c r="CQ806" s="64" t="str">
        <f>IF([1]!BANCO10[[#This Row],[SOLUÇÃO]]=CQ$1,[1]!BANCO10[[#This Row],[STATUS DA ETAPA]],"")</f>
        <v/>
      </c>
      <c r="CR806" s="64" t="str">
        <f>IF([1]!BANCO10[[#This Row],[SOLUÇÃO]]=CR$1,[1]!BANCO10[[#This Row],[STATUS DA ETAPA]],"")</f>
        <v/>
      </c>
      <c r="CS806" s="64" t="str">
        <f>IF([1]!BANCO10[[#This Row],[SOLUÇÃO]]=CS$1,[1]!BANCO10[[#This Row],[STATUS DA ETAPA]],"")</f>
        <v/>
      </c>
      <c r="CT806" s="64" t="str">
        <f>IF([1]!BANCO10[[#This Row],[SOLUÇÃO]]=CT$1,[1]!BANCO10[[#This Row],[STATUS DA ETAPA]],"")</f>
        <v/>
      </c>
      <c r="CU806" s="64" t="str">
        <f>IF([1]!BANCO10[[#This Row],[SOLUÇÃO]]=CU$1,[1]!BANCO10[[#This Row],[STATUS DA ETAPA]],"")</f>
        <v/>
      </c>
      <c r="CV806" s="64" t="str">
        <f>IF([1]!BANCO10[[#This Row],[SOLUÇÃO]]=CV$1,[1]!BANCO10[[#This Row],[STATUS DA ETAPA]],"")</f>
        <v/>
      </c>
    </row>
    <row r="807" spans="1:100">
      <c r="A807" s="44" t="s">
        <v>1</v>
      </c>
      <c r="B807" s="44"/>
      <c r="C807" s="44" t="s">
        <v>1</v>
      </c>
      <c r="D807" s="44"/>
      <c r="E807" s="44" t="s">
        <v>1</v>
      </c>
      <c r="F807" s="44"/>
      <c r="G807" s="44" t="s">
        <v>1</v>
      </c>
      <c r="H807" s="44"/>
      <c r="I807" s="45" t="s">
        <v>1</v>
      </c>
      <c r="J807" s="46"/>
      <c r="K807" s="45" t="s">
        <v>1</v>
      </c>
      <c r="L807" s="33"/>
      <c r="M807" s="45" t="s">
        <v>1</v>
      </c>
      <c r="N807" s="33"/>
      <c r="O807" s="44" t="s">
        <v>2</v>
      </c>
      <c r="P807" s="44">
        <v>44974</v>
      </c>
      <c r="Q807" s="44" t="s">
        <v>2</v>
      </c>
      <c r="R807" s="44">
        <v>44976</v>
      </c>
      <c r="S807" s="44" t="s">
        <v>2</v>
      </c>
      <c r="T807" s="44">
        <v>44993</v>
      </c>
      <c r="U807" s="44" t="s">
        <v>2</v>
      </c>
      <c r="V807" s="44">
        <v>44993</v>
      </c>
      <c r="W807" s="44" t="s">
        <v>2</v>
      </c>
      <c r="X807" s="44"/>
      <c r="Y807" s="44" t="s">
        <v>2</v>
      </c>
      <c r="Z807" s="44">
        <v>45002</v>
      </c>
      <c r="AA807" s="44" t="s">
        <v>2</v>
      </c>
      <c r="AB807" s="44"/>
      <c r="AC807" s="84">
        <v>45126</v>
      </c>
      <c r="AD807" s="83">
        <v>45210</v>
      </c>
      <c r="AE807" s="40" t="s">
        <v>2</v>
      </c>
      <c r="AF807" s="40" t="s">
        <v>2</v>
      </c>
      <c r="AG807" s="40" t="s">
        <v>5</v>
      </c>
      <c r="AH807" s="36" t="s">
        <v>0</v>
      </c>
      <c r="AI807" s="49">
        <v>0</v>
      </c>
      <c r="AJ807" s="36"/>
      <c r="AK807" s="10"/>
      <c r="AL807" s="36" t="s">
        <v>22</v>
      </c>
      <c r="AM807" s="36" t="s">
        <v>1</v>
      </c>
      <c r="AN807" s="35" t="s">
        <v>1</v>
      </c>
      <c r="AO807" s="35" t="s">
        <v>1</v>
      </c>
      <c r="AP807" s="35" t="s">
        <v>2</v>
      </c>
      <c r="AQ807" s="35" t="s">
        <v>1</v>
      </c>
      <c r="AR807" s="34" t="s">
        <v>1</v>
      </c>
      <c r="AS807" s="46"/>
      <c r="AT807" s="30"/>
      <c r="AU807" s="55"/>
      <c r="AV807" s="30"/>
      <c r="AW807" s="55"/>
      <c r="AX807" s="30" t="s">
        <v>2</v>
      </c>
      <c r="AY807" s="55">
        <v>45210</v>
      </c>
      <c r="AZ807" s="30" t="s">
        <v>2</v>
      </c>
      <c r="BA807" s="66"/>
      <c r="BB807" s="39"/>
      <c r="BC807" s="25"/>
      <c r="BD807" s="24" t="s">
        <v>11</v>
      </c>
      <c r="BE807" s="24" t="s">
        <v>11</v>
      </c>
      <c r="BF807" s="79" t="s">
        <v>21</v>
      </c>
      <c r="BG807" s="79" t="s">
        <v>64</v>
      </c>
      <c r="BH807" s="80" t="s">
        <v>63</v>
      </c>
      <c r="BI807" s="79"/>
      <c r="BJ807" s="54" t="s">
        <v>11</v>
      </c>
      <c r="BK807" s="78" t="s">
        <v>11</v>
      </c>
      <c r="BL807" s="69">
        <v>45393</v>
      </c>
      <c r="BM807" s="78" t="s">
        <v>18</v>
      </c>
      <c r="BN807" s="78" t="s">
        <v>19</v>
      </c>
      <c r="BO807" s="78"/>
      <c r="BP807" s="78" t="s">
        <v>17</v>
      </c>
      <c r="BQ807" s="21">
        <f>YEAR([1]!BANCO10[[#This Row],[DATA INÍCIO]])</f>
        <v>2023</v>
      </c>
      <c r="BR807" s="21">
        <f>MONTH([1]!BANCO10[[#This Row],[DATA INÍCIO]])</f>
        <v>7</v>
      </c>
      <c r="BS807" s="21" t="e">
        <f>CONCATENATE(#REF!,#REF!)</f>
        <v>#REF!</v>
      </c>
      <c r="BT807" s="21"/>
      <c r="BU807" s="21" t="s">
        <v>62</v>
      </c>
      <c r="BV807" s="21" t="str">
        <f>IF([1]!BANCO10[[#This Row],[SOLUÇÃO]]=BV$1,[1]!BANCO10[[#This Row],[STATUS DA ETAPA]],"")</f>
        <v/>
      </c>
      <c r="BW807" s="21" t="str">
        <f>IF([1]!BANCO10[[#This Row],[SOLUÇÃO]]=BW$1,[1]!BANCO10[[#This Row],[STATUS DA ETAPA]],"")</f>
        <v/>
      </c>
      <c r="BX807" s="21" t="str">
        <f>IF([1]!BANCO10[[#This Row],[SOLUÇÃO]]=BX$1,[1]!BANCO10[[#This Row],[STATUS DA ETAPA]],"")</f>
        <v/>
      </c>
      <c r="BY807" s="21" t="str">
        <f>IF([1]!BANCO10[[#This Row],[SOLUÇÃO]]=BY$1,[1]!BANCO10[[#This Row],[STATUS DA ETAPA]],"")</f>
        <v/>
      </c>
      <c r="BZ807" s="21" t="str">
        <f>IF([1]!BANCO10[[#This Row],[SOLUÇÃO]]=BZ$1,[1]!BANCO10[[#This Row],[STATUS DA ETAPA]],"")</f>
        <v/>
      </c>
      <c r="CA807" s="21" t="str">
        <f>IF([1]!BANCO10[[#This Row],[SOLUÇÃO]]=CA$1,[1]!BANCO10[[#This Row],[STATUS DA ETAPA]],"")</f>
        <v>CONCLUÍDO</v>
      </c>
      <c r="CB807" s="21" t="str">
        <f>IF([1]!BANCO10[[#This Row],[SOLUÇÃO]]=CB$1,[1]!BANCO10[[#This Row],[STATUS DA ETAPA]],"")</f>
        <v/>
      </c>
      <c r="CC807" s="21" t="str">
        <f>IF([1]!BANCO10[[#This Row],[SOLUÇÃO]]=CC$1,[1]!BANCO10[[#This Row],[STATUS DA ETAPA]],"")</f>
        <v/>
      </c>
      <c r="CD807" s="21" t="str">
        <f>IF([1]!BANCO10[[#This Row],[SOLUÇÃO]]=CD$1,[1]!BANCO10[[#This Row],[STATUS DA ETAPA]],"")</f>
        <v/>
      </c>
      <c r="CE807" s="21" t="str">
        <f>IF([1]!BANCO10[[#This Row],[SOLUÇÃO]]=CE$1,[1]!BANCO10[[#This Row],[STATUS DA ETAPA]],"")</f>
        <v/>
      </c>
      <c r="CF807" s="21" t="str">
        <f>IF([1]!BANCO10[[#This Row],[SOLUÇÃO]]=CF$1,[1]!BANCO10[[#This Row],[STATUS DA ETAPA]],"")</f>
        <v/>
      </c>
      <c r="CG807" s="21" t="str">
        <f>IF([1]!BANCO10[[#This Row],[SOLUÇÃO]]=CG$1,[1]!BANCO10[[#This Row],[STATUS DA ETAPA]],"")</f>
        <v/>
      </c>
      <c r="CH807" s="21" t="str">
        <f>IF([1]!BANCO10[[#This Row],[SOLUÇÃO]]=CH$1,[1]!BANCO10[[#This Row],[STATUS DA ETAPA]],"")</f>
        <v/>
      </c>
      <c r="CI807" s="21" t="str">
        <f>IF([1]!BANCO10[[#This Row],[SOLUÇÃO]]=CI$1,[1]!BANCO10[[#This Row],[STATUS DA ETAPA]],"")</f>
        <v/>
      </c>
      <c r="CJ807" s="21" t="str">
        <f>IF([1]!BANCO10[[#This Row],[SOLUÇÃO]]=CJ$1,[1]!BANCO10[[#This Row],[STATUS DA ETAPA]],"")</f>
        <v/>
      </c>
      <c r="CK807" s="21" t="str">
        <f>IF([1]!BANCO10[[#This Row],[SOLUÇÃO]]=CK$1,[1]!BANCO10[[#This Row],[STATUS DA ETAPA]],"")</f>
        <v/>
      </c>
      <c r="CL807" s="22" t="str">
        <f>IF([1]!BANCO10[[#This Row],[SOLUÇÃO]]=CL$1,[1]!BANCO10[[#This Row],[STATUS DA ETAPA]],"")</f>
        <v/>
      </c>
      <c r="CM807" s="64" t="str">
        <f>IF([1]!BANCO10[[#This Row],[SOLUÇÃO]]=CM$1,[1]!BANCO10[[#This Row],[STATUS DA ETAPA]],"")</f>
        <v/>
      </c>
      <c r="CN807" s="64" t="str">
        <f>IF([1]!BANCO10[[#This Row],[SOLUÇÃO]]=CN$1,[1]!BANCO10[[#This Row],[STATUS DA ETAPA]],"")</f>
        <v/>
      </c>
      <c r="CO807" s="64" t="str">
        <f>IF([1]!BANCO10[[#This Row],[SOLUÇÃO]]=CO$1,[1]!BANCO10[[#This Row],[STATUS DA ETAPA]],"")</f>
        <v/>
      </c>
      <c r="CP807" s="64" t="str">
        <f>IF([1]!BANCO10[[#This Row],[SOLUÇÃO]]=CP$1,[1]!BANCO10[[#This Row],[STATUS DA ETAPA]],"")</f>
        <v/>
      </c>
      <c r="CQ807" s="64" t="str">
        <f>IF([1]!BANCO10[[#This Row],[SOLUÇÃO]]=CQ$1,[1]!BANCO10[[#This Row],[STATUS DA ETAPA]],"")</f>
        <v/>
      </c>
      <c r="CR807" s="64" t="str">
        <f>IF([1]!BANCO10[[#This Row],[SOLUÇÃO]]=CR$1,[1]!BANCO10[[#This Row],[STATUS DA ETAPA]],"")</f>
        <v/>
      </c>
      <c r="CS807" s="64" t="str">
        <f>IF([1]!BANCO10[[#This Row],[SOLUÇÃO]]=CS$1,[1]!BANCO10[[#This Row],[STATUS DA ETAPA]],"")</f>
        <v/>
      </c>
      <c r="CT807" s="64" t="str">
        <f>IF([1]!BANCO10[[#This Row],[SOLUÇÃO]]=CT$1,[1]!BANCO10[[#This Row],[STATUS DA ETAPA]],"")</f>
        <v/>
      </c>
      <c r="CU807" s="64" t="str">
        <f>IF([1]!BANCO10[[#This Row],[SOLUÇÃO]]=CU$1,[1]!BANCO10[[#This Row],[STATUS DA ETAPA]],"")</f>
        <v/>
      </c>
      <c r="CV807" s="64" t="str">
        <f>IF([1]!BANCO10[[#This Row],[SOLUÇÃO]]=CV$1,[1]!BANCO10[[#This Row],[STATUS DA ETAPA]],"")</f>
        <v/>
      </c>
    </row>
    <row r="808" spans="1:100">
      <c r="A808" s="44" t="s">
        <v>0</v>
      </c>
      <c r="B808" s="44"/>
      <c r="C808" s="44" t="s">
        <v>0</v>
      </c>
      <c r="D808" s="44"/>
      <c r="E808" s="44" t="s">
        <v>0</v>
      </c>
      <c r="F808" s="44"/>
      <c r="G808" s="44" t="s">
        <v>0</v>
      </c>
      <c r="H808" s="44"/>
      <c r="I808" s="45" t="s">
        <v>0</v>
      </c>
      <c r="J808" s="46"/>
      <c r="K808" s="45" t="s">
        <v>0</v>
      </c>
      <c r="L808" s="33"/>
      <c r="M808" s="45" t="s">
        <v>0</v>
      </c>
      <c r="N808" s="33"/>
      <c r="O808" s="44" t="s">
        <v>0</v>
      </c>
      <c r="P808" s="44"/>
      <c r="Q808" s="44" t="s">
        <v>2</v>
      </c>
      <c r="R808" s="44">
        <v>45918</v>
      </c>
      <c r="S808" s="44" t="s">
        <v>0</v>
      </c>
      <c r="T808" s="44"/>
      <c r="U808" s="44" t="s">
        <v>1</v>
      </c>
      <c r="V808" s="44"/>
      <c r="W808" s="44" t="s">
        <v>1</v>
      </c>
      <c r="X808" s="44"/>
      <c r="Y808" s="44" t="s">
        <v>1</v>
      </c>
      <c r="Z808" s="44"/>
      <c r="AA808" s="44" t="s">
        <v>1</v>
      </c>
      <c r="AB808" s="44"/>
      <c r="AC808" s="51">
        <v>46022</v>
      </c>
      <c r="AD808" s="50">
        <v>46022</v>
      </c>
      <c r="AE808" s="41" t="s">
        <v>0</v>
      </c>
      <c r="AF808" s="41" t="s">
        <v>0</v>
      </c>
      <c r="AG808" s="40" t="s">
        <v>5</v>
      </c>
      <c r="AH808" s="36" t="s">
        <v>0</v>
      </c>
      <c r="AI808" s="49">
        <v>14440</v>
      </c>
      <c r="AJ808" s="36"/>
      <c r="AK808" s="21" t="s">
        <v>1</v>
      </c>
      <c r="AL808" s="36" t="s">
        <v>1</v>
      </c>
      <c r="AM808" s="36" t="s">
        <v>1</v>
      </c>
      <c r="AN808" s="35" t="s">
        <v>0</v>
      </c>
      <c r="AO808" s="35" t="s">
        <v>0</v>
      </c>
      <c r="AP808" s="35" t="s">
        <v>0</v>
      </c>
      <c r="AQ808" s="35" t="s">
        <v>0</v>
      </c>
      <c r="AR808" s="33" t="s">
        <v>0</v>
      </c>
      <c r="AS808" s="33"/>
      <c r="AT808" s="32" t="s">
        <v>0</v>
      </c>
      <c r="AU808" s="31"/>
      <c r="AV808" s="32" t="s">
        <v>0</v>
      </c>
      <c r="AW808" s="31"/>
      <c r="AX808" s="32" t="s">
        <v>0</v>
      </c>
      <c r="AY808" s="31"/>
      <c r="AZ808" s="32" t="s">
        <v>0</v>
      </c>
      <c r="BA808" s="47"/>
      <c r="BB808" s="26"/>
      <c r="BC808" s="25"/>
      <c r="BD808" s="24"/>
      <c r="BE808" s="24"/>
      <c r="BF808" s="24"/>
      <c r="BG808" s="24"/>
      <c r="BH808" s="24"/>
      <c r="BI808" s="24"/>
      <c r="BJ808" s="24"/>
      <c r="BK808" s="24"/>
      <c r="BL808" s="24"/>
      <c r="BM808" s="24"/>
      <c r="BN808" s="24"/>
      <c r="BO808" s="24"/>
      <c r="BP808" s="24"/>
      <c r="BQ808" s="22">
        <f>YEAR([1]!BANCO10[[#This Row],[DATA INÍCIO]])</f>
        <v>2025</v>
      </c>
      <c r="BR808" s="22">
        <f>MONTH([1]!BANCO10[[#This Row],[DATA INÍCIO]])</f>
        <v>12</v>
      </c>
      <c r="BS808" s="23" t="e">
        <f>CONCATENATE(#REF!,#REF!)</f>
        <v>#REF!</v>
      </c>
      <c r="BT808" s="22"/>
      <c r="BU808" s="22"/>
      <c r="BV808" s="21" t="str">
        <f>IF([1]!BANCO10[[#This Row],[SOLUÇÃO]]=BV$1,[1]!BANCO10[[#This Row],[STATUS DA ETAPA]],"")</f>
        <v/>
      </c>
      <c r="BW808" s="21" t="str">
        <f>IF([1]!BANCO10[[#This Row],[SOLUÇÃO]]=BW$1,[1]!BANCO10[[#This Row],[STATUS DA ETAPA]],"")</f>
        <v/>
      </c>
      <c r="BX808" s="21" t="str">
        <f>IF([1]!BANCO10[[#This Row],[SOLUÇÃO]]=BX$1,[1]!BANCO10[[#This Row],[STATUS DA ETAPA]],"")</f>
        <v/>
      </c>
      <c r="BY808" s="21" t="str">
        <f>IF([1]!BANCO10[[#This Row],[SOLUÇÃO]]=BY$1,[1]!BANCO10[[#This Row],[STATUS DA ETAPA]],"")</f>
        <v/>
      </c>
      <c r="BZ808" s="21" t="str">
        <f>IF([1]!BANCO10[[#This Row],[SOLUÇÃO]]=BZ$1,[1]!BANCO10[[#This Row],[STATUS DA ETAPA]],"")</f>
        <v/>
      </c>
      <c r="CA808" s="21" t="str">
        <f>IF([1]!BANCO10[[#This Row],[SOLUÇÃO]]=CA$1,[1]!BANCO10[[#This Row],[STATUS DA ETAPA]],"")</f>
        <v/>
      </c>
      <c r="CB808" s="21" t="str">
        <f>IF([1]!BANCO10[[#This Row],[SOLUÇÃO]]=CB$1,[1]!BANCO10[[#This Row],[STATUS DA ETAPA]],"")</f>
        <v/>
      </c>
      <c r="CC808" s="21" t="str">
        <f>IF([1]!BANCO10[[#This Row],[SOLUÇÃO]]=CC$1,[1]!BANCO10[[#This Row],[STATUS DA ETAPA]],"")</f>
        <v/>
      </c>
      <c r="CD808" s="21" t="str">
        <f>IF([1]!BANCO10[[#This Row],[SOLUÇÃO]]=CD$1,[1]!BANCO10[[#This Row],[STATUS DA ETAPA]],"")</f>
        <v/>
      </c>
      <c r="CE808" s="21" t="str">
        <f>IF([1]!BANCO10[[#This Row],[SOLUÇÃO]]=CE$1,[1]!BANCO10[[#This Row],[STATUS DA ETAPA]],"")</f>
        <v/>
      </c>
      <c r="CF808" s="21" t="str">
        <f>IF([1]!BANCO10[[#This Row],[SOLUÇÃO]]=CF$1,[1]!BANCO10[[#This Row],[STATUS DA ETAPA]],"")</f>
        <v/>
      </c>
      <c r="CG808" s="21" t="str">
        <f>IF([1]!BANCO10[[#This Row],[SOLUÇÃO]]=CG$1,[1]!BANCO10[[#This Row],[STATUS DA ETAPA]],"")</f>
        <v/>
      </c>
      <c r="CH808" s="21" t="str">
        <f>IF([1]!BANCO10[[#This Row],[SOLUÇÃO]]=CH$1,[1]!BANCO10[[#This Row],[STATUS DA ETAPA]],"")</f>
        <v/>
      </c>
      <c r="CI808" s="21" t="str">
        <f>IF([1]!BANCO10[[#This Row],[SOLUÇÃO]]=CI$1,[1]!BANCO10[[#This Row],[STATUS DA ETAPA]],"")</f>
        <v/>
      </c>
      <c r="CJ808" s="21" t="str">
        <f>IF([1]!BANCO10[[#This Row],[SOLUÇÃO]]=CJ$1,[1]!BANCO10[[#This Row],[STATUS DA ETAPA]],"")</f>
        <v/>
      </c>
      <c r="CK808" s="21" t="str">
        <f>IF([1]!BANCO10[[#This Row],[SOLUÇÃO]]=CK$1,[1]!BANCO10[[#This Row],[STATUS DA ETAPA]],"")</f>
        <v/>
      </c>
      <c r="CL808" s="21" t="str">
        <f>IF([1]!BANCO10[[#This Row],[SOLUÇÃO]]=CL$1,[1]!BANCO10[[#This Row],[STATUS DA ETAPA]],"")</f>
        <v/>
      </c>
      <c r="CM808" s="21" t="str">
        <f>IF([1]!BANCO10[[#This Row],[SOLUÇÃO]]=CM$1,[1]!BANCO10[[#This Row],[STATUS DA ETAPA]],"")</f>
        <v/>
      </c>
      <c r="CN808" s="21" t="str">
        <f>IF([1]!BANCO10[[#This Row],[SOLUÇÃO]]=CN$1,[1]!BANCO10[[#This Row],[STATUS DA ETAPA]],"")</f>
        <v/>
      </c>
      <c r="CO808" s="21" t="str">
        <f>IF([1]!BANCO10[[#This Row],[SOLUÇÃO]]=CO$1,[1]!BANCO10[[#This Row],[STATUS DA ETAPA]],"")</f>
        <v/>
      </c>
      <c r="CP808" s="21" t="str">
        <f>IF([1]!BANCO10[[#This Row],[SOLUÇÃO]]=CP$1,[1]!BANCO10[[#This Row],[STATUS DA ETAPA]],"")</f>
        <v/>
      </c>
      <c r="CQ808" s="21" t="str">
        <f>IF([1]!BANCO10[[#This Row],[SOLUÇÃO]]=CQ$1,[1]!BANCO10[[#This Row],[STATUS DA ETAPA]],"")</f>
        <v/>
      </c>
      <c r="CR808" s="21" t="str">
        <f>IF([1]!BANCO10[[#This Row],[SOLUÇÃO]]=CR$1,[1]!BANCO10[[#This Row],[STATUS DA ETAPA]],"")</f>
        <v/>
      </c>
      <c r="CS808" s="21" t="str">
        <f>IF([1]!BANCO10[[#This Row],[SOLUÇÃO]]=CS$1,[1]!BANCO10[[#This Row],[STATUS DA ETAPA]],"")</f>
        <v/>
      </c>
      <c r="CT808" s="21" t="str">
        <f>IF([1]!BANCO10[[#This Row],[SOLUÇÃO]]=CT$1,[1]!BANCO10[[#This Row],[STATUS DA ETAPA]],"")</f>
        <v/>
      </c>
      <c r="CU808" s="21" t="str">
        <f>IF([1]!BANCO10[[#This Row],[SOLUÇÃO]]=CU$1,[1]!BANCO10[[#This Row],[STATUS DA ETAPA]],"")</f>
        <v/>
      </c>
      <c r="CV808" s="21" t="str">
        <f>IF([1]!BANCO10[[#This Row],[SOLUÇÃO]]=CV$1,[1]!BANCO10[[#This Row],[STATUS DA ETAPA]],"")</f>
        <v/>
      </c>
    </row>
    <row r="809" spans="1:100">
      <c r="A809" s="44" t="s">
        <v>1</v>
      </c>
      <c r="B809" s="44"/>
      <c r="C809" s="44" t="s">
        <v>1</v>
      </c>
      <c r="D809" s="44"/>
      <c r="E809" s="44" t="s">
        <v>1</v>
      </c>
      <c r="F809" s="44"/>
      <c r="G809" s="44" t="s">
        <v>1</v>
      </c>
      <c r="H809" s="44"/>
      <c r="I809" s="45" t="s">
        <v>1</v>
      </c>
      <c r="J809" s="46"/>
      <c r="K809" s="45" t="s">
        <v>1</v>
      </c>
      <c r="L809" s="33"/>
      <c r="M809" s="45" t="s">
        <v>1</v>
      </c>
      <c r="N809" s="33"/>
      <c r="O809" s="44" t="s">
        <v>2</v>
      </c>
      <c r="P809" s="44">
        <v>44927</v>
      </c>
      <c r="Q809" s="44" t="s">
        <v>1</v>
      </c>
      <c r="R809" s="44"/>
      <c r="S809" s="44" t="s">
        <v>2</v>
      </c>
      <c r="T809" s="44">
        <v>45159</v>
      </c>
      <c r="U809" s="44" t="s">
        <v>2</v>
      </c>
      <c r="V809" s="44">
        <v>45158</v>
      </c>
      <c r="W809" s="44" t="s">
        <v>2</v>
      </c>
      <c r="X809" s="44">
        <v>45158</v>
      </c>
      <c r="Y809" s="44" t="s">
        <v>2</v>
      </c>
      <c r="Z809" s="44">
        <v>45158</v>
      </c>
      <c r="AA809" s="44" t="s">
        <v>2</v>
      </c>
      <c r="AB809" s="44"/>
      <c r="AC809" s="84">
        <v>45181</v>
      </c>
      <c r="AD809" s="83">
        <v>45253</v>
      </c>
      <c r="AE809" s="40" t="s">
        <v>2</v>
      </c>
      <c r="AF809" s="40" t="s">
        <v>2</v>
      </c>
      <c r="AG809" s="40" t="s">
        <v>5</v>
      </c>
      <c r="AH809" s="36" t="s">
        <v>0</v>
      </c>
      <c r="AI809" s="49">
        <v>0</v>
      </c>
      <c r="AJ809" s="36" t="s">
        <v>6</v>
      </c>
      <c r="AK809" s="10"/>
      <c r="AL809" s="36" t="s">
        <v>61</v>
      </c>
      <c r="AM809" s="36"/>
      <c r="AN809" s="35" t="s">
        <v>1</v>
      </c>
      <c r="AO809" s="35" t="s">
        <v>1</v>
      </c>
      <c r="AP809" s="35" t="s">
        <v>2</v>
      </c>
      <c r="AQ809" s="35" t="s">
        <v>1</v>
      </c>
      <c r="AR809" s="34" t="s">
        <v>1</v>
      </c>
      <c r="AS809" s="46"/>
      <c r="AT809" s="30"/>
      <c r="AU809" s="55"/>
      <c r="AV809" s="30"/>
      <c r="AW809" s="55"/>
      <c r="AX809" s="30" t="s">
        <v>2</v>
      </c>
      <c r="AY809" s="55">
        <v>45620</v>
      </c>
      <c r="AZ809" s="30" t="s">
        <v>2</v>
      </c>
      <c r="BA809" s="55">
        <v>45253</v>
      </c>
      <c r="BB809" s="39" t="s">
        <v>59</v>
      </c>
      <c r="BC809" s="25"/>
      <c r="BD809" s="24" t="s">
        <v>11</v>
      </c>
      <c r="BE809" s="24" t="s">
        <v>11</v>
      </c>
      <c r="BF809" s="79" t="s">
        <v>11</v>
      </c>
      <c r="BG809" s="79" t="s">
        <v>11</v>
      </c>
      <c r="BH809" s="80" t="s">
        <v>11</v>
      </c>
      <c r="BI809" s="79"/>
      <c r="BJ809" s="54" t="s">
        <v>11</v>
      </c>
      <c r="BK809" s="78" t="s">
        <v>11</v>
      </c>
      <c r="BL809" s="69" t="s">
        <v>11</v>
      </c>
      <c r="BM809" s="78" t="s">
        <v>11</v>
      </c>
      <c r="BN809" s="78" t="s">
        <v>11</v>
      </c>
      <c r="BO809" s="78" t="s">
        <v>11</v>
      </c>
      <c r="BP809" s="78" t="s">
        <v>11</v>
      </c>
      <c r="BQ809" s="21">
        <f>YEAR([1]!BANCO10[[#This Row],[DATA INÍCIO]])</f>
        <v>2023</v>
      </c>
      <c r="BR809" s="21">
        <f>MONTH([1]!BANCO10[[#This Row],[DATA INÍCIO]])</f>
        <v>9</v>
      </c>
      <c r="BS809" s="21" t="e">
        <f>CONCATENATE(#REF!,#REF!)</f>
        <v>#REF!</v>
      </c>
      <c r="BT809" s="21"/>
      <c r="BU809" s="21" t="s">
        <v>60</v>
      </c>
      <c r="BV809" s="21" t="str">
        <f>IF([1]!BANCO10[[#This Row],[SOLUÇÃO]]=BV$1,[1]!BANCO10[[#This Row],[STATUS DA ETAPA]],"")</f>
        <v/>
      </c>
      <c r="BW809" s="21" t="str">
        <f>IF([1]!BANCO10[[#This Row],[SOLUÇÃO]]=BW$1,[1]!BANCO10[[#This Row],[STATUS DA ETAPA]],"")</f>
        <v/>
      </c>
      <c r="BX809" s="21" t="str">
        <f>IF([1]!BANCO10[[#This Row],[SOLUÇÃO]]=BX$1,[1]!BANCO10[[#This Row],[STATUS DA ETAPA]],"")</f>
        <v/>
      </c>
      <c r="BY809" s="21" t="str">
        <f>IF([1]!BANCO10[[#This Row],[SOLUÇÃO]]=BY$1,[1]!BANCO10[[#This Row],[STATUS DA ETAPA]],"")</f>
        <v/>
      </c>
      <c r="BZ809" s="21" t="str">
        <f>IF([1]!BANCO10[[#This Row],[SOLUÇÃO]]=BZ$1,[1]!BANCO10[[#This Row],[STATUS DA ETAPA]],"")</f>
        <v/>
      </c>
      <c r="CA809" s="21" t="str">
        <f>IF([1]!BANCO10[[#This Row],[SOLUÇÃO]]=CA$1,[1]!BANCO10[[#This Row],[STATUS DA ETAPA]],"")</f>
        <v>CONCLUÍDO</v>
      </c>
      <c r="CB809" s="21" t="str">
        <f>IF([1]!BANCO10[[#This Row],[SOLUÇÃO]]=CB$1,[1]!BANCO10[[#This Row],[STATUS DA ETAPA]],"")</f>
        <v/>
      </c>
      <c r="CC809" s="21" t="str">
        <f>IF([1]!BANCO10[[#This Row],[SOLUÇÃO]]=CC$1,[1]!BANCO10[[#This Row],[STATUS DA ETAPA]],"")</f>
        <v/>
      </c>
      <c r="CD809" s="21" t="str">
        <f>IF([1]!BANCO10[[#This Row],[SOLUÇÃO]]=CD$1,[1]!BANCO10[[#This Row],[STATUS DA ETAPA]],"")</f>
        <v/>
      </c>
      <c r="CE809" s="21" t="str">
        <f>IF([1]!BANCO10[[#This Row],[SOLUÇÃO]]=CE$1,[1]!BANCO10[[#This Row],[STATUS DA ETAPA]],"")</f>
        <v/>
      </c>
      <c r="CF809" s="21" t="str">
        <f>IF([1]!BANCO10[[#This Row],[SOLUÇÃO]]=CF$1,[1]!BANCO10[[#This Row],[STATUS DA ETAPA]],"")</f>
        <v/>
      </c>
      <c r="CG809" s="21" t="str">
        <f>IF([1]!BANCO10[[#This Row],[SOLUÇÃO]]=CG$1,[1]!BANCO10[[#This Row],[STATUS DA ETAPA]],"")</f>
        <v/>
      </c>
      <c r="CH809" s="21" t="str">
        <f>IF([1]!BANCO10[[#This Row],[SOLUÇÃO]]=CH$1,[1]!BANCO10[[#This Row],[STATUS DA ETAPA]],"")</f>
        <v/>
      </c>
      <c r="CI809" s="21" t="str">
        <f>IF([1]!BANCO10[[#This Row],[SOLUÇÃO]]=CI$1,[1]!BANCO10[[#This Row],[STATUS DA ETAPA]],"")</f>
        <v/>
      </c>
      <c r="CJ809" s="21" t="str">
        <f>IF([1]!BANCO10[[#This Row],[SOLUÇÃO]]=CJ$1,[1]!BANCO10[[#This Row],[STATUS DA ETAPA]],"")</f>
        <v/>
      </c>
      <c r="CK809" s="21" t="str">
        <f>IF([1]!BANCO10[[#This Row],[SOLUÇÃO]]=CK$1,[1]!BANCO10[[#This Row],[STATUS DA ETAPA]],"")</f>
        <v/>
      </c>
      <c r="CL809" s="22" t="str">
        <f>IF([1]!BANCO10[[#This Row],[SOLUÇÃO]]=CL$1,[1]!BANCO10[[#This Row],[STATUS DA ETAPA]],"")</f>
        <v/>
      </c>
      <c r="CM809" s="64" t="str">
        <f>IF([1]!BANCO10[[#This Row],[SOLUÇÃO]]=CM$1,[1]!BANCO10[[#This Row],[STATUS DA ETAPA]],"")</f>
        <v/>
      </c>
      <c r="CN809" s="64" t="str">
        <f>IF([1]!BANCO10[[#This Row],[SOLUÇÃO]]=CN$1,[1]!BANCO10[[#This Row],[STATUS DA ETAPA]],"")</f>
        <v/>
      </c>
      <c r="CO809" s="64" t="str">
        <f>IF([1]!BANCO10[[#This Row],[SOLUÇÃO]]=CO$1,[1]!BANCO10[[#This Row],[STATUS DA ETAPA]],"")</f>
        <v/>
      </c>
      <c r="CP809" s="64" t="str">
        <f>IF([1]!BANCO10[[#This Row],[SOLUÇÃO]]=CP$1,[1]!BANCO10[[#This Row],[STATUS DA ETAPA]],"")</f>
        <v/>
      </c>
      <c r="CQ809" s="64" t="str">
        <f>IF([1]!BANCO10[[#This Row],[SOLUÇÃO]]=CQ$1,[1]!BANCO10[[#This Row],[STATUS DA ETAPA]],"")</f>
        <v/>
      </c>
      <c r="CR809" s="64" t="str">
        <f>IF([1]!BANCO10[[#This Row],[SOLUÇÃO]]=CR$1,[1]!BANCO10[[#This Row],[STATUS DA ETAPA]],"")</f>
        <v/>
      </c>
      <c r="CS809" s="64" t="str">
        <f>IF([1]!BANCO10[[#This Row],[SOLUÇÃO]]=CS$1,[1]!BANCO10[[#This Row],[STATUS DA ETAPA]],"")</f>
        <v/>
      </c>
      <c r="CT809" s="64" t="str">
        <f>IF([1]!BANCO10[[#This Row],[SOLUÇÃO]]=CT$1,[1]!BANCO10[[#This Row],[STATUS DA ETAPA]],"")</f>
        <v/>
      </c>
      <c r="CU809" s="64" t="str">
        <f>IF([1]!BANCO10[[#This Row],[SOLUÇÃO]]=CU$1,[1]!BANCO10[[#This Row],[STATUS DA ETAPA]],"")</f>
        <v/>
      </c>
      <c r="CV809" s="64" t="str">
        <f>IF([1]!BANCO10[[#This Row],[SOLUÇÃO]]=CV$1,[1]!BANCO10[[#This Row],[STATUS DA ETAPA]],"")</f>
        <v/>
      </c>
    </row>
    <row r="810" spans="1:100">
      <c r="A810" s="44" t="s">
        <v>1</v>
      </c>
      <c r="B810" s="44"/>
      <c r="C810" s="44" t="s">
        <v>1</v>
      </c>
      <c r="D810" s="44"/>
      <c r="E810" s="44" t="s">
        <v>1</v>
      </c>
      <c r="F810" s="44"/>
      <c r="G810" s="44" t="s">
        <v>1</v>
      </c>
      <c r="H810" s="44"/>
      <c r="I810" s="45" t="s">
        <v>1</v>
      </c>
      <c r="J810" s="46"/>
      <c r="K810" s="45" t="s">
        <v>1</v>
      </c>
      <c r="L810" s="33"/>
      <c r="M810" s="45" t="s">
        <v>1</v>
      </c>
      <c r="N810" s="33"/>
      <c r="O810" s="44" t="s">
        <v>1</v>
      </c>
      <c r="P810" s="44"/>
      <c r="Q810" s="44" t="s">
        <v>1</v>
      </c>
      <c r="R810" s="44"/>
      <c r="S810" s="44" t="s">
        <v>1</v>
      </c>
      <c r="T810" s="44"/>
      <c r="U810" s="44" t="s">
        <v>1</v>
      </c>
      <c r="V810" s="44"/>
      <c r="W810" s="44" t="s">
        <v>1</v>
      </c>
      <c r="X810" s="44"/>
      <c r="Y810" s="44" t="s">
        <v>1</v>
      </c>
      <c r="Z810" s="44"/>
      <c r="AA810" s="44" t="s">
        <v>1</v>
      </c>
      <c r="AB810" s="44"/>
      <c r="AC810" s="51">
        <v>45963</v>
      </c>
      <c r="AD810" s="50">
        <v>45963</v>
      </c>
      <c r="AE810" s="40" t="s">
        <v>1</v>
      </c>
      <c r="AF810" s="40" t="s">
        <v>1</v>
      </c>
      <c r="AG810" s="40" t="s">
        <v>1</v>
      </c>
      <c r="AH810" s="36" t="s">
        <v>1</v>
      </c>
      <c r="AI810" s="49">
        <v>0</v>
      </c>
      <c r="AJ810" s="36" t="s">
        <v>1</v>
      </c>
      <c r="AK810" s="10" t="s">
        <v>1</v>
      </c>
      <c r="AL810" s="36" t="s">
        <v>1</v>
      </c>
      <c r="AM810" s="36" t="s">
        <v>1</v>
      </c>
      <c r="AN810" s="35" t="s">
        <v>1</v>
      </c>
      <c r="AO810" s="35" t="s">
        <v>1</v>
      </c>
      <c r="AP810" s="35" t="s">
        <v>1</v>
      </c>
      <c r="AQ810" s="35" t="s">
        <v>1</v>
      </c>
      <c r="AR810" s="34" t="s">
        <v>1</v>
      </c>
      <c r="AS810" s="33"/>
      <c r="AT810" s="32"/>
      <c r="AU810" s="31"/>
      <c r="AV810" s="32"/>
      <c r="AW810" s="31"/>
      <c r="AX810" s="30" t="s">
        <v>1</v>
      </c>
      <c r="AY810" s="29"/>
      <c r="AZ810" s="28" t="s">
        <v>1</v>
      </c>
      <c r="BA810" s="27"/>
      <c r="BB810" s="39" t="s">
        <v>59</v>
      </c>
      <c r="BC810" s="25"/>
      <c r="BD810" s="24" t="s">
        <v>11</v>
      </c>
      <c r="BE810" s="24" t="s">
        <v>11</v>
      </c>
      <c r="BF810" s="79" t="s">
        <v>11</v>
      </c>
      <c r="BG810" s="79" t="s">
        <v>11</v>
      </c>
      <c r="BH810" s="80" t="s">
        <v>11</v>
      </c>
      <c r="BI810" s="79"/>
      <c r="BJ810" s="54" t="s">
        <v>11</v>
      </c>
      <c r="BK810" s="78" t="s">
        <v>11</v>
      </c>
      <c r="BL810" s="69" t="s">
        <v>11</v>
      </c>
      <c r="BM810" s="78" t="s">
        <v>11</v>
      </c>
      <c r="BN810" s="78" t="s">
        <v>11</v>
      </c>
      <c r="BO810" s="78" t="s">
        <v>11</v>
      </c>
      <c r="BP810" s="78" t="s">
        <v>11</v>
      </c>
      <c r="BQ810" s="21">
        <f>YEAR([1]!BANCO10[[#This Row],[DATA INÍCIO]])</f>
        <v>2025</v>
      </c>
      <c r="BR810" s="21">
        <f>MONTH([1]!BANCO10[[#This Row],[DATA INÍCIO]])</f>
        <v>11</v>
      </c>
      <c r="BS810" s="21" t="e">
        <f>CONCATENATE(#REF!,#REF!)</f>
        <v>#REF!</v>
      </c>
      <c r="BT810" s="21"/>
      <c r="BU810" s="21" t="s">
        <v>1</v>
      </c>
      <c r="BV810" s="21" t="str">
        <f>IF([1]!BANCO10[[#This Row],[SOLUÇÃO]]=BV$1,[1]!BANCO10[[#This Row],[STATUS DA ETAPA]],"")</f>
        <v>CANCELADO</v>
      </c>
      <c r="BW810" s="21" t="str">
        <f>IF([1]!BANCO10[[#This Row],[SOLUÇÃO]]=BW$1,[1]!BANCO10[[#This Row],[STATUS DA ETAPA]],"")</f>
        <v/>
      </c>
      <c r="BX810" s="21" t="str">
        <f>IF([1]!BANCO10[[#This Row],[SOLUÇÃO]]=BX$1,[1]!BANCO10[[#This Row],[STATUS DA ETAPA]],"")</f>
        <v/>
      </c>
      <c r="BY810" s="21" t="str">
        <f>IF([1]!BANCO10[[#This Row],[SOLUÇÃO]]=BY$1,[1]!BANCO10[[#This Row],[STATUS DA ETAPA]],"")</f>
        <v/>
      </c>
      <c r="BZ810" s="21" t="str">
        <f>IF([1]!BANCO10[[#This Row],[SOLUÇÃO]]=BZ$1,[1]!BANCO10[[#This Row],[STATUS DA ETAPA]],"")</f>
        <v/>
      </c>
      <c r="CA810" s="21" t="str">
        <f>IF([1]!BANCO10[[#This Row],[SOLUÇÃO]]=CA$1,[1]!BANCO10[[#This Row],[STATUS DA ETAPA]],"")</f>
        <v/>
      </c>
      <c r="CB810" s="21" t="str">
        <f>IF([1]!BANCO10[[#This Row],[SOLUÇÃO]]=CB$1,[1]!BANCO10[[#This Row],[STATUS DA ETAPA]],"")</f>
        <v/>
      </c>
      <c r="CC810" s="21" t="str">
        <f>IF([1]!BANCO10[[#This Row],[SOLUÇÃO]]=CC$1,[1]!BANCO10[[#This Row],[STATUS DA ETAPA]],"")</f>
        <v/>
      </c>
      <c r="CD810" s="21" t="str">
        <f>IF([1]!BANCO10[[#This Row],[SOLUÇÃO]]=CD$1,[1]!BANCO10[[#This Row],[STATUS DA ETAPA]],"")</f>
        <v/>
      </c>
      <c r="CE810" s="21" t="str">
        <f>IF([1]!BANCO10[[#This Row],[SOLUÇÃO]]=CE$1,[1]!BANCO10[[#This Row],[STATUS DA ETAPA]],"")</f>
        <v/>
      </c>
      <c r="CF810" s="21" t="str">
        <f>IF([1]!BANCO10[[#This Row],[SOLUÇÃO]]=CF$1,[1]!BANCO10[[#This Row],[STATUS DA ETAPA]],"")</f>
        <v/>
      </c>
      <c r="CG810" s="21" t="str">
        <f>IF([1]!BANCO10[[#This Row],[SOLUÇÃO]]=CG$1,[1]!BANCO10[[#This Row],[STATUS DA ETAPA]],"")</f>
        <v/>
      </c>
      <c r="CH810" s="21" t="str">
        <f>IF([1]!BANCO10[[#This Row],[SOLUÇÃO]]=CH$1,[1]!BANCO10[[#This Row],[STATUS DA ETAPA]],"")</f>
        <v/>
      </c>
      <c r="CI810" s="21" t="str">
        <f>IF([1]!BANCO10[[#This Row],[SOLUÇÃO]]=CI$1,[1]!BANCO10[[#This Row],[STATUS DA ETAPA]],"")</f>
        <v/>
      </c>
      <c r="CJ810" s="21" t="str">
        <f>IF([1]!BANCO10[[#This Row],[SOLUÇÃO]]=CJ$1,[1]!BANCO10[[#This Row],[STATUS DA ETAPA]],"")</f>
        <v/>
      </c>
      <c r="CK810" s="21" t="str">
        <f>IF([1]!BANCO10[[#This Row],[SOLUÇÃO]]=CK$1,[1]!BANCO10[[#This Row],[STATUS DA ETAPA]],"")</f>
        <v/>
      </c>
      <c r="CL810" s="22" t="str">
        <f>IF([1]!BANCO10[[#This Row],[SOLUÇÃO]]=CL$1,[1]!BANCO10[[#This Row],[STATUS DA ETAPA]],"")</f>
        <v/>
      </c>
      <c r="CM810" s="64" t="str">
        <f>IF([1]!BANCO10[[#This Row],[SOLUÇÃO]]=CM$1,[1]!BANCO10[[#This Row],[STATUS DA ETAPA]],"")</f>
        <v/>
      </c>
      <c r="CN810" s="64" t="str">
        <f>IF([1]!BANCO10[[#This Row],[SOLUÇÃO]]=CN$1,[1]!BANCO10[[#This Row],[STATUS DA ETAPA]],"")</f>
        <v/>
      </c>
      <c r="CO810" s="64" t="str">
        <f>IF([1]!BANCO10[[#This Row],[SOLUÇÃO]]=CO$1,[1]!BANCO10[[#This Row],[STATUS DA ETAPA]],"")</f>
        <v/>
      </c>
      <c r="CP810" s="64" t="str">
        <f>IF([1]!BANCO10[[#This Row],[SOLUÇÃO]]=CP$1,[1]!BANCO10[[#This Row],[STATUS DA ETAPA]],"")</f>
        <v/>
      </c>
      <c r="CQ810" s="64" t="str">
        <f>IF([1]!BANCO10[[#This Row],[SOLUÇÃO]]=CQ$1,[1]!BANCO10[[#This Row],[STATUS DA ETAPA]],"")</f>
        <v/>
      </c>
      <c r="CR810" s="64" t="str">
        <f>IF([1]!BANCO10[[#This Row],[SOLUÇÃO]]=CR$1,[1]!BANCO10[[#This Row],[STATUS DA ETAPA]],"")</f>
        <v/>
      </c>
      <c r="CS810" s="64" t="str">
        <f>IF([1]!BANCO10[[#This Row],[SOLUÇÃO]]=CS$1,[1]!BANCO10[[#This Row],[STATUS DA ETAPA]],"")</f>
        <v/>
      </c>
      <c r="CT810" s="64" t="str">
        <f>IF([1]!BANCO10[[#This Row],[SOLUÇÃO]]=CT$1,[1]!BANCO10[[#This Row],[STATUS DA ETAPA]],"")</f>
        <v/>
      </c>
      <c r="CU810" s="64" t="str">
        <f>IF([1]!BANCO10[[#This Row],[SOLUÇÃO]]=CU$1,[1]!BANCO10[[#This Row],[STATUS DA ETAPA]],"")</f>
        <v/>
      </c>
      <c r="CV810" s="64" t="str">
        <f>IF([1]!BANCO10[[#This Row],[SOLUÇÃO]]=CV$1,[1]!BANCO10[[#This Row],[STATUS DA ETAPA]],"")</f>
        <v/>
      </c>
    </row>
    <row r="811" spans="1:100">
      <c r="A811" s="44" t="s">
        <v>1</v>
      </c>
      <c r="B811" s="44"/>
      <c r="C811" s="44" t="s">
        <v>1</v>
      </c>
      <c r="D811" s="44"/>
      <c r="E811" s="44" t="s">
        <v>1</v>
      </c>
      <c r="F811" s="44"/>
      <c r="G811" s="44" t="s">
        <v>1</v>
      </c>
      <c r="H811" s="44"/>
      <c r="I811" s="45" t="s">
        <v>1</v>
      </c>
      <c r="J811" s="46"/>
      <c r="K811" s="45" t="s">
        <v>1</v>
      </c>
      <c r="L811" s="33"/>
      <c r="M811" s="45" t="s">
        <v>1</v>
      </c>
      <c r="N811" s="33"/>
      <c r="O811" s="44" t="s">
        <v>2</v>
      </c>
      <c r="P811" s="44">
        <v>44887</v>
      </c>
      <c r="Q811" s="44" t="s">
        <v>0</v>
      </c>
      <c r="R811" s="44"/>
      <c r="S811" s="44" t="s">
        <v>1</v>
      </c>
      <c r="T811" s="44"/>
      <c r="U811" s="44" t="s">
        <v>1</v>
      </c>
      <c r="V811" s="44"/>
      <c r="W811" s="44" t="s">
        <v>1</v>
      </c>
      <c r="X811" s="44"/>
      <c r="Y811" s="44" t="s">
        <v>1</v>
      </c>
      <c r="Z811" s="44"/>
      <c r="AA811" s="44" t="s">
        <v>1</v>
      </c>
      <c r="AB811" s="44"/>
      <c r="AC811" s="84">
        <v>44886</v>
      </c>
      <c r="AD811" s="83">
        <v>44886</v>
      </c>
      <c r="AE811" s="40" t="s">
        <v>1</v>
      </c>
      <c r="AF811" s="40" t="s">
        <v>1</v>
      </c>
      <c r="AG811" s="40" t="s">
        <v>5</v>
      </c>
      <c r="AH811" s="36" t="s">
        <v>1</v>
      </c>
      <c r="AI811" s="49">
        <v>0</v>
      </c>
      <c r="AJ811" s="36" t="s">
        <v>1</v>
      </c>
      <c r="AK811" s="10" t="s">
        <v>1</v>
      </c>
      <c r="AL811" s="36" t="s">
        <v>1</v>
      </c>
      <c r="AM811" s="36" t="s">
        <v>1</v>
      </c>
      <c r="AN811" s="35" t="s">
        <v>1</v>
      </c>
      <c r="AO811" s="35" t="s">
        <v>1</v>
      </c>
      <c r="AP811" s="35" t="s">
        <v>1</v>
      </c>
      <c r="AQ811" s="35" t="s">
        <v>1</v>
      </c>
      <c r="AR811" s="82" t="s">
        <v>1</v>
      </c>
      <c r="AS811" s="46"/>
      <c r="AT811" s="30"/>
      <c r="AU811" s="55"/>
      <c r="AV811" s="30"/>
      <c r="AW811" s="55"/>
      <c r="AX811" s="30" t="s">
        <v>1</v>
      </c>
      <c r="AY811" s="55"/>
      <c r="AZ811" s="30" t="s">
        <v>1</v>
      </c>
      <c r="BA811" s="66"/>
      <c r="BB811" s="39" t="s">
        <v>57</v>
      </c>
      <c r="BC811" s="25"/>
      <c r="BD811" s="24" t="s">
        <v>19</v>
      </c>
      <c r="BE811" s="24" t="s">
        <v>19</v>
      </c>
      <c r="BF811" s="79" t="s">
        <v>51</v>
      </c>
      <c r="BG811" s="79" t="s">
        <v>11</v>
      </c>
      <c r="BH811" s="80" t="s">
        <v>19</v>
      </c>
      <c r="BI811" s="79"/>
      <c r="BJ811" s="54" t="s">
        <v>11</v>
      </c>
      <c r="BK811" s="78" t="s">
        <v>11</v>
      </c>
      <c r="BL811" s="69" t="s">
        <v>11</v>
      </c>
      <c r="BM811" s="78" t="s">
        <v>11</v>
      </c>
      <c r="BN811" s="78" t="s">
        <v>11</v>
      </c>
      <c r="BO811" s="78" t="s">
        <v>11</v>
      </c>
      <c r="BP811" s="78" t="s">
        <v>11</v>
      </c>
      <c r="BQ811" s="21">
        <f>YEAR([1]!BANCO10[[#This Row],[DATA INÍCIO]])</f>
        <v>2022</v>
      </c>
      <c r="BR811" s="21">
        <f>MONTH([1]!BANCO10[[#This Row],[DATA INÍCIO]])</f>
        <v>11</v>
      </c>
      <c r="BS811" s="21" t="e">
        <f>CONCATENATE(#REF!,#REF!)</f>
        <v>#REF!</v>
      </c>
      <c r="BT811" s="21"/>
      <c r="BU811" s="21" t="s">
        <v>58</v>
      </c>
      <c r="BV811" s="21" t="str">
        <f>IF([1]!BANCO10[[#This Row],[SOLUÇÃO]]=BV$1,[1]!BANCO10[[#This Row],[STATUS DA ETAPA]],"")</f>
        <v>CONCLUÍDO</v>
      </c>
      <c r="BW811" s="21" t="str">
        <f>IF([1]!BANCO10[[#This Row],[SOLUÇÃO]]=BW$1,[1]!BANCO10[[#This Row],[STATUS DA ETAPA]],"")</f>
        <v/>
      </c>
      <c r="BX811" s="21" t="str">
        <f>IF([1]!BANCO10[[#This Row],[SOLUÇÃO]]=BX$1,[1]!BANCO10[[#This Row],[STATUS DA ETAPA]],"")</f>
        <v/>
      </c>
      <c r="BY811" s="21" t="str">
        <f>IF([1]!BANCO10[[#This Row],[SOLUÇÃO]]=BY$1,[1]!BANCO10[[#This Row],[STATUS DA ETAPA]],"")</f>
        <v/>
      </c>
      <c r="BZ811" s="21" t="str">
        <f>IF([1]!BANCO10[[#This Row],[SOLUÇÃO]]=BZ$1,[1]!BANCO10[[#This Row],[STATUS DA ETAPA]],"")</f>
        <v/>
      </c>
      <c r="CA811" s="21" t="str">
        <f>IF([1]!BANCO10[[#This Row],[SOLUÇÃO]]=CA$1,[1]!BANCO10[[#This Row],[STATUS DA ETAPA]],"")</f>
        <v/>
      </c>
      <c r="CB811" s="21" t="str">
        <f>IF([1]!BANCO10[[#This Row],[SOLUÇÃO]]=CB$1,[1]!BANCO10[[#This Row],[STATUS DA ETAPA]],"")</f>
        <v/>
      </c>
      <c r="CC811" s="21" t="str">
        <f>IF([1]!BANCO10[[#This Row],[SOLUÇÃO]]=CC$1,[1]!BANCO10[[#This Row],[STATUS DA ETAPA]],"")</f>
        <v/>
      </c>
      <c r="CD811" s="21" t="str">
        <f>IF([1]!BANCO10[[#This Row],[SOLUÇÃO]]=CD$1,[1]!BANCO10[[#This Row],[STATUS DA ETAPA]],"")</f>
        <v/>
      </c>
      <c r="CE811" s="21" t="str">
        <f>IF([1]!BANCO10[[#This Row],[SOLUÇÃO]]=CE$1,[1]!BANCO10[[#This Row],[STATUS DA ETAPA]],"")</f>
        <v/>
      </c>
      <c r="CF811" s="21" t="str">
        <f>IF([1]!BANCO10[[#This Row],[SOLUÇÃO]]=CF$1,[1]!BANCO10[[#This Row],[STATUS DA ETAPA]],"")</f>
        <v/>
      </c>
      <c r="CG811" s="21" t="str">
        <f>IF([1]!BANCO10[[#This Row],[SOLUÇÃO]]=CG$1,[1]!BANCO10[[#This Row],[STATUS DA ETAPA]],"")</f>
        <v/>
      </c>
      <c r="CH811" s="21" t="str">
        <f>IF([1]!BANCO10[[#This Row],[SOLUÇÃO]]=CH$1,[1]!BANCO10[[#This Row],[STATUS DA ETAPA]],"")</f>
        <v/>
      </c>
      <c r="CI811" s="21" t="str">
        <f>IF([1]!BANCO10[[#This Row],[SOLUÇÃO]]=CI$1,[1]!BANCO10[[#This Row],[STATUS DA ETAPA]],"")</f>
        <v/>
      </c>
      <c r="CJ811" s="21" t="str">
        <f>IF([1]!BANCO10[[#This Row],[SOLUÇÃO]]=CJ$1,[1]!BANCO10[[#This Row],[STATUS DA ETAPA]],"")</f>
        <v/>
      </c>
      <c r="CK811" s="21" t="str">
        <f>IF([1]!BANCO10[[#This Row],[SOLUÇÃO]]=CK$1,[1]!BANCO10[[#This Row],[STATUS DA ETAPA]],"")</f>
        <v/>
      </c>
      <c r="CL811" s="22" t="str">
        <f>IF([1]!BANCO10[[#This Row],[SOLUÇÃO]]=CL$1,[1]!BANCO10[[#This Row],[STATUS DA ETAPA]],"")</f>
        <v/>
      </c>
      <c r="CM811" s="64" t="str">
        <f>IF([1]!BANCO10[[#This Row],[SOLUÇÃO]]=CM$1,[1]!BANCO10[[#This Row],[STATUS DA ETAPA]],"")</f>
        <v/>
      </c>
      <c r="CN811" s="64" t="str">
        <f>IF([1]!BANCO10[[#This Row],[SOLUÇÃO]]=CN$1,[1]!BANCO10[[#This Row],[STATUS DA ETAPA]],"")</f>
        <v/>
      </c>
      <c r="CO811" s="64" t="str">
        <f>IF([1]!BANCO10[[#This Row],[SOLUÇÃO]]=CO$1,[1]!BANCO10[[#This Row],[STATUS DA ETAPA]],"")</f>
        <v/>
      </c>
      <c r="CP811" s="64" t="str">
        <f>IF([1]!BANCO10[[#This Row],[SOLUÇÃO]]=CP$1,[1]!BANCO10[[#This Row],[STATUS DA ETAPA]],"")</f>
        <v/>
      </c>
      <c r="CQ811" s="64" t="str">
        <f>IF([1]!BANCO10[[#This Row],[SOLUÇÃO]]=CQ$1,[1]!BANCO10[[#This Row],[STATUS DA ETAPA]],"")</f>
        <v/>
      </c>
      <c r="CR811" s="64" t="str">
        <f>IF([1]!BANCO10[[#This Row],[SOLUÇÃO]]=CR$1,[1]!BANCO10[[#This Row],[STATUS DA ETAPA]],"")</f>
        <v/>
      </c>
      <c r="CS811" s="64" t="str">
        <f>IF([1]!BANCO10[[#This Row],[SOLUÇÃO]]=CS$1,[1]!BANCO10[[#This Row],[STATUS DA ETAPA]],"")</f>
        <v/>
      </c>
      <c r="CT811" s="64" t="str">
        <f>IF([1]!BANCO10[[#This Row],[SOLUÇÃO]]=CT$1,[1]!BANCO10[[#This Row],[STATUS DA ETAPA]],"")</f>
        <v/>
      </c>
      <c r="CU811" s="64" t="str">
        <f>IF([1]!BANCO10[[#This Row],[SOLUÇÃO]]=CU$1,[1]!BANCO10[[#This Row],[STATUS DA ETAPA]],"")</f>
        <v/>
      </c>
      <c r="CV811" s="64" t="str">
        <f>IF([1]!BANCO10[[#This Row],[SOLUÇÃO]]=CV$1,[1]!BANCO10[[#This Row],[STATUS DA ETAPA]],"")</f>
        <v/>
      </c>
    </row>
    <row r="812" spans="1:100">
      <c r="A812" s="44" t="s">
        <v>1</v>
      </c>
      <c r="B812" s="44"/>
      <c r="C812" s="44" t="s">
        <v>1</v>
      </c>
      <c r="D812" s="44"/>
      <c r="E812" s="44" t="s">
        <v>1</v>
      </c>
      <c r="F812" s="44"/>
      <c r="G812" s="44" t="s">
        <v>1</v>
      </c>
      <c r="H812" s="44"/>
      <c r="I812" s="45" t="s">
        <v>1</v>
      </c>
      <c r="J812" s="46"/>
      <c r="K812" s="45" t="s">
        <v>1</v>
      </c>
      <c r="L812" s="33"/>
      <c r="M812" s="45" t="s">
        <v>1</v>
      </c>
      <c r="N812" s="33"/>
      <c r="O812" s="44" t="s">
        <v>2</v>
      </c>
      <c r="P812" s="44">
        <v>44887</v>
      </c>
      <c r="Q812" s="44" t="s">
        <v>2</v>
      </c>
      <c r="R812" s="44">
        <v>45204</v>
      </c>
      <c r="S812" s="44" t="s">
        <v>2</v>
      </c>
      <c r="T812" s="44"/>
      <c r="U812" s="44" t="s">
        <v>2</v>
      </c>
      <c r="V812" s="44"/>
      <c r="W812" s="44"/>
      <c r="X812" s="44"/>
      <c r="Y812" s="44"/>
      <c r="Z812" s="44"/>
      <c r="AA812" s="44" t="s">
        <v>1</v>
      </c>
      <c r="AB812" s="44"/>
      <c r="AC812" s="51">
        <v>45963</v>
      </c>
      <c r="AD812" s="50">
        <v>45963</v>
      </c>
      <c r="AE812" s="41" t="s">
        <v>1</v>
      </c>
      <c r="AF812" s="41" t="s">
        <v>1</v>
      </c>
      <c r="AG812" s="40" t="s">
        <v>5</v>
      </c>
      <c r="AH812" s="36" t="s">
        <v>0</v>
      </c>
      <c r="AI812" s="49">
        <v>0</v>
      </c>
      <c r="AJ812" s="36"/>
      <c r="AK812" s="10" t="s">
        <v>30</v>
      </c>
      <c r="AL812" s="36" t="s">
        <v>30</v>
      </c>
      <c r="AM812" s="36" t="s">
        <v>30</v>
      </c>
      <c r="AN812" s="35" t="s">
        <v>1</v>
      </c>
      <c r="AO812" s="35" t="s">
        <v>1</v>
      </c>
      <c r="AP812" s="35"/>
      <c r="AQ812" s="35" t="s">
        <v>1</v>
      </c>
      <c r="AR812" s="34" t="s">
        <v>1</v>
      </c>
      <c r="AS812" s="33"/>
      <c r="AT812" s="32"/>
      <c r="AU812" s="31"/>
      <c r="AV812" s="32"/>
      <c r="AW812" s="31"/>
      <c r="AX812" s="30" t="s">
        <v>0</v>
      </c>
      <c r="AY812" s="29"/>
      <c r="AZ812" s="28" t="s">
        <v>0</v>
      </c>
      <c r="BA812" s="27"/>
      <c r="BB812" s="39" t="s">
        <v>57</v>
      </c>
      <c r="BC812" s="25"/>
      <c r="BD812" s="24" t="s">
        <v>19</v>
      </c>
      <c r="BE812" s="24" t="s">
        <v>19</v>
      </c>
      <c r="BF812" s="79" t="s">
        <v>51</v>
      </c>
      <c r="BG812" s="79" t="s">
        <v>11</v>
      </c>
      <c r="BH812" s="80" t="s">
        <v>19</v>
      </c>
      <c r="BI812" s="79"/>
      <c r="BJ812" s="54" t="s">
        <v>11</v>
      </c>
      <c r="BK812" s="78" t="s">
        <v>11</v>
      </c>
      <c r="BL812" s="69">
        <v>45412</v>
      </c>
      <c r="BM812" s="78" t="s">
        <v>18</v>
      </c>
      <c r="BN812" s="78" t="s">
        <v>11</v>
      </c>
      <c r="BO812" s="78"/>
      <c r="BP812" s="78" t="s">
        <v>56</v>
      </c>
      <c r="BQ812" s="21">
        <f>YEAR([1]!BANCO10[[#This Row],[DATA INÍCIO]])</f>
        <v>2025</v>
      </c>
      <c r="BR812" s="21">
        <f>MONTH([1]!BANCO10[[#This Row],[DATA INÍCIO]])</f>
        <v>11</v>
      </c>
      <c r="BS812" s="21" t="e">
        <f>CONCATENATE(#REF!,#REF!)</f>
        <v>#REF!</v>
      </c>
      <c r="BT812" s="21"/>
      <c r="BU812" s="21" t="s">
        <v>30</v>
      </c>
      <c r="BV812" s="21" t="str">
        <f>IF([1]!BANCO10[[#This Row],[SOLUÇÃO]]=BV$1,[1]!BANCO10[[#This Row],[STATUS DA ETAPA]],"")</f>
        <v/>
      </c>
      <c r="BW812" s="21" t="str">
        <f>IF([1]!BANCO10[[#This Row],[SOLUÇÃO]]=BW$1,[1]!BANCO10[[#This Row],[STATUS DA ETAPA]],"")</f>
        <v/>
      </c>
      <c r="BX812" s="21" t="str">
        <f>IF([1]!BANCO10[[#This Row],[SOLUÇÃO]]=BX$1,[1]!BANCO10[[#This Row],[STATUS DA ETAPA]],"")</f>
        <v/>
      </c>
      <c r="BY812" s="21" t="str">
        <f>IF([1]!BANCO10[[#This Row],[SOLUÇÃO]]=BY$1,[1]!BANCO10[[#This Row],[STATUS DA ETAPA]],"")</f>
        <v/>
      </c>
      <c r="BZ812" s="21" t="str">
        <f>IF([1]!BANCO10[[#This Row],[SOLUÇÃO]]=BZ$1,[1]!BANCO10[[#This Row],[STATUS DA ETAPA]],"")</f>
        <v/>
      </c>
      <c r="CA812" s="21" t="str">
        <f>IF([1]!BANCO10[[#This Row],[SOLUÇÃO]]=CA$1,[1]!BANCO10[[#This Row],[STATUS DA ETAPA]],"")</f>
        <v>PROSPECÇÃO</v>
      </c>
      <c r="CB812" s="21" t="str">
        <f>IF([1]!BANCO10[[#This Row],[SOLUÇÃO]]=CB$1,[1]!BANCO10[[#This Row],[STATUS DA ETAPA]],"")</f>
        <v/>
      </c>
      <c r="CC812" s="21" t="str">
        <f>IF([1]!BANCO10[[#This Row],[SOLUÇÃO]]=CC$1,[1]!BANCO10[[#This Row],[STATUS DA ETAPA]],"")</f>
        <v/>
      </c>
      <c r="CD812" s="21" t="str">
        <f>IF([1]!BANCO10[[#This Row],[SOLUÇÃO]]=CD$1,[1]!BANCO10[[#This Row],[STATUS DA ETAPA]],"")</f>
        <v/>
      </c>
      <c r="CE812" s="21" t="str">
        <f>IF([1]!BANCO10[[#This Row],[SOLUÇÃO]]=CE$1,[1]!BANCO10[[#This Row],[STATUS DA ETAPA]],"")</f>
        <v/>
      </c>
      <c r="CF812" s="21" t="str">
        <f>IF([1]!BANCO10[[#This Row],[SOLUÇÃO]]=CF$1,[1]!BANCO10[[#This Row],[STATUS DA ETAPA]],"")</f>
        <v/>
      </c>
      <c r="CG812" s="21" t="str">
        <f>IF([1]!BANCO10[[#This Row],[SOLUÇÃO]]=CG$1,[1]!BANCO10[[#This Row],[STATUS DA ETAPA]],"")</f>
        <v/>
      </c>
      <c r="CH812" s="21" t="str">
        <f>IF([1]!BANCO10[[#This Row],[SOLUÇÃO]]=CH$1,[1]!BANCO10[[#This Row],[STATUS DA ETAPA]],"")</f>
        <v/>
      </c>
      <c r="CI812" s="21" t="str">
        <f>IF([1]!BANCO10[[#This Row],[SOLUÇÃO]]=CI$1,[1]!BANCO10[[#This Row],[STATUS DA ETAPA]],"")</f>
        <v/>
      </c>
      <c r="CJ812" s="21" t="str">
        <f>IF([1]!BANCO10[[#This Row],[SOLUÇÃO]]=CJ$1,[1]!BANCO10[[#This Row],[STATUS DA ETAPA]],"")</f>
        <v/>
      </c>
      <c r="CK812" s="21" t="str">
        <f>IF([1]!BANCO10[[#This Row],[SOLUÇÃO]]=CK$1,[1]!BANCO10[[#This Row],[STATUS DA ETAPA]],"")</f>
        <v/>
      </c>
      <c r="CL812" s="22" t="str">
        <f>IF([1]!BANCO10[[#This Row],[SOLUÇÃO]]=CL$1,[1]!BANCO10[[#This Row],[STATUS DA ETAPA]],"")</f>
        <v/>
      </c>
      <c r="CM812" s="64" t="str">
        <f>IF([1]!BANCO10[[#This Row],[SOLUÇÃO]]=CM$1,[1]!BANCO10[[#This Row],[STATUS DA ETAPA]],"")</f>
        <v/>
      </c>
      <c r="CN812" s="64" t="str">
        <f>IF([1]!BANCO10[[#This Row],[SOLUÇÃO]]=CN$1,[1]!BANCO10[[#This Row],[STATUS DA ETAPA]],"")</f>
        <v/>
      </c>
      <c r="CO812" s="64" t="str">
        <f>IF([1]!BANCO10[[#This Row],[SOLUÇÃO]]=CO$1,[1]!BANCO10[[#This Row],[STATUS DA ETAPA]],"")</f>
        <v/>
      </c>
      <c r="CP812" s="64" t="str">
        <f>IF([1]!BANCO10[[#This Row],[SOLUÇÃO]]=CP$1,[1]!BANCO10[[#This Row],[STATUS DA ETAPA]],"")</f>
        <v/>
      </c>
      <c r="CQ812" s="64" t="str">
        <f>IF([1]!BANCO10[[#This Row],[SOLUÇÃO]]=CQ$1,[1]!BANCO10[[#This Row],[STATUS DA ETAPA]],"")</f>
        <v/>
      </c>
      <c r="CR812" s="64" t="str">
        <f>IF([1]!BANCO10[[#This Row],[SOLUÇÃO]]=CR$1,[1]!BANCO10[[#This Row],[STATUS DA ETAPA]],"")</f>
        <v/>
      </c>
      <c r="CS812" s="64" t="str">
        <f>IF([1]!BANCO10[[#This Row],[SOLUÇÃO]]=CS$1,[1]!BANCO10[[#This Row],[STATUS DA ETAPA]],"")</f>
        <v/>
      </c>
      <c r="CT812" s="64" t="str">
        <f>IF([1]!BANCO10[[#This Row],[SOLUÇÃO]]=CT$1,[1]!BANCO10[[#This Row],[STATUS DA ETAPA]],"")</f>
        <v/>
      </c>
      <c r="CU812" s="64" t="str">
        <f>IF([1]!BANCO10[[#This Row],[SOLUÇÃO]]=CU$1,[1]!BANCO10[[#This Row],[STATUS DA ETAPA]],"")</f>
        <v/>
      </c>
      <c r="CV812" s="64" t="str">
        <f>IF([1]!BANCO10[[#This Row],[SOLUÇÃO]]=CV$1,[1]!BANCO10[[#This Row],[STATUS DA ETAPA]],"")</f>
        <v/>
      </c>
    </row>
    <row r="813" spans="1:100">
      <c r="A813" s="44" t="s">
        <v>1</v>
      </c>
      <c r="B813" s="44"/>
      <c r="C813" s="44" t="s">
        <v>1</v>
      </c>
      <c r="D813" s="44"/>
      <c r="E813" s="44" t="s">
        <v>1</v>
      </c>
      <c r="F813" s="44"/>
      <c r="G813" s="44" t="s">
        <v>1</v>
      </c>
      <c r="H813" s="44"/>
      <c r="I813" s="45" t="s">
        <v>1</v>
      </c>
      <c r="J813" s="46"/>
      <c r="K813" s="45" t="s">
        <v>1</v>
      </c>
      <c r="L813" s="33"/>
      <c r="M813" s="45" t="s">
        <v>1</v>
      </c>
      <c r="N813" s="33"/>
      <c r="O813" s="44" t="s">
        <v>1</v>
      </c>
      <c r="P813" s="44"/>
      <c r="Q813" s="44" t="s">
        <v>1</v>
      </c>
      <c r="R813" s="44"/>
      <c r="S813" s="44" t="s">
        <v>1</v>
      </c>
      <c r="T813" s="44"/>
      <c r="U813" s="44" t="s">
        <v>1</v>
      </c>
      <c r="V813" s="44"/>
      <c r="W813" s="44" t="s">
        <v>1</v>
      </c>
      <c r="X813" s="44"/>
      <c r="Y813" s="44" t="s">
        <v>1</v>
      </c>
      <c r="Z813" s="44"/>
      <c r="AA813" s="44" t="s">
        <v>1</v>
      </c>
      <c r="AB813" s="44"/>
      <c r="AC813" s="84">
        <v>45392</v>
      </c>
      <c r="AD813" s="83">
        <v>45392</v>
      </c>
      <c r="AE813" s="40" t="s">
        <v>1</v>
      </c>
      <c r="AF813" s="40" t="s">
        <v>1</v>
      </c>
      <c r="AG813" s="76" t="s">
        <v>5</v>
      </c>
      <c r="AH813" s="36" t="s">
        <v>1</v>
      </c>
      <c r="AI813" s="49">
        <v>0</v>
      </c>
      <c r="AJ813" s="36" t="s">
        <v>1</v>
      </c>
      <c r="AK813" s="10" t="s">
        <v>1</v>
      </c>
      <c r="AL813" s="36" t="s">
        <v>1</v>
      </c>
      <c r="AM813" s="36" t="s">
        <v>1</v>
      </c>
      <c r="AN813" s="35" t="s">
        <v>1</v>
      </c>
      <c r="AO813" s="35" t="s">
        <v>1</v>
      </c>
      <c r="AP813" s="35" t="s">
        <v>1</v>
      </c>
      <c r="AQ813" s="35" t="s">
        <v>1</v>
      </c>
      <c r="AR813" s="82" t="s">
        <v>1</v>
      </c>
      <c r="AS813" s="33"/>
      <c r="AT813" s="30"/>
      <c r="AU813" s="55"/>
      <c r="AV813" s="30"/>
      <c r="AW813" s="55"/>
      <c r="AX813" s="30" t="s">
        <v>1</v>
      </c>
      <c r="AY813" s="55"/>
      <c r="AZ813" s="30" t="s">
        <v>1</v>
      </c>
      <c r="BA813" s="55"/>
      <c r="BB813" s="39"/>
      <c r="BC813" s="25"/>
      <c r="BD813" s="24"/>
      <c r="BE813" s="24"/>
      <c r="BF813" s="79"/>
      <c r="BG813" s="79"/>
      <c r="BH813" s="80"/>
      <c r="BI813" s="79"/>
      <c r="BJ813" s="54"/>
      <c r="BK813" s="78"/>
      <c r="BL813" s="69"/>
      <c r="BM813" s="78"/>
      <c r="BN813" s="78"/>
      <c r="BO813" s="78"/>
      <c r="BP813" s="78"/>
      <c r="BQ813" s="21">
        <f>YEAR([1]!BANCO10[[#This Row],[DATA INÍCIO]])</f>
        <v>2024</v>
      </c>
      <c r="BR813" s="21">
        <f>MONTH([1]!BANCO10[[#This Row],[DATA INÍCIO]])</f>
        <v>4</v>
      </c>
      <c r="BS813" s="21" t="e">
        <f>CONCATENATE(#REF!,#REF!)</f>
        <v>#REF!</v>
      </c>
      <c r="BT813" s="21"/>
      <c r="BU813" s="21" t="s">
        <v>55</v>
      </c>
      <c r="BV813" s="21" t="str">
        <f>IF([1]!BANCO10[[#This Row],[SOLUÇÃO]]=BV$1,[1]!BANCO10[[#This Row],[STATUS DA ETAPA]],"")</f>
        <v>CONCLUÍDO</v>
      </c>
      <c r="BW813" s="21" t="str">
        <f>IF([1]!BANCO10[[#This Row],[SOLUÇÃO]]=BW$1,[1]!BANCO10[[#This Row],[STATUS DA ETAPA]],"")</f>
        <v/>
      </c>
      <c r="BX813" s="21" t="str">
        <f>IF([1]!BANCO10[[#This Row],[SOLUÇÃO]]=BX$1,[1]!BANCO10[[#This Row],[STATUS DA ETAPA]],"")</f>
        <v/>
      </c>
      <c r="BY813" s="21" t="str">
        <f>IF([1]!BANCO10[[#This Row],[SOLUÇÃO]]=BY$1,[1]!BANCO10[[#This Row],[STATUS DA ETAPA]],"")</f>
        <v/>
      </c>
      <c r="BZ813" s="21" t="str">
        <f>IF([1]!BANCO10[[#This Row],[SOLUÇÃO]]=BZ$1,[1]!BANCO10[[#This Row],[STATUS DA ETAPA]],"")</f>
        <v/>
      </c>
      <c r="CA813" s="21" t="str">
        <f>IF([1]!BANCO10[[#This Row],[SOLUÇÃO]]=CA$1,[1]!BANCO10[[#This Row],[STATUS DA ETAPA]],"")</f>
        <v/>
      </c>
      <c r="CB813" s="21" t="str">
        <f>IF([1]!BANCO10[[#This Row],[SOLUÇÃO]]=CB$1,[1]!BANCO10[[#This Row],[STATUS DA ETAPA]],"")</f>
        <v/>
      </c>
      <c r="CC813" s="21" t="str">
        <f>IF([1]!BANCO10[[#This Row],[SOLUÇÃO]]=CC$1,[1]!BANCO10[[#This Row],[STATUS DA ETAPA]],"")</f>
        <v/>
      </c>
      <c r="CD813" s="21" t="str">
        <f>IF([1]!BANCO10[[#This Row],[SOLUÇÃO]]=CD$1,[1]!BANCO10[[#This Row],[STATUS DA ETAPA]],"")</f>
        <v/>
      </c>
      <c r="CE813" s="21" t="str">
        <f>IF([1]!BANCO10[[#This Row],[SOLUÇÃO]]=CE$1,[1]!BANCO10[[#This Row],[STATUS DA ETAPA]],"")</f>
        <v/>
      </c>
      <c r="CF813" s="21" t="str">
        <f>IF([1]!BANCO10[[#This Row],[SOLUÇÃO]]=CF$1,[1]!BANCO10[[#This Row],[STATUS DA ETAPA]],"")</f>
        <v/>
      </c>
      <c r="CG813" s="21" t="str">
        <f>IF([1]!BANCO10[[#This Row],[SOLUÇÃO]]=CG$1,[1]!BANCO10[[#This Row],[STATUS DA ETAPA]],"")</f>
        <v/>
      </c>
      <c r="CH813" s="21" t="str">
        <f>IF([1]!BANCO10[[#This Row],[SOLUÇÃO]]=CH$1,[1]!BANCO10[[#This Row],[STATUS DA ETAPA]],"")</f>
        <v/>
      </c>
      <c r="CI813" s="21" t="str">
        <f>IF([1]!BANCO10[[#This Row],[SOLUÇÃO]]=CI$1,[1]!BANCO10[[#This Row],[STATUS DA ETAPA]],"")</f>
        <v/>
      </c>
      <c r="CJ813" s="21" t="str">
        <f>IF([1]!BANCO10[[#This Row],[SOLUÇÃO]]=CJ$1,[1]!BANCO10[[#This Row],[STATUS DA ETAPA]],"")</f>
        <v/>
      </c>
      <c r="CK813" s="21" t="str">
        <f>IF([1]!BANCO10[[#This Row],[SOLUÇÃO]]=CK$1,[1]!BANCO10[[#This Row],[STATUS DA ETAPA]],"")</f>
        <v/>
      </c>
      <c r="CL813" s="22" t="str">
        <f>IF([1]!BANCO10[[#This Row],[SOLUÇÃO]]=CL$1,[1]!BANCO10[[#This Row],[STATUS DA ETAPA]],"")</f>
        <v/>
      </c>
      <c r="CM813" s="64" t="str">
        <f>IF([1]!BANCO10[[#This Row],[SOLUÇÃO]]=CM$1,[1]!BANCO10[[#This Row],[STATUS DA ETAPA]],"")</f>
        <v/>
      </c>
      <c r="CN813" s="64" t="str">
        <f>IF([1]!BANCO10[[#This Row],[SOLUÇÃO]]=CN$1,[1]!BANCO10[[#This Row],[STATUS DA ETAPA]],"")</f>
        <v/>
      </c>
      <c r="CO813" s="64" t="str">
        <f>IF([1]!BANCO10[[#This Row],[SOLUÇÃO]]=CO$1,[1]!BANCO10[[#This Row],[STATUS DA ETAPA]],"")</f>
        <v/>
      </c>
      <c r="CP813" s="64" t="str">
        <f>IF([1]!BANCO10[[#This Row],[SOLUÇÃO]]=CP$1,[1]!BANCO10[[#This Row],[STATUS DA ETAPA]],"")</f>
        <v/>
      </c>
      <c r="CQ813" s="64" t="str">
        <f>IF([1]!BANCO10[[#This Row],[SOLUÇÃO]]=CQ$1,[1]!BANCO10[[#This Row],[STATUS DA ETAPA]],"")</f>
        <v/>
      </c>
      <c r="CR813" s="64" t="str">
        <f>IF([1]!BANCO10[[#This Row],[SOLUÇÃO]]=CR$1,[1]!BANCO10[[#This Row],[STATUS DA ETAPA]],"")</f>
        <v/>
      </c>
      <c r="CS813" s="64" t="str">
        <f>IF([1]!BANCO10[[#This Row],[SOLUÇÃO]]=CS$1,[1]!BANCO10[[#This Row],[STATUS DA ETAPA]],"")</f>
        <v/>
      </c>
      <c r="CT813" s="64" t="str">
        <f>IF([1]!BANCO10[[#This Row],[SOLUÇÃO]]=CT$1,[1]!BANCO10[[#This Row],[STATUS DA ETAPA]],"")</f>
        <v/>
      </c>
      <c r="CU813" s="64" t="str">
        <f>IF([1]!BANCO10[[#This Row],[SOLUÇÃO]]=CU$1,[1]!BANCO10[[#This Row],[STATUS DA ETAPA]],"")</f>
        <v/>
      </c>
      <c r="CV813" s="64" t="str">
        <f>IF([1]!BANCO10[[#This Row],[SOLUÇÃO]]=CV$1,[1]!BANCO10[[#This Row],[STATUS DA ETAPA]],"")</f>
        <v/>
      </c>
    </row>
    <row r="814" spans="1:100">
      <c r="A814" s="44" t="s">
        <v>1</v>
      </c>
      <c r="B814" s="44"/>
      <c r="C814" s="44" t="s">
        <v>1</v>
      </c>
      <c r="D814" s="44"/>
      <c r="E814" s="44" t="s">
        <v>1</v>
      </c>
      <c r="F814" s="44"/>
      <c r="G814" s="44" t="s">
        <v>1</v>
      </c>
      <c r="H814" s="44"/>
      <c r="I814" s="45" t="s">
        <v>1</v>
      </c>
      <c r="J814" s="46"/>
      <c r="K814" s="45" t="s">
        <v>1</v>
      </c>
      <c r="L814" s="33"/>
      <c r="M814" s="45" t="s">
        <v>1</v>
      </c>
      <c r="N814" s="33"/>
      <c r="O814" s="44" t="s">
        <v>2</v>
      </c>
      <c r="P814" s="44">
        <v>45310</v>
      </c>
      <c r="Q814" s="44"/>
      <c r="R814" s="44"/>
      <c r="S814" s="44"/>
      <c r="T814" s="44"/>
      <c r="U814" s="44" t="s">
        <v>1</v>
      </c>
      <c r="V814" s="44"/>
      <c r="W814" s="44" t="s">
        <v>1</v>
      </c>
      <c r="X814" s="44"/>
      <c r="Y814" s="44" t="s">
        <v>1</v>
      </c>
      <c r="Z814" s="44"/>
      <c r="AA814" s="44" t="s">
        <v>1</v>
      </c>
      <c r="AB814" s="44"/>
      <c r="AC814" s="84">
        <v>45322</v>
      </c>
      <c r="AD814" s="83">
        <v>45390</v>
      </c>
      <c r="AE814" s="40" t="s">
        <v>2</v>
      </c>
      <c r="AF814" s="40" t="s">
        <v>2</v>
      </c>
      <c r="AG814" s="40" t="s">
        <v>5</v>
      </c>
      <c r="AH814" s="36" t="s">
        <v>2</v>
      </c>
      <c r="AI814" s="49">
        <v>0</v>
      </c>
      <c r="AJ814" s="36" t="s">
        <v>1</v>
      </c>
      <c r="AK814" s="10" t="s">
        <v>1</v>
      </c>
      <c r="AL814" s="36" t="s">
        <v>1</v>
      </c>
      <c r="AM814" s="36" t="s">
        <v>1</v>
      </c>
      <c r="AN814" s="35" t="s">
        <v>1</v>
      </c>
      <c r="AO814" s="35" t="s">
        <v>1</v>
      </c>
      <c r="AP814" s="35" t="s">
        <v>2</v>
      </c>
      <c r="AQ814" s="35" t="s">
        <v>1</v>
      </c>
      <c r="AR814" s="34" t="s">
        <v>1</v>
      </c>
      <c r="AS814" s="33"/>
      <c r="AT814" s="30"/>
      <c r="AU814" s="55"/>
      <c r="AV814" s="30"/>
      <c r="AW814" s="55"/>
      <c r="AX814" s="30" t="s">
        <v>2</v>
      </c>
      <c r="AY814" s="55">
        <v>45390</v>
      </c>
      <c r="AZ814" s="30" t="s">
        <v>2</v>
      </c>
      <c r="BA814" s="55">
        <v>45390</v>
      </c>
      <c r="BB814" s="39" t="s">
        <v>34</v>
      </c>
      <c r="BC814" s="25"/>
      <c r="BD814" s="24"/>
      <c r="BE814" s="24"/>
      <c r="BF814" s="79"/>
      <c r="BG814" s="79"/>
      <c r="BH814" s="80"/>
      <c r="BI814" s="79"/>
      <c r="BJ814" s="54"/>
      <c r="BK814" s="78"/>
      <c r="BL814" s="69">
        <v>45391</v>
      </c>
      <c r="BM814" s="78"/>
      <c r="BN814" s="78"/>
      <c r="BO814" s="78"/>
      <c r="BP814" s="78" t="s">
        <v>54</v>
      </c>
      <c r="BQ814" s="21">
        <f>YEAR([1]!BANCO10[[#This Row],[DATA INÍCIO]])</f>
        <v>2024</v>
      </c>
      <c r="BR814" s="21">
        <f>MONTH([1]!BANCO10[[#This Row],[DATA INÍCIO]])</f>
        <v>1</v>
      </c>
      <c r="BS814" s="21" t="e">
        <f>CONCATENATE(#REF!,#REF!)</f>
        <v>#REF!</v>
      </c>
      <c r="BT814" s="21"/>
      <c r="BU814" s="21" t="s">
        <v>53</v>
      </c>
      <c r="BV814" s="21" t="str">
        <f>IF([1]!BANCO10[[#This Row],[SOLUÇÃO]]=BV$1,[1]!BANCO10[[#This Row],[STATUS DA ETAPA]],"")</f>
        <v/>
      </c>
      <c r="BW814" s="21" t="str">
        <f>IF([1]!BANCO10[[#This Row],[SOLUÇÃO]]=BW$1,[1]!BANCO10[[#This Row],[STATUS DA ETAPA]],"")</f>
        <v/>
      </c>
      <c r="BX814" s="21" t="str">
        <f>IF([1]!BANCO10[[#This Row],[SOLUÇÃO]]=BX$1,[1]!BANCO10[[#This Row],[STATUS DA ETAPA]],"")</f>
        <v/>
      </c>
      <c r="BY814" s="21" t="str">
        <f>IF([1]!BANCO10[[#This Row],[SOLUÇÃO]]=BY$1,[1]!BANCO10[[#This Row],[STATUS DA ETAPA]],"")</f>
        <v/>
      </c>
      <c r="BZ814" s="21" t="str">
        <f>IF([1]!BANCO10[[#This Row],[SOLUÇÃO]]=BZ$1,[1]!BANCO10[[#This Row],[STATUS DA ETAPA]],"")</f>
        <v/>
      </c>
      <c r="CA814" s="21" t="str">
        <f>IF([1]!BANCO10[[#This Row],[SOLUÇÃO]]=CA$1,[1]!BANCO10[[#This Row],[STATUS DA ETAPA]],"")</f>
        <v>CONCLUÍDO</v>
      </c>
      <c r="CB814" s="21" t="str">
        <f>IF([1]!BANCO10[[#This Row],[SOLUÇÃO]]=CB$1,[1]!BANCO10[[#This Row],[STATUS DA ETAPA]],"")</f>
        <v/>
      </c>
      <c r="CC814" s="21" t="str">
        <f>IF([1]!BANCO10[[#This Row],[SOLUÇÃO]]=CC$1,[1]!BANCO10[[#This Row],[STATUS DA ETAPA]],"")</f>
        <v/>
      </c>
      <c r="CD814" s="21" t="str">
        <f>IF([1]!BANCO10[[#This Row],[SOLUÇÃO]]=CD$1,[1]!BANCO10[[#This Row],[STATUS DA ETAPA]],"")</f>
        <v/>
      </c>
      <c r="CE814" s="21" t="str">
        <f>IF([1]!BANCO10[[#This Row],[SOLUÇÃO]]=CE$1,[1]!BANCO10[[#This Row],[STATUS DA ETAPA]],"")</f>
        <v/>
      </c>
      <c r="CF814" s="21" t="str">
        <f>IF([1]!BANCO10[[#This Row],[SOLUÇÃO]]=CF$1,[1]!BANCO10[[#This Row],[STATUS DA ETAPA]],"")</f>
        <v/>
      </c>
      <c r="CG814" s="21" t="str">
        <f>IF([1]!BANCO10[[#This Row],[SOLUÇÃO]]=CG$1,[1]!BANCO10[[#This Row],[STATUS DA ETAPA]],"")</f>
        <v/>
      </c>
      <c r="CH814" s="21" t="str">
        <f>IF([1]!BANCO10[[#This Row],[SOLUÇÃO]]=CH$1,[1]!BANCO10[[#This Row],[STATUS DA ETAPA]],"")</f>
        <v/>
      </c>
      <c r="CI814" s="21" t="str">
        <f>IF([1]!BANCO10[[#This Row],[SOLUÇÃO]]=CI$1,[1]!BANCO10[[#This Row],[STATUS DA ETAPA]],"")</f>
        <v/>
      </c>
      <c r="CJ814" s="21" t="str">
        <f>IF([1]!BANCO10[[#This Row],[SOLUÇÃO]]=CJ$1,[1]!BANCO10[[#This Row],[STATUS DA ETAPA]],"")</f>
        <v/>
      </c>
      <c r="CK814" s="21" t="str">
        <f>IF([1]!BANCO10[[#This Row],[SOLUÇÃO]]=CK$1,[1]!BANCO10[[#This Row],[STATUS DA ETAPA]],"")</f>
        <v/>
      </c>
      <c r="CL814" s="22" t="str">
        <f>IF([1]!BANCO10[[#This Row],[SOLUÇÃO]]=CL$1,[1]!BANCO10[[#This Row],[STATUS DA ETAPA]],"")</f>
        <v/>
      </c>
      <c r="CM814" s="64" t="str">
        <f>IF([1]!BANCO10[[#This Row],[SOLUÇÃO]]=CM$1,[1]!BANCO10[[#This Row],[STATUS DA ETAPA]],"")</f>
        <v/>
      </c>
      <c r="CN814" s="64" t="str">
        <f>IF([1]!BANCO10[[#This Row],[SOLUÇÃO]]=CN$1,[1]!BANCO10[[#This Row],[STATUS DA ETAPA]],"")</f>
        <v/>
      </c>
      <c r="CO814" s="64" t="str">
        <f>IF([1]!BANCO10[[#This Row],[SOLUÇÃO]]=CO$1,[1]!BANCO10[[#This Row],[STATUS DA ETAPA]],"")</f>
        <v/>
      </c>
      <c r="CP814" s="64" t="str">
        <f>IF([1]!BANCO10[[#This Row],[SOLUÇÃO]]=CP$1,[1]!BANCO10[[#This Row],[STATUS DA ETAPA]],"")</f>
        <v/>
      </c>
      <c r="CQ814" s="64" t="str">
        <f>IF([1]!BANCO10[[#This Row],[SOLUÇÃO]]=CQ$1,[1]!BANCO10[[#This Row],[STATUS DA ETAPA]],"")</f>
        <v/>
      </c>
      <c r="CR814" s="64" t="str">
        <f>IF([1]!BANCO10[[#This Row],[SOLUÇÃO]]=CR$1,[1]!BANCO10[[#This Row],[STATUS DA ETAPA]],"")</f>
        <v/>
      </c>
      <c r="CS814" s="64" t="str">
        <f>IF([1]!BANCO10[[#This Row],[SOLUÇÃO]]=CS$1,[1]!BANCO10[[#This Row],[STATUS DA ETAPA]],"")</f>
        <v/>
      </c>
      <c r="CT814" s="64" t="str">
        <f>IF([1]!BANCO10[[#This Row],[SOLUÇÃO]]=CT$1,[1]!BANCO10[[#This Row],[STATUS DA ETAPA]],"")</f>
        <v/>
      </c>
      <c r="CU814" s="64" t="str">
        <f>IF([1]!BANCO10[[#This Row],[SOLUÇÃO]]=CU$1,[1]!BANCO10[[#This Row],[STATUS DA ETAPA]],"")</f>
        <v/>
      </c>
      <c r="CV814" s="64" t="str">
        <f>IF([1]!BANCO10[[#This Row],[SOLUÇÃO]]=CV$1,[1]!BANCO10[[#This Row],[STATUS DA ETAPA]],"")</f>
        <v/>
      </c>
    </row>
    <row r="815" spans="1:100">
      <c r="A815" s="44" t="s">
        <v>1</v>
      </c>
      <c r="B815" s="44"/>
      <c r="C815" s="44" t="s">
        <v>1</v>
      </c>
      <c r="D815" s="44"/>
      <c r="E815" s="44" t="s">
        <v>1</v>
      </c>
      <c r="F815" s="44"/>
      <c r="G815" s="44" t="s">
        <v>1</v>
      </c>
      <c r="H815" s="44"/>
      <c r="I815" s="45" t="s">
        <v>1</v>
      </c>
      <c r="J815" s="46"/>
      <c r="K815" s="45" t="s">
        <v>1</v>
      </c>
      <c r="L815" s="33"/>
      <c r="M815" s="45" t="s">
        <v>1</v>
      </c>
      <c r="N815" s="33"/>
      <c r="O815" s="44" t="s">
        <v>1</v>
      </c>
      <c r="P815" s="44"/>
      <c r="Q815" s="44" t="s">
        <v>1</v>
      </c>
      <c r="R815" s="44"/>
      <c r="S815" s="44" t="s">
        <v>1</v>
      </c>
      <c r="T815" s="44"/>
      <c r="U815" s="44" t="s">
        <v>1</v>
      </c>
      <c r="V815" s="44"/>
      <c r="W815" s="44" t="s">
        <v>1</v>
      </c>
      <c r="X815" s="44"/>
      <c r="Y815" s="44" t="s">
        <v>1</v>
      </c>
      <c r="Z815" s="44"/>
      <c r="AA815" s="44" t="s">
        <v>1</v>
      </c>
      <c r="AB815" s="44"/>
      <c r="AC815" s="84">
        <v>45209</v>
      </c>
      <c r="AD815" s="83">
        <v>45209</v>
      </c>
      <c r="AE815" s="40" t="s">
        <v>1</v>
      </c>
      <c r="AF815" s="40" t="s">
        <v>1</v>
      </c>
      <c r="AG815" s="76" t="s">
        <v>5</v>
      </c>
      <c r="AH815" s="36" t="s">
        <v>1</v>
      </c>
      <c r="AI815" s="49">
        <v>0</v>
      </c>
      <c r="AJ815" s="36" t="s">
        <v>1</v>
      </c>
      <c r="AK815" s="10" t="s">
        <v>1</v>
      </c>
      <c r="AL815" s="36" t="s">
        <v>1</v>
      </c>
      <c r="AM815" s="36" t="s">
        <v>1</v>
      </c>
      <c r="AN815" s="35" t="s">
        <v>1</v>
      </c>
      <c r="AO815" s="35" t="s">
        <v>1</v>
      </c>
      <c r="AP815" s="35" t="s">
        <v>1</v>
      </c>
      <c r="AQ815" s="35" t="s">
        <v>1</v>
      </c>
      <c r="AR815" s="82" t="s">
        <v>1</v>
      </c>
      <c r="AS815" s="46"/>
      <c r="AT815" s="30"/>
      <c r="AU815" s="55"/>
      <c r="AV815" s="30"/>
      <c r="AW815" s="55"/>
      <c r="AX815" s="30" t="s">
        <v>1</v>
      </c>
      <c r="AY815" s="55"/>
      <c r="AZ815" s="30" t="s">
        <v>1</v>
      </c>
      <c r="BA815" s="55"/>
      <c r="BB815" s="39"/>
      <c r="BC815" s="25"/>
      <c r="BD815" s="24" t="s">
        <v>11</v>
      </c>
      <c r="BE815" s="24" t="s">
        <v>11</v>
      </c>
      <c r="BF815" s="79" t="s">
        <v>51</v>
      </c>
      <c r="BG815" s="79" t="s">
        <v>11</v>
      </c>
      <c r="BH815" s="80" t="s">
        <v>50</v>
      </c>
      <c r="BI815" s="79"/>
      <c r="BJ815" s="54" t="s">
        <v>11</v>
      </c>
      <c r="BK815" s="78" t="s">
        <v>11</v>
      </c>
      <c r="BL815" s="69" t="s">
        <v>11</v>
      </c>
      <c r="BM815" s="78" t="s">
        <v>11</v>
      </c>
      <c r="BN815" s="78" t="s">
        <v>11</v>
      </c>
      <c r="BO815" s="78" t="s">
        <v>11</v>
      </c>
      <c r="BP815" s="78" t="s">
        <v>11</v>
      </c>
      <c r="BQ815" s="21">
        <f>YEAR([1]!BANCO10[[#This Row],[DATA INÍCIO]])</f>
        <v>2023</v>
      </c>
      <c r="BR815" s="21">
        <f>MONTH([1]!BANCO10[[#This Row],[DATA INÍCIO]])</f>
        <v>10</v>
      </c>
      <c r="BS815" s="21" t="e">
        <f>CONCATENATE(#REF!,#REF!)</f>
        <v>#REF!</v>
      </c>
      <c r="BT815" s="21"/>
      <c r="BU815" s="21" t="s">
        <v>52</v>
      </c>
      <c r="BV815" s="21" t="str">
        <f>IF([1]!BANCO10[[#This Row],[SOLUÇÃO]]=BV$1,[1]!BANCO10[[#This Row],[STATUS DA ETAPA]],"")</f>
        <v>CONCLUÍDO</v>
      </c>
      <c r="BW815" s="21" t="str">
        <f>IF([1]!BANCO10[[#This Row],[SOLUÇÃO]]=BW$1,[1]!BANCO10[[#This Row],[STATUS DA ETAPA]],"")</f>
        <v/>
      </c>
      <c r="BX815" s="21" t="str">
        <f>IF([1]!BANCO10[[#This Row],[SOLUÇÃO]]=BX$1,[1]!BANCO10[[#This Row],[STATUS DA ETAPA]],"")</f>
        <v/>
      </c>
      <c r="BY815" s="21" t="str">
        <f>IF([1]!BANCO10[[#This Row],[SOLUÇÃO]]=BY$1,[1]!BANCO10[[#This Row],[STATUS DA ETAPA]],"")</f>
        <v/>
      </c>
      <c r="BZ815" s="21" t="str">
        <f>IF([1]!BANCO10[[#This Row],[SOLUÇÃO]]=BZ$1,[1]!BANCO10[[#This Row],[STATUS DA ETAPA]],"")</f>
        <v/>
      </c>
      <c r="CA815" s="21" t="str">
        <f>IF([1]!BANCO10[[#This Row],[SOLUÇÃO]]=CA$1,[1]!BANCO10[[#This Row],[STATUS DA ETAPA]],"")</f>
        <v/>
      </c>
      <c r="CB815" s="21" t="str">
        <f>IF([1]!BANCO10[[#This Row],[SOLUÇÃO]]=CB$1,[1]!BANCO10[[#This Row],[STATUS DA ETAPA]],"")</f>
        <v/>
      </c>
      <c r="CC815" s="21" t="str">
        <f>IF([1]!BANCO10[[#This Row],[SOLUÇÃO]]=CC$1,[1]!BANCO10[[#This Row],[STATUS DA ETAPA]],"")</f>
        <v/>
      </c>
      <c r="CD815" s="21" t="str">
        <f>IF([1]!BANCO10[[#This Row],[SOLUÇÃO]]=CD$1,[1]!BANCO10[[#This Row],[STATUS DA ETAPA]],"")</f>
        <v/>
      </c>
      <c r="CE815" s="21" t="str">
        <f>IF([1]!BANCO10[[#This Row],[SOLUÇÃO]]=CE$1,[1]!BANCO10[[#This Row],[STATUS DA ETAPA]],"")</f>
        <v/>
      </c>
      <c r="CF815" s="21" t="str">
        <f>IF([1]!BANCO10[[#This Row],[SOLUÇÃO]]=CF$1,[1]!BANCO10[[#This Row],[STATUS DA ETAPA]],"")</f>
        <v/>
      </c>
      <c r="CG815" s="21" t="str">
        <f>IF([1]!BANCO10[[#This Row],[SOLUÇÃO]]=CG$1,[1]!BANCO10[[#This Row],[STATUS DA ETAPA]],"")</f>
        <v/>
      </c>
      <c r="CH815" s="21" t="str">
        <f>IF([1]!BANCO10[[#This Row],[SOLUÇÃO]]=CH$1,[1]!BANCO10[[#This Row],[STATUS DA ETAPA]],"")</f>
        <v/>
      </c>
      <c r="CI815" s="21" t="str">
        <f>IF([1]!BANCO10[[#This Row],[SOLUÇÃO]]=CI$1,[1]!BANCO10[[#This Row],[STATUS DA ETAPA]],"")</f>
        <v/>
      </c>
      <c r="CJ815" s="21" t="str">
        <f>IF([1]!BANCO10[[#This Row],[SOLUÇÃO]]=CJ$1,[1]!BANCO10[[#This Row],[STATUS DA ETAPA]],"")</f>
        <v/>
      </c>
      <c r="CK815" s="21" t="str">
        <f>IF([1]!BANCO10[[#This Row],[SOLUÇÃO]]=CK$1,[1]!BANCO10[[#This Row],[STATUS DA ETAPA]],"")</f>
        <v/>
      </c>
      <c r="CL815" s="22" t="str">
        <f>IF([1]!BANCO10[[#This Row],[SOLUÇÃO]]=CL$1,[1]!BANCO10[[#This Row],[STATUS DA ETAPA]],"")</f>
        <v/>
      </c>
      <c r="CM815" s="64" t="str">
        <f>IF([1]!BANCO10[[#This Row],[SOLUÇÃO]]=CM$1,[1]!BANCO10[[#This Row],[STATUS DA ETAPA]],"")</f>
        <v/>
      </c>
      <c r="CN815" s="64" t="str">
        <f>IF([1]!BANCO10[[#This Row],[SOLUÇÃO]]=CN$1,[1]!BANCO10[[#This Row],[STATUS DA ETAPA]],"")</f>
        <v/>
      </c>
      <c r="CO815" s="64" t="str">
        <f>IF([1]!BANCO10[[#This Row],[SOLUÇÃO]]=CO$1,[1]!BANCO10[[#This Row],[STATUS DA ETAPA]],"")</f>
        <v/>
      </c>
      <c r="CP815" s="64" t="str">
        <f>IF([1]!BANCO10[[#This Row],[SOLUÇÃO]]=CP$1,[1]!BANCO10[[#This Row],[STATUS DA ETAPA]],"")</f>
        <v/>
      </c>
      <c r="CQ815" s="64" t="str">
        <f>IF([1]!BANCO10[[#This Row],[SOLUÇÃO]]=CQ$1,[1]!BANCO10[[#This Row],[STATUS DA ETAPA]],"")</f>
        <v/>
      </c>
      <c r="CR815" s="64" t="str">
        <f>IF([1]!BANCO10[[#This Row],[SOLUÇÃO]]=CR$1,[1]!BANCO10[[#This Row],[STATUS DA ETAPA]],"")</f>
        <v/>
      </c>
      <c r="CS815" s="64" t="str">
        <f>IF([1]!BANCO10[[#This Row],[SOLUÇÃO]]=CS$1,[1]!BANCO10[[#This Row],[STATUS DA ETAPA]],"")</f>
        <v/>
      </c>
      <c r="CT815" s="64" t="str">
        <f>IF([1]!BANCO10[[#This Row],[SOLUÇÃO]]=CT$1,[1]!BANCO10[[#This Row],[STATUS DA ETAPA]],"")</f>
        <v/>
      </c>
      <c r="CU815" s="64" t="str">
        <f>IF([1]!BANCO10[[#This Row],[SOLUÇÃO]]=CU$1,[1]!BANCO10[[#This Row],[STATUS DA ETAPA]],"")</f>
        <v/>
      </c>
      <c r="CV815" s="64" t="str">
        <f>IF([1]!BANCO10[[#This Row],[SOLUÇÃO]]=CV$1,[1]!BANCO10[[#This Row],[STATUS DA ETAPA]],"")</f>
        <v/>
      </c>
    </row>
    <row r="816" spans="1:100">
      <c r="A816" s="44" t="s">
        <v>1</v>
      </c>
      <c r="B816" s="44"/>
      <c r="C816" s="44" t="s">
        <v>1</v>
      </c>
      <c r="D816" s="44"/>
      <c r="E816" s="44" t="s">
        <v>1</v>
      </c>
      <c r="F816" s="44"/>
      <c r="G816" s="44" t="s">
        <v>1</v>
      </c>
      <c r="H816" s="44"/>
      <c r="I816" s="45" t="s">
        <v>1</v>
      </c>
      <c r="J816" s="46"/>
      <c r="K816" s="45" t="s">
        <v>1</v>
      </c>
      <c r="L816" s="33"/>
      <c r="M816" s="45" t="s">
        <v>1</v>
      </c>
      <c r="N816" s="33"/>
      <c r="O816" s="44" t="s">
        <v>2</v>
      </c>
      <c r="P816" s="44">
        <v>45310</v>
      </c>
      <c r="Q816" s="44" t="s">
        <v>1</v>
      </c>
      <c r="R816" s="44"/>
      <c r="S816" s="44" t="s">
        <v>1</v>
      </c>
      <c r="T816" s="44"/>
      <c r="U816" s="44" t="s">
        <v>1</v>
      </c>
      <c r="V816" s="44"/>
      <c r="W816" s="44" t="s">
        <v>1</v>
      </c>
      <c r="X816" s="44"/>
      <c r="Y816" s="44" t="s">
        <v>1</v>
      </c>
      <c r="Z816" s="44"/>
      <c r="AA816" s="44" t="s">
        <v>1</v>
      </c>
      <c r="AB816" s="44"/>
      <c r="AC816" s="84">
        <v>45399</v>
      </c>
      <c r="AD816" s="83">
        <v>45539</v>
      </c>
      <c r="AE816" s="40" t="s">
        <v>2</v>
      </c>
      <c r="AF816" s="40" t="s">
        <v>2</v>
      </c>
      <c r="AG816" s="40" t="s">
        <v>5</v>
      </c>
      <c r="AH816" s="36" t="s">
        <v>0</v>
      </c>
      <c r="AI816" s="49">
        <v>0</v>
      </c>
      <c r="AJ816" s="36" t="s">
        <v>6</v>
      </c>
      <c r="AK816" s="10">
        <v>0</v>
      </c>
      <c r="AL816" s="36" t="s">
        <v>1</v>
      </c>
      <c r="AM816" s="36">
        <v>0</v>
      </c>
      <c r="AN816" s="35" t="s">
        <v>0</v>
      </c>
      <c r="AO816" s="35" t="s">
        <v>0</v>
      </c>
      <c r="AP816" s="35" t="s">
        <v>2</v>
      </c>
      <c r="AQ816" s="35" t="s">
        <v>1</v>
      </c>
      <c r="AR816" s="33" t="s">
        <v>1</v>
      </c>
      <c r="AS816" s="33"/>
      <c r="AT816" s="30"/>
      <c r="AU816" s="55"/>
      <c r="AV816" s="30"/>
      <c r="AW816" s="55"/>
      <c r="AX816" s="30" t="s">
        <v>2</v>
      </c>
      <c r="AY816" s="55">
        <v>45539</v>
      </c>
      <c r="AZ816" s="30" t="s">
        <v>1</v>
      </c>
      <c r="BA816" s="91"/>
      <c r="BB816" s="39"/>
      <c r="BC816" s="25"/>
      <c r="BD816" s="24" t="s">
        <v>11</v>
      </c>
      <c r="BE816" s="24" t="s">
        <v>11</v>
      </c>
      <c r="BF816" s="79" t="s">
        <v>51</v>
      </c>
      <c r="BG816" s="79" t="s">
        <v>11</v>
      </c>
      <c r="BH816" s="80" t="s">
        <v>50</v>
      </c>
      <c r="BI816" s="79"/>
      <c r="BJ816" s="54" t="s">
        <v>11</v>
      </c>
      <c r="BK816" s="78" t="s">
        <v>11</v>
      </c>
      <c r="BL816" s="69">
        <v>45391</v>
      </c>
      <c r="BM816" s="78"/>
      <c r="BN816" s="78" t="s">
        <v>11</v>
      </c>
      <c r="BO816" s="78"/>
      <c r="BP816" s="78" t="s">
        <v>49</v>
      </c>
      <c r="BQ816" s="21">
        <f>YEAR([1]!BANCO10[[#This Row],[DATA INÍCIO]])</f>
        <v>2024</v>
      </c>
      <c r="BR816" s="21">
        <f>MONTH([1]!BANCO10[[#This Row],[DATA INÍCIO]])</f>
        <v>4</v>
      </c>
      <c r="BS816" s="21" t="e">
        <f>CONCATENATE(#REF!,#REF!)</f>
        <v>#REF!</v>
      </c>
      <c r="BT816" s="21"/>
      <c r="BU816" s="21" t="s">
        <v>48</v>
      </c>
      <c r="BV816" s="21" t="str">
        <f>IF([1]!BANCO10[[#This Row],[SOLUÇÃO]]=BV$1,[1]!BANCO10[[#This Row],[STATUS DA ETAPA]],"")</f>
        <v/>
      </c>
      <c r="BW816" s="21" t="str">
        <f>IF([1]!BANCO10[[#This Row],[SOLUÇÃO]]=BW$1,[1]!BANCO10[[#This Row],[STATUS DA ETAPA]],"")</f>
        <v/>
      </c>
      <c r="BX816" s="21" t="str">
        <f>IF([1]!BANCO10[[#This Row],[SOLUÇÃO]]=BX$1,[1]!BANCO10[[#This Row],[STATUS DA ETAPA]],"")</f>
        <v/>
      </c>
      <c r="BY816" s="21" t="str">
        <f>IF([1]!BANCO10[[#This Row],[SOLUÇÃO]]=BY$1,[1]!BANCO10[[#This Row],[STATUS DA ETAPA]],"")</f>
        <v/>
      </c>
      <c r="BZ816" s="21" t="str">
        <f>IF([1]!BANCO10[[#This Row],[SOLUÇÃO]]=BZ$1,[1]!BANCO10[[#This Row],[STATUS DA ETAPA]],"")</f>
        <v/>
      </c>
      <c r="CA816" s="21" t="str">
        <f>IF([1]!BANCO10[[#This Row],[SOLUÇÃO]]=CA$1,[1]!BANCO10[[#This Row],[STATUS DA ETAPA]],"")</f>
        <v>CONCLUÍDO</v>
      </c>
      <c r="CB816" s="21" t="str">
        <f>IF([1]!BANCO10[[#This Row],[SOLUÇÃO]]=CB$1,[1]!BANCO10[[#This Row],[STATUS DA ETAPA]],"")</f>
        <v/>
      </c>
      <c r="CC816" s="21" t="str">
        <f>IF([1]!BANCO10[[#This Row],[SOLUÇÃO]]=CC$1,[1]!BANCO10[[#This Row],[STATUS DA ETAPA]],"")</f>
        <v/>
      </c>
      <c r="CD816" s="21" t="str">
        <f>IF([1]!BANCO10[[#This Row],[SOLUÇÃO]]=CD$1,[1]!BANCO10[[#This Row],[STATUS DA ETAPA]],"")</f>
        <v/>
      </c>
      <c r="CE816" s="21" t="str">
        <f>IF([1]!BANCO10[[#This Row],[SOLUÇÃO]]=CE$1,[1]!BANCO10[[#This Row],[STATUS DA ETAPA]],"")</f>
        <v/>
      </c>
      <c r="CF816" s="21" t="str">
        <f>IF([1]!BANCO10[[#This Row],[SOLUÇÃO]]=CF$1,[1]!BANCO10[[#This Row],[STATUS DA ETAPA]],"")</f>
        <v/>
      </c>
      <c r="CG816" s="21" t="str">
        <f>IF([1]!BANCO10[[#This Row],[SOLUÇÃO]]=CG$1,[1]!BANCO10[[#This Row],[STATUS DA ETAPA]],"")</f>
        <v/>
      </c>
      <c r="CH816" s="21" t="str">
        <f>IF([1]!BANCO10[[#This Row],[SOLUÇÃO]]=CH$1,[1]!BANCO10[[#This Row],[STATUS DA ETAPA]],"")</f>
        <v/>
      </c>
      <c r="CI816" s="21" t="str">
        <f>IF([1]!BANCO10[[#This Row],[SOLUÇÃO]]=CI$1,[1]!BANCO10[[#This Row],[STATUS DA ETAPA]],"")</f>
        <v/>
      </c>
      <c r="CJ816" s="21" t="str">
        <f>IF([1]!BANCO10[[#This Row],[SOLUÇÃO]]=CJ$1,[1]!BANCO10[[#This Row],[STATUS DA ETAPA]],"")</f>
        <v/>
      </c>
      <c r="CK816" s="21" t="str">
        <f>IF([1]!BANCO10[[#This Row],[SOLUÇÃO]]=CK$1,[1]!BANCO10[[#This Row],[STATUS DA ETAPA]],"")</f>
        <v/>
      </c>
      <c r="CL816" s="22" t="str">
        <f>IF([1]!BANCO10[[#This Row],[SOLUÇÃO]]=CL$1,[1]!BANCO10[[#This Row],[STATUS DA ETAPA]],"")</f>
        <v/>
      </c>
      <c r="CM816" s="64" t="str">
        <f>IF([1]!BANCO10[[#This Row],[SOLUÇÃO]]=CM$1,[1]!BANCO10[[#This Row],[STATUS DA ETAPA]],"")</f>
        <v/>
      </c>
      <c r="CN816" s="64" t="str">
        <f>IF([1]!BANCO10[[#This Row],[SOLUÇÃO]]=CN$1,[1]!BANCO10[[#This Row],[STATUS DA ETAPA]],"")</f>
        <v/>
      </c>
      <c r="CO816" s="64" t="str">
        <f>IF([1]!BANCO10[[#This Row],[SOLUÇÃO]]=CO$1,[1]!BANCO10[[#This Row],[STATUS DA ETAPA]],"")</f>
        <v/>
      </c>
      <c r="CP816" s="64" t="str">
        <f>IF([1]!BANCO10[[#This Row],[SOLUÇÃO]]=CP$1,[1]!BANCO10[[#This Row],[STATUS DA ETAPA]],"")</f>
        <v/>
      </c>
      <c r="CQ816" s="64" t="str">
        <f>IF([1]!BANCO10[[#This Row],[SOLUÇÃO]]=CQ$1,[1]!BANCO10[[#This Row],[STATUS DA ETAPA]],"")</f>
        <v/>
      </c>
      <c r="CR816" s="64" t="str">
        <f>IF([1]!BANCO10[[#This Row],[SOLUÇÃO]]=CR$1,[1]!BANCO10[[#This Row],[STATUS DA ETAPA]],"")</f>
        <v/>
      </c>
      <c r="CS816" s="64" t="str">
        <f>IF([1]!BANCO10[[#This Row],[SOLUÇÃO]]=CS$1,[1]!BANCO10[[#This Row],[STATUS DA ETAPA]],"")</f>
        <v/>
      </c>
      <c r="CT816" s="64" t="str">
        <f>IF([1]!BANCO10[[#This Row],[SOLUÇÃO]]=CT$1,[1]!BANCO10[[#This Row],[STATUS DA ETAPA]],"")</f>
        <v/>
      </c>
      <c r="CU816" s="64" t="str">
        <f>IF([1]!BANCO10[[#This Row],[SOLUÇÃO]]=CU$1,[1]!BANCO10[[#This Row],[STATUS DA ETAPA]],"")</f>
        <v/>
      </c>
      <c r="CV816" s="64" t="str">
        <f>IF([1]!BANCO10[[#This Row],[SOLUÇÃO]]=CV$1,[1]!BANCO10[[#This Row],[STATUS DA ETAPA]],"")</f>
        <v/>
      </c>
    </row>
    <row r="817" spans="1:100">
      <c r="A817" s="44" t="s">
        <v>1</v>
      </c>
      <c r="B817" s="44"/>
      <c r="C817" s="44" t="s">
        <v>1</v>
      </c>
      <c r="D817" s="44"/>
      <c r="E817" s="44" t="s">
        <v>1</v>
      </c>
      <c r="F817" s="44"/>
      <c r="G817" s="44" t="s">
        <v>1</v>
      </c>
      <c r="H817" s="44"/>
      <c r="I817" s="45" t="s">
        <v>1</v>
      </c>
      <c r="J817" s="46"/>
      <c r="K817" s="45" t="s">
        <v>1</v>
      </c>
      <c r="L817" s="33"/>
      <c r="M817" s="45" t="s">
        <v>1</v>
      </c>
      <c r="N817" s="33"/>
      <c r="O817" s="44" t="s">
        <v>1</v>
      </c>
      <c r="P817" s="44"/>
      <c r="Q817" s="44" t="s">
        <v>1</v>
      </c>
      <c r="R817" s="44"/>
      <c r="S817" s="44" t="s">
        <v>1</v>
      </c>
      <c r="T817" s="44"/>
      <c r="U817" s="44" t="s">
        <v>1</v>
      </c>
      <c r="V817" s="44"/>
      <c r="W817" s="44" t="s">
        <v>1</v>
      </c>
      <c r="X817" s="44"/>
      <c r="Y817" s="44" t="s">
        <v>1</v>
      </c>
      <c r="Z817" s="44"/>
      <c r="AA817" s="44" t="s">
        <v>1</v>
      </c>
      <c r="AB817" s="44"/>
      <c r="AC817" s="84">
        <v>45536</v>
      </c>
      <c r="AD817" s="83">
        <v>45536</v>
      </c>
      <c r="AE817" s="41" t="s">
        <v>1</v>
      </c>
      <c r="AF817" s="41" t="s">
        <v>1</v>
      </c>
      <c r="AG817" s="40" t="s">
        <v>5</v>
      </c>
      <c r="AH817" s="36" t="s">
        <v>1</v>
      </c>
      <c r="AI817" s="49">
        <v>0</v>
      </c>
      <c r="AJ817" s="36" t="s">
        <v>1</v>
      </c>
      <c r="AK817" s="10" t="s">
        <v>1</v>
      </c>
      <c r="AL817" s="36" t="s">
        <v>1</v>
      </c>
      <c r="AM817" s="36" t="s">
        <v>1</v>
      </c>
      <c r="AN817" s="35" t="s">
        <v>1</v>
      </c>
      <c r="AO817" s="35" t="s">
        <v>1</v>
      </c>
      <c r="AP817" s="35" t="s">
        <v>1</v>
      </c>
      <c r="AQ817" s="35" t="s">
        <v>1</v>
      </c>
      <c r="AR817" s="48" t="s">
        <v>1</v>
      </c>
      <c r="AS817" s="33"/>
      <c r="AT817" s="30"/>
      <c r="AU817" s="55"/>
      <c r="AV817" s="30"/>
      <c r="AW817" s="55"/>
      <c r="AX817" s="30" t="s">
        <v>1</v>
      </c>
      <c r="AY817" s="55"/>
      <c r="AZ817" s="30" t="s">
        <v>1</v>
      </c>
      <c r="BA817" s="91"/>
      <c r="BB817" s="39" t="s">
        <v>47</v>
      </c>
      <c r="BC817" s="25" t="s">
        <v>41</v>
      </c>
      <c r="BD817" s="24"/>
      <c r="BE817" s="24"/>
      <c r="BF817" s="79"/>
      <c r="BG817" s="79"/>
      <c r="BH817" s="80"/>
      <c r="BI817" s="79"/>
      <c r="BJ817" s="54"/>
      <c r="BK817" s="78"/>
      <c r="BL817" s="69">
        <v>45390</v>
      </c>
      <c r="BM817" s="78"/>
      <c r="BN817" s="78" t="s">
        <v>11</v>
      </c>
      <c r="BO817" s="78"/>
      <c r="BP817" s="78" t="s">
        <v>44</v>
      </c>
      <c r="BQ817" s="21">
        <f>YEAR([1]!BANCO10[[#This Row],[DATA INÍCIO]])</f>
        <v>2024</v>
      </c>
      <c r="BR817" s="21">
        <f>MONTH([1]!BANCO10[[#This Row],[DATA INÍCIO]])</f>
        <v>9</v>
      </c>
      <c r="BS817" s="21" t="e">
        <f>CONCATENATE(#REF!,#REF!)</f>
        <v>#REF!</v>
      </c>
      <c r="BT817" s="21"/>
      <c r="BU817" s="21" t="s">
        <v>46</v>
      </c>
      <c r="BV817" s="21" t="str">
        <f>IF([1]!BANCO10[[#This Row],[SOLUÇÃO]]=BV$1,[1]!BANCO10[[#This Row],[STATUS DA ETAPA]],"")</f>
        <v>CONCLUÍDO</v>
      </c>
      <c r="BW817" s="21" t="str">
        <f>IF([1]!BANCO10[[#This Row],[SOLUÇÃO]]=BW$1,[1]!BANCO10[[#This Row],[STATUS DA ETAPA]],"")</f>
        <v/>
      </c>
      <c r="BX817" s="21" t="str">
        <f>IF([1]!BANCO10[[#This Row],[SOLUÇÃO]]=BX$1,[1]!BANCO10[[#This Row],[STATUS DA ETAPA]],"")</f>
        <v/>
      </c>
      <c r="BY817" s="21" t="str">
        <f>IF([1]!BANCO10[[#This Row],[SOLUÇÃO]]=BY$1,[1]!BANCO10[[#This Row],[STATUS DA ETAPA]],"")</f>
        <v/>
      </c>
      <c r="BZ817" s="21" t="str">
        <f>IF([1]!BANCO10[[#This Row],[SOLUÇÃO]]=BZ$1,[1]!BANCO10[[#This Row],[STATUS DA ETAPA]],"")</f>
        <v/>
      </c>
      <c r="CA817" s="21" t="str">
        <f>IF([1]!BANCO10[[#This Row],[SOLUÇÃO]]=CA$1,[1]!BANCO10[[#This Row],[STATUS DA ETAPA]],"")</f>
        <v/>
      </c>
      <c r="CB817" s="21" t="str">
        <f>IF([1]!BANCO10[[#This Row],[SOLUÇÃO]]=CB$1,[1]!BANCO10[[#This Row],[STATUS DA ETAPA]],"")</f>
        <v/>
      </c>
      <c r="CC817" s="21" t="str">
        <f>IF([1]!BANCO10[[#This Row],[SOLUÇÃO]]=CC$1,[1]!BANCO10[[#This Row],[STATUS DA ETAPA]],"")</f>
        <v/>
      </c>
      <c r="CD817" s="21" t="str">
        <f>IF([1]!BANCO10[[#This Row],[SOLUÇÃO]]=CD$1,[1]!BANCO10[[#This Row],[STATUS DA ETAPA]],"")</f>
        <v/>
      </c>
      <c r="CE817" s="21" t="str">
        <f>IF([1]!BANCO10[[#This Row],[SOLUÇÃO]]=CE$1,[1]!BANCO10[[#This Row],[STATUS DA ETAPA]],"")</f>
        <v/>
      </c>
      <c r="CF817" s="21" t="str">
        <f>IF([1]!BANCO10[[#This Row],[SOLUÇÃO]]=CF$1,[1]!BANCO10[[#This Row],[STATUS DA ETAPA]],"")</f>
        <v/>
      </c>
      <c r="CG817" s="21" t="str">
        <f>IF([1]!BANCO10[[#This Row],[SOLUÇÃO]]=CG$1,[1]!BANCO10[[#This Row],[STATUS DA ETAPA]],"")</f>
        <v/>
      </c>
      <c r="CH817" s="21" t="str">
        <f>IF([1]!BANCO10[[#This Row],[SOLUÇÃO]]=CH$1,[1]!BANCO10[[#This Row],[STATUS DA ETAPA]],"")</f>
        <v/>
      </c>
      <c r="CI817" s="21" t="str">
        <f>IF([1]!BANCO10[[#This Row],[SOLUÇÃO]]=CI$1,[1]!BANCO10[[#This Row],[STATUS DA ETAPA]],"")</f>
        <v/>
      </c>
      <c r="CJ817" s="21" t="str">
        <f>IF([1]!BANCO10[[#This Row],[SOLUÇÃO]]=CJ$1,[1]!BANCO10[[#This Row],[STATUS DA ETAPA]],"")</f>
        <v/>
      </c>
      <c r="CK817" s="21" t="str">
        <f>IF([1]!BANCO10[[#This Row],[SOLUÇÃO]]=CK$1,[1]!BANCO10[[#This Row],[STATUS DA ETAPA]],"")</f>
        <v/>
      </c>
      <c r="CL817" s="22" t="str">
        <f>IF([1]!BANCO10[[#This Row],[SOLUÇÃO]]=CL$1,[1]!BANCO10[[#This Row],[STATUS DA ETAPA]],"")</f>
        <v/>
      </c>
      <c r="CM817" s="64" t="str">
        <f>IF([1]!BANCO10[[#This Row],[SOLUÇÃO]]=CM$1,[1]!BANCO10[[#This Row],[STATUS DA ETAPA]],"")</f>
        <v/>
      </c>
      <c r="CN817" s="64" t="str">
        <f>IF([1]!BANCO10[[#This Row],[SOLUÇÃO]]=CN$1,[1]!BANCO10[[#This Row],[STATUS DA ETAPA]],"")</f>
        <v/>
      </c>
      <c r="CO817" s="64" t="str">
        <f>IF([1]!BANCO10[[#This Row],[SOLUÇÃO]]=CO$1,[1]!BANCO10[[#This Row],[STATUS DA ETAPA]],"")</f>
        <v/>
      </c>
      <c r="CP817" s="64" t="str">
        <f>IF([1]!BANCO10[[#This Row],[SOLUÇÃO]]=CP$1,[1]!BANCO10[[#This Row],[STATUS DA ETAPA]],"")</f>
        <v/>
      </c>
      <c r="CQ817" s="64" t="str">
        <f>IF([1]!BANCO10[[#This Row],[SOLUÇÃO]]=CQ$1,[1]!BANCO10[[#This Row],[STATUS DA ETAPA]],"")</f>
        <v/>
      </c>
      <c r="CR817" s="64" t="str">
        <f>IF([1]!BANCO10[[#This Row],[SOLUÇÃO]]=CR$1,[1]!BANCO10[[#This Row],[STATUS DA ETAPA]],"")</f>
        <v/>
      </c>
      <c r="CS817" s="64" t="str">
        <f>IF([1]!BANCO10[[#This Row],[SOLUÇÃO]]=CS$1,[1]!BANCO10[[#This Row],[STATUS DA ETAPA]],"")</f>
        <v/>
      </c>
      <c r="CT817" s="64" t="str">
        <f>IF([1]!BANCO10[[#This Row],[SOLUÇÃO]]=CT$1,[1]!BANCO10[[#This Row],[STATUS DA ETAPA]],"")</f>
        <v/>
      </c>
      <c r="CU817" s="64" t="str">
        <f>IF([1]!BANCO10[[#This Row],[SOLUÇÃO]]=CU$1,[1]!BANCO10[[#This Row],[STATUS DA ETAPA]],"")</f>
        <v/>
      </c>
      <c r="CV817" s="64" t="str">
        <f>IF([1]!BANCO10[[#This Row],[SOLUÇÃO]]=CV$1,[1]!BANCO10[[#This Row],[STATUS DA ETAPA]],"")</f>
        <v/>
      </c>
    </row>
    <row r="818" spans="1:100">
      <c r="A818" s="44" t="s">
        <v>1</v>
      </c>
      <c r="B818" s="44"/>
      <c r="C818" s="44" t="s">
        <v>1</v>
      </c>
      <c r="D818" s="44"/>
      <c r="E818" s="44" t="s">
        <v>1</v>
      </c>
      <c r="F818" s="44"/>
      <c r="G818" s="44" t="s">
        <v>1</v>
      </c>
      <c r="H818" s="44"/>
      <c r="I818" s="45" t="s">
        <v>1</v>
      </c>
      <c r="J818" s="46"/>
      <c r="K818" s="45" t="s">
        <v>1</v>
      </c>
      <c r="L818" s="33"/>
      <c r="M818" s="45" t="s">
        <v>1</v>
      </c>
      <c r="N818" s="33"/>
      <c r="O818" s="44" t="s">
        <v>2</v>
      </c>
      <c r="P818" s="44">
        <v>45506</v>
      </c>
      <c r="Q818" s="44" t="s">
        <v>2</v>
      </c>
      <c r="R818" s="44">
        <v>45509</v>
      </c>
      <c r="S818" s="44" t="s">
        <v>2</v>
      </c>
      <c r="T818" s="44">
        <v>45536</v>
      </c>
      <c r="U818" s="44" t="s">
        <v>1</v>
      </c>
      <c r="V818" s="44"/>
      <c r="W818" s="44" t="s">
        <v>1</v>
      </c>
      <c r="X818" s="44"/>
      <c r="Y818" s="44" t="s">
        <v>1</v>
      </c>
      <c r="Z818" s="44"/>
      <c r="AA818" s="44" t="s">
        <v>1</v>
      </c>
      <c r="AB818" s="44"/>
      <c r="AC818" s="84">
        <v>45589</v>
      </c>
      <c r="AD818" s="83">
        <v>45636</v>
      </c>
      <c r="AE818" s="41" t="s">
        <v>2</v>
      </c>
      <c r="AF818" s="41" t="s">
        <v>2</v>
      </c>
      <c r="AG818" s="40" t="s">
        <v>5</v>
      </c>
      <c r="AH818" s="36" t="s">
        <v>0</v>
      </c>
      <c r="AI818" s="49">
        <v>0</v>
      </c>
      <c r="AJ818" s="36" t="s">
        <v>6</v>
      </c>
      <c r="AK818" s="10">
        <v>564855</v>
      </c>
      <c r="AL818" s="36" t="s">
        <v>1</v>
      </c>
      <c r="AM818" s="36" t="s">
        <v>1</v>
      </c>
      <c r="AN818" s="35" t="s">
        <v>2</v>
      </c>
      <c r="AO818" s="35" t="s">
        <v>2</v>
      </c>
      <c r="AP818" s="35" t="s">
        <v>2</v>
      </c>
      <c r="AQ818" s="35" t="s">
        <v>2</v>
      </c>
      <c r="AR818" s="45" t="s">
        <v>2</v>
      </c>
      <c r="AS818" s="46">
        <v>45646</v>
      </c>
      <c r="AT818" s="30" t="s">
        <v>1</v>
      </c>
      <c r="AU818" s="31"/>
      <c r="AV818" s="30" t="s">
        <v>1</v>
      </c>
      <c r="AW818" s="31"/>
      <c r="AX818" s="30" t="s">
        <v>2</v>
      </c>
      <c r="AY818" s="31">
        <v>45649</v>
      </c>
      <c r="AZ818" s="30" t="s">
        <v>0</v>
      </c>
      <c r="BA818" s="91"/>
      <c r="BB818" s="39"/>
      <c r="BC818" s="25" t="s">
        <v>45</v>
      </c>
      <c r="BD818" s="24"/>
      <c r="BE818" s="24"/>
      <c r="BF818" s="79"/>
      <c r="BG818" s="79"/>
      <c r="BH818" s="80"/>
      <c r="BI818" s="79"/>
      <c r="BJ818" s="54"/>
      <c r="BK818" s="78"/>
      <c r="BL818" s="69">
        <v>45390</v>
      </c>
      <c r="BM818" s="78"/>
      <c r="BN818" s="78" t="s">
        <v>11</v>
      </c>
      <c r="BO818" s="78"/>
      <c r="BP818" s="78" t="s">
        <v>44</v>
      </c>
      <c r="BQ818" s="21">
        <f>YEAR([1]!BANCO10[[#This Row],[DATA INÍCIO]])</f>
        <v>2024</v>
      </c>
      <c r="BR818" s="21">
        <f>MONTH([1]!BANCO10[[#This Row],[DATA INÍCIO]])</f>
        <v>10</v>
      </c>
      <c r="BS818" s="21" t="e">
        <f>CONCATENATE(#REF!,#REF!)</f>
        <v>#REF!</v>
      </c>
      <c r="BT818" s="21"/>
      <c r="BU818" s="21" t="s">
        <v>43</v>
      </c>
      <c r="BV818" s="21" t="str">
        <f>IF([1]!BANCO10[[#This Row],[SOLUÇÃO]]=BV$1,[1]!BANCO10[[#This Row],[STATUS DA ETAPA]],"")</f>
        <v/>
      </c>
      <c r="BW818" s="21" t="str">
        <f>IF([1]!BANCO10[[#This Row],[SOLUÇÃO]]=BW$1,[1]!BANCO10[[#This Row],[STATUS DA ETAPA]],"")</f>
        <v/>
      </c>
      <c r="BX818" s="21" t="str">
        <f>IF([1]!BANCO10[[#This Row],[SOLUÇÃO]]=BX$1,[1]!BANCO10[[#This Row],[STATUS DA ETAPA]],"")</f>
        <v/>
      </c>
      <c r="BY818" s="21" t="str">
        <f>IF([1]!BANCO10[[#This Row],[SOLUÇÃO]]=BY$1,[1]!BANCO10[[#This Row],[STATUS DA ETAPA]],"")</f>
        <v/>
      </c>
      <c r="BZ818" s="21" t="str">
        <f>IF([1]!BANCO10[[#This Row],[SOLUÇÃO]]=BZ$1,[1]!BANCO10[[#This Row],[STATUS DA ETAPA]],"")</f>
        <v/>
      </c>
      <c r="CA818" s="21" t="str">
        <f>IF([1]!BANCO10[[#This Row],[SOLUÇÃO]]=CA$1,[1]!BANCO10[[#This Row],[STATUS DA ETAPA]],"")</f>
        <v/>
      </c>
      <c r="CB818" s="21" t="str">
        <f>IF([1]!BANCO10[[#This Row],[SOLUÇÃO]]=CB$1,[1]!BANCO10[[#This Row],[STATUS DA ETAPA]],"")</f>
        <v>CONCLUÍDO</v>
      </c>
      <c r="CC818" s="21" t="str">
        <f>IF([1]!BANCO10[[#This Row],[SOLUÇÃO]]=CC$1,[1]!BANCO10[[#This Row],[STATUS DA ETAPA]],"")</f>
        <v/>
      </c>
      <c r="CD818" s="21" t="str">
        <f>IF([1]!BANCO10[[#This Row],[SOLUÇÃO]]=CD$1,[1]!BANCO10[[#This Row],[STATUS DA ETAPA]],"")</f>
        <v/>
      </c>
      <c r="CE818" s="21" t="str">
        <f>IF([1]!BANCO10[[#This Row],[SOLUÇÃO]]=CE$1,[1]!BANCO10[[#This Row],[STATUS DA ETAPA]],"")</f>
        <v/>
      </c>
      <c r="CF818" s="21" t="str">
        <f>IF([1]!BANCO10[[#This Row],[SOLUÇÃO]]=CF$1,[1]!BANCO10[[#This Row],[STATUS DA ETAPA]],"")</f>
        <v/>
      </c>
      <c r="CG818" s="21" t="str">
        <f>IF([1]!BANCO10[[#This Row],[SOLUÇÃO]]=CG$1,[1]!BANCO10[[#This Row],[STATUS DA ETAPA]],"")</f>
        <v/>
      </c>
      <c r="CH818" s="21" t="str">
        <f>IF([1]!BANCO10[[#This Row],[SOLUÇÃO]]=CH$1,[1]!BANCO10[[#This Row],[STATUS DA ETAPA]],"")</f>
        <v/>
      </c>
      <c r="CI818" s="21" t="str">
        <f>IF([1]!BANCO10[[#This Row],[SOLUÇÃO]]=CI$1,[1]!BANCO10[[#This Row],[STATUS DA ETAPA]],"")</f>
        <v/>
      </c>
      <c r="CJ818" s="21" t="str">
        <f>IF([1]!BANCO10[[#This Row],[SOLUÇÃO]]=CJ$1,[1]!BANCO10[[#This Row],[STATUS DA ETAPA]],"")</f>
        <v/>
      </c>
      <c r="CK818" s="21" t="str">
        <f>IF([1]!BANCO10[[#This Row],[SOLUÇÃO]]=CK$1,[1]!BANCO10[[#This Row],[STATUS DA ETAPA]],"")</f>
        <v/>
      </c>
      <c r="CL818" s="22" t="str">
        <f>IF([1]!BANCO10[[#This Row],[SOLUÇÃO]]=CL$1,[1]!BANCO10[[#This Row],[STATUS DA ETAPA]],"")</f>
        <v/>
      </c>
      <c r="CM818" s="64" t="str">
        <f>IF([1]!BANCO10[[#This Row],[SOLUÇÃO]]=CM$1,[1]!BANCO10[[#This Row],[STATUS DA ETAPA]],"")</f>
        <v/>
      </c>
      <c r="CN818" s="64" t="str">
        <f>IF([1]!BANCO10[[#This Row],[SOLUÇÃO]]=CN$1,[1]!BANCO10[[#This Row],[STATUS DA ETAPA]],"")</f>
        <v/>
      </c>
      <c r="CO818" s="64" t="str">
        <f>IF([1]!BANCO10[[#This Row],[SOLUÇÃO]]=CO$1,[1]!BANCO10[[#This Row],[STATUS DA ETAPA]],"")</f>
        <v/>
      </c>
      <c r="CP818" s="64" t="str">
        <f>IF([1]!BANCO10[[#This Row],[SOLUÇÃO]]=CP$1,[1]!BANCO10[[#This Row],[STATUS DA ETAPA]],"")</f>
        <v/>
      </c>
      <c r="CQ818" s="64" t="str">
        <f>IF([1]!BANCO10[[#This Row],[SOLUÇÃO]]=CQ$1,[1]!BANCO10[[#This Row],[STATUS DA ETAPA]],"")</f>
        <v/>
      </c>
      <c r="CR818" s="64" t="str">
        <f>IF([1]!BANCO10[[#This Row],[SOLUÇÃO]]=CR$1,[1]!BANCO10[[#This Row],[STATUS DA ETAPA]],"")</f>
        <v/>
      </c>
      <c r="CS818" s="64" t="str">
        <f>IF([1]!BANCO10[[#This Row],[SOLUÇÃO]]=CS$1,[1]!BANCO10[[#This Row],[STATUS DA ETAPA]],"")</f>
        <v/>
      </c>
      <c r="CT818" s="64" t="str">
        <f>IF([1]!BANCO10[[#This Row],[SOLUÇÃO]]=CT$1,[1]!BANCO10[[#This Row],[STATUS DA ETAPA]],"")</f>
        <v/>
      </c>
      <c r="CU818" s="64" t="str">
        <f>IF([1]!BANCO10[[#This Row],[SOLUÇÃO]]=CU$1,[1]!BANCO10[[#This Row],[STATUS DA ETAPA]],"")</f>
        <v/>
      </c>
      <c r="CV818" s="64" t="str">
        <f>IF([1]!BANCO10[[#This Row],[SOLUÇÃO]]=CV$1,[1]!BANCO10[[#This Row],[STATUS DA ETAPA]],"")</f>
        <v/>
      </c>
    </row>
    <row r="819" spans="1:100">
      <c r="A819" s="44" t="s">
        <v>1</v>
      </c>
      <c r="B819" s="44"/>
      <c r="C819" s="44" t="s">
        <v>1</v>
      </c>
      <c r="D819" s="44"/>
      <c r="E819" s="44" t="s">
        <v>1</v>
      </c>
      <c r="F819" s="44"/>
      <c r="G819" s="44" t="s">
        <v>1</v>
      </c>
      <c r="H819" s="44"/>
      <c r="I819" s="45" t="s">
        <v>1</v>
      </c>
      <c r="J819" s="46"/>
      <c r="K819" s="45" t="s">
        <v>1</v>
      </c>
      <c r="L819" s="33"/>
      <c r="M819" s="45" t="s">
        <v>1</v>
      </c>
      <c r="N819" s="33"/>
      <c r="O819" s="44" t="s">
        <v>2</v>
      </c>
      <c r="P819" s="44">
        <v>45506</v>
      </c>
      <c r="Q819" s="44" t="s">
        <v>2</v>
      </c>
      <c r="R819" s="44">
        <v>45509</v>
      </c>
      <c r="S819" s="44" t="s">
        <v>2</v>
      </c>
      <c r="T819" s="44">
        <v>45536</v>
      </c>
      <c r="U819" s="44" t="s">
        <v>1</v>
      </c>
      <c r="V819" s="44"/>
      <c r="W819" s="44" t="s">
        <v>1</v>
      </c>
      <c r="X819" s="44"/>
      <c r="Y819" s="44" t="s">
        <v>1</v>
      </c>
      <c r="Z819" s="44"/>
      <c r="AA819" s="44" t="s">
        <v>1</v>
      </c>
      <c r="AB819" s="44"/>
      <c r="AC819" s="84">
        <v>45589</v>
      </c>
      <c r="AD819" s="83">
        <v>45636</v>
      </c>
      <c r="AE819" s="41" t="s">
        <v>2</v>
      </c>
      <c r="AF819" s="41" t="s">
        <v>2</v>
      </c>
      <c r="AG819" s="40" t="s">
        <v>5</v>
      </c>
      <c r="AH819" s="36" t="s">
        <v>0</v>
      </c>
      <c r="AI819" s="49">
        <v>0</v>
      </c>
      <c r="AJ819" s="36" t="s">
        <v>6</v>
      </c>
      <c r="AK819" s="10">
        <v>564855</v>
      </c>
      <c r="AL819" s="36" t="s">
        <v>1</v>
      </c>
      <c r="AM819" s="36" t="s">
        <v>1</v>
      </c>
      <c r="AN819" s="35" t="s">
        <v>2</v>
      </c>
      <c r="AO819" s="35" t="s">
        <v>2</v>
      </c>
      <c r="AP819" s="35" t="s">
        <v>2</v>
      </c>
      <c r="AQ819" s="35" t="s">
        <v>2</v>
      </c>
      <c r="AR819" s="34" t="s">
        <v>2</v>
      </c>
      <c r="AS819" s="46">
        <v>45646</v>
      </c>
      <c r="AT819" s="30" t="s">
        <v>1</v>
      </c>
      <c r="AU819" s="31"/>
      <c r="AV819" s="30" t="s">
        <v>1</v>
      </c>
      <c r="AW819" s="31"/>
      <c r="AX819" s="30" t="s">
        <v>2</v>
      </c>
      <c r="AY819" s="31">
        <v>45649</v>
      </c>
      <c r="AZ819" s="30" t="s">
        <v>1</v>
      </c>
      <c r="BA819" s="55"/>
      <c r="BB819" s="26"/>
      <c r="BC819" s="25" t="s">
        <v>45</v>
      </c>
      <c r="BD819" s="24"/>
      <c r="BE819" s="24"/>
      <c r="BF819" s="79"/>
      <c r="BG819" s="79"/>
      <c r="BH819" s="80"/>
      <c r="BI819" s="79"/>
      <c r="BJ819" s="54"/>
      <c r="BK819" s="78"/>
      <c r="BL819" s="69">
        <v>45390</v>
      </c>
      <c r="BM819" s="78"/>
      <c r="BN819" s="78" t="s">
        <v>11</v>
      </c>
      <c r="BO819" s="78"/>
      <c r="BP819" s="78" t="s">
        <v>44</v>
      </c>
      <c r="BQ819" s="21">
        <f>YEAR([1]!BANCO10[[#This Row],[DATA INÍCIO]])</f>
        <v>2024</v>
      </c>
      <c r="BR819" s="21">
        <f>MONTH([1]!BANCO10[[#This Row],[DATA INÍCIO]])</f>
        <v>10</v>
      </c>
      <c r="BS819" s="21" t="e">
        <f>CONCATENATE(#REF!,#REF!)</f>
        <v>#REF!</v>
      </c>
      <c r="BT819" s="21"/>
      <c r="BU819" s="21" t="s">
        <v>43</v>
      </c>
      <c r="BV819" s="21" t="str">
        <f>IF([1]!BANCO10[[#This Row],[SOLUÇÃO]]=BV$1,[1]!BANCO10[[#This Row],[STATUS DA ETAPA]],"")</f>
        <v/>
      </c>
      <c r="BW819" s="21" t="str">
        <f>IF([1]!BANCO10[[#This Row],[SOLUÇÃO]]=BW$1,[1]!BANCO10[[#This Row],[STATUS DA ETAPA]],"")</f>
        <v/>
      </c>
      <c r="BX819" s="21" t="str">
        <f>IF([1]!BANCO10[[#This Row],[SOLUÇÃO]]=BX$1,[1]!BANCO10[[#This Row],[STATUS DA ETAPA]],"")</f>
        <v/>
      </c>
      <c r="BY819" s="21" t="str">
        <f>IF([1]!BANCO10[[#This Row],[SOLUÇÃO]]=BY$1,[1]!BANCO10[[#This Row],[STATUS DA ETAPA]],"")</f>
        <v/>
      </c>
      <c r="BZ819" s="21" t="str">
        <f>IF([1]!BANCO10[[#This Row],[SOLUÇÃO]]=BZ$1,[1]!BANCO10[[#This Row],[STATUS DA ETAPA]],"")</f>
        <v/>
      </c>
      <c r="CA819" s="21" t="str">
        <f>IF([1]!BANCO10[[#This Row],[SOLUÇÃO]]=CA$1,[1]!BANCO10[[#This Row],[STATUS DA ETAPA]],"")</f>
        <v/>
      </c>
      <c r="CB819" s="21" t="str">
        <f>IF([1]!BANCO10[[#This Row],[SOLUÇÃO]]=CB$1,[1]!BANCO10[[#This Row],[STATUS DA ETAPA]],"")</f>
        <v>CONCLUÍDO</v>
      </c>
      <c r="CC819" s="21" t="str">
        <f>IF([1]!BANCO10[[#This Row],[SOLUÇÃO]]=CC$1,[1]!BANCO10[[#This Row],[STATUS DA ETAPA]],"")</f>
        <v/>
      </c>
      <c r="CD819" s="21" t="str">
        <f>IF([1]!BANCO10[[#This Row],[SOLUÇÃO]]=CD$1,[1]!BANCO10[[#This Row],[STATUS DA ETAPA]],"")</f>
        <v/>
      </c>
      <c r="CE819" s="21" t="str">
        <f>IF([1]!BANCO10[[#This Row],[SOLUÇÃO]]=CE$1,[1]!BANCO10[[#This Row],[STATUS DA ETAPA]],"")</f>
        <v/>
      </c>
      <c r="CF819" s="21" t="str">
        <f>IF([1]!BANCO10[[#This Row],[SOLUÇÃO]]=CF$1,[1]!BANCO10[[#This Row],[STATUS DA ETAPA]],"")</f>
        <v/>
      </c>
      <c r="CG819" s="21" t="str">
        <f>IF([1]!BANCO10[[#This Row],[SOLUÇÃO]]=CG$1,[1]!BANCO10[[#This Row],[STATUS DA ETAPA]],"")</f>
        <v/>
      </c>
      <c r="CH819" s="21" t="str">
        <f>IF([1]!BANCO10[[#This Row],[SOLUÇÃO]]=CH$1,[1]!BANCO10[[#This Row],[STATUS DA ETAPA]],"")</f>
        <v/>
      </c>
      <c r="CI819" s="21" t="str">
        <f>IF([1]!BANCO10[[#This Row],[SOLUÇÃO]]=CI$1,[1]!BANCO10[[#This Row],[STATUS DA ETAPA]],"")</f>
        <v/>
      </c>
      <c r="CJ819" s="21" t="str">
        <f>IF([1]!BANCO10[[#This Row],[SOLUÇÃO]]=CJ$1,[1]!BANCO10[[#This Row],[STATUS DA ETAPA]],"")</f>
        <v/>
      </c>
      <c r="CK819" s="21" t="str">
        <f>IF([1]!BANCO10[[#This Row],[SOLUÇÃO]]=CK$1,[1]!BANCO10[[#This Row],[STATUS DA ETAPA]],"")</f>
        <v/>
      </c>
      <c r="CL819" s="22" t="str">
        <f>IF([1]!BANCO10[[#This Row],[SOLUÇÃO]]=CL$1,[1]!BANCO10[[#This Row],[STATUS DA ETAPA]],"")</f>
        <v/>
      </c>
      <c r="CM819" s="64" t="str">
        <f>IF([1]!BANCO10[[#This Row],[SOLUÇÃO]]=CM$1,[1]!BANCO10[[#This Row],[STATUS DA ETAPA]],"")</f>
        <v/>
      </c>
      <c r="CN819" s="64" t="str">
        <f>IF([1]!BANCO10[[#This Row],[SOLUÇÃO]]=CN$1,[1]!BANCO10[[#This Row],[STATUS DA ETAPA]],"")</f>
        <v/>
      </c>
      <c r="CO819" s="64" t="str">
        <f>IF([1]!BANCO10[[#This Row],[SOLUÇÃO]]=CO$1,[1]!BANCO10[[#This Row],[STATUS DA ETAPA]],"")</f>
        <v/>
      </c>
      <c r="CP819" s="64" t="str">
        <f>IF([1]!BANCO10[[#This Row],[SOLUÇÃO]]=CP$1,[1]!BANCO10[[#This Row],[STATUS DA ETAPA]],"")</f>
        <v/>
      </c>
      <c r="CQ819" s="64" t="str">
        <f>IF([1]!BANCO10[[#This Row],[SOLUÇÃO]]=CQ$1,[1]!BANCO10[[#This Row],[STATUS DA ETAPA]],"")</f>
        <v/>
      </c>
      <c r="CR819" s="64" t="str">
        <f>IF([1]!BANCO10[[#This Row],[SOLUÇÃO]]=CR$1,[1]!BANCO10[[#This Row],[STATUS DA ETAPA]],"")</f>
        <v/>
      </c>
      <c r="CS819" s="64" t="str">
        <f>IF([1]!BANCO10[[#This Row],[SOLUÇÃO]]=CS$1,[1]!BANCO10[[#This Row],[STATUS DA ETAPA]],"")</f>
        <v/>
      </c>
      <c r="CT819" s="64" t="str">
        <f>IF([1]!BANCO10[[#This Row],[SOLUÇÃO]]=CT$1,[1]!BANCO10[[#This Row],[STATUS DA ETAPA]],"")</f>
        <v/>
      </c>
      <c r="CU819" s="64" t="str">
        <f>IF([1]!BANCO10[[#This Row],[SOLUÇÃO]]=CU$1,[1]!BANCO10[[#This Row],[STATUS DA ETAPA]],"")</f>
        <v/>
      </c>
      <c r="CV819" s="64" t="str">
        <f>IF([1]!BANCO10[[#This Row],[SOLUÇÃO]]=CV$1,[1]!BANCO10[[#This Row],[STATUS DA ETAPA]],"")</f>
        <v/>
      </c>
    </row>
    <row r="820" spans="1:100">
      <c r="A820" s="44" t="s">
        <v>1</v>
      </c>
      <c r="B820" s="44"/>
      <c r="C820" s="44" t="s">
        <v>1</v>
      </c>
      <c r="D820" s="44"/>
      <c r="E820" s="44" t="s">
        <v>1</v>
      </c>
      <c r="F820" s="44"/>
      <c r="G820" s="44" t="s">
        <v>1</v>
      </c>
      <c r="H820" s="44"/>
      <c r="I820" s="45" t="s">
        <v>1</v>
      </c>
      <c r="J820" s="46"/>
      <c r="K820" s="45" t="s">
        <v>1</v>
      </c>
      <c r="L820" s="33"/>
      <c r="M820" s="45" t="s">
        <v>1</v>
      </c>
      <c r="N820" s="33"/>
      <c r="O820" s="44" t="s">
        <v>1</v>
      </c>
      <c r="P820" s="44"/>
      <c r="Q820" s="44" t="s">
        <v>1</v>
      </c>
      <c r="R820" s="44"/>
      <c r="S820" s="44" t="s">
        <v>1</v>
      </c>
      <c r="T820" s="44"/>
      <c r="U820" s="44" t="s">
        <v>1</v>
      </c>
      <c r="V820" s="44"/>
      <c r="W820" s="44" t="s">
        <v>1</v>
      </c>
      <c r="X820" s="44"/>
      <c r="Y820" s="44" t="s">
        <v>1</v>
      </c>
      <c r="Z820" s="44"/>
      <c r="AA820" s="44" t="s">
        <v>1</v>
      </c>
      <c r="AB820" s="44"/>
      <c r="AC820" s="84">
        <v>45577</v>
      </c>
      <c r="AD820" s="83">
        <v>45577</v>
      </c>
      <c r="AE820" s="41" t="s">
        <v>1</v>
      </c>
      <c r="AF820" s="41" t="s">
        <v>1</v>
      </c>
      <c r="AG820" s="40" t="s">
        <v>5</v>
      </c>
      <c r="AH820" s="36" t="s">
        <v>1</v>
      </c>
      <c r="AI820" s="49">
        <v>0</v>
      </c>
      <c r="AJ820" s="36" t="s">
        <v>1</v>
      </c>
      <c r="AK820" s="10" t="s">
        <v>1</v>
      </c>
      <c r="AL820" s="36" t="s">
        <v>1</v>
      </c>
      <c r="AM820" s="36" t="s">
        <v>1</v>
      </c>
      <c r="AN820" s="35" t="s">
        <v>1</v>
      </c>
      <c r="AO820" s="35" t="s">
        <v>1</v>
      </c>
      <c r="AP820" s="35" t="s">
        <v>1</v>
      </c>
      <c r="AQ820" s="35" t="s">
        <v>1</v>
      </c>
      <c r="AR820" s="90" t="s">
        <v>1</v>
      </c>
      <c r="AS820" s="89"/>
      <c r="AT820" s="88"/>
      <c r="AU820" s="25"/>
      <c r="AV820" s="88"/>
      <c r="AW820" s="25"/>
      <c r="AX820" s="88" t="s">
        <v>1</v>
      </c>
      <c r="AY820" s="25"/>
      <c r="AZ820" s="88" t="s">
        <v>1</v>
      </c>
      <c r="BA820" s="87"/>
      <c r="BB820" s="26"/>
      <c r="BC820" s="86"/>
      <c r="BD820" s="24"/>
      <c r="BE820" s="24"/>
      <c r="BF820" s="24"/>
      <c r="BG820" s="24"/>
      <c r="BH820" s="24"/>
      <c r="BI820" s="24"/>
      <c r="BJ820" s="24"/>
      <c r="BK820" s="24"/>
      <c r="BL820" s="24"/>
      <c r="BM820" s="24"/>
      <c r="BN820" s="24"/>
      <c r="BO820" s="24"/>
      <c r="BP820" s="24"/>
      <c r="BQ820" s="22">
        <f>YEAR([1]!BANCO10[[#This Row],[DATA INÍCIO]])</f>
        <v>2024</v>
      </c>
      <c r="BR820" s="22">
        <f>MONTH([1]!BANCO10[[#This Row],[DATA INÍCIO]])</f>
        <v>10</v>
      </c>
      <c r="BS820" s="23" t="e">
        <f>CONCATENATE(#REF!,#REF!)</f>
        <v>#REF!</v>
      </c>
      <c r="BT820" s="22"/>
      <c r="BU820" s="22"/>
      <c r="BV820" s="21" t="str">
        <f>IF([1]!BANCO10[[#This Row],[SOLUÇÃO]]=BV$1,[1]!BANCO10[[#This Row],[STATUS DA ETAPA]],"")</f>
        <v>CONCLUÍDO</v>
      </c>
      <c r="BW820" s="21" t="str">
        <f>IF([1]!BANCO10[[#This Row],[SOLUÇÃO]]=BW$1,[1]!BANCO10[[#This Row],[STATUS DA ETAPA]],"")</f>
        <v/>
      </c>
      <c r="BX820" s="21" t="str">
        <f>IF([1]!BANCO10[[#This Row],[SOLUÇÃO]]=BX$1,[1]!BANCO10[[#This Row],[STATUS DA ETAPA]],"")</f>
        <v/>
      </c>
      <c r="BY820" s="21" t="str">
        <f>IF([1]!BANCO10[[#This Row],[SOLUÇÃO]]=BY$1,[1]!BANCO10[[#This Row],[STATUS DA ETAPA]],"")</f>
        <v/>
      </c>
      <c r="BZ820" s="21" t="str">
        <f>IF([1]!BANCO10[[#This Row],[SOLUÇÃO]]=BZ$1,[1]!BANCO10[[#This Row],[STATUS DA ETAPA]],"")</f>
        <v/>
      </c>
      <c r="CA820" s="21" t="str">
        <f>IF([1]!BANCO10[[#This Row],[SOLUÇÃO]]=CA$1,[1]!BANCO10[[#This Row],[STATUS DA ETAPA]],"")</f>
        <v/>
      </c>
      <c r="CB820" s="21" t="str">
        <f>IF([1]!BANCO10[[#This Row],[SOLUÇÃO]]=CB$1,[1]!BANCO10[[#This Row],[STATUS DA ETAPA]],"")</f>
        <v/>
      </c>
      <c r="CC820" s="21" t="str">
        <f>IF([1]!BANCO10[[#This Row],[SOLUÇÃO]]=CC$1,[1]!BANCO10[[#This Row],[STATUS DA ETAPA]],"")</f>
        <v/>
      </c>
      <c r="CD820" s="21" t="str">
        <f>IF([1]!BANCO10[[#This Row],[SOLUÇÃO]]=CD$1,[1]!BANCO10[[#This Row],[STATUS DA ETAPA]],"")</f>
        <v/>
      </c>
      <c r="CE820" s="21" t="str">
        <f>IF([1]!BANCO10[[#This Row],[SOLUÇÃO]]=CE$1,[1]!BANCO10[[#This Row],[STATUS DA ETAPA]],"")</f>
        <v/>
      </c>
      <c r="CF820" s="21" t="str">
        <f>IF([1]!BANCO10[[#This Row],[SOLUÇÃO]]=CF$1,[1]!BANCO10[[#This Row],[STATUS DA ETAPA]],"")</f>
        <v/>
      </c>
      <c r="CG820" s="21" t="str">
        <f>IF([1]!BANCO10[[#This Row],[SOLUÇÃO]]=CG$1,[1]!BANCO10[[#This Row],[STATUS DA ETAPA]],"")</f>
        <v/>
      </c>
      <c r="CH820" s="21" t="str">
        <f>IF([1]!BANCO10[[#This Row],[SOLUÇÃO]]=CH$1,[1]!BANCO10[[#This Row],[STATUS DA ETAPA]],"")</f>
        <v/>
      </c>
      <c r="CI820" s="21" t="str">
        <f>IF([1]!BANCO10[[#This Row],[SOLUÇÃO]]=CI$1,[1]!BANCO10[[#This Row],[STATUS DA ETAPA]],"")</f>
        <v/>
      </c>
      <c r="CJ820" s="21" t="str">
        <f>IF([1]!BANCO10[[#This Row],[SOLUÇÃO]]=CJ$1,[1]!BANCO10[[#This Row],[STATUS DA ETAPA]],"")</f>
        <v/>
      </c>
      <c r="CK820" s="21" t="str">
        <f>IF([1]!BANCO10[[#This Row],[SOLUÇÃO]]=CK$1,[1]!BANCO10[[#This Row],[STATUS DA ETAPA]],"")</f>
        <v/>
      </c>
      <c r="CL820" s="21" t="str">
        <f>IF([1]!BANCO10[[#This Row],[SOLUÇÃO]]=CL$1,[1]!BANCO10[[#This Row],[STATUS DA ETAPA]],"")</f>
        <v/>
      </c>
      <c r="CM820" s="21" t="str">
        <f>IF([1]!BANCO10[[#This Row],[SOLUÇÃO]]=CM$1,[1]!BANCO10[[#This Row],[STATUS DA ETAPA]],"")</f>
        <v/>
      </c>
      <c r="CN820" s="21" t="str">
        <f>IF([1]!BANCO10[[#This Row],[SOLUÇÃO]]=CN$1,[1]!BANCO10[[#This Row],[STATUS DA ETAPA]],"")</f>
        <v/>
      </c>
      <c r="CO820" s="21" t="str">
        <f>IF([1]!BANCO10[[#This Row],[SOLUÇÃO]]=CO$1,[1]!BANCO10[[#This Row],[STATUS DA ETAPA]],"")</f>
        <v/>
      </c>
      <c r="CP820" s="21" t="str">
        <f>IF([1]!BANCO10[[#This Row],[SOLUÇÃO]]=CP$1,[1]!BANCO10[[#This Row],[STATUS DA ETAPA]],"")</f>
        <v/>
      </c>
      <c r="CQ820" s="21" t="str">
        <f>IF([1]!BANCO10[[#This Row],[SOLUÇÃO]]=CQ$1,[1]!BANCO10[[#This Row],[STATUS DA ETAPA]],"")</f>
        <v/>
      </c>
      <c r="CR820" s="21" t="str">
        <f>IF([1]!BANCO10[[#This Row],[SOLUÇÃO]]=CR$1,[1]!BANCO10[[#This Row],[STATUS DA ETAPA]],"")</f>
        <v/>
      </c>
      <c r="CS820" s="21" t="str">
        <f>IF([1]!BANCO10[[#This Row],[SOLUÇÃO]]=CS$1,[1]!BANCO10[[#This Row],[STATUS DA ETAPA]],"")</f>
        <v/>
      </c>
      <c r="CT820" s="21" t="str">
        <f>IF([1]!BANCO10[[#This Row],[SOLUÇÃO]]=CT$1,[1]!BANCO10[[#This Row],[STATUS DA ETAPA]],"")</f>
        <v/>
      </c>
      <c r="CU820" s="21" t="str">
        <f>IF([1]!BANCO10[[#This Row],[SOLUÇÃO]]=CU$1,[1]!BANCO10[[#This Row],[STATUS DA ETAPA]],"")</f>
        <v/>
      </c>
      <c r="CV820" s="21" t="str">
        <f>IF([1]!BANCO10[[#This Row],[SOLUÇÃO]]=CV$1,[1]!BANCO10[[#This Row],[STATUS DA ETAPA]],"")</f>
        <v/>
      </c>
    </row>
    <row r="821" spans="1:100">
      <c r="A821" s="44" t="s">
        <v>1</v>
      </c>
      <c r="B821" s="44"/>
      <c r="C821" s="44" t="s">
        <v>1</v>
      </c>
      <c r="D821" s="44"/>
      <c r="E821" s="44" t="s">
        <v>1</v>
      </c>
      <c r="F821" s="44"/>
      <c r="G821" s="44" t="s">
        <v>1</v>
      </c>
      <c r="H821" s="44"/>
      <c r="I821" s="45" t="s">
        <v>1</v>
      </c>
      <c r="J821" s="46"/>
      <c r="K821" s="45" t="s">
        <v>1</v>
      </c>
      <c r="L821" s="33"/>
      <c r="M821" s="45" t="s">
        <v>1</v>
      </c>
      <c r="N821" s="33"/>
      <c r="O821" s="44"/>
      <c r="P821" s="44"/>
      <c r="Q821" s="44" t="s">
        <v>1</v>
      </c>
      <c r="R821" s="44"/>
      <c r="S821" s="44"/>
      <c r="T821" s="44"/>
      <c r="U821" s="44"/>
      <c r="V821" s="44"/>
      <c r="W821" s="44"/>
      <c r="X821" s="44"/>
      <c r="Y821" s="44"/>
      <c r="Z821" s="44"/>
      <c r="AA821" s="44"/>
      <c r="AB821" s="44"/>
      <c r="AC821" s="84">
        <v>45636</v>
      </c>
      <c r="AD821" s="83">
        <v>45636</v>
      </c>
      <c r="AE821" s="41" t="s">
        <v>1</v>
      </c>
      <c r="AF821" s="41" t="s">
        <v>1</v>
      </c>
      <c r="AG821" s="40" t="s">
        <v>4</v>
      </c>
      <c r="AH821" s="36" t="s">
        <v>0</v>
      </c>
      <c r="AI821" s="49">
        <v>0</v>
      </c>
      <c r="AJ821" s="36" t="s">
        <v>1</v>
      </c>
      <c r="AK821" s="10" t="s">
        <v>1</v>
      </c>
      <c r="AL821" s="36" t="s">
        <v>1</v>
      </c>
      <c r="AM821" s="36" t="s">
        <v>1</v>
      </c>
      <c r="AN821" s="35" t="s">
        <v>1</v>
      </c>
      <c r="AO821" s="35" t="s">
        <v>1</v>
      </c>
      <c r="AP821" s="35" t="s">
        <v>1</v>
      </c>
      <c r="AQ821" s="35" t="s">
        <v>2</v>
      </c>
      <c r="AR821" s="34" t="s">
        <v>0</v>
      </c>
      <c r="AS821" s="33"/>
      <c r="AT821" s="30" t="s">
        <v>0</v>
      </c>
      <c r="AU821" s="31"/>
      <c r="AV821" s="30" t="s">
        <v>0</v>
      </c>
      <c r="AW821" s="31"/>
      <c r="AX821" s="30" t="s">
        <v>0</v>
      </c>
      <c r="AY821" s="29"/>
      <c r="AZ821" s="28" t="s">
        <v>0</v>
      </c>
      <c r="BA821" s="81"/>
      <c r="BB821" s="26"/>
      <c r="BC821" s="25"/>
      <c r="BD821" s="24"/>
      <c r="BE821" s="24"/>
      <c r="BF821" s="24"/>
      <c r="BG821" s="24"/>
      <c r="BH821" s="24"/>
      <c r="BI821" s="24"/>
      <c r="BJ821" s="24"/>
      <c r="BK821" s="24"/>
      <c r="BL821" s="24"/>
      <c r="BM821" s="24"/>
      <c r="BN821" s="24"/>
      <c r="BO821" s="24"/>
      <c r="BP821" s="24"/>
      <c r="BQ821" s="22">
        <f>YEAR([1]!BANCO10[[#This Row],[DATA INÍCIO]])</f>
        <v>2024</v>
      </c>
      <c r="BR821" s="22">
        <f>MONTH([1]!BANCO10[[#This Row],[DATA INÍCIO]])</f>
        <v>12</v>
      </c>
      <c r="BS821" s="23" t="e">
        <f>CONCATENATE(#REF!,#REF!)</f>
        <v>#REF!</v>
      </c>
      <c r="BT821" s="22"/>
      <c r="BU821" s="22"/>
      <c r="BV821" s="21" t="str">
        <f>IF([1]!BANCO10[[#This Row],[SOLUÇÃO]]=BV$1,[1]!BANCO10[[#This Row],[STATUS DA ETAPA]],"")</f>
        <v/>
      </c>
      <c r="BW821" s="21" t="str">
        <f>IF([1]!BANCO10[[#This Row],[SOLUÇÃO]]=BW$1,[1]!BANCO10[[#This Row],[STATUS DA ETAPA]],"")</f>
        <v/>
      </c>
      <c r="BX821" s="21" t="str">
        <f>IF([1]!BANCO10[[#This Row],[SOLUÇÃO]]=BX$1,[1]!BANCO10[[#This Row],[STATUS DA ETAPA]],"")</f>
        <v/>
      </c>
      <c r="BY821" s="21" t="str">
        <f>IF([1]!BANCO10[[#This Row],[SOLUÇÃO]]=BY$1,[1]!BANCO10[[#This Row],[STATUS DA ETAPA]],"")</f>
        <v/>
      </c>
      <c r="BZ821" s="21" t="str">
        <f>IF([1]!BANCO10[[#This Row],[SOLUÇÃO]]=BZ$1,[1]!BANCO10[[#This Row],[STATUS DA ETAPA]],"")</f>
        <v/>
      </c>
      <c r="CA821" s="21" t="str">
        <f>IF([1]!BANCO10[[#This Row],[SOLUÇÃO]]=CA$1,[1]!BANCO10[[#This Row],[STATUS DA ETAPA]],"")</f>
        <v/>
      </c>
      <c r="CB821" s="21" t="str">
        <f>IF([1]!BANCO10[[#This Row],[SOLUÇÃO]]=CB$1,[1]!BANCO10[[#This Row],[STATUS DA ETAPA]],"")</f>
        <v/>
      </c>
      <c r="CC821" s="21" t="str">
        <f>IF([1]!BANCO10[[#This Row],[SOLUÇÃO]]=CC$1,[1]!BANCO10[[#This Row],[STATUS DA ETAPA]],"")</f>
        <v/>
      </c>
      <c r="CD821" s="21" t="str">
        <f>IF([1]!BANCO10[[#This Row],[SOLUÇÃO]]=CD$1,[1]!BANCO10[[#This Row],[STATUS DA ETAPA]],"")</f>
        <v/>
      </c>
      <c r="CE821" s="21" t="str">
        <f>IF([1]!BANCO10[[#This Row],[SOLUÇÃO]]=CE$1,[1]!BANCO10[[#This Row],[STATUS DA ETAPA]],"")</f>
        <v/>
      </c>
      <c r="CF821" s="21" t="str">
        <f>IF([1]!BANCO10[[#This Row],[SOLUÇÃO]]=CF$1,[1]!BANCO10[[#This Row],[STATUS DA ETAPA]],"")</f>
        <v/>
      </c>
      <c r="CG821" s="21" t="str">
        <f>IF([1]!BANCO10[[#This Row],[SOLUÇÃO]]=CG$1,[1]!BANCO10[[#This Row],[STATUS DA ETAPA]],"")</f>
        <v/>
      </c>
      <c r="CH821" s="21" t="str">
        <f>IF([1]!BANCO10[[#This Row],[SOLUÇÃO]]=CH$1,[1]!BANCO10[[#This Row],[STATUS DA ETAPA]],"")</f>
        <v/>
      </c>
      <c r="CI821" s="21" t="str">
        <f>IF([1]!BANCO10[[#This Row],[SOLUÇÃO]]=CI$1,[1]!BANCO10[[#This Row],[STATUS DA ETAPA]],"")</f>
        <v/>
      </c>
      <c r="CJ821" s="21" t="str">
        <f>IF([1]!BANCO10[[#This Row],[SOLUÇÃO]]=CJ$1,[1]!BANCO10[[#This Row],[STATUS DA ETAPA]],"")</f>
        <v/>
      </c>
      <c r="CK821" s="21" t="str">
        <f>IF([1]!BANCO10[[#This Row],[SOLUÇÃO]]=CK$1,[1]!BANCO10[[#This Row],[STATUS DA ETAPA]],"")</f>
        <v/>
      </c>
      <c r="CL821" s="21" t="str">
        <f>IF([1]!BANCO10[[#This Row],[SOLUÇÃO]]=CL$1,[1]!BANCO10[[#This Row],[STATUS DA ETAPA]],"")</f>
        <v/>
      </c>
      <c r="CM821" s="21" t="str">
        <f>IF([1]!BANCO10[[#This Row],[SOLUÇÃO]]=CM$1,[1]!BANCO10[[#This Row],[STATUS DA ETAPA]],"")</f>
        <v/>
      </c>
      <c r="CN821" s="21" t="str">
        <f>IF([1]!BANCO10[[#This Row],[SOLUÇÃO]]=CN$1,[1]!BANCO10[[#This Row],[STATUS DA ETAPA]],"")</f>
        <v/>
      </c>
      <c r="CO821" s="21" t="str">
        <f>IF([1]!BANCO10[[#This Row],[SOLUÇÃO]]=CO$1,[1]!BANCO10[[#This Row],[STATUS DA ETAPA]],"")</f>
        <v/>
      </c>
      <c r="CP821" s="21" t="str">
        <f>IF([1]!BANCO10[[#This Row],[SOLUÇÃO]]=CP$1,[1]!BANCO10[[#This Row],[STATUS DA ETAPA]],"")</f>
        <v/>
      </c>
      <c r="CQ821" s="21" t="str">
        <f>IF([1]!BANCO10[[#This Row],[SOLUÇÃO]]=CQ$1,[1]!BANCO10[[#This Row],[STATUS DA ETAPA]],"")</f>
        <v/>
      </c>
      <c r="CR821" s="21" t="str">
        <f>IF([1]!BANCO10[[#This Row],[SOLUÇÃO]]=CR$1,[1]!BANCO10[[#This Row],[STATUS DA ETAPA]],"")</f>
        <v/>
      </c>
      <c r="CS821" s="21" t="str">
        <f>IF([1]!BANCO10[[#This Row],[SOLUÇÃO]]=CS$1,[1]!BANCO10[[#This Row],[STATUS DA ETAPA]],"")</f>
        <v/>
      </c>
      <c r="CT821" s="21" t="str">
        <f>IF([1]!BANCO10[[#This Row],[SOLUÇÃO]]=CT$1,[1]!BANCO10[[#This Row],[STATUS DA ETAPA]],"")</f>
        <v/>
      </c>
      <c r="CU821" s="21" t="str">
        <f>IF([1]!BANCO10[[#This Row],[SOLUÇÃO]]=CU$1,[1]!BANCO10[[#This Row],[STATUS DA ETAPA]],"")</f>
        <v/>
      </c>
      <c r="CV821" s="21" t="str">
        <f>IF([1]!BANCO10[[#This Row],[SOLUÇÃO]]=CV$1,[1]!BANCO10[[#This Row],[STATUS DA ETAPA]],"")</f>
        <v/>
      </c>
    </row>
    <row r="822" spans="1:100">
      <c r="A822" s="44" t="s">
        <v>1</v>
      </c>
      <c r="B822" s="44"/>
      <c r="C822" s="44" t="s">
        <v>1</v>
      </c>
      <c r="D822" s="44"/>
      <c r="E822" s="44" t="s">
        <v>1</v>
      </c>
      <c r="F822" s="44"/>
      <c r="G822" s="44" t="s">
        <v>1</v>
      </c>
      <c r="H822" s="44"/>
      <c r="I822" s="45" t="s">
        <v>1</v>
      </c>
      <c r="J822" s="46"/>
      <c r="K822" s="45" t="s">
        <v>1</v>
      </c>
      <c r="L822" s="33"/>
      <c r="M822" s="45" t="s">
        <v>1</v>
      </c>
      <c r="N822" s="33"/>
      <c r="O822" s="44" t="s">
        <v>1</v>
      </c>
      <c r="P822" s="44"/>
      <c r="Q822" s="44" t="s">
        <v>2</v>
      </c>
      <c r="R822" s="44">
        <v>45610</v>
      </c>
      <c r="S822" s="44" t="s">
        <v>2</v>
      </c>
      <c r="T822" s="44">
        <v>45610</v>
      </c>
      <c r="U822" s="44" t="s">
        <v>1</v>
      </c>
      <c r="V822" s="44"/>
      <c r="W822" s="44" t="s">
        <v>1</v>
      </c>
      <c r="X822" s="44"/>
      <c r="Y822" s="44" t="s">
        <v>1</v>
      </c>
      <c r="Z822" s="44"/>
      <c r="AA822" s="44" t="s">
        <v>1</v>
      </c>
      <c r="AB822" s="44"/>
      <c r="AC822" s="51">
        <v>45671</v>
      </c>
      <c r="AD822" s="50">
        <v>45783</v>
      </c>
      <c r="AE822" s="41" t="s">
        <v>2</v>
      </c>
      <c r="AF822" s="41" t="s">
        <v>2</v>
      </c>
      <c r="AG822" s="40" t="s">
        <v>5</v>
      </c>
      <c r="AH822" s="36" t="s">
        <v>0</v>
      </c>
      <c r="AI822" s="49">
        <v>0</v>
      </c>
      <c r="AJ822" s="36" t="s">
        <v>6</v>
      </c>
      <c r="AK822" s="10">
        <v>564855</v>
      </c>
      <c r="AL822" s="36" t="s">
        <v>1</v>
      </c>
      <c r="AM822" s="36" t="s">
        <v>1</v>
      </c>
      <c r="AN822" s="35" t="s">
        <v>1</v>
      </c>
      <c r="AO822" s="35" t="s">
        <v>1</v>
      </c>
      <c r="AP822" s="35" t="s">
        <v>1</v>
      </c>
      <c r="AQ822" s="35" t="s">
        <v>1</v>
      </c>
      <c r="AR822" s="33" t="s">
        <v>2</v>
      </c>
      <c r="AS822" s="33">
        <v>45814</v>
      </c>
      <c r="AT822" s="32" t="s">
        <v>1</v>
      </c>
      <c r="AU822" s="31"/>
      <c r="AV822" s="32" t="s">
        <v>1</v>
      </c>
      <c r="AW822" s="31"/>
      <c r="AX822" s="30" t="s">
        <v>2</v>
      </c>
      <c r="AY822" s="29">
        <v>45814</v>
      </c>
      <c r="AZ822" s="28" t="s">
        <v>0</v>
      </c>
      <c r="BA822" s="81"/>
      <c r="BB822" s="74" t="s">
        <v>42</v>
      </c>
      <c r="BC822" s="25" t="s">
        <v>41</v>
      </c>
      <c r="BD822" s="24"/>
      <c r="BE822" s="24"/>
      <c r="BF822" s="24"/>
      <c r="BG822" s="24"/>
      <c r="BH822" s="24"/>
      <c r="BI822" s="24"/>
      <c r="BJ822" s="24"/>
      <c r="BK822" s="24"/>
      <c r="BL822" s="24"/>
      <c r="BM822" s="24"/>
      <c r="BN822" s="24"/>
      <c r="BO822" s="24"/>
      <c r="BP822" s="24"/>
      <c r="BQ822" s="22">
        <f>YEAR([1]!BANCO10[[#This Row],[DATA INÍCIO]])</f>
        <v>2025</v>
      </c>
      <c r="BR822" s="22">
        <f>MONTH([1]!BANCO10[[#This Row],[DATA INÍCIO]])</f>
        <v>1</v>
      </c>
      <c r="BS822" s="23" t="e">
        <f>CONCATENATE(#REF!,#REF!)</f>
        <v>#REF!</v>
      </c>
      <c r="BT822" s="22"/>
      <c r="BU822" s="22"/>
      <c r="BV822" s="21" t="str">
        <f>IF([1]!BANCO10[[#This Row],[SOLUÇÃO]]=BV$1,[1]!BANCO10[[#This Row],[STATUS DA ETAPA]],"")</f>
        <v/>
      </c>
      <c r="BW822" s="21" t="str">
        <f>IF([1]!BANCO10[[#This Row],[SOLUÇÃO]]=BW$1,[1]!BANCO10[[#This Row],[STATUS DA ETAPA]],"")</f>
        <v/>
      </c>
      <c r="BX822" s="21" t="str">
        <f>IF([1]!BANCO10[[#This Row],[SOLUÇÃO]]=BX$1,[1]!BANCO10[[#This Row],[STATUS DA ETAPA]],"")</f>
        <v/>
      </c>
      <c r="BY822" s="21" t="str">
        <f>IF([1]!BANCO10[[#This Row],[SOLUÇÃO]]=BY$1,[1]!BANCO10[[#This Row],[STATUS DA ETAPA]],"")</f>
        <v/>
      </c>
      <c r="BZ822" s="21" t="str">
        <f>IF([1]!BANCO10[[#This Row],[SOLUÇÃO]]=BZ$1,[1]!BANCO10[[#This Row],[STATUS DA ETAPA]],"")</f>
        <v/>
      </c>
      <c r="CA822" s="21" t="str">
        <f>IF([1]!BANCO10[[#This Row],[SOLUÇÃO]]=CA$1,[1]!BANCO10[[#This Row],[STATUS DA ETAPA]],"")</f>
        <v/>
      </c>
      <c r="CB822" s="21" t="str">
        <f>IF([1]!BANCO10[[#This Row],[SOLUÇÃO]]=CB$1,[1]!BANCO10[[#This Row],[STATUS DA ETAPA]],"")</f>
        <v/>
      </c>
      <c r="CC822" s="21" t="str">
        <f>IF([1]!BANCO10[[#This Row],[SOLUÇÃO]]=CC$1,[1]!BANCO10[[#This Row],[STATUS DA ETAPA]],"")</f>
        <v/>
      </c>
      <c r="CD822" s="21" t="str">
        <f>IF([1]!BANCO10[[#This Row],[SOLUÇÃO]]=CD$1,[1]!BANCO10[[#This Row],[STATUS DA ETAPA]],"")</f>
        <v/>
      </c>
      <c r="CE822" s="21" t="str">
        <f>IF([1]!BANCO10[[#This Row],[SOLUÇÃO]]=CE$1,[1]!BANCO10[[#This Row],[STATUS DA ETAPA]],"")</f>
        <v/>
      </c>
      <c r="CF822" s="21" t="str">
        <f>IF([1]!BANCO10[[#This Row],[SOLUÇÃO]]=CF$1,[1]!BANCO10[[#This Row],[STATUS DA ETAPA]],"")</f>
        <v/>
      </c>
      <c r="CG822" s="21" t="str">
        <f>IF([1]!BANCO10[[#This Row],[SOLUÇÃO]]=CG$1,[1]!BANCO10[[#This Row],[STATUS DA ETAPA]],"")</f>
        <v/>
      </c>
      <c r="CH822" s="21" t="str">
        <f>IF([1]!BANCO10[[#This Row],[SOLUÇÃO]]=CH$1,[1]!BANCO10[[#This Row],[STATUS DA ETAPA]],"")</f>
        <v/>
      </c>
      <c r="CI822" s="21" t="str">
        <f>IF([1]!BANCO10[[#This Row],[SOLUÇÃO]]=CI$1,[1]!BANCO10[[#This Row],[STATUS DA ETAPA]],"")</f>
        <v/>
      </c>
      <c r="CJ822" s="21" t="str">
        <f>IF([1]!BANCO10[[#This Row],[SOLUÇÃO]]=CJ$1,[1]!BANCO10[[#This Row],[STATUS DA ETAPA]],"")</f>
        <v/>
      </c>
      <c r="CK822" s="21" t="str">
        <f>IF([1]!BANCO10[[#This Row],[SOLUÇÃO]]=CK$1,[1]!BANCO10[[#This Row],[STATUS DA ETAPA]],"")</f>
        <v/>
      </c>
      <c r="CL822" s="21" t="str">
        <f>IF([1]!BANCO10[[#This Row],[SOLUÇÃO]]=CL$1,[1]!BANCO10[[#This Row],[STATUS DA ETAPA]],"")</f>
        <v/>
      </c>
      <c r="CM822" s="21" t="str">
        <f>IF([1]!BANCO10[[#This Row],[SOLUÇÃO]]=CM$1,[1]!BANCO10[[#This Row],[STATUS DA ETAPA]],"")</f>
        <v/>
      </c>
      <c r="CN822" s="21" t="str">
        <f>IF([1]!BANCO10[[#This Row],[SOLUÇÃO]]=CN$1,[1]!BANCO10[[#This Row],[STATUS DA ETAPA]],"")</f>
        <v/>
      </c>
      <c r="CO822" s="21" t="str">
        <f>IF([1]!BANCO10[[#This Row],[SOLUÇÃO]]=CO$1,[1]!BANCO10[[#This Row],[STATUS DA ETAPA]],"")</f>
        <v/>
      </c>
      <c r="CP822" s="21" t="str">
        <f>IF([1]!BANCO10[[#This Row],[SOLUÇÃO]]=CP$1,[1]!BANCO10[[#This Row],[STATUS DA ETAPA]],"")</f>
        <v/>
      </c>
      <c r="CQ822" s="21" t="str">
        <f>IF([1]!BANCO10[[#This Row],[SOLUÇÃO]]=CQ$1,[1]!BANCO10[[#This Row],[STATUS DA ETAPA]],"")</f>
        <v/>
      </c>
      <c r="CR822" s="21" t="str">
        <f>IF([1]!BANCO10[[#This Row],[SOLUÇÃO]]=CR$1,[1]!BANCO10[[#This Row],[STATUS DA ETAPA]],"")</f>
        <v/>
      </c>
      <c r="CS822" s="21" t="str">
        <f>IF([1]!BANCO10[[#This Row],[SOLUÇÃO]]=CS$1,[1]!BANCO10[[#This Row],[STATUS DA ETAPA]],"")</f>
        <v/>
      </c>
      <c r="CT822" s="21" t="str">
        <f>IF([1]!BANCO10[[#This Row],[SOLUÇÃO]]=CT$1,[1]!BANCO10[[#This Row],[STATUS DA ETAPA]],"")</f>
        <v/>
      </c>
      <c r="CU822" s="21" t="str">
        <f>IF([1]!BANCO10[[#This Row],[SOLUÇÃO]]=CU$1,[1]!BANCO10[[#This Row],[STATUS DA ETAPA]],"")</f>
        <v/>
      </c>
      <c r="CV822" s="21" t="str">
        <f>IF([1]!BANCO10[[#This Row],[SOLUÇÃO]]=CV$1,[1]!BANCO10[[#This Row],[STATUS DA ETAPA]],"")</f>
        <v/>
      </c>
    </row>
    <row r="823" spans="1:100">
      <c r="A823" s="44" t="s">
        <v>1</v>
      </c>
      <c r="B823" s="44"/>
      <c r="C823" s="44" t="s">
        <v>1</v>
      </c>
      <c r="D823" s="44"/>
      <c r="E823" s="44" t="s">
        <v>1</v>
      </c>
      <c r="F823" s="44"/>
      <c r="G823" s="44" t="s">
        <v>1</v>
      </c>
      <c r="H823" s="44"/>
      <c r="I823" s="45" t="s">
        <v>1</v>
      </c>
      <c r="J823" s="46"/>
      <c r="K823" s="45" t="s">
        <v>1</v>
      </c>
      <c r="L823" s="33"/>
      <c r="M823" s="45" t="s">
        <v>1</v>
      </c>
      <c r="N823" s="33"/>
      <c r="O823" s="44" t="s">
        <v>1</v>
      </c>
      <c r="P823" s="44"/>
      <c r="Q823" s="44" t="s">
        <v>1</v>
      </c>
      <c r="R823" s="44"/>
      <c r="S823" s="44" t="s">
        <v>1</v>
      </c>
      <c r="T823" s="44"/>
      <c r="U823" s="44" t="s">
        <v>1</v>
      </c>
      <c r="V823" s="44"/>
      <c r="W823" s="44" t="s">
        <v>1</v>
      </c>
      <c r="X823" s="44"/>
      <c r="Y823" s="44" t="s">
        <v>1</v>
      </c>
      <c r="Z823" s="44"/>
      <c r="AA823" s="44" t="s">
        <v>1</v>
      </c>
      <c r="AB823" s="44"/>
      <c r="AC823" s="51">
        <v>45963</v>
      </c>
      <c r="AD823" s="50">
        <v>45963</v>
      </c>
      <c r="AE823" s="41" t="s">
        <v>1</v>
      </c>
      <c r="AF823" s="41" t="s">
        <v>1</v>
      </c>
      <c r="AG823" s="40" t="s">
        <v>1</v>
      </c>
      <c r="AH823" s="36" t="s">
        <v>1</v>
      </c>
      <c r="AI823" s="49">
        <v>0</v>
      </c>
      <c r="AJ823" s="36" t="s">
        <v>1</v>
      </c>
      <c r="AK823" s="10" t="s">
        <v>1</v>
      </c>
      <c r="AL823" s="36" t="s">
        <v>1</v>
      </c>
      <c r="AM823" s="36" t="s">
        <v>1</v>
      </c>
      <c r="AN823" s="35" t="s">
        <v>1</v>
      </c>
      <c r="AO823" s="35" t="s">
        <v>1</v>
      </c>
      <c r="AP823" s="35" t="s">
        <v>1</v>
      </c>
      <c r="AQ823" s="35" t="s">
        <v>1</v>
      </c>
      <c r="AR823" s="34" t="s">
        <v>1</v>
      </c>
      <c r="AS823" s="63"/>
      <c r="AT823" s="32" t="s">
        <v>1</v>
      </c>
      <c r="AU823" s="31"/>
      <c r="AV823" s="32" t="s">
        <v>1</v>
      </c>
      <c r="AW823" s="31"/>
      <c r="AX823" s="32" t="s">
        <v>1</v>
      </c>
      <c r="AY823" s="31"/>
      <c r="AZ823" s="32" t="s">
        <v>1</v>
      </c>
      <c r="BA823" s="47"/>
      <c r="BB823" s="39" t="s">
        <v>40</v>
      </c>
      <c r="BC823" s="25"/>
      <c r="BD823" s="24"/>
      <c r="BE823" s="24"/>
      <c r="BF823" s="79"/>
      <c r="BG823" s="79"/>
      <c r="BH823" s="80"/>
      <c r="BI823" s="79"/>
      <c r="BJ823" s="54"/>
      <c r="BK823" s="78"/>
      <c r="BL823" s="69"/>
      <c r="BM823" s="78"/>
      <c r="BN823" s="78"/>
      <c r="BO823" s="78"/>
      <c r="BP823" s="78"/>
      <c r="BQ823" s="21">
        <f>YEAR([1]!BANCO10[[#This Row],[DATA INÍCIO]])</f>
        <v>2025</v>
      </c>
      <c r="BR823" s="21">
        <f>MONTH([1]!BANCO10[[#This Row],[DATA INÍCIO]])</f>
        <v>11</v>
      </c>
      <c r="BS823" s="21" t="e">
        <f>CONCATENATE(#REF!,#REF!)</f>
        <v>#REF!</v>
      </c>
      <c r="BT823" s="21"/>
      <c r="BU823" s="21"/>
      <c r="BV823" s="21" t="str">
        <f>IF([1]!BANCO10[[#This Row],[SOLUÇÃO]]=BV$1,[1]!BANCO10[[#This Row],[STATUS DA ETAPA]],"")</f>
        <v/>
      </c>
      <c r="BW823" s="21" t="str">
        <f>IF([1]!BANCO10[[#This Row],[SOLUÇÃO]]=BW$1,[1]!BANCO10[[#This Row],[STATUS DA ETAPA]],"")</f>
        <v/>
      </c>
      <c r="BX823" s="21" t="str">
        <f>IF([1]!BANCO10[[#This Row],[SOLUÇÃO]]=BX$1,[1]!BANCO10[[#This Row],[STATUS DA ETAPA]],"")</f>
        <v/>
      </c>
      <c r="BY823" s="21" t="str">
        <f>IF([1]!BANCO10[[#This Row],[SOLUÇÃO]]=BY$1,[1]!BANCO10[[#This Row],[STATUS DA ETAPA]],"")</f>
        <v/>
      </c>
      <c r="BZ823" s="21" t="str">
        <f>IF([1]!BANCO10[[#This Row],[SOLUÇÃO]]=BZ$1,[1]!BANCO10[[#This Row],[STATUS DA ETAPA]],"")</f>
        <v>CANCELADO</v>
      </c>
      <c r="CA823" s="21" t="str">
        <f>IF([1]!BANCO10[[#This Row],[SOLUÇÃO]]=CA$1,[1]!BANCO10[[#This Row],[STATUS DA ETAPA]],"")</f>
        <v/>
      </c>
      <c r="CB823" s="21" t="str">
        <f>IF([1]!BANCO10[[#This Row],[SOLUÇÃO]]=CB$1,[1]!BANCO10[[#This Row],[STATUS DA ETAPA]],"")</f>
        <v/>
      </c>
      <c r="CC823" s="21" t="str">
        <f>IF([1]!BANCO10[[#This Row],[SOLUÇÃO]]=CC$1,[1]!BANCO10[[#This Row],[STATUS DA ETAPA]],"")</f>
        <v/>
      </c>
      <c r="CD823" s="21" t="str">
        <f>IF([1]!BANCO10[[#This Row],[SOLUÇÃO]]=CD$1,[1]!BANCO10[[#This Row],[STATUS DA ETAPA]],"")</f>
        <v/>
      </c>
      <c r="CE823" s="21" t="str">
        <f>IF([1]!BANCO10[[#This Row],[SOLUÇÃO]]=CE$1,[1]!BANCO10[[#This Row],[STATUS DA ETAPA]],"")</f>
        <v/>
      </c>
      <c r="CF823" s="21" t="str">
        <f>IF([1]!BANCO10[[#This Row],[SOLUÇÃO]]=CF$1,[1]!BANCO10[[#This Row],[STATUS DA ETAPA]],"")</f>
        <v/>
      </c>
      <c r="CG823" s="21" t="str">
        <f>IF([1]!BANCO10[[#This Row],[SOLUÇÃO]]=CG$1,[1]!BANCO10[[#This Row],[STATUS DA ETAPA]],"")</f>
        <v/>
      </c>
      <c r="CH823" s="21" t="str">
        <f>IF([1]!BANCO10[[#This Row],[SOLUÇÃO]]=CH$1,[1]!BANCO10[[#This Row],[STATUS DA ETAPA]],"")</f>
        <v/>
      </c>
      <c r="CI823" s="21" t="str">
        <f>IF([1]!BANCO10[[#This Row],[SOLUÇÃO]]=CI$1,[1]!BANCO10[[#This Row],[STATUS DA ETAPA]],"")</f>
        <v/>
      </c>
      <c r="CJ823" s="21" t="str">
        <f>IF([1]!BANCO10[[#This Row],[SOLUÇÃO]]=CJ$1,[1]!BANCO10[[#This Row],[STATUS DA ETAPA]],"")</f>
        <v/>
      </c>
      <c r="CK823" s="21" t="str">
        <f>IF([1]!BANCO10[[#This Row],[SOLUÇÃO]]=CK$1,[1]!BANCO10[[#This Row],[STATUS DA ETAPA]],"")</f>
        <v/>
      </c>
      <c r="CL823" s="22" t="str">
        <f>IF([1]!BANCO10[[#This Row],[SOLUÇÃO]]=CL$1,[1]!BANCO10[[#This Row],[STATUS DA ETAPA]],"")</f>
        <v/>
      </c>
      <c r="CM823" s="64" t="str">
        <f>IF([1]!BANCO10[[#This Row],[SOLUÇÃO]]=CM$1,[1]!BANCO10[[#This Row],[STATUS DA ETAPA]],"")</f>
        <v/>
      </c>
      <c r="CN823" s="64" t="str">
        <f>IF([1]!BANCO10[[#This Row],[SOLUÇÃO]]=CN$1,[1]!BANCO10[[#This Row],[STATUS DA ETAPA]],"")</f>
        <v/>
      </c>
      <c r="CO823" s="64" t="str">
        <f>IF([1]!BANCO10[[#This Row],[SOLUÇÃO]]=CO$1,[1]!BANCO10[[#This Row],[STATUS DA ETAPA]],"")</f>
        <v/>
      </c>
      <c r="CP823" s="64" t="str">
        <f>IF([1]!BANCO10[[#This Row],[SOLUÇÃO]]=CP$1,[1]!BANCO10[[#This Row],[STATUS DA ETAPA]],"")</f>
        <v/>
      </c>
      <c r="CQ823" s="64" t="str">
        <f>IF([1]!BANCO10[[#This Row],[SOLUÇÃO]]=CQ$1,[1]!BANCO10[[#This Row],[STATUS DA ETAPA]],"")</f>
        <v/>
      </c>
      <c r="CR823" s="64" t="str">
        <f>IF([1]!BANCO10[[#This Row],[SOLUÇÃO]]=CR$1,[1]!BANCO10[[#This Row],[STATUS DA ETAPA]],"")</f>
        <v/>
      </c>
      <c r="CS823" s="64" t="str">
        <f>IF([1]!BANCO10[[#This Row],[SOLUÇÃO]]=CS$1,[1]!BANCO10[[#This Row],[STATUS DA ETAPA]],"")</f>
        <v/>
      </c>
      <c r="CT823" s="64" t="str">
        <f>IF([1]!BANCO10[[#This Row],[SOLUÇÃO]]=CT$1,[1]!BANCO10[[#This Row],[STATUS DA ETAPA]],"")</f>
        <v/>
      </c>
      <c r="CU823" s="64" t="str">
        <f>IF([1]!BANCO10[[#This Row],[SOLUÇÃO]]=CU$1,[1]!BANCO10[[#This Row],[STATUS DA ETAPA]],"")</f>
        <v/>
      </c>
      <c r="CV823" s="64" t="str">
        <f>IF([1]!BANCO10[[#This Row],[SOLUÇÃO]]=CV$1,[1]!BANCO10[[#This Row],[STATUS DA ETAPA]],"")</f>
        <v/>
      </c>
    </row>
    <row r="824" spans="1:100">
      <c r="A824" s="44" t="s">
        <v>1</v>
      </c>
      <c r="B824" s="44"/>
      <c r="C824" s="44" t="s">
        <v>1</v>
      </c>
      <c r="D824" s="44"/>
      <c r="E824" s="44" t="s">
        <v>1</v>
      </c>
      <c r="F824" s="44"/>
      <c r="G824" s="44" t="s">
        <v>1</v>
      </c>
      <c r="H824" s="44"/>
      <c r="I824" s="45" t="s">
        <v>1</v>
      </c>
      <c r="J824" s="46"/>
      <c r="K824" s="45" t="s">
        <v>1</v>
      </c>
      <c r="L824" s="33"/>
      <c r="M824" s="45" t="s">
        <v>1</v>
      </c>
      <c r="N824" s="33"/>
      <c r="O824" s="44" t="s">
        <v>2</v>
      </c>
      <c r="P824" s="44">
        <v>44715</v>
      </c>
      <c r="Q824" s="44" t="s">
        <v>0</v>
      </c>
      <c r="R824" s="44"/>
      <c r="S824" s="44" t="s">
        <v>1</v>
      </c>
      <c r="T824" s="44"/>
      <c r="U824" s="44" t="s">
        <v>1</v>
      </c>
      <c r="V824" s="44"/>
      <c r="W824" s="44" t="s">
        <v>1</v>
      </c>
      <c r="X824" s="44"/>
      <c r="Y824" s="44" t="s">
        <v>1</v>
      </c>
      <c r="Z824" s="44"/>
      <c r="AA824" s="44" t="s">
        <v>1</v>
      </c>
      <c r="AB824" s="44"/>
      <c r="AC824" s="51">
        <v>44713</v>
      </c>
      <c r="AD824" s="50">
        <v>44713</v>
      </c>
      <c r="AE824" s="40" t="s">
        <v>1</v>
      </c>
      <c r="AF824" s="40" t="s">
        <v>1</v>
      </c>
      <c r="AG824" s="40" t="s">
        <v>5</v>
      </c>
      <c r="AH824" s="36" t="s">
        <v>1</v>
      </c>
      <c r="AI824" s="49">
        <v>0</v>
      </c>
      <c r="AJ824" s="36" t="s">
        <v>1</v>
      </c>
      <c r="AK824" s="10" t="s">
        <v>1</v>
      </c>
      <c r="AL824" s="36" t="s">
        <v>1</v>
      </c>
      <c r="AM824" s="36" t="s">
        <v>1</v>
      </c>
      <c r="AN824" s="35" t="s">
        <v>1</v>
      </c>
      <c r="AO824" s="35" t="s">
        <v>1</v>
      </c>
      <c r="AP824" s="35" t="s">
        <v>1</v>
      </c>
      <c r="AQ824" s="35" t="s">
        <v>1</v>
      </c>
      <c r="AR824" s="34" t="s">
        <v>1</v>
      </c>
      <c r="AS824" s="63"/>
      <c r="AT824" s="32" t="s">
        <v>1</v>
      </c>
      <c r="AU824" s="31"/>
      <c r="AV824" s="32" t="s">
        <v>1</v>
      </c>
      <c r="AW824" s="31"/>
      <c r="AX824" s="32" t="s">
        <v>1</v>
      </c>
      <c r="AY824" s="55"/>
      <c r="AZ824" s="30" t="s">
        <v>1</v>
      </c>
      <c r="BA824" s="66"/>
      <c r="BB824" s="39" t="s">
        <v>38</v>
      </c>
      <c r="BC824" s="25"/>
      <c r="BD824" s="24" t="s">
        <v>11</v>
      </c>
      <c r="BE824" s="24" t="s">
        <v>11</v>
      </c>
      <c r="BF824" s="79" t="s">
        <v>11</v>
      </c>
      <c r="BG824" s="79" t="s">
        <v>11</v>
      </c>
      <c r="BH824" s="80" t="s">
        <v>11</v>
      </c>
      <c r="BI824" s="79"/>
      <c r="BJ824" s="54" t="s">
        <v>11</v>
      </c>
      <c r="BK824" s="78" t="s">
        <v>11</v>
      </c>
      <c r="BL824" s="69" t="s">
        <v>11</v>
      </c>
      <c r="BM824" s="78" t="s">
        <v>11</v>
      </c>
      <c r="BN824" s="78" t="s">
        <v>11</v>
      </c>
      <c r="BO824" s="78" t="s">
        <v>11</v>
      </c>
      <c r="BP824" s="78" t="s">
        <v>11</v>
      </c>
      <c r="BQ824" s="21">
        <f>YEAR([1]!BANCO10[[#This Row],[DATA INÍCIO]])</f>
        <v>2022</v>
      </c>
      <c r="BR824" s="21">
        <f>MONTH([1]!BANCO10[[#This Row],[DATA INÍCIO]])</f>
        <v>6</v>
      </c>
      <c r="BS824" s="21" t="e">
        <f>CONCATENATE(#REF!,#REF!)</f>
        <v>#REF!</v>
      </c>
      <c r="BT824" s="21"/>
      <c r="BU824" s="21" t="s">
        <v>39</v>
      </c>
      <c r="BV824" s="21" t="str">
        <f>IF([1]!BANCO10[[#This Row],[SOLUÇÃO]]=BV$1,[1]!BANCO10[[#This Row],[STATUS DA ETAPA]],"")</f>
        <v>CONCLUÍDO</v>
      </c>
      <c r="BW824" s="21" t="str">
        <f>IF([1]!BANCO10[[#This Row],[SOLUÇÃO]]=BW$1,[1]!BANCO10[[#This Row],[STATUS DA ETAPA]],"")</f>
        <v/>
      </c>
      <c r="BX824" s="21" t="str">
        <f>IF([1]!BANCO10[[#This Row],[SOLUÇÃO]]=BX$1,[1]!BANCO10[[#This Row],[STATUS DA ETAPA]],"")</f>
        <v/>
      </c>
      <c r="BY824" s="21" t="str">
        <f>IF([1]!BANCO10[[#This Row],[SOLUÇÃO]]=BY$1,[1]!BANCO10[[#This Row],[STATUS DA ETAPA]],"")</f>
        <v/>
      </c>
      <c r="BZ824" s="21" t="str">
        <f>IF([1]!BANCO10[[#This Row],[SOLUÇÃO]]=BZ$1,[1]!BANCO10[[#This Row],[STATUS DA ETAPA]],"")</f>
        <v/>
      </c>
      <c r="CA824" s="21" t="str">
        <f>IF([1]!BANCO10[[#This Row],[SOLUÇÃO]]=CA$1,[1]!BANCO10[[#This Row],[STATUS DA ETAPA]],"")</f>
        <v/>
      </c>
      <c r="CB824" s="21" t="str">
        <f>IF([1]!BANCO10[[#This Row],[SOLUÇÃO]]=CB$1,[1]!BANCO10[[#This Row],[STATUS DA ETAPA]],"")</f>
        <v/>
      </c>
      <c r="CC824" s="21" t="str">
        <f>IF([1]!BANCO10[[#This Row],[SOLUÇÃO]]=CC$1,[1]!BANCO10[[#This Row],[STATUS DA ETAPA]],"")</f>
        <v/>
      </c>
      <c r="CD824" s="21" t="str">
        <f>IF([1]!BANCO10[[#This Row],[SOLUÇÃO]]=CD$1,[1]!BANCO10[[#This Row],[STATUS DA ETAPA]],"")</f>
        <v/>
      </c>
      <c r="CE824" s="21" t="str">
        <f>IF([1]!BANCO10[[#This Row],[SOLUÇÃO]]=CE$1,[1]!BANCO10[[#This Row],[STATUS DA ETAPA]],"")</f>
        <v/>
      </c>
      <c r="CF824" s="21" t="str">
        <f>IF([1]!BANCO10[[#This Row],[SOLUÇÃO]]=CF$1,[1]!BANCO10[[#This Row],[STATUS DA ETAPA]],"")</f>
        <v/>
      </c>
      <c r="CG824" s="21" t="str">
        <f>IF([1]!BANCO10[[#This Row],[SOLUÇÃO]]=CG$1,[1]!BANCO10[[#This Row],[STATUS DA ETAPA]],"")</f>
        <v/>
      </c>
      <c r="CH824" s="21" t="str">
        <f>IF([1]!BANCO10[[#This Row],[SOLUÇÃO]]=CH$1,[1]!BANCO10[[#This Row],[STATUS DA ETAPA]],"")</f>
        <v/>
      </c>
      <c r="CI824" s="21" t="str">
        <f>IF([1]!BANCO10[[#This Row],[SOLUÇÃO]]=CI$1,[1]!BANCO10[[#This Row],[STATUS DA ETAPA]],"")</f>
        <v/>
      </c>
      <c r="CJ824" s="21" t="str">
        <f>IF([1]!BANCO10[[#This Row],[SOLUÇÃO]]=CJ$1,[1]!BANCO10[[#This Row],[STATUS DA ETAPA]],"")</f>
        <v/>
      </c>
      <c r="CK824" s="21" t="str">
        <f>IF([1]!BANCO10[[#This Row],[SOLUÇÃO]]=CK$1,[1]!BANCO10[[#This Row],[STATUS DA ETAPA]],"")</f>
        <v/>
      </c>
      <c r="CL824" s="22" t="str">
        <f>IF([1]!BANCO10[[#This Row],[SOLUÇÃO]]=CL$1,[1]!BANCO10[[#This Row],[STATUS DA ETAPA]],"")</f>
        <v/>
      </c>
      <c r="CM824" s="64" t="str">
        <f>IF([1]!BANCO10[[#This Row],[SOLUÇÃO]]=CM$1,[1]!BANCO10[[#This Row],[STATUS DA ETAPA]],"")</f>
        <v/>
      </c>
      <c r="CN824" s="64" t="str">
        <f>IF([1]!BANCO10[[#This Row],[SOLUÇÃO]]=CN$1,[1]!BANCO10[[#This Row],[STATUS DA ETAPA]],"")</f>
        <v/>
      </c>
      <c r="CO824" s="64" t="str">
        <f>IF([1]!BANCO10[[#This Row],[SOLUÇÃO]]=CO$1,[1]!BANCO10[[#This Row],[STATUS DA ETAPA]],"")</f>
        <v/>
      </c>
      <c r="CP824" s="64" t="str">
        <f>IF([1]!BANCO10[[#This Row],[SOLUÇÃO]]=CP$1,[1]!BANCO10[[#This Row],[STATUS DA ETAPA]],"")</f>
        <v/>
      </c>
      <c r="CQ824" s="64" t="str">
        <f>IF([1]!BANCO10[[#This Row],[SOLUÇÃO]]=CQ$1,[1]!BANCO10[[#This Row],[STATUS DA ETAPA]],"")</f>
        <v/>
      </c>
      <c r="CR824" s="64" t="str">
        <f>IF([1]!BANCO10[[#This Row],[SOLUÇÃO]]=CR$1,[1]!BANCO10[[#This Row],[STATUS DA ETAPA]],"")</f>
        <v/>
      </c>
      <c r="CS824" s="64" t="str">
        <f>IF([1]!BANCO10[[#This Row],[SOLUÇÃO]]=CS$1,[1]!BANCO10[[#This Row],[STATUS DA ETAPA]],"")</f>
        <v/>
      </c>
      <c r="CT824" s="64" t="str">
        <f>IF([1]!BANCO10[[#This Row],[SOLUÇÃO]]=CT$1,[1]!BANCO10[[#This Row],[STATUS DA ETAPA]],"")</f>
        <v/>
      </c>
      <c r="CU824" s="64" t="str">
        <f>IF([1]!BANCO10[[#This Row],[SOLUÇÃO]]=CU$1,[1]!BANCO10[[#This Row],[STATUS DA ETAPA]],"")</f>
        <v/>
      </c>
      <c r="CV824" s="64" t="str">
        <f>IF([1]!BANCO10[[#This Row],[SOLUÇÃO]]=CV$1,[1]!BANCO10[[#This Row],[STATUS DA ETAPA]],"")</f>
        <v/>
      </c>
    </row>
    <row r="825" spans="1:100">
      <c r="A825" s="44" t="s">
        <v>1</v>
      </c>
      <c r="B825" s="44"/>
      <c r="C825" s="44" t="s">
        <v>1</v>
      </c>
      <c r="D825" s="44"/>
      <c r="E825" s="44" t="s">
        <v>1</v>
      </c>
      <c r="F825" s="44"/>
      <c r="G825" s="44" t="s">
        <v>1</v>
      </c>
      <c r="H825" s="44"/>
      <c r="I825" s="45" t="s">
        <v>1</v>
      </c>
      <c r="J825" s="46"/>
      <c r="K825" s="45" t="s">
        <v>1</v>
      </c>
      <c r="L825" s="33"/>
      <c r="M825" s="45" t="s">
        <v>1</v>
      </c>
      <c r="N825" s="33"/>
      <c r="O825" s="44" t="s">
        <v>2</v>
      </c>
      <c r="P825" s="44">
        <v>44715</v>
      </c>
      <c r="Q825" s="44" t="s">
        <v>2</v>
      </c>
      <c r="R825" s="44">
        <v>44775</v>
      </c>
      <c r="S825" s="44" t="s">
        <v>2</v>
      </c>
      <c r="T825" s="44">
        <v>44931</v>
      </c>
      <c r="U825" s="44"/>
      <c r="V825" s="44"/>
      <c r="W825" s="44" t="s">
        <v>2</v>
      </c>
      <c r="X825" s="44"/>
      <c r="Y825" s="44" t="s">
        <v>2</v>
      </c>
      <c r="Z825" s="44">
        <v>44949</v>
      </c>
      <c r="AA825" s="44" t="s">
        <v>2</v>
      </c>
      <c r="AB825" s="44"/>
      <c r="AC825" s="51">
        <v>44950</v>
      </c>
      <c r="AD825" s="50">
        <v>45062</v>
      </c>
      <c r="AE825" s="40" t="s">
        <v>2</v>
      </c>
      <c r="AF825" s="40" t="s">
        <v>2</v>
      </c>
      <c r="AG825" s="40" t="s">
        <v>5</v>
      </c>
      <c r="AH825" s="36" t="s">
        <v>0</v>
      </c>
      <c r="AI825" s="49">
        <v>0</v>
      </c>
      <c r="AJ825" s="36"/>
      <c r="AK825" s="10"/>
      <c r="AL825" s="36" t="s">
        <v>22</v>
      </c>
      <c r="AM825" s="36" t="s">
        <v>1</v>
      </c>
      <c r="AN825" s="35" t="s">
        <v>1</v>
      </c>
      <c r="AO825" s="35" t="s">
        <v>1</v>
      </c>
      <c r="AP825" s="35" t="s">
        <v>2</v>
      </c>
      <c r="AQ825" s="35" t="s">
        <v>1</v>
      </c>
      <c r="AR825" s="34" t="s">
        <v>1</v>
      </c>
      <c r="AS825" s="63"/>
      <c r="AT825" s="32" t="s">
        <v>1</v>
      </c>
      <c r="AU825" s="31"/>
      <c r="AV825" s="32" t="s">
        <v>1</v>
      </c>
      <c r="AW825" s="31"/>
      <c r="AX825" s="32" t="s">
        <v>1</v>
      </c>
      <c r="AY825" s="55">
        <v>45062</v>
      </c>
      <c r="AZ825" s="30" t="s">
        <v>2</v>
      </c>
      <c r="BA825" s="66"/>
      <c r="BB825" s="39" t="s">
        <v>38</v>
      </c>
      <c r="BC825" s="25"/>
      <c r="BD825" s="24" t="s">
        <v>11</v>
      </c>
      <c r="BE825" s="24" t="s">
        <v>11</v>
      </c>
      <c r="BF825" s="79" t="s">
        <v>11</v>
      </c>
      <c r="BG825" s="79" t="s">
        <v>11</v>
      </c>
      <c r="BH825" s="80" t="s">
        <v>11</v>
      </c>
      <c r="BI825" s="79"/>
      <c r="BJ825" s="54" t="s">
        <v>37</v>
      </c>
      <c r="BK825" s="78" t="s">
        <v>18</v>
      </c>
      <c r="BL825" s="69">
        <v>45393</v>
      </c>
      <c r="BM825" s="78" t="s">
        <v>18</v>
      </c>
      <c r="BN825" s="78" t="s">
        <v>11</v>
      </c>
      <c r="BO825" s="78"/>
      <c r="BP825" s="78" t="s">
        <v>36</v>
      </c>
      <c r="BQ825" s="21">
        <f>YEAR([1]!BANCO10[[#This Row],[DATA INÍCIO]])</f>
        <v>2023</v>
      </c>
      <c r="BR825" s="21">
        <f>MONTH([1]!BANCO10[[#This Row],[DATA INÍCIO]])</f>
        <v>1</v>
      </c>
      <c r="BS825" s="21" t="e">
        <f>CONCATENATE(#REF!,#REF!)</f>
        <v>#REF!</v>
      </c>
      <c r="BT825" s="21"/>
      <c r="BU825" s="21" t="s">
        <v>35</v>
      </c>
      <c r="BV825" s="21" t="str">
        <f>IF([1]!BANCO10[[#This Row],[SOLUÇÃO]]=BV$1,[1]!BANCO10[[#This Row],[STATUS DA ETAPA]],"")</f>
        <v/>
      </c>
      <c r="BW825" s="21" t="str">
        <f>IF([1]!BANCO10[[#This Row],[SOLUÇÃO]]=BW$1,[1]!BANCO10[[#This Row],[STATUS DA ETAPA]],"")</f>
        <v/>
      </c>
      <c r="BX825" s="21" t="str">
        <f>IF([1]!BANCO10[[#This Row],[SOLUÇÃO]]=BX$1,[1]!BANCO10[[#This Row],[STATUS DA ETAPA]],"")</f>
        <v/>
      </c>
      <c r="BY825" s="21" t="str">
        <f>IF([1]!BANCO10[[#This Row],[SOLUÇÃO]]=BY$1,[1]!BANCO10[[#This Row],[STATUS DA ETAPA]],"")</f>
        <v/>
      </c>
      <c r="BZ825" s="21" t="str">
        <f>IF([1]!BANCO10[[#This Row],[SOLUÇÃO]]=BZ$1,[1]!BANCO10[[#This Row],[STATUS DA ETAPA]],"")</f>
        <v/>
      </c>
      <c r="CA825" s="21" t="str">
        <f>IF([1]!BANCO10[[#This Row],[SOLUÇÃO]]=CA$1,[1]!BANCO10[[#This Row],[STATUS DA ETAPA]],"")</f>
        <v>CONCLUÍDO</v>
      </c>
      <c r="CB825" s="21" t="str">
        <f>IF([1]!BANCO10[[#This Row],[SOLUÇÃO]]=CB$1,[1]!BANCO10[[#This Row],[STATUS DA ETAPA]],"")</f>
        <v/>
      </c>
      <c r="CC825" s="21" t="str">
        <f>IF([1]!BANCO10[[#This Row],[SOLUÇÃO]]=CC$1,[1]!BANCO10[[#This Row],[STATUS DA ETAPA]],"")</f>
        <v/>
      </c>
      <c r="CD825" s="21" t="str">
        <f>IF([1]!BANCO10[[#This Row],[SOLUÇÃO]]=CD$1,[1]!BANCO10[[#This Row],[STATUS DA ETAPA]],"")</f>
        <v/>
      </c>
      <c r="CE825" s="21" t="str">
        <f>IF([1]!BANCO10[[#This Row],[SOLUÇÃO]]=CE$1,[1]!BANCO10[[#This Row],[STATUS DA ETAPA]],"")</f>
        <v/>
      </c>
      <c r="CF825" s="21" t="str">
        <f>IF([1]!BANCO10[[#This Row],[SOLUÇÃO]]=CF$1,[1]!BANCO10[[#This Row],[STATUS DA ETAPA]],"")</f>
        <v/>
      </c>
      <c r="CG825" s="21" t="str">
        <f>IF([1]!BANCO10[[#This Row],[SOLUÇÃO]]=CG$1,[1]!BANCO10[[#This Row],[STATUS DA ETAPA]],"")</f>
        <v/>
      </c>
      <c r="CH825" s="21" t="str">
        <f>IF([1]!BANCO10[[#This Row],[SOLUÇÃO]]=CH$1,[1]!BANCO10[[#This Row],[STATUS DA ETAPA]],"")</f>
        <v/>
      </c>
      <c r="CI825" s="21" t="str">
        <f>IF([1]!BANCO10[[#This Row],[SOLUÇÃO]]=CI$1,[1]!BANCO10[[#This Row],[STATUS DA ETAPA]],"")</f>
        <v/>
      </c>
      <c r="CJ825" s="21" t="str">
        <f>IF([1]!BANCO10[[#This Row],[SOLUÇÃO]]=CJ$1,[1]!BANCO10[[#This Row],[STATUS DA ETAPA]],"")</f>
        <v/>
      </c>
      <c r="CK825" s="21" t="str">
        <f>IF([1]!BANCO10[[#This Row],[SOLUÇÃO]]=CK$1,[1]!BANCO10[[#This Row],[STATUS DA ETAPA]],"")</f>
        <v/>
      </c>
      <c r="CL825" s="22" t="str">
        <f>IF([1]!BANCO10[[#This Row],[SOLUÇÃO]]=CL$1,[1]!BANCO10[[#This Row],[STATUS DA ETAPA]],"")</f>
        <v/>
      </c>
      <c r="CM825" s="64" t="str">
        <f>IF([1]!BANCO10[[#This Row],[SOLUÇÃO]]=CM$1,[1]!BANCO10[[#This Row],[STATUS DA ETAPA]],"")</f>
        <v/>
      </c>
      <c r="CN825" s="64" t="str">
        <f>IF([1]!BANCO10[[#This Row],[SOLUÇÃO]]=CN$1,[1]!BANCO10[[#This Row],[STATUS DA ETAPA]],"")</f>
        <v/>
      </c>
      <c r="CO825" s="64" t="str">
        <f>IF([1]!BANCO10[[#This Row],[SOLUÇÃO]]=CO$1,[1]!BANCO10[[#This Row],[STATUS DA ETAPA]],"")</f>
        <v/>
      </c>
      <c r="CP825" s="64" t="str">
        <f>IF([1]!BANCO10[[#This Row],[SOLUÇÃO]]=CP$1,[1]!BANCO10[[#This Row],[STATUS DA ETAPA]],"")</f>
        <v/>
      </c>
      <c r="CQ825" s="64" t="str">
        <f>IF([1]!BANCO10[[#This Row],[SOLUÇÃO]]=CQ$1,[1]!BANCO10[[#This Row],[STATUS DA ETAPA]],"")</f>
        <v/>
      </c>
      <c r="CR825" s="64" t="str">
        <f>IF([1]!BANCO10[[#This Row],[SOLUÇÃO]]=CR$1,[1]!BANCO10[[#This Row],[STATUS DA ETAPA]],"")</f>
        <v/>
      </c>
      <c r="CS825" s="64" t="str">
        <f>IF([1]!BANCO10[[#This Row],[SOLUÇÃO]]=CS$1,[1]!BANCO10[[#This Row],[STATUS DA ETAPA]],"")</f>
        <v/>
      </c>
      <c r="CT825" s="64" t="str">
        <f>IF([1]!BANCO10[[#This Row],[SOLUÇÃO]]=CT$1,[1]!BANCO10[[#This Row],[STATUS DA ETAPA]],"")</f>
        <v/>
      </c>
      <c r="CU825" s="64" t="str">
        <f>IF([1]!BANCO10[[#This Row],[SOLUÇÃO]]=CU$1,[1]!BANCO10[[#This Row],[STATUS DA ETAPA]],"")</f>
        <v/>
      </c>
      <c r="CV825" s="64" t="str">
        <f>IF([1]!BANCO10[[#This Row],[SOLUÇÃO]]=CV$1,[1]!BANCO10[[#This Row],[STATUS DA ETAPA]],"")</f>
        <v/>
      </c>
    </row>
    <row r="826" spans="1:100">
      <c r="A826" s="44" t="s">
        <v>1</v>
      </c>
      <c r="B826" s="44"/>
      <c r="C826" s="44" t="s">
        <v>1</v>
      </c>
      <c r="D826" s="44"/>
      <c r="E826" s="44" t="s">
        <v>1</v>
      </c>
      <c r="F826" s="44"/>
      <c r="G826" s="44" t="s">
        <v>1</v>
      </c>
      <c r="H826" s="44"/>
      <c r="I826" s="45" t="s">
        <v>1</v>
      </c>
      <c r="J826" s="46"/>
      <c r="K826" s="45" t="s">
        <v>1</v>
      </c>
      <c r="L826" s="33"/>
      <c r="M826" s="45" t="s">
        <v>1</v>
      </c>
      <c r="N826" s="33"/>
      <c r="O826" s="44" t="s">
        <v>2</v>
      </c>
      <c r="P826" s="44">
        <v>44927</v>
      </c>
      <c r="Q826" s="44"/>
      <c r="R826" s="44"/>
      <c r="S826" s="44"/>
      <c r="T826" s="44"/>
      <c r="U826" s="44" t="s">
        <v>1</v>
      </c>
      <c r="V826" s="44"/>
      <c r="W826" s="44" t="s">
        <v>1</v>
      </c>
      <c r="X826" s="44"/>
      <c r="Y826" s="44" t="s">
        <v>1</v>
      </c>
      <c r="Z826" s="44"/>
      <c r="AA826" s="44" t="s">
        <v>1</v>
      </c>
      <c r="AB826" s="44"/>
      <c r="AC826" s="84">
        <v>45274</v>
      </c>
      <c r="AD826" s="83">
        <v>45365</v>
      </c>
      <c r="AE826" s="40" t="s">
        <v>2</v>
      </c>
      <c r="AF826" s="40" t="s">
        <v>2</v>
      </c>
      <c r="AG826" s="40" t="s">
        <v>5</v>
      </c>
      <c r="AH826" s="36" t="s">
        <v>2</v>
      </c>
      <c r="AI826" s="49">
        <v>0</v>
      </c>
      <c r="AJ826" s="36" t="s">
        <v>1</v>
      </c>
      <c r="AK826" s="10" t="s">
        <v>1</v>
      </c>
      <c r="AL826" s="36" t="s">
        <v>1</v>
      </c>
      <c r="AM826" s="36" t="s">
        <v>1</v>
      </c>
      <c r="AN826" s="35" t="s">
        <v>1</v>
      </c>
      <c r="AO826" s="35" t="s">
        <v>1</v>
      </c>
      <c r="AP826" s="35" t="s">
        <v>2</v>
      </c>
      <c r="AQ826" s="35" t="s">
        <v>1</v>
      </c>
      <c r="AR826" s="34" t="s">
        <v>1</v>
      </c>
      <c r="AS826" s="33"/>
      <c r="AT826" s="30"/>
      <c r="AU826" s="55"/>
      <c r="AV826" s="30"/>
      <c r="AW826" s="55"/>
      <c r="AX826" s="30" t="s">
        <v>2</v>
      </c>
      <c r="AY826" s="55">
        <v>45365</v>
      </c>
      <c r="AZ826" s="30" t="s">
        <v>1</v>
      </c>
      <c r="BA826" s="55"/>
      <c r="BB826" s="39" t="s">
        <v>34</v>
      </c>
      <c r="BC826" s="25"/>
      <c r="BD826" s="24" t="s">
        <v>11</v>
      </c>
      <c r="BE826" s="24" t="s">
        <v>11</v>
      </c>
      <c r="BF826" s="79" t="s">
        <v>11</v>
      </c>
      <c r="BG826" s="79" t="s">
        <v>11</v>
      </c>
      <c r="BH826" s="80" t="s">
        <v>11</v>
      </c>
      <c r="BI826" s="79"/>
      <c r="BJ826" s="54" t="s">
        <v>11</v>
      </c>
      <c r="BK826" s="78" t="s">
        <v>11</v>
      </c>
      <c r="BL826" s="69" t="s">
        <v>11</v>
      </c>
      <c r="BM826" s="78" t="s">
        <v>11</v>
      </c>
      <c r="BN826" s="78" t="s">
        <v>11</v>
      </c>
      <c r="BO826" s="78" t="s">
        <v>11</v>
      </c>
      <c r="BP826" s="78" t="s">
        <v>11</v>
      </c>
      <c r="BQ826" s="21">
        <f>YEAR([1]!BANCO10[[#This Row],[DATA INÍCIO]])</f>
        <v>2023</v>
      </c>
      <c r="BR826" s="21">
        <f>MONTH([1]!BANCO10[[#This Row],[DATA INÍCIO]])</f>
        <v>12</v>
      </c>
      <c r="BS826" s="21" t="e">
        <f>CONCATENATE(#REF!,#REF!)</f>
        <v>#REF!</v>
      </c>
      <c r="BT826" s="21"/>
      <c r="BU826" s="21" t="s">
        <v>33</v>
      </c>
      <c r="BV826" s="21" t="str">
        <f>IF([1]!BANCO10[[#This Row],[SOLUÇÃO]]=BV$1,[1]!BANCO10[[#This Row],[STATUS DA ETAPA]],"")</f>
        <v/>
      </c>
      <c r="BW826" s="21" t="str">
        <f>IF([1]!BANCO10[[#This Row],[SOLUÇÃO]]=BW$1,[1]!BANCO10[[#This Row],[STATUS DA ETAPA]],"")</f>
        <v/>
      </c>
      <c r="BX826" s="21" t="str">
        <f>IF([1]!BANCO10[[#This Row],[SOLUÇÃO]]=BX$1,[1]!BANCO10[[#This Row],[STATUS DA ETAPA]],"")</f>
        <v/>
      </c>
      <c r="BY826" s="21" t="str">
        <f>IF([1]!BANCO10[[#This Row],[SOLUÇÃO]]=BY$1,[1]!BANCO10[[#This Row],[STATUS DA ETAPA]],"")</f>
        <v/>
      </c>
      <c r="BZ826" s="21" t="str">
        <f>IF([1]!BANCO10[[#This Row],[SOLUÇÃO]]=BZ$1,[1]!BANCO10[[#This Row],[STATUS DA ETAPA]],"")</f>
        <v/>
      </c>
      <c r="CA826" s="21" t="str">
        <f>IF([1]!BANCO10[[#This Row],[SOLUÇÃO]]=CA$1,[1]!BANCO10[[#This Row],[STATUS DA ETAPA]],"")</f>
        <v>CONCLUÍDO</v>
      </c>
      <c r="CB826" s="21" t="str">
        <f>IF([1]!BANCO10[[#This Row],[SOLUÇÃO]]=CB$1,[1]!BANCO10[[#This Row],[STATUS DA ETAPA]],"")</f>
        <v/>
      </c>
      <c r="CC826" s="21" t="str">
        <f>IF([1]!BANCO10[[#This Row],[SOLUÇÃO]]=CC$1,[1]!BANCO10[[#This Row],[STATUS DA ETAPA]],"")</f>
        <v/>
      </c>
      <c r="CD826" s="21" t="str">
        <f>IF([1]!BANCO10[[#This Row],[SOLUÇÃO]]=CD$1,[1]!BANCO10[[#This Row],[STATUS DA ETAPA]],"")</f>
        <v/>
      </c>
      <c r="CE826" s="21" t="str">
        <f>IF([1]!BANCO10[[#This Row],[SOLUÇÃO]]=CE$1,[1]!BANCO10[[#This Row],[STATUS DA ETAPA]],"")</f>
        <v/>
      </c>
      <c r="CF826" s="21" t="str">
        <f>IF([1]!BANCO10[[#This Row],[SOLUÇÃO]]=CF$1,[1]!BANCO10[[#This Row],[STATUS DA ETAPA]],"")</f>
        <v/>
      </c>
      <c r="CG826" s="21" t="str">
        <f>IF([1]!BANCO10[[#This Row],[SOLUÇÃO]]=CG$1,[1]!BANCO10[[#This Row],[STATUS DA ETAPA]],"")</f>
        <v/>
      </c>
      <c r="CH826" s="21" t="str">
        <f>IF([1]!BANCO10[[#This Row],[SOLUÇÃO]]=CH$1,[1]!BANCO10[[#This Row],[STATUS DA ETAPA]],"")</f>
        <v/>
      </c>
      <c r="CI826" s="21" t="str">
        <f>IF([1]!BANCO10[[#This Row],[SOLUÇÃO]]=CI$1,[1]!BANCO10[[#This Row],[STATUS DA ETAPA]],"")</f>
        <v/>
      </c>
      <c r="CJ826" s="21" t="str">
        <f>IF([1]!BANCO10[[#This Row],[SOLUÇÃO]]=CJ$1,[1]!BANCO10[[#This Row],[STATUS DA ETAPA]],"")</f>
        <v/>
      </c>
      <c r="CK826" s="21" t="str">
        <f>IF([1]!BANCO10[[#This Row],[SOLUÇÃO]]=CK$1,[1]!BANCO10[[#This Row],[STATUS DA ETAPA]],"")</f>
        <v/>
      </c>
      <c r="CL826" s="22" t="str">
        <f>IF([1]!BANCO10[[#This Row],[SOLUÇÃO]]=CL$1,[1]!BANCO10[[#This Row],[STATUS DA ETAPA]],"")</f>
        <v/>
      </c>
      <c r="CM826" s="64" t="str">
        <f>IF([1]!BANCO10[[#This Row],[SOLUÇÃO]]=CM$1,[1]!BANCO10[[#This Row],[STATUS DA ETAPA]],"")</f>
        <v/>
      </c>
      <c r="CN826" s="64" t="str">
        <f>IF([1]!BANCO10[[#This Row],[SOLUÇÃO]]=CN$1,[1]!BANCO10[[#This Row],[STATUS DA ETAPA]],"")</f>
        <v/>
      </c>
      <c r="CO826" s="64" t="str">
        <f>IF([1]!BANCO10[[#This Row],[SOLUÇÃO]]=CO$1,[1]!BANCO10[[#This Row],[STATUS DA ETAPA]],"")</f>
        <v/>
      </c>
      <c r="CP826" s="64" t="str">
        <f>IF([1]!BANCO10[[#This Row],[SOLUÇÃO]]=CP$1,[1]!BANCO10[[#This Row],[STATUS DA ETAPA]],"")</f>
        <v/>
      </c>
      <c r="CQ826" s="64" t="str">
        <f>IF([1]!BANCO10[[#This Row],[SOLUÇÃO]]=CQ$1,[1]!BANCO10[[#This Row],[STATUS DA ETAPA]],"")</f>
        <v/>
      </c>
      <c r="CR826" s="64" t="str">
        <f>IF([1]!BANCO10[[#This Row],[SOLUÇÃO]]=CR$1,[1]!BANCO10[[#This Row],[STATUS DA ETAPA]],"")</f>
        <v/>
      </c>
      <c r="CS826" s="64" t="str">
        <f>IF([1]!BANCO10[[#This Row],[SOLUÇÃO]]=CS$1,[1]!BANCO10[[#This Row],[STATUS DA ETAPA]],"")</f>
        <v/>
      </c>
      <c r="CT826" s="64" t="str">
        <f>IF([1]!BANCO10[[#This Row],[SOLUÇÃO]]=CT$1,[1]!BANCO10[[#This Row],[STATUS DA ETAPA]],"")</f>
        <v/>
      </c>
      <c r="CU826" s="64" t="str">
        <f>IF([1]!BANCO10[[#This Row],[SOLUÇÃO]]=CU$1,[1]!BANCO10[[#This Row],[STATUS DA ETAPA]],"")</f>
        <v/>
      </c>
      <c r="CV826" s="64" t="str">
        <f>IF([1]!BANCO10[[#This Row],[SOLUÇÃO]]=CV$1,[1]!BANCO10[[#This Row],[STATUS DA ETAPA]],"")</f>
        <v/>
      </c>
    </row>
    <row r="827" spans="1:100">
      <c r="A827" s="44" t="s">
        <v>1</v>
      </c>
      <c r="B827" s="44"/>
      <c r="C827" s="44" t="s">
        <v>1</v>
      </c>
      <c r="D827" s="44"/>
      <c r="E827" s="44" t="s">
        <v>1</v>
      </c>
      <c r="F827" s="44"/>
      <c r="G827" s="44" t="s">
        <v>1</v>
      </c>
      <c r="H827" s="44"/>
      <c r="I827" s="45" t="s">
        <v>1</v>
      </c>
      <c r="J827" s="46"/>
      <c r="K827" s="45" t="s">
        <v>1</v>
      </c>
      <c r="L827" s="33"/>
      <c r="M827" s="45" t="s">
        <v>1</v>
      </c>
      <c r="N827" s="33"/>
      <c r="O827" s="44" t="s">
        <v>2</v>
      </c>
      <c r="P827" s="44">
        <v>45310</v>
      </c>
      <c r="Q827" s="44" t="s">
        <v>2</v>
      </c>
      <c r="R827" s="44">
        <v>45378</v>
      </c>
      <c r="S827" s="44" t="s">
        <v>2</v>
      </c>
      <c r="T827" s="44">
        <v>45378</v>
      </c>
      <c r="U827" s="44" t="s">
        <v>2</v>
      </c>
      <c r="V827" s="44">
        <v>45379</v>
      </c>
      <c r="W827" s="44" t="s">
        <v>2</v>
      </c>
      <c r="X827" s="44"/>
      <c r="Y827" s="44" t="s">
        <v>2</v>
      </c>
      <c r="Z827" s="44">
        <v>45402</v>
      </c>
      <c r="AA827" s="44" t="s">
        <v>2</v>
      </c>
      <c r="AB827" s="44"/>
      <c r="AC827" s="84">
        <v>45462</v>
      </c>
      <c r="AD827" s="83">
        <v>45643</v>
      </c>
      <c r="AE827" s="40" t="s">
        <v>2</v>
      </c>
      <c r="AF827" s="41" t="s">
        <v>0</v>
      </c>
      <c r="AG827" s="40" t="s">
        <v>4</v>
      </c>
      <c r="AH827" s="36" t="s">
        <v>0</v>
      </c>
      <c r="AI827" s="49">
        <v>0</v>
      </c>
      <c r="AJ827" s="36" t="s">
        <v>6</v>
      </c>
      <c r="AK827" s="10" t="s">
        <v>30</v>
      </c>
      <c r="AL827" s="36">
        <v>4702</v>
      </c>
      <c r="AM827" s="36" t="s">
        <v>30</v>
      </c>
      <c r="AN827" s="35" t="s">
        <v>1</v>
      </c>
      <c r="AO827" s="35" t="s">
        <v>1</v>
      </c>
      <c r="AP827" s="35" t="s">
        <v>2</v>
      </c>
      <c r="AQ827" s="35" t="s">
        <v>1</v>
      </c>
      <c r="AR827" s="34" t="s">
        <v>1</v>
      </c>
      <c r="AS827" s="33"/>
      <c r="AT827" s="28"/>
      <c r="AU827" s="55"/>
      <c r="AV827" s="28"/>
      <c r="AW827" s="55"/>
      <c r="AX827" s="28" t="s">
        <v>2</v>
      </c>
      <c r="AY827" s="55">
        <v>45643</v>
      </c>
      <c r="AZ827" s="30" t="s">
        <v>0</v>
      </c>
      <c r="BA827" s="55"/>
      <c r="BB827" s="39" t="s">
        <v>32</v>
      </c>
      <c r="BC827" s="25" t="s">
        <v>31</v>
      </c>
      <c r="BD827" s="24" t="s">
        <v>30</v>
      </c>
      <c r="BE827" s="24" t="s">
        <v>30</v>
      </c>
      <c r="BF827" s="79" t="s">
        <v>30</v>
      </c>
      <c r="BG827" s="79" t="s">
        <v>11</v>
      </c>
      <c r="BH827" s="80" t="s">
        <v>11</v>
      </c>
      <c r="BI827" s="79"/>
      <c r="BJ827" s="54" t="s">
        <v>11</v>
      </c>
      <c r="BK827" s="78" t="s">
        <v>11</v>
      </c>
      <c r="BL827" s="69">
        <v>45392</v>
      </c>
      <c r="BM827" s="78" t="s">
        <v>11</v>
      </c>
      <c r="BN827" s="78" t="s">
        <v>11</v>
      </c>
      <c r="BO827" s="78" t="s">
        <v>11</v>
      </c>
      <c r="BP827" s="78" t="s">
        <v>29</v>
      </c>
      <c r="BQ827" s="21">
        <f>YEAR([1]!BANCO10[[#This Row],[DATA INÍCIO]])</f>
        <v>2024</v>
      </c>
      <c r="BR827" s="21">
        <f>MONTH([1]!BANCO10[[#This Row],[DATA INÍCIO]])</f>
        <v>6</v>
      </c>
      <c r="BS827" s="21" t="e">
        <f>CONCATENATE(#REF!,#REF!)</f>
        <v>#REF!</v>
      </c>
      <c r="BT827" s="21"/>
      <c r="BU827" s="21" t="s">
        <v>28</v>
      </c>
      <c r="BV827" s="21" t="str">
        <f>IF([1]!BANCO10[[#This Row],[SOLUÇÃO]]=BV$1,[1]!BANCO10[[#This Row],[STATUS DA ETAPA]],"")</f>
        <v/>
      </c>
      <c r="BW827" s="21" t="str">
        <f>IF([1]!BANCO10[[#This Row],[SOLUÇÃO]]=BW$1,[1]!BANCO10[[#This Row],[STATUS DA ETAPA]],"")</f>
        <v/>
      </c>
      <c r="BX827" s="21" t="str">
        <f>IF([1]!BANCO10[[#This Row],[SOLUÇÃO]]=BX$1,[1]!BANCO10[[#This Row],[STATUS DA ETAPA]],"")</f>
        <v>CONCLUÍDO</v>
      </c>
      <c r="BY827" s="21" t="str">
        <f>IF([1]!BANCO10[[#This Row],[SOLUÇÃO]]=BY$1,[1]!BANCO10[[#This Row],[STATUS DA ETAPA]],"")</f>
        <v/>
      </c>
      <c r="BZ827" s="21" t="str">
        <f>IF([1]!BANCO10[[#This Row],[SOLUÇÃO]]=BZ$1,[1]!BANCO10[[#This Row],[STATUS DA ETAPA]],"")</f>
        <v/>
      </c>
      <c r="CA827" s="21" t="str">
        <f>IF([1]!BANCO10[[#This Row],[SOLUÇÃO]]=CA$1,[1]!BANCO10[[#This Row],[STATUS DA ETAPA]],"")</f>
        <v/>
      </c>
      <c r="CB827" s="21" t="str">
        <f>IF([1]!BANCO10[[#This Row],[SOLUÇÃO]]=CB$1,[1]!BANCO10[[#This Row],[STATUS DA ETAPA]],"")</f>
        <v/>
      </c>
      <c r="CC827" s="21" t="str">
        <f>IF([1]!BANCO10[[#This Row],[SOLUÇÃO]]=CC$1,[1]!BANCO10[[#This Row],[STATUS DA ETAPA]],"")</f>
        <v/>
      </c>
      <c r="CD827" s="21" t="str">
        <f>IF([1]!BANCO10[[#This Row],[SOLUÇÃO]]=CD$1,[1]!BANCO10[[#This Row],[STATUS DA ETAPA]],"")</f>
        <v/>
      </c>
      <c r="CE827" s="21" t="str">
        <f>IF([1]!BANCO10[[#This Row],[SOLUÇÃO]]=CE$1,[1]!BANCO10[[#This Row],[STATUS DA ETAPA]],"")</f>
        <v/>
      </c>
      <c r="CF827" s="21" t="str">
        <f>IF([1]!BANCO10[[#This Row],[SOLUÇÃO]]=CF$1,[1]!BANCO10[[#This Row],[STATUS DA ETAPA]],"")</f>
        <v/>
      </c>
      <c r="CG827" s="21" t="str">
        <f>IF([1]!BANCO10[[#This Row],[SOLUÇÃO]]=CG$1,[1]!BANCO10[[#This Row],[STATUS DA ETAPA]],"")</f>
        <v/>
      </c>
      <c r="CH827" s="21" t="str">
        <f>IF([1]!BANCO10[[#This Row],[SOLUÇÃO]]=CH$1,[1]!BANCO10[[#This Row],[STATUS DA ETAPA]],"")</f>
        <v/>
      </c>
      <c r="CI827" s="21" t="str">
        <f>IF([1]!BANCO10[[#This Row],[SOLUÇÃO]]=CI$1,[1]!BANCO10[[#This Row],[STATUS DA ETAPA]],"")</f>
        <v/>
      </c>
      <c r="CJ827" s="21" t="str">
        <f>IF([1]!BANCO10[[#This Row],[SOLUÇÃO]]=CJ$1,[1]!BANCO10[[#This Row],[STATUS DA ETAPA]],"")</f>
        <v/>
      </c>
      <c r="CK827" s="21" t="str">
        <f>IF([1]!BANCO10[[#This Row],[SOLUÇÃO]]=CK$1,[1]!BANCO10[[#This Row],[STATUS DA ETAPA]],"")</f>
        <v/>
      </c>
      <c r="CL827" s="22" t="str">
        <f>IF([1]!BANCO10[[#This Row],[SOLUÇÃO]]=CL$1,[1]!BANCO10[[#This Row],[STATUS DA ETAPA]],"")</f>
        <v/>
      </c>
      <c r="CM827" s="64" t="str">
        <f>IF([1]!BANCO10[[#This Row],[SOLUÇÃO]]=CM$1,[1]!BANCO10[[#This Row],[STATUS DA ETAPA]],"")</f>
        <v/>
      </c>
      <c r="CN827" s="64" t="str">
        <f>IF([1]!BANCO10[[#This Row],[SOLUÇÃO]]=CN$1,[1]!BANCO10[[#This Row],[STATUS DA ETAPA]],"")</f>
        <v/>
      </c>
      <c r="CO827" s="64" t="str">
        <f>IF([1]!BANCO10[[#This Row],[SOLUÇÃO]]=CO$1,[1]!BANCO10[[#This Row],[STATUS DA ETAPA]],"")</f>
        <v/>
      </c>
      <c r="CP827" s="64" t="str">
        <f>IF([1]!BANCO10[[#This Row],[SOLUÇÃO]]=CP$1,[1]!BANCO10[[#This Row],[STATUS DA ETAPA]],"")</f>
        <v/>
      </c>
      <c r="CQ827" s="64" t="str">
        <f>IF([1]!BANCO10[[#This Row],[SOLUÇÃO]]=CQ$1,[1]!BANCO10[[#This Row],[STATUS DA ETAPA]],"")</f>
        <v/>
      </c>
      <c r="CR827" s="64" t="str">
        <f>IF([1]!BANCO10[[#This Row],[SOLUÇÃO]]=CR$1,[1]!BANCO10[[#This Row],[STATUS DA ETAPA]],"")</f>
        <v/>
      </c>
      <c r="CS827" s="64" t="str">
        <f>IF([1]!BANCO10[[#This Row],[SOLUÇÃO]]=CS$1,[1]!BANCO10[[#This Row],[STATUS DA ETAPA]],"")</f>
        <v/>
      </c>
      <c r="CT827" s="64" t="str">
        <f>IF([1]!BANCO10[[#This Row],[SOLUÇÃO]]=CT$1,[1]!BANCO10[[#This Row],[STATUS DA ETAPA]],"")</f>
        <v/>
      </c>
      <c r="CU827" s="64" t="str">
        <f>IF([1]!BANCO10[[#This Row],[SOLUÇÃO]]=CU$1,[1]!BANCO10[[#This Row],[STATUS DA ETAPA]],"")</f>
        <v/>
      </c>
      <c r="CV827" s="64" t="str">
        <f>IF([1]!BANCO10[[#This Row],[SOLUÇÃO]]=CV$1,[1]!BANCO10[[#This Row],[STATUS DA ETAPA]],"")</f>
        <v/>
      </c>
    </row>
    <row r="828" spans="1:100">
      <c r="A828" s="44" t="s">
        <v>1</v>
      </c>
      <c r="B828" s="44"/>
      <c r="C828" s="44" t="s">
        <v>1</v>
      </c>
      <c r="D828" s="44"/>
      <c r="E828" s="44" t="s">
        <v>1</v>
      </c>
      <c r="F828" s="44"/>
      <c r="G828" s="44" t="s">
        <v>1</v>
      </c>
      <c r="H828" s="44"/>
      <c r="I828" s="45" t="s">
        <v>1</v>
      </c>
      <c r="J828" s="46"/>
      <c r="K828" s="45" t="s">
        <v>1</v>
      </c>
      <c r="L828" s="33"/>
      <c r="M828" s="45" t="s">
        <v>1</v>
      </c>
      <c r="N828" s="33"/>
      <c r="O828" s="44" t="s">
        <v>2</v>
      </c>
      <c r="P828" s="44">
        <v>44704</v>
      </c>
      <c r="Q828" s="44" t="s">
        <v>0</v>
      </c>
      <c r="R828" s="44"/>
      <c r="S828" s="44" t="s">
        <v>1</v>
      </c>
      <c r="T828" s="44"/>
      <c r="U828" s="44" t="s">
        <v>1</v>
      </c>
      <c r="V828" s="44"/>
      <c r="W828" s="44" t="s">
        <v>1</v>
      </c>
      <c r="X828" s="44"/>
      <c r="Y828" s="44" t="s">
        <v>1</v>
      </c>
      <c r="Z828" s="44"/>
      <c r="AA828" s="44" t="s">
        <v>1</v>
      </c>
      <c r="AB828" s="44"/>
      <c r="AC828" s="84">
        <v>44701</v>
      </c>
      <c r="AD828" s="83">
        <v>44706</v>
      </c>
      <c r="AE828" s="40" t="s">
        <v>1</v>
      </c>
      <c r="AF828" s="40" t="s">
        <v>1</v>
      </c>
      <c r="AG828" s="40" t="s">
        <v>5</v>
      </c>
      <c r="AH828" s="36" t="s">
        <v>1</v>
      </c>
      <c r="AI828" s="49">
        <v>0</v>
      </c>
      <c r="AJ828" s="36" t="s">
        <v>1</v>
      </c>
      <c r="AK828" s="10" t="s">
        <v>1</v>
      </c>
      <c r="AL828" s="36" t="s">
        <v>1</v>
      </c>
      <c r="AM828" s="36" t="s">
        <v>1</v>
      </c>
      <c r="AN828" s="35" t="s">
        <v>1</v>
      </c>
      <c r="AO828" s="35" t="s">
        <v>1</v>
      </c>
      <c r="AP828" s="35" t="s">
        <v>1</v>
      </c>
      <c r="AQ828" s="35" t="s">
        <v>1</v>
      </c>
      <c r="AR828" s="48" t="s">
        <v>1</v>
      </c>
      <c r="AS828" s="33"/>
      <c r="AT828" s="30"/>
      <c r="AU828" s="55"/>
      <c r="AV828" s="30"/>
      <c r="AW828" s="55"/>
      <c r="AX828" s="30" t="s">
        <v>1</v>
      </c>
      <c r="AY828" s="55"/>
      <c r="AZ828" s="30" t="s">
        <v>1</v>
      </c>
      <c r="BA828" s="85"/>
      <c r="BB828" s="39"/>
      <c r="BC828" s="25"/>
      <c r="BD828" s="24" t="s">
        <v>11</v>
      </c>
      <c r="BE828" s="24" t="s">
        <v>11</v>
      </c>
      <c r="BF828" s="79" t="s">
        <v>11</v>
      </c>
      <c r="BG828" s="79" t="s">
        <v>11</v>
      </c>
      <c r="BH828" s="80" t="s">
        <v>11</v>
      </c>
      <c r="BI828" s="79"/>
      <c r="BJ828" s="54" t="s">
        <v>11</v>
      </c>
      <c r="BK828" s="78" t="s">
        <v>11</v>
      </c>
      <c r="BL828" s="69" t="s">
        <v>11</v>
      </c>
      <c r="BM828" s="78" t="s">
        <v>11</v>
      </c>
      <c r="BN828" s="78" t="s">
        <v>11</v>
      </c>
      <c r="BO828" s="78" t="s">
        <v>11</v>
      </c>
      <c r="BP828" s="78" t="s">
        <v>11</v>
      </c>
      <c r="BQ828" s="21">
        <f>YEAR([1]!BANCO10[[#This Row],[DATA INÍCIO]])</f>
        <v>2022</v>
      </c>
      <c r="BR828" s="21">
        <f>MONTH([1]!BANCO10[[#This Row],[DATA INÍCIO]])</f>
        <v>5</v>
      </c>
      <c r="BS828" s="21" t="e">
        <f>CONCATENATE(#REF!,#REF!)</f>
        <v>#REF!</v>
      </c>
      <c r="BT828" s="21"/>
      <c r="BU828" s="21" t="s">
        <v>27</v>
      </c>
      <c r="BV828" s="21" t="str">
        <f>IF([1]!BANCO10[[#This Row],[SOLUÇÃO]]=BV$1,[1]!BANCO10[[#This Row],[STATUS DA ETAPA]],"")</f>
        <v>CONCLUÍDO</v>
      </c>
      <c r="BW828" s="21" t="str">
        <f>IF([1]!BANCO10[[#This Row],[SOLUÇÃO]]=BW$1,[1]!BANCO10[[#This Row],[STATUS DA ETAPA]],"")</f>
        <v/>
      </c>
      <c r="BX828" s="21" t="str">
        <f>IF([1]!BANCO10[[#This Row],[SOLUÇÃO]]=BX$1,[1]!BANCO10[[#This Row],[STATUS DA ETAPA]],"")</f>
        <v/>
      </c>
      <c r="BY828" s="21" t="str">
        <f>IF([1]!BANCO10[[#This Row],[SOLUÇÃO]]=BY$1,[1]!BANCO10[[#This Row],[STATUS DA ETAPA]],"")</f>
        <v/>
      </c>
      <c r="BZ828" s="21" t="str">
        <f>IF([1]!BANCO10[[#This Row],[SOLUÇÃO]]=BZ$1,[1]!BANCO10[[#This Row],[STATUS DA ETAPA]],"")</f>
        <v/>
      </c>
      <c r="CA828" s="21" t="str">
        <f>IF([1]!BANCO10[[#This Row],[SOLUÇÃO]]=CA$1,[1]!BANCO10[[#This Row],[STATUS DA ETAPA]],"")</f>
        <v/>
      </c>
      <c r="CB828" s="21" t="str">
        <f>IF([1]!BANCO10[[#This Row],[SOLUÇÃO]]=CB$1,[1]!BANCO10[[#This Row],[STATUS DA ETAPA]],"")</f>
        <v/>
      </c>
      <c r="CC828" s="21" t="str">
        <f>IF([1]!BANCO10[[#This Row],[SOLUÇÃO]]=CC$1,[1]!BANCO10[[#This Row],[STATUS DA ETAPA]],"")</f>
        <v/>
      </c>
      <c r="CD828" s="21" t="str">
        <f>IF([1]!BANCO10[[#This Row],[SOLUÇÃO]]=CD$1,[1]!BANCO10[[#This Row],[STATUS DA ETAPA]],"")</f>
        <v/>
      </c>
      <c r="CE828" s="21" t="str">
        <f>IF([1]!BANCO10[[#This Row],[SOLUÇÃO]]=CE$1,[1]!BANCO10[[#This Row],[STATUS DA ETAPA]],"")</f>
        <v/>
      </c>
      <c r="CF828" s="21" t="str">
        <f>IF([1]!BANCO10[[#This Row],[SOLUÇÃO]]=CF$1,[1]!BANCO10[[#This Row],[STATUS DA ETAPA]],"")</f>
        <v/>
      </c>
      <c r="CG828" s="21" t="str">
        <f>IF([1]!BANCO10[[#This Row],[SOLUÇÃO]]=CG$1,[1]!BANCO10[[#This Row],[STATUS DA ETAPA]],"")</f>
        <v/>
      </c>
      <c r="CH828" s="21" t="str">
        <f>IF([1]!BANCO10[[#This Row],[SOLUÇÃO]]=CH$1,[1]!BANCO10[[#This Row],[STATUS DA ETAPA]],"")</f>
        <v/>
      </c>
      <c r="CI828" s="21" t="str">
        <f>IF([1]!BANCO10[[#This Row],[SOLUÇÃO]]=CI$1,[1]!BANCO10[[#This Row],[STATUS DA ETAPA]],"")</f>
        <v/>
      </c>
      <c r="CJ828" s="21" t="str">
        <f>IF([1]!BANCO10[[#This Row],[SOLUÇÃO]]=CJ$1,[1]!BANCO10[[#This Row],[STATUS DA ETAPA]],"")</f>
        <v/>
      </c>
      <c r="CK828" s="21" t="str">
        <f>IF([1]!BANCO10[[#This Row],[SOLUÇÃO]]=CK$1,[1]!BANCO10[[#This Row],[STATUS DA ETAPA]],"")</f>
        <v/>
      </c>
      <c r="CL828" s="22" t="str">
        <f>IF([1]!BANCO10[[#This Row],[SOLUÇÃO]]=CL$1,[1]!BANCO10[[#This Row],[STATUS DA ETAPA]],"")</f>
        <v/>
      </c>
      <c r="CM828" s="64" t="str">
        <f>IF([1]!BANCO10[[#This Row],[SOLUÇÃO]]=CM$1,[1]!BANCO10[[#This Row],[STATUS DA ETAPA]],"")</f>
        <v/>
      </c>
      <c r="CN828" s="64" t="str">
        <f>IF([1]!BANCO10[[#This Row],[SOLUÇÃO]]=CN$1,[1]!BANCO10[[#This Row],[STATUS DA ETAPA]],"")</f>
        <v/>
      </c>
      <c r="CO828" s="64" t="str">
        <f>IF([1]!BANCO10[[#This Row],[SOLUÇÃO]]=CO$1,[1]!BANCO10[[#This Row],[STATUS DA ETAPA]],"")</f>
        <v/>
      </c>
      <c r="CP828" s="64" t="str">
        <f>IF([1]!BANCO10[[#This Row],[SOLUÇÃO]]=CP$1,[1]!BANCO10[[#This Row],[STATUS DA ETAPA]],"")</f>
        <v/>
      </c>
      <c r="CQ828" s="64" t="str">
        <f>IF([1]!BANCO10[[#This Row],[SOLUÇÃO]]=CQ$1,[1]!BANCO10[[#This Row],[STATUS DA ETAPA]],"")</f>
        <v/>
      </c>
      <c r="CR828" s="64" t="str">
        <f>IF([1]!BANCO10[[#This Row],[SOLUÇÃO]]=CR$1,[1]!BANCO10[[#This Row],[STATUS DA ETAPA]],"")</f>
        <v/>
      </c>
      <c r="CS828" s="64" t="str">
        <f>IF([1]!BANCO10[[#This Row],[SOLUÇÃO]]=CS$1,[1]!BANCO10[[#This Row],[STATUS DA ETAPA]],"")</f>
        <v/>
      </c>
      <c r="CT828" s="64" t="str">
        <f>IF([1]!BANCO10[[#This Row],[SOLUÇÃO]]=CT$1,[1]!BANCO10[[#This Row],[STATUS DA ETAPA]],"")</f>
        <v/>
      </c>
      <c r="CU828" s="64" t="str">
        <f>IF([1]!BANCO10[[#This Row],[SOLUÇÃO]]=CU$1,[1]!BANCO10[[#This Row],[STATUS DA ETAPA]],"")</f>
        <v/>
      </c>
      <c r="CV828" s="64" t="str">
        <f>IF([1]!BANCO10[[#This Row],[SOLUÇÃO]]=CV$1,[1]!BANCO10[[#This Row],[STATUS DA ETAPA]],"")</f>
        <v/>
      </c>
    </row>
    <row r="829" spans="1:100">
      <c r="A829" s="44" t="s">
        <v>1</v>
      </c>
      <c r="B829" s="44"/>
      <c r="C829" s="44" t="s">
        <v>1</v>
      </c>
      <c r="D829" s="44"/>
      <c r="E829" s="44" t="s">
        <v>1</v>
      </c>
      <c r="F829" s="44"/>
      <c r="G829" s="44" t="s">
        <v>1</v>
      </c>
      <c r="H829" s="44"/>
      <c r="I829" s="45" t="s">
        <v>1</v>
      </c>
      <c r="J829" s="46"/>
      <c r="K829" s="45" t="s">
        <v>1</v>
      </c>
      <c r="L829" s="33"/>
      <c r="M829" s="45" t="s">
        <v>1</v>
      </c>
      <c r="N829" s="33"/>
      <c r="O829" s="44" t="s">
        <v>2</v>
      </c>
      <c r="P829" s="44">
        <v>44704</v>
      </c>
      <c r="Q829" s="44" t="s">
        <v>2</v>
      </c>
      <c r="R829" s="44">
        <v>44706</v>
      </c>
      <c r="S829" s="44" t="s">
        <v>2</v>
      </c>
      <c r="T829" s="44">
        <v>44792</v>
      </c>
      <c r="U829" s="44" t="s">
        <v>2</v>
      </c>
      <c r="V829" s="44">
        <v>44792</v>
      </c>
      <c r="W829" s="44" t="s">
        <v>2</v>
      </c>
      <c r="X829" s="44"/>
      <c r="Y829" s="44" t="s">
        <v>2</v>
      </c>
      <c r="Z829" s="44">
        <v>44793</v>
      </c>
      <c r="AA829" s="44" t="s">
        <v>2</v>
      </c>
      <c r="AB829" s="44"/>
      <c r="AC829" s="84">
        <v>44831</v>
      </c>
      <c r="AD829" s="83">
        <v>44916</v>
      </c>
      <c r="AE829" s="40" t="s">
        <v>2</v>
      </c>
      <c r="AF829" s="40" t="s">
        <v>2</v>
      </c>
      <c r="AG829" s="40" t="s">
        <v>5</v>
      </c>
      <c r="AH829" s="36" t="s">
        <v>2</v>
      </c>
      <c r="AI829" s="49">
        <v>0</v>
      </c>
      <c r="AJ829" s="36" t="s">
        <v>1</v>
      </c>
      <c r="AK829" s="10" t="s">
        <v>1</v>
      </c>
      <c r="AL829" s="36" t="s">
        <v>1</v>
      </c>
      <c r="AM829" s="36" t="s">
        <v>1</v>
      </c>
      <c r="AN829" s="35" t="s">
        <v>1</v>
      </c>
      <c r="AO829" s="35" t="s">
        <v>1</v>
      </c>
      <c r="AP829" s="35" t="s">
        <v>2</v>
      </c>
      <c r="AQ829" s="35" t="s">
        <v>1</v>
      </c>
      <c r="AR829" s="34" t="s">
        <v>1</v>
      </c>
      <c r="AS829" s="33"/>
      <c r="AT829" s="30"/>
      <c r="AU829" s="55"/>
      <c r="AV829" s="30"/>
      <c r="AW829" s="55"/>
      <c r="AX829" s="30" t="s">
        <v>2</v>
      </c>
      <c r="AY829" s="55">
        <v>44916</v>
      </c>
      <c r="AZ829" s="30" t="s">
        <v>0</v>
      </c>
      <c r="BA829" s="85"/>
      <c r="BB829" s="74" t="s">
        <v>26</v>
      </c>
      <c r="BC829" s="25"/>
      <c r="BD829" s="24" t="s">
        <v>11</v>
      </c>
      <c r="BE829" s="24" t="s">
        <v>11</v>
      </c>
      <c r="BF829" s="79" t="s">
        <v>11</v>
      </c>
      <c r="BG829" s="79" t="s">
        <v>11</v>
      </c>
      <c r="BH829" s="80" t="s">
        <v>11</v>
      </c>
      <c r="BI829" s="79"/>
      <c r="BJ829" s="54" t="s">
        <v>11</v>
      </c>
      <c r="BK829" s="78" t="s">
        <v>11</v>
      </c>
      <c r="BL829" s="69" t="s">
        <v>11</v>
      </c>
      <c r="BM829" s="78" t="s">
        <v>11</v>
      </c>
      <c r="BN829" s="78" t="s">
        <v>11</v>
      </c>
      <c r="BO829" s="78" t="s">
        <v>11</v>
      </c>
      <c r="BP829" s="78" t="s">
        <v>11</v>
      </c>
      <c r="BQ829" s="21">
        <f>YEAR([1]!BANCO10[[#This Row],[DATA INÍCIO]])</f>
        <v>2022</v>
      </c>
      <c r="BR829" s="21">
        <f>MONTH([1]!BANCO10[[#This Row],[DATA INÍCIO]])</f>
        <v>9</v>
      </c>
      <c r="BS829" s="21" t="e">
        <f>CONCATENATE(#REF!,#REF!)</f>
        <v>#REF!</v>
      </c>
      <c r="BT829" s="21"/>
      <c r="BU829" s="21" t="s">
        <v>25</v>
      </c>
      <c r="BV829" s="21" t="str">
        <f>IF([1]!BANCO10[[#This Row],[SOLUÇÃO]]=BV$1,[1]!BANCO10[[#This Row],[STATUS DA ETAPA]],"")</f>
        <v/>
      </c>
      <c r="BW829" s="21" t="str">
        <f>IF([1]!BANCO10[[#This Row],[SOLUÇÃO]]=BW$1,[1]!BANCO10[[#This Row],[STATUS DA ETAPA]],"")</f>
        <v/>
      </c>
      <c r="BX829" s="21" t="str">
        <f>IF([1]!BANCO10[[#This Row],[SOLUÇÃO]]=BX$1,[1]!BANCO10[[#This Row],[STATUS DA ETAPA]],"")</f>
        <v/>
      </c>
      <c r="BY829" s="21" t="str">
        <f>IF([1]!BANCO10[[#This Row],[SOLUÇÃO]]=BY$1,[1]!BANCO10[[#This Row],[STATUS DA ETAPA]],"")</f>
        <v/>
      </c>
      <c r="BZ829" s="21" t="str">
        <f>IF([1]!BANCO10[[#This Row],[SOLUÇÃO]]=BZ$1,[1]!BANCO10[[#This Row],[STATUS DA ETAPA]],"")</f>
        <v/>
      </c>
      <c r="CA829" s="21" t="str">
        <f>IF([1]!BANCO10[[#This Row],[SOLUÇÃO]]=CA$1,[1]!BANCO10[[#This Row],[STATUS DA ETAPA]],"")</f>
        <v>CONCLUÍDO</v>
      </c>
      <c r="CB829" s="21" t="str">
        <f>IF([1]!BANCO10[[#This Row],[SOLUÇÃO]]=CB$1,[1]!BANCO10[[#This Row],[STATUS DA ETAPA]],"")</f>
        <v/>
      </c>
      <c r="CC829" s="21" t="str">
        <f>IF([1]!BANCO10[[#This Row],[SOLUÇÃO]]=CC$1,[1]!BANCO10[[#This Row],[STATUS DA ETAPA]],"")</f>
        <v/>
      </c>
      <c r="CD829" s="21" t="str">
        <f>IF([1]!BANCO10[[#This Row],[SOLUÇÃO]]=CD$1,[1]!BANCO10[[#This Row],[STATUS DA ETAPA]],"")</f>
        <v/>
      </c>
      <c r="CE829" s="21" t="str">
        <f>IF([1]!BANCO10[[#This Row],[SOLUÇÃO]]=CE$1,[1]!BANCO10[[#This Row],[STATUS DA ETAPA]],"")</f>
        <v/>
      </c>
      <c r="CF829" s="21" t="str">
        <f>IF([1]!BANCO10[[#This Row],[SOLUÇÃO]]=CF$1,[1]!BANCO10[[#This Row],[STATUS DA ETAPA]],"")</f>
        <v/>
      </c>
      <c r="CG829" s="21" t="str">
        <f>IF([1]!BANCO10[[#This Row],[SOLUÇÃO]]=CG$1,[1]!BANCO10[[#This Row],[STATUS DA ETAPA]],"")</f>
        <v/>
      </c>
      <c r="CH829" s="21" t="str">
        <f>IF([1]!BANCO10[[#This Row],[SOLUÇÃO]]=CH$1,[1]!BANCO10[[#This Row],[STATUS DA ETAPA]],"")</f>
        <v/>
      </c>
      <c r="CI829" s="21" t="str">
        <f>IF([1]!BANCO10[[#This Row],[SOLUÇÃO]]=CI$1,[1]!BANCO10[[#This Row],[STATUS DA ETAPA]],"")</f>
        <v/>
      </c>
      <c r="CJ829" s="21" t="str">
        <f>IF([1]!BANCO10[[#This Row],[SOLUÇÃO]]=CJ$1,[1]!BANCO10[[#This Row],[STATUS DA ETAPA]],"")</f>
        <v/>
      </c>
      <c r="CK829" s="21" t="str">
        <f>IF([1]!BANCO10[[#This Row],[SOLUÇÃO]]=CK$1,[1]!BANCO10[[#This Row],[STATUS DA ETAPA]],"")</f>
        <v/>
      </c>
      <c r="CL829" s="22" t="str">
        <f>IF([1]!BANCO10[[#This Row],[SOLUÇÃO]]=CL$1,[1]!BANCO10[[#This Row],[STATUS DA ETAPA]],"")</f>
        <v/>
      </c>
      <c r="CM829" s="64" t="str">
        <f>IF([1]!BANCO10[[#This Row],[SOLUÇÃO]]=CM$1,[1]!BANCO10[[#This Row],[STATUS DA ETAPA]],"")</f>
        <v/>
      </c>
      <c r="CN829" s="64" t="str">
        <f>IF([1]!BANCO10[[#This Row],[SOLUÇÃO]]=CN$1,[1]!BANCO10[[#This Row],[STATUS DA ETAPA]],"")</f>
        <v/>
      </c>
      <c r="CO829" s="64" t="str">
        <f>IF([1]!BANCO10[[#This Row],[SOLUÇÃO]]=CO$1,[1]!BANCO10[[#This Row],[STATUS DA ETAPA]],"")</f>
        <v/>
      </c>
      <c r="CP829" s="64" t="str">
        <f>IF([1]!BANCO10[[#This Row],[SOLUÇÃO]]=CP$1,[1]!BANCO10[[#This Row],[STATUS DA ETAPA]],"")</f>
        <v/>
      </c>
      <c r="CQ829" s="64" t="str">
        <f>IF([1]!BANCO10[[#This Row],[SOLUÇÃO]]=CQ$1,[1]!BANCO10[[#This Row],[STATUS DA ETAPA]],"")</f>
        <v/>
      </c>
      <c r="CR829" s="64" t="str">
        <f>IF([1]!BANCO10[[#This Row],[SOLUÇÃO]]=CR$1,[1]!BANCO10[[#This Row],[STATUS DA ETAPA]],"")</f>
        <v/>
      </c>
      <c r="CS829" s="64" t="str">
        <f>IF([1]!BANCO10[[#This Row],[SOLUÇÃO]]=CS$1,[1]!BANCO10[[#This Row],[STATUS DA ETAPA]],"")</f>
        <v/>
      </c>
      <c r="CT829" s="64" t="str">
        <f>IF([1]!BANCO10[[#This Row],[SOLUÇÃO]]=CT$1,[1]!BANCO10[[#This Row],[STATUS DA ETAPA]],"")</f>
        <v/>
      </c>
      <c r="CU829" s="64" t="str">
        <f>IF([1]!BANCO10[[#This Row],[SOLUÇÃO]]=CU$1,[1]!BANCO10[[#This Row],[STATUS DA ETAPA]],"")</f>
        <v/>
      </c>
      <c r="CV829" s="64" t="str">
        <f>IF([1]!BANCO10[[#This Row],[SOLUÇÃO]]=CV$1,[1]!BANCO10[[#This Row],[STATUS DA ETAPA]],"")</f>
        <v/>
      </c>
    </row>
    <row r="830" spans="1:100">
      <c r="A830" s="44" t="s">
        <v>1</v>
      </c>
      <c r="B830" s="44"/>
      <c r="C830" s="44" t="s">
        <v>1</v>
      </c>
      <c r="D830" s="44"/>
      <c r="E830" s="44" t="s">
        <v>1</v>
      </c>
      <c r="F830" s="44"/>
      <c r="G830" s="44" t="s">
        <v>1</v>
      </c>
      <c r="H830" s="44"/>
      <c r="I830" s="45" t="s">
        <v>1</v>
      </c>
      <c r="J830" s="46"/>
      <c r="K830" s="45" t="s">
        <v>1</v>
      </c>
      <c r="L830" s="33"/>
      <c r="M830" s="45" t="s">
        <v>1</v>
      </c>
      <c r="N830" s="33"/>
      <c r="O830" s="44" t="s">
        <v>2</v>
      </c>
      <c r="P830" s="44">
        <v>45069</v>
      </c>
      <c r="Q830" s="44" t="s">
        <v>2</v>
      </c>
      <c r="R830" s="44">
        <v>44706</v>
      </c>
      <c r="S830" s="44" t="s">
        <v>2</v>
      </c>
      <c r="T830" s="44">
        <v>44981</v>
      </c>
      <c r="U830" s="44" t="s">
        <v>2</v>
      </c>
      <c r="V830" s="44">
        <v>44981</v>
      </c>
      <c r="W830" s="44" t="s">
        <v>2</v>
      </c>
      <c r="X830" s="44"/>
      <c r="Y830" s="44" t="s">
        <v>2</v>
      </c>
      <c r="Z830" s="44">
        <v>45015</v>
      </c>
      <c r="AA830" s="44" t="s">
        <v>2</v>
      </c>
      <c r="AB830" s="44"/>
      <c r="AC830" s="84">
        <v>44967</v>
      </c>
      <c r="AD830" s="83">
        <v>45187</v>
      </c>
      <c r="AE830" s="24" t="s">
        <v>2</v>
      </c>
      <c r="AF830" s="40" t="s">
        <v>2</v>
      </c>
      <c r="AG830" s="40" t="s">
        <v>5</v>
      </c>
      <c r="AH830" s="36" t="s">
        <v>0</v>
      </c>
      <c r="AI830" s="49">
        <v>0</v>
      </c>
      <c r="AJ830" s="36"/>
      <c r="AK830" s="9">
        <v>0</v>
      </c>
      <c r="AL830" s="36">
        <v>4719</v>
      </c>
      <c r="AM830" s="36" t="s">
        <v>1</v>
      </c>
      <c r="AN830" s="35" t="s">
        <v>1</v>
      </c>
      <c r="AO830" s="35" t="s">
        <v>1</v>
      </c>
      <c r="AP830" s="35" t="s">
        <v>2</v>
      </c>
      <c r="AQ830" s="35" t="s">
        <v>1</v>
      </c>
      <c r="AR830" s="33" t="s">
        <v>1</v>
      </c>
      <c r="AS830" s="33"/>
      <c r="AT830" s="30"/>
      <c r="AU830" s="55"/>
      <c r="AV830" s="30"/>
      <c r="AW830" s="55"/>
      <c r="AX830" s="30" t="s">
        <v>2</v>
      </c>
      <c r="AY830" s="55">
        <v>45187</v>
      </c>
      <c r="AZ830" s="30" t="s">
        <v>2</v>
      </c>
      <c r="BA830" s="85"/>
      <c r="BB830" s="39"/>
      <c r="BC830" s="25"/>
      <c r="BD830" s="24" t="s">
        <v>11</v>
      </c>
      <c r="BE830" s="24" t="s">
        <v>11</v>
      </c>
      <c r="BF830" s="79" t="s">
        <v>11</v>
      </c>
      <c r="BG830" s="79" t="s">
        <v>11</v>
      </c>
      <c r="BH830" s="80" t="s">
        <v>11</v>
      </c>
      <c r="BI830" s="79"/>
      <c r="BJ830" s="54" t="s">
        <v>11</v>
      </c>
      <c r="BK830" s="78" t="s">
        <v>11</v>
      </c>
      <c r="BL830" s="69" t="s">
        <v>11</v>
      </c>
      <c r="BM830" s="78" t="s">
        <v>11</v>
      </c>
      <c r="BN830" s="78" t="s">
        <v>11</v>
      </c>
      <c r="BO830" s="78" t="s">
        <v>11</v>
      </c>
      <c r="BP830" s="78" t="s">
        <v>11</v>
      </c>
      <c r="BQ830" s="21">
        <f>YEAR([1]!BANCO10[[#This Row],[DATA INÍCIO]])</f>
        <v>2023</v>
      </c>
      <c r="BR830" s="21">
        <f>MONTH([1]!BANCO10[[#This Row],[DATA INÍCIO]])</f>
        <v>2</v>
      </c>
      <c r="BS830" s="21" t="e">
        <f>CONCATENATE(#REF!,#REF!)</f>
        <v>#REF!</v>
      </c>
      <c r="BT830" s="21"/>
      <c r="BU830" s="21" t="s">
        <v>24</v>
      </c>
      <c r="BV830" s="21" t="str">
        <f>IF([1]!BANCO10[[#This Row],[SOLUÇÃO]]=BV$1,[1]!BANCO10[[#This Row],[STATUS DA ETAPA]],"")</f>
        <v/>
      </c>
      <c r="BW830" s="21" t="str">
        <f>IF([1]!BANCO10[[#This Row],[SOLUÇÃO]]=BW$1,[1]!BANCO10[[#This Row],[STATUS DA ETAPA]],"")</f>
        <v/>
      </c>
      <c r="BX830" s="21" t="str">
        <f>IF([1]!BANCO10[[#This Row],[SOLUÇÃO]]=BX$1,[1]!BANCO10[[#This Row],[STATUS DA ETAPA]],"")</f>
        <v/>
      </c>
      <c r="BY830" s="21" t="str">
        <f>IF([1]!BANCO10[[#This Row],[SOLUÇÃO]]=BY$1,[1]!BANCO10[[#This Row],[STATUS DA ETAPA]],"")</f>
        <v>CONCLUÍDO</v>
      </c>
      <c r="BZ830" s="21" t="str">
        <f>IF([1]!BANCO10[[#This Row],[SOLUÇÃO]]=BZ$1,[1]!BANCO10[[#This Row],[STATUS DA ETAPA]],"")</f>
        <v/>
      </c>
      <c r="CA830" s="21" t="str">
        <f>IF([1]!BANCO10[[#This Row],[SOLUÇÃO]]=CA$1,[1]!BANCO10[[#This Row],[STATUS DA ETAPA]],"")</f>
        <v/>
      </c>
      <c r="CB830" s="21" t="str">
        <f>IF([1]!BANCO10[[#This Row],[SOLUÇÃO]]=CB$1,[1]!BANCO10[[#This Row],[STATUS DA ETAPA]],"")</f>
        <v/>
      </c>
      <c r="CC830" s="21" t="str">
        <f>IF([1]!BANCO10[[#This Row],[SOLUÇÃO]]=CC$1,[1]!BANCO10[[#This Row],[STATUS DA ETAPA]],"")</f>
        <v/>
      </c>
      <c r="CD830" s="21" t="str">
        <f>IF([1]!BANCO10[[#This Row],[SOLUÇÃO]]=CD$1,[1]!BANCO10[[#This Row],[STATUS DA ETAPA]],"")</f>
        <v/>
      </c>
      <c r="CE830" s="21" t="str">
        <f>IF([1]!BANCO10[[#This Row],[SOLUÇÃO]]=CE$1,[1]!BANCO10[[#This Row],[STATUS DA ETAPA]],"")</f>
        <v/>
      </c>
      <c r="CF830" s="21" t="str">
        <f>IF([1]!BANCO10[[#This Row],[SOLUÇÃO]]=CF$1,[1]!BANCO10[[#This Row],[STATUS DA ETAPA]],"")</f>
        <v/>
      </c>
      <c r="CG830" s="21" t="str">
        <f>IF([1]!BANCO10[[#This Row],[SOLUÇÃO]]=CG$1,[1]!BANCO10[[#This Row],[STATUS DA ETAPA]],"")</f>
        <v/>
      </c>
      <c r="CH830" s="21" t="str">
        <f>IF([1]!BANCO10[[#This Row],[SOLUÇÃO]]=CH$1,[1]!BANCO10[[#This Row],[STATUS DA ETAPA]],"")</f>
        <v/>
      </c>
      <c r="CI830" s="21" t="str">
        <f>IF([1]!BANCO10[[#This Row],[SOLUÇÃO]]=CI$1,[1]!BANCO10[[#This Row],[STATUS DA ETAPA]],"")</f>
        <v/>
      </c>
      <c r="CJ830" s="21" t="str">
        <f>IF([1]!BANCO10[[#This Row],[SOLUÇÃO]]=CJ$1,[1]!BANCO10[[#This Row],[STATUS DA ETAPA]],"")</f>
        <v/>
      </c>
      <c r="CK830" s="21" t="str">
        <f>IF([1]!BANCO10[[#This Row],[SOLUÇÃO]]=CK$1,[1]!BANCO10[[#This Row],[STATUS DA ETAPA]],"")</f>
        <v/>
      </c>
      <c r="CL830" s="22" t="str">
        <f>IF([1]!BANCO10[[#This Row],[SOLUÇÃO]]=CL$1,[1]!BANCO10[[#This Row],[STATUS DA ETAPA]],"")</f>
        <v/>
      </c>
      <c r="CM830" s="64" t="str">
        <f>IF([1]!BANCO10[[#This Row],[SOLUÇÃO]]=CM$1,[1]!BANCO10[[#This Row],[STATUS DA ETAPA]],"")</f>
        <v/>
      </c>
      <c r="CN830" s="64" t="str">
        <f>IF([1]!BANCO10[[#This Row],[SOLUÇÃO]]=CN$1,[1]!BANCO10[[#This Row],[STATUS DA ETAPA]],"")</f>
        <v/>
      </c>
      <c r="CO830" s="64" t="str">
        <f>IF([1]!BANCO10[[#This Row],[SOLUÇÃO]]=CO$1,[1]!BANCO10[[#This Row],[STATUS DA ETAPA]],"")</f>
        <v/>
      </c>
      <c r="CP830" s="64" t="str">
        <f>IF([1]!BANCO10[[#This Row],[SOLUÇÃO]]=CP$1,[1]!BANCO10[[#This Row],[STATUS DA ETAPA]],"")</f>
        <v/>
      </c>
      <c r="CQ830" s="64" t="str">
        <f>IF([1]!BANCO10[[#This Row],[SOLUÇÃO]]=CQ$1,[1]!BANCO10[[#This Row],[STATUS DA ETAPA]],"")</f>
        <v/>
      </c>
      <c r="CR830" s="64" t="str">
        <f>IF([1]!BANCO10[[#This Row],[SOLUÇÃO]]=CR$1,[1]!BANCO10[[#This Row],[STATUS DA ETAPA]],"")</f>
        <v/>
      </c>
      <c r="CS830" s="64" t="str">
        <f>IF([1]!BANCO10[[#This Row],[SOLUÇÃO]]=CS$1,[1]!BANCO10[[#This Row],[STATUS DA ETAPA]],"")</f>
        <v/>
      </c>
      <c r="CT830" s="64" t="str">
        <f>IF([1]!BANCO10[[#This Row],[SOLUÇÃO]]=CT$1,[1]!BANCO10[[#This Row],[STATUS DA ETAPA]],"")</f>
        <v/>
      </c>
      <c r="CU830" s="64" t="str">
        <f>IF([1]!BANCO10[[#This Row],[SOLUÇÃO]]=CU$1,[1]!BANCO10[[#This Row],[STATUS DA ETAPA]],"")</f>
        <v/>
      </c>
      <c r="CV830" s="64" t="str">
        <f>IF([1]!BANCO10[[#This Row],[SOLUÇÃO]]=CV$1,[1]!BANCO10[[#This Row],[STATUS DA ETAPA]],"")</f>
        <v/>
      </c>
    </row>
    <row r="831" spans="1:100">
      <c r="A831" s="44" t="s">
        <v>1</v>
      </c>
      <c r="B831" s="44"/>
      <c r="C831" s="44" t="s">
        <v>1</v>
      </c>
      <c r="D831" s="44"/>
      <c r="E831" s="44" t="s">
        <v>1</v>
      </c>
      <c r="F831" s="44"/>
      <c r="G831" s="44" t="s">
        <v>1</v>
      </c>
      <c r="H831" s="44"/>
      <c r="I831" s="45" t="s">
        <v>1</v>
      </c>
      <c r="J831" s="46"/>
      <c r="K831" s="45" t="s">
        <v>1</v>
      </c>
      <c r="L831" s="33"/>
      <c r="M831" s="45" t="s">
        <v>1</v>
      </c>
      <c r="N831" s="33"/>
      <c r="O831" s="44" t="s">
        <v>2</v>
      </c>
      <c r="P831" s="44">
        <v>44994</v>
      </c>
      <c r="Q831" s="44" t="s">
        <v>0</v>
      </c>
      <c r="R831" s="44"/>
      <c r="S831" s="44" t="s">
        <v>1</v>
      </c>
      <c r="T831" s="44"/>
      <c r="U831" s="44" t="s">
        <v>1</v>
      </c>
      <c r="V831" s="44"/>
      <c r="W831" s="44" t="s">
        <v>1</v>
      </c>
      <c r="X831" s="44"/>
      <c r="Y831" s="44" t="s">
        <v>1</v>
      </c>
      <c r="Z831" s="44"/>
      <c r="AA831" s="44" t="s">
        <v>1</v>
      </c>
      <c r="AB831" s="44"/>
      <c r="AC831" s="84">
        <v>44987</v>
      </c>
      <c r="AD831" s="83">
        <v>44987</v>
      </c>
      <c r="AE831" s="40" t="s">
        <v>1</v>
      </c>
      <c r="AF831" s="40" t="s">
        <v>1</v>
      </c>
      <c r="AG831" s="40" t="s">
        <v>5</v>
      </c>
      <c r="AH831" s="36" t="s">
        <v>1</v>
      </c>
      <c r="AI831" s="49">
        <v>0</v>
      </c>
      <c r="AJ831" s="36" t="s">
        <v>1</v>
      </c>
      <c r="AK831" s="9" t="s">
        <v>1</v>
      </c>
      <c r="AL831" s="36" t="s">
        <v>1</v>
      </c>
      <c r="AM831" s="36" t="s">
        <v>1</v>
      </c>
      <c r="AN831" s="35" t="s">
        <v>1</v>
      </c>
      <c r="AO831" s="35" t="s">
        <v>1</v>
      </c>
      <c r="AP831" s="35" t="s">
        <v>1</v>
      </c>
      <c r="AQ831" s="35" t="s">
        <v>1</v>
      </c>
      <c r="AR831" s="82" t="s">
        <v>1</v>
      </c>
      <c r="AS831" s="33"/>
      <c r="AT831" s="30"/>
      <c r="AU831" s="55"/>
      <c r="AV831" s="30"/>
      <c r="AW831" s="55"/>
      <c r="AX831" s="30" t="s">
        <v>1</v>
      </c>
      <c r="AY831" s="55"/>
      <c r="AZ831" s="30" t="s">
        <v>1</v>
      </c>
      <c r="BA831" s="66"/>
      <c r="BB831" s="39"/>
      <c r="BC831" s="25"/>
      <c r="BD831" s="24" t="s">
        <v>11</v>
      </c>
      <c r="BE831" s="24" t="s">
        <v>11</v>
      </c>
      <c r="BF831" s="79" t="s">
        <v>21</v>
      </c>
      <c r="BG831" s="79" t="s">
        <v>20</v>
      </c>
      <c r="BH831" s="80" t="s">
        <v>19</v>
      </c>
      <c r="BI831" s="79"/>
      <c r="BJ831" s="54" t="s">
        <v>11</v>
      </c>
      <c r="BK831" s="78" t="s">
        <v>11</v>
      </c>
      <c r="BL831" s="69" t="s">
        <v>11</v>
      </c>
      <c r="BM831" s="78" t="s">
        <v>11</v>
      </c>
      <c r="BN831" s="78" t="s">
        <v>11</v>
      </c>
      <c r="BO831" s="78" t="s">
        <v>11</v>
      </c>
      <c r="BP831" s="78" t="s">
        <v>11</v>
      </c>
      <c r="BQ831" s="21">
        <f>YEAR([1]!BANCO10[[#This Row],[DATA INÍCIO]])</f>
        <v>2023</v>
      </c>
      <c r="BR831" s="21">
        <f>MONTH([1]!BANCO10[[#This Row],[DATA INÍCIO]])</f>
        <v>3</v>
      </c>
      <c r="BS831" s="21" t="e">
        <f>CONCATENATE(#REF!,#REF!)</f>
        <v>#REF!</v>
      </c>
      <c r="BT831" s="21"/>
      <c r="BU831" s="21" t="s">
        <v>23</v>
      </c>
      <c r="BV831" s="21" t="str">
        <f>IF([1]!BANCO10[[#This Row],[SOLUÇÃO]]=BV$1,[1]!BANCO10[[#This Row],[STATUS DA ETAPA]],"")</f>
        <v>CONCLUÍDO</v>
      </c>
      <c r="BW831" s="21" t="str">
        <f>IF([1]!BANCO10[[#This Row],[SOLUÇÃO]]=BW$1,[1]!BANCO10[[#This Row],[STATUS DA ETAPA]],"")</f>
        <v/>
      </c>
      <c r="BX831" s="21" t="str">
        <f>IF([1]!BANCO10[[#This Row],[SOLUÇÃO]]=BX$1,[1]!BANCO10[[#This Row],[STATUS DA ETAPA]],"")</f>
        <v/>
      </c>
      <c r="BY831" s="21" t="str">
        <f>IF([1]!BANCO10[[#This Row],[SOLUÇÃO]]=BY$1,[1]!BANCO10[[#This Row],[STATUS DA ETAPA]],"")</f>
        <v/>
      </c>
      <c r="BZ831" s="21" t="str">
        <f>IF([1]!BANCO10[[#This Row],[SOLUÇÃO]]=BZ$1,[1]!BANCO10[[#This Row],[STATUS DA ETAPA]],"")</f>
        <v/>
      </c>
      <c r="CA831" s="21" t="str">
        <f>IF([1]!BANCO10[[#This Row],[SOLUÇÃO]]=CA$1,[1]!BANCO10[[#This Row],[STATUS DA ETAPA]],"")</f>
        <v/>
      </c>
      <c r="CB831" s="21" t="str">
        <f>IF([1]!BANCO10[[#This Row],[SOLUÇÃO]]=CB$1,[1]!BANCO10[[#This Row],[STATUS DA ETAPA]],"")</f>
        <v/>
      </c>
      <c r="CC831" s="21" t="str">
        <f>IF([1]!BANCO10[[#This Row],[SOLUÇÃO]]=CC$1,[1]!BANCO10[[#This Row],[STATUS DA ETAPA]],"")</f>
        <v/>
      </c>
      <c r="CD831" s="21" t="str">
        <f>IF([1]!BANCO10[[#This Row],[SOLUÇÃO]]=CD$1,[1]!BANCO10[[#This Row],[STATUS DA ETAPA]],"")</f>
        <v/>
      </c>
      <c r="CE831" s="21" t="str">
        <f>IF([1]!BANCO10[[#This Row],[SOLUÇÃO]]=CE$1,[1]!BANCO10[[#This Row],[STATUS DA ETAPA]],"")</f>
        <v/>
      </c>
      <c r="CF831" s="21" t="str">
        <f>IF([1]!BANCO10[[#This Row],[SOLUÇÃO]]=CF$1,[1]!BANCO10[[#This Row],[STATUS DA ETAPA]],"")</f>
        <v/>
      </c>
      <c r="CG831" s="21" t="str">
        <f>IF([1]!BANCO10[[#This Row],[SOLUÇÃO]]=CG$1,[1]!BANCO10[[#This Row],[STATUS DA ETAPA]],"")</f>
        <v/>
      </c>
      <c r="CH831" s="21" t="str">
        <f>IF([1]!BANCO10[[#This Row],[SOLUÇÃO]]=CH$1,[1]!BANCO10[[#This Row],[STATUS DA ETAPA]],"")</f>
        <v/>
      </c>
      <c r="CI831" s="21" t="str">
        <f>IF([1]!BANCO10[[#This Row],[SOLUÇÃO]]=CI$1,[1]!BANCO10[[#This Row],[STATUS DA ETAPA]],"")</f>
        <v/>
      </c>
      <c r="CJ831" s="21" t="str">
        <f>IF([1]!BANCO10[[#This Row],[SOLUÇÃO]]=CJ$1,[1]!BANCO10[[#This Row],[STATUS DA ETAPA]],"")</f>
        <v/>
      </c>
      <c r="CK831" s="21" t="str">
        <f>IF([1]!BANCO10[[#This Row],[SOLUÇÃO]]=CK$1,[1]!BANCO10[[#This Row],[STATUS DA ETAPA]],"")</f>
        <v/>
      </c>
      <c r="CL831" s="22" t="str">
        <f>IF([1]!BANCO10[[#This Row],[SOLUÇÃO]]=CL$1,[1]!BANCO10[[#This Row],[STATUS DA ETAPA]],"")</f>
        <v/>
      </c>
      <c r="CM831" s="64" t="str">
        <f>IF([1]!BANCO10[[#This Row],[SOLUÇÃO]]=CM$1,[1]!BANCO10[[#This Row],[STATUS DA ETAPA]],"")</f>
        <v/>
      </c>
      <c r="CN831" s="64" t="str">
        <f>IF([1]!BANCO10[[#This Row],[SOLUÇÃO]]=CN$1,[1]!BANCO10[[#This Row],[STATUS DA ETAPA]],"")</f>
        <v/>
      </c>
      <c r="CO831" s="64" t="str">
        <f>IF([1]!BANCO10[[#This Row],[SOLUÇÃO]]=CO$1,[1]!BANCO10[[#This Row],[STATUS DA ETAPA]],"")</f>
        <v/>
      </c>
      <c r="CP831" s="64" t="str">
        <f>IF([1]!BANCO10[[#This Row],[SOLUÇÃO]]=CP$1,[1]!BANCO10[[#This Row],[STATUS DA ETAPA]],"")</f>
        <v/>
      </c>
      <c r="CQ831" s="64" t="str">
        <f>IF([1]!BANCO10[[#This Row],[SOLUÇÃO]]=CQ$1,[1]!BANCO10[[#This Row],[STATUS DA ETAPA]],"")</f>
        <v/>
      </c>
      <c r="CR831" s="64" t="str">
        <f>IF([1]!BANCO10[[#This Row],[SOLUÇÃO]]=CR$1,[1]!BANCO10[[#This Row],[STATUS DA ETAPA]],"")</f>
        <v/>
      </c>
      <c r="CS831" s="64" t="str">
        <f>IF([1]!BANCO10[[#This Row],[SOLUÇÃO]]=CS$1,[1]!BANCO10[[#This Row],[STATUS DA ETAPA]],"")</f>
        <v/>
      </c>
      <c r="CT831" s="64" t="str">
        <f>IF([1]!BANCO10[[#This Row],[SOLUÇÃO]]=CT$1,[1]!BANCO10[[#This Row],[STATUS DA ETAPA]],"")</f>
        <v/>
      </c>
      <c r="CU831" s="64" t="str">
        <f>IF([1]!BANCO10[[#This Row],[SOLUÇÃO]]=CU$1,[1]!BANCO10[[#This Row],[STATUS DA ETAPA]],"")</f>
        <v/>
      </c>
      <c r="CV831" s="64" t="str">
        <f>IF([1]!BANCO10[[#This Row],[SOLUÇÃO]]=CV$1,[1]!BANCO10[[#This Row],[STATUS DA ETAPA]],"")</f>
        <v/>
      </c>
    </row>
    <row r="832" spans="1:100">
      <c r="A832" s="44" t="s">
        <v>1</v>
      </c>
      <c r="B832" s="44"/>
      <c r="C832" s="44" t="s">
        <v>1</v>
      </c>
      <c r="D832" s="44"/>
      <c r="E832" s="44" t="s">
        <v>1</v>
      </c>
      <c r="F832" s="44"/>
      <c r="G832" s="44" t="s">
        <v>1</v>
      </c>
      <c r="H832" s="44"/>
      <c r="I832" s="45" t="s">
        <v>1</v>
      </c>
      <c r="J832" s="46"/>
      <c r="K832" s="45" t="s">
        <v>1</v>
      </c>
      <c r="L832" s="33"/>
      <c r="M832" s="45" t="s">
        <v>1</v>
      </c>
      <c r="N832" s="33"/>
      <c r="O832" s="44" t="s">
        <v>2</v>
      </c>
      <c r="P832" s="44">
        <v>44994</v>
      </c>
      <c r="Q832" s="44" t="s">
        <v>2</v>
      </c>
      <c r="R832" s="44">
        <v>44997</v>
      </c>
      <c r="S832" s="44" t="s">
        <v>2</v>
      </c>
      <c r="T832" s="44">
        <v>44995</v>
      </c>
      <c r="U832" s="44"/>
      <c r="V832" s="44"/>
      <c r="W832" s="44" t="s">
        <v>2</v>
      </c>
      <c r="X832" s="44"/>
      <c r="Y832" s="44" t="s">
        <v>2</v>
      </c>
      <c r="Z832" s="44">
        <v>45016</v>
      </c>
      <c r="AA832" s="44" t="s">
        <v>2</v>
      </c>
      <c r="AB832" s="44"/>
      <c r="AC832" s="84">
        <v>45043</v>
      </c>
      <c r="AD832" s="83">
        <v>45135</v>
      </c>
      <c r="AE832" s="40" t="s">
        <v>2</v>
      </c>
      <c r="AF832" s="40" t="s">
        <v>2</v>
      </c>
      <c r="AG832" s="40" t="s">
        <v>5</v>
      </c>
      <c r="AH832" s="36" t="s">
        <v>0</v>
      </c>
      <c r="AI832" s="49">
        <v>0</v>
      </c>
      <c r="AJ832" s="36"/>
      <c r="AK832" s="9">
        <v>0</v>
      </c>
      <c r="AL832" s="36" t="s">
        <v>22</v>
      </c>
      <c r="AM832" s="36" t="s">
        <v>1</v>
      </c>
      <c r="AN832" s="35" t="s">
        <v>1</v>
      </c>
      <c r="AO832" s="35" t="s">
        <v>1</v>
      </c>
      <c r="AP832" s="35" t="s">
        <v>2</v>
      </c>
      <c r="AQ832" s="35" t="s">
        <v>1</v>
      </c>
      <c r="AR832" s="34" t="s">
        <v>1</v>
      </c>
      <c r="AS832" s="33"/>
      <c r="AT832" s="30"/>
      <c r="AU832" s="55"/>
      <c r="AV832" s="30"/>
      <c r="AW832" s="55"/>
      <c r="AX832" s="30" t="s">
        <v>2</v>
      </c>
      <c r="AY832" s="55">
        <v>45141</v>
      </c>
      <c r="AZ832" s="30" t="s">
        <v>2</v>
      </c>
      <c r="BA832" s="66"/>
      <c r="BB832" s="39"/>
      <c r="BC832" s="25"/>
      <c r="BD832" s="24" t="s">
        <v>11</v>
      </c>
      <c r="BE832" s="24" t="s">
        <v>11</v>
      </c>
      <c r="BF832" s="79" t="s">
        <v>21</v>
      </c>
      <c r="BG832" s="79" t="s">
        <v>20</v>
      </c>
      <c r="BH832" s="80" t="s">
        <v>19</v>
      </c>
      <c r="BI832" s="79"/>
      <c r="BJ832" s="54" t="s">
        <v>11</v>
      </c>
      <c r="BK832" s="78" t="s">
        <v>11</v>
      </c>
      <c r="BL832" s="69">
        <v>45391</v>
      </c>
      <c r="BM832" s="78" t="s">
        <v>18</v>
      </c>
      <c r="BN832" s="78" t="s">
        <v>11</v>
      </c>
      <c r="BO832" s="78"/>
      <c r="BP832" s="78" t="s">
        <v>17</v>
      </c>
      <c r="BQ832" s="21">
        <f>YEAR([1]!BANCO10[[#This Row],[DATA INÍCIO]])</f>
        <v>2023</v>
      </c>
      <c r="BR832" s="21">
        <f>MONTH([1]!BANCO10[[#This Row],[DATA INÍCIO]])</f>
        <v>4</v>
      </c>
      <c r="BS832" s="21" t="e">
        <f>CONCATENATE(#REF!,#REF!)</f>
        <v>#REF!</v>
      </c>
      <c r="BT832" s="21"/>
      <c r="BU832" s="21" t="s">
        <v>16</v>
      </c>
      <c r="BV832" s="21" t="str">
        <f>IF([1]!BANCO10[[#This Row],[SOLUÇÃO]]=BV$1,[1]!BANCO10[[#This Row],[STATUS DA ETAPA]],"")</f>
        <v/>
      </c>
      <c r="BW832" s="21" t="str">
        <f>IF([1]!BANCO10[[#This Row],[SOLUÇÃO]]=BW$1,[1]!BANCO10[[#This Row],[STATUS DA ETAPA]],"")</f>
        <v/>
      </c>
      <c r="BX832" s="21" t="str">
        <f>IF([1]!BANCO10[[#This Row],[SOLUÇÃO]]=BX$1,[1]!BANCO10[[#This Row],[STATUS DA ETAPA]],"")</f>
        <v/>
      </c>
      <c r="BY832" s="21" t="str">
        <f>IF([1]!BANCO10[[#This Row],[SOLUÇÃO]]=BY$1,[1]!BANCO10[[#This Row],[STATUS DA ETAPA]],"")</f>
        <v/>
      </c>
      <c r="BZ832" s="21" t="str">
        <f>IF([1]!BANCO10[[#This Row],[SOLUÇÃO]]=BZ$1,[1]!BANCO10[[#This Row],[STATUS DA ETAPA]],"")</f>
        <v/>
      </c>
      <c r="CA832" s="21" t="str">
        <f>IF([1]!BANCO10[[#This Row],[SOLUÇÃO]]=CA$1,[1]!BANCO10[[#This Row],[STATUS DA ETAPA]],"")</f>
        <v>CONCLUÍDO</v>
      </c>
      <c r="CB832" s="21" t="str">
        <f>IF([1]!BANCO10[[#This Row],[SOLUÇÃO]]=CB$1,[1]!BANCO10[[#This Row],[STATUS DA ETAPA]],"")</f>
        <v/>
      </c>
      <c r="CC832" s="21" t="str">
        <f>IF([1]!BANCO10[[#This Row],[SOLUÇÃO]]=CC$1,[1]!BANCO10[[#This Row],[STATUS DA ETAPA]],"")</f>
        <v/>
      </c>
      <c r="CD832" s="21" t="str">
        <f>IF([1]!BANCO10[[#This Row],[SOLUÇÃO]]=CD$1,[1]!BANCO10[[#This Row],[STATUS DA ETAPA]],"")</f>
        <v/>
      </c>
      <c r="CE832" s="21" t="str">
        <f>IF([1]!BANCO10[[#This Row],[SOLUÇÃO]]=CE$1,[1]!BANCO10[[#This Row],[STATUS DA ETAPA]],"")</f>
        <v/>
      </c>
      <c r="CF832" s="21" t="str">
        <f>IF([1]!BANCO10[[#This Row],[SOLUÇÃO]]=CF$1,[1]!BANCO10[[#This Row],[STATUS DA ETAPA]],"")</f>
        <v/>
      </c>
      <c r="CG832" s="21" t="str">
        <f>IF([1]!BANCO10[[#This Row],[SOLUÇÃO]]=CG$1,[1]!BANCO10[[#This Row],[STATUS DA ETAPA]],"")</f>
        <v/>
      </c>
      <c r="CH832" s="21" t="str">
        <f>IF([1]!BANCO10[[#This Row],[SOLUÇÃO]]=CH$1,[1]!BANCO10[[#This Row],[STATUS DA ETAPA]],"")</f>
        <v/>
      </c>
      <c r="CI832" s="21" t="str">
        <f>IF([1]!BANCO10[[#This Row],[SOLUÇÃO]]=CI$1,[1]!BANCO10[[#This Row],[STATUS DA ETAPA]],"")</f>
        <v/>
      </c>
      <c r="CJ832" s="21" t="str">
        <f>IF([1]!BANCO10[[#This Row],[SOLUÇÃO]]=CJ$1,[1]!BANCO10[[#This Row],[STATUS DA ETAPA]],"")</f>
        <v/>
      </c>
      <c r="CK832" s="21" t="str">
        <f>IF([1]!BANCO10[[#This Row],[SOLUÇÃO]]=CK$1,[1]!BANCO10[[#This Row],[STATUS DA ETAPA]],"")</f>
        <v/>
      </c>
      <c r="CL832" s="22" t="str">
        <f>IF([1]!BANCO10[[#This Row],[SOLUÇÃO]]=CL$1,[1]!BANCO10[[#This Row],[STATUS DA ETAPA]],"")</f>
        <v/>
      </c>
      <c r="CM832" s="64" t="str">
        <f>IF([1]!BANCO10[[#This Row],[SOLUÇÃO]]=CM$1,[1]!BANCO10[[#This Row],[STATUS DA ETAPA]],"")</f>
        <v/>
      </c>
      <c r="CN832" s="64" t="str">
        <f>IF([1]!BANCO10[[#This Row],[SOLUÇÃO]]=CN$1,[1]!BANCO10[[#This Row],[STATUS DA ETAPA]],"")</f>
        <v/>
      </c>
      <c r="CO832" s="64" t="str">
        <f>IF([1]!BANCO10[[#This Row],[SOLUÇÃO]]=CO$1,[1]!BANCO10[[#This Row],[STATUS DA ETAPA]],"")</f>
        <v/>
      </c>
      <c r="CP832" s="64" t="str">
        <f>IF([1]!BANCO10[[#This Row],[SOLUÇÃO]]=CP$1,[1]!BANCO10[[#This Row],[STATUS DA ETAPA]],"")</f>
        <v/>
      </c>
      <c r="CQ832" s="64" t="str">
        <f>IF([1]!BANCO10[[#This Row],[SOLUÇÃO]]=CQ$1,[1]!BANCO10[[#This Row],[STATUS DA ETAPA]],"")</f>
        <v/>
      </c>
      <c r="CR832" s="64" t="str">
        <f>IF([1]!BANCO10[[#This Row],[SOLUÇÃO]]=CR$1,[1]!BANCO10[[#This Row],[STATUS DA ETAPA]],"")</f>
        <v/>
      </c>
      <c r="CS832" s="64" t="str">
        <f>IF([1]!BANCO10[[#This Row],[SOLUÇÃO]]=CS$1,[1]!BANCO10[[#This Row],[STATUS DA ETAPA]],"")</f>
        <v/>
      </c>
      <c r="CT832" s="64" t="str">
        <f>IF([1]!BANCO10[[#This Row],[SOLUÇÃO]]=CT$1,[1]!BANCO10[[#This Row],[STATUS DA ETAPA]],"")</f>
        <v/>
      </c>
      <c r="CU832" s="64" t="str">
        <f>IF([1]!BANCO10[[#This Row],[SOLUÇÃO]]=CU$1,[1]!BANCO10[[#This Row],[STATUS DA ETAPA]],"")</f>
        <v/>
      </c>
      <c r="CV832" s="64" t="str">
        <f>IF([1]!BANCO10[[#This Row],[SOLUÇÃO]]=CV$1,[1]!BANCO10[[#This Row],[STATUS DA ETAPA]],"")</f>
        <v/>
      </c>
    </row>
    <row r="833" spans="1:100">
      <c r="A833" s="44" t="s">
        <v>1</v>
      </c>
      <c r="B833" s="44"/>
      <c r="C833" s="44" t="s">
        <v>1</v>
      </c>
      <c r="D833" s="44"/>
      <c r="E833" s="44" t="s">
        <v>1</v>
      </c>
      <c r="F833" s="44"/>
      <c r="G833" s="44" t="s">
        <v>1</v>
      </c>
      <c r="H833" s="44"/>
      <c r="I833" s="45" t="s">
        <v>1</v>
      </c>
      <c r="J833" s="46"/>
      <c r="K833" s="45" t="s">
        <v>1</v>
      </c>
      <c r="L833" s="33"/>
      <c r="M833" s="45" t="s">
        <v>1</v>
      </c>
      <c r="N833" s="33"/>
      <c r="O833" s="44" t="s">
        <v>1</v>
      </c>
      <c r="P833" s="44"/>
      <c r="Q833" s="44" t="s">
        <v>1</v>
      </c>
      <c r="R833" s="44"/>
      <c r="S833" s="44" t="s">
        <v>1</v>
      </c>
      <c r="T833" s="44"/>
      <c r="U833" s="44" t="s">
        <v>1</v>
      </c>
      <c r="V833" s="44"/>
      <c r="W833" s="44" t="s">
        <v>1</v>
      </c>
      <c r="X833" s="44"/>
      <c r="Y833" s="44" t="s">
        <v>1</v>
      </c>
      <c r="Z833" s="44"/>
      <c r="AA833" s="44" t="s">
        <v>1</v>
      </c>
      <c r="AB833" s="44"/>
      <c r="AC833" s="84">
        <v>45307</v>
      </c>
      <c r="AD833" s="83">
        <v>45307</v>
      </c>
      <c r="AE833" s="40" t="s">
        <v>1</v>
      </c>
      <c r="AF833" s="40" t="s">
        <v>1</v>
      </c>
      <c r="AG833" s="40" t="s">
        <v>5</v>
      </c>
      <c r="AH833" s="36" t="s">
        <v>1</v>
      </c>
      <c r="AI833" s="49">
        <v>0</v>
      </c>
      <c r="AJ833" s="36" t="s">
        <v>1</v>
      </c>
      <c r="AK833" s="9" t="s">
        <v>1</v>
      </c>
      <c r="AL833" s="36" t="s">
        <v>1</v>
      </c>
      <c r="AM833" s="36" t="s">
        <v>1</v>
      </c>
      <c r="AN833" s="35" t="s">
        <v>1</v>
      </c>
      <c r="AO833" s="35" t="s">
        <v>1</v>
      </c>
      <c r="AP833" s="35" t="s">
        <v>1</v>
      </c>
      <c r="AQ833" s="35" t="s">
        <v>1</v>
      </c>
      <c r="AR833" s="82" t="s">
        <v>1</v>
      </c>
      <c r="AS833" s="33"/>
      <c r="AT833" s="30"/>
      <c r="AU833" s="55"/>
      <c r="AV833" s="30"/>
      <c r="AW833" s="55"/>
      <c r="AX833" s="30" t="s">
        <v>1</v>
      </c>
      <c r="AY833" s="55"/>
      <c r="AZ833" s="30" t="s">
        <v>1</v>
      </c>
      <c r="BA833" s="55"/>
      <c r="BB833" s="39" t="s">
        <v>15</v>
      </c>
      <c r="BC833" s="25" t="s">
        <v>14</v>
      </c>
      <c r="BD833" s="24"/>
      <c r="BE833" s="24"/>
      <c r="BF833" s="79"/>
      <c r="BG833" s="79"/>
      <c r="BH833" s="80" t="s">
        <v>11</v>
      </c>
      <c r="BI833" s="79"/>
      <c r="BJ833" s="54" t="s">
        <v>11</v>
      </c>
      <c r="BK833" s="78" t="s">
        <v>11</v>
      </c>
      <c r="BL833" s="69" t="s">
        <v>11</v>
      </c>
      <c r="BM833" s="78" t="s">
        <v>11</v>
      </c>
      <c r="BN833" s="78" t="s">
        <v>11</v>
      </c>
      <c r="BO833" s="78" t="s">
        <v>11</v>
      </c>
      <c r="BP833" s="78" t="s">
        <v>11</v>
      </c>
      <c r="BQ833" s="21">
        <f>YEAR([1]!BANCO10[[#This Row],[DATA INÍCIO]])</f>
        <v>2024</v>
      </c>
      <c r="BR833" s="21">
        <f>MONTH([1]!BANCO10[[#This Row],[DATA INÍCIO]])</f>
        <v>1</v>
      </c>
      <c r="BS833" s="21" t="e">
        <f>CONCATENATE(#REF!,#REF!)</f>
        <v>#REF!</v>
      </c>
      <c r="BT833" s="21"/>
      <c r="BU833" s="21" t="s">
        <v>13</v>
      </c>
      <c r="BV833" s="21" t="str">
        <f>IF([1]!BANCO10[[#This Row],[SOLUÇÃO]]=BV$1,[1]!BANCO10[[#This Row],[STATUS DA ETAPA]],"")</f>
        <v>CONCLUÍDO</v>
      </c>
      <c r="BW833" s="21" t="str">
        <f>IF([1]!BANCO10[[#This Row],[SOLUÇÃO]]=BW$1,[1]!BANCO10[[#This Row],[STATUS DA ETAPA]],"")</f>
        <v/>
      </c>
      <c r="BX833" s="21" t="str">
        <f>IF([1]!BANCO10[[#This Row],[SOLUÇÃO]]=BX$1,[1]!BANCO10[[#This Row],[STATUS DA ETAPA]],"")</f>
        <v/>
      </c>
      <c r="BY833" s="21" t="str">
        <f>IF([1]!BANCO10[[#This Row],[SOLUÇÃO]]=BY$1,[1]!BANCO10[[#This Row],[STATUS DA ETAPA]],"")</f>
        <v/>
      </c>
      <c r="BZ833" s="21" t="str">
        <f>IF([1]!BANCO10[[#This Row],[SOLUÇÃO]]=BZ$1,[1]!BANCO10[[#This Row],[STATUS DA ETAPA]],"")</f>
        <v/>
      </c>
      <c r="CA833" s="21" t="str">
        <f>IF([1]!BANCO10[[#This Row],[SOLUÇÃO]]=CA$1,[1]!BANCO10[[#This Row],[STATUS DA ETAPA]],"")</f>
        <v/>
      </c>
      <c r="CB833" s="21" t="str">
        <f>IF([1]!BANCO10[[#This Row],[SOLUÇÃO]]=CB$1,[1]!BANCO10[[#This Row],[STATUS DA ETAPA]],"")</f>
        <v/>
      </c>
      <c r="CC833" s="21" t="str">
        <f>IF([1]!BANCO10[[#This Row],[SOLUÇÃO]]=CC$1,[1]!BANCO10[[#This Row],[STATUS DA ETAPA]],"")</f>
        <v/>
      </c>
      <c r="CD833" s="21" t="str">
        <f>IF([1]!BANCO10[[#This Row],[SOLUÇÃO]]=CD$1,[1]!BANCO10[[#This Row],[STATUS DA ETAPA]],"")</f>
        <v/>
      </c>
      <c r="CE833" s="21" t="str">
        <f>IF([1]!BANCO10[[#This Row],[SOLUÇÃO]]=CE$1,[1]!BANCO10[[#This Row],[STATUS DA ETAPA]],"")</f>
        <v/>
      </c>
      <c r="CF833" s="21" t="str">
        <f>IF([1]!BANCO10[[#This Row],[SOLUÇÃO]]=CF$1,[1]!BANCO10[[#This Row],[STATUS DA ETAPA]],"")</f>
        <v/>
      </c>
      <c r="CG833" s="21" t="str">
        <f>IF([1]!BANCO10[[#This Row],[SOLUÇÃO]]=CG$1,[1]!BANCO10[[#This Row],[STATUS DA ETAPA]],"")</f>
        <v/>
      </c>
      <c r="CH833" s="21" t="str">
        <f>IF([1]!BANCO10[[#This Row],[SOLUÇÃO]]=CH$1,[1]!BANCO10[[#This Row],[STATUS DA ETAPA]],"")</f>
        <v/>
      </c>
      <c r="CI833" s="21" t="str">
        <f>IF([1]!BANCO10[[#This Row],[SOLUÇÃO]]=CI$1,[1]!BANCO10[[#This Row],[STATUS DA ETAPA]],"")</f>
        <v/>
      </c>
      <c r="CJ833" s="21" t="str">
        <f>IF([1]!BANCO10[[#This Row],[SOLUÇÃO]]=CJ$1,[1]!BANCO10[[#This Row],[STATUS DA ETAPA]],"")</f>
        <v/>
      </c>
      <c r="CK833" s="21" t="str">
        <f>IF([1]!BANCO10[[#This Row],[SOLUÇÃO]]=CK$1,[1]!BANCO10[[#This Row],[STATUS DA ETAPA]],"")</f>
        <v/>
      </c>
      <c r="CL833" s="22" t="str">
        <f>IF([1]!BANCO10[[#This Row],[SOLUÇÃO]]=CL$1,[1]!BANCO10[[#This Row],[STATUS DA ETAPA]],"")</f>
        <v/>
      </c>
      <c r="CM833" s="64" t="str">
        <f>IF([1]!BANCO10[[#This Row],[SOLUÇÃO]]=CM$1,[1]!BANCO10[[#This Row],[STATUS DA ETAPA]],"")</f>
        <v/>
      </c>
      <c r="CN833" s="64" t="str">
        <f>IF([1]!BANCO10[[#This Row],[SOLUÇÃO]]=CN$1,[1]!BANCO10[[#This Row],[STATUS DA ETAPA]],"")</f>
        <v/>
      </c>
      <c r="CO833" s="64" t="str">
        <f>IF([1]!BANCO10[[#This Row],[SOLUÇÃO]]=CO$1,[1]!BANCO10[[#This Row],[STATUS DA ETAPA]],"")</f>
        <v/>
      </c>
      <c r="CP833" s="64" t="str">
        <f>IF([1]!BANCO10[[#This Row],[SOLUÇÃO]]=CP$1,[1]!BANCO10[[#This Row],[STATUS DA ETAPA]],"")</f>
        <v/>
      </c>
      <c r="CQ833" s="64" t="str">
        <f>IF([1]!BANCO10[[#This Row],[SOLUÇÃO]]=CQ$1,[1]!BANCO10[[#This Row],[STATUS DA ETAPA]],"")</f>
        <v/>
      </c>
      <c r="CR833" s="64" t="str">
        <f>IF([1]!BANCO10[[#This Row],[SOLUÇÃO]]=CR$1,[1]!BANCO10[[#This Row],[STATUS DA ETAPA]],"")</f>
        <v/>
      </c>
      <c r="CS833" s="64" t="str">
        <f>IF([1]!BANCO10[[#This Row],[SOLUÇÃO]]=CS$1,[1]!BANCO10[[#This Row],[STATUS DA ETAPA]],"")</f>
        <v/>
      </c>
      <c r="CT833" s="64" t="str">
        <f>IF([1]!BANCO10[[#This Row],[SOLUÇÃO]]=CT$1,[1]!BANCO10[[#This Row],[STATUS DA ETAPA]],"")</f>
        <v/>
      </c>
      <c r="CU833" s="64" t="str">
        <f>IF([1]!BANCO10[[#This Row],[SOLUÇÃO]]=CU$1,[1]!BANCO10[[#This Row],[STATUS DA ETAPA]],"")</f>
        <v/>
      </c>
      <c r="CV833" s="64" t="str">
        <f>IF([1]!BANCO10[[#This Row],[SOLUÇÃO]]=CV$1,[1]!BANCO10[[#This Row],[STATUS DA ETAPA]],"")</f>
        <v/>
      </c>
    </row>
    <row r="834" spans="1:100">
      <c r="A834" s="44" t="s">
        <v>2</v>
      </c>
      <c r="B834" s="44">
        <v>45713</v>
      </c>
      <c r="C834" s="44" t="s">
        <v>2</v>
      </c>
      <c r="D834" s="44">
        <v>45713</v>
      </c>
      <c r="E834" s="44" t="s">
        <v>2</v>
      </c>
      <c r="F834" s="44">
        <v>45713</v>
      </c>
      <c r="G834" s="44" t="s">
        <v>2</v>
      </c>
      <c r="H834" s="44">
        <v>45713</v>
      </c>
      <c r="I834" s="45" t="s">
        <v>2</v>
      </c>
      <c r="J834" s="46">
        <v>45715</v>
      </c>
      <c r="K834" s="45" t="s">
        <v>2</v>
      </c>
      <c r="L834" s="33">
        <v>45712</v>
      </c>
      <c r="M834" s="45" t="s">
        <v>2</v>
      </c>
      <c r="N834" s="33">
        <v>45713</v>
      </c>
      <c r="O834" s="44" t="s">
        <v>1</v>
      </c>
      <c r="P834" s="44"/>
      <c r="Q834" s="44" t="s">
        <v>1</v>
      </c>
      <c r="R834" s="44"/>
      <c r="S834" s="44" t="s">
        <v>2</v>
      </c>
      <c r="T834" s="44">
        <v>45708</v>
      </c>
      <c r="U834" s="44" t="s">
        <v>1</v>
      </c>
      <c r="V834" s="44"/>
      <c r="W834" s="44" t="s">
        <v>1</v>
      </c>
      <c r="X834" s="44"/>
      <c r="Y834" s="44" t="s">
        <v>1</v>
      </c>
      <c r="Z834" s="44"/>
      <c r="AA834" s="44" t="s">
        <v>1</v>
      </c>
      <c r="AB834" s="44"/>
      <c r="AC834" s="51">
        <v>46022</v>
      </c>
      <c r="AD834" s="50">
        <v>46022</v>
      </c>
      <c r="AE834" s="41" t="s">
        <v>0</v>
      </c>
      <c r="AF834" s="41" t="s">
        <v>0</v>
      </c>
      <c r="AG834" s="40" t="s">
        <v>5</v>
      </c>
      <c r="AH834" s="36" t="s">
        <v>0</v>
      </c>
      <c r="AI834" s="49">
        <v>20140</v>
      </c>
      <c r="AJ834" s="36" t="s">
        <v>3</v>
      </c>
      <c r="AK834" s="21">
        <v>675783</v>
      </c>
      <c r="AL834" s="36" t="s">
        <v>1</v>
      </c>
      <c r="AM834" s="36" t="s">
        <v>1</v>
      </c>
      <c r="AN834" s="35" t="s">
        <v>0</v>
      </c>
      <c r="AO834" s="35" t="s">
        <v>0</v>
      </c>
      <c r="AP834" s="35" t="s">
        <v>0</v>
      </c>
      <c r="AQ834" s="35" t="s">
        <v>0</v>
      </c>
      <c r="AR834" s="34" t="s">
        <v>0</v>
      </c>
      <c r="AS834" s="33"/>
      <c r="AT834" s="32" t="s">
        <v>0</v>
      </c>
      <c r="AU834" s="31"/>
      <c r="AV834" s="32" t="s">
        <v>0</v>
      </c>
      <c r="AW834" s="31"/>
      <c r="AX834" s="32" t="s">
        <v>0</v>
      </c>
      <c r="AY834" s="31"/>
      <c r="AZ834" s="32" t="s">
        <v>0</v>
      </c>
      <c r="BA834" s="31"/>
      <c r="BB834" s="26" t="s">
        <v>7</v>
      </c>
      <c r="BC834" s="25"/>
      <c r="BD834" s="24"/>
      <c r="BE834" s="24"/>
      <c r="BF834" s="24"/>
      <c r="BG834" s="24"/>
      <c r="BH834" s="24"/>
      <c r="BI834" s="24"/>
      <c r="BJ834" s="24"/>
      <c r="BK834" s="24"/>
      <c r="BL834" s="24"/>
      <c r="BM834" s="24"/>
      <c r="BN834" s="24"/>
      <c r="BO834" s="24"/>
      <c r="BP834" s="24"/>
      <c r="BQ834" s="22">
        <f>YEAR([1]!BANCO10[[#This Row],[DATA INÍCIO]])</f>
        <v>2025</v>
      </c>
      <c r="BR834" s="22">
        <f>MONTH([1]!BANCO10[[#This Row],[DATA INÍCIO]])</f>
        <v>12</v>
      </c>
      <c r="BS834" s="23" t="e">
        <f>CONCATENATE(#REF!,#REF!)</f>
        <v>#REF!</v>
      </c>
      <c r="BT834" s="22"/>
      <c r="BU834" s="22"/>
      <c r="BV834" s="21" t="str">
        <f>IF([1]!BANCO10[[#This Row],[SOLUÇÃO]]=BV$1,[1]!BANCO10[[#This Row],[STATUS DA ETAPA]],"")</f>
        <v/>
      </c>
      <c r="BW834" s="21" t="str">
        <f>IF([1]!BANCO10[[#This Row],[SOLUÇÃO]]=BW$1,[1]!BANCO10[[#This Row],[STATUS DA ETAPA]],"")</f>
        <v/>
      </c>
      <c r="BX834" s="21" t="str">
        <f>IF([1]!BANCO10[[#This Row],[SOLUÇÃO]]=BX$1,[1]!BANCO10[[#This Row],[STATUS DA ETAPA]],"")</f>
        <v/>
      </c>
      <c r="BY834" s="21" t="str">
        <f>IF([1]!BANCO10[[#This Row],[SOLUÇÃO]]=BY$1,[1]!BANCO10[[#This Row],[STATUS DA ETAPA]],"")</f>
        <v/>
      </c>
      <c r="BZ834" s="21" t="str">
        <f>IF([1]!BANCO10[[#This Row],[SOLUÇÃO]]=BZ$1,[1]!BANCO10[[#This Row],[STATUS DA ETAPA]],"")</f>
        <v/>
      </c>
      <c r="CA834" s="21" t="str">
        <f>IF([1]!BANCO10[[#This Row],[SOLUÇÃO]]=CA$1,[1]!BANCO10[[#This Row],[STATUS DA ETAPA]],"")</f>
        <v/>
      </c>
      <c r="CB834" s="21" t="str">
        <f>IF([1]!BANCO10[[#This Row],[SOLUÇÃO]]=CB$1,[1]!BANCO10[[#This Row],[STATUS DA ETAPA]],"")</f>
        <v>AGUARDANDO SALDO</v>
      </c>
      <c r="CC834" s="21" t="str">
        <f>IF([1]!BANCO10[[#This Row],[SOLUÇÃO]]=CC$1,[1]!BANCO10[[#This Row],[STATUS DA ETAPA]],"")</f>
        <v/>
      </c>
      <c r="CD834" s="21" t="str">
        <f>IF([1]!BANCO10[[#This Row],[SOLUÇÃO]]=CD$1,[1]!BANCO10[[#This Row],[STATUS DA ETAPA]],"")</f>
        <v/>
      </c>
      <c r="CE834" s="21" t="str">
        <f>IF([1]!BANCO10[[#This Row],[SOLUÇÃO]]=CE$1,[1]!BANCO10[[#This Row],[STATUS DA ETAPA]],"")</f>
        <v/>
      </c>
      <c r="CF834" s="21" t="str">
        <f>IF([1]!BANCO10[[#This Row],[SOLUÇÃO]]=CF$1,[1]!BANCO10[[#This Row],[STATUS DA ETAPA]],"")</f>
        <v/>
      </c>
      <c r="CG834" s="21" t="str">
        <f>IF([1]!BANCO10[[#This Row],[SOLUÇÃO]]=CG$1,[1]!BANCO10[[#This Row],[STATUS DA ETAPA]],"")</f>
        <v/>
      </c>
      <c r="CH834" s="21" t="str">
        <f>IF([1]!BANCO10[[#This Row],[SOLUÇÃO]]=CH$1,[1]!BANCO10[[#This Row],[STATUS DA ETAPA]],"")</f>
        <v/>
      </c>
      <c r="CI834" s="21" t="str">
        <f>IF([1]!BANCO10[[#This Row],[SOLUÇÃO]]=CI$1,[1]!BANCO10[[#This Row],[STATUS DA ETAPA]],"")</f>
        <v/>
      </c>
      <c r="CJ834" s="21" t="str">
        <f>IF([1]!BANCO10[[#This Row],[SOLUÇÃO]]=CJ$1,[1]!BANCO10[[#This Row],[STATUS DA ETAPA]],"")</f>
        <v/>
      </c>
      <c r="CK834" s="21" t="str">
        <f>IF([1]!BANCO10[[#This Row],[SOLUÇÃO]]=CK$1,[1]!BANCO10[[#This Row],[STATUS DA ETAPA]],"")</f>
        <v/>
      </c>
      <c r="CL834" s="21" t="str">
        <f>IF([1]!BANCO10[[#This Row],[SOLUÇÃO]]=CL$1,[1]!BANCO10[[#This Row],[STATUS DA ETAPA]],"")</f>
        <v/>
      </c>
      <c r="CM834" s="21" t="str">
        <f>IF([1]!BANCO10[[#This Row],[SOLUÇÃO]]=CM$1,[1]!BANCO10[[#This Row],[STATUS DA ETAPA]],"")</f>
        <v/>
      </c>
      <c r="CN834" s="21" t="str">
        <f>IF([1]!BANCO10[[#This Row],[SOLUÇÃO]]=CN$1,[1]!BANCO10[[#This Row],[STATUS DA ETAPA]],"")</f>
        <v/>
      </c>
      <c r="CO834" s="21" t="str">
        <f>IF([1]!BANCO10[[#This Row],[SOLUÇÃO]]=CO$1,[1]!BANCO10[[#This Row],[STATUS DA ETAPA]],"")</f>
        <v/>
      </c>
      <c r="CP834" s="21" t="str">
        <f>IF([1]!BANCO10[[#This Row],[SOLUÇÃO]]=CP$1,[1]!BANCO10[[#This Row],[STATUS DA ETAPA]],"")</f>
        <v/>
      </c>
      <c r="CQ834" s="21" t="str">
        <f>IF([1]!BANCO10[[#This Row],[SOLUÇÃO]]=CQ$1,[1]!BANCO10[[#This Row],[STATUS DA ETAPA]],"")</f>
        <v/>
      </c>
      <c r="CR834" s="21" t="str">
        <f>IF([1]!BANCO10[[#This Row],[SOLUÇÃO]]=CR$1,[1]!BANCO10[[#This Row],[STATUS DA ETAPA]],"")</f>
        <v/>
      </c>
      <c r="CS834" s="21" t="str">
        <f>IF([1]!BANCO10[[#This Row],[SOLUÇÃO]]=CS$1,[1]!BANCO10[[#This Row],[STATUS DA ETAPA]],"")</f>
        <v/>
      </c>
      <c r="CT834" s="21" t="str">
        <f>IF([1]!BANCO10[[#This Row],[SOLUÇÃO]]=CT$1,[1]!BANCO10[[#This Row],[STATUS DA ETAPA]],"")</f>
        <v/>
      </c>
      <c r="CU834" s="21" t="str">
        <f>IF([1]!BANCO10[[#This Row],[SOLUÇÃO]]=CU$1,[1]!BANCO10[[#This Row],[STATUS DA ETAPA]],"")</f>
        <v/>
      </c>
      <c r="CV834" s="21" t="str">
        <f>IF([1]!BANCO10[[#This Row],[SOLUÇÃO]]=CV$1,[1]!BANCO10[[#This Row],[STATUS DA ETAPA]],"")</f>
        <v/>
      </c>
    </row>
    <row r="835" spans="1:100">
      <c r="A835" s="44" t="s">
        <v>1</v>
      </c>
      <c r="B835" s="44"/>
      <c r="C835" s="44" t="s">
        <v>1</v>
      </c>
      <c r="D835" s="44"/>
      <c r="E835" s="44" t="s">
        <v>1</v>
      </c>
      <c r="F835" s="44"/>
      <c r="G835" s="44" t="s">
        <v>1</v>
      </c>
      <c r="H835" s="44"/>
      <c r="I835" s="45" t="s">
        <v>1</v>
      </c>
      <c r="J835" s="46"/>
      <c r="K835" s="45" t="s">
        <v>1</v>
      </c>
      <c r="L835" s="33"/>
      <c r="M835" s="45" t="s">
        <v>1</v>
      </c>
      <c r="N835" s="33"/>
      <c r="O835" s="44" t="s">
        <v>1</v>
      </c>
      <c r="P835" s="44"/>
      <c r="Q835" s="44" t="s">
        <v>1</v>
      </c>
      <c r="R835" s="44"/>
      <c r="S835" s="44" t="s">
        <v>1</v>
      </c>
      <c r="T835" s="44"/>
      <c r="U835" s="44" t="s">
        <v>1</v>
      </c>
      <c r="V835" s="44"/>
      <c r="W835" s="44" t="s">
        <v>1</v>
      </c>
      <c r="X835" s="44"/>
      <c r="Y835" s="44" t="s">
        <v>1</v>
      </c>
      <c r="Z835" s="44"/>
      <c r="AA835" s="44" t="s">
        <v>1</v>
      </c>
      <c r="AB835" s="44"/>
      <c r="AC835" s="51">
        <v>45890</v>
      </c>
      <c r="AD835" s="50">
        <v>45890</v>
      </c>
      <c r="AE835" s="41" t="s">
        <v>0</v>
      </c>
      <c r="AF835" s="41" t="s">
        <v>0</v>
      </c>
      <c r="AG835" s="40" t="s">
        <v>5</v>
      </c>
      <c r="AH835" s="36" t="s">
        <v>1</v>
      </c>
      <c r="AI835" s="49">
        <v>0</v>
      </c>
      <c r="AJ835" s="36" t="s">
        <v>1</v>
      </c>
      <c r="AK835" s="9"/>
      <c r="AL835" s="36"/>
      <c r="AM835" s="36"/>
      <c r="AN835" s="35" t="s">
        <v>1</v>
      </c>
      <c r="AO835" s="35" t="s">
        <v>1</v>
      </c>
      <c r="AP835" s="35" t="s">
        <v>1</v>
      </c>
      <c r="AQ835" s="35" t="s">
        <v>1</v>
      </c>
      <c r="AR835" s="33" t="s">
        <v>1</v>
      </c>
      <c r="AS835" s="33"/>
      <c r="AT835" s="32" t="s">
        <v>0</v>
      </c>
      <c r="AU835" s="31"/>
      <c r="AV835" s="32" t="s">
        <v>0</v>
      </c>
      <c r="AW835" s="31"/>
      <c r="AX835" s="30" t="s">
        <v>1</v>
      </c>
      <c r="AY835" s="29"/>
      <c r="AZ835" s="28" t="s">
        <v>1</v>
      </c>
      <c r="BA835" s="81"/>
      <c r="BB835" s="26"/>
      <c r="BC835" s="25"/>
      <c r="BD835" s="24"/>
      <c r="BE835" s="24"/>
      <c r="BF835" s="24"/>
      <c r="BG835" s="24"/>
      <c r="BH835" s="24"/>
      <c r="BI835" s="24"/>
      <c r="BJ835" s="24"/>
      <c r="BK835" s="24"/>
      <c r="BL835" s="24"/>
      <c r="BM835" s="24"/>
      <c r="BN835" s="24"/>
      <c r="BO835" s="24"/>
      <c r="BP835" s="24"/>
      <c r="BQ835" s="22">
        <f>YEAR([1]!BANCO10[[#This Row],[DATA INÍCIO]])</f>
        <v>2025</v>
      </c>
      <c r="BR835" s="22">
        <f>MONTH([1]!BANCO10[[#This Row],[DATA INÍCIO]])</f>
        <v>8</v>
      </c>
      <c r="BS835" s="23" t="e">
        <f>CONCATENATE(#REF!,#REF!)</f>
        <v>#REF!</v>
      </c>
      <c r="BT835" s="22"/>
      <c r="BU835" s="22"/>
      <c r="BV835" s="21" t="str">
        <f>IF([1]!BANCO10[[#This Row],[SOLUÇÃO]]=BV$1,[1]!BANCO10[[#This Row],[STATUS DA ETAPA]],"")</f>
        <v>CONCLUÍDO</v>
      </c>
      <c r="BW835" s="21" t="str">
        <f>IF([1]!BANCO10[[#This Row],[SOLUÇÃO]]=BW$1,[1]!BANCO10[[#This Row],[STATUS DA ETAPA]],"")</f>
        <v/>
      </c>
      <c r="BX835" s="21" t="str">
        <f>IF([1]!BANCO10[[#This Row],[SOLUÇÃO]]=BX$1,[1]!BANCO10[[#This Row],[STATUS DA ETAPA]],"")</f>
        <v/>
      </c>
      <c r="BY835" s="21" t="str">
        <f>IF([1]!BANCO10[[#This Row],[SOLUÇÃO]]=BY$1,[1]!BANCO10[[#This Row],[STATUS DA ETAPA]],"")</f>
        <v/>
      </c>
      <c r="BZ835" s="21" t="str">
        <f>IF([1]!BANCO10[[#This Row],[SOLUÇÃO]]=BZ$1,[1]!BANCO10[[#This Row],[STATUS DA ETAPA]],"")</f>
        <v/>
      </c>
      <c r="CA835" s="21" t="str">
        <f>IF([1]!BANCO10[[#This Row],[SOLUÇÃO]]=CA$1,[1]!BANCO10[[#This Row],[STATUS DA ETAPA]],"")</f>
        <v/>
      </c>
      <c r="CB835" s="21" t="str">
        <f>IF([1]!BANCO10[[#This Row],[SOLUÇÃO]]=CB$1,[1]!BANCO10[[#This Row],[STATUS DA ETAPA]],"")</f>
        <v/>
      </c>
      <c r="CC835" s="21" t="str">
        <f>IF([1]!BANCO10[[#This Row],[SOLUÇÃO]]=CC$1,[1]!BANCO10[[#This Row],[STATUS DA ETAPA]],"")</f>
        <v/>
      </c>
      <c r="CD835" s="21" t="str">
        <f>IF([1]!BANCO10[[#This Row],[SOLUÇÃO]]=CD$1,[1]!BANCO10[[#This Row],[STATUS DA ETAPA]],"")</f>
        <v/>
      </c>
      <c r="CE835" s="21" t="str">
        <f>IF([1]!BANCO10[[#This Row],[SOLUÇÃO]]=CE$1,[1]!BANCO10[[#This Row],[STATUS DA ETAPA]],"")</f>
        <v/>
      </c>
      <c r="CF835" s="21" t="str">
        <f>IF([1]!BANCO10[[#This Row],[SOLUÇÃO]]=CF$1,[1]!BANCO10[[#This Row],[STATUS DA ETAPA]],"")</f>
        <v/>
      </c>
      <c r="CG835" s="21" t="str">
        <f>IF([1]!BANCO10[[#This Row],[SOLUÇÃO]]=CG$1,[1]!BANCO10[[#This Row],[STATUS DA ETAPA]],"")</f>
        <v/>
      </c>
      <c r="CH835" s="21" t="str">
        <f>IF([1]!BANCO10[[#This Row],[SOLUÇÃO]]=CH$1,[1]!BANCO10[[#This Row],[STATUS DA ETAPA]],"")</f>
        <v/>
      </c>
      <c r="CI835" s="21" t="str">
        <f>IF([1]!BANCO10[[#This Row],[SOLUÇÃO]]=CI$1,[1]!BANCO10[[#This Row],[STATUS DA ETAPA]],"")</f>
        <v/>
      </c>
      <c r="CJ835" s="21" t="str">
        <f>IF([1]!BANCO10[[#This Row],[SOLUÇÃO]]=CJ$1,[1]!BANCO10[[#This Row],[STATUS DA ETAPA]],"")</f>
        <v/>
      </c>
      <c r="CK835" s="21" t="str">
        <f>IF([1]!BANCO10[[#This Row],[SOLUÇÃO]]=CK$1,[1]!BANCO10[[#This Row],[STATUS DA ETAPA]],"")</f>
        <v/>
      </c>
      <c r="CL835" s="21" t="str">
        <f>IF([1]!BANCO10[[#This Row],[SOLUÇÃO]]=CL$1,[1]!BANCO10[[#This Row],[STATUS DA ETAPA]],"")</f>
        <v/>
      </c>
      <c r="CM835" s="21" t="str">
        <f>IF([1]!BANCO10[[#This Row],[SOLUÇÃO]]=CM$1,[1]!BANCO10[[#This Row],[STATUS DA ETAPA]],"")</f>
        <v/>
      </c>
      <c r="CN835" s="21" t="str">
        <f>IF([1]!BANCO10[[#This Row],[SOLUÇÃO]]=CN$1,[1]!BANCO10[[#This Row],[STATUS DA ETAPA]],"")</f>
        <v/>
      </c>
      <c r="CO835" s="21" t="str">
        <f>IF([1]!BANCO10[[#This Row],[SOLUÇÃO]]=CO$1,[1]!BANCO10[[#This Row],[STATUS DA ETAPA]],"")</f>
        <v/>
      </c>
      <c r="CP835" s="21" t="str">
        <f>IF([1]!BANCO10[[#This Row],[SOLUÇÃO]]=CP$1,[1]!BANCO10[[#This Row],[STATUS DA ETAPA]],"")</f>
        <v/>
      </c>
      <c r="CQ835" s="21" t="str">
        <f>IF([1]!BANCO10[[#This Row],[SOLUÇÃO]]=CQ$1,[1]!BANCO10[[#This Row],[STATUS DA ETAPA]],"")</f>
        <v/>
      </c>
      <c r="CR835" s="21" t="str">
        <f>IF([1]!BANCO10[[#This Row],[SOLUÇÃO]]=CR$1,[1]!BANCO10[[#This Row],[STATUS DA ETAPA]],"")</f>
        <v/>
      </c>
      <c r="CS835" s="21" t="str">
        <f>IF([1]!BANCO10[[#This Row],[SOLUÇÃO]]=CS$1,[1]!BANCO10[[#This Row],[STATUS DA ETAPA]],"")</f>
        <v/>
      </c>
      <c r="CT835" s="21" t="str">
        <f>IF([1]!BANCO10[[#This Row],[SOLUÇÃO]]=CT$1,[1]!BANCO10[[#This Row],[STATUS DA ETAPA]],"")</f>
        <v/>
      </c>
      <c r="CU835" s="21" t="str">
        <f>IF([1]!BANCO10[[#This Row],[SOLUÇÃO]]=CU$1,[1]!BANCO10[[#This Row],[STATUS DA ETAPA]],"")</f>
        <v/>
      </c>
      <c r="CV835" s="21" t="str">
        <f>IF([1]!BANCO10[[#This Row],[SOLUÇÃO]]=CV$1,[1]!BANCO10[[#This Row],[STATUS DA ETAPA]],"")</f>
        <v/>
      </c>
    </row>
    <row r="836" spans="1:100">
      <c r="A836" s="44" t="s">
        <v>2</v>
      </c>
      <c r="B836" s="44">
        <v>45890</v>
      </c>
      <c r="C836" s="44" t="s">
        <v>2</v>
      </c>
      <c r="D836" s="44">
        <v>45890</v>
      </c>
      <c r="E836" s="44" t="s">
        <v>2</v>
      </c>
      <c r="F836" s="44">
        <v>45890</v>
      </c>
      <c r="G836" s="44" t="s">
        <v>2</v>
      </c>
      <c r="H836" s="44">
        <v>45890</v>
      </c>
      <c r="I836" s="45" t="s">
        <v>2</v>
      </c>
      <c r="J836" s="46">
        <v>45898</v>
      </c>
      <c r="K836" s="45" t="s">
        <v>2</v>
      </c>
      <c r="L836" s="33">
        <v>45898</v>
      </c>
      <c r="M836" s="45" t="s">
        <v>2</v>
      </c>
      <c r="N836" s="33">
        <v>45898</v>
      </c>
      <c r="O836" s="44" t="s">
        <v>2</v>
      </c>
      <c r="P836" s="44"/>
      <c r="Q836" s="44" t="s">
        <v>2</v>
      </c>
      <c r="R836" s="44">
        <v>45891</v>
      </c>
      <c r="S836" s="44" t="s">
        <v>0</v>
      </c>
      <c r="T836" s="44"/>
      <c r="U836" s="44" t="s">
        <v>1</v>
      </c>
      <c r="V836" s="44"/>
      <c r="W836" s="44" t="s">
        <v>1</v>
      </c>
      <c r="X836" s="44"/>
      <c r="Y836" s="44" t="s">
        <v>1</v>
      </c>
      <c r="Z836" s="44"/>
      <c r="AA836" s="44" t="s">
        <v>1</v>
      </c>
      <c r="AB836" s="44"/>
      <c r="AC836" s="51">
        <v>45930</v>
      </c>
      <c r="AD836" s="50">
        <v>45991</v>
      </c>
      <c r="AE836" s="41" t="s">
        <v>2</v>
      </c>
      <c r="AF836" s="41" t="s">
        <v>0</v>
      </c>
      <c r="AG836" s="40" t="s">
        <v>5</v>
      </c>
      <c r="AH836" s="36" t="s">
        <v>0</v>
      </c>
      <c r="AI836" s="49">
        <v>17000</v>
      </c>
      <c r="AJ836" s="21" t="s">
        <v>6</v>
      </c>
      <c r="AK836" s="10">
        <v>710341</v>
      </c>
      <c r="AL836" s="36" t="s">
        <v>1</v>
      </c>
      <c r="AM836" s="36" t="s">
        <v>1</v>
      </c>
      <c r="AN836" s="35" t="s">
        <v>0</v>
      </c>
      <c r="AO836" s="35" t="s">
        <v>0</v>
      </c>
      <c r="AP836" s="35" t="s">
        <v>0</v>
      </c>
      <c r="AQ836" s="35" t="s">
        <v>0</v>
      </c>
      <c r="AR836" s="34" t="s">
        <v>0</v>
      </c>
      <c r="AS836" s="33"/>
      <c r="AT836" s="32" t="s">
        <v>1</v>
      </c>
      <c r="AU836" s="31"/>
      <c r="AV836" s="32" t="s">
        <v>1</v>
      </c>
      <c r="AW836" s="31"/>
      <c r="AX836" s="30" t="s">
        <v>0</v>
      </c>
      <c r="AY836" s="29"/>
      <c r="AZ836" s="28" t="s">
        <v>0</v>
      </c>
      <c r="BA836" s="81"/>
      <c r="BB836" s="26"/>
      <c r="BC836" s="25"/>
      <c r="BD836" s="24"/>
      <c r="BE836" s="24"/>
      <c r="BF836" s="24"/>
      <c r="BG836" s="24"/>
      <c r="BH836" s="24"/>
      <c r="BI836" s="24"/>
      <c r="BJ836" s="24"/>
      <c r="BK836" s="24"/>
      <c r="BL836" s="24"/>
      <c r="BM836" s="24"/>
      <c r="BN836" s="24"/>
      <c r="BO836" s="24"/>
      <c r="BP836" s="24"/>
      <c r="BQ836" s="22">
        <f>YEAR([1]!BANCO10[[#This Row],[DATA INÍCIO]])</f>
        <v>2025</v>
      </c>
      <c r="BR836" s="22">
        <f>MONTH([1]!BANCO10[[#This Row],[DATA INÍCIO]])</f>
        <v>9</v>
      </c>
      <c r="BS836" s="23" t="e">
        <f>CONCATENATE(#REF!,#REF!)</f>
        <v>#REF!</v>
      </c>
      <c r="BT836" s="22"/>
      <c r="BU836" s="22"/>
      <c r="BV836" s="21" t="str">
        <f>IF([1]!BANCO10[[#This Row],[SOLUÇÃO]]=BV$1,[1]!BANCO10[[#This Row],[STATUS DA ETAPA]],"")</f>
        <v/>
      </c>
      <c r="BW836" s="21" t="str">
        <f>IF([1]!BANCO10[[#This Row],[SOLUÇÃO]]=BW$1,[1]!BANCO10[[#This Row],[STATUS DA ETAPA]],"")</f>
        <v/>
      </c>
      <c r="BX836" s="21" t="str">
        <f>IF([1]!BANCO10[[#This Row],[SOLUÇÃO]]=BX$1,[1]!BANCO10[[#This Row],[STATUS DA ETAPA]],"")</f>
        <v/>
      </c>
      <c r="BY836" s="21" t="str">
        <f>IF([1]!BANCO10[[#This Row],[SOLUÇÃO]]=BY$1,[1]!BANCO10[[#This Row],[STATUS DA ETAPA]],"")</f>
        <v/>
      </c>
      <c r="BZ836" s="21" t="str">
        <f>IF([1]!BANCO10[[#This Row],[SOLUÇÃO]]=BZ$1,[1]!BANCO10[[#This Row],[STATUS DA ETAPA]],"")</f>
        <v/>
      </c>
      <c r="CA836" s="21" t="str">
        <f>IF([1]!BANCO10[[#This Row],[SOLUÇÃO]]=CA$1,[1]!BANCO10[[#This Row],[STATUS DA ETAPA]],"")</f>
        <v/>
      </c>
      <c r="CB836" s="21" t="str">
        <f>IF([1]!BANCO10[[#This Row],[SOLUÇÃO]]=CB$1,[1]!BANCO10[[#This Row],[STATUS DA ETAPA]],"")</f>
        <v/>
      </c>
      <c r="CC836" s="21" t="str">
        <f>IF([1]!BANCO10[[#This Row],[SOLUÇÃO]]=CC$1,[1]!BANCO10[[#This Row],[STATUS DA ETAPA]],"")</f>
        <v/>
      </c>
      <c r="CD836" s="21" t="str">
        <f>IF([1]!BANCO10[[#This Row],[SOLUÇÃO]]=CD$1,[1]!BANCO10[[#This Row],[STATUS DA ETAPA]],"")</f>
        <v/>
      </c>
      <c r="CE836" s="21" t="str">
        <f>IF([1]!BANCO10[[#This Row],[SOLUÇÃO]]=CE$1,[1]!BANCO10[[#This Row],[STATUS DA ETAPA]],"")</f>
        <v/>
      </c>
      <c r="CF836" s="21" t="str">
        <f>IF([1]!BANCO10[[#This Row],[SOLUÇÃO]]=CF$1,[1]!BANCO10[[#This Row],[STATUS DA ETAPA]],"")</f>
        <v/>
      </c>
      <c r="CG836" s="21" t="str">
        <f>IF([1]!BANCO10[[#This Row],[SOLUÇÃO]]=CG$1,[1]!BANCO10[[#This Row],[STATUS DA ETAPA]],"")</f>
        <v/>
      </c>
      <c r="CH836" s="21" t="str">
        <f>IF([1]!BANCO10[[#This Row],[SOLUÇÃO]]=CH$1,[1]!BANCO10[[#This Row],[STATUS DA ETAPA]],"")</f>
        <v/>
      </c>
      <c r="CI836" s="21" t="str">
        <f>IF([1]!BANCO10[[#This Row],[SOLUÇÃO]]=CI$1,[1]!BANCO10[[#This Row],[STATUS DA ETAPA]],"")</f>
        <v/>
      </c>
      <c r="CJ836" s="21" t="str">
        <f>IF([1]!BANCO10[[#This Row],[SOLUÇÃO]]=CJ$1,[1]!BANCO10[[#This Row],[STATUS DA ETAPA]],"")</f>
        <v/>
      </c>
      <c r="CK836" s="21" t="str">
        <f>IF([1]!BANCO10[[#This Row],[SOLUÇÃO]]=CK$1,[1]!BANCO10[[#This Row],[STATUS DA ETAPA]],"")</f>
        <v/>
      </c>
      <c r="CL836" s="21" t="str">
        <f>IF([1]!BANCO10[[#This Row],[SOLUÇÃO]]=CL$1,[1]!BANCO10[[#This Row],[STATUS DA ETAPA]],"")</f>
        <v/>
      </c>
      <c r="CM836" s="21" t="str">
        <f>IF([1]!BANCO10[[#This Row],[SOLUÇÃO]]=CM$1,[1]!BANCO10[[#This Row],[STATUS DA ETAPA]],"")</f>
        <v/>
      </c>
      <c r="CN836" s="21" t="str">
        <f>IF([1]!BANCO10[[#This Row],[SOLUÇÃO]]=CN$1,[1]!BANCO10[[#This Row],[STATUS DA ETAPA]],"")</f>
        <v/>
      </c>
      <c r="CO836" s="21" t="str">
        <f>IF([1]!BANCO10[[#This Row],[SOLUÇÃO]]=CO$1,[1]!BANCO10[[#This Row],[STATUS DA ETAPA]],"")</f>
        <v/>
      </c>
      <c r="CP836" s="21" t="str">
        <f>IF([1]!BANCO10[[#This Row],[SOLUÇÃO]]=CP$1,[1]!BANCO10[[#This Row],[STATUS DA ETAPA]],"")</f>
        <v/>
      </c>
      <c r="CQ836" s="21" t="str">
        <f>IF([1]!BANCO10[[#This Row],[SOLUÇÃO]]=CQ$1,[1]!BANCO10[[#This Row],[STATUS DA ETAPA]],"")</f>
        <v/>
      </c>
      <c r="CR836" s="21" t="str">
        <f>IF([1]!BANCO10[[#This Row],[SOLUÇÃO]]=CR$1,[1]!BANCO10[[#This Row],[STATUS DA ETAPA]],"")</f>
        <v/>
      </c>
      <c r="CS836" s="21" t="str">
        <f>IF([1]!BANCO10[[#This Row],[SOLUÇÃO]]=CS$1,[1]!BANCO10[[#This Row],[STATUS DA ETAPA]],"")</f>
        <v/>
      </c>
      <c r="CT836" s="21" t="str">
        <f>IF([1]!BANCO10[[#This Row],[SOLUÇÃO]]=CT$1,[1]!BANCO10[[#This Row],[STATUS DA ETAPA]],"")</f>
        <v/>
      </c>
      <c r="CU836" s="21" t="str">
        <f>IF([1]!BANCO10[[#This Row],[SOLUÇÃO]]=CU$1,[1]!BANCO10[[#This Row],[STATUS DA ETAPA]],"")</f>
        <v/>
      </c>
      <c r="CV836" s="21" t="str">
        <f>IF([1]!BANCO10[[#This Row],[SOLUÇÃO]]=CV$1,[1]!BANCO10[[#This Row],[STATUS DA ETAPA]],"")</f>
        <v/>
      </c>
    </row>
    <row r="837" spans="1:100">
      <c r="A837" s="44" t="s">
        <v>1</v>
      </c>
      <c r="B837" s="44"/>
      <c r="C837" s="44" t="s">
        <v>1</v>
      </c>
      <c r="D837" s="44"/>
      <c r="E837" s="44" t="s">
        <v>1</v>
      </c>
      <c r="F837" s="44"/>
      <c r="G837" s="44" t="s">
        <v>1</v>
      </c>
      <c r="H837" s="44"/>
      <c r="I837" s="45" t="s">
        <v>1</v>
      </c>
      <c r="J837" s="46"/>
      <c r="K837" s="45" t="s">
        <v>1</v>
      </c>
      <c r="L837" s="33"/>
      <c r="M837" s="45" t="s">
        <v>1</v>
      </c>
      <c r="N837" s="33"/>
      <c r="O837" s="44" t="s">
        <v>1</v>
      </c>
      <c r="P837" s="55"/>
      <c r="Q837" s="55" t="s">
        <v>1</v>
      </c>
      <c r="R837" s="55"/>
      <c r="S837" s="44" t="s">
        <v>1</v>
      </c>
      <c r="T837" s="55"/>
      <c r="U837" s="55" t="s">
        <v>1</v>
      </c>
      <c r="V837" s="55"/>
      <c r="W837" s="55" t="s">
        <v>1</v>
      </c>
      <c r="X837" s="55"/>
      <c r="Y837" s="55" t="s">
        <v>1</v>
      </c>
      <c r="Z837" s="55"/>
      <c r="AA837" s="55" t="s">
        <v>1</v>
      </c>
      <c r="AB837" s="55"/>
      <c r="AC837" s="51">
        <v>45963</v>
      </c>
      <c r="AD837" s="50">
        <v>45963</v>
      </c>
      <c r="AE837" s="24" t="s">
        <v>1</v>
      </c>
      <c r="AF837" s="40" t="s">
        <v>1</v>
      </c>
      <c r="AG837" s="40" t="s">
        <v>1</v>
      </c>
      <c r="AH837" s="36" t="s">
        <v>1</v>
      </c>
      <c r="AI837" s="49">
        <v>0</v>
      </c>
      <c r="AJ837" s="21" t="s">
        <v>1</v>
      </c>
      <c r="AK837" s="10" t="s">
        <v>1</v>
      </c>
      <c r="AL837" s="21" t="s">
        <v>1</v>
      </c>
      <c r="AM837" s="21" t="s">
        <v>1</v>
      </c>
      <c r="AN837" s="77" t="s">
        <v>1</v>
      </c>
      <c r="AO837" s="77" t="s">
        <v>1</v>
      </c>
      <c r="AP837" s="77" t="s">
        <v>1</v>
      </c>
      <c r="AQ837" s="35" t="s">
        <v>1</v>
      </c>
      <c r="AR837" s="48" t="s">
        <v>1</v>
      </c>
      <c r="AS837" s="63"/>
      <c r="AT837" s="32" t="s">
        <v>1</v>
      </c>
      <c r="AU837" s="31"/>
      <c r="AV837" s="32" t="s">
        <v>1</v>
      </c>
      <c r="AW837" s="31"/>
      <c r="AX837" s="32" t="s">
        <v>1</v>
      </c>
      <c r="AY837" s="31"/>
      <c r="AZ837" s="32" t="s">
        <v>1</v>
      </c>
      <c r="BA837" s="47"/>
      <c r="BB837" s="39" t="s">
        <v>12</v>
      </c>
      <c r="BC837" s="25"/>
      <c r="BD837" s="24" t="s">
        <v>11</v>
      </c>
      <c r="BE837" s="24" t="s">
        <v>11</v>
      </c>
      <c r="BF837" s="79" t="s">
        <v>11</v>
      </c>
      <c r="BG837" s="79" t="s">
        <v>11</v>
      </c>
      <c r="BH837" s="80" t="s">
        <v>11</v>
      </c>
      <c r="BI837" s="79"/>
      <c r="BJ837" s="54" t="s">
        <v>11</v>
      </c>
      <c r="BK837" s="78" t="s">
        <v>11</v>
      </c>
      <c r="BL837" s="69" t="s">
        <v>11</v>
      </c>
      <c r="BM837" s="78" t="s">
        <v>11</v>
      </c>
      <c r="BN837" s="78" t="s">
        <v>11</v>
      </c>
      <c r="BO837" s="78" t="s">
        <v>11</v>
      </c>
      <c r="BP837" s="78" t="s">
        <v>11</v>
      </c>
      <c r="BQ837" s="21">
        <f>YEAR([1]!BANCO10[[#This Row],[DATA INÍCIO]])</f>
        <v>2025</v>
      </c>
      <c r="BR837" s="21">
        <f>MONTH([1]!BANCO10[[#This Row],[DATA INÍCIO]])</f>
        <v>11</v>
      </c>
      <c r="BS837" s="21" t="e">
        <f>CONCATENATE(#REF!,#REF!)</f>
        <v>#REF!</v>
      </c>
      <c r="BT837" s="21"/>
      <c r="BU837" s="21" t="s">
        <v>1</v>
      </c>
      <c r="BV837" s="21" t="str">
        <f>IF([1]!BANCO10[[#This Row],[SOLUÇÃO]]=BV$1,[1]!BANCO10[[#This Row],[STATUS DA ETAPA]],"")</f>
        <v>CANCELADO</v>
      </c>
      <c r="BW837" s="21" t="str">
        <f>IF([1]!BANCO10[[#This Row],[SOLUÇÃO]]=BW$1,[1]!BANCO10[[#This Row],[STATUS DA ETAPA]],"")</f>
        <v/>
      </c>
      <c r="BX837" s="21" t="str">
        <f>IF([1]!BANCO10[[#This Row],[SOLUÇÃO]]=BX$1,[1]!BANCO10[[#This Row],[STATUS DA ETAPA]],"")</f>
        <v/>
      </c>
      <c r="BY837" s="21" t="str">
        <f>IF([1]!BANCO10[[#This Row],[SOLUÇÃO]]=BY$1,[1]!BANCO10[[#This Row],[STATUS DA ETAPA]],"")</f>
        <v/>
      </c>
      <c r="BZ837" s="21" t="str">
        <f>IF([1]!BANCO10[[#This Row],[SOLUÇÃO]]=BZ$1,[1]!BANCO10[[#This Row],[STATUS DA ETAPA]],"")</f>
        <v/>
      </c>
      <c r="CA837" s="21" t="str">
        <f>IF([1]!BANCO10[[#This Row],[SOLUÇÃO]]=CA$1,[1]!BANCO10[[#This Row],[STATUS DA ETAPA]],"")</f>
        <v/>
      </c>
      <c r="CB837" s="21" t="str">
        <f>IF([1]!BANCO10[[#This Row],[SOLUÇÃO]]=CB$1,[1]!BANCO10[[#This Row],[STATUS DA ETAPA]],"")</f>
        <v/>
      </c>
      <c r="CC837" s="21" t="str">
        <f>IF([1]!BANCO10[[#This Row],[SOLUÇÃO]]=CC$1,[1]!BANCO10[[#This Row],[STATUS DA ETAPA]],"")</f>
        <v/>
      </c>
      <c r="CD837" s="21" t="str">
        <f>IF([1]!BANCO10[[#This Row],[SOLUÇÃO]]=CD$1,[1]!BANCO10[[#This Row],[STATUS DA ETAPA]],"")</f>
        <v/>
      </c>
      <c r="CE837" s="21" t="str">
        <f>IF([1]!BANCO10[[#This Row],[SOLUÇÃO]]=CE$1,[1]!BANCO10[[#This Row],[STATUS DA ETAPA]],"")</f>
        <v/>
      </c>
      <c r="CF837" s="21" t="str">
        <f>IF([1]!BANCO10[[#This Row],[SOLUÇÃO]]=CF$1,[1]!BANCO10[[#This Row],[STATUS DA ETAPA]],"")</f>
        <v/>
      </c>
      <c r="CG837" s="21" t="str">
        <f>IF([1]!BANCO10[[#This Row],[SOLUÇÃO]]=CG$1,[1]!BANCO10[[#This Row],[STATUS DA ETAPA]],"")</f>
        <v/>
      </c>
      <c r="CH837" s="21" t="str">
        <f>IF([1]!BANCO10[[#This Row],[SOLUÇÃO]]=CH$1,[1]!BANCO10[[#This Row],[STATUS DA ETAPA]],"")</f>
        <v/>
      </c>
      <c r="CI837" s="21" t="str">
        <f>IF([1]!BANCO10[[#This Row],[SOLUÇÃO]]=CI$1,[1]!BANCO10[[#This Row],[STATUS DA ETAPA]],"")</f>
        <v/>
      </c>
      <c r="CJ837" s="21" t="str">
        <f>IF([1]!BANCO10[[#This Row],[SOLUÇÃO]]=CJ$1,[1]!BANCO10[[#This Row],[STATUS DA ETAPA]],"")</f>
        <v/>
      </c>
      <c r="CK837" s="21" t="str">
        <f>IF([1]!BANCO10[[#This Row],[SOLUÇÃO]]=CK$1,[1]!BANCO10[[#This Row],[STATUS DA ETAPA]],"")</f>
        <v/>
      </c>
      <c r="CL837" s="22" t="str">
        <f>IF([1]!BANCO10[[#This Row],[SOLUÇÃO]]=CL$1,[1]!BANCO10[[#This Row],[STATUS DA ETAPA]],"")</f>
        <v/>
      </c>
      <c r="CM837" s="64" t="str">
        <f>IF([1]!BANCO10[[#This Row],[SOLUÇÃO]]=CM$1,[1]!BANCO10[[#This Row],[STATUS DA ETAPA]],"")</f>
        <v/>
      </c>
      <c r="CN837" s="64" t="str">
        <f>IF([1]!BANCO10[[#This Row],[SOLUÇÃO]]=CN$1,[1]!BANCO10[[#This Row],[STATUS DA ETAPA]],"")</f>
        <v/>
      </c>
      <c r="CO837" s="64" t="str">
        <f>IF([1]!BANCO10[[#This Row],[SOLUÇÃO]]=CO$1,[1]!BANCO10[[#This Row],[STATUS DA ETAPA]],"")</f>
        <v/>
      </c>
      <c r="CP837" s="64" t="str">
        <f>IF([1]!BANCO10[[#This Row],[SOLUÇÃO]]=CP$1,[1]!BANCO10[[#This Row],[STATUS DA ETAPA]],"")</f>
        <v/>
      </c>
      <c r="CQ837" s="64" t="str">
        <f>IF([1]!BANCO10[[#This Row],[SOLUÇÃO]]=CQ$1,[1]!BANCO10[[#This Row],[STATUS DA ETAPA]],"")</f>
        <v/>
      </c>
      <c r="CR837" s="64" t="str">
        <f>IF([1]!BANCO10[[#This Row],[SOLUÇÃO]]=CR$1,[1]!BANCO10[[#This Row],[STATUS DA ETAPA]],"")</f>
        <v/>
      </c>
      <c r="CS837" s="64" t="str">
        <f>IF([1]!BANCO10[[#This Row],[SOLUÇÃO]]=CS$1,[1]!BANCO10[[#This Row],[STATUS DA ETAPA]],"")</f>
        <v/>
      </c>
      <c r="CT837" s="64" t="str">
        <f>IF([1]!BANCO10[[#This Row],[SOLUÇÃO]]=CT$1,[1]!BANCO10[[#This Row],[STATUS DA ETAPA]],"")</f>
        <v/>
      </c>
      <c r="CU837" s="64" t="str">
        <f>IF([1]!BANCO10[[#This Row],[SOLUÇÃO]]=CU$1,[1]!BANCO10[[#This Row],[STATUS DA ETAPA]],"")</f>
        <v/>
      </c>
      <c r="CV837" s="64" t="str">
        <f>IF([1]!BANCO10[[#This Row],[SOLUÇÃO]]=CV$1,[1]!BANCO10[[#This Row],[STATUS DA ETAPA]],"")</f>
        <v/>
      </c>
    </row>
    <row r="838" spans="1:100">
      <c r="A838" s="44" t="s">
        <v>2</v>
      </c>
      <c r="B838" s="44">
        <v>45708</v>
      </c>
      <c r="C838" s="44" t="s">
        <v>2</v>
      </c>
      <c r="D838" s="44">
        <v>45709</v>
      </c>
      <c r="E838" s="44" t="s">
        <v>2</v>
      </c>
      <c r="F838" s="44">
        <v>45712</v>
      </c>
      <c r="G838" s="44" t="s">
        <v>2</v>
      </c>
      <c r="H838" s="44">
        <v>45712</v>
      </c>
      <c r="I838" s="45" t="s">
        <v>2</v>
      </c>
      <c r="J838" s="46">
        <v>45771</v>
      </c>
      <c r="K838" s="45" t="s">
        <v>0</v>
      </c>
      <c r="L838" s="33"/>
      <c r="M838" s="45" t="s">
        <v>0</v>
      </c>
      <c r="N838" s="33"/>
      <c r="O838" s="44" t="s">
        <v>1</v>
      </c>
      <c r="P838" s="55"/>
      <c r="Q838" s="55" t="s">
        <v>1</v>
      </c>
      <c r="R838" s="55"/>
      <c r="S838" s="44"/>
      <c r="T838" s="55"/>
      <c r="U838" s="55" t="s">
        <v>1</v>
      </c>
      <c r="V838" s="55"/>
      <c r="W838" s="55" t="s">
        <v>1</v>
      </c>
      <c r="X838" s="55"/>
      <c r="Y838" s="55" t="s">
        <v>1</v>
      </c>
      <c r="Z838" s="55"/>
      <c r="AA838" s="55" t="s">
        <v>1</v>
      </c>
      <c r="AB838" s="55"/>
      <c r="AC838" s="51">
        <v>46022</v>
      </c>
      <c r="AD838" s="50">
        <v>46022</v>
      </c>
      <c r="AE838" s="54" t="s">
        <v>0</v>
      </c>
      <c r="AF838" s="41" t="s">
        <v>0</v>
      </c>
      <c r="AG838" s="40" t="s">
        <v>5</v>
      </c>
      <c r="AH838" s="36" t="s">
        <v>0</v>
      </c>
      <c r="AI838" s="49">
        <v>20140</v>
      </c>
      <c r="AJ838" s="21" t="s">
        <v>3</v>
      </c>
      <c r="AK838" s="21">
        <v>668395</v>
      </c>
      <c r="AL838" s="21" t="s">
        <v>1</v>
      </c>
      <c r="AM838" s="21" t="s">
        <v>1</v>
      </c>
      <c r="AN838" s="77" t="s">
        <v>0</v>
      </c>
      <c r="AO838" s="77" t="s">
        <v>0</v>
      </c>
      <c r="AP838" s="77" t="s">
        <v>0</v>
      </c>
      <c r="AQ838" s="35" t="s">
        <v>0</v>
      </c>
      <c r="AR838" s="33" t="s">
        <v>0</v>
      </c>
      <c r="AS838" s="33"/>
      <c r="AT838" s="32" t="s">
        <v>0</v>
      </c>
      <c r="AU838" s="31"/>
      <c r="AV838" s="32" t="s">
        <v>0</v>
      </c>
      <c r="AW838" s="31"/>
      <c r="AX838" s="32" t="s">
        <v>0</v>
      </c>
      <c r="AY838" s="31"/>
      <c r="AZ838" s="32" t="s">
        <v>0</v>
      </c>
      <c r="BA838" s="47"/>
      <c r="BB838" s="26" t="s">
        <v>7</v>
      </c>
      <c r="BC838" s="25"/>
      <c r="BD838" s="24"/>
      <c r="BE838" s="24"/>
      <c r="BF838" s="24"/>
      <c r="BG838" s="24"/>
      <c r="BH838" s="24"/>
      <c r="BI838" s="24"/>
      <c r="BJ838" s="24"/>
      <c r="BK838" s="24"/>
      <c r="BL838" s="24"/>
      <c r="BM838" s="24"/>
      <c r="BN838" s="24"/>
      <c r="BO838" s="24"/>
      <c r="BP838" s="24"/>
      <c r="BQ838" s="22">
        <f>YEAR([1]!BANCO10[[#This Row],[DATA INÍCIO]])</f>
        <v>2025</v>
      </c>
      <c r="BR838" s="22">
        <f>MONTH([1]!BANCO10[[#This Row],[DATA INÍCIO]])</f>
        <v>12</v>
      </c>
      <c r="BS838" s="23" t="e">
        <f>CONCATENATE(#REF!,#REF!)</f>
        <v>#REF!</v>
      </c>
      <c r="BT838" s="22"/>
      <c r="BU838" s="22"/>
      <c r="BV838" s="21" t="str">
        <f>IF([1]!BANCO10[[#This Row],[SOLUÇÃO]]=BV$1,[1]!BANCO10[[#This Row],[STATUS DA ETAPA]],"")</f>
        <v/>
      </c>
      <c r="BW838" s="21" t="str">
        <f>IF([1]!BANCO10[[#This Row],[SOLUÇÃO]]=BW$1,[1]!BANCO10[[#This Row],[STATUS DA ETAPA]],"")</f>
        <v/>
      </c>
      <c r="BX838" s="21" t="str">
        <f>IF([1]!BANCO10[[#This Row],[SOLUÇÃO]]=BX$1,[1]!BANCO10[[#This Row],[STATUS DA ETAPA]],"")</f>
        <v/>
      </c>
      <c r="BY838" s="21" t="str">
        <f>IF([1]!BANCO10[[#This Row],[SOLUÇÃO]]=BY$1,[1]!BANCO10[[#This Row],[STATUS DA ETAPA]],"")</f>
        <v/>
      </c>
      <c r="BZ838" s="21" t="str">
        <f>IF([1]!BANCO10[[#This Row],[SOLUÇÃO]]=BZ$1,[1]!BANCO10[[#This Row],[STATUS DA ETAPA]],"")</f>
        <v/>
      </c>
      <c r="CA838" s="21" t="str">
        <f>IF([1]!BANCO10[[#This Row],[SOLUÇÃO]]=CA$1,[1]!BANCO10[[#This Row],[STATUS DA ETAPA]],"")</f>
        <v/>
      </c>
      <c r="CB838" s="21" t="str">
        <f>IF([1]!BANCO10[[#This Row],[SOLUÇÃO]]=CB$1,[1]!BANCO10[[#This Row],[STATUS DA ETAPA]],"")</f>
        <v>AGUARDANDO SALDO</v>
      </c>
      <c r="CC838" s="21" t="str">
        <f>IF([1]!BANCO10[[#This Row],[SOLUÇÃO]]=CC$1,[1]!BANCO10[[#This Row],[STATUS DA ETAPA]],"")</f>
        <v/>
      </c>
      <c r="CD838" s="21" t="str">
        <f>IF([1]!BANCO10[[#This Row],[SOLUÇÃO]]=CD$1,[1]!BANCO10[[#This Row],[STATUS DA ETAPA]],"")</f>
        <v/>
      </c>
      <c r="CE838" s="21" t="str">
        <f>IF([1]!BANCO10[[#This Row],[SOLUÇÃO]]=CE$1,[1]!BANCO10[[#This Row],[STATUS DA ETAPA]],"")</f>
        <v/>
      </c>
      <c r="CF838" s="21" t="str">
        <f>IF([1]!BANCO10[[#This Row],[SOLUÇÃO]]=CF$1,[1]!BANCO10[[#This Row],[STATUS DA ETAPA]],"")</f>
        <v/>
      </c>
      <c r="CG838" s="21" t="str">
        <f>IF([1]!BANCO10[[#This Row],[SOLUÇÃO]]=CG$1,[1]!BANCO10[[#This Row],[STATUS DA ETAPA]],"")</f>
        <v/>
      </c>
      <c r="CH838" s="21" t="str">
        <f>IF([1]!BANCO10[[#This Row],[SOLUÇÃO]]=CH$1,[1]!BANCO10[[#This Row],[STATUS DA ETAPA]],"")</f>
        <v/>
      </c>
      <c r="CI838" s="21" t="str">
        <f>IF([1]!BANCO10[[#This Row],[SOLUÇÃO]]=CI$1,[1]!BANCO10[[#This Row],[STATUS DA ETAPA]],"")</f>
        <v/>
      </c>
      <c r="CJ838" s="21" t="str">
        <f>IF([1]!BANCO10[[#This Row],[SOLUÇÃO]]=CJ$1,[1]!BANCO10[[#This Row],[STATUS DA ETAPA]],"")</f>
        <v/>
      </c>
      <c r="CK838" s="21" t="str">
        <f>IF([1]!BANCO10[[#This Row],[SOLUÇÃO]]=CK$1,[1]!BANCO10[[#This Row],[STATUS DA ETAPA]],"")</f>
        <v/>
      </c>
      <c r="CL838" s="21" t="str">
        <f>IF([1]!BANCO10[[#This Row],[SOLUÇÃO]]=CL$1,[1]!BANCO10[[#This Row],[STATUS DA ETAPA]],"")</f>
        <v/>
      </c>
      <c r="CM838" s="21" t="str">
        <f>IF([1]!BANCO10[[#This Row],[SOLUÇÃO]]=CM$1,[1]!BANCO10[[#This Row],[STATUS DA ETAPA]],"")</f>
        <v/>
      </c>
      <c r="CN838" s="21" t="str">
        <f>IF([1]!BANCO10[[#This Row],[SOLUÇÃO]]=CN$1,[1]!BANCO10[[#This Row],[STATUS DA ETAPA]],"")</f>
        <v/>
      </c>
      <c r="CO838" s="21" t="str">
        <f>IF([1]!BANCO10[[#This Row],[SOLUÇÃO]]=CO$1,[1]!BANCO10[[#This Row],[STATUS DA ETAPA]],"")</f>
        <v/>
      </c>
      <c r="CP838" s="21" t="str">
        <f>IF([1]!BANCO10[[#This Row],[SOLUÇÃO]]=CP$1,[1]!BANCO10[[#This Row],[STATUS DA ETAPA]],"")</f>
        <v/>
      </c>
      <c r="CQ838" s="21" t="str">
        <f>IF([1]!BANCO10[[#This Row],[SOLUÇÃO]]=CQ$1,[1]!BANCO10[[#This Row],[STATUS DA ETAPA]],"")</f>
        <v/>
      </c>
      <c r="CR838" s="21" t="str">
        <f>IF([1]!BANCO10[[#This Row],[SOLUÇÃO]]=CR$1,[1]!BANCO10[[#This Row],[STATUS DA ETAPA]],"")</f>
        <v/>
      </c>
      <c r="CS838" s="21" t="str">
        <f>IF([1]!BANCO10[[#This Row],[SOLUÇÃO]]=CS$1,[1]!BANCO10[[#This Row],[STATUS DA ETAPA]],"")</f>
        <v/>
      </c>
      <c r="CT838" s="21" t="str">
        <f>IF([1]!BANCO10[[#This Row],[SOLUÇÃO]]=CT$1,[1]!BANCO10[[#This Row],[STATUS DA ETAPA]],"")</f>
        <v/>
      </c>
      <c r="CU838" s="21" t="str">
        <f>IF([1]!BANCO10[[#This Row],[SOLUÇÃO]]=CU$1,[1]!BANCO10[[#This Row],[STATUS DA ETAPA]],"")</f>
        <v/>
      </c>
      <c r="CV838" s="21" t="str">
        <f>IF([1]!BANCO10[[#This Row],[SOLUÇÃO]]=CV$1,[1]!BANCO10[[#This Row],[STATUS DA ETAPA]],"")</f>
        <v/>
      </c>
    </row>
    <row r="839" spans="1:100">
      <c r="A839" s="65" t="s">
        <v>10</v>
      </c>
      <c r="B839" s="57">
        <v>45923</v>
      </c>
      <c r="C839" s="65" t="s">
        <v>2</v>
      </c>
      <c r="D839" s="57">
        <v>45932</v>
      </c>
      <c r="E839" s="65" t="s">
        <v>0</v>
      </c>
      <c r="F839" s="57"/>
      <c r="G839" s="65" t="s">
        <v>0</v>
      </c>
      <c r="H839" s="57"/>
      <c r="I839" s="25" t="s">
        <v>0</v>
      </c>
      <c r="J839" s="61"/>
      <c r="K839" s="25" t="s">
        <v>0</v>
      </c>
      <c r="L839" s="63"/>
      <c r="M839" s="25" t="s">
        <v>0</v>
      </c>
      <c r="N839" s="61"/>
      <c r="O839" s="60" t="s">
        <v>0</v>
      </c>
      <c r="P839" s="59"/>
      <c r="Q839" s="60" t="s">
        <v>0</v>
      </c>
      <c r="R839" s="59"/>
      <c r="S839" s="60" t="s">
        <v>0</v>
      </c>
      <c r="T839" s="56"/>
      <c r="U839" s="60" t="s">
        <v>0</v>
      </c>
      <c r="V839" s="56"/>
      <c r="W839" s="60" t="s">
        <v>0</v>
      </c>
      <c r="X839" s="56"/>
      <c r="Y839" s="60" t="s">
        <v>0</v>
      </c>
      <c r="Z839" s="25"/>
      <c r="AA839" s="60" t="s">
        <v>0</v>
      </c>
      <c r="AB839" s="25"/>
      <c r="AC839" s="51">
        <v>46022</v>
      </c>
      <c r="AD839" s="50">
        <v>46022</v>
      </c>
      <c r="AE839" s="69" t="s">
        <v>2</v>
      </c>
      <c r="AF839" s="41" t="s">
        <v>0</v>
      </c>
      <c r="AG839" s="76" t="s">
        <v>5</v>
      </c>
      <c r="AH839" s="39" t="s">
        <v>0</v>
      </c>
      <c r="AI839" s="38">
        <v>20140</v>
      </c>
      <c r="AJ839" s="37"/>
      <c r="AK839" s="10"/>
      <c r="AL839" s="75" t="s">
        <v>1</v>
      </c>
      <c r="AM839" s="75" t="s">
        <v>1</v>
      </c>
      <c r="AN839" s="53"/>
      <c r="AO839" s="53"/>
      <c r="AP839" s="53"/>
      <c r="AQ839" s="52"/>
      <c r="AR839" s="34" t="s">
        <v>0</v>
      </c>
      <c r="AS839" s="46"/>
      <c r="AT839" s="60" t="s">
        <v>0</v>
      </c>
      <c r="AU839" s="31"/>
      <c r="AV839" s="60" t="s">
        <v>0</v>
      </c>
      <c r="AW839" s="31"/>
      <c r="AX839" s="28" t="s">
        <v>0</v>
      </c>
      <c r="AY839" s="31"/>
      <c r="AZ839" s="32" t="s">
        <v>0</v>
      </c>
      <c r="BA839" s="31"/>
      <c r="BB839" s="74" t="s">
        <v>9</v>
      </c>
      <c r="BC839" s="25"/>
      <c r="BD839" s="24"/>
      <c r="BE839" s="24"/>
      <c r="BF839" s="24"/>
      <c r="BG839" s="24"/>
      <c r="BH839" s="24"/>
      <c r="BI839" s="24"/>
      <c r="BJ839" s="24"/>
      <c r="BK839" s="24"/>
      <c r="BL839" s="24"/>
      <c r="BM839" s="24"/>
      <c r="BN839" s="24"/>
      <c r="BO839" s="24"/>
      <c r="BP839" s="24"/>
      <c r="BQ839" s="22">
        <f>YEAR([1]!BANCO10[[#This Row],[DATA INÍCIO]])</f>
        <v>2025</v>
      </c>
      <c r="BR839" s="22">
        <f>MONTH([1]!BANCO10[[#This Row],[DATA INÍCIO]])</f>
        <v>12</v>
      </c>
      <c r="BS839" s="23" t="e">
        <f>CONCATENATE(#REF!,#REF!)</f>
        <v>#REF!</v>
      </c>
      <c r="BT839" s="22"/>
      <c r="BU839" s="22"/>
      <c r="BV839" s="21" t="str">
        <f>IF([1]!BANCO10[[#This Row],[SOLUÇÃO]]=BV$1,[1]!BANCO10[[#This Row],[STATUS DA ETAPA]],"")</f>
        <v/>
      </c>
      <c r="BW839" s="21" t="str">
        <f>IF([1]!BANCO10[[#This Row],[SOLUÇÃO]]=BW$1,[1]!BANCO10[[#This Row],[STATUS DA ETAPA]],"")</f>
        <v/>
      </c>
      <c r="BX839" s="21" t="str">
        <f>IF([1]!BANCO10[[#This Row],[SOLUÇÃO]]=BX$1,[1]!BANCO10[[#This Row],[STATUS DA ETAPA]],"")</f>
        <v/>
      </c>
      <c r="BY839" s="21" t="str">
        <f>IF([1]!BANCO10[[#This Row],[SOLUÇÃO]]=BY$1,[1]!BANCO10[[#This Row],[STATUS DA ETAPA]],"")</f>
        <v/>
      </c>
      <c r="BZ839" s="21" t="str">
        <f>IF([1]!BANCO10[[#This Row],[SOLUÇÃO]]=BZ$1,[1]!BANCO10[[#This Row],[STATUS DA ETAPA]],"")</f>
        <v/>
      </c>
      <c r="CA839" s="21" t="str">
        <f>IF([1]!BANCO10[[#This Row],[SOLUÇÃO]]=CA$1,[1]!BANCO10[[#This Row],[STATUS DA ETAPA]],"")</f>
        <v/>
      </c>
      <c r="CB839" s="21" t="str">
        <f>IF([1]!BANCO10[[#This Row],[SOLUÇÃO]]=CB$1,[1]!BANCO10[[#This Row],[STATUS DA ETAPA]],"")</f>
        <v>AGUARDANDO SALDO</v>
      </c>
      <c r="CC839" s="21" t="str">
        <f>IF([1]!BANCO10[[#This Row],[SOLUÇÃO]]=CC$1,[1]!BANCO10[[#This Row],[STATUS DA ETAPA]],"")</f>
        <v/>
      </c>
      <c r="CD839" s="21" t="str">
        <f>IF([1]!BANCO10[[#This Row],[SOLUÇÃO]]=CD$1,[1]!BANCO10[[#This Row],[STATUS DA ETAPA]],"")</f>
        <v/>
      </c>
      <c r="CE839" s="21" t="str">
        <f>IF([1]!BANCO10[[#This Row],[SOLUÇÃO]]=CE$1,[1]!BANCO10[[#This Row],[STATUS DA ETAPA]],"")</f>
        <v/>
      </c>
      <c r="CF839" s="21" t="str">
        <f>IF([1]!BANCO10[[#This Row],[SOLUÇÃO]]=CF$1,[1]!BANCO10[[#This Row],[STATUS DA ETAPA]],"")</f>
        <v/>
      </c>
      <c r="CG839" s="21" t="str">
        <f>IF([1]!BANCO10[[#This Row],[SOLUÇÃO]]=CG$1,[1]!BANCO10[[#This Row],[STATUS DA ETAPA]],"")</f>
        <v/>
      </c>
      <c r="CH839" s="21" t="str">
        <f>IF([1]!BANCO10[[#This Row],[SOLUÇÃO]]=CH$1,[1]!BANCO10[[#This Row],[STATUS DA ETAPA]],"")</f>
        <v/>
      </c>
      <c r="CI839" s="21" t="str">
        <f>IF([1]!BANCO10[[#This Row],[SOLUÇÃO]]=CI$1,[1]!BANCO10[[#This Row],[STATUS DA ETAPA]],"")</f>
        <v/>
      </c>
      <c r="CJ839" s="21" t="str">
        <f>IF([1]!BANCO10[[#This Row],[SOLUÇÃO]]=CJ$1,[1]!BANCO10[[#This Row],[STATUS DA ETAPA]],"")</f>
        <v/>
      </c>
      <c r="CK839" s="21" t="str">
        <f>IF([1]!BANCO10[[#This Row],[SOLUÇÃO]]=CK$1,[1]!BANCO10[[#This Row],[STATUS DA ETAPA]],"")</f>
        <v/>
      </c>
      <c r="CL839" s="21" t="str">
        <f>IF([1]!BANCO10[[#This Row],[SOLUÇÃO]]=CL$1,[1]!BANCO10[[#This Row],[STATUS DA ETAPA]],"")</f>
        <v/>
      </c>
      <c r="CM839" s="21" t="str">
        <f>IF([1]!BANCO10[[#This Row],[SOLUÇÃO]]=CM$1,[1]!BANCO10[[#This Row],[STATUS DA ETAPA]],"")</f>
        <v/>
      </c>
      <c r="CN839" s="21" t="str">
        <f>IF([1]!BANCO10[[#This Row],[SOLUÇÃO]]=CN$1,[1]!BANCO10[[#This Row],[STATUS DA ETAPA]],"")</f>
        <v/>
      </c>
      <c r="CO839" s="21" t="str">
        <f>IF([1]!BANCO10[[#This Row],[SOLUÇÃO]]=CO$1,[1]!BANCO10[[#This Row],[STATUS DA ETAPA]],"")</f>
        <v/>
      </c>
      <c r="CP839" s="21" t="str">
        <f>IF([1]!BANCO10[[#This Row],[SOLUÇÃO]]=CP$1,[1]!BANCO10[[#This Row],[STATUS DA ETAPA]],"")</f>
        <v/>
      </c>
      <c r="CQ839" s="21" t="str">
        <f>IF([1]!BANCO10[[#This Row],[SOLUÇÃO]]=CQ$1,[1]!BANCO10[[#This Row],[STATUS DA ETAPA]],"")</f>
        <v/>
      </c>
      <c r="CR839" s="21" t="str">
        <f>IF([1]!BANCO10[[#This Row],[SOLUÇÃO]]=CR$1,[1]!BANCO10[[#This Row],[STATUS DA ETAPA]],"")</f>
        <v/>
      </c>
      <c r="CS839" s="21" t="str">
        <f>IF([1]!BANCO10[[#This Row],[SOLUÇÃO]]=CS$1,[1]!BANCO10[[#This Row],[STATUS DA ETAPA]],"")</f>
        <v/>
      </c>
      <c r="CT839" s="21" t="str">
        <f>IF([1]!BANCO10[[#This Row],[SOLUÇÃO]]=CT$1,[1]!BANCO10[[#This Row],[STATUS DA ETAPA]],"")</f>
        <v/>
      </c>
      <c r="CU839" s="21" t="str">
        <f>IF([1]!BANCO10[[#This Row],[SOLUÇÃO]]=CU$1,[1]!BANCO10[[#This Row],[STATUS DA ETAPA]],"")</f>
        <v/>
      </c>
      <c r="CV839" s="21" t="str">
        <f>IF([1]!BANCO10[[#This Row],[SOLUÇÃO]]=CV$1,[1]!BANCO10[[#This Row],[STATUS DA ETAPA]],"")</f>
        <v/>
      </c>
    </row>
    <row r="840" spans="1:100">
      <c r="A840" s="44"/>
      <c r="B840" s="44"/>
      <c r="C840" s="44"/>
      <c r="D840" s="44"/>
      <c r="E840" s="44"/>
      <c r="F840" s="44"/>
      <c r="G840" s="44"/>
      <c r="H840" s="44"/>
      <c r="I840" s="45"/>
      <c r="J840" s="46"/>
      <c r="K840" s="45"/>
      <c r="L840" s="33"/>
      <c r="M840" s="45"/>
      <c r="N840" s="33"/>
      <c r="O840" s="44"/>
      <c r="P840" s="44"/>
      <c r="Q840" s="44"/>
      <c r="R840" s="44"/>
      <c r="S840" s="44"/>
      <c r="T840" s="44"/>
      <c r="U840" s="44"/>
      <c r="V840" s="44"/>
      <c r="W840" s="44"/>
      <c r="X840" s="44"/>
      <c r="Y840" s="44"/>
      <c r="Z840" s="44"/>
      <c r="AA840" s="44"/>
      <c r="AB840" s="44"/>
      <c r="AC840" s="51">
        <v>45968</v>
      </c>
      <c r="AD840" s="50">
        <v>46180</v>
      </c>
      <c r="AE840" s="54" t="s">
        <v>2</v>
      </c>
      <c r="AF840" s="41" t="s">
        <v>0</v>
      </c>
      <c r="AG840" s="40" t="s">
        <v>5</v>
      </c>
      <c r="AH840" s="36" t="s">
        <v>0</v>
      </c>
      <c r="AI840" s="49">
        <v>27724</v>
      </c>
      <c r="AJ840" s="36" t="s">
        <v>3</v>
      </c>
      <c r="AK840" s="10"/>
      <c r="AL840" s="36"/>
      <c r="AM840" s="36"/>
      <c r="AN840" s="35"/>
      <c r="AO840" s="35"/>
      <c r="AP840" s="35"/>
      <c r="AQ840" s="35"/>
      <c r="AR840" s="45" t="s">
        <v>0</v>
      </c>
      <c r="AS840" s="46"/>
      <c r="AT840" s="32" t="s">
        <v>0</v>
      </c>
      <c r="AU840" s="31"/>
      <c r="AV840" s="32" t="s">
        <v>0</v>
      </c>
      <c r="AW840" s="31"/>
      <c r="AX840" s="32" t="s">
        <v>0</v>
      </c>
      <c r="AY840" s="31"/>
      <c r="AZ840" s="32" t="s">
        <v>0</v>
      </c>
      <c r="BA840" s="31"/>
      <c r="BB840" s="74" t="s">
        <v>8</v>
      </c>
      <c r="BC840" s="25"/>
      <c r="BD840" s="24"/>
      <c r="BE840" s="24"/>
      <c r="BF840" s="24"/>
      <c r="BG840" s="24"/>
      <c r="BH840" s="24"/>
      <c r="BI840" s="24"/>
      <c r="BJ840" s="24"/>
      <c r="BK840" s="24"/>
      <c r="BL840" s="24"/>
      <c r="BM840" s="24"/>
      <c r="BN840" s="24"/>
      <c r="BO840" s="24"/>
      <c r="BP840" s="24"/>
      <c r="BQ840" s="22">
        <f>YEAR([1]!BANCO10[[#This Row],[DATA INÍCIO]])</f>
        <v>2025</v>
      </c>
      <c r="BR840" s="22">
        <f>MONTH([1]!BANCO10[[#This Row],[DATA INÍCIO]])</f>
        <v>11</v>
      </c>
      <c r="BS840" s="23" t="e">
        <f>CONCATENATE(#REF!,#REF!)</f>
        <v>#REF!</v>
      </c>
      <c r="BT840" s="22"/>
      <c r="BU840" s="22"/>
      <c r="BV840" s="21" t="str">
        <f>IF([1]!BANCO10[[#This Row],[SOLUÇÃO]]=BV$1,[1]!BANCO10[[#This Row],[STATUS DA ETAPA]],"")</f>
        <v/>
      </c>
      <c r="BW840" s="21" t="str">
        <f>IF([1]!BANCO10[[#This Row],[SOLUÇÃO]]=BW$1,[1]!BANCO10[[#This Row],[STATUS DA ETAPA]],"")</f>
        <v/>
      </c>
      <c r="BX840" s="21" t="str">
        <f>IF([1]!BANCO10[[#This Row],[SOLUÇÃO]]=BX$1,[1]!BANCO10[[#This Row],[STATUS DA ETAPA]],"")</f>
        <v/>
      </c>
      <c r="BY840" s="21" t="str">
        <f>IF([1]!BANCO10[[#This Row],[SOLUÇÃO]]=BY$1,[1]!BANCO10[[#This Row],[STATUS DA ETAPA]],"")</f>
        <v/>
      </c>
      <c r="BZ840" s="21" t="str">
        <f>IF([1]!BANCO10[[#This Row],[SOLUÇÃO]]=BZ$1,[1]!BANCO10[[#This Row],[STATUS DA ETAPA]],"")</f>
        <v/>
      </c>
      <c r="CA840" s="21" t="str">
        <f>IF([1]!BANCO10[[#This Row],[SOLUÇÃO]]=CA$1,[1]!BANCO10[[#This Row],[STATUS DA ETAPA]],"")</f>
        <v/>
      </c>
      <c r="CB840" s="21" t="str">
        <f>IF([1]!BANCO10[[#This Row],[SOLUÇÃO]]=CB$1,[1]!BANCO10[[#This Row],[STATUS DA ETAPA]],"")</f>
        <v/>
      </c>
      <c r="CC840" s="21" t="str">
        <f>IF([1]!BANCO10[[#This Row],[SOLUÇÃO]]=CC$1,[1]!BANCO10[[#This Row],[STATUS DA ETAPA]],"")</f>
        <v/>
      </c>
      <c r="CD840" s="21" t="str">
        <f>IF([1]!BANCO10[[#This Row],[SOLUÇÃO]]=CD$1,[1]!BANCO10[[#This Row],[STATUS DA ETAPA]],"")</f>
        <v/>
      </c>
      <c r="CE840" s="21" t="str">
        <f>IF([1]!BANCO10[[#This Row],[SOLUÇÃO]]=CE$1,[1]!BANCO10[[#This Row],[STATUS DA ETAPA]],"")</f>
        <v/>
      </c>
      <c r="CF840" s="21" t="str">
        <f>IF([1]!BANCO10[[#This Row],[SOLUÇÃO]]=CF$1,[1]!BANCO10[[#This Row],[STATUS DA ETAPA]],"")</f>
        <v/>
      </c>
      <c r="CG840" s="21" t="str">
        <f>IF([1]!BANCO10[[#This Row],[SOLUÇÃO]]=CG$1,[1]!BANCO10[[#This Row],[STATUS DA ETAPA]],"")</f>
        <v/>
      </c>
      <c r="CH840" s="21" t="str">
        <f>IF([1]!BANCO10[[#This Row],[SOLUÇÃO]]=CH$1,[1]!BANCO10[[#This Row],[STATUS DA ETAPA]],"")</f>
        <v/>
      </c>
      <c r="CI840" s="21" t="str">
        <f>IF([1]!BANCO10[[#This Row],[SOLUÇÃO]]=CI$1,[1]!BANCO10[[#This Row],[STATUS DA ETAPA]],"")</f>
        <v/>
      </c>
      <c r="CJ840" s="21" t="str">
        <f>IF([1]!BANCO10[[#This Row],[SOLUÇÃO]]=CJ$1,[1]!BANCO10[[#This Row],[STATUS DA ETAPA]],"")</f>
        <v/>
      </c>
      <c r="CK840" s="21" t="str">
        <f>IF([1]!BANCO10[[#This Row],[SOLUÇÃO]]=CK$1,[1]!BANCO10[[#This Row],[STATUS DA ETAPA]],"")</f>
        <v/>
      </c>
      <c r="CL840" s="21" t="str">
        <f>IF([1]!BANCO10[[#This Row],[SOLUÇÃO]]=CL$1,[1]!BANCO10[[#This Row],[STATUS DA ETAPA]],"")</f>
        <v/>
      </c>
      <c r="CM840" s="21" t="str">
        <f>IF([1]!BANCO10[[#This Row],[SOLUÇÃO]]=CM$1,[1]!BANCO10[[#This Row],[STATUS DA ETAPA]],"")</f>
        <v/>
      </c>
      <c r="CN840" s="21" t="str">
        <f>IF([1]!BANCO10[[#This Row],[SOLUÇÃO]]=CN$1,[1]!BANCO10[[#This Row],[STATUS DA ETAPA]],"")</f>
        <v/>
      </c>
      <c r="CO840" s="21" t="str">
        <f>IF([1]!BANCO10[[#This Row],[SOLUÇÃO]]=CO$1,[1]!BANCO10[[#This Row],[STATUS DA ETAPA]],"")</f>
        <v/>
      </c>
      <c r="CP840" s="21" t="str">
        <f>IF([1]!BANCO10[[#This Row],[SOLUÇÃO]]=CP$1,[1]!BANCO10[[#This Row],[STATUS DA ETAPA]],"")</f>
        <v/>
      </c>
      <c r="CQ840" s="21" t="str">
        <f>IF([1]!BANCO10[[#This Row],[SOLUÇÃO]]=CQ$1,[1]!BANCO10[[#This Row],[STATUS DA ETAPA]],"")</f>
        <v/>
      </c>
      <c r="CR840" s="21" t="str">
        <f>IF([1]!BANCO10[[#This Row],[SOLUÇÃO]]=CR$1,[1]!BANCO10[[#This Row],[STATUS DA ETAPA]],"")</f>
        <v/>
      </c>
      <c r="CS840" s="21" t="str">
        <f>IF([1]!BANCO10[[#This Row],[SOLUÇÃO]]=CS$1,[1]!BANCO10[[#This Row],[STATUS DA ETAPA]],"")</f>
        <v/>
      </c>
      <c r="CT840" s="21" t="str">
        <f>IF([1]!BANCO10[[#This Row],[SOLUÇÃO]]=CT$1,[1]!BANCO10[[#This Row],[STATUS DA ETAPA]],"")</f>
        <v/>
      </c>
      <c r="CU840" s="21" t="str">
        <f>IF([1]!BANCO10[[#This Row],[SOLUÇÃO]]=CU$1,[1]!BANCO10[[#This Row],[STATUS DA ETAPA]],"")</f>
        <v/>
      </c>
      <c r="CV840" s="21" t="str">
        <f>IF([1]!BANCO10[[#This Row],[SOLUÇÃO]]=CV$1,[1]!BANCO10[[#This Row],[STATUS DA ETAPA]],"")</f>
        <v/>
      </c>
    </row>
    <row r="841" spans="1:100">
      <c r="A841" s="44" t="s">
        <v>2</v>
      </c>
      <c r="B841" s="44">
        <v>45889</v>
      </c>
      <c r="C841" s="44" t="s">
        <v>2</v>
      </c>
      <c r="D841" s="44">
        <v>45889</v>
      </c>
      <c r="E841" s="44" t="s">
        <v>2</v>
      </c>
      <c r="F841" s="44">
        <v>45910</v>
      </c>
      <c r="G841" s="44" t="s">
        <v>2</v>
      </c>
      <c r="H841" s="44">
        <v>45910</v>
      </c>
      <c r="I841" s="45" t="s">
        <v>2</v>
      </c>
      <c r="J841" s="46">
        <v>45902</v>
      </c>
      <c r="K841" s="45" t="s">
        <v>2</v>
      </c>
      <c r="L841" s="33">
        <v>45902</v>
      </c>
      <c r="M841" s="45" t="s">
        <v>2</v>
      </c>
      <c r="N841" s="33">
        <v>45902</v>
      </c>
      <c r="O841" s="44" t="s">
        <v>1</v>
      </c>
      <c r="P841" s="44"/>
      <c r="Q841" s="44" t="s">
        <v>0</v>
      </c>
      <c r="R841" s="44">
        <v>45796</v>
      </c>
      <c r="S841" s="44"/>
      <c r="T841" s="44"/>
      <c r="U841" s="44" t="s">
        <v>1</v>
      </c>
      <c r="V841" s="44"/>
      <c r="W841" s="44" t="s">
        <v>0</v>
      </c>
      <c r="X841" s="44"/>
      <c r="Y841" s="44" t="s">
        <v>0</v>
      </c>
      <c r="Z841" s="44"/>
      <c r="AA841" s="44" t="s">
        <v>0</v>
      </c>
      <c r="AB841" s="44"/>
      <c r="AC841" s="51">
        <v>45932</v>
      </c>
      <c r="AD841" s="50">
        <v>45981</v>
      </c>
      <c r="AE841" s="54" t="s">
        <v>2</v>
      </c>
      <c r="AF841" s="41" t="s">
        <v>0</v>
      </c>
      <c r="AG841" s="40" t="s">
        <v>5</v>
      </c>
      <c r="AH841" s="36" t="s">
        <v>0</v>
      </c>
      <c r="AI841" s="49">
        <v>760</v>
      </c>
      <c r="AJ841" s="36" t="s">
        <v>6</v>
      </c>
      <c r="AK841" s="10">
        <v>710781</v>
      </c>
      <c r="AL841" s="36" t="s">
        <v>1</v>
      </c>
      <c r="AM841" s="36" t="s">
        <v>1</v>
      </c>
      <c r="AN841" s="35" t="s">
        <v>0</v>
      </c>
      <c r="AO841" s="35" t="s">
        <v>0</v>
      </c>
      <c r="AP841" s="35" t="s">
        <v>0</v>
      </c>
      <c r="AQ841" s="35" t="s">
        <v>0</v>
      </c>
      <c r="AR841" s="45" t="s">
        <v>0</v>
      </c>
      <c r="AS841" s="46"/>
      <c r="AT841" s="32" t="s">
        <v>0</v>
      </c>
      <c r="AU841" s="31"/>
      <c r="AV841" s="32" t="s">
        <v>0</v>
      </c>
      <c r="AW841" s="31"/>
      <c r="AX841" s="32" t="s">
        <v>0</v>
      </c>
      <c r="AY841" s="31"/>
      <c r="AZ841" s="32" t="s">
        <v>0</v>
      </c>
      <c r="BA841" s="31"/>
      <c r="BB841" s="74" t="s">
        <v>7</v>
      </c>
      <c r="BC841" s="25"/>
      <c r="BD841" s="24"/>
      <c r="BE841" s="24"/>
      <c r="BF841" s="24"/>
      <c r="BG841" s="24"/>
      <c r="BH841" s="24"/>
      <c r="BI841" s="24"/>
      <c r="BJ841" s="24"/>
      <c r="BK841" s="24"/>
      <c r="BL841" s="24"/>
      <c r="BM841" s="24"/>
      <c r="BN841" s="24"/>
      <c r="BO841" s="24"/>
      <c r="BP841" s="24"/>
      <c r="BQ841" s="22">
        <f>YEAR([1]!BANCO10[[#This Row],[DATA INÍCIO]])</f>
        <v>2025</v>
      </c>
      <c r="BR841" s="22">
        <f>MONTH([1]!BANCO10[[#This Row],[DATA INÍCIO]])</f>
        <v>10</v>
      </c>
      <c r="BS841" s="23" t="e">
        <f>CONCATENATE(#REF!,#REF!)</f>
        <v>#REF!</v>
      </c>
      <c r="BT841" s="22"/>
      <c r="BU841" s="22"/>
      <c r="BV841" s="21" t="str">
        <f>IF([1]!BANCO10[[#This Row],[SOLUÇÃO]]=BV$1,[1]!BANCO10[[#This Row],[STATUS DA ETAPA]],"")</f>
        <v/>
      </c>
      <c r="BW841" s="21" t="str">
        <f>IF([1]!BANCO10[[#This Row],[SOLUÇÃO]]=BW$1,[1]!BANCO10[[#This Row],[STATUS DA ETAPA]],"")</f>
        <v/>
      </c>
      <c r="BX841" s="21" t="str">
        <f>IF([1]!BANCO10[[#This Row],[SOLUÇÃO]]=BX$1,[1]!BANCO10[[#This Row],[STATUS DA ETAPA]],"")</f>
        <v/>
      </c>
      <c r="BY841" s="21" t="str">
        <f>IF([1]!BANCO10[[#This Row],[SOLUÇÃO]]=BY$1,[1]!BANCO10[[#This Row],[STATUS DA ETAPA]],"")</f>
        <v/>
      </c>
      <c r="BZ841" s="21" t="str">
        <f>IF([1]!BANCO10[[#This Row],[SOLUÇÃO]]=BZ$1,[1]!BANCO10[[#This Row],[STATUS DA ETAPA]],"")</f>
        <v/>
      </c>
      <c r="CA841" s="21" t="str">
        <f>IF([1]!BANCO10[[#This Row],[SOLUÇÃO]]=CA$1,[1]!BANCO10[[#This Row],[STATUS DA ETAPA]],"")</f>
        <v/>
      </c>
      <c r="CB841" s="21" t="str">
        <f>IF([1]!BANCO10[[#This Row],[SOLUÇÃO]]=CB$1,[1]!BANCO10[[#This Row],[STATUS DA ETAPA]],"")</f>
        <v/>
      </c>
      <c r="CC841" s="21" t="str">
        <f>IF([1]!BANCO10[[#This Row],[SOLUÇÃO]]=CC$1,[1]!BANCO10[[#This Row],[STATUS DA ETAPA]],"")</f>
        <v/>
      </c>
      <c r="CD841" s="21" t="str">
        <f>IF([1]!BANCO10[[#This Row],[SOLUÇÃO]]=CD$1,[1]!BANCO10[[#This Row],[STATUS DA ETAPA]],"")</f>
        <v/>
      </c>
      <c r="CE841" s="21" t="str">
        <f>IF([1]!BANCO10[[#This Row],[SOLUÇÃO]]=CE$1,[1]!BANCO10[[#This Row],[STATUS DA ETAPA]],"")</f>
        <v/>
      </c>
      <c r="CF841" s="21" t="str">
        <f>IF([1]!BANCO10[[#This Row],[SOLUÇÃO]]=CF$1,[1]!BANCO10[[#This Row],[STATUS DA ETAPA]],"")</f>
        <v/>
      </c>
      <c r="CG841" s="21" t="str">
        <f>IF([1]!BANCO10[[#This Row],[SOLUÇÃO]]=CG$1,[1]!BANCO10[[#This Row],[STATUS DA ETAPA]],"")</f>
        <v/>
      </c>
      <c r="CH841" s="21" t="str">
        <f>IF([1]!BANCO10[[#This Row],[SOLUÇÃO]]=CH$1,[1]!BANCO10[[#This Row],[STATUS DA ETAPA]],"")</f>
        <v/>
      </c>
      <c r="CI841" s="21" t="str">
        <f>IF([1]!BANCO10[[#This Row],[SOLUÇÃO]]=CI$1,[1]!BANCO10[[#This Row],[STATUS DA ETAPA]],"")</f>
        <v/>
      </c>
      <c r="CJ841" s="21" t="str">
        <f>IF([1]!BANCO10[[#This Row],[SOLUÇÃO]]=CJ$1,[1]!BANCO10[[#This Row],[STATUS DA ETAPA]],"")</f>
        <v/>
      </c>
      <c r="CK841" s="21" t="str">
        <f>IF([1]!BANCO10[[#This Row],[SOLUÇÃO]]=CK$1,[1]!BANCO10[[#This Row],[STATUS DA ETAPA]],"")</f>
        <v/>
      </c>
      <c r="CL841" s="21" t="str">
        <f>IF([1]!BANCO10[[#This Row],[SOLUÇÃO]]=CL$1,[1]!BANCO10[[#This Row],[STATUS DA ETAPA]],"")</f>
        <v/>
      </c>
      <c r="CM841" s="21" t="str">
        <f>IF([1]!BANCO10[[#This Row],[SOLUÇÃO]]=CM$1,[1]!BANCO10[[#This Row],[STATUS DA ETAPA]],"")</f>
        <v/>
      </c>
      <c r="CN841" s="21" t="str">
        <f>IF([1]!BANCO10[[#This Row],[SOLUÇÃO]]=CN$1,[1]!BANCO10[[#This Row],[STATUS DA ETAPA]],"")</f>
        <v/>
      </c>
      <c r="CO841" s="21" t="str">
        <f>IF([1]!BANCO10[[#This Row],[SOLUÇÃO]]=CO$1,[1]!BANCO10[[#This Row],[STATUS DA ETAPA]],"")</f>
        <v/>
      </c>
      <c r="CP841" s="21" t="str">
        <f>IF([1]!BANCO10[[#This Row],[SOLUÇÃO]]=CP$1,[1]!BANCO10[[#This Row],[STATUS DA ETAPA]],"")</f>
        <v/>
      </c>
      <c r="CQ841" s="21" t="str">
        <f>IF([1]!BANCO10[[#This Row],[SOLUÇÃO]]=CQ$1,[1]!BANCO10[[#This Row],[STATUS DA ETAPA]],"")</f>
        <v/>
      </c>
      <c r="CR841" s="21" t="str">
        <f>IF([1]!BANCO10[[#This Row],[SOLUÇÃO]]=CR$1,[1]!BANCO10[[#This Row],[STATUS DA ETAPA]],"")</f>
        <v/>
      </c>
      <c r="CS841" s="21" t="str">
        <f>IF([1]!BANCO10[[#This Row],[SOLUÇÃO]]=CS$1,[1]!BANCO10[[#This Row],[STATUS DA ETAPA]],"")</f>
        <v/>
      </c>
      <c r="CT841" s="21" t="str">
        <f>IF([1]!BANCO10[[#This Row],[SOLUÇÃO]]=CT$1,[1]!BANCO10[[#This Row],[STATUS DA ETAPA]],"")</f>
        <v/>
      </c>
      <c r="CU841" s="21" t="str">
        <f>IF([1]!BANCO10[[#This Row],[SOLUÇÃO]]=CU$1,[1]!BANCO10[[#This Row],[STATUS DA ETAPA]],"")</f>
        <v/>
      </c>
      <c r="CV841" s="21" t="str">
        <f>IF([1]!BANCO10[[#This Row],[SOLUÇÃO]]=CV$1,[1]!BANCO10[[#This Row],[STATUS DA ETAPA]],"")</f>
        <v/>
      </c>
    </row>
    <row r="842" spans="1:100">
      <c r="A842" s="70"/>
      <c r="B842" s="44"/>
      <c r="C842" s="44"/>
      <c r="D842" s="44"/>
      <c r="E842" s="70"/>
      <c r="F842" s="44"/>
      <c r="G842" s="70"/>
      <c r="H842" s="44"/>
      <c r="I842" s="73"/>
      <c r="J842" s="61"/>
      <c r="K842" s="45"/>
      <c r="L842" s="63"/>
      <c r="M842" s="45"/>
      <c r="N842" s="61"/>
      <c r="O842" s="44"/>
      <c r="P842" s="72"/>
      <c r="Q842" s="44"/>
      <c r="R842" s="72"/>
      <c r="S842" s="44"/>
      <c r="T842" s="71"/>
      <c r="U842" s="44"/>
      <c r="V842" s="71"/>
      <c r="W842" s="44"/>
      <c r="X842" s="71"/>
      <c r="Y842" s="44"/>
      <c r="Z842" s="70"/>
      <c r="AA842" s="44"/>
      <c r="AB842" s="70"/>
      <c r="AC842" s="51">
        <v>45937</v>
      </c>
      <c r="AD842" s="50">
        <v>46011</v>
      </c>
      <c r="AE842" s="69" t="s">
        <v>2</v>
      </c>
      <c r="AF842" s="68" t="s">
        <v>0</v>
      </c>
      <c r="AG842" s="40" t="s">
        <v>5</v>
      </c>
      <c r="AH842" s="36" t="s">
        <v>0</v>
      </c>
      <c r="AI842" s="38">
        <v>38000</v>
      </c>
      <c r="AJ842" s="67" t="s">
        <v>6</v>
      </c>
      <c r="AK842" s="37" t="s">
        <v>1</v>
      </c>
      <c r="AL842" s="36" t="s">
        <v>1</v>
      </c>
      <c r="AM842" s="36" t="s">
        <v>1</v>
      </c>
      <c r="AN842" s="35"/>
      <c r="AO842" s="35"/>
      <c r="AP842" s="35"/>
      <c r="AQ842" s="35"/>
      <c r="AR842" s="34" t="s">
        <v>1</v>
      </c>
      <c r="AS842" s="63"/>
      <c r="AT842" s="32" t="s">
        <v>1</v>
      </c>
      <c r="AU842" s="31"/>
      <c r="AV842" s="32" t="s">
        <v>1</v>
      </c>
      <c r="AW842" s="31"/>
      <c r="AX842" s="32" t="s">
        <v>0</v>
      </c>
      <c r="AY842" s="55"/>
      <c r="AZ842" s="30" t="s">
        <v>0</v>
      </c>
      <c r="BA842" s="66"/>
      <c r="BB842" s="26"/>
      <c r="BC842" s="25"/>
      <c r="BD842" s="24"/>
      <c r="BE842" s="24"/>
      <c r="BF842" s="24"/>
      <c r="BG842" s="24"/>
      <c r="BH842" s="24"/>
      <c r="BI842" s="24"/>
      <c r="BJ842" s="24"/>
      <c r="BK842" s="24"/>
      <c r="BL842" s="24"/>
      <c r="BM842" s="24"/>
      <c r="BN842" s="24"/>
      <c r="BO842" s="24"/>
      <c r="BP842" s="24"/>
      <c r="BQ842" s="22">
        <f>YEAR([1]!BANCO10[[#This Row],[DATA INÍCIO]])</f>
        <v>2025</v>
      </c>
      <c r="BR842" s="22">
        <f>MONTH([1]!BANCO10[[#This Row],[DATA INÍCIO]])</f>
        <v>10</v>
      </c>
      <c r="BS842" s="23" t="e">
        <f>CONCATENATE(#REF!,#REF!)</f>
        <v>#REF!</v>
      </c>
      <c r="BT842" s="22"/>
      <c r="BU842" s="22"/>
      <c r="BV842" s="21" t="str">
        <f>IF([1]!BANCO10[[#This Row],[SOLUÇÃO]]=BV$1,[1]!BANCO10[[#This Row],[STATUS DA ETAPA]],"")</f>
        <v/>
      </c>
      <c r="BW842" s="21" t="str">
        <f>IF([1]!BANCO10[[#This Row],[SOLUÇÃO]]=BW$1,[1]!BANCO10[[#This Row],[STATUS DA ETAPA]],"")</f>
        <v/>
      </c>
      <c r="BX842" s="21" t="str">
        <f>IF([1]!BANCO10[[#This Row],[SOLUÇÃO]]=BX$1,[1]!BANCO10[[#This Row],[STATUS DA ETAPA]],"")</f>
        <v/>
      </c>
      <c r="BY842" s="21" t="str">
        <f>IF([1]!BANCO10[[#This Row],[SOLUÇÃO]]=BY$1,[1]!BANCO10[[#This Row],[STATUS DA ETAPA]],"")</f>
        <v/>
      </c>
      <c r="BZ842" s="21" t="str">
        <f>IF([1]!BANCO10[[#This Row],[SOLUÇÃO]]=BZ$1,[1]!BANCO10[[#This Row],[STATUS DA ETAPA]],"")</f>
        <v/>
      </c>
      <c r="CA842" s="21" t="str">
        <f>IF([1]!BANCO10[[#This Row],[SOLUÇÃO]]=CA$1,[1]!BANCO10[[#This Row],[STATUS DA ETAPA]],"")</f>
        <v/>
      </c>
      <c r="CB842" s="21" t="str">
        <f>IF([1]!BANCO10[[#This Row],[SOLUÇÃO]]=CB$1,[1]!BANCO10[[#This Row],[STATUS DA ETAPA]],"")</f>
        <v/>
      </c>
      <c r="CC842" s="21" t="str">
        <f>IF([1]!BANCO10[[#This Row],[SOLUÇÃO]]=CC$1,[1]!BANCO10[[#This Row],[STATUS DA ETAPA]],"")</f>
        <v/>
      </c>
      <c r="CD842" s="21" t="str">
        <f>IF([1]!BANCO10[[#This Row],[SOLUÇÃO]]=CD$1,[1]!BANCO10[[#This Row],[STATUS DA ETAPA]],"")</f>
        <v/>
      </c>
      <c r="CE842" s="21" t="str">
        <f>IF([1]!BANCO10[[#This Row],[SOLUÇÃO]]=CE$1,[1]!BANCO10[[#This Row],[STATUS DA ETAPA]],"")</f>
        <v>EM ANDAMENTO</v>
      </c>
      <c r="CF842" s="21" t="str">
        <f>IF([1]!BANCO10[[#This Row],[SOLUÇÃO]]=CF$1,[1]!BANCO10[[#This Row],[STATUS DA ETAPA]],"")</f>
        <v/>
      </c>
      <c r="CG842" s="21" t="str">
        <f>IF([1]!BANCO10[[#This Row],[SOLUÇÃO]]=CG$1,[1]!BANCO10[[#This Row],[STATUS DA ETAPA]],"")</f>
        <v/>
      </c>
      <c r="CH842" s="21" t="str">
        <f>IF([1]!BANCO10[[#This Row],[SOLUÇÃO]]=CH$1,[1]!BANCO10[[#This Row],[STATUS DA ETAPA]],"")</f>
        <v/>
      </c>
      <c r="CI842" s="21" t="str">
        <f>IF([1]!BANCO10[[#This Row],[SOLUÇÃO]]=CI$1,[1]!BANCO10[[#This Row],[STATUS DA ETAPA]],"")</f>
        <v/>
      </c>
      <c r="CJ842" s="21" t="str">
        <f>IF([1]!BANCO10[[#This Row],[SOLUÇÃO]]=CJ$1,[1]!BANCO10[[#This Row],[STATUS DA ETAPA]],"")</f>
        <v/>
      </c>
      <c r="CK842" s="21" t="str">
        <f>IF([1]!BANCO10[[#This Row],[SOLUÇÃO]]=CK$1,[1]!BANCO10[[#This Row],[STATUS DA ETAPA]],"")</f>
        <v/>
      </c>
      <c r="CL842" s="21" t="str">
        <f>IF([1]!BANCO10[[#This Row],[SOLUÇÃO]]=CL$1,[1]!BANCO10[[#This Row],[STATUS DA ETAPA]],"")</f>
        <v/>
      </c>
      <c r="CM842" s="21" t="str">
        <f>IF([1]!BANCO10[[#This Row],[SOLUÇÃO]]=CM$1,[1]!BANCO10[[#This Row],[STATUS DA ETAPA]],"")</f>
        <v/>
      </c>
      <c r="CN842" s="21" t="str">
        <f>IF([1]!BANCO10[[#This Row],[SOLUÇÃO]]=CN$1,[1]!BANCO10[[#This Row],[STATUS DA ETAPA]],"")</f>
        <v/>
      </c>
      <c r="CO842" s="21" t="str">
        <f>IF([1]!BANCO10[[#This Row],[SOLUÇÃO]]=CO$1,[1]!BANCO10[[#This Row],[STATUS DA ETAPA]],"")</f>
        <v/>
      </c>
      <c r="CP842" s="21" t="str">
        <f>IF([1]!BANCO10[[#This Row],[SOLUÇÃO]]=CP$1,[1]!BANCO10[[#This Row],[STATUS DA ETAPA]],"")</f>
        <v/>
      </c>
      <c r="CQ842" s="21" t="str">
        <f>IF([1]!BANCO10[[#This Row],[SOLUÇÃO]]=CQ$1,[1]!BANCO10[[#This Row],[STATUS DA ETAPA]],"")</f>
        <v/>
      </c>
      <c r="CR842" s="21" t="str">
        <f>IF([1]!BANCO10[[#This Row],[SOLUÇÃO]]=CR$1,[1]!BANCO10[[#This Row],[STATUS DA ETAPA]],"")</f>
        <v/>
      </c>
      <c r="CS842" s="21" t="str">
        <f>IF([1]!BANCO10[[#This Row],[SOLUÇÃO]]=CS$1,[1]!BANCO10[[#This Row],[STATUS DA ETAPA]],"")</f>
        <v/>
      </c>
      <c r="CT842" s="21" t="str">
        <f>IF([1]!BANCO10[[#This Row],[SOLUÇÃO]]=CT$1,[1]!BANCO10[[#This Row],[STATUS DA ETAPA]],"")</f>
        <v/>
      </c>
      <c r="CU842" s="21" t="str">
        <f>IF([1]!BANCO10[[#This Row],[SOLUÇÃO]]=CU$1,[1]!BANCO10[[#This Row],[STATUS DA ETAPA]],"")</f>
        <v/>
      </c>
      <c r="CV842" s="21" t="str">
        <f>IF([1]!BANCO10[[#This Row],[SOLUÇÃO]]=CV$1,[1]!BANCO10[[#This Row],[STATUS DA ETAPA]],"")</f>
        <v/>
      </c>
    </row>
    <row r="843" spans="1:100">
      <c r="A843" s="22"/>
      <c r="B843" s="20"/>
      <c r="C843" s="65"/>
      <c r="D843" s="20"/>
      <c r="E843" s="22"/>
      <c r="F843" s="20"/>
      <c r="G843" s="25"/>
      <c r="H843" s="57"/>
      <c r="I843" s="25"/>
      <c r="J843" s="61"/>
      <c r="K843" s="64"/>
      <c r="L843" s="63"/>
      <c r="M843" s="62"/>
      <c r="N843" s="61"/>
      <c r="O843" s="60"/>
      <c r="P843" s="59"/>
      <c r="Q843" s="19"/>
      <c r="R843" s="59"/>
      <c r="S843" s="58"/>
      <c r="T843" s="56"/>
      <c r="U843" s="57"/>
      <c r="V843" s="56"/>
      <c r="W843" s="55"/>
      <c r="X843" s="56"/>
      <c r="Y843" s="55"/>
      <c r="Z843" s="25"/>
      <c r="AA843" s="55"/>
      <c r="AB843" s="25"/>
      <c r="AC843" s="51">
        <v>45896</v>
      </c>
      <c r="AD843" s="50">
        <v>45980</v>
      </c>
      <c r="AE843" s="54" t="s">
        <v>2</v>
      </c>
      <c r="AF843" s="41" t="s">
        <v>0</v>
      </c>
      <c r="AG843" s="40" t="s">
        <v>5</v>
      </c>
      <c r="AH843" s="36" t="s">
        <v>0</v>
      </c>
      <c r="AI843" s="49">
        <v>760</v>
      </c>
      <c r="AJ843" s="36" t="s">
        <v>6</v>
      </c>
      <c r="AK843" s="10">
        <v>678856</v>
      </c>
      <c r="AL843" s="36" t="s">
        <v>1</v>
      </c>
      <c r="AM843" s="36" t="s">
        <v>1</v>
      </c>
      <c r="AN843" s="53"/>
      <c r="AO843" s="53"/>
      <c r="AP843" s="53"/>
      <c r="AQ843" s="52"/>
      <c r="AR843" s="45" t="s">
        <v>0</v>
      </c>
      <c r="AS843" s="46"/>
      <c r="AT843" s="32" t="s">
        <v>0</v>
      </c>
      <c r="AU843" s="31"/>
      <c r="AV843" s="32" t="s">
        <v>0</v>
      </c>
      <c r="AW843" s="31"/>
      <c r="AX843" s="32" t="s">
        <v>0</v>
      </c>
      <c r="AY843" s="31"/>
      <c r="AZ843" s="32" t="s">
        <v>0</v>
      </c>
      <c r="BA843" s="31"/>
      <c r="BB843" s="26"/>
      <c r="BC843" s="25"/>
      <c r="BD843" s="24"/>
      <c r="BE843" s="24"/>
      <c r="BF843" s="24"/>
      <c r="BG843" s="24"/>
      <c r="BH843" s="24"/>
      <c r="BI843" s="24"/>
      <c r="BJ843" s="24"/>
      <c r="BK843" s="24"/>
      <c r="BL843" s="24"/>
      <c r="BM843" s="24"/>
      <c r="BN843" s="24"/>
      <c r="BO843" s="24"/>
      <c r="BP843" s="24"/>
      <c r="BQ843" s="22">
        <f>YEAR([1]!BANCO10[[#This Row],[DATA INÍCIO]])</f>
        <v>2025</v>
      </c>
      <c r="BR843" s="22">
        <f>MONTH([1]!BANCO10[[#This Row],[DATA INÍCIO]])</f>
        <v>8</v>
      </c>
      <c r="BS843" s="23" t="e">
        <f>CONCATENATE(#REF!,#REF!)</f>
        <v>#REF!</v>
      </c>
      <c r="BT843" s="22"/>
      <c r="BU843" s="22"/>
      <c r="BV843" s="21" t="str">
        <f>IF([1]!BANCO10[[#This Row],[SOLUÇÃO]]=BV$1,[1]!BANCO10[[#This Row],[STATUS DA ETAPA]],"")</f>
        <v/>
      </c>
      <c r="BW843" s="21" t="str">
        <f>IF([1]!BANCO10[[#This Row],[SOLUÇÃO]]=BW$1,[1]!BANCO10[[#This Row],[STATUS DA ETAPA]],"")</f>
        <v/>
      </c>
      <c r="BX843" s="21" t="str">
        <f>IF([1]!BANCO10[[#This Row],[SOLUÇÃO]]=BX$1,[1]!BANCO10[[#This Row],[STATUS DA ETAPA]],"")</f>
        <v/>
      </c>
      <c r="BY843" s="21" t="str">
        <f>IF([1]!BANCO10[[#This Row],[SOLUÇÃO]]=BY$1,[1]!BANCO10[[#This Row],[STATUS DA ETAPA]],"")</f>
        <v/>
      </c>
      <c r="BZ843" s="21" t="str">
        <f>IF([1]!BANCO10[[#This Row],[SOLUÇÃO]]=BZ$1,[1]!BANCO10[[#This Row],[STATUS DA ETAPA]],"")</f>
        <v/>
      </c>
      <c r="CA843" s="21" t="str">
        <f>IF([1]!BANCO10[[#This Row],[SOLUÇÃO]]=CA$1,[1]!BANCO10[[#This Row],[STATUS DA ETAPA]],"")</f>
        <v/>
      </c>
      <c r="CB843" s="21" t="str">
        <f>IF([1]!BANCO10[[#This Row],[SOLUÇÃO]]=CB$1,[1]!BANCO10[[#This Row],[STATUS DA ETAPA]],"")</f>
        <v/>
      </c>
      <c r="CC843" s="21" t="str">
        <f>IF([1]!BANCO10[[#This Row],[SOLUÇÃO]]=CC$1,[1]!BANCO10[[#This Row],[STATUS DA ETAPA]],"")</f>
        <v/>
      </c>
      <c r="CD843" s="21" t="str">
        <f>IF([1]!BANCO10[[#This Row],[SOLUÇÃO]]=CD$1,[1]!BANCO10[[#This Row],[STATUS DA ETAPA]],"")</f>
        <v/>
      </c>
      <c r="CE843" s="21" t="str">
        <f>IF([1]!BANCO10[[#This Row],[SOLUÇÃO]]=CE$1,[1]!BANCO10[[#This Row],[STATUS DA ETAPA]],"")</f>
        <v/>
      </c>
      <c r="CF843" s="21" t="str">
        <f>IF([1]!BANCO10[[#This Row],[SOLUÇÃO]]=CF$1,[1]!BANCO10[[#This Row],[STATUS DA ETAPA]],"")</f>
        <v/>
      </c>
      <c r="CG843" s="21" t="str">
        <f>IF([1]!BANCO10[[#This Row],[SOLUÇÃO]]=CG$1,[1]!BANCO10[[#This Row],[STATUS DA ETAPA]],"")</f>
        <v/>
      </c>
      <c r="CH843" s="21" t="str">
        <f>IF([1]!BANCO10[[#This Row],[SOLUÇÃO]]=CH$1,[1]!BANCO10[[#This Row],[STATUS DA ETAPA]],"")</f>
        <v/>
      </c>
      <c r="CI843" s="21" t="str">
        <f>IF([1]!BANCO10[[#This Row],[SOLUÇÃO]]=CI$1,[1]!BANCO10[[#This Row],[STATUS DA ETAPA]],"")</f>
        <v/>
      </c>
      <c r="CJ843" s="21" t="str">
        <f>IF([1]!BANCO10[[#This Row],[SOLUÇÃO]]=CJ$1,[1]!BANCO10[[#This Row],[STATUS DA ETAPA]],"")</f>
        <v/>
      </c>
      <c r="CK843" s="21" t="str">
        <f>IF([1]!BANCO10[[#This Row],[SOLUÇÃO]]=CK$1,[1]!BANCO10[[#This Row],[STATUS DA ETAPA]],"")</f>
        <v/>
      </c>
      <c r="CL843" s="21" t="str">
        <f>IF([1]!BANCO10[[#This Row],[SOLUÇÃO]]=CL$1,[1]!BANCO10[[#This Row],[STATUS DA ETAPA]],"")</f>
        <v/>
      </c>
      <c r="CM843" s="21" t="str">
        <f>IF([1]!BANCO10[[#This Row],[SOLUÇÃO]]=CM$1,[1]!BANCO10[[#This Row],[STATUS DA ETAPA]],"")</f>
        <v/>
      </c>
      <c r="CN843" s="21" t="str">
        <f>IF([1]!BANCO10[[#This Row],[SOLUÇÃO]]=CN$1,[1]!BANCO10[[#This Row],[STATUS DA ETAPA]],"")</f>
        <v/>
      </c>
      <c r="CO843" s="21" t="str">
        <f>IF([1]!BANCO10[[#This Row],[SOLUÇÃO]]=CO$1,[1]!BANCO10[[#This Row],[STATUS DA ETAPA]],"")</f>
        <v/>
      </c>
      <c r="CP843" s="21" t="str">
        <f>IF([1]!BANCO10[[#This Row],[SOLUÇÃO]]=CP$1,[1]!BANCO10[[#This Row],[STATUS DA ETAPA]],"")</f>
        <v/>
      </c>
      <c r="CQ843" s="21" t="str">
        <f>IF([1]!BANCO10[[#This Row],[SOLUÇÃO]]=CQ$1,[1]!BANCO10[[#This Row],[STATUS DA ETAPA]],"")</f>
        <v/>
      </c>
      <c r="CR843" s="21" t="str">
        <f>IF([1]!BANCO10[[#This Row],[SOLUÇÃO]]=CR$1,[1]!BANCO10[[#This Row],[STATUS DA ETAPA]],"")</f>
        <v/>
      </c>
      <c r="CS843" s="21" t="str">
        <f>IF([1]!BANCO10[[#This Row],[SOLUÇÃO]]=CS$1,[1]!BANCO10[[#This Row],[STATUS DA ETAPA]],"")</f>
        <v/>
      </c>
      <c r="CT843" s="21" t="str">
        <f>IF([1]!BANCO10[[#This Row],[SOLUÇÃO]]=CT$1,[1]!BANCO10[[#This Row],[STATUS DA ETAPA]],"")</f>
        <v/>
      </c>
      <c r="CU843" s="21" t="str">
        <f>IF([1]!BANCO10[[#This Row],[SOLUÇÃO]]=CU$1,[1]!BANCO10[[#This Row],[STATUS DA ETAPA]],"")</f>
        <v/>
      </c>
      <c r="CV843" s="21" t="str">
        <f>IF([1]!BANCO10[[#This Row],[SOLUÇÃO]]=CV$1,[1]!BANCO10[[#This Row],[STATUS DA ETAPA]],"")</f>
        <v/>
      </c>
    </row>
    <row r="844" spans="1:100">
      <c r="A844" s="22"/>
      <c r="B844" s="20"/>
      <c r="C844" s="65"/>
      <c r="D844" s="20"/>
      <c r="E844" s="22"/>
      <c r="F844" s="20"/>
      <c r="G844" s="25"/>
      <c r="H844" s="57"/>
      <c r="I844" s="25"/>
      <c r="J844" s="61"/>
      <c r="K844" s="64"/>
      <c r="L844" s="63"/>
      <c r="M844" s="62"/>
      <c r="N844" s="61"/>
      <c r="O844" s="60"/>
      <c r="P844" s="59"/>
      <c r="Q844" s="19"/>
      <c r="R844" s="59"/>
      <c r="S844" s="58"/>
      <c r="T844" s="56"/>
      <c r="U844" s="57"/>
      <c r="V844" s="56"/>
      <c r="W844" s="55"/>
      <c r="X844" s="56"/>
      <c r="Y844" s="55"/>
      <c r="Z844" s="25"/>
      <c r="AA844" s="55"/>
      <c r="AB844" s="25"/>
      <c r="AC844" s="51">
        <v>45932</v>
      </c>
      <c r="AD844" s="50">
        <v>46022</v>
      </c>
      <c r="AE844" s="54" t="s">
        <v>2</v>
      </c>
      <c r="AF844" s="41" t="s">
        <v>0</v>
      </c>
      <c r="AG844" s="40" t="s">
        <v>5</v>
      </c>
      <c r="AH844" s="36" t="s">
        <v>0</v>
      </c>
      <c r="AI844" s="49">
        <v>760</v>
      </c>
      <c r="AJ844" s="36" t="s">
        <v>6</v>
      </c>
      <c r="AK844" s="10">
        <v>678870</v>
      </c>
      <c r="AL844" s="36" t="s">
        <v>1</v>
      </c>
      <c r="AM844" s="36" t="s">
        <v>1</v>
      </c>
      <c r="AN844" s="53"/>
      <c r="AO844" s="53"/>
      <c r="AP844" s="53"/>
      <c r="AQ844" s="52"/>
      <c r="AR844" s="45" t="s">
        <v>0</v>
      </c>
      <c r="AS844" s="46"/>
      <c r="AT844" s="32" t="s">
        <v>0</v>
      </c>
      <c r="AU844" s="31"/>
      <c r="AV844" s="32" t="s">
        <v>0</v>
      </c>
      <c r="AW844" s="31"/>
      <c r="AX844" s="32" t="s">
        <v>0</v>
      </c>
      <c r="AY844" s="31"/>
      <c r="AZ844" s="32" t="s">
        <v>0</v>
      </c>
      <c r="BA844" s="31"/>
      <c r="BB844" s="26"/>
      <c r="BC844" s="25"/>
      <c r="BD844" s="24"/>
      <c r="BE844" s="24"/>
      <c r="BF844" s="24"/>
      <c r="BG844" s="24"/>
      <c r="BH844" s="24"/>
      <c r="BI844" s="24"/>
      <c r="BJ844" s="24"/>
      <c r="BK844" s="24"/>
      <c r="BL844" s="24"/>
      <c r="BM844" s="24"/>
      <c r="BN844" s="24"/>
      <c r="BO844" s="24"/>
      <c r="BP844" s="24"/>
      <c r="BQ844" s="22">
        <f>YEAR([1]!BANCO10[[#This Row],[DATA INÍCIO]])</f>
        <v>2025</v>
      </c>
      <c r="BR844" s="22">
        <f>MONTH([1]!BANCO10[[#This Row],[DATA INÍCIO]])</f>
        <v>10</v>
      </c>
      <c r="BS844" s="23" t="e">
        <f>CONCATENATE(#REF!,#REF!)</f>
        <v>#REF!</v>
      </c>
      <c r="BT844" s="22"/>
      <c r="BU844" s="22"/>
      <c r="BV844" s="21" t="str">
        <f>IF([1]!BANCO10[[#This Row],[SOLUÇÃO]]=BV$1,[1]!BANCO10[[#This Row],[STATUS DA ETAPA]],"")</f>
        <v/>
      </c>
      <c r="BW844" s="21" t="str">
        <f>IF([1]!BANCO10[[#This Row],[SOLUÇÃO]]=BW$1,[1]!BANCO10[[#This Row],[STATUS DA ETAPA]],"")</f>
        <v/>
      </c>
      <c r="BX844" s="21" t="str">
        <f>IF([1]!BANCO10[[#This Row],[SOLUÇÃO]]=BX$1,[1]!BANCO10[[#This Row],[STATUS DA ETAPA]],"")</f>
        <v/>
      </c>
      <c r="BY844" s="21" t="str">
        <f>IF([1]!BANCO10[[#This Row],[SOLUÇÃO]]=BY$1,[1]!BANCO10[[#This Row],[STATUS DA ETAPA]],"")</f>
        <v/>
      </c>
      <c r="BZ844" s="21" t="str">
        <f>IF([1]!BANCO10[[#This Row],[SOLUÇÃO]]=BZ$1,[1]!BANCO10[[#This Row],[STATUS DA ETAPA]],"")</f>
        <v/>
      </c>
      <c r="CA844" s="21" t="str">
        <f>IF([1]!BANCO10[[#This Row],[SOLUÇÃO]]=CA$1,[1]!BANCO10[[#This Row],[STATUS DA ETAPA]],"")</f>
        <v/>
      </c>
      <c r="CB844" s="21" t="str">
        <f>IF([1]!BANCO10[[#This Row],[SOLUÇÃO]]=CB$1,[1]!BANCO10[[#This Row],[STATUS DA ETAPA]],"")</f>
        <v/>
      </c>
      <c r="CC844" s="21" t="str">
        <f>IF([1]!BANCO10[[#This Row],[SOLUÇÃO]]=CC$1,[1]!BANCO10[[#This Row],[STATUS DA ETAPA]],"")</f>
        <v/>
      </c>
      <c r="CD844" s="21" t="str">
        <f>IF([1]!BANCO10[[#This Row],[SOLUÇÃO]]=CD$1,[1]!BANCO10[[#This Row],[STATUS DA ETAPA]],"")</f>
        <v/>
      </c>
      <c r="CE844" s="21" t="str">
        <f>IF([1]!BANCO10[[#This Row],[SOLUÇÃO]]=CE$1,[1]!BANCO10[[#This Row],[STATUS DA ETAPA]],"")</f>
        <v/>
      </c>
      <c r="CF844" s="21" t="str">
        <f>IF([1]!BANCO10[[#This Row],[SOLUÇÃO]]=CF$1,[1]!BANCO10[[#This Row],[STATUS DA ETAPA]],"")</f>
        <v/>
      </c>
      <c r="CG844" s="21" t="str">
        <f>IF([1]!BANCO10[[#This Row],[SOLUÇÃO]]=CG$1,[1]!BANCO10[[#This Row],[STATUS DA ETAPA]],"")</f>
        <v/>
      </c>
      <c r="CH844" s="21" t="str">
        <f>IF([1]!BANCO10[[#This Row],[SOLUÇÃO]]=CH$1,[1]!BANCO10[[#This Row],[STATUS DA ETAPA]],"")</f>
        <v/>
      </c>
      <c r="CI844" s="21" t="str">
        <f>IF([1]!BANCO10[[#This Row],[SOLUÇÃO]]=CI$1,[1]!BANCO10[[#This Row],[STATUS DA ETAPA]],"")</f>
        <v/>
      </c>
      <c r="CJ844" s="21" t="str">
        <f>IF([1]!BANCO10[[#This Row],[SOLUÇÃO]]=CJ$1,[1]!BANCO10[[#This Row],[STATUS DA ETAPA]],"")</f>
        <v/>
      </c>
      <c r="CK844" s="21" t="str">
        <f>IF([1]!BANCO10[[#This Row],[SOLUÇÃO]]=CK$1,[1]!BANCO10[[#This Row],[STATUS DA ETAPA]],"")</f>
        <v/>
      </c>
      <c r="CL844" s="21" t="str">
        <f>IF([1]!BANCO10[[#This Row],[SOLUÇÃO]]=CL$1,[1]!BANCO10[[#This Row],[STATUS DA ETAPA]],"")</f>
        <v/>
      </c>
      <c r="CM844" s="21" t="str">
        <f>IF([1]!BANCO10[[#This Row],[SOLUÇÃO]]=CM$1,[1]!BANCO10[[#This Row],[STATUS DA ETAPA]],"")</f>
        <v/>
      </c>
      <c r="CN844" s="21" t="str">
        <f>IF([1]!BANCO10[[#This Row],[SOLUÇÃO]]=CN$1,[1]!BANCO10[[#This Row],[STATUS DA ETAPA]],"")</f>
        <v/>
      </c>
      <c r="CO844" s="21" t="str">
        <f>IF([1]!BANCO10[[#This Row],[SOLUÇÃO]]=CO$1,[1]!BANCO10[[#This Row],[STATUS DA ETAPA]],"")</f>
        <v/>
      </c>
      <c r="CP844" s="21" t="str">
        <f>IF([1]!BANCO10[[#This Row],[SOLUÇÃO]]=CP$1,[1]!BANCO10[[#This Row],[STATUS DA ETAPA]],"")</f>
        <v/>
      </c>
      <c r="CQ844" s="21" t="str">
        <f>IF([1]!BANCO10[[#This Row],[SOLUÇÃO]]=CQ$1,[1]!BANCO10[[#This Row],[STATUS DA ETAPA]],"")</f>
        <v/>
      </c>
      <c r="CR844" s="21" t="str">
        <f>IF([1]!BANCO10[[#This Row],[SOLUÇÃO]]=CR$1,[1]!BANCO10[[#This Row],[STATUS DA ETAPA]],"")</f>
        <v/>
      </c>
      <c r="CS844" s="21" t="str">
        <f>IF([1]!BANCO10[[#This Row],[SOLUÇÃO]]=CS$1,[1]!BANCO10[[#This Row],[STATUS DA ETAPA]],"")</f>
        <v/>
      </c>
      <c r="CT844" s="21" t="str">
        <f>IF([1]!BANCO10[[#This Row],[SOLUÇÃO]]=CT$1,[1]!BANCO10[[#This Row],[STATUS DA ETAPA]],"")</f>
        <v/>
      </c>
      <c r="CU844" s="21" t="str">
        <f>IF([1]!BANCO10[[#This Row],[SOLUÇÃO]]=CU$1,[1]!BANCO10[[#This Row],[STATUS DA ETAPA]],"")</f>
        <v/>
      </c>
      <c r="CV844" s="21" t="str">
        <f>IF([1]!BANCO10[[#This Row],[SOLUÇÃO]]=CV$1,[1]!BANCO10[[#This Row],[STATUS DA ETAPA]],"")</f>
        <v/>
      </c>
    </row>
    <row r="845" spans="1:100">
      <c r="A845" s="44" t="s">
        <v>1</v>
      </c>
      <c r="B845" s="44"/>
      <c r="C845" s="44" t="s">
        <v>1</v>
      </c>
      <c r="D845" s="44"/>
      <c r="E845" s="44" t="s">
        <v>1</v>
      </c>
      <c r="F845" s="44"/>
      <c r="G845" s="44" t="s">
        <v>1</v>
      </c>
      <c r="H845" s="44"/>
      <c r="I845" s="45" t="s">
        <v>1</v>
      </c>
      <c r="J845" s="46"/>
      <c r="K845" s="45" t="s">
        <v>1</v>
      </c>
      <c r="L845" s="33"/>
      <c r="M845" s="45" t="s">
        <v>1</v>
      </c>
      <c r="N845" s="33"/>
      <c r="O845" s="44" t="s">
        <v>1</v>
      </c>
      <c r="P845" s="44"/>
      <c r="Q845" s="44" t="s">
        <v>1</v>
      </c>
      <c r="R845" s="44" t="s">
        <v>1</v>
      </c>
      <c r="S845" s="44" t="s">
        <v>1</v>
      </c>
      <c r="T845" s="44"/>
      <c r="U845" s="44" t="s">
        <v>1</v>
      </c>
      <c r="V845" s="44"/>
      <c r="W845" s="44" t="s">
        <v>1</v>
      </c>
      <c r="X845" s="44"/>
      <c r="Y845" s="44" t="s">
        <v>1</v>
      </c>
      <c r="Z845" s="44"/>
      <c r="AA845" s="44" t="s">
        <v>1</v>
      </c>
      <c r="AB845" s="44"/>
      <c r="AC845" s="51">
        <v>45936</v>
      </c>
      <c r="AD845" s="50">
        <v>45936</v>
      </c>
      <c r="AE845" s="41" t="s">
        <v>1</v>
      </c>
      <c r="AF845" s="41" t="s">
        <v>1</v>
      </c>
      <c r="AG845" s="40" t="s">
        <v>5</v>
      </c>
      <c r="AH845" s="36" t="s">
        <v>2</v>
      </c>
      <c r="AI845" s="49">
        <v>0</v>
      </c>
      <c r="AJ845" s="36" t="s">
        <v>1</v>
      </c>
      <c r="AK845" s="10" t="s">
        <v>1</v>
      </c>
      <c r="AL845" s="36" t="s">
        <v>1</v>
      </c>
      <c r="AM845" s="36" t="s">
        <v>1</v>
      </c>
      <c r="AN845" s="35" t="s">
        <v>1</v>
      </c>
      <c r="AO845" s="35" t="s">
        <v>1</v>
      </c>
      <c r="AP845" s="35" t="s">
        <v>1</v>
      </c>
      <c r="AQ845" s="35" t="s">
        <v>1</v>
      </c>
      <c r="AR845" s="48" t="s">
        <v>1</v>
      </c>
      <c r="AS845" s="33"/>
      <c r="AT845" s="32" t="s">
        <v>1</v>
      </c>
      <c r="AU845" s="31"/>
      <c r="AV845" s="32" t="s">
        <v>1</v>
      </c>
      <c r="AW845" s="31"/>
      <c r="AX845" s="32" t="s">
        <v>1</v>
      </c>
      <c r="AY845" s="31"/>
      <c r="AZ845" s="32" t="s">
        <v>1</v>
      </c>
      <c r="BA845" s="47"/>
      <c r="BB845" s="26"/>
      <c r="BC845" s="39"/>
      <c r="BD845" s="24"/>
      <c r="BE845" s="24"/>
      <c r="BF845" s="24"/>
      <c r="BG845" s="24"/>
      <c r="BH845" s="24"/>
      <c r="BI845" s="24"/>
      <c r="BJ845" s="24"/>
      <c r="BK845" s="24"/>
      <c r="BL845" s="24"/>
      <c r="BM845" s="24"/>
      <c r="BN845" s="24"/>
      <c r="BO845" s="24"/>
      <c r="BP845" s="24"/>
      <c r="BQ845" s="22">
        <f>YEAR([1]!BANCO10[[#This Row],[DATA INÍCIO]])</f>
        <v>2025</v>
      </c>
      <c r="BR845" s="22">
        <f>MONTH([1]!BANCO10[[#This Row],[DATA INÍCIO]])</f>
        <v>10</v>
      </c>
      <c r="BS845" s="23" t="e">
        <f>CONCATENATE(#REF!,#REF!)</f>
        <v>#REF!</v>
      </c>
      <c r="BT845" s="22"/>
      <c r="BU845" s="22"/>
      <c r="BV845" s="21" t="str">
        <f>IF([1]!BANCO10[[#This Row],[SOLUÇÃO]]=BV$1,[1]!BANCO10[[#This Row],[STATUS DA ETAPA]],"")</f>
        <v/>
      </c>
      <c r="BW845" s="21" t="str">
        <f>IF([1]!BANCO10[[#This Row],[SOLUÇÃO]]=BW$1,[1]!BANCO10[[#This Row],[STATUS DA ETAPA]],"")</f>
        <v/>
      </c>
      <c r="BX845" s="21" t="str">
        <f>IF([1]!BANCO10[[#This Row],[SOLUÇÃO]]=BX$1,[1]!BANCO10[[#This Row],[STATUS DA ETAPA]],"")</f>
        <v/>
      </c>
      <c r="BY845" s="21" t="str">
        <f>IF([1]!BANCO10[[#This Row],[SOLUÇÃO]]=BY$1,[1]!BANCO10[[#This Row],[STATUS DA ETAPA]],"")</f>
        <v/>
      </c>
      <c r="BZ845" s="21" t="str">
        <f>IF([1]!BANCO10[[#This Row],[SOLUÇÃO]]=BZ$1,[1]!BANCO10[[#This Row],[STATUS DA ETAPA]],"")</f>
        <v/>
      </c>
      <c r="CA845" s="21" t="str">
        <f>IF([1]!BANCO10[[#This Row],[SOLUÇÃO]]=CA$1,[1]!BANCO10[[#This Row],[STATUS DA ETAPA]],"")</f>
        <v/>
      </c>
      <c r="CB845" s="21" t="str">
        <f>IF([1]!BANCO10[[#This Row],[SOLUÇÃO]]=CB$1,[1]!BANCO10[[#This Row],[STATUS DA ETAPA]],"")</f>
        <v/>
      </c>
      <c r="CC845" s="21" t="str">
        <f>IF([1]!BANCO10[[#This Row],[SOLUÇÃO]]=CC$1,[1]!BANCO10[[#This Row],[STATUS DA ETAPA]],"")</f>
        <v/>
      </c>
      <c r="CD845" s="21" t="str">
        <f>IF([1]!BANCO10[[#This Row],[SOLUÇÃO]]=CD$1,[1]!BANCO10[[#This Row],[STATUS DA ETAPA]],"")</f>
        <v/>
      </c>
      <c r="CE845" s="21" t="str">
        <f>IF([1]!BANCO10[[#This Row],[SOLUÇÃO]]=CE$1,[1]!BANCO10[[#This Row],[STATUS DA ETAPA]],"")</f>
        <v/>
      </c>
      <c r="CF845" s="21" t="str">
        <f>IF([1]!BANCO10[[#This Row],[SOLUÇÃO]]=CF$1,[1]!BANCO10[[#This Row],[STATUS DA ETAPA]],"")</f>
        <v/>
      </c>
      <c r="CG845" s="21" t="str">
        <f>IF([1]!BANCO10[[#This Row],[SOLUÇÃO]]=CG$1,[1]!BANCO10[[#This Row],[STATUS DA ETAPA]],"")</f>
        <v/>
      </c>
      <c r="CH845" s="21" t="str">
        <f>IF([1]!BANCO10[[#This Row],[SOLUÇÃO]]=CH$1,[1]!BANCO10[[#This Row],[STATUS DA ETAPA]],"")</f>
        <v/>
      </c>
      <c r="CI845" s="21" t="str">
        <f>IF([1]!BANCO10[[#This Row],[SOLUÇÃO]]=CI$1,[1]!BANCO10[[#This Row],[STATUS DA ETAPA]],"")</f>
        <v/>
      </c>
      <c r="CJ845" s="21" t="str">
        <f>IF([1]!BANCO10[[#This Row],[SOLUÇÃO]]=CJ$1,[1]!BANCO10[[#This Row],[STATUS DA ETAPA]],"")</f>
        <v/>
      </c>
      <c r="CK845" s="21" t="str">
        <f>IF([1]!BANCO10[[#This Row],[SOLUÇÃO]]=CK$1,[1]!BANCO10[[#This Row],[STATUS DA ETAPA]],"")</f>
        <v/>
      </c>
      <c r="CL845" s="21" t="str">
        <f>IF([1]!BANCO10[[#This Row],[SOLUÇÃO]]=CL$1,[1]!BANCO10[[#This Row],[STATUS DA ETAPA]],"")</f>
        <v/>
      </c>
      <c r="CM845" s="21" t="str">
        <f>IF([1]!BANCO10[[#This Row],[SOLUÇÃO]]=CM$1,[1]!BANCO10[[#This Row],[STATUS DA ETAPA]],"")</f>
        <v/>
      </c>
      <c r="CN845" s="21" t="str">
        <f>IF([1]!BANCO10[[#This Row],[SOLUÇÃO]]=CN$1,[1]!BANCO10[[#This Row],[STATUS DA ETAPA]],"")</f>
        <v/>
      </c>
      <c r="CO845" s="21" t="str">
        <f>IF([1]!BANCO10[[#This Row],[SOLUÇÃO]]=CO$1,[1]!BANCO10[[#This Row],[STATUS DA ETAPA]],"")</f>
        <v/>
      </c>
      <c r="CP845" s="21" t="str">
        <f>IF([1]!BANCO10[[#This Row],[SOLUÇÃO]]=CP$1,[1]!BANCO10[[#This Row],[STATUS DA ETAPA]],"")</f>
        <v/>
      </c>
      <c r="CQ845" s="21" t="str">
        <f>IF([1]!BANCO10[[#This Row],[SOLUÇÃO]]=CQ$1,[1]!BANCO10[[#This Row],[STATUS DA ETAPA]],"")</f>
        <v/>
      </c>
      <c r="CR845" s="21" t="str">
        <f>IF([1]!BANCO10[[#This Row],[SOLUÇÃO]]=CR$1,[1]!BANCO10[[#This Row],[STATUS DA ETAPA]],"")</f>
        <v/>
      </c>
      <c r="CS845" s="21" t="str">
        <f>IF([1]!BANCO10[[#This Row],[SOLUÇÃO]]=CS$1,[1]!BANCO10[[#This Row],[STATUS DA ETAPA]],"")</f>
        <v/>
      </c>
      <c r="CT845" s="21" t="str">
        <f>IF([1]!BANCO10[[#This Row],[SOLUÇÃO]]=CT$1,[1]!BANCO10[[#This Row],[STATUS DA ETAPA]],"")</f>
        <v/>
      </c>
      <c r="CU845" s="21" t="str">
        <f>IF([1]!BANCO10[[#This Row],[SOLUÇÃO]]=CU$1,[1]!BANCO10[[#This Row],[STATUS DA ETAPA]],"")</f>
        <v/>
      </c>
      <c r="CV845" s="21" t="str">
        <f>IF([1]!BANCO10[[#This Row],[SOLUÇÃO]]=CV$1,[1]!BANCO10[[#This Row],[STATUS DA ETAPA]],"")</f>
        <v/>
      </c>
    </row>
    <row r="846" spans="1:100">
      <c r="A846" s="44" t="s">
        <v>2</v>
      </c>
      <c r="B846" s="44">
        <v>45943</v>
      </c>
      <c r="C846" s="44" t="s">
        <v>2</v>
      </c>
      <c r="D846" s="44">
        <v>45943</v>
      </c>
      <c r="E846" s="44" t="s">
        <v>1</v>
      </c>
      <c r="F846" s="44"/>
      <c r="G846" s="44" t="s">
        <v>1</v>
      </c>
      <c r="H846" s="44"/>
      <c r="I846" s="45" t="s">
        <v>1</v>
      </c>
      <c r="J846" s="46"/>
      <c r="K846" s="45" t="s">
        <v>1</v>
      </c>
      <c r="L846" s="33"/>
      <c r="M846" s="45" t="s">
        <v>1</v>
      </c>
      <c r="N846" s="33"/>
      <c r="O846" s="44" t="s">
        <v>1</v>
      </c>
      <c r="P846" s="44"/>
      <c r="Q846" s="44" t="s">
        <v>1</v>
      </c>
      <c r="R846" s="44"/>
      <c r="S846" s="44" t="s">
        <v>1</v>
      </c>
      <c r="T846" s="44"/>
      <c r="U846" s="44" t="s">
        <v>1</v>
      </c>
      <c r="V846" s="44"/>
      <c r="W846" s="44" t="s">
        <v>1</v>
      </c>
      <c r="X846" s="44"/>
      <c r="Y846" s="44" t="s">
        <v>1</v>
      </c>
      <c r="Z846" s="44"/>
      <c r="AA846" s="44" t="s">
        <v>1</v>
      </c>
      <c r="AB846" s="44"/>
      <c r="AC846" s="43">
        <v>45950</v>
      </c>
      <c r="AD846" s="42">
        <v>45967</v>
      </c>
      <c r="AE846" s="41" t="s">
        <v>1</v>
      </c>
      <c r="AF846" s="41" t="s">
        <v>1</v>
      </c>
      <c r="AG846" s="40" t="s">
        <v>4</v>
      </c>
      <c r="AH846" s="39" t="s">
        <v>0</v>
      </c>
      <c r="AI846" s="38">
        <v>11250</v>
      </c>
      <c r="AJ846" s="37" t="s">
        <v>3</v>
      </c>
      <c r="AK846" s="10" t="s">
        <v>1</v>
      </c>
      <c r="AL846" s="36" t="s">
        <v>1</v>
      </c>
      <c r="AM846" s="36" t="s">
        <v>1</v>
      </c>
      <c r="AN846" s="35" t="s">
        <v>1</v>
      </c>
      <c r="AO846" s="35" t="s">
        <v>1</v>
      </c>
      <c r="AP846" s="35" t="s">
        <v>1</v>
      </c>
      <c r="AQ846" s="35" t="s">
        <v>2</v>
      </c>
      <c r="AR846" s="34" t="s">
        <v>1</v>
      </c>
      <c r="AS846" s="33"/>
      <c r="AT846" s="32" t="s">
        <v>1</v>
      </c>
      <c r="AU846" s="31"/>
      <c r="AV846" s="32" t="s">
        <v>1</v>
      </c>
      <c r="AW846" s="31"/>
      <c r="AX846" s="30" t="s">
        <v>0</v>
      </c>
      <c r="AY846" s="29"/>
      <c r="AZ846" s="28" t="s">
        <v>0</v>
      </c>
      <c r="BA846" s="27"/>
      <c r="BB846" s="26"/>
      <c r="BC846" s="25"/>
      <c r="BD846" s="24"/>
      <c r="BE846" s="24"/>
      <c r="BF846" s="24"/>
      <c r="BG846" s="24"/>
      <c r="BH846" s="24"/>
      <c r="BI846" s="24"/>
      <c r="BJ846" s="24"/>
      <c r="BK846" s="24"/>
      <c r="BL846" s="24"/>
      <c r="BM846" s="24"/>
      <c r="BN846" s="24"/>
      <c r="BO846" s="24"/>
      <c r="BP846" s="24"/>
      <c r="BQ846" s="22">
        <f>YEAR([1]!BANCO10[[#This Row],[DATA INÍCIO]])</f>
        <v>2025</v>
      </c>
      <c r="BR846" s="22">
        <f>MONTH([1]!BANCO10[[#This Row],[DATA INÍCIO]])</f>
        <v>10</v>
      </c>
      <c r="BS846" s="23" t="e">
        <f>CONCATENATE(#REF!,#REF!)</f>
        <v>#REF!</v>
      </c>
      <c r="BT846" s="22"/>
      <c r="BU846" s="22"/>
      <c r="BV846" s="21" t="str">
        <f>IF([1]!BANCO10[[#This Row],[SOLUÇÃO]]=BV$1,[1]!BANCO10[[#This Row],[STATUS DA ETAPA]],"")</f>
        <v/>
      </c>
      <c r="BW846" s="21" t="str">
        <f>IF([1]!BANCO10[[#This Row],[SOLUÇÃO]]=BW$1,[1]!BANCO10[[#This Row],[STATUS DA ETAPA]],"")</f>
        <v/>
      </c>
      <c r="BX846" s="21" t="str">
        <f>IF([1]!BANCO10[[#This Row],[SOLUÇÃO]]=BX$1,[1]!BANCO10[[#This Row],[STATUS DA ETAPA]],"")</f>
        <v/>
      </c>
      <c r="BY846" s="21" t="str">
        <f>IF([1]!BANCO10[[#This Row],[SOLUÇÃO]]=BY$1,[1]!BANCO10[[#This Row],[STATUS DA ETAPA]],"")</f>
        <v/>
      </c>
      <c r="BZ846" s="21" t="str">
        <f>IF([1]!BANCO10[[#This Row],[SOLUÇÃO]]=BZ$1,[1]!BANCO10[[#This Row],[STATUS DA ETAPA]],"")</f>
        <v/>
      </c>
      <c r="CA846" s="21" t="str">
        <f>IF([1]!BANCO10[[#This Row],[SOLUÇÃO]]=CA$1,[1]!BANCO10[[#This Row],[STATUS DA ETAPA]],"")</f>
        <v/>
      </c>
      <c r="CB846" s="21" t="str">
        <f>IF([1]!BANCO10[[#This Row],[SOLUÇÃO]]=CB$1,[1]!BANCO10[[#This Row],[STATUS DA ETAPA]],"")</f>
        <v/>
      </c>
      <c r="CC846" s="21" t="str">
        <f>IF([1]!BANCO10[[#This Row],[SOLUÇÃO]]=CC$1,[1]!BANCO10[[#This Row],[STATUS DA ETAPA]],"")</f>
        <v/>
      </c>
      <c r="CD846" s="21" t="str">
        <f>IF([1]!BANCO10[[#This Row],[SOLUÇÃO]]=CD$1,[1]!BANCO10[[#This Row],[STATUS DA ETAPA]],"")</f>
        <v/>
      </c>
      <c r="CE846" s="21" t="str">
        <f>IF([1]!BANCO10[[#This Row],[SOLUÇÃO]]=CE$1,[1]!BANCO10[[#This Row],[STATUS DA ETAPA]],"")</f>
        <v/>
      </c>
      <c r="CF846" s="21" t="str">
        <f>IF([1]!BANCO10[[#This Row],[SOLUÇÃO]]=CF$1,[1]!BANCO10[[#This Row],[STATUS DA ETAPA]],"")</f>
        <v/>
      </c>
      <c r="CG846" s="21" t="str">
        <f>IF([1]!BANCO10[[#This Row],[SOLUÇÃO]]=CG$1,[1]!BANCO10[[#This Row],[STATUS DA ETAPA]],"")</f>
        <v/>
      </c>
      <c r="CH846" s="21" t="str">
        <f>IF([1]!BANCO10[[#This Row],[SOLUÇÃO]]=CH$1,[1]!BANCO10[[#This Row],[STATUS DA ETAPA]],"")</f>
        <v/>
      </c>
      <c r="CI846" s="21" t="str">
        <f>IF([1]!BANCO10[[#This Row],[SOLUÇÃO]]=CI$1,[1]!BANCO10[[#This Row],[STATUS DA ETAPA]],"")</f>
        <v/>
      </c>
      <c r="CJ846" s="21" t="str">
        <f>IF([1]!BANCO10[[#This Row],[SOLUÇÃO]]=CJ$1,[1]!BANCO10[[#This Row],[STATUS DA ETAPA]],"")</f>
        <v/>
      </c>
      <c r="CK846" s="21" t="str">
        <f>IF([1]!BANCO10[[#This Row],[SOLUÇÃO]]=CK$1,[1]!BANCO10[[#This Row],[STATUS DA ETAPA]],"")</f>
        <v/>
      </c>
      <c r="CL846" s="21" t="str">
        <f>IF([1]!BANCO10[[#This Row],[SOLUÇÃO]]=CL$1,[1]!BANCO10[[#This Row],[STATUS DA ETAPA]],"")</f>
        <v/>
      </c>
      <c r="CM846" s="21" t="str">
        <f>IF([1]!BANCO10[[#This Row],[SOLUÇÃO]]=CM$1,[1]!BANCO10[[#This Row],[STATUS DA ETAPA]],"")</f>
        <v/>
      </c>
      <c r="CN846" s="21" t="str">
        <f>IF([1]!BANCO10[[#This Row],[SOLUÇÃO]]=CN$1,[1]!BANCO10[[#This Row],[STATUS DA ETAPA]],"")</f>
        <v/>
      </c>
      <c r="CO846" s="21" t="str">
        <f>IF([1]!BANCO10[[#This Row],[SOLUÇÃO]]=CO$1,[1]!BANCO10[[#This Row],[STATUS DA ETAPA]],"")</f>
        <v/>
      </c>
      <c r="CP846" s="21" t="str">
        <f>IF([1]!BANCO10[[#This Row],[SOLUÇÃO]]=CP$1,[1]!BANCO10[[#This Row],[STATUS DA ETAPA]],"")</f>
        <v/>
      </c>
      <c r="CQ846" s="21" t="str">
        <f>IF([1]!BANCO10[[#This Row],[SOLUÇÃO]]=CQ$1,[1]!BANCO10[[#This Row],[STATUS DA ETAPA]],"")</f>
        <v/>
      </c>
      <c r="CR846" s="21" t="str">
        <f>IF([1]!BANCO10[[#This Row],[SOLUÇÃO]]=CR$1,[1]!BANCO10[[#This Row],[STATUS DA ETAPA]],"")</f>
        <v/>
      </c>
      <c r="CS846" s="21" t="str">
        <f>IF([1]!BANCO10[[#This Row],[SOLUÇÃO]]=CS$1,[1]!BANCO10[[#This Row],[STATUS DA ETAPA]],"")</f>
        <v/>
      </c>
      <c r="CT846" s="21" t="str">
        <f>IF([1]!BANCO10[[#This Row],[SOLUÇÃO]]=CT$1,[1]!BANCO10[[#This Row],[STATUS DA ETAPA]],"")</f>
        <v/>
      </c>
      <c r="CU846" s="21" t="str">
        <f>IF([1]!BANCO10[[#This Row],[SOLUÇÃO]]=CU$1,[1]!BANCO10[[#This Row],[STATUS DA ETAPA]],"")</f>
        <v/>
      </c>
      <c r="CV846" s="21" t="str">
        <f>IF([1]!BANCO10[[#This Row],[SOLUÇÃO]]=CV$1,[1]!BANCO10[[#This Row],[STATUS DA ETAPA]],"")</f>
        <v/>
      </c>
    </row>
    <row r="847" spans="1:100">
      <c r="A847" s="19"/>
      <c r="B847" s="20"/>
      <c r="C847" s="19"/>
      <c r="D847" s="20"/>
      <c r="E847" s="19"/>
      <c r="F847" s="20"/>
      <c r="G847" s="19"/>
      <c r="H847" s="20"/>
      <c r="I847" s="19"/>
      <c r="J847" s="19"/>
      <c r="K847" s="19"/>
      <c r="L847" s="19"/>
      <c r="M847" s="19"/>
      <c r="N847" s="19"/>
      <c r="O847" s="19"/>
      <c r="P847" s="19"/>
      <c r="Q847" s="19"/>
      <c r="R847" s="19"/>
    </row>
    <row r="848" spans="1:100">
      <c r="A848" s="19"/>
      <c r="B848" s="20"/>
      <c r="C848" s="19"/>
      <c r="D848" s="20"/>
      <c r="E848" s="19"/>
      <c r="F848" s="20"/>
      <c r="G848" s="19"/>
      <c r="H848" s="20"/>
      <c r="I848" s="19"/>
      <c r="J848" s="19"/>
      <c r="K848" s="19"/>
      <c r="L848" s="19"/>
      <c r="M848" s="19"/>
      <c r="N848" s="19"/>
      <c r="O848" s="19"/>
      <c r="P848" s="19"/>
      <c r="Q848" s="19"/>
      <c r="R848" s="19"/>
    </row>
    <row r="849" spans="1:18">
      <c r="A849" s="19"/>
      <c r="B849" s="20"/>
      <c r="C849" s="19"/>
      <c r="D849" s="20"/>
      <c r="E849" s="19"/>
      <c r="F849" s="20"/>
      <c r="G849" s="19"/>
      <c r="H849" s="20"/>
      <c r="I849" s="19"/>
      <c r="J849" s="19"/>
      <c r="K849" s="19"/>
      <c r="L849" s="19"/>
      <c r="M849" s="19"/>
      <c r="N849" s="19"/>
      <c r="O849" s="19"/>
      <c r="P849" s="19"/>
      <c r="Q849" s="19"/>
      <c r="R849" s="19"/>
    </row>
    <row r="850" spans="1:18">
      <c r="A850" s="19"/>
      <c r="B850" s="20"/>
      <c r="C850" s="19"/>
      <c r="D850" s="20"/>
      <c r="E850" s="19"/>
      <c r="F850" s="20"/>
      <c r="G850" s="19"/>
      <c r="H850" s="20"/>
      <c r="I850" s="19"/>
      <c r="J850" s="19"/>
      <c r="K850" s="19"/>
      <c r="L850" s="19"/>
      <c r="M850" s="19"/>
      <c r="N850" s="19"/>
      <c r="O850" s="19"/>
      <c r="P850" s="19"/>
      <c r="Q850" s="19"/>
      <c r="R850" s="19"/>
    </row>
  </sheetData>
  <conditionalFormatting sqref="AE12 AU527:AU610 T847:AB1048576 AE847:AF1048576 AL847:BA1048576">
    <cfRule type="expression" dxfId="188" priority="61">
      <formula>AND($H12="T0")</formula>
    </cfRule>
  </conditionalFormatting>
  <conditionalFormatting sqref="AE54">
    <cfRule type="expression" dxfId="187" priority="27">
      <formula>AND($H54="T0")</formula>
    </cfRule>
  </conditionalFormatting>
  <conditionalFormatting sqref="AE115 AE122 AE126 AE133 AE212 AE237 AE254">
    <cfRule type="expression" dxfId="186" priority="153">
      <formula>AND($H115="T0")</formula>
    </cfRule>
  </conditionalFormatting>
  <conditionalFormatting sqref="AE333 AE429 AE444">
    <cfRule type="expression" dxfId="185" priority="175">
      <formula>AND($H333="T0")</formula>
    </cfRule>
  </conditionalFormatting>
  <conditionalFormatting sqref="AE393:AE395 AE430:AF430 AE493:AF493 AE501:AF501 AE516:AF517">
    <cfRule type="expression" dxfId="184" priority="166">
      <formula>AND($H393="T0")</formula>
    </cfRule>
  </conditionalFormatting>
  <conditionalFormatting sqref="AE470">
    <cfRule type="expression" dxfId="183" priority="26">
      <formula>AND($H470="T0")</formula>
    </cfRule>
  </conditionalFormatting>
  <conditionalFormatting sqref="AE839">
    <cfRule type="expression" dxfId="182" priority="189">
      <formula>AND($H838="T0")</formula>
    </cfRule>
  </conditionalFormatting>
  <conditionalFormatting sqref="AE840:AE844">
    <cfRule type="expression" dxfId="181" priority="19">
      <formula>AND($H840="T0")</formula>
    </cfRule>
  </conditionalFormatting>
  <conditionalFormatting sqref="AE42:AF44 AE46:AF53 AE55:AF57 AE62:AF63 AE68:AF69 AE72:AF72 AE74:AF74 AE76:AF76 AE83:AF83 AE88:AF88 AE91:AF91 AE94:AF98 AE110:AF110 AE112:AF114 AE142:AF146 AE150:AF159 AE161:AF167 AE175:AF178 AE180:AF180 AE182:AF188 AE190:AF190 AE193:AF197 AE203:AF211 AE214:AF223 AE225:AF234 AE238:AF239 AE273:AF279 AE282:AF283 AE286:AF290 AE295:AF296 AE298:AF299 AE301:AF305 AE315:AF315 AE319:AF319 AE340:AF340 AE342:AF342 AE344:AF345 AE349:AF349 AE351:AF352 AE358:AF360 AE372:AF373 AE375:AF375 AE388:AF390 AE411:AF415 AE421:AF423 AE434:AF436 AE438:AF439 AE441:AF443 AE453:AF454 AE465:AF465 AF470 AE471:AF471 AE473:AF474 AE476:AF478 AE505:AF505 AE507:AF511 AE520:AF525 AE545:AF548 AE555:AF555 AE560:AF564 AE573:AF576 AE584:AF584 AE586:AF587 AE590:AF591 AE599:AF602 AE650:AF661 AE663:AF671 AE673:AF755 AE773:AF773 AE776:AF776">
    <cfRule type="expression" dxfId="180" priority="79">
      <formula>AND($H42="T0")</formula>
    </cfRule>
  </conditionalFormatting>
  <conditionalFormatting sqref="AE59:AF59 AE330:AF330 AE337:AF338 AE385:AF386 AE397 AE427:AF428 AE462:AF463 AE662">
    <cfRule type="expression" dxfId="179" priority="104">
      <formula>AND($H59="T0")</formula>
    </cfRule>
  </conditionalFormatting>
  <conditionalFormatting sqref="AE103:AF108 AE760:AF763 AE766:AF766 AE787:AF787 AE793:AF793">
    <cfRule type="expression" dxfId="178" priority="76">
      <formula>AND($H103="T0")</formula>
    </cfRule>
  </conditionalFormatting>
  <conditionalFormatting sqref="AE132:AF132 AE134:AF135 AE309:AF309 AE313:AF313 AE480:AF480">
    <cfRule type="expression" dxfId="177" priority="167">
      <formula>AND($H132="T0")</formula>
    </cfRule>
  </conditionalFormatting>
  <conditionalFormatting sqref="AE169:AF173 AE255:AF258 AE398:AF407 AE489:AF489 AE566:AF570 AE612:AF648 AE795:AF795">
    <cfRule type="expression" dxfId="176" priority="23">
      <formula>AND($H169="T0")</formula>
    </cfRule>
  </conditionalFormatting>
  <conditionalFormatting sqref="AE325:AF325 AE334:AF334 AE356:AF356">
    <cfRule type="expression" dxfId="175" priority="115">
      <formula>AND($H325="T0")</formula>
    </cfRule>
  </conditionalFormatting>
  <conditionalFormatting sqref="AE370:AF370 AL837:BA838 AL839:AQ839 AX839 AZ839 T843:AB844 AN843:AQ844 AU843:AU844 AW843:AW844">
    <cfRule type="expression" dxfId="174" priority="155">
      <formula>AND($H370="T0")</formula>
    </cfRule>
  </conditionalFormatting>
  <conditionalFormatting sqref="AE383:AF383 AE417:AF417 AE445:AF446 AE483:AF483 AE486:AF486">
    <cfRule type="expression" dxfId="173" priority="150">
      <formula>AND($H383="T0")</formula>
    </cfRule>
  </conditionalFormatting>
  <conditionalFormatting sqref="AE527:AF527 AE529:AF529 AE531:AF531 AE535:AF535 AE537:AF537 AE539:AF539 AE541:AF541 AE543:AF543 AE550:AF551 AE553:AF553 AE558:AF558 AE580:AF580 AE582:AF582 AE593:AF593 AE597:AF597 AE610:AF610">
    <cfRule type="expression" dxfId="172" priority="141">
      <formula>AND($H527="T0")</formula>
    </cfRule>
  </conditionalFormatting>
  <conditionalFormatting sqref="AE533:AF533 AE604:AF605">
    <cfRule type="expression" dxfId="171" priority="118">
      <formula>AND($H533="T0")</formula>
    </cfRule>
  </conditionalFormatting>
  <conditionalFormatting sqref="AE769:AF771 AG775">
    <cfRule type="expression" dxfId="170" priority="90">
      <formula>AND($H769="T0")</formula>
    </cfRule>
  </conditionalFormatting>
  <conditionalFormatting sqref="AE803:AF837">
    <cfRule type="expression" dxfId="169" priority="58">
      <formula>AND($H803="T0")</formula>
    </cfRule>
  </conditionalFormatting>
  <conditionalFormatting sqref="AE845:AF846">
    <cfRule type="expression" dxfId="168" priority="8">
      <formula>AND($H845="T0")</formula>
    </cfRule>
  </conditionalFormatting>
  <conditionalFormatting sqref="AE609:AG609 CV41 AS165 CV179 AC608:AD608 AR613:BA614 AR615:AU615 AW615:BA616 AU616 AT617:BA617 AW618:BA618 AR620:BA620 AU621 AW621:BA621 AR622:BA622 AU623 AW623:BA623 AR624:BA624 AU625 AW625 BA625 AU627 AW627:BA627 AT628:BA628 AW629:BA629 AY631:BA631 AY633:BA633 BA634 AT636:AW636 AY636:BA636 AY640 BA640 BA642 AY644 BA644 AR645:BA645 BA646 AE649:AG649 BA652 AE672 AR675:AU675 AY675:BA675 AR677:AU677 AY677:BA677 AR679:AU679 AY679:BA679 AR681:AU681 AY681:BA681 AR683:AU683 AY683:BA683 AR685:AU686 AY685:BA686 AR688:AU689 AY688:BA689 AR691:AU691 AY691:BA691 AR693:AU696 AY693:BA696 AR698:AU698 AY698:BA698 AR700:AU750 AY700:BA750 BD701:BJ701 AT756:AU756 AY756:BA759 AR757:AU759 AR762:AU762 AY762:BA762 AT764:AU764 AY764:BA768 AR765:AU768 AR772:AU772 AY772:BA772 AR774:AU775 AY774:BA775 AR777:AU794 AY777:BA802 AS795:AU795 AR796:AU803 AR805:AU805 AY805:BA805 AR808:AU808 AY808:BA808 AR816:AU817 AY816:BA818 AY820:BA821 AY823:BA823 AR828:AU828 AY828:BA830 AR830:AU830 AR835:AU835 AY835:BA835">
    <cfRule type="expression" dxfId="167" priority="172">
      <formula>AND($H41="T0")</formula>
    </cfRule>
  </conditionalFormatting>
  <conditionalFormatting sqref="AF115 AF122 AF126 AF133 AF212 AF237 AF254">
    <cfRule type="expression" dxfId="166" priority="152">
      <formula>AND($H115="T0")</formula>
    </cfRule>
  </conditionalFormatting>
  <conditionalFormatting sqref="AF147 AF198 AF246 AF285 BB302:BB305 BD302:BG324 BD326:BG333 BD335:BG355 AF339 BD357:BG387 AG370 BB370 BD389:BG406 BD408:BG422 BD425:BG427 BD429:BG458 AF432 BD460:BG554 AF503 BB504:BB505 AG517:AG518 AF518:AF519 BC551 BD556:BG568 BC562:BC564 BD570:BG586 BD588:BG601 BL796:BL839 BL846:BL1048576">
    <cfRule type="cellIs" dxfId="165" priority="177" operator="equal">
      <formula>"NA"</formula>
    </cfRule>
  </conditionalFormatting>
  <conditionalFormatting sqref="AF333 AF429 AF444">
    <cfRule type="expression" dxfId="164" priority="174">
      <formula>AND($H333="T0")</formula>
    </cfRule>
  </conditionalFormatting>
  <conditionalFormatting sqref="AF662 AF672">
    <cfRule type="expression" dxfId="163" priority="95">
      <formula>AND($H662="T0")</formula>
    </cfRule>
  </conditionalFormatting>
  <conditionalFormatting sqref="AF838:AF839">
    <cfRule type="expression" dxfId="162" priority="22">
      <formula>AND($H838="T0")</formula>
    </cfRule>
  </conditionalFormatting>
  <conditionalFormatting sqref="AG42:AG44 AG46:AG53 AG55:AG57 AG62:AG63 AG69 AG72 AG74 AG76 AG83 AG88 AG91 AG94:AG96 AG106:AG107 AG113:AG114 AG142 AG146 AG151:AG153 AG156:AG159 AG164:AG167 AG175:AG177 AG182 AG184:AG186 AG190 AG194:AG196 AG207 AG214 AG216:AG217 AG228:AG234 AG239 AG275 AG282 AG286:AG288 AG295 AG299 AG302:AG304 AG315 AG319 AG338:AG342 AG344:AG346 AG351:AG352 AG357:AG360 AG372:AG373 AG375 AG388:AG392 AG398 AG400:AG403 AG405:AG406 AG411:AG415 AG421:AG423 AG432:AG436 AG438:AG439 AG441:AG443 AG453:AG454 AG465 AG469:AG471 AG473:AG474 AG476:AG479 AG505 AG509:AG511 AG521:AG525 AG547:AG548 AG555 AG562 AG574:AG577 AG586:AG590 AG600 AG615:AG619 AG631:AG644 AG646:AG647 AG650:AG653 AG655:AG661 AG663:AG664 AG667:AG671 AG673:AG678 AG682:AG684 AG686:AG687 AG689:AG692 AG694:AG700 AG749:AG755 AG760:AG763 AG769:AG771 AG773 AG776 AG803:AG804 AG831:AG833">
    <cfRule type="cellIs" dxfId="161" priority="74" operator="equal">
      <formula>"NA"</formula>
    </cfRule>
  </conditionalFormatting>
  <conditionalFormatting sqref="AG59 AG68 AG137 AG143 AG150 AG161:AG162 AG170 AG218 AG289 AG330 AG337 AG385 AG397 AG427 AG462 AG507:AG508 AG560 AG572:AG573 AG601 AG621 AG623 AG625 AG648 AG665 AG679 AG681 AG739">
    <cfRule type="expression" dxfId="160" priority="105">
      <formula>AND($H59="T0")</formula>
    </cfRule>
  </conditionalFormatting>
  <conditionalFormatting sqref="AG100 AG135 AG245 AG251 AG258 AG276">
    <cfRule type="expression" dxfId="159" priority="180">
      <formula>AND($H100="T0")</formula>
    </cfRule>
  </conditionalFormatting>
  <conditionalFormatting sqref="AG110 AG180 AG349 AG570 AG583:AG584 AG602 AG680">
    <cfRule type="cellIs" dxfId="158" priority="78" operator="equal">
      <formula>"NA"</formula>
    </cfRule>
  </conditionalFormatting>
  <conditionalFormatting sqref="AG115 AG122 AG126 AG133 AG178 AG237 AG253:AG254 AG333 AG394 AG429 AG444">
    <cfRule type="expression" dxfId="157" priority="173">
      <formula>AND($H115="T0")</formula>
    </cfRule>
  </conditionalFormatting>
  <conditionalFormatting sqref="AG154">
    <cfRule type="expression" dxfId="156" priority="181">
      <formula>AND($H154="T0")</formula>
    </cfRule>
  </conditionalFormatting>
  <conditionalFormatting sqref="AG520 AG527 AG529 AG531 AG535 AG537 AG539 AG541 AG543 AG545:AG546 AG550:AG551 AG553 AG558 AG563:AG564 AG566:AG568 AG580 AG582 AG591 AG593 AG597 AG599 AG605 AG610">
    <cfRule type="expression" dxfId="155" priority="142">
      <formula>AND($H520="T0")</formula>
    </cfRule>
  </conditionalFormatting>
  <conditionalFormatting sqref="AG565 AG579 AG581 AG592 AG594:AG596 AG598">
    <cfRule type="cellIs" dxfId="154" priority="148" operator="equal">
      <formula>"NA"</formula>
    </cfRule>
  </conditionalFormatting>
  <conditionalFormatting sqref="AG630 AG654 AG685 AG688">
    <cfRule type="expression" dxfId="153" priority="86">
      <formula>AND($H630="T0")</formula>
    </cfRule>
  </conditionalFormatting>
  <conditionalFormatting sqref="AG685 V837:AB838 AL837:AX838 V839 X839 Z839 AB839 AL839:AQ839 AX839 V843:AB844 AN843:AQ844 V847:AB1048576 AL847:AX1048576">
    <cfRule type="expression" dxfId="152" priority="112">
      <formula>AND($E685="DEMAIS")</formula>
    </cfRule>
  </conditionalFormatting>
  <conditionalFormatting sqref="AG766 AG787 AG793">
    <cfRule type="cellIs" dxfId="151" priority="75" operator="equal">
      <formula>"NA"</formula>
    </cfRule>
  </conditionalFormatting>
  <conditionalFormatting sqref="AG836">
    <cfRule type="cellIs" dxfId="150" priority="57" operator="equal">
      <formula>"NA"</formula>
    </cfRule>
  </conditionalFormatting>
  <conditionalFormatting sqref="AG845">
    <cfRule type="cellIs" dxfId="149" priority="16" operator="equal">
      <formula>"NA"</formula>
    </cfRule>
  </conditionalFormatting>
  <conditionalFormatting sqref="AG846">
    <cfRule type="expression" dxfId="148" priority="9">
      <formula>AND($H846="T0")</formula>
    </cfRule>
  </conditionalFormatting>
  <conditionalFormatting sqref="AK12:AK13 AK16:AK168 AK170:AK255 AK257:AK405 AK407:AK488 AK490:AK569 AK571:AK635 AK637:AK763 AK765:AK766 AK768:AK773 AK775:AK791 AK793:AK794 AK796:AK829">
    <cfRule type="expression" dxfId="147" priority="59">
      <formula>AND($E12="DEMAIS")</formula>
    </cfRule>
    <cfRule type="expression" dxfId="146" priority="60">
      <formula>AND($H12="T0")</formula>
    </cfRule>
  </conditionalFormatting>
  <conditionalFormatting sqref="AK834">
    <cfRule type="expression" dxfId="145" priority="24">
      <formula>AND($E834="DEMAIS")</formula>
    </cfRule>
    <cfRule type="expression" dxfId="144" priority="25">
      <formula>AND($H834="T0")</formula>
    </cfRule>
  </conditionalFormatting>
  <conditionalFormatting sqref="AK836">
    <cfRule type="expression" dxfId="143" priority="55">
      <formula>AND($E836="DEMAIS")</formula>
    </cfRule>
    <cfRule type="expression" dxfId="142" priority="56">
      <formula>AND($H836="T0")</formula>
    </cfRule>
  </conditionalFormatting>
  <conditionalFormatting sqref="AK838:AK846">
    <cfRule type="expression" dxfId="141" priority="6">
      <formula>AND($E838="DEMAIS")</formula>
    </cfRule>
    <cfRule type="expression" dxfId="140" priority="7">
      <formula>AND($H838="T0")</formula>
    </cfRule>
  </conditionalFormatting>
  <conditionalFormatting sqref="AL803">
    <cfRule type="expression" dxfId="139" priority="51">
      <formula>AND($E803="DEMAIS")</formula>
    </cfRule>
    <cfRule type="expression" dxfId="138" priority="52">
      <formula>AND($H803="T0")</formula>
    </cfRule>
  </conditionalFormatting>
  <conditionalFormatting sqref="AM803">
    <cfRule type="expression" dxfId="137" priority="49">
      <formula>AND($E803="DEMAIS")</formula>
    </cfRule>
    <cfRule type="expression" dxfId="136" priority="50">
      <formula>AND($H803="T0")</formula>
    </cfRule>
  </conditionalFormatting>
  <conditionalFormatting sqref="AR45:AS45 AR370:AS370">
    <cfRule type="expression" dxfId="135" priority="71">
      <formula>AND($H45="T0")</formula>
    </cfRule>
    <cfRule type="expression" dxfId="134" priority="72">
      <formula>AND($E45="DEMAIS")</formula>
    </cfRule>
  </conditionalFormatting>
  <conditionalFormatting sqref="AR159:AS159 AR166:AS166 AR180:AS180 AR186:AS186 AR195:AS195 AR230:AS231 AR234:AS234 AR288:AS288 AR302:AS302 AR340:AS340 AR349:AS349 AR402:AS402 AR414:AS414 AR422:AS422 AR424:AS424 AR443:AS443 AR478:AS478 AR524:AS524 AR548:AS548 AS566:AS574 AR584:AS584 AR602:AS602 AR619:AS619 AR635:AS635 AS636 AR637:AS637 AR639:AS639 AR643:AS643 AR651:AS651 AR653:AS653 AR655:AS656 AR658:AS659 AR661:AS661 AR671:AS671 AR674:AS674">
    <cfRule type="expression" dxfId="133" priority="83">
      <formula>AND($H159="T0")</formula>
    </cfRule>
  </conditionalFormatting>
  <conditionalFormatting sqref="AR159:AS159 AR166:AS166 AR180:AS180 AR186:AS186 AR195:AS195 AR230:AS231 AR234:AS234 AR288:AS288 AR302:AS302 AR340:AS340 AR349:AS349 AR402:AS402 AR414:AS414 AR422:AS422 AR424:AS424 AR443:AS443 AR478:AS478 AR524:AS524 AR548:AS548 AS570 AR584:AS584 AR602:AS602 AR619:AS619 AR635:AS635 AS636 AR637:AS637 AR639:AS639 AR643:AS643 AR651:AS651 AR653:AS653 AR655:AS656 AR658:AS659 AR661:AS661 AR671:AS671 AR674:AS674">
    <cfRule type="expression" dxfId="132" priority="84">
      <formula>AND($E159="DEMAIS")</formula>
    </cfRule>
  </conditionalFormatting>
  <conditionalFormatting sqref="AR260:AS260 AR267:AS267 AR419:AS419 AR459:AS459 AR495:AS495">
    <cfRule type="expression" dxfId="131" priority="107">
      <formula>AND($H260="T0")</formula>
    </cfRule>
    <cfRule type="expression" dxfId="130" priority="108">
      <formula>AND($E260="DEMAIS")</formula>
    </cfRule>
  </conditionalFormatting>
  <conditionalFormatting sqref="AR343:AS343">
    <cfRule type="expression" dxfId="129" priority="110">
      <formula>AND($H343="T0")</formula>
    </cfRule>
    <cfRule type="expression" dxfId="128" priority="111">
      <formula>AND($E343="DEMAIS")</formula>
    </cfRule>
  </conditionalFormatting>
  <conditionalFormatting sqref="AR433:AS433 AR435:AS435">
    <cfRule type="expression" dxfId="127" priority="96">
      <formula>AND($H433="T0")</formula>
    </cfRule>
  </conditionalFormatting>
  <conditionalFormatting sqref="AR435:AS435">
    <cfRule type="expression" dxfId="126" priority="97">
      <formula>AND($E435="DEMAIS")</formula>
    </cfRule>
  </conditionalFormatting>
  <conditionalFormatting sqref="AR632:AS632 AR641:AS641 AR647:AS647 AR667:AS669 AR676:AS676 AR678:AS678 AR680:AS680 AR682:AS682 AR684:AS684 AR687:AS687 AR692:AS692 AR697:AS697 AR699:AS699 AR769:AS771 AR773:AS773 AR776:AS776">
    <cfRule type="expression" dxfId="125" priority="40">
      <formula>AND($H632="T0")</formula>
    </cfRule>
    <cfRule type="expression" dxfId="124" priority="41">
      <formula>AND($E632="DEMAIS")</formula>
    </cfRule>
  </conditionalFormatting>
  <conditionalFormatting sqref="AR664:AS664">
    <cfRule type="expression" dxfId="123" priority="121">
      <formula>AND($H664="T0")</formula>
    </cfRule>
    <cfRule type="expression" dxfId="122" priority="122">
      <formula>AND($E664="DEMAIS")</formula>
    </cfRule>
  </conditionalFormatting>
  <conditionalFormatting sqref="AR822:AS822">
    <cfRule type="expression" dxfId="121" priority="35">
      <formula>AND($H822="T0")</formula>
    </cfRule>
    <cfRule type="expression" dxfId="120" priority="36">
      <formula>AND($E822="DEMAIS")</formula>
    </cfRule>
  </conditionalFormatting>
  <conditionalFormatting sqref="AR845:AS845">
    <cfRule type="expression" dxfId="119" priority="14">
      <formula>AND($H845="T0")</formula>
    </cfRule>
    <cfRule type="expression" dxfId="118" priority="15">
      <formula>AND($E845="DEMAIS")</formula>
    </cfRule>
  </conditionalFormatting>
  <conditionalFormatting sqref="AS28 AS34:AS35">
    <cfRule type="expression" dxfId="117" priority="85">
      <formula>AND($H28="T0")</formula>
    </cfRule>
  </conditionalFormatting>
  <conditionalFormatting sqref="AS48 AS59 AS68 AS137:AS138 AS142:AS144 AS150:AS151 AS161:AS162 AS170:AS171 AS215:AS216 AS218:AS219 AS324:AS330 AS336:AS337 AS358:AS359 AS374:AS382 AS384:AS387 AS425:AS427 AS460:AS463 AS506:AS508 AS560:AS564 AS599:AS601 AS603:AS605 AS616:AS618 AS621 AS623 AS625:AS631 AS638 AS640 AS642 AS646 AS654 AS657 AS662:AS663 AS665:AS666 AS672:AS673">
    <cfRule type="expression" dxfId="116" priority="103">
      <formula>AND($H48="T0")</formula>
    </cfRule>
  </conditionalFormatting>
  <conditionalFormatting sqref="AS100">
    <cfRule type="expression" dxfId="115" priority="158">
      <formula>AND($H100="T0")</formula>
    </cfRule>
  </conditionalFormatting>
  <conditionalFormatting sqref="AS294">
    <cfRule type="expression" dxfId="114" priority="159">
      <formula>AND($H294="T0")</formula>
    </cfRule>
  </conditionalFormatting>
  <conditionalFormatting sqref="AS306:AS308 AS310 AR311:AS312 AS314 AS317:AS322 AS332 AS339 AS341:AS342 AS344 AS347 AS351:AS352 AR357:AS357 AS364:AS369 AS371:AS372 AS409:AS411 AS413 AS416 AS418 AS420:AS421 AS432 AS440:AS442 AS448:AS452 AS454 AS456:AS458 AR464:AS464 AS465 AS467:AS472 AS475:AS476 AS479 AS481:AS482 AS484:AS485 AS487:AS489 AR490:AS490 AS491:AS492 AS496 AS498:AS499 AS503 AS512:AS514 AS518">
    <cfRule type="expression" dxfId="113" priority="176">
      <formula>AND($H306="T0")</formula>
    </cfRule>
  </conditionalFormatting>
  <conditionalFormatting sqref="AS391:AS397 AS399">
    <cfRule type="expression" dxfId="112" priority="73">
      <formula>AND($H391="T0")</formula>
    </cfRule>
  </conditionalFormatting>
  <conditionalFormatting sqref="AS401 AS403">
    <cfRule type="expression" dxfId="111" priority="149">
      <formula>AND($H401="T0")</formula>
    </cfRule>
  </conditionalFormatting>
  <conditionalFormatting sqref="AS520:AS521 AS523 AS527 AS529 AS531 AS535 AS537 AS539 AS541 AS543 AS553 AS558 AS580 AS582 AS593 AS597 AS607:AS612">
    <cfRule type="expression" dxfId="110" priority="143">
      <formula>AND($H520="T0")</formula>
    </cfRule>
  </conditionalFormatting>
  <conditionalFormatting sqref="AS545:AS546 AS550">
    <cfRule type="expression" dxfId="109" priority="146">
      <formula>AND($H545="T0")</formula>
    </cfRule>
  </conditionalFormatting>
  <conditionalFormatting sqref="AS633:AS634 AS644">
    <cfRule type="expression" dxfId="108" priority="94">
      <formula>AND($H633="T0")</formula>
    </cfRule>
  </conditionalFormatting>
  <conditionalFormatting sqref="AS648:AS650">
    <cfRule type="expression" dxfId="107" priority="77">
      <formula>AND($H648="T0")</formula>
    </cfRule>
  </conditionalFormatting>
  <conditionalFormatting sqref="AS652">
    <cfRule type="expression" dxfId="106" priority="101">
      <formula>AND($H652="T0")</formula>
    </cfRule>
  </conditionalFormatting>
  <conditionalFormatting sqref="AS810 AS812:AS814 AS826:AS827 AS831:AS834">
    <cfRule type="expression" dxfId="105" priority="66">
      <formula>AND($H810="T0")</formula>
    </cfRule>
  </conditionalFormatting>
  <conditionalFormatting sqref="AS846">
    <cfRule type="expression" dxfId="104" priority="5">
      <formula>AND($H846="T0")</formula>
    </cfRule>
  </conditionalFormatting>
  <conditionalFormatting sqref="AT48 AT810 AT812:AT814 AT826:AT827 AT831:AT834">
    <cfRule type="expression" dxfId="103" priority="67">
      <formula>AND($H48="T0")</formula>
    </cfRule>
    <cfRule type="expression" dxfId="102" priority="68">
      <formula>AND($E48="DEMAIS")</formula>
    </cfRule>
  </conditionalFormatting>
  <conditionalFormatting sqref="AT153">
    <cfRule type="expression" dxfId="101" priority="47">
      <formula>AND($H153="T0")</formula>
    </cfRule>
    <cfRule type="expression" dxfId="100" priority="48">
      <formula>AND($E153="DEMAIS")</formula>
    </cfRule>
  </conditionalFormatting>
  <conditionalFormatting sqref="AT159 AT166 AT180 AT186 AT195 AT230:AT231 AT234 AT288 AT302 AT340 AT349 AT370 AT402 AT414 AT422 AT443 AT478 AT524 AT548 AT570 AT584 AT602 AT619 AT632 AT635 AT637 AT639 AT641 AT643 AT647 AT651 AT653 AT656 AT658:AT659 AT661 AT668 AT671 AT674 AT676 AT678 AT680 AT682 AT684 AT687 AT690 AT692 AT697 AT699 AT769:AT771 AT773 AT776">
    <cfRule type="expression" dxfId="99" priority="43">
      <formula>AND($H159="T0")</formula>
    </cfRule>
    <cfRule type="expression" dxfId="98" priority="44">
      <formula>AND($E159="DEMAIS")</formula>
    </cfRule>
  </conditionalFormatting>
  <conditionalFormatting sqref="AT822">
    <cfRule type="expression" dxfId="97" priority="29">
      <formula>AND($H822="T0")</formula>
    </cfRule>
    <cfRule type="expression" dxfId="96" priority="30">
      <formula>AND($E822="DEMAIS")</formula>
    </cfRule>
  </conditionalFormatting>
  <conditionalFormatting sqref="AT626:AX626 AT628:AX628 AT636:AW636 AT655:AW655 AT664:AX664 AT669:AX669">
    <cfRule type="expression" dxfId="95" priority="120">
      <formula>AND($E626="DEMAIS")</formula>
    </cfRule>
  </conditionalFormatting>
  <conditionalFormatting sqref="AT626:BA626 AZ638:BA638 AT655:AW655 AY655:BA655 AT664:BA664 AT669:BA669">
    <cfRule type="expression" dxfId="94" priority="119">
      <formula>AND($H626="T0")</formula>
    </cfRule>
  </conditionalFormatting>
  <conditionalFormatting sqref="AU2:AU4 AW2:AW4 BA2:BA4 AE2:AF11 AS2:AS21 AY2:AY152 BA6:BA152 AF12 AE13:AF40 AS40:AS42 AG41 AE799:AF800 AU809:AU815 AY809:AY815 BA809:BA815 AU831:AU834 AY831:AY834 BA831:BA834">
    <cfRule type="expression" dxfId="93" priority="171">
      <formula>AND($H2="T0")</formula>
    </cfRule>
  </conditionalFormatting>
  <conditionalFormatting sqref="AU6:AU9 AW6:AW9 AE100:AF101 AG103 AE116:AF119 AE121:AF121 AE123:AF125 AE129:AF130 AE137:AF138 AE140:AF140 AE147 AE148:AF148 AY154:AY158 BA154:BA158 AY160:AY165 BA160:BA165 AY167:AY179 BA167:BA179 AE174 AY181:AY185 BA181:BA185 AY187:AY194 BA187:BA194 AE189 AY196:AY208 BA196:BA208 AE198 AE200:AF200 AE236:AF236 AE242:AF242 AE243 AE244:AF245 AE246 AE249:AF249 AE250:AE251 AE252:AF253 AE263:AF263 AE265:AF266 AE269:AF270 AE285 AE293:AF293 AE294 AC305:AD305 AC309:AD309 AC311:AD312 AC316 AC320:AD322 AC323 AC324:AD324 AC327:AD327 AC330:AD330 AC332:AD332 AC336:AD338 AC341:AD341 AC350:AD350 AC353 AC354:AD355 AC357:AD357 AC360:AD360 AC364:AD364 AC366:AD368 AC376:AD383 AC387:AD387 AC392:AD393 AC396:AD397 AC408:AD408 AC415:AD417 AC420:AD421 AC425:AD426 AC431:AD431 AC433:AD433 AC440:AD440 AC445:AD445 AC451:AD453 AC456:AD457 AC460:AD462 AC467:AD468 AC469 AC475:AD475 AC483:AD483 AC485:AD488 AC491:AD491 AC497:AD500 AC503:AD503 AY504:AY505 BA504:BA505 AC506:AD508 AC511:AD512 AC514:AD514 AC517:AD517 AC519:AD519 AC530:AD530 AC532:AD532 AC534:AD534 AC542:AD542 AC552:AD552 AC556:AD557 AC565:AD565 AC572:AF572 AC579:AD579 AC583:AD583 AC588:AD589 AC594:AD595 AE798:AG798">
    <cfRule type="expression" dxfId="92" priority="179">
      <formula>AND($H6="T0")</formula>
    </cfRule>
  </conditionalFormatting>
  <conditionalFormatting sqref="AU11:AU302 AW11:AW302 AU305:AU314 AW305:AW314 AU316:AU318 AW316:AW318 AU320 AW320 AU324:AU341 AW324:AW341 AU343 AW343 AU346:AU350 AW346:AW350 AU353:AU357 AW353:AW357 AU361:AU368 AW361:AW368">
    <cfRule type="expression" dxfId="91" priority="28">
      <formula>AND($H11="T0")</formula>
    </cfRule>
  </conditionalFormatting>
  <conditionalFormatting sqref="AU303:AU304 AU315 AU319 AU321:AU323 AU342 AU344:AU345 AU351:AU352 AU358:AU360 AU369 AU371:AU372 AU374:AU385 AU387 AU389:AU390 AU398 AU400:AU401 AU403:AU404 AU406 AU409:AU413 AU415:AU421 AU423:AU427 AU430 AU432:AU434 AU436:AU442 AU445:AU462 AU465 AU467:AU472 AU475:AU476 AU479 AU481:AU496 AU498:AU499 AU501 AU503">
    <cfRule type="cellIs" dxfId="90" priority="133" operator="equal">
      <formula>"NA"</formula>
    </cfRule>
  </conditionalFormatting>
  <conditionalFormatting sqref="AU370 AW370 AU402 AW402 AU414 AW414 AU422 AW422 AU443:AU444 AW443:AW444 AU477:AU478 AW477:AW478 AU519:AU524 AW519:AW524 AW526:AW610 AU618:AU619 AW619 AU629:AU635 AW630:AW635 AU637:AU644 AW637:AW644 AU646:AU651 AW646:AW651 AU653:AU654 AW653:AW654 AU656:AU659 AW656:AW659 AU661:AU663 AW661:AW663 AU668 AW668 AU671:AU674 AU676 AU678 AU680 AU682 AU684 AU687 AU690 AU692 AU697 AU699 AU769:AU771 AU773 AU776">
    <cfRule type="expression" dxfId="89" priority="42">
      <formula>AND($H370="T0")</formula>
    </cfRule>
  </conditionalFormatting>
  <conditionalFormatting sqref="AU373 AW373 AY373 BA373">
    <cfRule type="expression" dxfId="88" priority="116">
      <formula>AND($H373="T0")</formula>
    </cfRule>
  </conditionalFormatting>
  <conditionalFormatting sqref="AU388 AW388">
    <cfRule type="expression" dxfId="87" priority="114">
      <formula>AND($H388="T0")</formula>
    </cfRule>
  </conditionalFormatting>
  <conditionalFormatting sqref="AU405 AW405">
    <cfRule type="expression" dxfId="86" priority="89">
      <formula>AND($H405="T0")</formula>
    </cfRule>
  </conditionalFormatting>
  <conditionalFormatting sqref="AU431 AU435 AU466 AU480 AU497 AU500 AU502 AU515:AU516">
    <cfRule type="expression" dxfId="85" priority="129">
      <formula>AND($H431="T0")</formula>
    </cfRule>
  </conditionalFormatting>
  <conditionalFormatting sqref="AU473:AU474">
    <cfRule type="expression" dxfId="84" priority="132">
      <formula>AND($H473="T0")</formula>
    </cfRule>
  </conditionalFormatting>
  <conditionalFormatting sqref="AU504:AU505">
    <cfRule type="expression" dxfId="83" priority="131">
      <formula>AND($H504="T0")</formula>
    </cfRule>
  </conditionalFormatting>
  <conditionalFormatting sqref="AU506:AU508 AU510:AU514 AU517:AU518">
    <cfRule type="cellIs" dxfId="82" priority="130" operator="equal">
      <formula>"NA"</formula>
    </cfRule>
  </conditionalFormatting>
  <conditionalFormatting sqref="AU611">
    <cfRule type="cellIs" dxfId="81" priority="128" operator="equal">
      <formula>"NA"</formula>
    </cfRule>
  </conditionalFormatting>
  <conditionalFormatting sqref="AU612">
    <cfRule type="expression" dxfId="80" priority="127">
      <formula>AND($H612="T0")</formula>
    </cfRule>
  </conditionalFormatting>
  <conditionalFormatting sqref="AU665:AU666">
    <cfRule type="expression" dxfId="79" priority="70">
      <formula>AND($H665="T0")</formula>
    </cfRule>
  </conditionalFormatting>
  <conditionalFormatting sqref="AU751:AU755 AY751:AY755 BA751:BA755 AU760:AU761 AY760:AY761 BA760:BA761 AU763 AY763 BA763 AY803:AY804 BA803:BA804 AU804 AU806:AU807 AY806:AY807 BA806:BA807 AY819 BA819 AY824:AY827 BA824:BA827">
    <cfRule type="expression" dxfId="78" priority="63">
      <formula>AND($H751="T0")</formula>
    </cfRule>
  </conditionalFormatting>
  <conditionalFormatting sqref="AU824:AU825 AU842">
    <cfRule type="cellIs" dxfId="77" priority="12" operator="equal">
      <formula>"NA"</formula>
    </cfRule>
  </conditionalFormatting>
  <conditionalFormatting sqref="AU829">
    <cfRule type="expression" dxfId="76" priority="62">
      <formula>AND($H829="T0")</formula>
    </cfRule>
  </conditionalFormatting>
  <conditionalFormatting sqref="AU836">
    <cfRule type="expression" dxfId="75" priority="54">
      <formula>AND($H836="T0")</formula>
    </cfRule>
  </conditionalFormatting>
  <conditionalFormatting sqref="AU839:AU841 AW839:AW841">
    <cfRule type="expression" dxfId="74" priority="20">
      <formula>AND($H839="T0")</formula>
    </cfRule>
  </conditionalFormatting>
  <conditionalFormatting sqref="AU846 AW846">
    <cfRule type="expression" dxfId="73" priority="3">
      <formula>AND($H846="T0")</formula>
    </cfRule>
  </conditionalFormatting>
  <conditionalFormatting sqref="AV48 AV810 AV812:AV814 AV826:AV827 AV831:AV834">
    <cfRule type="expression" dxfId="72" priority="64">
      <formula>AND($H48="T0")</formula>
    </cfRule>
    <cfRule type="expression" dxfId="71" priority="65">
      <formula>AND($E48="DEMAIS")</formula>
    </cfRule>
  </conditionalFormatting>
  <conditionalFormatting sqref="AV159 AV166 AV180 AV186 AV195 AV230:AV231 AV234 AV288 AV302 AV340 AV349 AV370 AV402 AV414 AV422 AV443 AV478 AV524 AV548 AV570 AV584 AV602 AV619 AV632 AV635 AV637 AV639 AV641 AV643 AV647 AV651 AV653 AV656 AV658:AV659 AV661 AV668 AV671 AV674 AV676 AV678 AV680 AV682 AV684 AV687 AV692 AV697 AV699 AV769:AV771 AV773 AV776">
    <cfRule type="expression" dxfId="70" priority="45">
      <formula>AND($H159="T0")</formula>
    </cfRule>
    <cfRule type="expression" dxfId="69" priority="46">
      <formula>AND($E159="DEMAIS")</formula>
    </cfRule>
  </conditionalFormatting>
  <conditionalFormatting sqref="AV822">
    <cfRule type="expression" dxfId="68" priority="31">
      <formula>AND($H822="T0")</formula>
    </cfRule>
    <cfRule type="expression" dxfId="67" priority="32">
      <formula>AND($E822="DEMAIS")</formula>
    </cfRule>
  </conditionalFormatting>
  <conditionalFormatting sqref="AW303:AW304 AW315 AW319 AW321:AW323 AW342 AW344:AW345 AW351:AW352 AW358:AW360 AW369 AW371:AW372 AW374:AW385 AW387 AW389:AW390 AW392 AW395:AW398 AW400:AW401 AW403:AW404 AW406 AW409:AW413 AW415:AW421 AW423:AW427 AW430 AW432:AW434 AW436:AW442 AW445:AW462 AW465 AW467:AW472 AW475:AW476 AW479 AW481:AW496 AW498:AW499 AW501 AW503">
    <cfRule type="cellIs" dxfId="66" priority="140" operator="equal">
      <formula>"NA"</formula>
    </cfRule>
  </conditionalFormatting>
  <conditionalFormatting sqref="AW391 AY391 AU391:AU397">
    <cfRule type="expression" dxfId="65" priority="87">
      <formula>AND($H391="T0")</formula>
    </cfRule>
  </conditionalFormatting>
  <conditionalFormatting sqref="AW393:AW394 AW431 AW435 AW466 AW480 AW497 AW500 AW502 AW515:AW516">
    <cfRule type="expression" dxfId="64" priority="136">
      <formula>AND($H393="T0")</formula>
    </cfRule>
  </conditionalFormatting>
  <conditionalFormatting sqref="AW473:AW474">
    <cfRule type="expression" dxfId="63" priority="139">
      <formula>AND($H473="T0")</formula>
    </cfRule>
  </conditionalFormatting>
  <conditionalFormatting sqref="AW504:AW505">
    <cfRule type="expression" dxfId="62" priority="138">
      <formula>AND($H504="T0")</formula>
    </cfRule>
  </conditionalFormatting>
  <conditionalFormatting sqref="AW506:AW514 AW517:AW518">
    <cfRule type="cellIs" dxfId="61" priority="137" operator="equal">
      <formula>"NA"</formula>
    </cfRule>
  </conditionalFormatting>
  <conditionalFormatting sqref="AW525">
    <cfRule type="cellIs" dxfId="60" priority="1" operator="equal">
      <formula>"NA"</formula>
    </cfRule>
  </conditionalFormatting>
  <conditionalFormatting sqref="AW611">
    <cfRule type="cellIs" dxfId="59" priority="135" operator="equal">
      <formula>"NA"</formula>
    </cfRule>
  </conditionalFormatting>
  <conditionalFormatting sqref="AW612">
    <cfRule type="expression" dxfId="58" priority="134">
      <formula>AND($H612="T0")</formula>
    </cfRule>
  </conditionalFormatting>
  <conditionalFormatting sqref="AW671:AW823 AU818:AU823 AU826:AU827 AW826:AW836">
    <cfRule type="expression" dxfId="57" priority="37">
      <formula>AND($H671="T0")</formula>
    </cfRule>
  </conditionalFormatting>
  <conditionalFormatting sqref="AW824:AW825 AW842">
    <cfRule type="cellIs" dxfId="56" priority="13" operator="equal">
      <formula>"NA"</formula>
    </cfRule>
  </conditionalFormatting>
  <conditionalFormatting sqref="AX153 AX159 AX166 AX180 AX186 AX195 AX230:AX231 AX234 AX288 AX302 AX340 AX349 AX370 AX402 AX414 AX422:AX423 AX443 AX478 AX524 AX548 AX570 AX584 AX602 AX632 AX639 AX641 AX643 AX647 AX651 AX653 AX656 AX658:AX659 AX661 AX668 AX671">
    <cfRule type="expression" dxfId="55" priority="82">
      <formula>AND($E153="DEMAIS")</formula>
    </cfRule>
  </conditionalFormatting>
  <conditionalFormatting sqref="AX616">
    <cfRule type="expression" dxfId="54" priority="186">
      <formula>AND(#REF!="DEMAIS")</formula>
    </cfRule>
  </conditionalFormatting>
  <conditionalFormatting sqref="AX618:AX619 AX635 AX637 AX674 AX676 AX678 AX680 AX682 AX684 AX687 AX690 AX692 AX697 AX699 AX769:AX771 AX773 AX776">
    <cfRule type="expression" dxfId="53" priority="39">
      <formula>AND($E618="DEMAIS")</formula>
    </cfRule>
  </conditionalFormatting>
  <conditionalFormatting sqref="AX822">
    <cfRule type="expression" dxfId="52" priority="34">
      <formula>AND($E822="DEMAIS")</formula>
    </cfRule>
  </conditionalFormatting>
  <conditionalFormatting sqref="AX836 AZ836:BA836 T837:AB838 T839 V839 X839 Z839 AB839">
    <cfRule type="expression" dxfId="51" priority="170">
      <formula>AND($H836="T0")</formula>
    </cfRule>
  </conditionalFormatting>
  <conditionalFormatting sqref="AX836">
    <cfRule type="expression" dxfId="50" priority="80">
      <formula>AND($E836="DEMAIS")</formula>
    </cfRule>
  </conditionalFormatting>
  <conditionalFormatting sqref="AX423:AY423">
    <cfRule type="expression" dxfId="49" priority="92">
      <formula>AND($H423="T0")</formula>
    </cfRule>
  </conditionalFormatting>
  <conditionalFormatting sqref="AX153:BA153 AX159:BA159 AX166:BA166 AX180:BA180 AX186:BA186 AX195:BA195 AX230:BA231 AX234:BA234 AX288:BA288 AX302:BA302 AX340:BA340 AX349:BA349 AX370:BA370 AX402:BA402 AX414:BA414 AX422:BA422 AX443:BA443 AX478:BA478 AX524:BA524 AX548:BA548 AX570:BA570 AY576:BA576 AX584:BA584 AX602:BA602 AX643:BA643 AX651:BA651 AX656:BA656 AX658:BA659">
    <cfRule type="expression" dxfId="48" priority="81">
      <formula>AND($H153="T0")</formula>
    </cfRule>
  </conditionalFormatting>
  <conditionalFormatting sqref="AX619:BA619 AX632:BA632 AX635:BA635 AX637:BA637 AX639:BA639 AX641:BA641 AX647:BA647 AX653:BA653 AX661:BA661 AX668:BA668 AX671:BA671 AX674:BA674 AX676:BA676 AX678:BA678 AX680:BA680 AX682:BA682 AX684:BA684 AX687:BA687 AX690:BA690 AX692:BA692 AX697:BA697 AX699:BA699 AX769:BA771 AX773:BA773 AX776:BA776">
    <cfRule type="expression" dxfId="47" priority="38">
      <formula>AND($H619="T0")</formula>
    </cfRule>
  </conditionalFormatting>
  <conditionalFormatting sqref="AX822:BA822">
    <cfRule type="expression" dxfId="46" priority="33">
      <formula>AND($H822="T0")</formula>
    </cfRule>
  </conditionalFormatting>
  <conditionalFormatting sqref="AY210:AY229 BA210:BA229 AY232:AY233 BA232:BA233 AY235:AY259 BA235:BA259 AY268:AY287 BA268:BA287 AS273 AS287 AS289 AY289:AY301 BA289:BA301 BA303:BA305 AY325 BA325:BA326 AY330:AY335 BA330:BA335 AS334 AS354:AS356 AY356 BA356 AU386 AW386 AY386 BA386 AY388 BA388 AU399 AW399 AY399 BA399 AY404:AY405 BA404:BA408 AS406:AS407 AU407:AU408 AW407:AW408 AY407:AY408 AU428:AU429 AW428:AW429 AY428:AY429 BA428:BA432 AY434:AY435 BA434:BA435 AY438:AY439 BA438:BA439 AU463:AU464 AW463:AW464 AY463:AY464 BA463:BA464 AY473:AY474 BA473:BA474 AU509 AY509:AY510 BA509:BA510 BA518:BA523 AY519:AY523 AY526:AY547 BA526:BA547 AS533 AY549:AY569 BA549:BA569 AS555 AY571:AY575 BA571:BA575 AY577:AY583 BA577:BA583 AY585:AY601 BA585:BA601 AS586:AS587 AY603:AY610 BA603:BA610">
    <cfRule type="expression" dxfId="45" priority="117">
      <formula>AND($H210="T0")</formula>
    </cfRule>
  </conditionalFormatting>
  <conditionalFormatting sqref="AY260 BA260 AY267 BA267 BA657">
    <cfRule type="cellIs" dxfId="44" priority="109" operator="equal">
      <formula>"NA"</formula>
    </cfRule>
  </conditionalFormatting>
  <conditionalFormatting sqref="AY261:AY266 BA261:BA266 AY305 AY309 BA309 AY313 BA313 AY350 BA350 AY393:AY394 BA393:BA394 BA421 AY431 AY444 BA444 AY466 BA466 AY477 BA477 AY480 BA480 AY497 BA497 AY500 BA500 AY502 BA502 AY515:AY516 BA515:BA516">
    <cfRule type="expression" dxfId="43" priority="168">
      <formula>AND($H261="T0")</formula>
    </cfRule>
  </conditionalFormatting>
  <conditionalFormatting sqref="AY361:AY363">
    <cfRule type="expression" dxfId="42" priority="182">
      <formula>AND($H361="T0")</formula>
    </cfRule>
  </conditionalFormatting>
  <conditionalFormatting sqref="AY506:AY508 AY511:AY514 AY517:AY518">
    <cfRule type="cellIs" dxfId="41" priority="178" operator="equal">
      <formula>"NA"</formula>
    </cfRule>
  </conditionalFormatting>
  <conditionalFormatting sqref="AY525 BA525">
    <cfRule type="cellIs" dxfId="40" priority="2" operator="equal">
      <formula>"NA"</formula>
    </cfRule>
  </conditionalFormatting>
  <conditionalFormatting sqref="AY611">
    <cfRule type="cellIs" dxfId="39" priority="10" operator="equal">
      <formula>"NA"</formula>
    </cfRule>
  </conditionalFormatting>
  <conditionalFormatting sqref="AY612 BA612">
    <cfRule type="expression" dxfId="38" priority="144">
      <formula>AND($H612="T0")</formula>
    </cfRule>
  </conditionalFormatting>
  <conditionalFormatting sqref="AY630 BA630 AY648:AY650 BA648:BA650 AY654 BA654 BA662 AY662:AY663 AW665:AW666 BA665:BA666 AY665:AY667 BA672 AY672:AY673">
    <cfRule type="expression" dxfId="37" priority="69">
      <formula>AND($H630="T0")</formula>
    </cfRule>
  </conditionalFormatting>
  <conditionalFormatting sqref="AY634 AY638 AY652 AY657">
    <cfRule type="expression" dxfId="36" priority="99">
      <formula>AND($H634="T0")</formula>
    </cfRule>
  </conditionalFormatting>
  <conditionalFormatting sqref="AY660">
    <cfRule type="expression" dxfId="35" priority="100">
      <formula>AND($H660="T0")</formula>
    </cfRule>
  </conditionalFormatting>
  <conditionalFormatting sqref="AY836">
    <cfRule type="expression" dxfId="34" priority="53">
      <formula>AND($H836="T0")</formula>
    </cfRule>
  </conditionalFormatting>
  <conditionalFormatting sqref="AY839:AY846 BA846">
    <cfRule type="expression" dxfId="33" priority="4">
      <formula>AND($H839="T0")</formula>
    </cfRule>
  </conditionalFormatting>
  <conditionalFormatting sqref="BA316 BA323 BA353 BA361:BA363 BA376 BA412:BA413 BA417 BA441 BA448 BA455:BA456 BA483 BA486">
    <cfRule type="expression" dxfId="32" priority="184">
      <formula>AND($H316="T0")</formula>
    </cfRule>
  </conditionalFormatting>
  <conditionalFormatting sqref="BA345:BA346">
    <cfRule type="expression" dxfId="31" priority="169">
      <formula>AND($H345="T0")</formula>
    </cfRule>
  </conditionalFormatting>
  <conditionalFormatting sqref="BA359">
    <cfRule type="expression" dxfId="30" priority="145">
      <formula>AND($H359="T0")</formula>
    </cfRule>
  </conditionalFormatting>
  <conditionalFormatting sqref="BA391">
    <cfRule type="expression" dxfId="29" priority="88">
      <formula>AND($H391="T0")</formula>
    </cfRule>
  </conditionalFormatting>
  <conditionalFormatting sqref="BA423">
    <cfRule type="expression" dxfId="28" priority="91">
      <formula>AND($H422="T0")</formula>
    </cfRule>
  </conditionalFormatting>
  <conditionalFormatting sqref="BA458">
    <cfRule type="expression" dxfId="27" priority="151">
      <formula>AND($H458="T0")</formula>
    </cfRule>
  </conditionalFormatting>
  <conditionalFormatting sqref="BA611">
    <cfRule type="cellIs" dxfId="26" priority="147" operator="equal">
      <formula>"NA"</formula>
    </cfRule>
  </conditionalFormatting>
  <conditionalFormatting sqref="BA660 BA667 BA670">
    <cfRule type="expression" dxfId="25" priority="126">
      <formula>AND($H659="T0")</formula>
    </cfRule>
  </conditionalFormatting>
  <conditionalFormatting sqref="BA663">
    <cfRule type="expression" dxfId="24" priority="187">
      <formula>AND(#REF!="T0")</formula>
    </cfRule>
  </conditionalFormatting>
  <conditionalFormatting sqref="BA673">
    <cfRule type="expression" dxfId="23" priority="106">
      <formula>AND($H672="T0")</formula>
    </cfRule>
  </conditionalFormatting>
  <conditionalFormatting sqref="BA839:BA844">
    <cfRule type="expression" dxfId="22" priority="11">
      <formula>AND($H839="T0")</formula>
    </cfRule>
  </conditionalFormatting>
  <conditionalFormatting sqref="BA845">
    <cfRule type="expression" dxfId="21" priority="17">
      <formula>AND($H844="T0")</formula>
    </cfRule>
  </conditionalFormatting>
  <conditionalFormatting sqref="BB85">
    <cfRule type="cellIs" dxfId="20" priority="161" operator="equal">
      <formula>"NA"</formula>
    </cfRule>
  </conditionalFormatting>
  <conditionalFormatting sqref="BB233">
    <cfRule type="cellIs" dxfId="19" priority="164" operator="equal">
      <formula>"NA"</formula>
    </cfRule>
  </conditionalFormatting>
  <conditionalFormatting sqref="BB251">
    <cfRule type="cellIs" dxfId="18" priority="162" operator="equal">
      <formula>"NA"</formula>
    </cfRule>
  </conditionalFormatting>
  <conditionalFormatting sqref="BB288">
    <cfRule type="cellIs" dxfId="17" priority="160" operator="equal">
      <formula>"NA"</formula>
    </cfRule>
  </conditionalFormatting>
  <conditionalFormatting sqref="BC603">
    <cfRule type="cellIs" dxfId="16" priority="163" operator="equal">
      <formula>"NA"</formula>
    </cfRule>
  </conditionalFormatting>
  <conditionalFormatting sqref="BC611:BC612">
    <cfRule type="cellIs" dxfId="15" priority="157" operator="equal">
      <formula>"NA"</formula>
    </cfRule>
  </conditionalFormatting>
  <conditionalFormatting sqref="BD617:BG617 BD620:BG620 BD622:BG622 BD624:BG624 BD626:BG626 BD628:BG628 BD632:BG632 BD636:BG636 BD638:BG638 BD641:BG641 BD643:BG643">
    <cfRule type="cellIs" dxfId="14" priority="123" operator="equal">
      <formula>"NA"</formula>
    </cfRule>
  </conditionalFormatting>
  <conditionalFormatting sqref="BD41:BH41 BB179 BD179:BH179 AF240 AF261 AF281 AF291 AY303:AY304 AE306:AG308 AY306:AY308 BA306:BB308 BB309 AE310:AG310 AY310:AY312 BA310:BB312 AG311:AG312 BB313 AE314:AG314 BA314:BB315 AY314:AY324 BB316 AE316:AG318 BA317:BB318 BA319 BA320:BB322 AE320:AG324 BB323 BA324:BB324 AE326:AG326 BB326 AY326:AY329 BA327:BB329 AE328 AG328 BB330:BB333 AE332:AG332 AE335:AF335 BB335 AY336:AY339 BA336:BB339 AE339 BB340 BA341:BB344 AY341:AY348 BB345 AE346 AE347:AG348 BA347:BB348 BB349:BB350 AE350:AF350 BA351:BB352 AY351:AY355 AE353 AE354:AG354 BA354:BB355 BA357:BB357 AY357:AY360 BA358 BB359 BA360:BB360 BB361:BB363 AF362 AE364:AG367 AY364:AY369 BA364:BB369 AE368 AG368 AE369:AG369 AE371:AG371 AY371:AY372 BA371:BB372 BB373 BA374:BB375 AY374:AY385 BB376 AE376:AG381 BA377:BB383 AG383 BA384 BA385:BB385 AY387 BA387:BB387 AY389:AY390 BA389:BB390 BB391 AY392 BA392:BB392 BB393:BB394 AG395 BA395:BB395 AY395:AY398 BA396:BA397 BA398:BB398 AY400:AY401 BA400:BB401 BB402 AY403 BA403:BB403 BB404:BB406 AY406 BB408 BA409:BB411 AY409:AY413 AE410:AG410 BB412:BB414 BA415:BA416 AY415:AY421 AE416:AF416 AG417 BB417 AE418:AG418 BA418:BB420 BB421:BB422 BA424 AY424:AY427 AE425:AG425 BA425:BB426 BA427 BB429:BB432 AG430 AY430 AE431:AF431 AE432 AY432:AY433 BA433:BB433 BB434:BB435 BA436 AY436:AY437 AE437:AG437 BA437:BB437 BB438 AE440:AG440 BA440:BB440 AY440:AY442 BB441 BA442 BB443:BB444 BA445 AY445:AY462 AG446 BA446:BB447 AE447:AG447 AE448 AG448 BB448 AE449:AG449 BA449:BB454 AG451 AE452:AG452 BB455:BB456 AE457:AG457 BA457:BB457 BB458 BA459 AE460:AG460 BA460:BB462 BB464 AY465 BA465:BB465 AE466:AF466 BB466 AE467:AG468 AY467:AY472 BA467:BB472 AE469 AE472:AG472 BB473:BB474 AE475:AG475 AY475:AY476 BA475:BB476 BB477 AE479 AY479 BA479:BB479 BB480 AE481:AG482 BA481:BB482 AY481:AY496 AG483 BB483 AE484:AG485 BA484:BB485 AG486 BB486 AE487:AG487 BA487:BB496 AG488:AG489 AE491:AG492 AG493 AE496:AG496 AE497:AF497 BB497 AE498:AG498 AY498:AY499 BA498:BB499 AG499 AE500:AF500 BB500 AY501 BA501 AE502:AF502 BB502 AE503 AG503 AY503 BA503:BB503 AE504:AF504 BA506:BB508 BB510 BA511 AE512:AG514 BA512:BB514 AE515:AF515 BB515:BB516 BA517:BB517 AE518">
    <cfRule type="cellIs" dxfId="13" priority="183" operator="equal">
      <formula>"NA"</formula>
    </cfRule>
  </conditionalFormatting>
  <conditionalFormatting sqref="BD325:BP325 BD334:BP334 BD356:BP356 BD388:BP388 BD407:BP407 BD423:BP424 BD428:BP428 BD459:BP459 BD555:BP555 BD569:BP569 BD587:BP587">
    <cfRule type="cellIs" dxfId="12" priority="113" operator="equal">
      <formula>"NA"</formula>
    </cfRule>
  </conditionalFormatting>
  <conditionalFormatting sqref="BD2:BR29 AG2:AG40 BD31:BR40 BD42:BR178 BL742:BL794 BD795:BR795 AG806:AG829">
    <cfRule type="cellIs" dxfId="11" priority="93" operator="equal">
      <formula>"NA"</formula>
    </cfRule>
  </conditionalFormatting>
  <conditionalFormatting sqref="BD180:BR301 BB518:BB527 BB529:BB532 BB534:BB548 BB550:BB554 BB556:BB560 BB562:BB568 BB570:BB577 BB579:BB586 BB588:BB599 BC600 BL607:BL616 BL618:BL619 BL621 BL623 BL625 BL627 BL629:BL631 BL633:BL635 BL637 BL639:BL640 BL642 BL644:BL705">
    <cfRule type="cellIs" dxfId="10" priority="156" operator="equal">
      <formula>"NA"</formula>
    </cfRule>
  </conditionalFormatting>
  <conditionalFormatting sqref="BD840:BR842">
    <cfRule type="cellIs" dxfId="9" priority="21" operator="equal">
      <formula>"NA"</formula>
    </cfRule>
  </conditionalFormatting>
  <conditionalFormatting sqref="BI706:BL706 BO706:BP706 BV706:CK706">
    <cfRule type="expression" dxfId="8" priority="125">
      <formula>AND($H706="T0")</formula>
    </cfRule>
  </conditionalFormatting>
  <conditionalFormatting sqref="BK706:BL706 BV706:CH706">
    <cfRule type="expression" dxfId="7" priority="124">
      <formula>AND($E706="DEMAIS")</formula>
    </cfRule>
  </conditionalFormatting>
  <conditionalFormatting sqref="BL602:BL605">
    <cfRule type="cellIs" dxfId="6" priority="165" operator="equal">
      <formula>"NA"</formula>
    </cfRule>
  </conditionalFormatting>
  <conditionalFormatting sqref="BL707:BL740">
    <cfRule type="cellIs" dxfId="5" priority="98" operator="equal">
      <formula>"NA"</formula>
    </cfRule>
  </conditionalFormatting>
  <conditionalFormatting sqref="BL843:BL845">
    <cfRule type="cellIs" dxfId="4" priority="18" operator="equal">
      <formula>"NA"</formula>
    </cfRule>
  </conditionalFormatting>
  <conditionalFormatting sqref="BQ741">
    <cfRule type="cellIs" dxfId="3" priority="102" operator="equal">
      <formula>"NA"</formula>
    </cfRule>
  </conditionalFormatting>
  <conditionalFormatting sqref="CV41 CV179 AV613:AV614 AR613:AT615 AX613:AX615 AU615 AT617:AX617 AR620:AX620 AX621 AR622:AX622 AX623 AR624:AX624 AX627 AX629 AR645:AX645 AR675:AU675 AW675 AR677:AU677 AW677 AR679:AU679 AW679 AR681:AU681 AW681 AR683:AU683 AW683 AR685:AU686 AW685:AW686 AR688:AU689 AW688:AW689 AR691:AU691 AW691 AR693:AU696 AW693:AW696 AR698:AU698 AW698 AR700:AU750 AW700:AW750 BD701:BJ701 AT756:AU756 AW756:AW759 AR757:AU759 AR762:AU762 AW762 AT764:AU764 AW764:AW768 AR765:AU768 AR772:AU772 AW772 AR774:AU775 AW774:AW775 AR777:AU794 AW777:AW803 AS795:AU795 AR796:AU803 AR805:AU805 AW805 AR808:AU808 AW808 AR816:AU817 AW816:AW817 AR828:AU828 AW828 AR830:AU830 AW830 AR835:AU835 AW835">
    <cfRule type="expression" dxfId="2" priority="185">
      <formula>AND($E41="DEMAIS")</formula>
    </cfRule>
  </conditionalFormatting>
  <conditionalFormatting sqref="AU525:AU526">
    <cfRule type="expression" dxfId="1" priority="188">
      <formula>AND($H526="T0")</formula>
    </cfRule>
  </conditionalFormatting>
  <conditionalFormatting sqref="BC606:BG606 AG608:AG609">
    <cfRule type="cellIs" dxfId="0" priority="154" operator="equal">
      <formula>"NA"</formula>
    </cfRule>
  </conditionalFormatting>
  <dataValidations count="10">
    <dataValidation type="list" allowBlank="1" showInputMessage="1" showErrorMessage="1" errorTitle="ERRO" error="Insira APENAS datas!" sqref="AT623 AV623 AT629:AT631 AV629:AV631 AT670 AV648:AV650 AT685:AT686 AT648:AT650 AT616:AT618 AT644 AT403:AT406 AV646 AV686 AT646 AT660 AT640 AT657 AT663 AV663 AT654 AT652 AV640 AT520:AT523 AT139:AT150 AV167:AV179 AV160:AV164 AT154:AT158 AT118:AT137 AV235:AV270 AV154:AV158 AV371:AV385 AV456:AV462 AV495:AV523 AT215 AX398 AV403:AV406 AT562:AT568 AV562:AV568 AT585:AT586 AT529:AT532 AT556:AT560 AV556:AV560 AV390:AV398 AT423:AT427 AV603 AV638 AV187:AV194 AV387 AT387 AT341:AT348 AT633:AT634 AT603 AT621 AV621 AT625 AV625 AT627 AV627 AV633:AV634 AV616:AV618 AT673 AV673 AV642 AV670 AT679 AV679 AT681 AV681 AT642 AV644 AT688 AV660 AT638 AT289:AT301 AT479:AT508 AT828:AT830 AV585:AV586 AT605:AT614 AV578:AV583 AZ63:AZ69 AT371:AT385 AV657 AV652 AV552:AV554 AV350:AV369 AV46 AT835 AZ71:AZ73 AZ75 AZ77 AZ79:AZ80 AZ82:AZ84 AZ86:AZ87 AZ93:AZ94 AZ96 AZ98:AZ100 AZ103:AZ104 AZ106:AZ107 AZ762 AZ766 AZ787 AZ57:AZ58 AV529:AV532 AT577:AT583 AV296:AV300 AT316:AT339 AT571:AT575 AZ60:AZ61 AV7:AV13 AZ793 AV41 AT7:AT13 AZ44 AZ46 AT766 AV766 AT787 AV787 AT793 AV793 AT46 AT41 AV217:AV229 AX44 AX46 AX55 AX57:AX58 AX60:AX61 AX63:AX69 AX71:AX73 AX75 AX77 AX79:AX80 AX82:AX84 AX86:AX87 AX93:AX94 AX96 AX98:AX100 AX103:AX104 AX106:AX107 AZ55 AX766 AX787 AX793 AV43:AV44 AT43:AT44 AV835 AT23:AT27 AV22:AV27 AT444:AT462 AV29:AV39 AT29:AT39 AV820:AV821 AT820:AT821 AV438:AV442 AV828:AV830 AT152 AV131:AV137 AV139:AV150 AT167:AT179 AV181:AV185 AT217:AT229 AT552:AT554 AV232:AV233 AT232:AT233 AT275:AT286 AV275:AV285 AT256:AT270 AV196:AV215 AT400:AT401 AV400:AV401 AT408:AT413 AV408:AV413 AV415:AV421 AT415:AT421 AV423:AV427 AT429:AT442 AV464:AV477 AT464:AT477 AT391:AT398 AV534:AV547 AT534:AT547 AT592:AT601 AT160:AT164 AT181:AT185 AT187:AT194 AV605:AV614 AV341:AV348 AT350:AT369 AT588:AT590 AT54:AT61 AT63:AT116 AT235:AT254 AT303:AT314 AT549:AT550 AT196:AT213 AT510:AT518 AV841:AV844 AV592:AV601 AV588:AV590 AV571:AV575 AV549:AV550 AT823:AT825 AT841:AT844 AV823:AV825 AV54:AV116 AV316:AV339 AV118:AV129 AV152 AV289:AV294 AV303:AV314 AV429:AV435 AV444:AV454 AV479:AV493 AT846 AV846 AV525:AV527 AT525:AT527" xr:uid="{9AAB1F88-86F5-476C-A4C4-BA555D7FABD7}">
      <formula1>"SIM;NÃO;N/A"</formula1>
    </dataValidation>
    <dataValidation type="list" allowBlank="1" showInputMessage="1" showErrorMessage="1" sqref="AL101:AM101 AH468 AL183:AM183 AL225:AM225 AL258:AM258 AL157:AM158 AL327:AM327 AJ818:AJ819 AL358:AM358 AL468:AM468 AH663 AL500:AM500 AL236:AL239 AM497 AL519:AM519 AL522:AM522 AL526:AM526 AL528:AM528 AL530:AM530 AL532:AM534 AL513 AL538:AM538 AL542:AM542 AL536 AL332:AM333 AL215:AM217 AH670 AL269 AH225 AH258:AH259 AH269 AH296 AH686 AL799:AM800 AH327 AH358 AH276 AH665 AL515:AM516 AH500 AH504 AL210:AL213 AM210 AH526 AL144:AL145 AH530 AL547:AM547 AH536 AH538 AH534 AH513:AH515 AH544 AL390:AM397 AH547 AH667 Z642 AJ10:AJ11 AL293 AJ455 AH634 AL289:AL290 AJ427 AL151:AM151 AH108 AH644 AH112 AH119 AH121:AH124 AH129 AH47:AH53 AH154 AH132:AH134 AH144:AH145 AH163 AL165:AM165 AH167 AH161 AL190:AM190 AH173 AH187:AH188 AH192 AH181:AH183 AH197 AH199 AL296:AM296 AH206 AH776 AH157:AH158 AH203:AH204 AH223 AH232 AH236:AH240 AH244 AH219:AH220 AH261 AH265 AH293 AL324:AM324 AH255:AH256 AH201 AH308:AH310 AH319 AH321:AH322 AL603:AL604 AH281 AH342 AH344 AH347 AH336 AH350:AH351 AH364 AH366:AH369 AH371 AH648 AH375 AH317 AL497:AL498 AL386:AL387 AH384 AL41:AM41 AL308:AL310 AH410 AH289:AH291 AH418 AL431:AM431 AH377 AH386 AH440 AH447:AH448 AH452:AH453 AL472 AH475 AH472:AH473 AH462:AH463 AH484 AH487:AH490 AH480:AH481 AH679 AH494 AL502:AM502 AL13:AM13 AH506 AH271 AH497:AH498 AL591:AM592 AL6:AM6 AH31 AH646 AL610:AM610 AJ13:AJ34 AL115:AL117 AL11:AM11 R673 AL98:AM98 AJ36:AJ37 AH598 AH623 AH618 AL110:AM110 AL112:AM112 AL119:AM119 AL129:AM129 AL137:AM138 AM603 AM117 AL154:AM154 AH141 AL148:AL149 AL163:AM163 AL167:AM167 AH151 AL161 AL173:AM173 AH165 AL177:AM177 AL187:AM187 AM145 AH171 AJ525:AJ547 AH185 AL185:AM185 AL197:AM197 AL199:AM199 AL204 AH190 AL208:AM208 AL223:AM223 AH305 AM212 AL228:AM229 AL179:AM179 AL244:AM244 AM239 AL240:AM240 AL261:AM261 AL263 AL291:AM291 AH273:AH274 AM289 AL298:AM299 AL305:AM306 AL319:AM319 AL807 AM308:AM309 AL322:AM322 AL192 AL329:AM330 AL342:AM342 AL344:AM344 AL347:AM347 AL354:AM354 AL350:AM351 AH333:AH334 AL364:AM364 AL367:AM367 AL369:AM369 AL371:AM371 AL373:AM373 AL375:AM375 AL317 AL379:AM379 AL381:AM381 AL384:AM384 AL377 AL410:AM410 AL418:AM418 AJ777:AJ807 AM387 AH650 AH431:AH432 AL440:AM440 AL447:AM447 AL449:AM450 AL452:AM452 AL457:AM457 AL465:AM466 AH391:AH397 AL475:AM475 AL473:AM473 AL484:AM484 AL487:AM487 AL252:AM255 AL480:AL481 AL492 AH681 AL506:AM506 AH502 AL504 AL544 AL408:AM408 AM130:AM131 AJ625 R670 AJ232:AJ233 AJ261:AJ263 AH836 AL105:AM106 AH549 AJ201 AH640 AL2:AM2 AL108:AM108 AL248:AM249 AH115:AH117 AH707:AH761 AH361 AH148:AH149 AH228:AH229 AH126:AH127 AH208:AH213 AH248:AH249 AL242 AL265 AH263 AL361:AM362 AM275:AM276 AH301 AH329:AH331 AH324:AH325 AL435:AM435 AH252:AH253 AH313 AJ772 AH435 AL477:AM477 AH465:AH466 AL549 AM236:AM237 AJ415 AL273:AL276 AL565 AH444 AH551 AL575:AM575 AH565 AL577:AM577 AL572 AH577 AL581:AM581 AH572 AL583:AM583 AH581 AL585:AM585 AH299 AH585 AL579 AL805:AM805 AH579 AL141 AL420 AL444:AM444 AH427:AH429 AL460:AM460 AL281 AH803:AH804 AL552:AM552 AM115 AL335:AM336 AJ279 AH215:AH217 AL171:AM171 AJ425 AH556:AH557 AH845 AM326 AL314:AM314 AJ203:AJ204 AJ313:AJ314 AL232:AM232 AJ508:AJ511 AL589 AJ338 AH399 AL181:AM181 AL399:AM399 AH575 AL559:AM561 AJ248:AJ256 AH169 AL556:AL557 AL121:AM124 AL132:AM134 AL206 AJ835 AL219:AL220 AJ489 AL429:AM429 AH688 AL126:AM127 AH660 AH806:AH807 AH616 AH608 AH625:AH631 AH673 AH642 AH654 AL103:AM103 AJ2:AJ7 AJ617 AJ636 AH830 AJ706 AJ774:AJ775 AL509:AM510 AJ442 AL405:AM405 AJ823 AH763 AH101 AJ741:AJ768 AJ281:AJ282 AL442:AM442 AH809:AH814 AH823:AH825 AH818:AH819 AH110 AH560:AH561 AH33:AH42 AH105 AH2:AH29 AH798 AJ100:AJ101 AL16:AM16 AL706:AM706 AJ829:AJ830 AH177:AH179 AH242 AH420 AH425 AH492 AH532 AH541 AH589 AH595 AH604 AH621 AH702:AH705 AJ809:AJ815 AJ219:AJ220 AJ121:AJ127 AJ390:AJ399 AJ181 AJ588:AJ601 AJ171 AJ335:AJ336 AJ460 AJ444 AJ420:AJ421 AJ140:AJ141 AJ556:AJ568 AJ585:AJ586 AJ577:AJ583 AJ570:AJ575 AJ272:AJ277 AJ549:AJ554 AJ477 AJ265 AJ169 AJ504:AJ506 AJ492:AJ493 AJ479:AJ481 AJ403:AJ406 AJ486:AJ487 AJ483:AJ484 AJ457 AJ452:AJ453 AJ447:AJ450 AJ434:AJ440 AJ417:AJ418 AJ408:AJ413 AJ377 AJ383:AJ384 AJ379:AJ381 AJ316:AJ317 AJ375 AJ373 AJ371 AJ369 AJ367 AJ350:AJ351 AJ353:AJ354 AJ344:AJ347 AJ342 AJ192 AJ319 AJ298:AJ299 AJ244:AJ245 AJ179 AJ222:AJ223 AJ206:AJ208 AJ199 AJ197 AJ185 AL554:AM554 AJ173:AJ177 AJ167 AJ161:AJ163 AJ154 AJ129:AJ138 AJ119 AJ112:AJ113 AJ103:AJ110 AJ96:AJ98 AJ115:AJ117 AJ470:AJ475 AJ673 AJ429:AJ431 AJ39:AJ53 AJ386:AJ388 AJ496:AJ498 AJ603:AJ612 AJ322:AJ324 AJ187:AJ190 AJ165 AJ148:AJ152 AJ289:AJ296 AJ143:AJ146 AJ210:AJ213 AJ515:AJ517 AJ269:AJ270 AJ215:AJ217 AJ329:AJ333 AJ513 AJ301:AJ310 AJ519:AJ523 AJ236:AJ242 AJ500:AJ502 AJ468 AJ358:AJ364 AJ326:AJ327 AJ157:AJ158 AJ258 AJ225:AJ229 AJ183 AJ462:AJ466 AM437" xr:uid="{C61815A0-20D9-490B-A544-CAF0162B456C}">
      <formula1>"FATURADO,PREVISTO,CANCELADO,N/A"</formula1>
    </dataValidation>
    <dataValidation type="date" allowBlank="1" showInputMessage="1" showErrorMessage="1" errorTitle="ERRO" error="Insira APENAS datas!_x000a_" sqref="AB265:AB267 V265:V267 X265:X267 X298:X299 V579 V581 AB581 Z581 V577 AB127:AB132 Z127:Z132 X127:X132 V127:V132 V203:V211 AB203:AB211 Z203:Z211 X203:X211 V298:V299 AB298:AB299 Z298:Z299 V549 T549 V551:V552 T551:T552 V554:V557 T554:T557 V572 AB572 Z572 X572 T572 V575 AB575 Z575 X575 T575 AB577 Z577 X577 T577 X581 V583 AB583 Z583 X583 V585 AB585 Z585 X585 T585 Z555:Z557 X555:X557 AB579 Z579 X579 T579 T581:T583 T589 V562:V564 T565 T559:T561 V589 AB589 Z589 X589 AB591:AB594 X591:X594 V591:V594 T591:T594 Z591:Z594 V596 AB596 Z596 X596 T596 V566:V570 X567:X570 Z567:Z570 AB567:AB570 V183:V201 Z183:Z201 AB183:AB201 X183:X201 X213:X246 V213:V246 AB213:AB246 Z213:Z246 V290:V296 AB290:AB296 Z290:Z296 X290:X296 X430:X443 V430:V443 AB430:AB443 Z430:Z443 V602 AB602 X602 Z602 T602 T567:T570 AB563:AB564 AB604:AB614 V604:V614 T613:T614 Z604:Z614 X604:X614 T604:T611 T624:T626 T630 T643 T651:T652 T634 Z617 X617 V617 AB617 T617 Z620 X620 V620 AB620 T620 Z622 X622 V622 AB622 T622 Z624 X624 V624 AB624 Z626 X626 V626 AB626 Z628 X628 V628 AB628 T628 Z632 X632 V632 AB632 T632 Z636 X636 V636 AB636 T636 Z638 X638 V638 AB638 T638 Z641 X641 V641 AB641 T641 Z489:Z552 X489:X552 AB489:AB552 V489:V547 Z645 X645 V645 AB645 T645 Z647 X647 V647 AB647 T647 X643 V643 AB643 Z643 Z655 X655 V655 AB655 X651 V651 AB651 Z651 Z659 X659 V659 AB659 T659 Z662 X662 V662 AB662 T662 Z664 X664 V664 AB664 T664 Z666 X666 V666 AB666 T666 Z669 X669 V669 AB669 T669 Z672 X672 V672 AB672 T672 Z674 X674 V674 AB674 T674 Z677 X677 V677 AB677 T677 Z680 X680 V680 AB680 T680 Z682 X682 V682 AB682 T682 T655:T657 X657 V657 AB657 Z657 Z687 X687 V687 AB687 T687 Z689 X689 V689 AB689 T689 T738 Z738 X738 P84 X116:X125 V116:V125 AB116:AB125 Z116:Z125 AB134:AB181 V134:V181 X134:X181 Z134:Z181 Z301:Z311 AB301:AB311 V301:V311 X301:X311 X598 V598 AB598 Z598 T598 X634 V634 AB634 Z634 R30 R32 R79 R84 R760 P30 P32 X587 X269:X288 Z269:Z288 AB269:AB288 V269:V288 T587 Z587 AB587 V587 T49 Z265:Z267 Z395:Z428 AB395:AB428 V395:V428 X395:X428 AB445:AB487 X445:X487 V445:V487 Z445:Z487 T685 X685 V685 AB685 Z685 Z248:Z263 AB248:AB263 V248:V263 X248:X263 AB555:AB557 Z804 X804 T43:T47 X2:X114 Z785 X785 V785 AB785 Z767:Z768 X767:X768 V767:V768 AB767:AB768 V796 AB789:AB790 AB2:AB114 V2:V114 Z2:Z114 T51:T119 Z796:Z797 X796:X797 AB796:AB797 X806:X807 V806:V807 AB806:AB807 V804 T767:T768 T775 T778 T780 T782:T784 T786 T789:T791 T795:T797 T801:T802 T2:T41 T741:T765 Z806:Z807 AB738:AB763 Z741:Z763 X741:X763 V741:V763 X819:X820 AB819:AB820 V819:V820 Z819:Z820 AB809:AB814 X809:X814 Z809:Z814 AB804 V809:V814 AB826:AB827 X826:X827 Z826:Z827 V826:V827 AB831:AB834 X831:X834 Z831:Z834 V831:V834 T836 X836 Z836 AB836 V836 Z313:Z393 AB313:AB393 V313:V393 X313:X393 T121:T547 T841:T842 Z841:Z842 V841:V842 AB841:AB842 X841:X842 Z846 X846 AB846 V846 T846" xr:uid="{B9E3070B-BC7F-463B-B5D8-8582C4572444}">
      <formula1>36892</formula1>
      <formula2>55153</formula2>
    </dataValidation>
    <dataValidation type="date" allowBlank="1" showInputMessage="1" showErrorMessage="1" errorTitle="ERRO" error="Insira APENAS datas!" sqref="V115 V126 V133 V182 V202 V212 V247 V264 V268 V289 V297 V300 V312 V394 V429 V444 V488 X115 X126 X133 X182 X202 X212 X247 X264 X268 X289 X297 X300 X312 X394 X429 X444 X488 Z115 Z126 Z133 Z182 Z202 Z212 Z247 Z264 Z268 Z289 Z297 Z300 Z312 Z394 Z429 Z444 Z488 R85:R259 AB115 AB126 AB133 AB182 AB202 AB212 AB247 AB264 AB268 AB289 AB297 AB300 AB312 AB394 AB429 AB444 AB488 L62:L65 N62:N65 L51:L59 R526 R528 R530 R532:R534 R536 R538 R540 R542 R544 R546:R547 R549 R551:R552 N561:N570 N392:N558 L42:L44 AB565 R425:R427 R429:R458 V559:V561 X559:X561 Z559:Z561 AB559:AB561 V565 X565 Z565 AS268:AS287 T612 Z772 AU623 T120 R634 P11:P29 AW623 AW792:AW794 V774 AW629:AW635 T42 P741:P765 P682 P666 AS603:AS612 AU665 AU670:AU671 CK706 CI706 P674 P647 R652:R653 P664 P662 P659 P651 P655 P643:P645 P669 P672 P680 P677 P687 P657 AW667:AW668 R638:R639 P689 P738 AS667 N74:N303 B21:B23 B42 AS594:AS601 AS642 AS646 AW781 AS549:AS569 AS525:AS547 AS663 L21:L33 AU663 AW663 AW665 R689 R620 R622 R624 R626 R628 R632 R636 R641 R645 R647 R655 R659 R662 R390:R406 R666 R664 R672 R674 R677 R680 R682 R687 AS575:AS583 T50 L8 L11 J392:J558 N572:N599 L561:L570 D21 D42 T48 L37 R80:R83 P31 R31 J572:J599 J561:J570 L572:L599 R268:R286 R288:R324 R326:R333 R556:R557 R554 R588:R614 R559:R568 R570:R586 P685 AS571:AS573 P6 P8 L13:L19 AU616 AW616 AW618:AW619 AU621 AW621 AU625 AW625 AU627 AW627 AU673:AU674 AW673:AW674 AU678:AU682 AW678:AW682 AW684:AW688 AU690 R261:R266 R344:R355 R335:R342 P811 R420:R422 R408:R418 R496:R522 R460:R493 AS196:AS229 AS261:AS266 AS341:AS342 AS235:AS259 AS415:AS418 AS420:AS421 AS479:AS494 X774 AW787:AW788 Z774 F21 F42 H21 R780:R784 J62:J65 AS617 Z794 AU766 AW766 AU776:AU777 AS344:AS348 N67:N72 V777 X777 Z777 V781 X781 AU781 AU787:AU788 R836 AS673 AS786:AS795 AS774:AS775 V772 AU792:AU794 AS777:AS778 AS781:AS784 AS9:AS99 R767:R768 R772 P772 P774:P775 P767:P768 R777:R778 R774:R775 P777:P778 P780:P784 P786 Z781 V788 X788 Z788 R669 R741:R759 V792 AY781:AY795 R794:R797 R788:R792 AS160:AS165 AS167:AS179 AS181:AS185 AS187:AS194 AS101:AS158 AS232:AS233 AS289:AS293 AS295:AS301 AS303:AS339 AS350:AS369 AS404:AS413 AS423 AS460:AS477 AS496:AS523 AS660 AS670 AS444:AS458 R786 P788:P792 P794:P797 R800:R802 P800:P802 R805 P804:P807 X792 Z792 J2:J3 L2:L3 AS2:AS7 R2:R29 J604:J836 L392:L558 N47:N49 L47:L49 J47:J49 R695 H42 R761:R765 X772 P33:P83 V794 X794 J6:J44 N51:N59 J51:J59 L67:L72 J67:J72 J74:J303 L74:L303 R33:R47 R49:R78 B815:B816 N604:N836 L604:L836 AU809:AU815 AW809:AW815 AW763 D819:D821 AU751:AU761 AW751:AW761 AW692 AU763 AW804 AU804 AW806:AW807 AU806:AU807 AU2:AU99 D751:D755 B760:B761 B763 B804 B806:B807 B811 B824:B825 F751:F755 D760:D761 D763 D804 D806:D807 D811 D815 D824:D825 H824:H825 F760:F761 F763 F804 F806:F807 F811 F815 F819 F824:F825 H751:H755 H760:H761 H763 H804 H806:H807 H811 H815 H819 B751:B755 B819:B821 BA2:BA846 AW2:AW99 AS425:AS442 P836 N2:N11 N13:N44 AW776:AW777 AS585:AS592 AY839:AY846 AW575:AW592 AU575:AU592 AU594:AU612 AW594:AW612 AU618:AU619 AU629:AU635 AU637:AU644 AW637:AW644 AU646:AU654 AW646:AW654 AU656:AU661 AW656:AW661 AU667:AU668 AW670:AW671 AW676 AU676 AU684:AU688 AW690 AU692 AW697 AU697 AW699 AU699 AS772 AS749:AS768 AY797:AY836 AS797:AS821 AU769:AU774 AW769:AW774 AY694:AY778 AU101:AU294 AU296:AU402 AW296:AW402 AY2:AY692 L305:L390 N305:N390 J305:J390 R357:R387 P85:P641 D23 F23 H23 R841:R842 J841:J842 N841:N842 P841:P842 L841:L842 AW101:AW294 N845:N846 L845:L846 P846 AW818:AW836 AW404:AW573 AS823:AS836 AU818:AU836 AU839:AU846 AW839:AW846 AS371:AS401 J845:J846 AS839:AS846 AU404:AU573" xr:uid="{287E1ADE-54AA-403D-927A-2B7962761144}">
      <formula1>36892</formula1>
      <formula2>55153</formula2>
    </dataValidation>
    <dataValidation type="list" allowBlank="1" showInputMessage="1" showErrorMessage="1" errorTitle="FORMATO DE DADO INCORRETO!" error="Por favor insira apenas datas nos campos, para campos não aplicáveis mantenha a célula vazia." sqref="C79 C90:C92 E273 Y133 AA126 Q680 AA333 AA182 G43 G62:G64 Y182 Q509 A334 G54:G58 Y469 A41 A32:A39 A58 A69 A71 A76:A77 G69:G72 A88 A99 A102 Q682 A118 A120 C131 C136 C152 C180 C84:C86 C260 Q632 A284 A289 A300 Q671:Q672 A271:A273 A287 C337 C359 C373:C374 C382 C385:C386 A388:A389 A355:A356 A419 C439 A458:A459 C490 A382 Q463 G812:G814 Q151 G830:G836 C391 C58 C69 C71 C76:C77 O820:O821 C88 C99 C102 Q687 C118 C120 C104:C115 A104:A115 A131 C142:C144 C150 A150 C201:C202 A201:A202 A165 A142:A144 C138 A219 A138 A136 Q677 C94:C96 Q669 A260 C284 C289 C271:C272 C300 Q628 Q165 Q622 C343 G48 A359 A373:A374 C334 Q533 Q559:Q561 C419 C426:C428 A439 C461:C463 C455:C456 A455:A456 A407 C396:C399 A494:A495 C494:C495 A490 O115 Q171 O126 O153 O158 O178 O205 O212 O237 O254 Q180 O289 O333 O400 O429 O444 S115 S122:S123 S126 S153 S158 S178 S205 S212 S237 S254 Q215:Q216 S289 S333 S400 S429 S444 Q115 W598 Q126 Q153 Q158 U634 Q205 Y567:Y568 Q237 Q254 Q219 Q289 U598 Q399:Q400 C458:C459 Q444 U567:U568 U115 U122:U123 U126 U153 U158 U178 U205 U212 U237 U254 Q273 U289 U333 U400 U429 U444 W115 W122:W123 W126 W153 W158 W178 W205 W212 W237 W254 A587 W289 W333 W400 W429 W444 Y115 Y122:Y123 Y126 Y153 Y158 Y178 Y205 Y212 Y237 Y254 C587 Y289 Y333 Y400 Y429 Y444 AA115 AA122:AA123 AA153 AA133 AA178 AA205 AA158 AA212 AA237 AA254 C569 AA289 AA400 AA429 O133 O182 Q133 Q182 Q386 S133 S182 U133 U182 W133 W182 A560:A561 E571 C571 E575 O574 C555 C507:C508 C560 A600:A601 C287 A571 S574 S818 A575 C575 A569 S551 E600:E601 AA444 O551 A337 A555 Q674 Q620 C325 A396:A399 Q469 S469 U469 W469 AA559:AA561 A507:A509 C355:C356 C407 A423:A424 C423:C424 A426:A428 O559:O561 S559:S561 A325 U559:U561 W559:W561 Y559:Y561 Q429 U565 W565 Y565 AA565 E92 E84:E85 E90 Q556 E396 E398 E427 O501:O502 Q551 S564:S566 AA501:AA502 Q653:Q655 O660:O661 G826:G828 O646 O667:O668 A461:A463 E391 A391 A12 Q328 S256 O256 C600:C601 U256 W256 Y256 AA256 Q644:Q647 Q662:Q666 O122:O123 Y634 AA634 O147 Q640:Q642 Y598 O642 O658 AA598 O665 Q689 A94:A95 C219 Q624:Q626 A7:A8 Q818 A22:A27 O818 S656 O306 O392:O394 O671 S642 O499 O563:O568 O598 Q638 S147 U147 S12 AA567:AA568 S640 O663 W147 O644 O653:O654 W567:W568 W634 Q658:Q659 Y147 Q138 A152 C165 A343 C388:C389 A385:A386 E560 Q636 AA147 S306 U306 W306 Y306 AA306 Q604 S392:S394 U392:U394 W392:W394 Y392:Y394 AA392:AA394 S499 U499 W499 Y499 AA499 S501:S502 U501:U502 W501:W502 Y501:Y502 Q564:Q566 C81:C82 U818 A84:A86 G822 Q144 Q391 A79 A81:A82 G67 W818 Y818 E81 A90:A92 AA818 A29:A30 E79 A267 C267 S820:S821 G41 G816:G817 A604 A533 A180 G604:G750 G756:G759 G762 G764:G803 G805 G808 G810 G74:G303 G305:G601 G841:G842 O845 G845:G846" xr:uid="{3458C1EC-80C4-4E9C-90BB-D9126D4AB772}">
      <formula1>"SIM,NÃO,N/A"</formula1>
    </dataValidation>
    <dataValidation type="date" allowBlank="1" showInputMessage="1" showErrorMessage="1" errorTitle="FORMATO DE DADO INCORRETO!" error="Por favor insira apenas datas nos campos, para campos não aplicáveis mantenha a célula vazia." sqref="H43 H62:H64 D38:D41 H274:H303 B38:B41 H305:H390 D29 H576:H599 H47:H48 H51:H58 F20 H572:H574 H561:H570 D6 D20 F6 B6 B20 H67:H72 H392:H559 H826:H828 H6:H20 H2 B34:B36 D34:D36 F34:F36 F38:F41 H830:H836 H820:H822 H604:H750 H756:H759 H762 H764:H803 H805 H808:H810 H812:H814 H816:H818 H24:H41 F263 D263 B263 H22 H74:H224 H226:H272 H841:H842 H845:H846" xr:uid="{25959E2A-D958-49A0-A194-D5AFCE97A34F}">
      <formula1>36892</formula1>
      <formula2>55153</formula2>
    </dataValidation>
    <dataValidation allowBlank="1" showInputMessage="1" showErrorMessage="1" sqref="AC239:AD239 BU69:CV69 AE1:AF1 BU239:CV239 AK3:AK763 AK765:AK766 AK768:AK838 AK841:AK846" xr:uid="{62A3B8CF-9FC4-4400-B724-32DF8F6881A6}"/>
    <dataValidation type="list" allowBlank="1" showInputMessage="1" showErrorMessage="1" sqref="AH54:AH96 AG420:AG422 AG283:AH283 AG127 AG139:AH139 AG259 AG285:AH285 AG606 AL609:AM609 AG153 AG313 AG246:AG250 AH378 AH98 AG137 AG445 AG556:AG557 AG261:AG265 AG528 AG437 AG443 AG183 AH518 AG159 AG425:AG428 AG540 AG552 AG374:AH374 AG376:AG379 AH456 AG466 AG361:AG363 AG518:AG520 AG511:AG516 AG532 AG534 AG530 AG526 AG179:AG181 AG296 AG307 AG538 AG536 AG504 AG107:AG109 AH200 AG591:AG593 AG756:AG759 AH257 AG393 AH476 AG234:AG236 AG252 AG340 AG123:AG125 AG542 AG544 AG414:AG418 AG334:AG335 AG281 AH320 AG499:AG502 AG101:AG102 AG111:AG112 AG430:AG433 AG305 AG576:AG579 AG478 AG132 AH590 AH278 AG589 AG301:AG302 AH555 AG611:AG612 AH106:AH107 AL818:AM821 AH102:AH104 AH118 AG120:AH120 AG651 AG274 AH147 AG172:AG174 AH172 AL823:AM829 AH191 AG554 AH196 AH193:AH194 AH205 AG497 AH246:AH247 AG480 AH224 AH525 AH235 AL30:AM30 AH198 AG370 AL32:AM32 AG690 AG240:AG244 AH596 AG328:AG331 AG367:AG368 AH372 AH376 AG320:AG326 AG570 AG581 AH202 AH207 AG277:AG279 AG349:AG350 AG489:AG490 AG464 AH426 AH221 AG656 AG397 AG121 AG99:AH99 AG290:AG292 AG356 AG572 AH100 AG309 AH286:AH287 AG692 AG701 AG548:AG549 AG116:AG119 AG255:AG257 AG218:AH218 AG353 AG383:AG384 AG524 AH30 AG569:AH569 AG406:AG410 AG147:AG150 AG166 AG208:AG213 AG268:AG272 AL809:AM816 AL804:AM804 AG687 AL806:AM806 AL760:AM760 AG699 AG741:AG748 AG674 AG619 AH587:AH588 AG632 AG643 AG647 AG661 AG653 AG658:AG659 AG668 AG680 AG678 AG684 AG671 AH164 AG288 AG238 AG440 AG583:AG585 AG602 AH603 AH762 AL42:AL44 AG793:AH793 AL831:AM835 AL54:AM94 AH594 AG766:AH766 AG97 AG697 AH607 AH609 AG676 AM807 AG787:AH787 AL48:AM52 AG682 AH43:AH46 AJ55:AJ94 AH32 AG104:AG105 AG186:AG189 AG191:AG193 AG195 AG197:AG206 AG220:AG227 AG230:AG231 AG402 AG404 AG635 AG637 AG639 AG641 AL46 AM42:AM46 AH841:AH844 AL841:AM844" xr:uid="{19A1C070-C6E6-4F6E-BA17-6F5FBCA34DD7}">
      <formula1>"REMOTO,PRESENCIAL"</formula1>
    </dataValidation>
    <dataValidation type="list" allowBlank="1" showInputMessage="1" showErrorMessage="1" sqref="BB418:BC418 AL226 S148:S152 AL218 AG336 AL303:AL304 AC417:AF417 AG84:AG87 AL374 AL376 AZ788:AZ792 AX525:AX545 A70 G59:G61 G73 A3:A6 G66 E73 C103 A40 AL378 Y395:Y399 A13:A21 A534:A554 O116:O121 O159:O177 O154:O157 W159:W177 U154:U157 U127:U132 W154:W157 C70 Q152 Y154:Y157 AA116:AA121 Y159 W148:W152 AA154:AA157 Y213 Y127 Y169:Y175 O124:O125 S154:S157 Q116:Q125 Y177 Y148:Y152 U206:U211 Y197:Y204 AG178 AG89:AG90 O127:O132 O179:O181 O395:O399 S395:S399 U395:U399 Y134:Y138 W395:W399 Y129:Y132 AA395:AA399 A103 O206:O211 Y236 C57 C75 A78 A80 A83 A87 G42 A97:A98 A72:A73 A116:A117 A119 C137 A63:A68 C335:C336 C338:C342 A383:A384 C387 A420:A422 C491:C493 A357:A358 C72:C73 C63:C68 C78 C80 C83 C87 AG654 C97:C98 A75 C116:C117 C119 A137 C153:C164 AX59 C357:C358 S689 C375:C381 C383:C384 C420:C422 Y457 AX640 A572:A574 C572:C574 AR403:AR413 Y806:Y807 S652 A576:A586 W116:W121 Y116:Y121 AA124:AA125 Y124 W124:W125 U124:U125 O599:O615 W127:W132 Q127:Q132 Y140:Y146 S127:S132 U116:U121 U148:U152 AA127:AA132 Y161:Y165 Y167 S179:S181 AA179:AA181 Y179:Y181 W179:W181 U179:U181 AA159:AA177 S124:S125 S159:S177 Y206:Y211 W206:W211 Q183:Q204 S206:S211 Y215 U159:U177 Y247:Y253 Y217:Y223 O183:O204 W213:W236 AB307 Y401:Y405 AA206:AA211 Y445:Y450 Y452:Y455 Q430:Q443 AX248:AX250 AG565 AA569:AA570 AX547 S556:S558 G45:G47 AA503:AA552 Y564 Q534:Q550 W564 O562 O238:O253 A59:A61 C59:C61 S445:S458 AF574 AG128:AH128 Q562:Q563 AZ571:AZ573 S562:S563 U562 S430:S443 O2:O114 AA831:AA836 AA575 AA572 O503:O550 Y569:Y573 O569:O573 AA577 AA579 AA581 AA583 AA585 AA589 AA591:AA594 AA596 Y599:Y614 AN616:AQ619 U183:U204 AA183:AA204 W183:W204 P670:Q670 Y183:Y195 S183:S204 O213:O236 U213:U236 Y225:Y234 Q166:Q170 AA213:AA236 S213:S236 U238:U253 AA238:AA253 S238:S253 W238:W253 Y238:Y245 Q181 S261:S266 Q220:Q236 S326:S332 Y407:Y420 R388:S389 AA430:AA443 Y430:Y443 W430:W443 U430:U443 O430:O443 Y459:Y468 S460:S468 U503:U550 Y255 AA602 AZ547 Q464:Q468 Q445:Q462 AG115 AG122 AG126 AG133 AG92:AG93 AG237 AG254 AG289 AG333 AF394:AG394 AG429 AG444 U569:U573 AA604:AA614 U599:U614 W599:W614 P9:P10 S116:S121 AT533 AX698 G3:G40 F11 C602:C836 A93 C3:C36 S570:S573 AT604 A11:B11 Q741:Q765 AZ767:AZ768 C93 AX62 AZ625 AN628:AP628 AT576 AE625:AG625 AE630:AG630 AV604 AN663:AR663 AN662:AP662 AX625 AX630:AX631 AZ630 AR549:AR583 AZ634 AP649:AQ649 O649 A9:B9 AV569 AX767:AX768 W777:W778 U809:U815 AX665 X670:Z670 AF779:AF782 AX794:AX795 X673:AB673 AZ673 O673:Q673 AE651:AE661 AZ667 W642:Y642 A2:G2 AX70 E59 AX74 E97 Q678 AZ644 F13:F19 D11 F32:F33 A28 AZ646 Y307:Y310 AA587 AZ794:AZ795 AG77:AG82 O809:O815 X668:Z668 S669:S670 AX603:AX612 AN646:AR646 AX670 E602:E603 A510:A532 G602:G603 AZ640 C561:C568 AX76 AZ660 AV667 AZ665 AX78 AX81 AX85 AX88:AX92 AZ663 AX657 AX660 AZ654 AX644 AX636 S255 O148:O152 Q206:Q214 AA148:AA152 S288 R287:S287 C588:C599 Q617:S617 Y617 W617 U617 O617 AA617 Y620 W620 U620 O620 AA620 S620 Y622 W622 U622 O622 AA622 S622 Y624 W624 U624 O624 AA624 S624 Y626 W626 U626 O626 AA626 S626 Y628 W628 U628 O628 AA628 S628 Y632 W632 U632 O632:O634 AA632 S632:S634 Y636 W636 U636 O636 AA636 S636 Y638 W638 U638 O638:O639 AA638 S638:S639 Y641 W641 U641 O641 AA641 Y470:Y498 W470:W498 U470:U498 AA445:AA498 O445:O498 S496:S498 S641 Y645 W645 U645 O645 AA645 S645 Y647 W647 U647 O647 AA647 Y643 O643 AA643 O651:O652 U643 W643 S647 Y655 W655 U655 O655 AA655 Q643:S643 R651:S651 Y651 AA651 U651 W651 S655 Y659 W659 U659 O659 AA659 S659 Y662 W662 U662 O662 AA662 S662 Y664 W664 U664 O664 AA664 S664 Y666 W666 U666 O666 AA666 S666 Y669 W669 U669 O669:O670 AA669 Q668 Y672 W672 U672 O672 AA672 S672 Y674 W674 U674 O674 AA674 S674 Y677 W677 U677 O677:O678 AA677 S677:S678 Y680 W680 U680 O680 AA680 S680 Y682 W682 U682 O682 AA682 Q657:S657 Y657 O657 AA657 U657 W657 S682 Y687 W687 U687 O687 AA687 S687 Y689 W689 U689 O689 AA689 S738 Y738 W738 Q738 O738 AE663:AF663 AN634:AQ641 AE418:AF418 O767:O768 AA772 AA819:AA821 AA774:AA775 Y819:Y821 W819:W821 AG41 Y831:Y836 U2:U114 Y741:Y765 W741:W765 Y774:Y775 W774:W775 U774:U775 AT767:AT768 AE634:AF644 AA804 U741:U765 Y804 AA809:AA814 Y809:Y814 AE822:AF829 S809:S815 Q134:Q137 A602:A603 Q139:Q143 Q159:Q164 Q154:Q157 Q172:Q179 Q217:Q218 Q238:Q253 Q557:Q558 Q552:Q555 Q510:Q532 Q567:Q573 Q649 AG559:AG560 AV138 AT138 AZ809:AZ821 AZ126:AZ146 AZ823:AZ835 AT151 AV151 AT165 AV165 AX774:AX775 AX167:AX175 AX809:AX821 AN769:AQ771 AN773:AQ773 AV216 AX772 AZ235:AZ245 AZ167:AZ175 AZ772 AT216 AE809:AF820 AE821 AT287 AV286:AV287 AT386 AV386 AT399 AV399 AT463 AV463 AT509 AV533 AT561 AV561 AX571:AX573 AE631:AF631 AF395:AF403 AE420:AF422 AX696 AV665 A121:A130 C121:C130 A132:A135 C132:C135 C139:C141 A139:A141 C145:C149 A145:A149 A151 C166:C179 C181:C200 C203:C218 A268:A270 A274:A279 C273:C279 A281:A283 C281:C283 A285:A286 C290:C299 A290:A299 G304 A301:A324 A326:A333 A335:A336 A338:A342 C344:C354 A344:A354 A375:A381 C392:C395 A400:A406 C400:C406 C408:C418 A408:A418 C425 A425 A429:A438 C429:C438 A440:A454 C440:C454 C457 A457 C460 A460 A464:A489 C464:C489 A491:A493 A496:A506 C496:C506 A556:A559 A562:A568 C570 A570 A588:A599 AX95 O819 Q819:Q821 Y780:Y786 AX97 Q290:Q327 Q274:Q288 O290:O305 U290:U305 AA290:AA305 S290:S305 W290:W305 Y290:Y305 O134:O146 O255 O500 U134:U146 W134:W146 S134:S146 AA134:AA146 AA255 U255 W255 W401:W428 AA500 Y500 W500 S500 U500 R555:S555 S588:S615 Q145:Q150 O630 Q575:Q603 Q605:Q615 Q630 Q633:Q634 Q639 Q651:Q652 S503:S550 R569:S569 S630 S649 AN642:AR642 B79 B81 F79 B84 F81 F84 B92 AZ701 F92 AR786:AR795 B24:B30 B32:B33 D79 D81 D84 D92 AX101:AX102 W685 AE804:AF804 AX105 Y371:Y384 R325:S325 AE425:AF458 AF2:AF259 C285:C286 C326:C333 C301:C324 A387 C556:C559 C509:C554 C576:C586 S268:S286 Y280:Y288 C268:C270 Y312:Y332 O307:O332 U307:U332 AA307:AA332 S307:S324 W307:W332 R334:S334 S344:S355 R356:S356 R267:S267 S401:S406 R407:S407 S390:S391 S425:S427 R428:S428 U552:U558 S552:S554 O552:O558 S567:S568 W569:W573 S575:S586 U575:U597 W575:W597 O575:O597 Y575:Y597 R587:S587 AZ774:AZ775 AZ777:AZ778 AR749:AR768 AT772 AV794:AV819 AT794:AT819 AF460:AF493 AV388:AV389 AT388:AT390 AV407 AT407 AV428 AT428 AR496:AR523 AT555 AV555 AZ525:AZ545 AT569 AZ603:AZ612 AZ577 AT587 AV587 G68 E47 E68 D13:D19 B13:B19 AN459:AP494 AN622:AP622 AN627:AQ627 AN696:AQ697 AX667 AE617:AF617 AP648 AR667 S257:S259 R260:S260 Y257:Y278 AA257:AA288 U257:U288 W257:W288 O257:O288 R343:S343 S335:S342 Y334:Y369 Q392:Q398 Y386:Y391 R419:S419 S408:S418 S420:S422 R423:S424 Y422:Y428 O401:O428 AA401:AA428 U401:U428 Q401:Q428 R459:S459 W445:W468 U445:U468 S470:S493 R494:S495 Q470:Q508 Q685:S685 Y685 O685 AA685 U685 AR415:AR418 AE261:AF266 AE696:AF698 AN260:AP260 AX341:AX345 AX691 AN261:AR266 AR420:AR421 AX423:AX426 AZ444:AZ457 AZ685 AX685:AX686 AX303:AX315 Q255:Q272 AV683 AX677 AX786 AX788:AX792 B37:D37 AZ45 AE665:AG665 U801:U802 W801:W802 Y801:Y802 AV826:AV827 A89 C89 D30 D32:D33 A31 W503:W558 Y503:Y558 AA555:AA557 AV615 B7 AV675 AT271:AT274 AZ56 AZ59 AZ62 AR617 AV836 AT667 AN686:AQ692 AT665 AN776:AQ776 AG649 AF670:AF674 AX646 AN673:AR673 AR670 AZ670 AN665:AQ668 AN629:AQ632 AN625:AQ625 AF651:AF662 AX479:AX523 AF632:AF633 Q831:Q836 AX694 AF699:AF700 AX663 O831:O836 W831:W836 AV772 U788:U792 U780:U784 Y788:Y792 W788:W792 AZ70 AN694:AQ694 O800:O802 AF783:AG783 AZ74 AR341:AR342 F7:F9 D7:D9 P7 AN699:AQ699 AE268:AF342 AF390:AF393 AG73 AX235:AX246 AX350:AX352 AR235:AR259 AX675 AX689 AE699 AG778:AG780 AE741:AF768 AE774:AF775 AE784:AF784 S831:S836 W780:W786 AA780:AA797 AN685:AP685 U804 AA806:AA807 W806:W807 W804 Q387:Q390 AN390:AQ418 AN579:AQ612 C390 A390 Q809:Q814 AA738:AA765 AN621:AQ621 AN626:AP626 AZ76 AZ78 AN623:AQ623 A392:A395 O804:O807 W809:W814 AN648:AO649 AZ81 AZ85 AE666:AF668 AE673:AE674 AN647:AQ647 AR660 AN650:AQ661 AQ460:AQ493 AN420:AQ422 AN2:AQ44 G829 AZ108:AZ124 AN749:AQ755 AX108:AX152 AX700:AX701 AN787:AQ787 AG75 AE831:AF836 AX45 AX2:AX43 AX56 S741:S765 AT777:AT778 AX777:AX778 AX781:AX784 AZ781:AZ784 O824:O827 AE801:AF802 AR777:AR778 AR781:AR784 AN766:AQ766 AN793:AQ793 S772 Q772 O772 Q774:Q775 O774:O775 S767:S768 O777:O778 S777:S778 S774:S775 Q777:Q778 S780:S784 O786 AA801:AA802 AF785 AZ88:AZ92 AZ95 AZ97 U777:U778 S794:S797 S788:S792 Q804:Q807 Q824 AN672:AP672 AX633:AX634 AZ657 AX673 AX683 AE619:AF619 AE632 AE646:AF650 AE496:AF573 AE670:AE671 AE675:AF680 AE575:AF611 AE682:AF694 AR603:AR612 AN643:AQ643 AN674:AQ684 AR160:AR165 AE786:AF798 AR181:AR185 AR187:AR194 AR9:AR158 AR232:AR233 AR268:AR287 AR289:AR301 AR167:AR179 AR303:AR339 AR350:AR369 AR344:AR348 AN281:AQ342 AN268:AQ279 AR196:AR229 AR423 AR460:AR477 AR525:AR547 AN693:AP693 AN670:AQ671 AZ148:AZ152 AZ154:AZ158 AX154:AX158 AX160:AX165 AZ160:AZ165 AX177:AX179 AZ177:AZ179 AZ181:AZ185 AX181:AX185 AX187:AX194 AZ187:AZ194 AZ196:AZ229 AX196:AX229 AZ232:AZ233 AX232:AX233 AR444:AR458 AX289:AX301 AZ289:AZ301 AZ303:AZ339 AX317:AX339 AZ341:AZ348 AX347:AX348 AX354:AX369 AZ350:AZ369 AZ248:AZ287 AZ371:AZ401 AZ415:AZ421 AX415:AX421 AX403:AX413 AZ423:AZ442 AZ459:AZ477 AX549:AX569 AZ549:AZ569 AX575:AX577 AZ575 AX579:AX583 AZ579:AZ583 AZ585:AZ601 AX585:AX601 AX638 AZ642 AX642 AZ648:AZ650 AX648:AX650 AX652 AZ652 AX654:AX655 AG54 AE390:AE403 AX252:AX287 AV117 AZ403:AZ413 AX428:AX442 AZ479:AZ523 O780:O784 Q780:Q784 A44 AZ101:AZ102 AZ105 G815 AZ786 AG58:AG61 AG64:AG68 AG70:AG71 AR636 C38:C42 A42 A57 C151 A153:A164 A166:A179 A181:A200 A203:A218 U767:U768 Q786 S786 O788:O792 Q788:Q792 O794:O797 Q794:Q797 Q800:Q802 S800:S802 W767:W768 Y777:Y778 U786 U794:U797 Y767:Y768 AA777:AA778 W794:W797 AA767:AA768 Q767:Q768 A220:A259 Y794:Y797 AE772:AF772 AE777:AF778 AE780:AE783 AV45 AV767:AV768 AV774:AV775 AV777:AV778 AV780:AV784 AV786 AV788:AV792 AT47:AT53 A46:A55 AT45 AT763:AT765 AR2:AR7 AR772 AT780:AT786 AT788:AT792 W772 O741:O765 Q2:Q114 U772 S804:S807 C220:C259 P2:P5 D24:D28 A605:A836 AT836 AR774:AR775 S2:S11 F37 AN425:AQ458 AE806:AF807 Y2:Y98 Y100:Y114 S13:S114 W2:W114 S824:S827 AA2:AA114 Y772 AZ2:AZ43 AT751:AT761 U831:U836 U806:U807 AA826:AA827 Y826:Y827 Q826:Q827 W826:W827 G818:G821 AT831:AT834 AV47:AV53 AV831:AV834 E823:E825 G823:G825 E829 C44:C55 E818:E821 AN804:AR804 E815 AN760:AQ763 AZ47:AZ54 AZ763:AZ765 AN818:AQ836 AX47:AX54 AZ749:AZ761 AV271:AV274 AX749:AX765 AX803:AX804 AZ803:AZ804 AX806:AX807 AZ806:AZ807 AN806:AR807 AN809:AR815 AR818:AR821 Y846 AR425:AR442 AT774:AT775 E3:E42 E49:E53 E751:E755 E760:E761 E763 E804 E806:E807 E809 E811 G49:G53 G751:G755 G760:G761 G763 G804 G806:G807 G809 G811 S819 U819:U821 U824:U827 AV2:AV6 AV14:AV21 AV28 AV40 AV42 AT519 AT2:AT6 AT14:AT22 AT28 AT40 AT42 C261:C266 A261:A266 AT591 AT62 AT117 AT255 AT315 AT528 AT551 AN496:AQ577 AT214 AV751:AV761 AV763:AV765 A360:A372 AE2:AE53 AE460:AE469 AE404:AF416 I2:I836 K1:K836 AN344:AQ388 M2:M836 AE344:AF388 W334:W391 AA334:AA391 U334:U391 Q329:Q385 S357:S387 O334:O391 C360:C372 AE55:AE259 AE471:AE493 AN46:AQ259 AR479:AR494 D22 F22 F24:F30 M841:M842 K841:K842 I841:I842 C841:C842 AA841:AA842 W841:W842 S841:S842 Y841:Y842 Q841:Q842 A841:A842 M845:M846 U841:U842 O841:O842 AN841:AQ842 AV690 AV845 AT845 AN845:AQ846 AE845:AF846 A845:A846 C845:C846 K845:K846 AF841:AG844 AZ841:AZ846 AT826:AT827 AX444:AX477 AR823:AR836 AX823:AX835 AX841:AX846 AR371:AR401 AR585:AR601 AX371:AX397 AX399:AX401 AV130 AV153 AV295 AV301 AV315 AV436:AV437 AV455 AV494 AV528 AV551 AV576:AV577 AV591 I845:I846 AA846 O846 U846 Q846 S846 W846 AR839:AR846" xr:uid="{74FB1D71-89FB-46F4-828C-A6652596DF23}">
      <formula1>"SIM,NÃO,N/A"</formula1>
    </dataValidation>
    <dataValidation type="list" allowBlank="1" showInputMessage="1" showErrorMessage="1" sqref="A280 B47:B48 C100:C101 D301:D303 B62:B64 A62 E385:F386 B588:B599 D335:D342 D576:D586 C62 A100:A101 D115 B115 B93:B113 D12 B137 D305:D324 B335:B342 C280 B274:B286 T800 A43:D43 D357:D358 B301:B303 B326:B333 C288 D268:D272 D62:D64 D288:D299 D588:D599 D460 D392:D398 B117:B130 D132:D135 D137 B145:B164 D82:D83 A288 D400:D406 D181:D200 B203:B218 D561:D568 D344:D354 E374:F374 D274:D286 B457 D457 E382:F382 D374:D387 D496:D506 B496:B506 T809:T810 B572:B574 D572:D574 B268:B272 D509:D554 B845 D830:D836 D425 A10 T820:T821 T805 A96 D47:D48 D93:D113 B220:B259 D220:D259 B464:B493 B82:B83 D117:D130 B132:B135 D139:D141 B139:B141 C56 B166:B179 D822 B288:B299 B305:B324 D326:D333 B344:B354 B374:B385 AB821 B400:B406 B408:B422 D408:D422 B425 B460 D464:D493 B534:B554 B387 B556:B559 B562:B568 B570 D570 B576:B586 D556:D559 A74 B67:B72 D67:D72 B74:B78 D74:D78 D80 B80 D85:D91 B85:B91 D31 B31 D51:D58 B51:B58 C74 B357 B390 B392:B398 P769 D203:D218 A56 P809 V821 X821 Z821 D390 D145:D164 D166:D179 B181:B200 B431:B454 D431:D454 B826:B828 B822 T831:T834 T812:T814 T826:T827 B808 B830:B836 B812:B814 D826:D828 D808 B605:B750 B756:B759 B762 B764:B803 B805 B810 B817:B818 D604:D750 D756:D759 D762 D764:D803 D805 D810 D812:D814 D816:D818 D264:D266 D261:D262 B261:B262 B264:B266 B360:B372 D360:D372 B841:B842 D841:D842 B528:B532 B510:B524 D845" xr:uid="{4873BD6B-A2BF-4248-B361-AC23CC41E2BF}">
      <formula1>"N/A,Diego Silva Mesini, Fábio Alexandre Dias,Ivaldo Carneiro Silva,Leandro Alves da Silva,Lucas Moraes Azimovas,Marcello Iamauti de Figueiredo,Nerivaldo Furtunato da Silva, Ramon Silvati, Ricardo Luiz Ciuccio,Thiago Jose Dos Santos "</formula1>
    </dataValidation>
  </dataValidations>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Eduardo Almeida</dc:creator>
  <cp:lastModifiedBy>Gabriel Eduardo Almeida</cp:lastModifiedBy>
  <dcterms:created xsi:type="dcterms:W3CDTF">2025-10-21T17:57:02Z</dcterms:created>
  <dcterms:modified xsi:type="dcterms:W3CDTF">2025-10-21T17:57:25Z</dcterms:modified>
</cp:coreProperties>
</file>